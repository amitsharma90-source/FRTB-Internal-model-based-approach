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"/>
    </mc:Choice>
  </mc:AlternateContent>
  <xr:revisionPtr revIDLastSave="0" documentId="13_ncr:1_{00AD9F1C-9741-434B-88C6-66FE768898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0" i="1"/>
  <c r="E11" i="1"/>
  <c r="E9" i="1"/>
  <c r="B14" i="1" s="1"/>
  <c r="H4" i="1" l="1"/>
  <c r="C3" i="1"/>
  <c r="D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Sharma</author>
  </authors>
  <commentList>
    <comment ref="C1" authorId="0" shapeId="0" xr:uid="{C7667653-F3D2-453A-800A-EFC0BF73DEC1}">
      <text>
        <r>
          <rPr>
            <b/>
            <sz val="9"/>
            <color indexed="81"/>
            <rFont val="Tahoma"/>
            <charset val="1"/>
          </rPr>
          <t>Amit Sharma:</t>
        </r>
        <r>
          <rPr>
            <sz val="9"/>
            <color indexed="81"/>
            <rFont val="Tahoma"/>
            <charset val="1"/>
          </rPr>
          <t xml:space="preserve">
I highly reduced volatility of Risk factor which was not available in 2007-2008 period, This dramatically reduced ES of Full Risk Factor, Current Portfolio which exactly became equal to my Reduced risk factor current risk factor movement ES. 
</t>
        </r>
      </text>
    </comment>
  </commentList>
</comments>
</file>

<file path=xl/sharedStrings.xml><?xml version="1.0" encoding="utf-8"?>
<sst xmlns="http://schemas.openxmlformats.org/spreadsheetml/2006/main" count="23" uniqueCount="19">
  <si>
    <r>
      <t>ES</t>
    </r>
    <r>
      <rPr>
        <vertAlign val="subscript"/>
        <sz val="14"/>
        <color theme="1"/>
        <rFont val="Calibri"/>
        <family val="2"/>
        <scheme val="minor"/>
      </rPr>
      <t>R,C</t>
    </r>
  </si>
  <si>
    <r>
      <t>ES</t>
    </r>
    <r>
      <rPr>
        <vertAlign val="subscript"/>
        <sz val="14"/>
        <color theme="1"/>
        <rFont val="Calibri"/>
        <family val="2"/>
        <scheme val="minor"/>
      </rPr>
      <t>R,S</t>
    </r>
  </si>
  <si>
    <t>Reduced factor has High risk-Std = 5</t>
  </si>
  <si>
    <t>Reduced factor has Ultra Low risk, Std = 0.00005</t>
  </si>
  <si>
    <t>Reduced ES/Current ES</t>
  </si>
  <si>
    <t>Reduced factor has Low risk, Std = 0.5</t>
  </si>
  <si>
    <t>Reduced ES/Full ES should be more than 75% only then the model will be approved for trading desk</t>
  </si>
  <si>
    <t>Model approved ?</t>
  </si>
  <si>
    <t>No</t>
  </si>
  <si>
    <t>Yes</t>
  </si>
  <si>
    <t>ES</t>
  </si>
  <si>
    <r>
      <t>ES</t>
    </r>
    <r>
      <rPr>
        <b/>
        <vertAlign val="subscript"/>
        <sz val="14"/>
        <color theme="1"/>
        <rFont val="Calibri"/>
        <family val="2"/>
        <scheme val="minor"/>
      </rPr>
      <t>F,C</t>
    </r>
  </si>
  <si>
    <t>Interest rate</t>
  </si>
  <si>
    <t>Equity</t>
  </si>
  <si>
    <t>Credit</t>
  </si>
  <si>
    <t>ρ</t>
  </si>
  <si>
    <r>
      <t>IMCC(C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</si>
  <si>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Total Portfolio</t>
  </si>
  <si>
    <t>Total Capital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</si>
</sst>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sz val="8"/>
      <color rgb="FF372F32"/>
      <name val="Arial"/>
      <family val="2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8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0" fillId="3" borderId="1" xfId="1" applyNumberFormat="1" applyFont="1" applyFill="1" applyBorder="1"/>
    <xf numFmtId="164" fontId="0" fillId="2" borderId="1" xfId="1" applyNumberFormat="1" applyFont="1" applyFill="1" applyBorder="1"/>
    <xf numFmtId="0" fontId="0" fillId="3" borderId="1" xfId="0" applyFill="1" applyBorder="1"/>
    <xf numFmtId="0" fontId="0" fillId="2" borderId="1" xfId="0" applyFill="1" applyBorder="1"/>
    <xf numFmtId="0" fontId="7" fillId="0" borderId="1" xfId="0" applyFont="1" applyBorder="1"/>
    <xf numFmtId="0" fontId="10" fillId="0" borderId="0" xfId="0" applyFont="1"/>
    <xf numFmtId="0" fontId="2" fillId="0" borderId="2" xfId="0" applyFont="1" applyFill="1" applyBorder="1"/>
    <xf numFmtId="0" fontId="2" fillId="0" borderId="0" xfId="0" applyFont="1" applyFill="1" applyBorder="1"/>
    <xf numFmtId="0" fontId="12" fillId="4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I10" sqref="I10"/>
    </sheetView>
  </sheetViews>
  <sheetFormatPr defaultRowHeight="14.5" x14ac:dyDescent="0.35"/>
  <cols>
    <col min="1" max="1" width="25" customWidth="1"/>
    <col min="2" max="2" width="27" customWidth="1"/>
    <col min="3" max="3" width="22.1796875" customWidth="1"/>
    <col min="4" max="4" width="17.7265625" customWidth="1"/>
  </cols>
  <sheetData>
    <row r="1" spans="1:8" ht="45" customHeight="1" x14ac:dyDescent="0.35">
      <c r="A1" s="1"/>
      <c r="B1" s="5" t="s">
        <v>2</v>
      </c>
      <c r="C1" s="5" t="s">
        <v>3</v>
      </c>
      <c r="D1" s="5" t="s">
        <v>5</v>
      </c>
    </row>
    <row r="2" spans="1:8" ht="20.5" x14ac:dyDescent="0.55000000000000004">
      <c r="A2" s="2" t="s">
        <v>11</v>
      </c>
      <c r="B2" s="1">
        <v>2448.456312463255</v>
      </c>
      <c r="C2" s="1">
        <v>1019.31</v>
      </c>
      <c r="D2" s="1">
        <v>1053</v>
      </c>
      <c r="G2" s="3" t="s">
        <v>0</v>
      </c>
      <c r="H2" s="1">
        <v>1019.1305715298715</v>
      </c>
    </row>
    <row r="3" spans="1:8" ht="20.5" x14ac:dyDescent="0.55000000000000004">
      <c r="A3" s="4" t="s">
        <v>4</v>
      </c>
      <c r="B3" s="6">
        <f>$H2/B2</f>
        <v>0.41623392108008711</v>
      </c>
      <c r="C3" s="7">
        <f t="shared" ref="C3:D3" si="0">$H2/C2</f>
        <v>0.99982397065649464</v>
      </c>
      <c r="D3" s="7">
        <f t="shared" si="0"/>
        <v>0.96783530059816858</v>
      </c>
      <c r="G3" s="3" t="s">
        <v>1</v>
      </c>
      <c r="H3" s="1">
        <v>3515.1482476511856</v>
      </c>
    </row>
    <row r="4" spans="1:8" ht="21" x14ac:dyDescent="0.5">
      <c r="A4" s="4" t="s">
        <v>7</v>
      </c>
      <c r="B4" s="8" t="s">
        <v>8</v>
      </c>
      <c r="C4" s="9" t="s">
        <v>9</v>
      </c>
      <c r="D4" s="9" t="s">
        <v>9</v>
      </c>
      <c r="G4" s="10" t="s">
        <v>10</v>
      </c>
      <c r="H4" s="1">
        <f>H3*D2/H2</f>
        <v>3631.9694533549823</v>
      </c>
    </row>
    <row r="5" spans="1:8" x14ac:dyDescent="0.35">
      <c r="A5" t="s">
        <v>6</v>
      </c>
    </row>
    <row r="8" spans="1:8" ht="20.5" x14ac:dyDescent="0.55000000000000004">
      <c r="A8" s="1"/>
      <c r="B8" s="2" t="s">
        <v>11</v>
      </c>
      <c r="C8" s="3" t="s">
        <v>0</v>
      </c>
      <c r="D8" s="3" t="s">
        <v>1</v>
      </c>
      <c r="E8" t="s">
        <v>16</v>
      </c>
      <c r="F8" s="11" t="s">
        <v>15</v>
      </c>
      <c r="G8">
        <v>0.5</v>
      </c>
    </row>
    <row r="9" spans="1:8" x14ac:dyDescent="0.35">
      <c r="A9" s="4" t="s">
        <v>12</v>
      </c>
      <c r="B9" s="1">
        <v>10.108250735695558</v>
      </c>
      <c r="C9" s="1">
        <v>10.108250735695558</v>
      </c>
      <c r="D9" s="1">
        <v>1445.0868327702981</v>
      </c>
      <c r="E9">
        <f>D9*B9/C9</f>
        <v>1445.0868327702981</v>
      </c>
    </row>
    <row r="10" spans="1:8" x14ac:dyDescent="0.35">
      <c r="A10" s="4" t="s">
        <v>13</v>
      </c>
      <c r="B10" s="1">
        <v>995.82468895550744</v>
      </c>
      <c r="C10" s="1">
        <v>995.82468895550744</v>
      </c>
      <c r="D10" s="1">
        <v>3198.6681348708248</v>
      </c>
      <c r="E10">
        <f t="shared" ref="E10:E12" si="1">D10*B10/C10</f>
        <v>3198.6681348708248</v>
      </c>
    </row>
    <row r="11" spans="1:8" x14ac:dyDescent="0.35">
      <c r="A11" s="4" t="s">
        <v>14</v>
      </c>
      <c r="B11" s="1">
        <v>32.825414049121072</v>
      </c>
      <c r="C11" s="1">
        <v>32.825414049121072</v>
      </c>
      <c r="D11" s="1">
        <v>56.494317639978753</v>
      </c>
      <c r="E11">
        <f t="shared" si="1"/>
        <v>56.494317639978753</v>
      </c>
    </row>
    <row r="12" spans="1:8" x14ac:dyDescent="0.35">
      <c r="A12" s="12" t="s">
        <v>17</v>
      </c>
      <c r="B12" s="1">
        <v>1053</v>
      </c>
      <c r="C12" s="1">
        <v>1019.1305715298715</v>
      </c>
      <c r="D12" s="1">
        <v>3515.1482476511856</v>
      </c>
      <c r="E12">
        <f t="shared" si="1"/>
        <v>3631.9694533549823</v>
      </c>
    </row>
    <row r="14" spans="1:8" ht="15.5" x14ac:dyDescent="0.35">
      <c r="A14" s="13" t="s">
        <v>18</v>
      </c>
      <c r="B14" s="14">
        <f>G8*E12+(1-G8)*SUM(E9:E11)</f>
        <v>4166.1093693180419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2015-06-05T18:17:20Z</dcterms:created>
  <dcterms:modified xsi:type="dcterms:W3CDTF">2025-11-08T17:07:04Z</dcterms:modified>
</cp:coreProperties>
</file>