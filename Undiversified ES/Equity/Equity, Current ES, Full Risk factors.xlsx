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Equity\"/>
    </mc:Choice>
  </mc:AlternateContent>
  <xr:revisionPtr revIDLastSave="0" documentId="13_ncr:1_{3F7CCFB3-948D-4950-B00A-2A4E1EBDB200}" xr6:coauthVersionLast="47" xr6:coauthVersionMax="47" xr10:uidLastSave="{00000000-0000-0000-0000-000000000000}"/>
  <bookViews>
    <workbookView xWindow="-110" yWindow="-110" windowWidth="19420" windowHeight="10300" tabRatio="928" activeTab="1" xr2:uid="{DC1F76F4-8BE6-409E-AD1E-84625C47D90D}"/>
  </bookViews>
  <sheets>
    <sheet name="CurrentPor-Equ Factor Movements" sheetId="4" r:id="rId1"/>
    <sheet name="Portfolio" sheetId="5" r:id="rId2"/>
    <sheet name="ES, Equity factor movement" sheetId="7" r:id="rId3"/>
    <sheet name="NMRF" sheetId="2" r:id="rId4"/>
    <sheet name="formulae" sheetId="3" r:id="rId5"/>
  </sheets>
  <definedNames>
    <definedName name="_xlnm._FilterDatabase" localSheetId="0" hidden="1">'CurrentPor-Equ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7" l="1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I233" i="7" s="1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36" i="7" l="1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J233" i="7" s="1"/>
  <c r="I251" i="7"/>
  <c r="I219" i="7"/>
  <c r="I190" i="7"/>
  <c r="I234" i="7"/>
  <c r="I250" i="7"/>
  <c r="I218" i="7"/>
  <c r="I260" i="7"/>
  <c r="J260" i="7" s="1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J243" i="7" s="1"/>
  <c r="I200" i="7"/>
  <c r="I191" i="7"/>
  <c r="I208" i="7"/>
  <c r="I195" i="7"/>
  <c r="I246" i="7"/>
  <c r="J246" i="7" s="1"/>
  <c r="I242" i="7"/>
  <c r="J252" i="7" s="1"/>
  <c r="I221" i="7"/>
  <c r="I220" i="7"/>
  <c r="I259" i="7"/>
  <c r="I216" i="7"/>
  <c r="I198" i="7"/>
  <c r="I194" i="7"/>
  <c r="I224" i="7"/>
  <c r="I258" i="7"/>
  <c r="I245" i="7"/>
  <c r="I189" i="7"/>
  <c r="J199" i="7" s="1"/>
  <c r="I232" i="7"/>
  <c r="I188" i="7"/>
  <c r="I214" i="7"/>
  <c r="J214" i="7" s="1"/>
  <c r="I210" i="7"/>
  <c r="I197" i="7"/>
  <c r="I240" i="7"/>
  <c r="J227" i="7" l="1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9" i="5" l="1"/>
  <c r="F8" i="5"/>
  <c r="F6" i="5"/>
  <c r="F7" i="5"/>
  <c r="F5" i="5"/>
  <c r="F3" i="5"/>
  <c r="F4" i="5"/>
  <c r="F2" i="5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15" i="7" l="1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3" i="5" l="1"/>
</calcChain>
</file>

<file path=xl/sharedStrings.xml><?xml version="1.0" encoding="utf-8"?>
<sst xmlns="http://schemas.openxmlformats.org/spreadsheetml/2006/main" count="90" uniqueCount="75">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</sst>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workbookViewId="0">
      <selection activeCell="J3" sqref="J3:J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2.2034076609775313</v>
      </c>
      <c r="N3">
        <f t="shared" si="0"/>
        <v>2.0972958974441394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522.8798879229264</v>
      </c>
      <c r="F4">
        <v>36.780622371287549</v>
      </c>
      <c r="G4">
        <v>0.51</v>
      </c>
      <c r="H4">
        <v>0.58622522308595848</v>
      </c>
      <c r="I4">
        <v>0.69637380533808979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522.63871139715388</v>
      </c>
      <c r="F5">
        <v>33.649895846541796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4.2190212033198695E-3</v>
      </c>
      <c r="N5" s="16">
        <f t="shared" si="1"/>
        <v>5.4559228679429396E-2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523.30347316179484</v>
      </c>
      <c r="F6">
        <v>37.081655815154434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520.6548777720443</v>
      </c>
      <c r="F7">
        <v>38.854787651800514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524.18642546096248</v>
      </c>
      <c r="F8">
        <v>39.915107945774146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526.76260219546157</v>
      </c>
      <c r="F9">
        <v>38.826036968131874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526.48410786002228</v>
      </c>
      <c r="F10">
        <v>40.559421638910528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523.52380879666441</v>
      </c>
      <c r="F11">
        <v>36.703912590905624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520.59332699673621</v>
      </c>
      <c r="F12">
        <v>36.072424972989943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522.01054447622812</v>
      </c>
      <c r="F13">
        <v>36.576998527171291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524.55069159368588</v>
      </c>
      <c r="F14">
        <v>39.626477070109928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524.05111251639414</v>
      </c>
      <c r="F15">
        <v>33.354784589892333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527.45429331749438</v>
      </c>
      <c r="F16">
        <v>38.030585152773028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524.03204367139142</v>
      </c>
      <c r="F17">
        <v>33.902360228715622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522.07785217576384</v>
      </c>
      <c r="F18">
        <v>35.849288630557652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524.19479469258954</v>
      </c>
      <c r="F19">
        <v>35.044106517496893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523.96248452188843</v>
      </c>
      <c r="F20">
        <v>38.359849141622597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521.52219962432457</v>
      </c>
      <c r="F21">
        <v>37.927617211505947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521.62492405113562</v>
      </c>
      <c r="F22">
        <v>42.436434147238558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522.91142144465596</v>
      </c>
      <c r="F23">
        <v>36.889521516389109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524.36306961210619</v>
      </c>
      <c r="F24">
        <v>37.192100956147279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525.06476108041193</v>
      </c>
      <c r="F25">
        <v>36.964285629237615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523.54704585094169</v>
      </c>
      <c r="F26">
        <v>38.903268659018188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522.74279672376258</v>
      </c>
      <c r="F27">
        <v>33.379825652215381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524.25189918331387</v>
      </c>
      <c r="F28">
        <v>37.890763494453822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523.04411803166306</v>
      </c>
      <c r="F29">
        <v>36.543960228685179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524.60133780575472</v>
      </c>
      <c r="F30">
        <v>40.453901715169792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522.98110485374343</v>
      </c>
      <c r="F31">
        <v>38.285504771567496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522.6596337054367</v>
      </c>
      <c r="F32">
        <v>38.205097176648657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518.96047504697026</v>
      </c>
      <c r="F33">
        <v>37.427121338437587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525.13475827777347</v>
      </c>
      <c r="F34">
        <v>38.962107707121206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525.68140366412604</v>
      </c>
      <c r="F35">
        <v>36.995926114898047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523.2760838064529</v>
      </c>
      <c r="F36">
        <v>36.724478427262476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523.43830257624336</v>
      </c>
      <c r="F37">
        <v>36.737884551995869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523.96798927397276</v>
      </c>
      <c r="F38">
        <v>36.681508519087387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520.63545065844755</v>
      </c>
      <c r="F39">
        <v>40.814389152668468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522.31877807997432</v>
      </c>
      <c r="F40">
        <v>33.201560605559273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521.06002726970189</v>
      </c>
      <c r="F41">
        <v>37.781563702933227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525.63459896599466</v>
      </c>
      <c r="F42">
        <v>36.950993225638655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520.42963841672292</v>
      </c>
      <c r="F43">
        <v>36.572687824893393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525.16540102618239</v>
      </c>
      <c r="F44">
        <v>38.042622468290034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521.53933192376917</v>
      </c>
      <c r="F45">
        <v>36.683013583439156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522.34948292318791</v>
      </c>
      <c r="F46">
        <v>37.837513679821456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520.62478782263031</v>
      </c>
      <c r="F47">
        <v>39.089866401090347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519.98679714320019</v>
      </c>
      <c r="F48">
        <v>33.869705422690828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524.23648089988455</v>
      </c>
      <c r="F49">
        <v>38.32503386543943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518.32427129416146</v>
      </c>
      <c r="F50">
        <v>35.524660252360754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523.46646854768085</v>
      </c>
      <c r="F51">
        <v>38.366821599782355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523.97777436901447</v>
      </c>
      <c r="F52">
        <v>38.642996514109093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524.51402475999203</v>
      </c>
      <c r="F53">
        <v>40.370652805976398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525.27244760521455</v>
      </c>
      <c r="F54">
        <v>38.892837776212644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524.5752724160036</v>
      </c>
      <c r="F55">
        <v>37.57725404944599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522.14772269209311</v>
      </c>
      <c r="F56">
        <v>37.878281148289481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521.30126530599182</v>
      </c>
      <c r="F57">
        <v>37.663861257791922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522.15811750142007</v>
      </c>
      <c r="F58">
        <v>35.952669033673828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524.06444026441181</v>
      </c>
      <c r="F59">
        <v>36.71332693692765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522.85558700307206</v>
      </c>
      <c r="F60">
        <v>40.871298859996351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521.61732812575838</v>
      </c>
      <c r="F61">
        <v>38.624136825545293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523.08450110020726</v>
      </c>
      <c r="F62">
        <v>37.642189771669443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521.25428840619236</v>
      </c>
      <c r="F63">
        <v>37.578064240665604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526.20520880867343</v>
      </c>
      <c r="F64">
        <v>41.076585409852264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523.70735317105152</v>
      </c>
      <c r="F65">
        <v>39.156882348825938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525.67794700102741</v>
      </c>
      <c r="F66">
        <v>38.506248095369273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523.73723758741812</v>
      </c>
      <c r="F67">
        <v>41.048914534890031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524.15058145676528</v>
      </c>
      <c r="F68">
        <v>40.190107503835705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521.48429124777101</v>
      </c>
      <c r="F69">
        <v>37.642793540385426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523.73622978310232</v>
      </c>
      <c r="F70">
        <v>39.801205337959942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525.34018492684913</v>
      </c>
      <c r="F71">
        <v>40.10403684684708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524.01212154597238</v>
      </c>
      <c r="F72">
        <v>40.681437238657821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523.03944646237517</v>
      </c>
      <c r="F73">
        <v>40.451407912892272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520.78089743474618</v>
      </c>
      <c r="F74">
        <v>35.847037306941431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521.65040621568028</v>
      </c>
      <c r="F75">
        <v>35.167108353312457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522.48276815376255</v>
      </c>
      <c r="F76">
        <v>38.849298133862334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520.89588504040739</v>
      </c>
      <c r="F77">
        <v>40.829967992289859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525.93597347749255</v>
      </c>
      <c r="F78">
        <v>40.742954633723755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522.2239429524509</v>
      </c>
      <c r="F79">
        <v>36.673729324734978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523.52002485107846</v>
      </c>
      <c r="F80">
        <v>41.011450857868603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522.67863205164974</v>
      </c>
      <c r="F81">
        <v>39.231698459259377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521.32948499339545</v>
      </c>
      <c r="F82">
        <v>34.173103629512582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523.36036671364388</v>
      </c>
      <c r="F83">
        <v>35.639322231381158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525.47498033619411</v>
      </c>
      <c r="F84">
        <v>40.331045093462407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520.21590295737406</v>
      </c>
      <c r="F85">
        <v>37.622926369600471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522.29017643570694</v>
      </c>
      <c r="F86">
        <v>38.725236458315706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521.53763729080617</v>
      </c>
      <c r="F87">
        <v>41.287693514467342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521.75952422059436</v>
      </c>
      <c r="F88">
        <v>40.053404199661507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526.96875265761537</v>
      </c>
      <c r="F89">
        <v>38.054365694868075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524.25974874087331</v>
      </c>
      <c r="F90">
        <v>40.874245944671543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522.90941476239561</v>
      </c>
      <c r="F91">
        <v>40.052019932884129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522.8339385603291</v>
      </c>
      <c r="F92">
        <v>37.615186545000306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522.08446789866775</v>
      </c>
      <c r="F93">
        <v>39.112148494293749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521.28978144168366</v>
      </c>
      <c r="F94">
        <v>38.845244214688975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520.39287077811753</v>
      </c>
      <c r="F95">
        <v>34.256592278303451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521.45280033661254</v>
      </c>
      <c r="F96">
        <v>37.853019053041564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525.17899490181185</v>
      </c>
      <c r="F97">
        <v>38.108639553585071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522.09226973855061</v>
      </c>
      <c r="F98">
        <v>36.349820159151378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522.19679416442375</v>
      </c>
      <c r="F99">
        <v>42.491132569922286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524.29985326465112</v>
      </c>
      <c r="F100">
        <v>37.877433597978559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525.41539983883536</v>
      </c>
      <c r="F101">
        <v>39.217832920561357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521.28099113062137</v>
      </c>
      <c r="F102">
        <v>38.189835399805681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521.80388524598777</v>
      </c>
      <c r="F103">
        <v>40.518475222776019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522.39255772106083</v>
      </c>
      <c r="F104">
        <v>36.325281636166466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525.05469508964529</v>
      </c>
      <c r="F105">
        <v>37.681135070819252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521.62004555104909</v>
      </c>
      <c r="F106">
        <v>36.592951524851159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521.90621135045524</v>
      </c>
      <c r="F107">
        <v>39.508227843590312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520.1967503016815</v>
      </c>
      <c r="F108">
        <v>37.239814681946697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526.49115688828817</v>
      </c>
      <c r="F109">
        <v>39.746146283121483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523.91616491160278</v>
      </c>
      <c r="F110">
        <v>35.1482389171709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519.83477727019647</v>
      </c>
      <c r="F111">
        <v>35.023257169214027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524.14959558184523</v>
      </c>
      <c r="F112">
        <v>37.459517409840458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524.23196489642498</v>
      </c>
      <c r="F113">
        <v>36.690748769064498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524.11162128613182</v>
      </c>
      <c r="F114">
        <v>40.146892107563716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522.44628796070185</v>
      </c>
      <c r="F115">
        <v>36.619191076732513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519.09877269565789</v>
      </c>
      <c r="F116">
        <v>37.676700025158198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523.02160761590926</v>
      </c>
      <c r="F117">
        <v>37.858644612565087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523.18270702097823</v>
      </c>
      <c r="F118">
        <v>37.302931398484915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521.93780247822326</v>
      </c>
      <c r="F119">
        <v>38.59909079758571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526.39593058755588</v>
      </c>
      <c r="F120">
        <v>41.271419081241078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526.68263784012288</v>
      </c>
      <c r="F121">
        <v>35.548894772535618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521.65182017666052</v>
      </c>
      <c r="F122">
        <v>38.427265043070079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521.78846073333671</v>
      </c>
      <c r="F123">
        <v>40.237074590321015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520.86540834987773</v>
      </c>
      <c r="F124">
        <v>38.448690462919707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521.12923237691177</v>
      </c>
      <c r="F125">
        <v>36.419309090376053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518.15079073052095</v>
      </c>
      <c r="F126">
        <v>38.024981128383985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522.66345031351352</v>
      </c>
      <c r="F127">
        <v>39.938682437053032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524.84764329405755</v>
      </c>
      <c r="F128">
        <v>38.508732974342657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524.40729265562618</v>
      </c>
      <c r="F129">
        <v>37.800996324488146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520.19810349354225</v>
      </c>
      <c r="F130">
        <v>36.52127329356815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520.55120407152856</v>
      </c>
      <c r="F131">
        <v>39.40309978290415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521.52286780527982</v>
      </c>
      <c r="F132">
        <v>40.866505759867337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524.01855682716723</v>
      </c>
      <c r="F133">
        <v>40.056264353140826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524.08457741395364</v>
      </c>
      <c r="F134">
        <v>39.230602871281924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523.86625004328334</v>
      </c>
      <c r="F135">
        <v>35.78884813527231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522.96567945975482</v>
      </c>
      <c r="F136">
        <v>39.884877731058396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520.46230278938287</v>
      </c>
      <c r="F137">
        <v>37.586863675624251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524.82433392443022</v>
      </c>
      <c r="F138">
        <v>42.174990877408128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521.37936080735619</v>
      </c>
      <c r="F139">
        <v>39.336292654132862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520.70057240949791</v>
      </c>
      <c r="F140">
        <v>39.624263608637314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520.56119762462652</v>
      </c>
      <c r="F141">
        <v>36.644967472681735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524.95571710855529</v>
      </c>
      <c r="F142">
        <v>38.578860272020535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521.49794065867695</v>
      </c>
      <c r="F143">
        <v>37.661755673273873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524.45390938947196</v>
      </c>
      <c r="F144">
        <v>39.559510474418815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524.4646704287336</v>
      </c>
      <c r="F145">
        <v>35.023321013707893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525.9155447869806</v>
      </c>
      <c r="F146">
        <v>36.679769006030739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523.06610036809786</v>
      </c>
      <c r="F147">
        <v>38.394891800654712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522.36504338774876</v>
      </c>
      <c r="F148">
        <v>39.66953271720238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525.06524949710115</v>
      </c>
      <c r="F149">
        <v>39.265814607785792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524.29697422786523</v>
      </c>
      <c r="F150">
        <v>35.193889131801193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526.45156567689276</v>
      </c>
      <c r="F151">
        <v>37.183653279079671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523.94584337096899</v>
      </c>
      <c r="F152">
        <v>37.578035467797584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523.38721407920423</v>
      </c>
      <c r="F153">
        <v>36.702880927446365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524.21365044852098</v>
      </c>
      <c r="F154">
        <v>37.107910988322082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527.99850111173612</v>
      </c>
      <c r="F155">
        <v>36.746581876585317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524.96092511904124</v>
      </c>
      <c r="F156">
        <v>38.412275788079192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522.42474022815895</v>
      </c>
      <c r="F157">
        <v>35.942773939735609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522.50617241383134</v>
      </c>
      <c r="F158">
        <v>36.506292976882264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523.83103271300399</v>
      </c>
      <c r="F159">
        <v>38.260420693580016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521.76741643085427</v>
      </c>
      <c r="F160">
        <v>39.884040633546796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520.97989346156226</v>
      </c>
      <c r="F161">
        <v>39.829245529061559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522.54877020022502</v>
      </c>
      <c r="F162">
        <v>38.580959769281108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520.14983205002397</v>
      </c>
      <c r="F163">
        <v>36.918427607626946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522.35641011277835</v>
      </c>
      <c r="F164">
        <v>35.643903609148069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524.65903313861668</v>
      </c>
      <c r="F165">
        <v>39.829802683924363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522.88245746908319</v>
      </c>
      <c r="F166">
        <v>37.456347189316496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523.01058844510771</v>
      </c>
      <c r="F167">
        <v>42.197316525834772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522.72993690842736</v>
      </c>
      <c r="F168">
        <v>37.65111129868837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517.83651909426783</v>
      </c>
      <c r="F169">
        <v>39.627840589556129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525.73209776268095</v>
      </c>
      <c r="F170">
        <v>43.361256602718115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523.6461272769875</v>
      </c>
      <c r="F171">
        <v>37.311306901897218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521.55464997171157</v>
      </c>
      <c r="F172">
        <v>37.909911058844685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523.50007388650488</v>
      </c>
      <c r="F173">
        <v>36.005265554345748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524.30594496455046</v>
      </c>
      <c r="F174">
        <v>35.986783872828816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519.47901648494496</v>
      </c>
      <c r="F175">
        <v>34.197800336460624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522.17475505332493</v>
      </c>
      <c r="F176">
        <v>36.733701929380636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519.31181622931285</v>
      </c>
      <c r="F177">
        <v>37.103281191503442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522.21812675650835</v>
      </c>
      <c r="F178">
        <v>33.613887001263812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522.43110385895056</v>
      </c>
      <c r="F179">
        <v>38.346311860868497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522.93565410377255</v>
      </c>
      <c r="F180">
        <v>40.531227983629798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520.21657066204807</v>
      </c>
      <c r="F181">
        <v>38.502623328837871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523.8564569140035</v>
      </c>
      <c r="F182">
        <v>36.2242643616188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525.70009468101978</v>
      </c>
      <c r="F183">
        <v>34.780610886981705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522.26538645597486</v>
      </c>
      <c r="F184">
        <v>41.585620539728183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523.31473692130294</v>
      </c>
      <c r="F185">
        <v>35.61639330786273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520.70565340011331</v>
      </c>
      <c r="F186">
        <v>37.74860475733832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521.413685278196</v>
      </c>
      <c r="F187">
        <v>39.428223153789602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 s="14">
        <v>521.66335662633458</v>
      </c>
      <c r="F188" s="14">
        <v>36.788676583152267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519.6038692317137</v>
      </c>
      <c r="F189">
        <v>37.179453045289605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522.47536498208126</v>
      </c>
      <c r="F190">
        <v>38.912529309305555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522.58611055917345</v>
      </c>
      <c r="F191">
        <v>39.514015476447284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519.20488540172448</v>
      </c>
      <c r="F192">
        <v>38.410664876675419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522.47112582625562</v>
      </c>
      <c r="F193">
        <v>36.160978471508294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520.55265042493011</v>
      </c>
      <c r="F194">
        <v>38.926970373150702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520.97434950845854</v>
      </c>
      <c r="F195">
        <v>42.135222683160499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522.22383890520416</v>
      </c>
      <c r="F196">
        <v>39.499950888085536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522.26817419865097</v>
      </c>
      <c r="F197">
        <v>39.230106236215022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520.41585784357051</v>
      </c>
      <c r="F198">
        <v>37.672144883307126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520.39557784709632</v>
      </c>
      <c r="F199">
        <v>37.273830308702372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522.9725016859835</v>
      </c>
      <c r="F200">
        <v>40.57910926138279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518.00527875778641</v>
      </c>
      <c r="F201">
        <v>43.851217201868145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521.92028545489893</v>
      </c>
      <c r="F202">
        <v>37.455625606481412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520.5894088697172</v>
      </c>
      <c r="F203">
        <v>42.343124436103757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519.90094887880718</v>
      </c>
      <c r="F204">
        <v>39.080311188484039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519.95654334860626</v>
      </c>
      <c r="F205">
        <v>40.980438811190929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517.84315289754886</v>
      </c>
      <c r="F206">
        <v>39.098899805357966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521.00084169816171</v>
      </c>
      <c r="F207">
        <v>35.669878262774311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523.27661059875618</v>
      </c>
      <c r="F208">
        <v>37.951814442289759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519.1019941119315</v>
      </c>
      <c r="F209">
        <v>41.672692791357818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519.79213011874265</v>
      </c>
      <c r="F210">
        <v>40.257779805410571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519.04213303766642</v>
      </c>
      <c r="F211">
        <v>40.233589083071443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521.2438653522762</v>
      </c>
      <c r="F212">
        <v>39.402654572025611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519.99069557974747</v>
      </c>
      <c r="F213">
        <v>36.781724701447374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518.98677147448143</v>
      </c>
      <c r="F214">
        <v>38.783904800033028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520.57703395003273</v>
      </c>
      <c r="F215">
        <v>37.040182037063772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524.98264055185996</v>
      </c>
      <c r="F216">
        <v>41.007438467643283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519.76152644961701</v>
      </c>
      <c r="F217">
        <v>35.919388340784103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519.25847661918226</v>
      </c>
      <c r="F218">
        <v>39.893904010214833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520.24181025291227</v>
      </c>
      <c r="F219">
        <v>37.531649267574821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524.36354533128838</v>
      </c>
      <c r="F220">
        <v>36.176039156038556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520.22345527950222</v>
      </c>
      <c r="F221">
        <v>40.044049970523119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520.22203215919649</v>
      </c>
      <c r="F222">
        <v>38.773851084829055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522.33047289395211</v>
      </c>
      <c r="F223">
        <v>39.558560361477248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522.23041122399275</v>
      </c>
      <c r="F224">
        <v>39.385812210782802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524.34735490686467</v>
      </c>
      <c r="F225">
        <v>38.089167352215462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520.0039799225159</v>
      </c>
      <c r="F226">
        <v>42.557678052500663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516.17740556405931</v>
      </c>
      <c r="F227">
        <v>43.210591674002835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517.02581127812323</v>
      </c>
      <c r="F228">
        <v>40.506788506273182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517.08807566437349</v>
      </c>
      <c r="F229">
        <v>37.735710438504327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524.34508297088473</v>
      </c>
      <c r="F230">
        <v>39.676773257945989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517.79658468973264</v>
      </c>
      <c r="F231">
        <v>35.821449118182933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524.38317474849282</v>
      </c>
      <c r="F232">
        <v>39.981894920128397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522.4883347291792</v>
      </c>
      <c r="F233">
        <v>40.722321216549886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521.52001062856675</v>
      </c>
      <c r="F234">
        <v>41.844101454272916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520.26654810801972</v>
      </c>
      <c r="F235">
        <v>40.926436743997677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521.01786380406941</v>
      </c>
      <c r="F236">
        <v>39.450200950834407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519.88482972527436</v>
      </c>
      <c r="F237">
        <v>41.3207428742773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523.54568626803086</v>
      </c>
      <c r="F238">
        <v>37.639356372696341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521.2428673231276</v>
      </c>
      <c r="F239">
        <v>40.935717192134952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518.51675979731203</v>
      </c>
      <c r="F240">
        <v>41.562210976391491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521.16336622125004</v>
      </c>
      <c r="F241">
        <v>37.288232133374798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519.70471947766328</v>
      </c>
      <c r="F242">
        <v>39.46815274371734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521.41621541785685</v>
      </c>
      <c r="F243">
        <v>37.995963111145265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518.70849203065177</v>
      </c>
      <c r="F244">
        <v>42.502933645586495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523.68784639607452</v>
      </c>
      <c r="F245">
        <v>40.960349842680898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521.1455090839994</v>
      </c>
      <c r="F246">
        <v>40.190562709291015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518.76380940184026</v>
      </c>
      <c r="F247">
        <v>39.551106693914065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518.97307200881949</v>
      </c>
      <c r="F248">
        <v>37.563342582756512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520.23322780911349</v>
      </c>
      <c r="F249">
        <v>39.584806114897958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517.17469611028957</v>
      </c>
      <c r="F250">
        <v>40.732808208243057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519.65053876971751</v>
      </c>
      <c r="F251">
        <v>38.027323137726427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518.99841319387986</v>
      </c>
      <c r="F252">
        <v>41.168082186377006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517.63903403193115</v>
      </c>
      <c r="F253">
        <v>38.403634612233411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521.2699990737367</v>
      </c>
      <c r="F254">
        <v>41.050700994210054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517.54250721749531</v>
      </c>
      <c r="F255">
        <v>43.471016281971451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522.15271714227003</v>
      </c>
      <c r="F256">
        <v>37.332223013641915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517.35469825482051</v>
      </c>
      <c r="F257">
        <v>41.958283829086767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521.86289343637213</v>
      </c>
      <c r="F258">
        <v>37.836871177524856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521.95363356873929</v>
      </c>
      <c r="F259">
        <v>41.652045224598133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519.06353689441266</v>
      </c>
      <c r="F260">
        <v>42.148085112426173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521.1770030286217</v>
      </c>
      <c r="F261">
        <v>39.68334112223495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521.85043522624255</v>
      </c>
      <c r="F262">
        <v>40.823039413202039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519.28942580272758</v>
      </c>
      <c r="F263">
        <v>41.554980710459162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tabSelected="1" workbookViewId="0">
      <selection activeCell="Q12" sqref="Q12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N2">
        <v>10</v>
      </c>
      <c r="O2">
        <f>'ES, Equity factor movement'!L3</f>
        <v>-995.82468895550744</v>
      </c>
      <c r="P2">
        <f>ABS(O2)</f>
        <v>995.82468895550744</v>
      </c>
      <c r="Q2" s="10">
        <f>P2*P2</f>
        <v>991666.81113333313</v>
      </c>
    </row>
    <row r="3" spans="1:17" ht="20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P3" s="11" t="s">
        <v>64</v>
      </c>
      <c r="Q3" s="12">
        <f>SQRT(SUM(Q2:Q2))</f>
        <v>995.82468895550744</v>
      </c>
    </row>
    <row r="4" spans="1:17">
      <c r="A4" t="s">
        <v>40</v>
      </c>
      <c r="B4">
        <v>100</v>
      </c>
      <c r="C4">
        <v>3</v>
      </c>
      <c r="D4">
        <v>100</v>
      </c>
      <c r="F4">
        <f t="shared" si="0"/>
        <v>10000</v>
      </c>
    </row>
    <row r="5" spans="1:17">
      <c r="A5" t="s">
        <v>43</v>
      </c>
      <c r="B5">
        <v>100</v>
      </c>
      <c r="E5">
        <v>500</v>
      </c>
      <c r="F5">
        <f>B5*E5</f>
        <v>50000</v>
      </c>
    </row>
    <row r="6" spans="1:17">
      <c r="A6" t="s">
        <v>44</v>
      </c>
      <c r="B6">
        <v>100</v>
      </c>
      <c r="E6">
        <v>36</v>
      </c>
      <c r="F6">
        <f t="shared" ref="F6:F7" si="1">B6*E6</f>
        <v>3600</v>
      </c>
    </row>
    <row r="7" spans="1:17">
      <c r="A7" t="s">
        <v>25</v>
      </c>
      <c r="B7">
        <v>100</v>
      </c>
      <c r="E7">
        <v>20</v>
      </c>
      <c r="F7">
        <f t="shared" si="1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G14" sqref="G14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(3/(1+('CurrentPor-Equ Factor Movements'!C3)/100)+103/POWER(1+('CurrentPor-Equ Factor Movements'!D3)/100,2))*100</f>
        <v>9707.5857774288397</v>
      </c>
      <c r="C3">
        <f>(3/(1+('CurrentPor-Equ Factor Movements'!C3+'CurrentPor-Equ Factor Movements'!G3)/100)+103/POWER(1+('CurrentPor-Equ Factor Movements'!D3+'CurrentPor-Equ Factor Movements'!G3)/100,2))*100</f>
        <v>9614.9673582483465</v>
      </c>
      <c r="D3">
        <f>(3/(1+('CurrentPor-Equ Factor Movements'!C3+'CurrentPor-Equ Factor Movements'!H3)/100)+103/POWER(1+('CurrentPor-Equ Factor Movements'!D3+'CurrentPor-Equ Factor Movements'!H3)/100,2))*100</f>
        <v>9601.2395558122898</v>
      </c>
      <c r="E3">
        <f>(3/(1+('CurrentPor-Equ Factor Movements'!C3+'CurrentPor-Equ Factor Movements'!I3)/100)+103/POWER(1+('CurrentPor-Equ Factor Movements'!D3+'CurrentPor-Equ Factor Movements'!I3)/100,2))*100</f>
        <v>9581.4547115644182</v>
      </c>
      <c r="F3">
        <f>Portfolio!B$5*'CurrentPor-Equ Factor Movements'!E3</f>
        <v>52143.895533915893</v>
      </c>
      <c r="G3">
        <f>Portfolio!B$6*'CurrentPor-Equ Factor Movements'!F3</f>
        <v>3696.2945087936532</v>
      </c>
      <c r="H3">
        <f>Portfolio!B$7*'CurrentPor-Equ Factor Movements'!J3</f>
        <v>2148.0998964419859</v>
      </c>
      <c r="I3">
        <f>SUM(B3:H3)</f>
        <v>96493.537342205425</v>
      </c>
      <c r="K3" s="8">
        <f>_xlfn.PERCENTILE.INC(J13:J263, 0.025)</f>
        <v>-829.28544693869117</v>
      </c>
      <c r="L3">
        <f>AVERAGEIF(J13:J263, "&lt;="&amp;K3,J13:J263)</f>
        <v>-995.82468895550744</v>
      </c>
    </row>
    <row r="4" spans="1:12">
      <c r="A4" s="1">
        <v>45475</v>
      </c>
      <c r="B4">
        <f>(3/(1+('CurrentPor-Equ Factor Movements'!C4)/100)+103/POWER(1+('CurrentPor-Equ Factor Movements'!D4)/100,2))*100</f>
        <v>9707.5857774288397</v>
      </c>
      <c r="C4">
        <f>(3/(1+('CurrentPor-Equ Factor Movements'!C4+'CurrentPor-Equ Factor Movements'!G4)/100)+103/POWER(1+('CurrentPor-Equ Factor Movements'!D4+'CurrentPor-Equ Factor Movements'!G4)/100,2))*100</f>
        <v>9614.9673582483465</v>
      </c>
      <c r="D4">
        <f>(3/(1+('CurrentPor-Equ Factor Movements'!C4+'CurrentPor-Equ Factor Movements'!H4)/100)+103/POWER(1+('CurrentPor-Equ Factor Movements'!D4+'CurrentPor-Equ Factor Movements'!H4)/100,2))*100</f>
        <v>9601.2395558122898</v>
      </c>
      <c r="E4">
        <f>(3/(1+('CurrentPor-Equ Factor Movements'!C4+'CurrentPor-Equ Factor Movements'!I4)/100)+103/POWER(1+('CurrentPor-Equ Factor Movements'!D4+'CurrentPor-Equ Factor Movements'!I4)/100,2))*100</f>
        <v>9581.4547115644182</v>
      </c>
      <c r="F4">
        <f>Portfolio!B$5*'CurrentPor-Equ Factor Movements'!E4</f>
        <v>52287.988792292643</v>
      </c>
      <c r="G4">
        <f>Portfolio!B$6*'CurrentPor-Equ Factor Movements'!F4</f>
        <v>3678.062237128755</v>
      </c>
      <c r="H4">
        <f>Portfolio!B$7*'CurrentPor-Equ Factor Movements'!J4</f>
        <v>2148.0998964419859</v>
      </c>
      <c r="I4">
        <f t="shared" ref="I4:I67" si="0">SUM(B4:H4)</f>
        <v>96619.39832891729</v>
      </c>
    </row>
    <row r="5" spans="1:12">
      <c r="A5" s="1">
        <v>45476</v>
      </c>
      <c r="B5">
        <f>(3/(1+('CurrentPor-Equ Factor Movements'!C5)/100)+103/POWER(1+('CurrentPor-Equ Factor Movements'!D5)/100,2))*100</f>
        <v>9707.5857774288397</v>
      </c>
      <c r="C5">
        <f>(3/(1+('CurrentPor-Equ Factor Movements'!C5+'CurrentPor-Equ Factor Movements'!G5)/100)+103/POWER(1+('CurrentPor-Equ Factor Movements'!D5+'CurrentPor-Equ Factor Movements'!G5)/100,2))*100</f>
        <v>9614.9673582483465</v>
      </c>
      <c r="D5">
        <f>(3/(1+('CurrentPor-Equ Factor Movements'!C5+'CurrentPor-Equ Factor Movements'!H5)/100)+103/POWER(1+('CurrentPor-Equ Factor Movements'!D5+'CurrentPor-Equ Factor Movements'!H5)/100,2))*100</f>
        <v>9601.2395558122898</v>
      </c>
      <c r="E5">
        <f>(3/(1+('CurrentPor-Equ Factor Movements'!C5+'CurrentPor-Equ Factor Movements'!I5)/100)+103/POWER(1+('CurrentPor-Equ Factor Movements'!D5+'CurrentPor-Equ Factor Movements'!I5)/100,2))*100</f>
        <v>9581.4547115644182</v>
      </c>
      <c r="F5">
        <f>Portfolio!B$5*'CurrentPor-Equ Factor Movements'!E5</f>
        <v>52263.871139715389</v>
      </c>
      <c r="G5">
        <f>Portfolio!B$6*'CurrentPor-Equ Factor Movements'!F5</f>
        <v>3364.9895846541795</v>
      </c>
      <c r="H5">
        <f>Portfolio!B$7*'CurrentPor-Equ Factor Movements'!J5</f>
        <v>2148.0998964419859</v>
      </c>
      <c r="I5">
        <f t="shared" si="0"/>
        <v>96282.208023865445</v>
      </c>
    </row>
    <row r="6" spans="1:12">
      <c r="A6" s="1">
        <v>45477</v>
      </c>
      <c r="B6">
        <f>(3/(1+('CurrentPor-Equ Factor Movements'!C6)/100)+103/POWER(1+('CurrentPor-Equ Factor Movements'!D6)/100,2))*100</f>
        <v>9707.5857774288397</v>
      </c>
      <c r="C6">
        <f>(3/(1+('CurrentPor-Equ Factor Movements'!C6+'CurrentPor-Equ Factor Movements'!G6)/100)+103/POWER(1+('CurrentPor-Equ Factor Movements'!D6+'CurrentPor-Equ Factor Movements'!G6)/100,2))*100</f>
        <v>9614.9673582483465</v>
      </c>
      <c r="D6">
        <f>(3/(1+('CurrentPor-Equ Factor Movements'!C6+'CurrentPor-Equ Factor Movements'!H6)/100)+103/POWER(1+('CurrentPor-Equ Factor Movements'!D6+'CurrentPor-Equ Factor Movements'!H6)/100,2))*100</f>
        <v>9601.2395558122898</v>
      </c>
      <c r="E6">
        <f>(3/(1+('CurrentPor-Equ Factor Movements'!C6+'CurrentPor-Equ Factor Movements'!I6)/100)+103/POWER(1+('CurrentPor-Equ Factor Movements'!D6+'CurrentPor-Equ Factor Movements'!I6)/100,2))*100</f>
        <v>9581.4547115644182</v>
      </c>
      <c r="F6">
        <f>Portfolio!B$5*'CurrentPor-Equ Factor Movements'!E6</f>
        <v>52330.347316179483</v>
      </c>
      <c r="G6">
        <f>Portfolio!B$6*'CurrentPor-Equ Factor Movements'!F6</f>
        <v>3708.1655815154436</v>
      </c>
      <c r="H6">
        <f>Portfolio!B$7*'CurrentPor-Equ Factor Movements'!J6</f>
        <v>2148.0998964419859</v>
      </c>
      <c r="I6">
        <f t="shared" si="0"/>
        <v>96691.860197190792</v>
      </c>
    </row>
    <row r="7" spans="1:12">
      <c r="A7" s="1">
        <v>45478</v>
      </c>
      <c r="B7">
        <f>(3/(1+('CurrentPor-Equ Factor Movements'!C7)/100)+103/POWER(1+('CurrentPor-Equ Factor Movements'!D7)/100,2))*100</f>
        <v>9707.5857774288397</v>
      </c>
      <c r="C7">
        <f>(3/(1+('CurrentPor-Equ Factor Movements'!C7+'CurrentPor-Equ Factor Movements'!G7)/100)+103/POWER(1+('CurrentPor-Equ Factor Movements'!D7+'CurrentPor-Equ Factor Movements'!G7)/100,2))*100</f>
        <v>9614.9673582483465</v>
      </c>
      <c r="D7">
        <f>(3/(1+('CurrentPor-Equ Factor Movements'!C7+'CurrentPor-Equ Factor Movements'!H7)/100)+103/POWER(1+('CurrentPor-Equ Factor Movements'!D7+'CurrentPor-Equ Factor Movements'!H7)/100,2))*100</f>
        <v>9601.2395558122898</v>
      </c>
      <c r="E7">
        <f>(3/(1+('CurrentPor-Equ Factor Movements'!C7+'CurrentPor-Equ Factor Movements'!I7)/100)+103/POWER(1+('CurrentPor-Equ Factor Movements'!D7+'CurrentPor-Equ Factor Movements'!I7)/100,2))*100</f>
        <v>9581.4547115644182</v>
      </c>
      <c r="F7">
        <f>Portfolio!B$5*'CurrentPor-Equ Factor Movements'!E7</f>
        <v>52065.487777204427</v>
      </c>
      <c r="G7">
        <f>Portfolio!B$6*'CurrentPor-Equ Factor Movements'!F7</f>
        <v>3885.4787651800516</v>
      </c>
      <c r="H7">
        <f>Portfolio!B$7*'CurrentPor-Equ Factor Movements'!J7</f>
        <v>2148.0998964419859</v>
      </c>
      <c r="I7">
        <f t="shared" si="0"/>
        <v>96604.313841880357</v>
      </c>
    </row>
    <row r="8" spans="1:12">
      <c r="A8" s="1">
        <v>45481</v>
      </c>
      <c r="B8">
        <f>(3/(1+('CurrentPor-Equ Factor Movements'!C8)/100)+103/POWER(1+('CurrentPor-Equ Factor Movements'!D8)/100,2))*100</f>
        <v>9707.5857774288397</v>
      </c>
      <c r="C8">
        <f>(3/(1+('CurrentPor-Equ Factor Movements'!C8+'CurrentPor-Equ Factor Movements'!G8)/100)+103/POWER(1+('CurrentPor-Equ Factor Movements'!D8+'CurrentPor-Equ Factor Movements'!G8)/100,2))*100</f>
        <v>9614.9673582483465</v>
      </c>
      <c r="D8">
        <f>(3/(1+('CurrentPor-Equ Factor Movements'!C8+'CurrentPor-Equ Factor Movements'!H8)/100)+103/POWER(1+('CurrentPor-Equ Factor Movements'!D8+'CurrentPor-Equ Factor Movements'!H8)/100,2))*100</f>
        <v>9601.2395558122898</v>
      </c>
      <c r="E8">
        <f>(3/(1+('CurrentPor-Equ Factor Movements'!C8+'CurrentPor-Equ Factor Movements'!I8)/100)+103/POWER(1+('CurrentPor-Equ Factor Movements'!D8+'CurrentPor-Equ Factor Movements'!I8)/100,2))*100</f>
        <v>9581.4547115644182</v>
      </c>
      <c r="F8">
        <f>Portfolio!B$5*'CurrentPor-Equ Factor Movements'!E8</f>
        <v>52418.642546096249</v>
      </c>
      <c r="G8">
        <f>Portfolio!B$6*'CurrentPor-Equ Factor Movements'!F8</f>
        <v>3991.5107945774148</v>
      </c>
      <c r="H8">
        <f>Portfolio!B$7*'CurrentPor-Equ Factor Movements'!J8</f>
        <v>2148.0998964419859</v>
      </c>
      <c r="I8">
        <f t="shared" si="0"/>
        <v>97063.500640169557</v>
      </c>
    </row>
    <row r="9" spans="1:12">
      <c r="A9" s="1">
        <v>45482</v>
      </c>
      <c r="B9">
        <f>(3/(1+('CurrentPor-Equ Factor Movements'!C9)/100)+103/POWER(1+('CurrentPor-Equ Factor Movements'!D9)/100,2))*100</f>
        <v>9707.5857774288397</v>
      </c>
      <c r="C9">
        <f>(3/(1+('CurrentPor-Equ Factor Movements'!C9+'CurrentPor-Equ Factor Movements'!G9)/100)+103/POWER(1+('CurrentPor-Equ Factor Movements'!D9+'CurrentPor-Equ Factor Movements'!G9)/100,2))*100</f>
        <v>9614.9673582483465</v>
      </c>
      <c r="D9">
        <f>(3/(1+('CurrentPor-Equ Factor Movements'!C9+'CurrentPor-Equ Factor Movements'!H9)/100)+103/POWER(1+('CurrentPor-Equ Factor Movements'!D9+'CurrentPor-Equ Factor Movements'!H9)/100,2))*100</f>
        <v>9601.2395558122898</v>
      </c>
      <c r="E9">
        <f>(3/(1+('CurrentPor-Equ Factor Movements'!C9+'CurrentPor-Equ Factor Movements'!I9)/100)+103/POWER(1+('CurrentPor-Equ Factor Movements'!D9+'CurrentPor-Equ Factor Movements'!I9)/100,2))*100</f>
        <v>9581.4547115644182</v>
      </c>
      <c r="F9">
        <f>Portfolio!B$5*'CurrentPor-Equ Factor Movements'!E9</f>
        <v>52676.260219546159</v>
      </c>
      <c r="G9">
        <f>Portfolio!B$6*'CurrentPor-Equ Factor Movements'!F9</f>
        <v>3882.6036968131875</v>
      </c>
      <c r="H9">
        <f>Portfolio!B$7*'CurrentPor-Equ Factor Movements'!J9</f>
        <v>2148.0998964419859</v>
      </c>
      <c r="I9">
        <f t="shared" si="0"/>
        <v>97212.211215855219</v>
      </c>
    </row>
    <row r="10" spans="1:12">
      <c r="A10" s="1">
        <v>45483</v>
      </c>
      <c r="B10">
        <f>(3/(1+('CurrentPor-Equ Factor Movements'!C10)/100)+103/POWER(1+('CurrentPor-Equ Factor Movements'!D10)/100,2))*100</f>
        <v>9707.5857774288397</v>
      </c>
      <c r="C10">
        <f>(3/(1+('CurrentPor-Equ Factor Movements'!C10+'CurrentPor-Equ Factor Movements'!G10)/100)+103/POWER(1+('CurrentPor-Equ Factor Movements'!D10+'CurrentPor-Equ Factor Movements'!G10)/100,2))*100</f>
        <v>9614.9673582483465</v>
      </c>
      <c r="D10">
        <f>(3/(1+('CurrentPor-Equ Factor Movements'!C10+'CurrentPor-Equ Factor Movements'!H10)/100)+103/POWER(1+('CurrentPor-Equ Factor Movements'!D10+'CurrentPor-Equ Factor Movements'!H10)/100,2))*100</f>
        <v>9601.2395558122898</v>
      </c>
      <c r="E10">
        <f>(3/(1+('CurrentPor-Equ Factor Movements'!C10+'CurrentPor-Equ Factor Movements'!I10)/100)+103/POWER(1+('CurrentPor-Equ Factor Movements'!D10+'CurrentPor-Equ Factor Movements'!I10)/100,2))*100</f>
        <v>9581.4547115644182</v>
      </c>
      <c r="F10">
        <f>Portfolio!B$5*'CurrentPor-Equ Factor Movements'!E10</f>
        <v>52648.410786002227</v>
      </c>
      <c r="G10">
        <f>Portfolio!B$6*'CurrentPor-Equ Factor Movements'!F10</f>
        <v>4055.942163891053</v>
      </c>
      <c r="H10">
        <f>Portfolio!B$7*'CurrentPor-Equ Factor Movements'!J10</f>
        <v>2148.0998964419859</v>
      </c>
      <c r="I10">
        <f t="shared" si="0"/>
        <v>97357.700249389163</v>
      </c>
    </row>
    <row r="11" spans="1:12">
      <c r="A11" s="1">
        <v>45484</v>
      </c>
      <c r="B11">
        <f>(3/(1+('CurrentPor-Equ Factor Movements'!C11)/100)+103/POWER(1+('CurrentPor-Equ Factor Movements'!D11)/100,2))*100</f>
        <v>9707.5857774288397</v>
      </c>
      <c r="C11">
        <f>(3/(1+('CurrentPor-Equ Factor Movements'!C11+'CurrentPor-Equ Factor Movements'!G11)/100)+103/POWER(1+('CurrentPor-Equ Factor Movements'!D11+'CurrentPor-Equ Factor Movements'!G11)/100,2))*100</f>
        <v>9614.9673582483465</v>
      </c>
      <c r="D11">
        <f>(3/(1+('CurrentPor-Equ Factor Movements'!C11+'CurrentPor-Equ Factor Movements'!H11)/100)+103/POWER(1+('CurrentPor-Equ Factor Movements'!D11+'CurrentPor-Equ Factor Movements'!H11)/100,2))*100</f>
        <v>9601.2395558122898</v>
      </c>
      <c r="E11">
        <f>(3/(1+('CurrentPor-Equ Factor Movements'!C11+'CurrentPor-Equ Factor Movements'!I11)/100)+103/POWER(1+('CurrentPor-Equ Factor Movements'!D11+'CurrentPor-Equ Factor Movements'!I11)/100,2))*100</f>
        <v>9581.4547115644182</v>
      </c>
      <c r="F11">
        <f>Portfolio!B$5*'CurrentPor-Equ Factor Movements'!E11</f>
        <v>52352.380879666438</v>
      </c>
      <c r="G11">
        <f>Portfolio!B$6*'CurrentPor-Equ Factor Movements'!F11</f>
        <v>3670.3912590905625</v>
      </c>
      <c r="H11">
        <f>Portfolio!B$7*'CurrentPor-Equ Factor Movements'!J11</f>
        <v>2148.0998964419859</v>
      </c>
      <c r="I11">
        <f t="shared" si="0"/>
        <v>96676.119438252892</v>
      </c>
    </row>
    <row r="12" spans="1:12">
      <c r="A12" s="1">
        <v>45485</v>
      </c>
      <c r="B12">
        <f>(3/(1+('CurrentPor-Equ Factor Movements'!C12)/100)+103/POWER(1+('CurrentPor-Equ Factor Movements'!D12)/100,2))*100</f>
        <v>9707.5857774288397</v>
      </c>
      <c r="C12">
        <f>(3/(1+('CurrentPor-Equ Factor Movements'!C12+'CurrentPor-Equ Factor Movements'!G12)/100)+103/POWER(1+('CurrentPor-Equ Factor Movements'!D12+'CurrentPor-Equ Factor Movements'!G12)/100,2))*100</f>
        <v>9614.9673582483465</v>
      </c>
      <c r="D12">
        <f>(3/(1+('CurrentPor-Equ Factor Movements'!C12+'CurrentPor-Equ Factor Movements'!H12)/100)+103/POWER(1+('CurrentPor-Equ Factor Movements'!D12+'CurrentPor-Equ Factor Movements'!H12)/100,2))*100</f>
        <v>9601.2395558122898</v>
      </c>
      <c r="E12">
        <f>(3/(1+('CurrentPor-Equ Factor Movements'!C12+'CurrentPor-Equ Factor Movements'!I12)/100)+103/POWER(1+('CurrentPor-Equ Factor Movements'!D12+'CurrentPor-Equ Factor Movements'!I12)/100,2))*100</f>
        <v>9581.4547115644182</v>
      </c>
      <c r="F12">
        <f>Portfolio!B$5*'CurrentPor-Equ Factor Movements'!E12</f>
        <v>52059.332699673621</v>
      </c>
      <c r="G12">
        <f>Portfolio!B$6*'CurrentPor-Equ Factor Movements'!F12</f>
        <v>3607.2424972989943</v>
      </c>
      <c r="H12">
        <f>Portfolio!B$7*'CurrentPor-Equ Factor Movements'!J12</f>
        <v>2148.0998964419859</v>
      </c>
      <c r="I12">
        <f t="shared" si="0"/>
        <v>96319.922496468498</v>
      </c>
    </row>
    <row r="13" spans="1:12">
      <c r="A13" s="1">
        <v>45488</v>
      </c>
      <c r="B13">
        <f>(3/(1+('CurrentPor-Equ Factor Movements'!C13)/100)+103/POWER(1+('CurrentPor-Equ Factor Movements'!D13)/100,2))*100</f>
        <v>9707.5857774288397</v>
      </c>
      <c r="C13">
        <f>(3/(1+('CurrentPor-Equ Factor Movements'!C13+'CurrentPor-Equ Factor Movements'!G13)/100)+103/POWER(1+('CurrentPor-Equ Factor Movements'!D13+'CurrentPor-Equ Factor Movements'!G13)/100,2))*100</f>
        <v>9614.9673582483465</v>
      </c>
      <c r="D13">
        <f>(3/(1+('CurrentPor-Equ Factor Movements'!C13+'CurrentPor-Equ Factor Movements'!H13)/100)+103/POWER(1+('CurrentPor-Equ Factor Movements'!D13+'CurrentPor-Equ Factor Movements'!H13)/100,2))*100</f>
        <v>9601.2395558122898</v>
      </c>
      <c r="E13">
        <f>(3/(1+('CurrentPor-Equ Factor Movements'!C13+'CurrentPor-Equ Factor Movements'!I13)/100)+103/POWER(1+('CurrentPor-Equ Factor Movements'!D13+'CurrentPor-Equ Factor Movements'!I13)/100,2))*100</f>
        <v>9581.4547115644182</v>
      </c>
      <c r="F13">
        <f>Portfolio!B$5*'CurrentPor-Equ Factor Movements'!E13</f>
        <v>52201.05444762281</v>
      </c>
      <c r="G13">
        <f>Portfolio!B$6*'CurrentPor-Equ Factor Movements'!F13</f>
        <v>3657.699852717129</v>
      </c>
      <c r="H13">
        <f>Portfolio!B$7*'CurrentPor-Equ Factor Movements'!J13</f>
        <v>2148.0998964419859</v>
      </c>
      <c r="I13">
        <f t="shared" si="0"/>
        <v>96512.10159983582</v>
      </c>
      <c r="J13">
        <f>I13-I3</f>
        <v>18.564257630394422</v>
      </c>
    </row>
    <row r="14" spans="1:12">
      <c r="A14" s="1">
        <v>45489</v>
      </c>
      <c r="B14">
        <f>(3/(1+('CurrentPor-Equ Factor Movements'!C14)/100)+103/POWER(1+('CurrentPor-Equ Factor Movements'!D14)/100,2))*100</f>
        <v>9707.5857774288397</v>
      </c>
      <c r="C14">
        <f>(3/(1+('CurrentPor-Equ Factor Movements'!C14+'CurrentPor-Equ Factor Movements'!G14)/100)+103/POWER(1+('CurrentPor-Equ Factor Movements'!D14+'CurrentPor-Equ Factor Movements'!G14)/100,2))*100</f>
        <v>9614.9673582483465</v>
      </c>
      <c r="D14">
        <f>(3/(1+('CurrentPor-Equ Factor Movements'!C14+'CurrentPor-Equ Factor Movements'!H14)/100)+103/POWER(1+('CurrentPor-Equ Factor Movements'!D14+'CurrentPor-Equ Factor Movements'!H14)/100,2))*100</f>
        <v>9601.2395558122898</v>
      </c>
      <c r="E14">
        <f>(3/(1+('CurrentPor-Equ Factor Movements'!C14+'CurrentPor-Equ Factor Movements'!I14)/100)+103/POWER(1+('CurrentPor-Equ Factor Movements'!D14+'CurrentPor-Equ Factor Movements'!I14)/100,2))*100</f>
        <v>9581.4547115644182</v>
      </c>
      <c r="F14">
        <f>Portfolio!B$5*'CurrentPor-Equ Factor Movements'!E14</f>
        <v>52455.069159368591</v>
      </c>
      <c r="G14">
        <f>Portfolio!B$6*'CurrentPor-Equ Factor Movements'!F14</f>
        <v>3962.6477070109927</v>
      </c>
      <c r="H14">
        <f>Portfolio!B$7*'CurrentPor-Equ Factor Movements'!J14</f>
        <v>2148.0998964419859</v>
      </c>
      <c r="I14">
        <f t="shared" si="0"/>
        <v>97071.064165875476</v>
      </c>
      <c r="J14">
        <f t="shared" ref="J14:J77" si="1">I14-I4</f>
        <v>451.66583695818554</v>
      </c>
    </row>
    <row r="15" spans="1:12">
      <c r="A15" s="1">
        <v>45490</v>
      </c>
      <c r="B15">
        <f>(3/(1+('CurrentPor-Equ Factor Movements'!C15)/100)+103/POWER(1+('CurrentPor-Equ Factor Movements'!D15)/100,2))*100</f>
        <v>9707.5857774288397</v>
      </c>
      <c r="C15">
        <f>(3/(1+('CurrentPor-Equ Factor Movements'!C15+'CurrentPor-Equ Factor Movements'!G15)/100)+103/POWER(1+('CurrentPor-Equ Factor Movements'!D15+'CurrentPor-Equ Factor Movements'!G15)/100,2))*100</f>
        <v>9614.9673582483465</v>
      </c>
      <c r="D15">
        <f>(3/(1+('CurrentPor-Equ Factor Movements'!C15+'CurrentPor-Equ Factor Movements'!H15)/100)+103/POWER(1+('CurrentPor-Equ Factor Movements'!D15+'CurrentPor-Equ Factor Movements'!H15)/100,2))*100</f>
        <v>9601.2395558122898</v>
      </c>
      <c r="E15">
        <f>(3/(1+('CurrentPor-Equ Factor Movements'!C15+'CurrentPor-Equ Factor Movements'!I15)/100)+103/POWER(1+('CurrentPor-Equ Factor Movements'!D15+'CurrentPor-Equ Factor Movements'!I15)/100,2))*100</f>
        <v>9581.4547115644182</v>
      </c>
      <c r="F15">
        <f>Portfolio!B$5*'CurrentPor-Equ Factor Movements'!E15</f>
        <v>52405.111251639413</v>
      </c>
      <c r="G15">
        <f>Portfolio!B$6*'CurrentPor-Equ Factor Movements'!F15</f>
        <v>3335.4784589892333</v>
      </c>
      <c r="H15">
        <f>Portfolio!B$7*'CurrentPor-Equ Factor Movements'!J15</f>
        <v>2148.0998964419859</v>
      </c>
      <c r="I15">
        <f t="shared" si="0"/>
        <v>96393.937010124529</v>
      </c>
      <c r="J15">
        <f t="shared" si="1"/>
        <v>111.72898625908419</v>
      </c>
    </row>
    <row r="16" spans="1:12">
      <c r="A16" s="1">
        <v>45491</v>
      </c>
      <c r="B16">
        <f>(3/(1+('CurrentPor-Equ Factor Movements'!C16)/100)+103/POWER(1+('CurrentPor-Equ Factor Movements'!D16)/100,2))*100</f>
        <v>9707.5857774288397</v>
      </c>
      <c r="C16">
        <f>(3/(1+('CurrentPor-Equ Factor Movements'!C16+'CurrentPor-Equ Factor Movements'!G16)/100)+103/POWER(1+('CurrentPor-Equ Factor Movements'!D16+'CurrentPor-Equ Factor Movements'!G16)/100,2))*100</f>
        <v>9614.9673582483465</v>
      </c>
      <c r="D16">
        <f>(3/(1+('CurrentPor-Equ Factor Movements'!C16+'CurrentPor-Equ Factor Movements'!H16)/100)+103/POWER(1+('CurrentPor-Equ Factor Movements'!D16+'CurrentPor-Equ Factor Movements'!H16)/100,2))*100</f>
        <v>9601.2395558122898</v>
      </c>
      <c r="E16">
        <f>(3/(1+('CurrentPor-Equ Factor Movements'!C16+'CurrentPor-Equ Factor Movements'!I16)/100)+103/POWER(1+('CurrentPor-Equ Factor Movements'!D16+'CurrentPor-Equ Factor Movements'!I16)/100,2))*100</f>
        <v>9581.4547115644182</v>
      </c>
      <c r="F16">
        <f>Portfolio!B$5*'CurrentPor-Equ Factor Movements'!E16</f>
        <v>52745.429331749438</v>
      </c>
      <c r="G16">
        <f>Portfolio!B$6*'CurrentPor-Equ Factor Movements'!F16</f>
        <v>3803.0585152773028</v>
      </c>
      <c r="H16">
        <f>Portfolio!B$7*'CurrentPor-Equ Factor Movements'!J16</f>
        <v>2148.0998964419859</v>
      </c>
      <c r="I16">
        <f t="shared" si="0"/>
        <v>97201.835146522615</v>
      </c>
      <c r="J16">
        <f t="shared" si="1"/>
        <v>509.97494933182315</v>
      </c>
    </row>
    <row r="17" spans="1:10">
      <c r="A17" s="1">
        <v>45492</v>
      </c>
      <c r="B17">
        <f>(3/(1+('CurrentPor-Equ Factor Movements'!C17)/100)+103/POWER(1+('CurrentPor-Equ Factor Movements'!D17)/100,2))*100</f>
        <v>9707.5857774288397</v>
      </c>
      <c r="C17">
        <f>(3/(1+('CurrentPor-Equ Factor Movements'!C17+'CurrentPor-Equ Factor Movements'!G17)/100)+103/POWER(1+('CurrentPor-Equ Factor Movements'!D17+'CurrentPor-Equ Factor Movements'!G17)/100,2))*100</f>
        <v>9614.9673582483465</v>
      </c>
      <c r="D17">
        <f>(3/(1+('CurrentPor-Equ Factor Movements'!C17+'CurrentPor-Equ Factor Movements'!H17)/100)+103/POWER(1+('CurrentPor-Equ Factor Movements'!D17+'CurrentPor-Equ Factor Movements'!H17)/100,2))*100</f>
        <v>9601.2395558122898</v>
      </c>
      <c r="E17">
        <f>(3/(1+('CurrentPor-Equ Factor Movements'!C17+'CurrentPor-Equ Factor Movements'!I17)/100)+103/POWER(1+('CurrentPor-Equ Factor Movements'!D17+'CurrentPor-Equ Factor Movements'!I17)/100,2))*100</f>
        <v>9581.4547115644182</v>
      </c>
      <c r="F17">
        <f>Portfolio!B$5*'CurrentPor-Equ Factor Movements'!E17</f>
        <v>52403.204367139144</v>
      </c>
      <c r="G17">
        <f>Portfolio!B$6*'CurrentPor-Equ Factor Movements'!F17</f>
        <v>3390.2360228715625</v>
      </c>
      <c r="H17">
        <f>Portfolio!B$7*'CurrentPor-Equ Factor Movements'!J17</f>
        <v>2148.0998964419859</v>
      </c>
      <c r="I17">
        <f t="shared" si="0"/>
        <v>96446.787689506586</v>
      </c>
      <c r="J17">
        <f t="shared" si="1"/>
        <v>-157.52615237377177</v>
      </c>
    </row>
    <row r="18" spans="1:10">
      <c r="A18" s="1">
        <v>45495</v>
      </c>
      <c r="B18">
        <f>(3/(1+('CurrentPor-Equ Factor Movements'!C18)/100)+103/POWER(1+('CurrentPor-Equ Factor Movements'!D18)/100,2))*100</f>
        <v>9707.5857774288397</v>
      </c>
      <c r="C18">
        <f>(3/(1+('CurrentPor-Equ Factor Movements'!C18+'CurrentPor-Equ Factor Movements'!G18)/100)+103/POWER(1+('CurrentPor-Equ Factor Movements'!D18+'CurrentPor-Equ Factor Movements'!G18)/100,2))*100</f>
        <v>9614.9673582483465</v>
      </c>
      <c r="D18">
        <f>(3/(1+('CurrentPor-Equ Factor Movements'!C18+'CurrentPor-Equ Factor Movements'!H18)/100)+103/POWER(1+('CurrentPor-Equ Factor Movements'!D18+'CurrentPor-Equ Factor Movements'!H18)/100,2))*100</f>
        <v>9601.2395558122898</v>
      </c>
      <c r="E18">
        <f>(3/(1+('CurrentPor-Equ Factor Movements'!C18+'CurrentPor-Equ Factor Movements'!I18)/100)+103/POWER(1+('CurrentPor-Equ Factor Movements'!D18+'CurrentPor-Equ Factor Movements'!I18)/100,2))*100</f>
        <v>9581.4547115644182</v>
      </c>
      <c r="F18">
        <f>Portfolio!B$5*'CurrentPor-Equ Factor Movements'!E18</f>
        <v>52207.785217576384</v>
      </c>
      <c r="G18">
        <f>Portfolio!B$6*'CurrentPor-Equ Factor Movements'!F18</f>
        <v>3584.9288630557653</v>
      </c>
      <c r="H18">
        <f>Portfolio!B$7*'CurrentPor-Equ Factor Movements'!J18</f>
        <v>2148.0998964419859</v>
      </c>
      <c r="I18">
        <f t="shared" si="0"/>
        <v>96446.061380128041</v>
      </c>
      <c r="J18">
        <f t="shared" si="1"/>
        <v>-617.43926004151581</v>
      </c>
    </row>
    <row r="19" spans="1:10">
      <c r="A19" s="1">
        <v>45496</v>
      </c>
      <c r="B19">
        <f>(3/(1+('CurrentPor-Equ Factor Movements'!C19)/100)+103/POWER(1+('CurrentPor-Equ Factor Movements'!D19)/100,2))*100</f>
        <v>9707.5857774288397</v>
      </c>
      <c r="C19">
        <f>(3/(1+('CurrentPor-Equ Factor Movements'!C19+'CurrentPor-Equ Factor Movements'!G19)/100)+103/POWER(1+('CurrentPor-Equ Factor Movements'!D19+'CurrentPor-Equ Factor Movements'!G19)/100,2))*100</f>
        <v>9614.9673582483465</v>
      </c>
      <c r="D19">
        <f>(3/(1+('CurrentPor-Equ Factor Movements'!C19+'CurrentPor-Equ Factor Movements'!H19)/100)+103/POWER(1+('CurrentPor-Equ Factor Movements'!D19+'CurrentPor-Equ Factor Movements'!H19)/100,2))*100</f>
        <v>9601.2395558122898</v>
      </c>
      <c r="E19">
        <f>(3/(1+('CurrentPor-Equ Factor Movements'!C19+'CurrentPor-Equ Factor Movements'!I19)/100)+103/POWER(1+('CurrentPor-Equ Factor Movements'!D19+'CurrentPor-Equ Factor Movements'!I19)/100,2))*100</f>
        <v>9581.4547115644182</v>
      </c>
      <c r="F19">
        <f>Portfolio!B$5*'CurrentPor-Equ Factor Movements'!E19</f>
        <v>52419.479469258957</v>
      </c>
      <c r="G19">
        <f>Portfolio!B$6*'CurrentPor-Equ Factor Movements'!F19</f>
        <v>3504.4106517496894</v>
      </c>
      <c r="H19">
        <f>Portfolio!B$7*'CurrentPor-Equ Factor Movements'!J19</f>
        <v>2148.0998964419859</v>
      </c>
      <c r="I19">
        <f t="shared" si="0"/>
        <v>96577.23742050452</v>
      </c>
      <c r="J19">
        <f t="shared" si="1"/>
        <v>-634.97379535069922</v>
      </c>
    </row>
    <row r="20" spans="1:10">
      <c r="A20" s="1">
        <v>45497</v>
      </c>
      <c r="B20">
        <f>(3/(1+('CurrentPor-Equ Factor Movements'!C20)/100)+103/POWER(1+('CurrentPor-Equ Factor Movements'!D20)/100,2))*100</f>
        <v>9707.5857774288397</v>
      </c>
      <c r="C20">
        <f>(3/(1+('CurrentPor-Equ Factor Movements'!C20+'CurrentPor-Equ Factor Movements'!G20)/100)+103/POWER(1+('CurrentPor-Equ Factor Movements'!D20+'CurrentPor-Equ Factor Movements'!G20)/100,2))*100</f>
        <v>9614.9673582483465</v>
      </c>
      <c r="D20">
        <f>(3/(1+('CurrentPor-Equ Factor Movements'!C20+'CurrentPor-Equ Factor Movements'!H20)/100)+103/POWER(1+('CurrentPor-Equ Factor Movements'!D20+'CurrentPor-Equ Factor Movements'!H20)/100,2))*100</f>
        <v>9601.2395558122898</v>
      </c>
      <c r="E20">
        <f>(3/(1+('CurrentPor-Equ Factor Movements'!C20+'CurrentPor-Equ Factor Movements'!I20)/100)+103/POWER(1+('CurrentPor-Equ Factor Movements'!D20+'CurrentPor-Equ Factor Movements'!I20)/100,2))*100</f>
        <v>9581.4547115644182</v>
      </c>
      <c r="F20">
        <f>Portfolio!B$5*'CurrentPor-Equ Factor Movements'!E20</f>
        <v>52396.24845218884</v>
      </c>
      <c r="G20">
        <f>Portfolio!B$6*'CurrentPor-Equ Factor Movements'!F20</f>
        <v>3835.9849141622599</v>
      </c>
      <c r="H20">
        <f>Portfolio!B$7*'CurrentPor-Equ Factor Movements'!J20</f>
        <v>2148.0998964419859</v>
      </c>
      <c r="I20">
        <f t="shared" si="0"/>
        <v>96885.580665846981</v>
      </c>
      <c r="J20">
        <f t="shared" si="1"/>
        <v>-472.11958354218223</v>
      </c>
    </row>
    <row r="21" spans="1:10">
      <c r="A21" s="1">
        <v>45498</v>
      </c>
      <c r="B21">
        <f>(3/(1+('CurrentPor-Equ Factor Movements'!C21)/100)+103/POWER(1+('CurrentPor-Equ Factor Movements'!D21)/100,2))*100</f>
        <v>9707.5857774288397</v>
      </c>
      <c r="C21">
        <f>(3/(1+('CurrentPor-Equ Factor Movements'!C21+'CurrentPor-Equ Factor Movements'!G21)/100)+103/POWER(1+('CurrentPor-Equ Factor Movements'!D21+'CurrentPor-Equ Factor Movements'!G21)/100,2))*100</f>
        <v>9614.9673582483465</v>
      </c>
      <c r="D21">
        <f>(3/(1+('CurrentPor-Equ Factor Movements'!C21+'CurrentPor-Equ Factor Movements'!H21)/100)+103/POWER(1+('CurrentPor-Equ Factor Movements'!D21+'CurrentPor-Equ Factor Movements'!H21)/100,2))*100</f>
        <v>9601.2395558122898</v>
      </c>
      <c r="E21">
        <f>(3/(1+('CurrentPor-Equ Factor Movements'!C21+'CurrentPor-Equ Factor Movements'!I21)/100)+103/POWER(1+('CurrentPor-Equ Factor Movements'!D21+'CurrentPor-Equ Factor Movements'!I21)/100,2))*100</f>
        <v>9581.4547115644182</v>
      </c>
      <c r="F21">
        <f>Portfolio!B$5*'CurrentPor-Equ Factor Movements'!E21</f>
        <v>52152.219962432457</v>
      </c>
      <c r="G21">
        <f>Portfolio!B$6*'CurrentPor-Equ Factor Movements'!F21</f>
        <v>3792.7617211505949</v>
      </c>
      <c r="H21">
        <f>Portfolio!B$7*'CurrentPor-Equ Factor Movements'!J21</f>
        <v>2148.0998964419859</v>
      </c>
      <c r="I21">
        <f t="shared" si="0"/>
        <v>96598.328983078929</v>
      </c>
      <c r="J21">
        <f t="shared" si="1"/>
        <v>-77.790455173962982</v>
      </c>
    </row>
    <row r="22" spans="1:10">
      <c r="A22" s="1">
        <v>45499</v>
      </c>
      <c r="B22">
        <f>(3/(1+('CurrentPor-Equ Factor Movements'!C22)/100)+103/POWER(1+('CurrentPor-Equ Factor Movements'!D22)/100,2))*100</f>
        <v>9707.5857774288397</v>
      </c>
      <c r="C22">
        <f>(3/(1+('CurrentPor-Equ Factor Movements'!C22+'CurrentPor-Equ Factor Movements'!G22)/100)+103/POWER(1+('CurrentPor-Equ Factor Movements'!D22+'CurrentPor-Equ Factor Movements'!G22)/100,2))*100</f>
        <v>9614.9673582483465</v>
      </c>
      <c r="D22">
        <f>(3/(1+('CurrentPor-Equ Factor Movements'!C22+'CurrentPor-Equ Factor Movements'!H22)/100)+103/POWER(1+('CurrentPor-Equ Factor Movements'!D22+'CurrentPor-Equ Factor Movements'!H22)/100,2))*100</f>
        <v>9601.2395558122898</v>
      </c>
      <c r="E22">
        <f>(3/(1+('CurrentPor-Equ Factor Movements'!C22+'CurrentPor-Equ Factor Movements'!I22)/100)+103/POWER(1+('CurrentPor-Equ Factor Movements'!D22+'CurrentPor-Equ Factor Movements'!I22)/100,2))*100</f>
        <v>9581.4547115644182</v>
      </c>
      <c r="F22">
        <f>Portfolio!B$5*'CurrentPor-Equ Factor Movements'!E22</f>
        <v>52162.49240511356</v>
      </c>
      <c r="G22">
        <f>Portfolio!B$6*'CurrentPor-Equ Factor Movements'!F22</f>
        <v>4243.643414723856</v>
      </c>
      <c r="H22">
        <f>Portfolio!B$7*'CurrentPor-Equ Factor Movements'!J22</f>
        <v>2148.0998964419859</v>
      </c>
      <c r="I22">
        <f t="shared" si="0"/>
        <v>97059.483119333294</v>
      </c>
      <c r="J22">
        <f t="shared" si="1"/>
        <v>739.56062286479573</v>
      </c>
    </row>
    <row r="23" spans="1:10">
      <c r="A23" s="1">
        <v>45502</v>
      </c>
      <c r="B23">
        <f>(3/(1+('CurrentPor-Equ Factor Movements'!C23)/100)+103/POWER(1+('CurrentPor-Equ Factor Movements'!D23)/100,2))*100</f>
        <v>9707.5857774288397</v>
      </c>
      <c r="C23">
        <f>(3/(1+('CurrentPor-Equ Factor Movements'!C23+'CurrentPor-Equ Factor Movements'!G23)/100)+103/POWER(1+('CurrentPor-Equ Factor Movements'!D23+'CurrentPor-Equ Factor Movements'!G23)/100,2))*100</f>
        <v>9614.9673582483465</v>
      </c>
      <c r="D23">
        <f>(3/(1+('CurrentPor-Equ Factor Movements'!C23+'CurrentPor-Equ Factor Movements'!H23)/100)+103/POWER(1+('CurrentPor-Equ Factor Movements'!D23+'CurrentPor-Equ Factor Movements'!H23)/100,2))*100</f>
        <v>9601.2395558122898</v>
      </c>
      <c r="E23">
        <f>(3/(1+('CurrentPor-Equ Factor Movements'!C23+'CurrentPor-Equ Factor Movements'!I23)/100)+103/POWER(1+('CurrentPor-Equ Factor Movements'!D23+'CurrentPor-Equ Factor Movements'!I23)/100,2))*100</f>
        <v>9581.4547115644182</v>
      </c>
      <c r="F23">
        <f>Portfolio!B$5*'CurrentPor-Equ Factor Movements'!E23</f>
        <v>52291.142144465593</v>
      </c>
      <c r="G23">
        <f>Portfolio!B$6*'CurrentPor-Equ Factor Movements'!F23</f>
        <v>3688.9521516389109</v>
      </c>
      <c r="H23">
        <f>Portfolio!B$7*'CurrentPor-Equ Factor Movements'!J23</f>
        <v>2148.0998964419859</v>
      </c>
      <c r="I23">
        <f t="shared" si="0"/>
        <v>96633.44159560038</v>
      </c>
      <c r="J23">
        <f t="shared" si="1"/>
        <v>121.33999576455972</v>
      </c>
    </row>
    <row r="24" spans="1:10">
      <c r="A24" s="1">
        <v>45503</v>
      </c>
      <c r="B24">
        <f>(3/(1+('CurrentPor-Equ Factor Movements'!C24)/100)+103/POWER(1+('CurrentPor-Equ Factor Movements'!D24)/100,2))*100</f>
        <v>9707.5857774288397</v>
      </c>
      <c r="C24">
        <f>(3/(1+('CurrentPor-Equ Factor Movements'!C24+'CurrentPor-Equ Factor Movements'!G24)/100)+103/POWER(1+('CurrentPor-Equ Factor Movements'!D24+'CurrentPor-Equ Factor Movements'!G24)/100,2))*100</f>
        <v>9614.9673582483465</v>
      </c>
      <c r="D24">
        <f>(3/(1+('CurrentPor-Equ Factor Movements'!C24+'CurrentPor-Equ Factor Movements'!H24)/100)+103/POWER(1+('CurrentPor-Equ Factor Movements'!D24+'CurrentPor-Equ Factor Movements'!H24)/100,2))*100</f>
        <v>9601.2395558122898</v>
      </c>
      <c r="E24">
        <f>(3/(1+('CurrentPor-Equ Factor Movements'!C24+'CurrentPor-Equ Factor Movements'!I24)/100)+103/POWER(1+('CurrentPor-Equ Factor Movements'!D24+'CurrentPor-Equ Factor Movements'!I24)/100,2))*100</f>
        <v>9581.4547115644182</v>
      </c>
      <c r="F24">
        <f>Portfolio!B$5*'CurrentPor-Equ Factor Movements'!E24</f>
        <v>52436.306961210619</v>
      </c>
      <c r="G24">
        <f>Portfolio!B$6*'CurrentPor-Equ Factor Movements'!F24</f>
        <v>3719.2100956147278</v>
      </c>
      <c r="H24">
        <f>Portfolio!B$7*'CurrentPor-Equ Factor Movements'!J24</f>
        <v>2148.0998964419859</v>
      </c>
      <c r="I24">
        <f t="shared" si="0"/>
        <v>96808.864356321224</v>
      </c>
      <c r="J24">
        <f t="shared" si="1"/>
        <v>-262.19980955425126</v>
      </c>
    </row>
    <row r="25" spans="1:10">
      <c r="A25" s="1">
        <v>45504</v>
      </c>
      <c r="B25">
        <f>(3/(1+('CurrentPor-Equ Factor Movements'!C25)/100)+103/POWER(1+('CurrentPor-Equ Factor Movements'!D25)/100,2))*100</f>
        <v>9707.5857774288397</v>
      </c>
      <c r="C25">
        <f>(3/(1+('CurrentPor-Equ Factor Movements'!C25+'CurrentPor-Equ Factor Movements'!G25)/100)+103/POWER(1+('CurrentPor-Equ Factor Movements'!D25+'CurrentPor-Equ Factor Movements'!G25)/100,2))*100</f>
        <v>9614.9673582483465</v>
      </c>
      <c r="D25">
        <f>(3/(1+('CurrentPor-Equ Factor Movements'!C25+'CurrentPor-Equ Factor Movements'!H25)/100)+103/POWER(1+('CurrentPor-Equ Factor Movements'!D25+'CurrentPor-Equ Factor Movements'!H25)/100,2))*100</f>
        <v>9601.2395558122898</v>
      </c>
      <c r="E25">
        <f>(3/(1+('CurrentPor-Equ Factor Movements'!C25+'CurrentPor-Equ Factor Movements'!I25)/100)+103/POWER(1+('CurrentPor-Equ Factor Movements'!D25+'CurrentPor-Equ Factor Movements'!I25)/100,2))*100</f>
        <v>9581.4547115644182</v>
      </c>
      <c r="F25">
        <f>Portfolio!B$5*'CurrentPor-Equ Factor Movements'!E25</f>
        <v>52506.476108041192</v>
      </c>
      <c r="G25">
        <f>Portfolio!B$6*'CurrentPor-Equ Factor Movements'!F25</f>
        <v>3696.4285629237615</v>
      </c>
      <c r="H25">
        <f>Portfolio!B$7*'CurrentPor-Equ Factor Movements'!J25</f>
        <v>2148.0998964419859</v>
      </c>
      <c r="I25">
        <f t="shared" si="0"/>
        <v>96856.251970460828</v>
      </c>
      <c r="J25">
        <f t="shared" si="1"/>
        <v>462.3149603362981</v>
      </c>
    </row>
    <row r="26" spans="1:10">
      <c r="A26" s="1">
        <v>45505</v>
      </c>
      <c r="B26">
        <f>(3/(1+('CurrentPor-Equ Factor Movements'!C26)/100)+103/POWER(1+('CurrentPor-Equ Factor Movements'!D26)/100,2))*100</f>
        <v>9707.5857774288397</v>
      </c>
      <c r="C26">
        <f>(3/(1+('CurrentPor-Equ Factor Movements'!C26+'CurrentPor-Equ Factor Movements'!G26)/100)+103/POWER(1+('CurrentPor-Equ Factor Movements'!D26+'CurrentPor-Equ Factor Movements'!G26)/100,2))*100</f>
        <v>9614.9673582483465</v>
      </c>
      <c r="D26">
        <f>(3/(1+('CurrentPor-Equ Factor Movements'!C26+'CurrentPor-Equ Factor Movements'!H26)/100)+103/POWER(1+('CurrentPor-Equ Factor Movements'!D26+'CurrentPor-Equ Factor Movements'!H26)/100,2))*100</f>
        <v>9601.2395558122898</v>
      </c>
      <c r="E26">
        <f>(3/(1+('CurrentPor-Equ Factor Movements'!C26+'CurrentPor-Equ Factor Movements'!I26)/100)+103/POWER(1+('CurrentPor-Equ Factor Movements'!D26+'CurrentPor-Equ Factor Movements'!I26)/100,2))*100</f>
        <v>9581.4547115644182</v>
      </c>
      <c r="F26">
        <f>Portfolio!B$5*'CurrentPor-Equ Factor Movements'!E26</f>
        <v>52354.704585094165</v>
      </c>
      <c r="G26">
        <f>Portfolio!B$6*'CurrentPor-Equ Factor Movements'!F26</f>
        <v>3890.326865901819</v>
      </c>
      <c r="H26">
        <f>Portfolio!B$7*'CurrentPor-Equ Factor Movements'!J26</f>
        <v>2148.0998964419859</v>
      </c>
      <c r="I26">
        <f t="shared" si="0"/>
        <v>96898.378750491873</v>
      </c>
      <c r="J26">
        <f t="shared" si="1"/>
        <v>-303.45639603074233</v>
      </c>
    </row>
    <row r="27" spans="1:10">
      <c r="A27" s="1">
        <v>45506</v>
      </c>
      <c r="B27">
        <f>(3/(1+('CurrentPor-Equ Factor Movements'!C27)/100)+103/POWER(1+('CurrentPor-Equ Factor Movements'!D27)/100,2))*100</f>
        <v>9707.5857774288397</v>
      </c>
      <c r="C27">
        <f>(3/(1+('CurrentPor-Equ Factor Movements'!C27+'CurrentPor-Equ Factor Movements'!G27)/100)+103/POWER(1+('CurrentPor-Equ Factor Movements'!D27+'CurrentPor-Equ Factor Movements'!G27)/100,2))*100</f>
        <v>9614.9673582483465</v>
      </c>
      <c r="D27">
        <f>(3/(1+('CurrentPor-Equ Factor Movements'!C27+'CurrentPor-Equ Factor Movements'!H27)/100)+103/POWER(1+('CurrentPor-Equ Factor Movements'!D27+'CurrentPor-Equ Factor Movements'!H27)/100,2))*100</f>
        <v>9601.2395558122898</v>
      </c>
      <c r="E27">
        <f>(3/(1+('CurrentPor-Equ Factor Movements'!C27+'CurrentPor-Equ Factor Movements'!I27)/100)+103/POWER(1+('CurrentPor-Equ Factor Movements'!D27+'CurrentPor-Equ Factor Movements'!I27)/100,2))*100</f>
        <v>9581.4547115644182</v>
      </c>
      <c r="F27">
        <f>Portfolio!B$5*'CurrentPor-Equ Factor Movements'!E27</f>
        <v>52274.279672376259</v>
      </c>
      <c r="G27">
        <f>Portfolio!B$6*'CurrentPor-Equ Factor Movements'!F27</f>
        <v>3337.9825652215382</v>
      </c>
      <c r="H27">
        <f>Portfolio!B$7*'CurrentPor-Equ Factor Movements'!J27</f>
        <v>2148.0998964419859</v>
      </c>
      <c r="I27">
        <f t="shared" si="0"/>
        <v>96265.609537093667</v>
      </c>
      <c r="J27">
        <f t="shared" si="1"/>
        <v>-181.17815241291828</v>
      </c>
    </row>
    <row r="28" spans="1:10">
      <c r="A28" s="1">
        <v>45509</v>
      </c>
      <c r="B28">
        <f>(3/(1+('CurrentPor-Equ Factor Movements'!C28)/100)+103/POWER(1+('CurrentPor-Equ Factor Movements'!D28)/100,2))*100</f>
        <v>9707.5857774288397</v>
      </c>
      <c r="C28">
        <f>(3/(1+('CurrentPor-Equ Factor Movements'!C28+'CurrentPor-Equ Factor Movements'!G28)/100)+103/POWER(1+('CurrentPor-Equ Factor Movements'!D28+'CurrentPor-Equ Factor Movements'!G28)/100,2))*100</f>
        <v>9614.9673582483465</v>
      </c>
      <c r="D28">
        <f>(3/(1+('CurrentPor-Equ Factor Movements'!C28+'CurrentPor-Equ Factor Movements'!H28)/100)+103/POWER(1+('CurrentPor-Equ Factor Movements'!D28+'CurrentPor-Equ Factor Movements'!H28)/100,2))*100</f>
        <v>9601.2395558122898</v>
      </c>
      <c r="E28">
        <f>(3/(1+('CurrentPor-Equ Factor Movements'!C28+'CurrentPor-Equ Factor Movements'!I28)/100)+103/POWER(1+('CurrentPor-Equ Factor Movements'!D28+'CurrentPor-Equ Factor Movements'!I28)/100,2))*100</f>
        <v>9581.4547115644182</v>
      </c>
      <c r="F28">
        <f>Portfolio!B$5*'CurrentPor-Equ Factor Movements'!E28</f>
        <v>52425.189918331387</v>
      </c>
      <c r="G28">
        <f>Portfolio!B$6*'CurrentPor-Equ Factor Movements'!F28</f>
        <v>3789.0763494453822</v>
      </c>
      <c r="H28">
        <f>Portfolio!B$7*'CurrentPor-Equ Factor Movements'!J28</f>
        <v>2148.0998964419859</v>
      </c>
      <c r="I28">
        <f t="shared" si="0"/>
        <v>96867.613567272652</v>
      </c>
      <c r="J28">
        <f t="shared" si="1"/>
        <v>421.5521871446108</v>
      </c>
    </row>
    <row r="29" spans="1:10">
      <c r="A29" s="1">
        <v>45510</v>
      </c>
      <c r="B29">
        <f>(3/(1+('CurrentPor-Equ Factor Movements'!C29)/100)+103/POWER(1+('CurrentPor-Equ Factor Movements'!D29)/100,2))*100</f>
        <v>9707.5857774288397</v>
      </c>
      <c r="C29">
        <f>(3/(1+('CurrentPor-Equ Factor Movements'!C29+'CurrentPor-Equ Factor Movements'!G29)/100)+103/POWER(1+('CurrentPor-Equ Factor Movements'!D29+'CurrentPor-Equ Factor Movements'!G29)/100,2))*100</f>
        <v>9614.9673582483465</v>
      </c>
      <c r="D29">
        <f>(3/(1+('CurrentPor-Equ Factor Movements'!C29+'CurrentPor-Equ Factor Movements'!H29)/100)+103/POWER(1+('CurrentPor-Equ Factor Movements'!D29+'CurrentPor-Equ Factor Movements'!H29)/100,2))*100</f>
        <v>9601.2395558122898</v>
      </c>
      <c r="E29">
        <f>(3/(1+('CurrentPor-Equ Factor Movements'!C29+'CurrentPor-Equ Factor Movements'!I29)/100)+103/POWER(1+('CurrentPor-Equ Factor Movements'!D29+'CurrentPor-Equ Factor Movements'!I29)/100,2))*100</f>
        <v>9581.4547115644182</v>
      </c>
      <c r="F29">
        <f>Portfolio!B$5*'CurrentPor-Equ Factor Movements'!E29</f>
        <v>52304.411803166309</v>
      </c>
      <c r="G29">
        <f>Portfolio!B$6*'CurrentPor-Equ Factor Movements'!F29</f>
        <v>3654.3960228685178</v>
      </c>
      <c r="H29">
        <f>Portfolio!B$7*'CurrentPor-Equ Factor Movements'!J29</f>
        <v>2148.0998964419859</v>
      </c>
      <c r="I29">
        <f t="shared" si="0"/>
        <v>96612.155125530713</v>
      </c>
      <c r="J29">
        <f t="shared" si="1"/>
        <v>34.917705026193289</v>
      </c>
    </row>
    <row r="30" spans="1:10">
      <c r="A30" s="1">
        <v>45511</v>
      </c>
      <c r="B30">
        <f>(3/(1+('CurrentPor-Equ Factor Movements'!C30)/100)+103/POWER(1+('CurrentPor-Equ Factor Movements'!D30)/100,2))*100</f>
        <v>9707.5857774288397</v>
      </c>
      <c r="C30">
        <f>(3/(1+('CurrentPor-Equ Factor Movements'!C30+'CurrentPor-Equ Factor Movements'!G30)/100)+103/POWER(1+('CurrentPor-Equ Factor Movements'!D30+'CurrentPor-Equ Factor Movements'!G30)/100,2))*100</f>
        <v>9614.9673582483465</v>
      </c>
      <c r="D30">
        <f>(3/(1+('CurrentPor-Equ Factor Movements'!C30+'CurrentPor-Equ Factor Movements'!H30)/100)+103/POWER(1+('CurrentPor-Equ Factor Movements'!D30+'CurrentPor-Equ Factor Movements'!H30)/100,2))*100</f>
        <v>9601.2395558122898</v>
      </c>
      <c r="E30">
        <f>(3/(1+('CurrentPor-Equ Factor Movements'!C30+'CurrentPor-Equ Factor Movements'!I30)/100)+103/POWER(1+('CurrentPor-Equ Factor Movements'!D30+'CurrentPor-Equ Factor Movements'!I30)/100,2))*100</f>
        <v>9581.4547115644182</v>
      </c>
      <c r="F30">
        <f>Portfolio!B$5*'CurrentPor-Equ Factor Movements'!E30</f>
        <v>52460.133780575474</v>
      </c>
      <c r="G30">
        <f>Portfolio!B$6*'CurrentPor-Equ Factor Movements'!F30</f>
        <v>4045.3901715169791</v>
      </c>
      <c r="H30">
        <f>Portfolio!B$7*'CurrentPor-Equ Factor Movements'!J30</f>
        <v>2148.0998964419859</v>
      </c>
      <c r="I30">
        <f t="shared" si="0"/>
        <v>97158.871251588324</v>
      </c>
      <c r="J30">
        <f t="shared" si="1"/>
        <v>273.29058574134251</v>
      </c>
    </row>
    <row r="31" spans="1:10">
      <c r="A31" s="1">
        <v>45512</v>
      </c>
      <c r="B31">
        <f>(3/(1+('CurrentPor-Equ Factor Movements'!C31)/100)+103/POWER(1+('CurrentPor-Equ Factor Movements'!D31)/100,2))*100</f>
        <v>9707.5857774288397</v>
      </c>
      <c r="C31">
        <f>(3/(1+('CurrentPor-Equ Factor Movements'!C31+'CurrentPor-Equ Factor Movements'!G31)/100)+103/POWER(1+('CurrentPor-Equ Factor Movements'!D31+'CurrentPor-Equ Factor Movements'!G31)/100,2))*100</f>
        <v>9614.9673582483465</v>
      </c>
      <c r="D31">
        <f>(3/(1+('CurrentPor-Equ Factor Movements'!C31+'CurrentPor-Equ Factor Movements'!H31)/100)+103/POWER(1+('CurrentPor-Equ Factor Movements'!D31+'CurrentPor-Equ Factor Movements'!H31)/100,2))*100</f>
        <v>9601.2395558122898</v>
      </c>
      <c r="E31">
        <f>(3/(1+('CurrentPor-Equ Factor Movements'!C31+'CurrentPor-Equ Factor Movements'!I31)/100)+103/POWER(1+('CurrentPor-Equ Factor Movements'!D31+'CurrentPor-Equ Factor Movements'!I31)/100,2))*100</f>
        <v>9581.4547115644182</v>
      </c>
      <c r="F31">
        <f>Portfolio!B$5*'CurrentPor-Equ Factor Movements'!E31</f>
        <v>52298.110485374345</v>
      </c>
      <c r="G31">
        <f>Portfolio!B$6*'CurrentPor-Equ Factor Movements'!F31</f>
        <v>3828.5504771567494</v>
      </c>
      <c r="H31">
        <f>Portfolio!B$7*'CurrentPor-Equ Factor Movements'!J31</f>
        <v>2148.0998964419859</v>
      </c>
      <c r="I31">
        <f t="shared" si="0"/>
        <v>96780.008262026968</v>
      </c>
      <c r="J31">
        <f t="shared" si="1"/>
        <v>181.6792789480387</v>
      </c>
    </row>
    <row r="32" spans="1:10">
      <c r="A32" s="1">
        <v>45513</v>
      </c>
      <c r="B32">
        <f>(3/(1+('CurrentPor-Equ Factor Movements'!C32)/100)+103/POWER(1+('CurrentPor-Equ Factor Movements'!D32)/100,2))*100</f>
        <v>9707.5857774288397</v>
      </c>
      <c r="C32">
        <f>(3/(1+('CurrentPor-Equ Factor Movements'!C32+'CurrentPor-Equ Factor Movements'!G32)/100)+103/POWER(1+('CurrentPor-Equ Factor Movements'!D32+'CurrentPor-Equ Factor Movements'!G32)/100,2))*100</f>
        <v>9614.9673582483465</v>
      </c>
      <c r="D32">
        <f>(3/(1+('CurrentPor-Equ Factor Movements'!C32+'CurrentPor-Equ Factor Movements'!H32)/100)+103/POWER(1+('CurrentPor-Equ Factor Movements'!D32+'CurrentPor-Equ Factor Movements'!H32)/100,2))*100</f>
        <v>9601.2395558122898</v>
      </c>
      <c r="E32">
        <f>(3/(1+('CurrentPor-Equ Factor Movements'!C32+'CurrentPor-Equ Factor Movements'!I32)/100)+103/POWER(1+('CurrentPor-Equ Factor Movements'!D32+'CurrentPor-Equ Factor Movements'!I32)/100,2))*100</f>
        <v>9581.4547115644182</v>
      </c>
      <c r="F32">
        <f>Portfolio!B$5*'CurrentPor-Equ Factor Movements'!E32</f>
        <v>52265.963370543672</v>
      </c>
      <c r="G32">
        <f>Portfolio!B$6*'CurrentPor-Equ Factor Movements'!F32</f>
        <v>3820.5097176648655</v>
      </c>
      <c r="H32">
        <f>Portfolio!B$7*'CurrentPor-Equ Factor Movements'!J32</f>
        <v>2148.0998964419859</v>
      </c>
      <c r="I32">
        <f t="shared" si="0"/>
        <v>96739.820387704414</v>
      </c>
      <c r="J32">
        <f t="shared" si="1"/>
        <v>-319.66273162887956</v>
      </c>
    </row>
    <row r="33" spans="1:10">
      <c r="A33" s="1">
        <v>45516</v>
      </c>
      <c r="B33">
        <f>(3/(1+('CurrentPor-Equ Factor Movements'!C33)/100)+103/POWER(1+('CurrentPor-Equ Factor Movements'!D33)/100,2))*100</f>
        <v>9707.5857774288397</v>
      </c>
      <c r="C33">
        <f>(3/(1+('CurrentPor-Equ Factor Movements'!C33+'CurrentPor-Equ Factor Movements'!G33)/100)+103/POWER(1+('CurrentPor-Equ Factor Movements'!D33+'CurrentPor-Equ Factor Movements'!G33)/100,2))*100</f>
        <v>9614.9673582483465</v>
      </c>
      <c r="D33">
        <f>(3/(1+('CurrentPor-Equ Factor Movements'!C33+'CurrentPor-Equ Factor Movements'!H33)/100)+103/POWER(1+('CurrentPor-Equ Factor Movements'!D33+'CurrentPor-Equ Factor Movements'!H33)/100,2))*100</f>
        <v>9601.2395558122898</v>
      </c>
      <c r="E33">
        <f>(3/(1+('CurrentPor-Equ Factor Movements'!C33+'CurrentPor-Equ Factor Movements'!I33)/100)+103/POWER(1+('CurrentPor-Equ Factor Movements'!D33+'CurrentPor-Equ Factor Movements'!I33)/100,2))*100</f>
        <v>9581.4547115644182</v>
      </c>
      <c r="F33">
        <f>Portfolio!B$5*'CurrentPor-Equ Factor Movements'!E33</f>
        <v>51896.047504697024</v>
      </c>
      <c r="G33">
        <f>Portfolio!B$6*'CurrentPor-Equ Factor Movements'!F33</f>
        <v>3742.7121338437587</v>
      </c>
      <c r="H33">
        <f>Portfolio!B$7*'CurrentPor-Equ Factor Movements'!J33</f>
        <v>2148.0998964419859</v>
      </c>
      <c r="I33">
        <f t="shared" si="0"/>
        <v>96292.106938036653</v>
      </c>
      <c r="J33">
        <f t="shared" si="1"/>
        <v>-341.33465756372607</v>
      </c>
    </row>
    <row r="34" spans="1:10">
      <c r="A34" s="1">
        <v>45517</v>
      </c>
      <c r="B34">
        <f>(3/(1+('CurrentPor-Equ Factor Movements'!C34)/100)+103/POWER(1+('CurrentPor-Equ Factor Movements'!D34)/100,2))*100</f>
        <v>9707.5857774288397</v>
      </c>
      <c r="C34">
        <f>(3/(1+('CurrentPor-Equ Factor Movements'!C34+'CurrentPor-Equ Factor Movements'!G34)/100)+103/POWER(1+('CurrentPor-Equ Factor Movements'!D34+'CurrentPor-Equ Factor Movements'!G34)/100,2))*100</f>
        <v>9614.9673582483465</v>
      </c>
      <c r="D34">
        <f>(3/(1+('CurrentPor-Equ Factor Movements'!C34+'CurrentPor-Equ Factor Movements'!H34)/100)+103/POWER(1+('CurrentPor-Equ Factor Movements'!D34+'CurrentPor-Equ Factor Movements'!H34)/100,2))*100</f>
        <v>9601.2395558122898</v>
      </c>
      <c r="E34">
        <f>(3/(1+('CurrentPor-Equ Factor Movements'!C34+'CurrentPor-Equ Factor Movements'!I34)/100)+103/POWER(1+('CurrentPor-Equ Factor Movements'!D34+'CurrentPor-Equ Factor Movements'!I34)/100,2))*100</f>
        <v>9581.4547115644182</v>
      </c>
      <c r="F34">
        <f>Portfolio!B$5*'CurrentPor-Equ Factor Movements'!E34</f>
        <v>52513.475827777351</v>
      </c>
      <c r="G34">
        <f>Portfolio!B$6*'CurrentPor-Equ Factor Movements'!F34</f>
        <v>3896.2107707121204</v>
      </c>
      <c r="H34">
        <f>Portfolio!B$7*'CurrentPor-Equ Factor Movements'!J34</f>
        <v>2148.0998964419859</v>
      </c>
      <c r="I34">
        <f t="shared" si="0"/>
        <v>97063.03389798534</v>
      </c>
      <c r="J34">
        <f t="shared" si="1"/>
        <v>254.16954166411597</v>
      </c>
    </row>
    <row r="35" spans="1:10">
      <c r="A35" s="1">
        <v>45518</v>
      </c>
      <c r="B35">
        <f>(3/(1+('CurrentPor-Equ Factor Movements'!C35)/100)+103/POWER(1+('CurrentPor-Equ Factor Movements'!D35)/100,2))*100</f>
        <v>9707.5857774288397</v>
      </c>
      <c r="C35">
        <f>(3/(1+('CurrentPor-Equ Factor Movements'!C35+'CurrentPor-Equ Factor Movements'!G35)/100)+103/POWER(1+('CurrentPor-Equ Factor Movements'!D35+'CurrentPor-Equ Factor Movements'!G35)/100,2))*100</f>
        <v>9614.9673582483465</v>
      </c>
      <c r="D35">
        <f>(3/(1+('CurrentPor-Equ Factor Movements'!C35+'CurrentPor-Equ Factor Movements'!H35)/100)+103/POWER(1+('CurrentPor-Equ Factor Movements'!D35+'CurrentPor-Equ Factor Movements'!H35)/100,2))*100</f>
        <v>9601.2395558122898</v>
      </c>
      <c r="E35">
        <f>(3/(1+('CurrentPor-Equ Factor Movements'!C35+'CurrentPor-Equ Factor Movements'!I35)/100)+103/POWER(1+('CurrentPor-Equ Factor Movements'!D35+'CurrentPor-Equ Factor Movements'!I35)/100,2))*100</f>
        <v>9581.4547115644182</v>
      </c>
      <c r="F35">
        <f>Portfolio!B$5*'CurrentPor-Equ Factor Movements'!E35</f>
        <v>52568.140366412605</v>
      </c>
      <c r="G35">
        <f>Portfolio!B$6*'CurrentPor-Equ Factor Movements'!F35</f>
        <v>3699.5926114898048</v>
      </c>
      <c r="H35">
        <f>Portfolio!B$7*'CurrentPor-Equ Factor Movements'!J35</f>
        <v>2148.0998964419859</v>
      </c>
      <c r="I35">
        <f t="shared" si="0"/>
        <v>96921.080277398287</v>
      </c>
      <c r="J35">
        <f t="shared" si="1"/>
        <v>64.828306937459274</v>
      </c>
    </row>
    <row r="36" spans="1:10">
      <c r="A36" s="1">
        <v>45519</v>
      </c>
      <c r="B36">
        <f>(3/(1+('CurrentPor-Equ Factor Movements'!C36)/100)+103/POWER(1+('CurrentPor-Equ Factor Movements'!D36)/100,2))*100</f>
        <v>9707.5857774288397</v>
      </c>
      <c r="C36">
        <f>(3/(1+('CurrentPor-Equ Factor Movements'!C36+'CurrentPor-Equ Factor Movements'!G36)/100)+103/POWER(1+('CurrentPor-Equ Factor Movements'!D36+'CurrentPor-Equ Factor Movements'!G36)/100,2))*100</f>
        <v>9614.9673582483465</v>
      </c>
      <c r="D36">
        <f>(3/(1+('CurrentPor-Equ Factor Movements'!C36+'CurrentPor-Equ Factor Movements'!H36)/100)+103/POWER(1+('CurrentPor-Equ Factor Movements'!D36+'CurrentPor-Equ Factor Movements'!H36)/100,2))*100</f>
        <v>9601.2395558122898</v>
      </c>
      <c r="E36">
        <f>(3/(1+('CurrentPor-Equ Factor Movements'!C36+'CurrentPor-Equ Factor Movements'!I36)/100)+103/POWER(1+('CurrentPor-Equ Factor Movements'!D36+'CurrentPor-Equ Factor Movements'!I36)/100,2))*100</f>
        <v>9581.4547115644182</v>
      </c>
      <c r="F36">
        <f>Portfolio!B$5*'CurrentPor-Equ Factor Movements'!E36</f>
        <v>52327.608380645288</v>
      </c>
      <c r="G36">
        <f>Portfolio!B$6*'CurrentPor-Equ Factor Movements'!F36</f>
        <v>3672.4478427262475</v>
      </c>
      <c r="H36">
        <f>Portfolio!B$7*'CurrentPor-Equ Factor Movements'!J36</f>
        <v>2148.0998964419859</v>
      </c>
      <c r="I36">
        <f t="shared" si="0"/>
        <v>96653.403522867418</v>
      </c>
      <c r="J36">
        <f t="shared" si="1"/>
        <v>-244.97522762445442</v>
      </c>
    </row>
    <row r="37" spans="1:10">
      <c r="A37" s="1">
        <v>45520</v>
      </c>
      <c r="B37">
        <f>(3/(1+('CurrentPor-Equ Factor Movements'!C37)/100)+103/POWER(1+('CurrentPor-Equ Factor Movements'!D37)/100,2))*100</f>
        <v>9707.5857774288397</v>
      </c>
      <c r="C37">
        <f>(3/(1+('CurrentPor-Equ Factor Movements'!C37+'CurrentPor-Equ Factor Movements'!G37)/100)+103/POWER(1+('CurrentPor-Equ Factor Movements'!D37+'CurrentPor-Equ Factor Movements'!G37)/100,2))*100</f>
        <v>9614.9673582483465</v>
      </c>
      <c r="D37">
        <f>(3/(1+('CurrentPor-Equ Factor Movements'!C37+'CurrentPor-Equ Factor Movements'!H37)/100)+103/POWER(1+('CurrentPor-Equ Factor Movements'!D37+'CurrentPor-Equ Factor Movements'!H37)/100,2))*100</f>
        <v>9601.2395558122898</v>
      </c>
      <c r="E37">
        <f>(3/(1+('CurrentPor-Equ Factor Movements'!C37+'CurrentPor-Equ Factor Movements'!I37)/100)+103/POWER(1+('CurrentPor-Equ Factor Movements'!D37+'CurrentPor-Equ Factor Movements'!I37)/100,2))*100</f>
        <v>9581.4547115644182</v>
      </c>
      <c r="F37">
        <f>Portfolio!B$5*'CurrentPor-Equ Factor Movements'!E37</f>
        <v>52343.830257624337</v>
      </c>
      <c r="G37">
        <f>Portfolio!B$6*'CurrentPor-Equ Factor Movements'!F37</f>
        <v>3673.7884551995867</v>
      </c>
      <c r="H37">
        <f>Portfolio!B$7*'CurrentPor-Equ Factor Movements'!J37</f>
        <v>2148.0998964419859</v>
      </c>
      <c r="I37">
        <f t="shared" si="0"/>
        <v>96670.966012319797</v>
      </c>
      <c r="J37">
        <f t="shared" si="1"/>
        <v>405.35647522612999</v>
      </c>
    </row>
    <row r="38" spans="1:10">
      <c r="A38" s="1">
        <v>45523</v>
      </c>
      <c r="B38">
        <f>(3/(1+('CurrentPor-Equ Factor Movements'!C38)/100)+103/POWER(1+('CurrentPor-Equ Factor Movements'!D38)/100,2))*100</f>
        <v>9707.5857774288397</v>
      </c>
      <c r="C38">
        <f>(3/(1+('CurrentPor-Equ Factor Movements'!C38+'CurrentPor-Equ Factor Movements'!G38)/100)+103/POWER(1+('CurrentPor-Equ Factor Movements'!D38+'CurrentPor-Equ Factor Movements'!G38)/100,2))*100</f>
        <v>9614.9673582483465</v>
      </c>
      <c r="D38">
        <f>(3/(1+('CurrentPor-Equ Factor Movements'!C38+'CurrentPor-Equ Factor Movements'!H38)/100)+103/POWER(1+('CurrentPor-Equ Factor Movements'!D38+'CurrentPor-Equ Factor Movements'!H38)/100,2))*100</f>
        <v>9601.2395558122898</v>
      </c>
      <c r="E38">
        <f>(3/(1+('CurrentPor-Equ Factor Movements'!C38+'CurrentPor-Equ Factor Movements'!I38)/100)+103/POWER(1+('CurrentPor-Equ Factor Movements'!D38+'CurrentPor-Equ Factor Movements'!I38)/100,2))*100</f>
        <v>9581.4547115644182</v>
      </c>
      <c r="F38">
        <f>Portfolio!B$5*'CurrentPor-Equ Factor Movements'!E38</f>
        <v>52396.798927397278</v>
      </c>
      <c r="G38">
        <f>Portfolio!B$6*'CurrentPor-Equ Factor Movements'!F38</f>
        <v>3668.1508519087388</v>
      </c>
      <c r="H38">
        <f>Portfolio!B$7*'CurrentPor-Equ Factor Movements'!J38</f>
        <v>2148.0998964419859</v>
      </c>
      <c r="I38">
        <f t="shared" si="0"/>
        <v>96718.297078801901</v>
      </c>
      <c r="J38">
        <f t="shared" si="1"/>
        <v>-149.31648847075121</v>
      </c>
    </row>
    <row r="39" spans="1:10">
      <c r="A39" s="1">
        <v>45524</v>
      </c>
      <c r="B39">
        <f>(3/(1+('CurrentPor-Equ Factor Movements'!C39)/100)+103/POWER(1+('CurrentPor-Equ Factor Movements'!D39)/100,2))*100</f>
        <v>9707.5857774288397</v>
      </c>
      <c r="C39">
        <f>(3/(1+('CurrentPor-Equ Factor Movements'!C39+'CurrentPor-Equ Factor Movements'!G39)/100)+103/POWER(1+('CurrentPor-Equ Factor Movements'!D39+'CurrentPor-Equ Factor Movements'!G39)/100,2))*100</f>
        <v>9614.9673582483465</v>
      </c>
      <c r="D39">
        <f>(3/(1+('CurrentPor-Equ Factor Movements'!C39+'CurrentPor-Equ Factor Movements'!H39)/100)+103/POWER(1+('CurrentPor-Equ Factor Movements'!D39+'CurrentPor-Equ Factor Movements'!H39)/100,2))*100</f>
        <v>9601.2395558122898</v>
      </c>
      <c r="E39">
        <f>(3/(1+('CurrentPor-Equ Factor Movements'!C39+'CurrentPor-Equ Factor Movements'!I39)/100)+103/POWER(1+('CurrentPor-Equ Factor Movements'!D39+'CurrentPor-Equ Factor Movements'!I39)/100,2))*100</f>
        <v>9581.4547115644182</v>
      </c>
      <c r="F39">
        <f>Portfolio!B$5*'CurrentPor-Equ Factor Movements'!E39</f>
        <v>52063.545065844752</v>
      </c>
      <c r="G39">
        <f>Portfolio!B$6*'CurrentPor-Equ Factor Movements'!F39</f>
        <v>4081.4389152668468</v>
      </c>
      <c r="H39">
        <f>Portfolio!B$7*'CurrentPor-Equ Factor Movements'!J39</f>
        <v>2148.0998964419859</v>
      </c>
      <c r="I39">
        <f t="shared" si="0"/>
        <v>96798.331280607468</v>
      </c>
      <c r="J39">
        <f t="shared" si="1"/>
        <v>186.17615507675509</v>
      </c>
    </row>
    <row r="40" spans="1:10">
      <c r="A40" s="1">
        <v>45525</v>
      </c>
      <c r="B40">
        <f>(3/(1+('CurrentPor-Equ Factor Movements'!C40)/100)+103/POWER(1+('CurrentPor-Equ Factor Movements'!D40)/100,2))*100</f>
        <v>9707.5857774288397</v>
      </c>
      <c r="C40">
        <f>(3/(1+('CurrentPor-Equ Factor Movements'!C40+'CurrentPor-Equ Factor Movements'!G40)/100)+103/POWER(1+('CurrentPor-Equ Factor Movements'!D40+'CurrentPor-Equ Factor Movements'!G40)/100,2))*100</f>
        <v>9614.9673582483465</v>
      </c>
      <c r="D40">
        <f>(3/(1+('CurrentPor-Equ Factor Movements'!C40+'CurrentPor-Equ Factor Movements'!H40)/100)+103/POWER(1+('CurrentPor-Equ Factor Movements'!D40+'CurrentPor-Equ Factor Movements'!H40)/100,2))*100</f>
        <v>9601.2395558122898</v>
      </c>
      <c r="E40">
        <f>(3/(1+('CurrentPor-Equ Factor Movements'!C40+'CurrentPor-Equ Factor Movements'!I40)/100)+103/POWER(1+('CurrentPor-Equ Factor Movements'!D40+'CurrentPor-Equ Factor Movements'!I40)/100,2))*100</f>
        <v>9581.4547115644182</v>
      </c>
      <c r="F40">
        <f>Portfolio!B$5*'CurrentPor-Equ Factor Movements'!E40</f>
        <v>52231.877807997429</v>
      </c>
      <c r="G40">
        <f>Portfolio!B$6*'CurrentPor-Equ Factor Movements'!F40</f>
        <v>3320.1560605559271</v>
      </c>
      <c r="H40">
        <f>Portfolio!B$7*'CurrentPor-Equ Factor Movements'!J40</f>
        <v>2148.0998964419859</v>
      </c>
      <c r="I40">
        <f t="shared" si="0"/>
        <v>96205.381168049222</v>
      </c>
      <c r="J40">
        <f t="shared" si="1"/>
        <v>-953.49008353910176</v>
      </c>
    </row>
    <row r="41" spans="1:10">
      <c r="A41" s="1">
        <v>45526</v>
      </c>
      <c r="B41">
        <f>(3/(1+('CurrentPor-Equ Factor Movements'!C41)/100)+103/POWER(1+('CurrentPor-Equ Factor Movements'!D41)/100,2))*100</f>
        <v>9707.5857774288397</v>
      </c>
      <c r="C41">
        <f>(3/(1+('CurrentPor-Equ Factor Movements'!C41+'CurrentPor-Equ Factor Movements'!G41)/100)+103/POWER(1+('CurrentPor-Equ Factor Movements'!D41+'CurrentPor-Equ Factor Movements'!G41)/100,2))*100</f>
        <v>9614.9673582483465</v>
      </c>
      <c r="D41">
        <f>(3/(1+('CurrentPor-Equ Factor Movements'!C41+'CurrentPor-Equ Factor Movements'!H41)/100)+103/POWER(1+('CurrentPor-Equ Factor Movements'!D41+'CurrentPor-Equ Factor Movements'!H41)/100,2))*100</f>
        <v>9601.2395558122898</v>
      </c>
      <c r="E41">
        <f>(3/(1+('CurrentPor-Equ Factor Movements'!C41+'CurrentPor-Equ Factor Movements'!I41)/100)+103/POWER(1+('CurrentPor-Equ Factor Movements'!D41+'CurrentPor-Equ Factor Movements'!I41)/100,2))*100</f>
        <v>9581.4547115644182</v>
      </c>
      <c r="F41">
        <f>Portfolio!B$5*'CurrentPor-Equ Factor Movements'!E41</f>
        <v>52106.00272697019</v>
      </c>
      <c r="G41">
        <f>Portfolio!B$6*'CurrentPor-Equ Factor Movements'!F41</f>
        <v>3778.1563702933227</v>
      </c>
      <c r="H41">
        <f>Portfolio!B$7*'CurrentPor-Equ Factor Movements'!J41</f>
        <v>2148.0998964419859</v>
      </c>
      <c r="I41">
        <f t="shared" si="0"/>
        <v>96537.506396759389</v>
      </c>
      <c r="J41">
        <f t="shared" si="1"/>
        <v>-242.50186526757898</v>
      </c>
    </row>
    <row r="42" spans="1:10">
      <c r="A42" s="1">
        <v>45527</v>
      </c>
      <c r="B42">
        <f>(3/(1+('CurrentPor-Equ Factor Movements'!C42)/100)+103/POWER(1+('CurrentPor-Equ Factor Movements'!D42)/100,2))*100</f>
        <v>9707.5857774288397</v>
      </c>
      <c r="C42">
        <f>(3/(1+('CurrentPor-Equ Factor Movements'!C42+'CurrentPor-Equ Factor Movements'!G42)/100)+103/POWER(1+('CurrentPor-Equ Factor Movements'!D42+'CurrentPor-Equ Factor Movements'!G42)/100,2))*100</f>
        <v>9614.9673582483465</v>
      </c>
      <c r="D42">
        <f>(3/(1+('CurrentPor-Equ Factor Movements'!C42+'CurrentPor-Equ Factor Movements'!H42)/100)+103/POWER(1+('CurrentPor-Equ Factor Movements'!D42+'CurrentPor-Equ Factor Movements'!H42)/100,2))*100</f>
        <v>9601.2395558122898</v>
      </c>
      <c r="E42">
        <f>(3/(1+('CurrentPor-Equ Factor Movements'!C42+'CurrentPor-Equ Factor Movements'!I42)/100)+103/POWER(1+('CurrentPor-Equ Factor Movements'!D42+'CurrentPor-Equ Factor Movements'!I42)/100,2))*100</f>
        <v>9581.4547115644182</v>
      </c>
      <c r="F42">
        <f>Portfolio!B$5*'CurrentPor-Equ Factor Movements'!E42</f>
        <v>52563.459896599466</v>
      </c>
      <c r="G42">
        <f>Portfolio!B$6*'CurrentPor-Equ Factor Movements'!F42</f>
        <v>3695.0993225638654</v>
      </c>
      <c r="H42">
        <f>Portfolio!B$7*'CurrentPor-Equ Factor Movements'!J42</f>
        <v>2148.0998964419859</v>
      </c>
      <c r="I42">
        <f t="shared" si="0"/>
        <v>96911.906518659205</v>
      </c>
      <c r="J42">
        <f t="shared" si="1"/>
        <v>172.08613095479086</v>
      </c>
    </row>
    <row r="43" spans="1:10">
      <c r="A43" s="1">
        <v>45530</v>
      </c>
      <c r="B43">
        <f>(3/(1+('CurrentPor-Equ Factor Movements'!C43)/100)+103/POWER(1+('CurrentPor-Equ Factor Movements'!D43)/100,2))*100</f>
        <v>9707.5857774288397</v>
      </c>
      <c r="C43">
        <f>(3/(1+('CurrentPor-Equ Factor Movements'!C43+'CurrentPor-Equ Factor Movements'!G43)/100)+103/POWER(1+('CurrentPor-Equ Factor Movements'!D43+'CurrentPor-Equ Factor Movements'!G43)/100,2))*100</f>
        <v>9614.9673582483465</v>
      </c>
      <c r="D43">
        <f>(3/(1+('CurrentPor-Equ Factor Movements'!C43+'CurrentPor-Equ Factor Movements'!H43)/100)+103/POWER(1+('CurrentPor-Equ Factor Movements'!D43+'CurrentPor-Equ Factor Movements'!H43)/100,2))*100</f>
        <v>9601.2395558122898</v>
      </c>
      <c r="E43">
        <f>(3/(1+('CurrentPor-Equ Factor Movements'!C43+'CurrentPor-Equ Factor Movements'!I43)/100)+103/POWER(1+('CurrentPor-Equ Factor Movements'!D43+'CurrentPor-Equ Factor Movements'!I43)/100,2))*100</f>
        <v>9581.4547115644182</v>
      </c>
      <c r="F43">
        <f>Portfolio!B$5*'CurrentPor-Equ Factor Movements'!E43</f>
        <v>52042.963841672296</v>
      </c>
      <c r="G43">
        <f>Portfolio!B$6*'CurrentPor-Equ Factor Movements'!F43</f>
        <v>3657.2687824893392</v>
      </c>
      <c r="H43">
        <f>Portfolio!B$7*'CurrentPor-Equ Factor Movements'!J43</f>
        <v>2148.0998964419859</v>
      </c>
      <c r="I43">
        <f t="shared" si="0"/>
        <v>96353.579923657511</v>
      </c>
      <c r="J43">
        <f t="shared" si="1"/>
        <v>61.472985620857798</v>
      </c>
    </row>
    <row r="44" spans="1:10">
      <c r="A44" s="1">
        <v>45531</v>
      </c>
      <c r="B44">
        <f>(3/(1+('CurrentPor-Equ Factor Movements'!C44)/100)+103/POWER(1+('CurrentPor-Equ Factor Movements'!D44)/100,2))*100</f>
        <v>9707.5857774288397</v>
      </c>
      <c r="C44">
        <f>(3/(1+('CurrentPor-Equ Factor Movements'!C44+'CurrentPor-Equ Factor Movements'!G44)/100)+103/POWER(1+('CurrentPor-Equ Factor Movements'!D44+'CurrentPor-Equ Factor Movements'!G44)/100,2))*100</f>
        <v>9614.9673582483465</v>
      </c>
      <c r="D44">
        <f>(3/(1+('CurrentPor-Equ Factor Movements'!C44+'CurrentPor-Equ Factor Movements'!H44)/100)+103/POWER(1+('CurrentPor-Equ Factor Movements'!D44+'CurrentPor-Equ Factor Movements'!H44)/100,2))*100</f>
        <v>9601.2395558122898</v>
      </c>
      <c r="E44">
        <f>(3/(1+('CurrentPor-Equ Factor Movements'!C44+'CurrentPor-Equ Factor Movements'!I44)/100)+103/POWER(1+('CurrentPor-Equ Factor Movements'!D44+'CurrentPor-Equ Factor Movements'!I44)/100,2))*100</f>
        <v>9581.4547115644182</v>
      </c>
      <c r="F44">
        <f>Portfolio!B$5*'CurrentPor-Equ Factor Movements'!E44</f>
        <v>52516.540102618237</v>
      </c>
      <c r="G44">
        <f>Portfolio!B$6*'CurrentPor-Equ Factor Movements'!F44</f>
        <v>3804.2622468290033</v>
      </c>
      <c r="H44">
        <f>Portfolio!B$7*'CurrentPor-Equ Factor Movements'!J44</f>
        <v>2148.0998964419859</v>
      </c>
      <c r="I44">
        <f t="shared" si="0"/>
        <v>96974.14964894313</v>
      </c>
      <c r="J44">
        <f t="shared" si="1"/>
        <v>-88.884249042210286</v>
      </c>
    </row>
    <row r="45" spans="1:10">
      <c r="A45" s="1">
        <v>45532</v>
      </c>
      <c r="B45">
        <f>(3/(1+('CurrentPor-Equ Factor Movements'!C45)/100)+103/POWER(1+('CurrentPor-Equ Factor Movements'!D45)/100,2))*100</f>
        <v>9707.5857774288397</v>
      </c>
      <c r="C45">
        <f>(3/(1+('CurrentPor-Equ Factor Movements'!C45+'CurrentPor-Equ Factor Movements'!G45)/100)+103/POWER(1+('CurrentPor-Equ Factor Movements'!D45+'CurrentPor-Equ Factor Movements'!G45)/100,2))*100</f>
        <v>9614.9673582483465</v>
      </c>
      <c r="D45">
        <f>(3/(1+('CurrentPor-Equ Factor Movements'!C45+'CurrentPor-Equ Factor Movements'!H45)/100)+103/POWER(1+('CurrentPor-Equ Factor Movements'!D45+'CurrentPor-Equ Factor Movements'!H45)/100,2))*100</f>
        <v>9601.2395558122898</v>
      </c>
      <c r="E45">
        <f>(3/(1+('CurrentPor-Equ Factor Movements'!C45+'CurrentPor-Equ Factor Movements'!I45)/100)+103/POWER(1+('CurrentPor-Equ Factor Movements'!D45+'CurrentPor-Equ Factor Movements'!I45)/100,2))*100</f>
        <v>9581.4547115644182</v>
      </c>
      <c r="F45">
        <f>Portfolio!B$5*'CurrentPor-Equ Factor Movements'!E45</f>
        <v>52153.93319237692</v>
      </c>
      <c r="G45">
        <f>Portfolio!B$6*'CurrentPor-Equ Factor Movements'!F45</f>
        <v>3668.3013583439156</v>
      </c>
      <c r="H45">
        <f>Portfolio!B$7*'CurrentPor-Equ Factor Movements'!J45</f>
        <v>2148.0998964419859</v>
      </c>
      <c r="I45">
        <f t="shared" si="0"/>
        <v>96475.581850216709</v>
      </c>
      <c r="J45">
        <f t="shared" si="1"/>
        <v>-445.49842718157743</v>
      </c>
    </row>
    <row r="46" spans="1:10">
      <c r="A46" s="1">
        <v>45533</v>
      </c>
      <c r="B46">
        <f>(3/(1+('CurrentPor-Equ Factor Movements'!C46)/100)+103/POWER(1+('CurrentPor-Equ Factor Movements'!D46)/100,2))*100</f>
        <v>9707.5857774288397</v>
      </c>
      <c r="C46">
        <f>(3/(1+('CurrentPor-Equ Factor Movements'!C46+'CurrentPor-Equ Factor Movements'!G46)/100)+103/POWER(1+('CurrentPor-Equ Factor Movements'!D46+'CurrentPor-Equ Factor Movements'!G46)/100,2))*100</f>
        <v>9614.9673582483465</v>
      </c>
      <c r="D46">
        <f>(3/(1+('CurrentPor-Equ Factor Movements'!C46+'CurrentPor-Equ Factor Movements'!H46)/100)+103/POWER(1+('CurrentPor-Equ Factor Movements'!D46+'CurrentPor-Equ Factor Movements'!H46)/100,2))*100</f>
        <v>9601.2395558122898</v>
      </c>
      <c r="E46">
        <f>(3/(1+('CurrentPor-Equ Factor Movements'!C46+'CurrentPor-Equ Factor Movements'!I46)/100)+103/POWER(1+('CurrentPor-Equ Factor Movements'!D46+'CurrentPor-Equ Factor Movements'!I46)/100,2))*100</f>
        <v>9581.4547115644182</v>
      </c>
      <c r="F46">
        <f>Portfolio!B$5*'CurrentPor-Equ Factor Movements'!E46</f>
        <v>52234.94829231879</v>
      </c>
      <c r="G46">
        <f>Portfolio!B$6*'CurrentPor-Equ Factor Movements'!F46</f>
        <v>3783.7513679821454</v>
      </c>
      <c r="H46">
        <f>Portfolio!B$7*'CurrentPor-Equ Factor Movements'!J46</f>
        <v>2148.0998964419859</v>
      </c>
      <c r="I46">
        <f t="shared" si="0"/>
        <v>96672.046959796804</v>
      </c>
      <c r="J46">
        <f t="shared" si="1"/>
        <v>18.643436929385643</v>
      </c>
    </row>
    <row r="47" spans="1:10">
      <c r="A47" s="1">
        <v>45534</v>
      </c>
      <c r="B47">
        <f>(3/(1+('CurrentPor-Equ Factor Movements'!C47)/100)+103/POWER(1+('CurrentPor-Equ Factor Movements'!D47)/100,2))*100</f>
        <v>9707.5857774288397</v>
      </c>
      <c r="C47">
        <f>(3/(1+('CurrentPor-Equ Factor Movements'!C47+'CurrentPor-Equ Factor Movements'!G47)/100)+103/POWER(1+('CurrentPor-Equ Factor Movements'!D47+'CurrentPor-Equ Factor Movements'!G47)/100,2))*100</f>
        <v>9614.9673582483465</v>
      </c>
      <c r="D47">
        <f>(3/(1+('CurrentPor-Equ Factor Movements'!C47+'CurrentPor-Equ Factor Movements'!H47)/100)+103/POWER(1+('CurrentPor-Equ Factor Movements'!D47+'CurrentPor-Equ Factor Movements'!H47)/100,2))*100</f>
        <v>9601.2395558122898</v>
      </c>
      <c r="E47">
        <f>(3/(1+('CurrentPor-Equ Factor Movements'!C47+'CurrentPor-Equ Factor Movements'!I47)/100)+103/POWER(1+('CurrentPor-Equ Factor Movements'!D47+'CurrentPor-Equ Factor Movements'!I47)/100,2))*100</f>
        <v>9581.4547115644182</v>
      </c>
      <c r="F47">
        <f>Portfolio!B$5*'CurrentPor-Equ Factor Movements'!E47</f>
        <v>52062.478782263031</v>
      </c>
      <c r="G47">
        <f>Portfolio!B$6*'CurrentPor-Equ Factor Movements'!F47</f>
        <v>3908.9866401090349</v>
      </c>
      <c r="H47">
        <f>Portfolio!B$7*'CurrentPor-Equ Factor Movements'!J47</f>
        <v>2148.0998964419859</v>
      </c>
      <c r="I47">
        <f t="shared" si="0"/>
        <v>96624.812721867944</v>
      </c>
      <c r="J47">
        <f t="shared" si="1"/>
        <v>-46.153290451853536</v>
      </c>
    </row>
    <row r="48" spans="1:10">
      <c r="A48" s="1">
        <v>45537</v>
      </c>
      <c r="B48">
        <f>(3/(1+('CurrentPor-Equ Factor Movements'!C48)/100)+103/POWER(1+('CurrentPor-Equ Factor Movements'!D48)/100,2))*100</f>
        <v>9707.5857774288397</v>
      </c>
      <c r="C48">
        <f>(3/(1+('CurrentPor-Equ Factor Movements'!C48+'CurrentPor-Equ Factor Movements'!G48)/100)+103/POWER(1+('CurrentPor-Equ Factor Movements'!D48+'CurrentPor-Equ Factor Movements'!G48)/100,2))*100</f>
        <v>9614.9673582483465</v>
      </c>
      <c r="D48">
        <f>(3/(1+('CurrentPor-Equ Factor Movements'!C48+'CurrentPor-Equ Factor Movements'!H48)/100)+103/POWER(1+('CurrentPor-Equ Factor Movements'!D48+'CurrentPor-Equ Factor Movements'!H48)/100,2))*100</f>
        <v>9601.2395558122898</v>
      </c>
      <c r="E48">
        <f>(3/(1+('CurrentPor-Equ Factor Movements'!C48+'CurrentPor-Equ Factor Movements'!I48)/100)+103/POWER(1+('CurrentPor-Equ Factor Movements'!D48+'CurrentPor-Equ Factor Movements'!I48)/100,2))*100</f>
        <v>9581.4547115644182</v>
      </c>
      <c r="F48">
        <f>Portfolio!B$5*'CurrentPor-Equ Factor Movements'!E48</f>
        <v>51998.679714320017</v>
      </c>
      <c r="G48">
        <f>Portfolio!B$6*'CurrentPor-Equ Factor Movements'!F48</f>
        <v>3386.9705422690827</v>
      </c>
      <c r="H48">
        <f>Portfolio!B$7*'CurrentPor-Equ Factor Movements'!J48</f>
        <v>2148.0998964419859</v>
      </c>
      <c r="I48">
        <f t="shared" si="0"/>
        <v>96038.997556084985</v>
      </c>
      <c r="J48">
        <f t="shared" si="1"/>
        <v>-679.29952271691582</v>
      </c>
    </row>
    <row r="49" spans="1:10">
      <c r="A49" s="1">
        <v>45538</v>
      </c>
      <c r="B49">
        <f>(3/(1+('CurrentPor-Equ Factor Movements'!C49)/100)+103/POWER(1+('CurrentPor-Equ Factor Movements'!D49)/100,2))*100</f>
        <v>9707.5857774288397</v>
      </c>
      <c r="C49">
        <f>(3/(1+('CurrentPor-Equ Factor Movements'!C49+'CurrentPor-Equ Factor Movements'!G49)/100)+103/POWER(1+('CurrentPor-Equ Factor Movements'!D49+'CurrentPor-Equ Factor Movements'!G49)/100,2))*100</f>
        <v>9614.9673582483465</v>
      </c>
      <c r="D49">
        <f>(3/(1+('CurrentPor-Equ Factor Movements'!C49+'CurrentPor-Equ Factor Movements'!H49)/100)+103/POWER(1+('CurrentPor-Equ Factor Movements'!D49+'CurrentPor-Equ Factor Movements'!H49)/100,2))*100</f>
        <v>9601.2395558122898</v>
      </c>
      <c r="E49">
        <f>(3/(1+('CurrentPor-Equ Factor Movements'!C49+'CurrentPor-Equ Factor Movements'!I49)/100)+103/POWER(1+('CurrentPor-Equ Factor Movements'!D49+'CurrentPor-Equ Factor Movements'!I49)/100,2))*100</f>
        <v>9581.4547115644182</v>
      </c>
      <c r="F49">
        <f>Portfolio!B$5*'CurrentPor-Equ Factor Movements'!E49</f>
        <v>52423.648089988455</v>
      </c>
      <c r="G49">
        <f>Portfolio!B$6*'CurrentPor-Equ Factor Movements'!F49</f>
        <v>3832.5033865439432</v>
      </c>
      <c r="H49">
        <f>Portfolio!B$7*'CurrentPor-Equ Factor Movements'!J49</f>
        <v>2148.0998964419859</v>
      </c>
      <c r="I49">
        <f t="shared" si="0"/>
        <v>96909.498776028282</v>
      </c>
      <c r="J49">
        <f t="shared" si="1"/>
        <v>111.16749542081379</v>
      </c>
    </row>
    <row r="50" spans="1:10">
      <c r="A50" s="1">
        <v>45539</v>
      </c>
      <c r="B50">
        <f>(3/(1+('CurrentPor-Equ Factor Movements'!C50)/100)+103/POWER(1+('CurrentPor-Equ Factor Movements'!D50)/100,2))*100</f>
        <v>9707.5857774288397</v>
      </c>
      <c r="C50">
        <f>(3/(1+('CurrentPor-Equ Factor Movements'!C50+'CurrentPor-Equ Factor Movements'!G50)/100)+103/POWER(1+('CurrentPor-Equ Factor Movements'!D50+'CurrentPor-Equ Factor Movements'!G50)/100,2))*100</f>
        <v>9614.9673582483465</v>
      </c>
      <c r="D50">
        <f>(3/(1+('CurrentPor-Equ Factor Movements'!C50+'CurrentPor-Equ Factor Movements'!H50)/100)+103/POWER(1+('CurrentPor-Equ Factor Movements'!D50+'CurrentPor-Equ Factor Movements'!H50)/100,2))*100</f>
        <v>9601.2395558122898</v>
      </c>
      <c r="E50">
        <f>(3/(1+('CurrentPor-Equ Factor Movements'!C50+'CurrentPor-Equ Factor Movements'!I50)/100)+103/POWER(1+('CurrentPor-Equ Factor Movements'!D50+'CurrentPor-Equ Factor Movements'!I50)/100,2))*100</f>
        <v>9581.4547115644182</v>
      </c>
      <c r="F50">
        <f>Portfolio!B$5*'CurrentPor-Equ Factor Movements'!E50</f>
        <v>51832.427129416144</v>
      </c>
      <c r="G50">
        <f>Portfolio!B$6*'CurrentPor-Equ Factor Movements'!F50</f>
        <v>3552.4660252360754</v>
      </c>
      <c r="H50">
        <f>Portfolio!B$7*'CurrentPor-Equ Factor Movements'!J50</f>
        <v>2148.0998964419859</v>
      </c>
      <c r="I50">
        <f t="shared" si="0"/>
        <v>96038.240454148094</v>
      </c>
      <c r="J50">
        <f t="shared" si="1"/>
        <v>-167.14071390112804</v>
      </c>
    </row>
    <row r="51" spans="1:10">
      <c r="A51" s="1">
        <v>45540</v>
      </c>
      <c r="B51">
        <f>(3/(1+('CurrentPor-Equ Factor Movements'!C51)/100)+103/POWER(1+('CurrentPor-Equ Factor Movements'!D51)/100,2))*100</f>
        <v>9707.5857774288397</v>
      </c>
      <c r="C51">
        <f>(3/(1+('CurrentPor-Equ Factor Movements'!C51+'CurrentPor-Equ Factor Movements'!G51)/100)+103/POWER(1+('CurrentPor-Equ Factor Movements'!D51+'CurrentPor-Equ Factor Movements'!G51)/100,2))*100</f>
        <v>9614.9673582483465</v>
      </c>
      <c r="D51">
        <f>(3/(1+('CurrentPor-Equ Factor Movements'!C51+'CurrentPor-Equ Factor Movements'!H51)/100)+103/POWER(1+('CurrentPor-Equ Factor Movements'!D51+'CurrentPor-Equ Factor Movements'!H51)/100,2))*100</f>
        <v>9601.2395558122898</v>
      </c>
      <c r="E51">
        <f>(3/(1+('CurrentPor-Equ Factor Movements'!C51+'CurrentPor-Equ Factor Movements'!I51)/100)+103/POWER(1+('CurrentPor-Equ Factor Movements'!D51+'CurrentPor-Equ Factor Movements'!I51)/100,2))*100</f>
        <v>9581.4547115644182</v>
      </c>
      <c r="F51">
        <f>Portfolio!B$5*'CurrentPor-Equ Factor Movements'!E51</f>
        <v>52346.646854768085</v>
      </c>
      <c r="G51">
        <f>Portfolio!B$6*'CurrentPor-Equ Factor Movements'!F51</f>
        <v>3836.6821599782356</v>
      </c>
      <c r="H51">
        <f>Portfolio!B$7*'CurrentPor-Equ Factor Movements'!J51</f>
        <v>2148.0998964419859</v>
      </c>
      <c r="I51">
        <f t="shared" si="0"/>
        <v>96836.676314242213</v>
      </c>
      <c r="J51">
        <f t="shared" si="1"/>
        <v>299.16991748282453</v>
      </c>
    </row>
    <row r="52" spans="1:10">
      <c r="A52" s="1">
        <v>45541</v>
      </c>
      <c r="B52">
        <f>(3/(1+('CurrentPor-Equ Factor Movements'!C52)/100)+103/POWER(1+('CurrentPor-Equ Factor Movements'!D52)/100,2))*100</f>
        <v>9707.5857774288397</v>
      </c>
      <c r="C52">
        <f>(3/(1+('CurrentPor-Equ Factor Movements'!C52+'CurrentPor-Equ Factor Movements'!G52)/100)+103/POWER(1+('CurrentPor-Equ Factor Movements'!D52+'CurrentPor-Equ Factor Movements'!G52)/100,2))*100</f>
        <v>9614.9673582483465</v>
      </c>
      <c r="D52">
        <f>(3/(1+('CurrentPor-Equ Factor Movements'!C52+'CurrentPor-Equ Factor Movements'!H52)/100)+103/POWER(1+('CurrentPor-Equ Factor Movements'!D52+'CurrentPor-Equ Factor Movements'!H52)/100,2))*100</f>
        <v>9601.2395558122898</v>
      </c>
      <c r="E52">
        <f>(3/(1+('CurrentPor-Equ Factor Movements'!C52+'CurrentPor-Equ Factor Movements'!I52)/100)+103/POWER(1+('CurrentPor-Equ Factor Movements'!D52+'CurrentPor-Equ Factor Movements'!I52)/100,2))*100</f>
        <v>9581.4547115644182</v>
      </c>
      <c r="F52">
        <f>Portfolio!B$5*'CurrentPor-Equ Factor Movements'!E52</f>
        <v>52397.777436901444</v>
      </c>
      <c r="G52">
        <f>Portfolio!B$6*'CurrentPor-Equ Factor Movements'!F52</f>
        <v>3864.2996514109095</v>
      </c>
      <c r="H52">
        <f>Portfolio!B$7*'CurrentPor-Equ Factor Movements'!J52</f>
        <v>2148.0998964419859</v>
      </c>
      <c r="I52">
        <f t="shared" si="0"/>
        <v>96915.424387808234</v>
      </c>
      <c r="J52">
        <f t="shared" si="1"/>
        <v>3.5178691490291385</v>
      </c>
    </row>
    <row r="53" spans="1:10">
      <c r="A53" s="1">
        <v>45544</v>
      </c>
      <c r="B53">
        <f>(3/(1+('CurrentPor-Equ Factor Movements'!C53)/100)+103/POWER(1+('CurrentPor-Equ Factor Movements'!D53)/100,2))*100</f>
        <v>9707.5857774288397</v>
      </c>
      <c r="C53">
        <f>(3/(1+('CurrentPor-Equ Factor Movements'!C53+'CurrentPor-Equ Factor Movements'!G53)/100)+103/POWER(1+('CurrentPor-Equ Factor Movements'!D53+'CurrentPor-Equ Factor Movements'!G53)/100,2))*100</f>
        <v>9614.9673582483465</v>
      </c>
      <c r="D53">
        <f>(3/(1+('CurrentPor-Equ Factor Movements'!C53+'CurrentPor-Equ Factor Movements'!H53)/100)+103/POWER(1+('CurrentPor-Equ Factor Movements'!D53+'CurrentPor-Equ Factor Movements'!H53)/100,2))*100</f>
        <v>9601.2395558122898</v>
      </c>
      <c r="E53">
        <f>(3/(1+('CurrentPor-Equ Factor Movements'!C53+'CurrentPor-Equ Factor Movements'!I53)/100)+103/POWER(1+('CurrentPor-Equ Factor Movements'!D53+'CurrentPor-Equ Factor Movements'!I53)/100,2))*100</f>
        <v>9581.4547115644182</v>
      </c>
      <c r="F53">
        <f>Portfolio!B$5*'CurrentPor-Equ Factor Movements'!E53</f>
        <v>52451.402475999203</v>
      </c>
      <c r="G53">
        <f>Portfolio!B$6*'CurrentPor-Equ Factor Movements'!F53</f>
        <v>4037.0652805976397</v>
      </c>
      <c r="H53">
        <f>Portfolio!B$7*'CurrentPor-Equ Factor Movements'!J53</f>
        <v>2148.0998964419859</v>
      </c>
      <c r="I53">
        <f t="shared" si="0"/>
        <v>97141.815056092717</v>
      </c>
      <c r="J53">
        <f t="shared" si="1"/>
        <v>788.23513243520574</v>
      </c>
    </row>
    <row r="54" spans="1:10">
      <c r="A54" s="1">
        <v>45545</v>
      </c>
      <c r="B54">
        <f>(3/(1+('CurrentPor-Equ Factor Movements'!C54)/100)+103/POWER(1+('CurrentPor-Equ Factor Movements'!D54)/100,2))*100</f>
        <v>9707.5857774288397</v>
      </c>
      <c r="C54">
        <f>(3/(1+('CurrentPor-Equ Factor Movements'!C54+'CurrentPor-Equ Factor Movements'!G54)/100)+103/POWER(1+('CurrentPor-Equ Factor Movements'!D54+'CurrentPor-Equ Factor Movements'!G54)/100,2))*100</f>
        <v>9614.9673582483465</v>
      </c>
      <c r="D54">
        <f>(3/(1+('CurrentPor-Equ Factor Movements'!C54+'CurrentPor-Equ Factor Movements'!H54)/100)+103/POWER(1+('CurrentPor-Equ Factor Movements'!D54+'CurrentPor-Equ Factor Movements'!H54)/100,2))*100</f>
        <v>9601.2395558122898</v>
      </c>
      <c r="E54">
        <f>(3/(1+('CurrentPor-Equ Factor Movements'!C54+'CurrentPor-Equ Factor Movements'!I54)/100)+103/POWER(1+('CurrentPor-Equ Factor Movements'!D54+'CurrentPor-Equ Factor Movements'!I54)/100,2))*100</f>
        <v>9581.4547115644182</v>
      </c>
      <c r="F54">
        <f>Portfolio!B$5*'CurrentPor-Equ Factor Movements'!E54</f>
        <v>52527.244760521455</v>
      </c>
      <c r="G54">
        <f>Portfolio!B$6*'CurrentPor-Equ Factor Movements'!F54</f>
        <v>3889.2837776212646</v>
      </c>
      <c r="H54">
        <f>Portfolio!B$7*'CurrentPor-Equ Factor Movements'!J54</f>
        <v>2148.0998964419859</v>
      </c>
      <c r="I54">
        <f t="shared" si="0"/>
        <v>97069.875837638596</v>
      </c>
      <c r="J54">
        <f t="shared" si="1"/>
        <v>95.72618869546568</v>
      </c>
    </row>
    <row r="55" spans="1:10">
      <c r="A55" s="1">
        <v>45546</v>
      </c>
      <c r="B55">
        <f>(3/(1+('CurrentPor-Equ Factor Movements'!C55)/100)+103/POWER(1+('CurrentPor-Equ Factor Movements'!D55)/100,2))*100</f>
        <v>9707.5857774288397</v>
      </c>
      <c r="C55">
        <f>(3/(1+('CurrentPor-Equ Factor Movements'!C55+'CurrentPor-Equ Factor Movements'!G55)/100)+103/POWER(1+('CurrentPor-Equ Factor Movements'!D55+'CurrentPor-Equ Factor Movements'!G55)/100,2))*100</f>
        <v>9614.9673582483465</v>
      </c>
      <c r="D55">
        <f>(3/(1+('CurrentPor-Equ Factor Movements'!C55+'CurrentPor-Equ Factor Movements'!H55)/100)+103/POWER(1+('CurrentPor-Equ Factor Movements'!D55+'CurrentPor-Equ Factor Movements'!H55)/100,2))*100</f>
        <v>9601.2395558122898</v>
      </c>
      <c r="E55">
        <f>(3/(1+('CurrentPor-Equ Factor Movements'!C55+'CurrentPor-Equ Factor Movements'!I55)/100)+103/POWER(1+('CurrentPor-Equ Factor Movements'!D55+'CurrentPor-Equ Factor Movements'!I55)/100,2))*100</f>
        <v>9581.4547115644182</v>
      </c>
      <c r="F55">
        <f>Portfolio!B$5*'CurrentPor-Equ Factor Movements'!E55</f>
        <v>52457.527241600357</v>
      </c>
      <c r="G55">
        <f>Portfolio!B$6*'CurrentPor-Equ Factor Movements'!F55</f>
        <v>3757.7254049445992</v>
      </c>
      <c r="H55">
        <f>Portfolio!B$7*'CurrentPor-Equ Factor Movements'!J55</f>
        <v>2148.0998964419859</v>
      </c>
      <c r="I55">
        <f t="shared" si="0"/>
        <v>96868.599946040835</v>
      </c>
      <c r="J55">
        <f t="shared" si="1"/>
        <v>393.01809582412534</v>
      </c>
    </row>
    <row r="56" spans="1:10">
      <c r="A56" s="1">
        <v>45547</v>
      </c>
      <c r="B56">
        <f>(3/(1+('CurrentPor-Equ Factor Movements'!C56)/100)+103/POWER(1+('CurrentPor-Equ Factor Movements'!D56)/100,2))*100</f>
        <v>9707.5857774288397</v>
      </c>
      <c r="C56">
        <f>(3/(1+('CurrentPor-Equ Factor Movements'!C56+'CurrentPor-Equ Factor Movements'!G56)/100)+103/POWER(1+('CurrentPor-Equ Factor Movements'!D56+'CurrentPor-Equ Factor Movements'!G56)/100,2))*100</f>
        <v>9614.9673582483465</v>
      </c>
      <c r="D56">
        <f>(3/(1+('CurrentPor-Equ Factor Movements'!C56+'CurrentPor-Equ Factor Movements'!H56)/100)+103/POWER(1+('CurrentPor-Equ Factor Movements'!D56+'CurrentPor-Equ Factor Movements'!H56)/100,2))*100</f>
        <v>9601.2395558122898</v>
      </c>
      <c r="E56">
        <f>(3/(1+('CurrentPor-Equ Factor Movements'!C56+'CurrentPor-Equ Factor Movements'!I56)/100)+103/POWER(1+('CurrentPor-Equ Factor Movements'!D56+'CurrentPor-Equ Factor Movements'!I56)/100,2))*100</f>
        <v>9581.4547115644182</v>
      </c>
      <c r="F56">
        <f>Portfolio!B$5*'CurrentPor-Equ Factor Movements'!E56</f>
        <v>52214.772269209308</v>
      </c>
      <c r="G56">
        <f>Portfolio!B$6*'CurrentPor-Equ Factor Movements'!F56</f>
        <v>3787.8281148289479</v>
      </c>
      <c r="H56">
        <f>Portfolio!B$7*'CurrentPor-Equ Factor Movements'!J56</f>
        <v>2148.0998964419859</v>
      </c>
      <c r="I56">
        <f t="shared" si="0"/>
        <v>96655.947683534148</v>
      </c>
      <c r="J56">
        <f t="shared" si="1"/>
        <v>-16.099276262655621</v>
      </c>
    </row>
    <row r="57" spans="1:10">
      <c r="A57" s="1">
        <v>45548</v>
      </c>
      <c r="B57">
        <f>(3/(1+('CurrentPor-Equ Factor Movements'!C57)/100)+103/POWER(1+('CurrentPor-Equ Factor Movements'!D57)/100,2))*100</f>
        <v>9707.5857774288397</v>
      </c>
      <c r="C57">
        <f>(3/(1+('CurrentPor-Equ Factor Movements'!C57+'CurrentPor-Equ Factor Movements'!G57)/100)+103/POWER(1+('CurrentPor-Equ Factor Movements'!D57+'CurrentPor-Equ Factor Movements'!G57)/100,2))*100</f>
        <v>9614.9673582483465</v>
      </c>
      <c r="D57">
        <f>(3/(1+('CurrentPor-Equ Factor Movements'!C57+'CurrentPor-Equ Factor Movements'!H57)/100)+103/POWER(1+('CurrentPor-Equ Factor Movements'!D57+'CurrentPor-Equ Factor Movements'!H57)/100,2))*100</f>
        <v>9601.2395558122898</v>
      </c>
      <c r="E57">
        <f>(3/(1+('CurrentPor-Equ Factor Movements'!C57+'CurrentPor-Equ Factor Movements'!I57)/100)+103/POWER(1+('CurrentPor-Equ Factor Movements'!D57+'CurrentPor-Equ Factor Movements'!I57)/100,2))*100</f>
        <v>9581.4547115644182</v>
      </c>
      <c r="F57">
        <f>Portfolio!B$5*'CurrentPor-Equ Factor Movements'!E57</f>
        <v>52130.126530599184</v>
      </c>
      <c r="G57">
        <f>Portfolio!B$6*'CurrentPor-Equ Factor Movements'!F57</f>
        <v>3766.3861257791923</v>
      </c>
      <c r="H57">
        <f>Portfolio!B$7*'CurrentPor-Equ Factor Movements'!J57</f>
        <v>2148.0998964419859</v>
      </c>
      <c r="I57">
        <f t="shared" si="0"/>
        <v>96549.859955874257</v>
      </c>
      <c r="J57">
        <f t="shared" si="1"/>
        <v>-74.952765993686626</v>
      </c>
    </row>
    <row r="58" spans="1:10">
      <c r="A58" s="1">
        <v>45551</v>
      </c>
      <c r="B58">
        <f>(3/(1+('CurrentPor-Equ Factor Movements'!C58)/100)+103/POWER(1+('CurrentPor-Equ Factor Movements'!D58)/100,2))*100</f>
        <v>9707.5857774288397</v>
      </c>
      <c r="C58">
        <f>(3/(1+('CurrentPor-Equ Factor Movements'!C58+'CurrentPor-Equ Factor Movements'!G58)/100)+103/POWER(1+('CurrentPor-Equ Factor Movements'!D58+'CurrentPor-Equ Factor Movements'!G58)/100,2))*100</f>
        <v>9614.9673582483465</v>
      </c>
      <c r="D58">
        <f>(3/(1+('CurrentPor-Equ Factor Movements'!C58+'CurrentPor-Equ Factor Movements'!H58)/100)+103/POWER(1+('CurrentPor-Equ Factor Movements'!D58+'CurrentPor-Equ Factor Movements'!H58)/100,2))*100</f>
        <v>9601.2395558122898</v>
      </c>
      <c r="E58">
        <f>(3/(1+('CurrentPor-Equ Factor Movements'!C58+'CurrentPor-Equ Factor Movements'!I58)/100)+103/POWER(1+('CurrentPor-Equ Factor Movements'!D58+'CurrentPor-Equ Factor Movements'!I58)/100,2))*100</f>
        <v>9581.4547115644182</v>
      </c>
      <c r="F58">
        <f>Portfolio!B$5*'CurrentPor-Equ Factor Movements'!E58</f>
        <v>52215.811750142006</v>
      </c>
      <c r="G58">
        <f>Portfolio!B$6*'CurrentPor-Equ Factor Movements'!F58</f>
        <v>3595.2669033673828</v>
      </c>
      <c r="H58">
        <f>Portfolio!B$7*'CurrentPor-Equ Factor Movements'!J58</f>
        <v>2148.0998964419859</v>
      </c>
      <c r="I58">
        <f t="shared" si="0"/>
        <v>96464.42595300528</v>
      </c>
      <c r="J58">
        <f t="shared" si="1"/>
        <v>425.4283969202952</v>
      </c>
    </row>
    <row r="59" spans="1:10">
      <c r="A59" s="1">
        <v>45552</v>
      </c>
      <c r="B59">
        <f>(3/(1+('CurrentPor-Equ Factor Movements'!C59)/100)+103/POWER(1+('CurrentPor-Equ Factor Movements'!D59)/100,2))*100</f>
        <v>9707.5857774288397</v>
      </c>
      <c r="C59">
        <f>(3/(1+('CurrentPor-Equ Factor Movements'!C59+'CurrentPor-Equ Factor Movements'!G59)/100)+103/POWER(1+('CurrentPor-Equ Factor Movements'!D59+'CurrentPor-Equ Factor Movements'!G59)/100,2))*100</f>
        <v>9614.9673582483465</v>
      </c>
      <c r="D59">
        <f>(3/(1+('CurrentPor-Equ Factor Movements'!C59+'CurrentPor-Equ Factor Movements'!H59)/100)+103/POWER(1+('CurrentPor-Equ Factor Movements'!D59+'CurrentPor-Equ Factor Movements'!H59)/100,2))*100</f>
        <v>9601.2395558122898</v>
      </c>
      <c r="E59">
        <f>(3/(1+('CurrentPor-Equ Factor Movements'!C59+'CurrentPor-Equ Factor Movements'!I59)/100)+103/POWER(1+('CurrentPor-Equ Factor Movements'!D59+'CurrentPor-Equ Factor Movements'!I59)/100,2))*100</f>
        <v>9581.4547115644182</v>
      </c>
      <c r="F59">
        <f>Portfolio!B$5*'CurrentPor-Equ Factor Movements'!E59</f>
        <v>52406.444026441182</v>
      </c>
      <c r="G59">
        <f>Portfolio!B$6*'CurrentPor-Equ Factor Movements'!F59</f>
        <v>3671.3326936927651</v>
      </c>
      <c r="H59">
        <f>Portfolio!B$7*'CurrentPor-Equ Factor Movements'!J59</f>
        <v>2148.0998964419859</v>
      </c>
      <c r="I59">
        <f t="shared" si="0"/>
        <v>96731.124019629831</v>
      </c>
      <c r="J59">
        <f t="shared" si="1"/>
        <v>-178.3747563984507</v>
      </c>
    </row>
    <row r="60" spans="1:10">
      <c r="A60" s="1">
        <v>45553</v>
      </c>
      <c r="B60">
        <f>(3/(1+('CurrentPor-Equ Factor Movements'!C60)/100)+103/POWER(1+('CurrentPor-Equ Factor Movements'!D60)/100,2))*100</f>
        <v>9707.5857774288397</v>
      </c>
      <c r="C60">
        <f>(3/(1+('CurrentPor-Equ Factor Movements'!C60+'CurrentPor-Equ Factor Movements'!G60)/100)+103/POWER(1+('CurrentPor-Equ Factor Movements'!D60+'CurrentPor-Equ Factor Movements'!G60)/100,2))*100</f>
        <v>9614.9673582483465</v>
      </c>
      <c r="D60">
        <f>(3/(1+('CurrentPor-Equ Factor Movements'!C60+'CurrentPor-Equ Factor Movements'!H60)/100)+103/POWER(1+('CurrentPor-Equ Factor Movements'!D60+'CurrentPor-Equ Factor Movements'!H60)/100,2))*100</f>
        <v>9601.2395558122898</v>
      </c>
      <c r="E60">
        <f>(3/(1+('CurrentPor-Equ Factor Movements'!C60+'CurrentPor-Equ Factor Movements'!I60)/100)+103/POWER(1+('CurrentPor-Equ Factor Movements'!D60+'CurrentPor-Equ Factor Movements'!I60)/100,2))*100</f>
        <v>9581.4547115644182</v>
      </c>
      <c r="F60">
        <f>Portfolio!B$5*'CurrentPor-Equ Factor Movements'!E60</f>
        <v>52285.558700307207</v>
      </c>
      <c r="G60">
        <f>Portfolio!B$6*'CurrentPor-Equ Factor Movements'!F60</f>
        <v>4087.129885999635</v>
      </c>
      <c r="H60">
        <f>Portfolio!B$7*'CurrentPor-Equ Factor Movements'!J60</f>
        <v>2148.0998964419859</v>
      </c>
      <c r="I60">
        <f t="shared" si="0"/>
        <v>97026.035885802718</v>
      </c>
      <c r="J60">
        <f t="shared" si="1"/>
        <v>987.79543165462383</v>
      </c>
    </row>
    <row r="61" spans="1:10">
      <c r="A61" s="1">
        <v>45554</v>
      </c>
      <c r="B61">
        <f>(3/(1+('CurrentPor-Equ Factor Movements'!C61)/100)+103/POWER(1+('CurrentPor-Equ Factor Movements'!D61)/100,2))*100</f>
        <v>9707.5857774288397</v>
      </c>
      <c r="C61">
        <f>(3/(1+('CurrentPor-Equ Factor Movements'!C61+'CurrentPor-Equ Factor Movements'!G61)/100)+103/POWER(1+('CurrentPor-Equ Factor Movements'!D61+'CurrentPor-Equ Factor Movements'!G61)/100,2))*100</f>
        <v>9614.9673582483465</v>
      </c>
      <c r="D61">
        <f>(3/(1+('CurrentPor-Equ Factor Movements'!C61+'CurrentPor-Equ Factor Movements'!H61)/100)+103/POWER(1+('CurrentPor-Equ Factor Movements'!D61+'CurrentPor-Equ Factor Movements'!H61)/100,2))*100</f>
        <v>9601.2395558122898</v>
      </c>
      <c r="E61">
        <f>(3/(1+('CurrentPor-Equ Factor Movements'!C61+'CurrentPor-Equ Factor Movements'!I61)/100)+103/POWER(1+('CurrentPor-Equ Factor Movements'!D61+'CurrentPor-Equ Factor Movements'!I61)/100,2))*100</f>
        <v>9581.4547115644182</v>
      </c>
      <c r="F61">
        <f>Portfolio!B$5*'CurrentPor-Equ Factor Movements'!E61</f>
        <v>52161.732812575836</v>
      </c>
      <c r="G61">
        <f>Portfolio!B$6*'CurrentPor-Equ Factor Movements'!F61</f>
        <v>3862.4136825545293</v>
      </c>
      <c r="H61">
        <f>Portfolio!B$7*'CurrentPor-Equ Factor Movements'!J61</f>
        <v>2148.0998964419859</v>
      </c>
      <c r="I61">
        <f t="shared" si="0"/>
        <v>96677.493794626251</v>
      </c>
      <c r="J61">
        <f t="shared" si="1"/>
        <v>-159.18251961596252</v>
      </c>
    </row>
    <row r="62" spans="1:10">
      <c r="A62" s="1">
        <v>45555</v>
      </c>
      <c r="B62">
        <f>(3/(1+('CurrentPor-Equ Factor Movements'!C62)/100)+103/POWER(1+('CurrentPor-Equ Factor Movements'!D62)/100,2))*100</f>
        <v>9707.5857774288397</v>
      </c>
      <c r="C62">
        <f>(3/(1+('CurrentPor-Equ Factor Movements'!C62+'CurrentPor-Equ Factor Movements'!G62)/100)+103/POWER(1+('CurrentPor-Equ Factor Movements'!D62+'CurrentPor-Equ Factor Movements'!G62)/100,2))*100</f>
        <v>9614.9673582483465</v>
      </c>
      <c r="D62">
        <f>(3/(1+('CurrentPor-Equ Factor Movements'!C62+'CurrentPor-Equ Factor Movements'!H62)/100)+103/POWER(1+('CurrentPor-Equ Factor Movements'!D62+'CurrentPor-Equ Factor Movements'!H62)/100,2))*100</f>
        <v>9601.2395558122898</v>
      </c>
      <c r="E62">
        <f>(3/(1+('CurrentPor-Equ Factor Movements'!C62+'CurrentPor-Equ Factor Movements'!I62)/100)+103/POWER(1+('CurrentPor-Equ Factor Movements'!D62+'CurrentPor-Equ Factor Movements'!I62)/100,2))*100</f>
        <v>9581.4547115644182</v>
      </c>
      <c r="F62">
        <f>Portfolio!B$5*'CurrentPor-Equ Factor Movements'!E62</f>
        <v>52308.450110020727</v>
      </c>
      <c r="G62">
        <f>Portfolio!B$6*'CurrentPor-Equ Factor Movements'!F62</f>
        <v>3764.2189771669441</v>
      </c>
      <c r="H62">
        <f>Portfolio!B$7*'CurrentPor-Equ Factor Movements'!J62</f>
        <v>2148.0998964419859</v>
      </c>
      <c r="I62">
        <f t="shared" si="0"/>
        <v>96726.01638668355</v>
      </c>
      <c r="J62">
        <f t="shared" si="1"/>
        <v>-189.40800112468423</v>
      </c>
    </row>
    <row r="63" spans="1:10">
      <c r="A63" s="1">
        <v>45558</v>
      </c>
      <c r="B63">
        <f>(3/(1+('CurrentPor-Equ Factor Movements'!C63)/100)+103/POWER(1+('CurrentPor-Equ Factor Movements'!D63)/100,2))*100</f>
        <v>9707.5857774288397</v>
      </c>
      <c r="C63">
        <f>(3/(1+('CurrentPor-Equ Factor Movements'!C63+'CurrentPor-Equ Factor Movements'!G63)/100)+103/POWER(1+('CurrentPor-Equ Factor Movements'!D63+'CurrentPor-Equ Factor Movements'!G63)/100,2))*100</f>
        <v>9614.9673582483465</v>
      </c>
      <c r="D63">
        <f>(3/(1+('CurrentPor-Equ Factor Movements'!C63+'CurrentPor-Equ Factor Movements'!H63)/100)+103/POWER(1+('CurrentPor-Equ Factor Movements'!D63+'CurrentPor-Equ Factor Movements'!H63)/100,2))*100</f>
        <v>9601.2395558122898</v>
      </c>
      <c r="E63">
        <f>(3/(1+('CurrentPor-Equ Factor Movements'!C63+'CurrentPor-Equ Factor Movements'!I63)/100)+103/POWER(1+('CurrentPor-Equ Factor Movements'!D63+'CurrentPor-Equ Factor Movements'!I63)/100,2))*100</f>
        <v>9581.4547115644182</v>
      </c>
      <c r="F63">
        <f>Portfolio!B$5*'CurrentPor-Equ Factor Movements'!E63</f>
        <v>52125.428840619235</v>
      </c>
      <c r="G63">
        <f>Portfolio!B$6*'CurrentPor-Equ Factor Movements'!F63</f>
        <v>3757.8064240665603</v>
      </c>
      <c r="H63">
        <f>Portfolio!B$7*'CurrentPor-Equ Factor Movements'!J63</f>
        <v>2148.0998964419859</v>
      </c>
      <c r="I63">
        <f t="shared" si="0"/>
        <v>96536.582564181677</v>
      </c>
      <c r="J63">
        <f t="shared" si="1"/>
        <v>-605.23249191103969</v>
      </c>
    </row>
    <row r="64" spans="1:10">
      <c r="A64" s="1">
        <v>45559</v>
      </c>
      <c r="B64">
        <f>(3/(1+('CurrentPor-Equ Factor Movements'!C64)/100)+103/POWER(1+('CurrentPor-Equ Factor Movements'!D64)/100,2))*100</f>
        <v>9707.5857774288397</v>
      </c>
      <c r="C64">
        <f>(3/(1+('CurrentPor-Equ Factor Movements'!C64+'CurrentPor-Equ Factor Movements'!G64)/100)+103/POWER(1+('CurrentPor-Equ Factor Movements'!D64+'CurrentPor-Equ Factor Movements'!G64)/100,2))*100</f>
        <v>9614.9673582483465</v>
      </c>
      <c r="D64">
        <f>(3/(1+('CurrentPor-Equ Factor Movements'!C64+'CurrentPor-Equ Factor Movements'!H64)/100)+103/POWER(1+('CurrentPor-Equ Factor Movements'!D64+'CurrentPor-Equ Factor Movements'!H64)/100,2))*100</f>
        <v>9601.2395558122898</v>
      </c>
      <c r="E64">
        <f>(3/(1+('CurrentPor-Equ Factor Movements'!C64+'CurrentPor-Equ Factor Movements'!I64)/100)+103/POWER(1+('CurrentPor-Equ Factor Movements'!D64+'CurrentPor-Equ Factor Movements'!I64)/100,2))*100</f>
        <v>9581.4547115644182</v>
      </c>
      <c r="F64">
        <f>Portfolio!B$5*'CurrentPor-Equ Factor Movements'!E64</f>
        <v>52620.520880867341</v>
      </c>
      <c r="G64">
        <f>Portfolio!B$6*'CurrentPor-Equ Factor Movements'!F64</f>
        <v>4107.658540985226</v>
      </c>
      <c r="H64">
        <f>Portfolio!B$7*'CurrentPor-Equ Factor Movements'!J64</f>
        <v>2148.0998964419859</v>
      </c>
      <c r="I64">
        <f t="shared" si="0"/>
        <v>97381.526721348448</v>
      </c>
      <c r="J64">
        <f t="shared" si="1"/>
        <v>311.65088370985177</v>
      </c>
    </row>
    <row r="65" spans="1:10">
      <c r="A65" s="1">
        <v>45560</v>
      </c>
      <c r="B65">
        <f>(3/(1+('CurrentPor-Equ Factor Movements'!C65)/100)+103/POWER(1+('CurrentPor-Equ Factor Movements'!D65)/100,2))*100</f>
        <v>9707.5857774288397</v>
      </c>
      <c r="C65">
        <f>(3/(1+('CurrentPor-Equ Factor Movements'!C65+'CurrentPor-Equ Factor Movements'!G65)/100)+103/POWER(1+('CurrentPor-Equ Factor Movements'!D65+'CurrentPor-Equ Factor Movements'!G65)/100,2))*100</f>
        <v>9614.9673582483465</v>
      </c>
      <c r="D65">
        <f>(3/(1+('CurrentPor-Equ Factor Movements'!C65+'CurrentPor-Equ Factor Movements'!H65)/100)+103/POWER(1+('CurrentPor-Equ Factor Movements'!D65+'CurrentPor-Equ Factor Movements'!H65)/100,2))*100</f>
        <v>9601.2395558122898</v>
      </c>
      <c r="E65">
        <f>(3/(1+('CurrentPor-Equ Factor Movements'!C65+'CurrentPor-Equ Factor Movements'!I65)/100)+103/POWER(1+('CurrentPor-Equ Factor Movements'!D65+'CurrentPor-Equ Factor Movements'!I65)/100,2))*100</f>
        <v>9581.4547115644182</v>
      </c>
      <c r="F65">
        <f>Portfolio!B$5*'CurrentPor-Equ Factor Movements'!E65</f>
        <v>52370.735317105151</v>
      </c>
      <c r="G65">
        <f>Portfolio!B$6*'CurrentPor-Equ Factor Movements'!F65</f>
        <v>3915.6882348825939</v>
      </c>
      <c r="H65">
        <f>Portfolio!B$7*'CurrentPor-Equ Factor Movements'!J65</f>
        <v>2148.0998964419859</v>
      </c>
      <c r="I65">
        <f t="shared" si="0"/>
        <v>96939.770851483627</v>
      </c>
      <c r="J65">
        <f t="shared" si="1"/>
        <v>71.170905442791991</v>
      </c>
    </row>
    <row r="66" spans="1:10">
      <c r="A66" s="1">
        <v>45561</v>
      </c>
      <c r="B66">
        <f>(3/(1+('CurrentPor-Equ Factor Movements'!C66)/100)+103/POWER(1+('CurrentPor-Equ Factor Movements'!D66)/100,2))*100</f>
        <v>9707.5857774288397</v>
      </c>
      <c r="C66">
        <f>(3/(1+('CurrentPor-Equ Factor Movements'!C66+'CurrentPor-Equ Factor Movements'!G66)/100)+103/POWER(1+('CurrentPor-Equ Factor Movements'!D66+'CurrentPor-Equ Factor Movements'!G66)/100,2))*100</f>
        <v>9614.9673582483465</v>
      </c>
      <c r="D66">
        <f>(3/(1+('CurrentPor-Equ Factor Movements'!C66+'CurrentPor-Equ Factor Movements'!H66)/100)+103/POWER(1+('CurrentPor-Equ Factor Movements'!D66+'CurrentPor-Equ Factor Movements'!H66)/100,2))*100</f>
        <v>9601.2395558122898</v>
      </c>
      <c r="E66">
        <f>(3/(1+('CurrentPor-Equ Factor Movements'!C66+'CurrentPor-Equ Factor Movements'!I66)/100)+103/POWER(1+('CurrentPor-Equ Factor Movements'!D66+'CurrentPor-Equ Factor Movements'!I66)/100,2))*100</f>
        <v>9581.4547115644182</v>
      </c>
      <c r="F66">
        <f>Portfolio!B$5*'CurrentPor-Equ Factor Movements'!E66</f>
        <v>52567.794700102742</v>
      </c>
      <c r="G66">
        <f>Portfolio!B$6*'CurrentPor-Equ Factor Movements'!F66</f>
        <v>3850.6248095369274</v>
      </c>
      <c r="H66">
        <f>Portfolio!B$7*'CurrentPor-Equ Factor Movements'!J66</f>
        <v>2148.0998964419859</v>
      </c>
      <c r="I66">
        <f t="shared" si="0"/>
        <v>97071.766809135544</v>
      </c>
      <c r="J66">
        <f t="shared" si="1"/>
        <v>415.81912560139608</v>
      </c>
    </row>
    <row r="67" spans="1:10">
      <c r="A67" s="1">
        <v>45562</v>
      </c>
      <c r="B67">
        <f>(3/(1+('CurrentPor-Equ Factor Movements'!C67)/100)+103/POWER(1+('CurrentPor-Equ Factor Movements'!D67)/100,2))*100</f>
        <v>9707.5857774288397</v>
      </c>
      <c r="C67">
        <f>(3/(1+('CurrentPor-Equ Factor Movements'!C67+'CurrentPor-Equ Factor Movements'!G67)/100)+103/POWER(1+('CurrentPor-Equ Factor Movements'!D67+'CurrentPor-Equ Factor Movements'!G67)/100,2))*100</f>
        <v>9614.9673582483465</v>
      </c>
      <c r="D67">
        <f>(3/(1+('CurrentPor-Equ Factor Movements'!C67+'CurrentPor-Equ Factor Movements'!H67)/100)+103/POWER(1+('CurrentPor-Equ Factor Movements'!D67+'CurrentPor-Equ Factor Movements'!H67)/100,2))*100</f>
        <v>9601.2395558122898</v>
      </c>
      <c r="E67">
        <f>(3/(1+('CurrentPor-Equ Factor Movements'!C67+'CurrentPor-Equ Factor Movements'!I67)/100)+103/POWER(1+('CurrentPor-Equ Factor Movements'!D67+'CurrentPor-Equ Factor Movements'!I67)/100,2))*100</f>
        <v>9581.4547115644182</v>
      </c>
      <c r="F67">
        <f>Portfolio!B$5*'CurrentPor-Equ Factor Movements'!E67</f>
        <v>52373.723758741813</v>
      </c>
      <c r="G67">
        <f>Portfolio!B$6*'CurrentPor-Equ Factor Movements'!F67</f>
        <v>4104.8914534890027</v>
      </c>
      <c r="H67">
        <f>Portfolio!B$7*'CurrentPor-Equ Factor Movements'!J67</f>
        <v>2148.0998964419859</v>
      </c>
      <c r="I67">
        <f t="shared" si="0"/>
        <v>97131.962511726699</v>
      </c>
      <c r="J67">
        <f t="shared" si="1"/>
        <v>582.10255585244158</v>
      </c>
    </row>
    <row r="68" spans="1:10">
      <c r="A68" s="1">
        <v>45565</v>
      </c>
      <c r="B68">
        <f>(3/(1+('CurrentPor-Equ Factor Movements'!C68)/100)+103/POWER(1+('CurrentPor-Equ Factor Movements'!D68)/100,2))*100</f>
        <v>9707.5857774288397</v>
      </c>
      <c r="C68">
        <f>(3/(1+('CurrentPor-Equ Factor Movements'!C68+'CurrentPor-Equ Factor Movements'!G68)/100)+103/POWER(1+('CurrentPor-Equ Factor Movements'!D68+'CurrentPor-Equ Factor Movements'!G68)/100,2))*100</f>
        <v>9614.9673582483465</v>
      </c>
      <c r="D68">
        <f>(3/(1+('CurrentPor-Equ Factor Movements'!C68+'CurrentPor-Equ Factor Movements'!H68)/100)+103/POWER(1+('CurrentPor-Equ Factor Movements'!D68+'CurrentPor-Equ Factor Movements'!H68)/100,2))*100</f>
        <v>9601.2395558122898</v>
      </c>
      <c r="E68">
        <f>(3/(1+('CurrentPor-Equ Factor Movements'!C68+'CurrentPor-Equ Factor Movements'!I68)/100)+103/POWER(1+('CurrentPor-Equ Factor Movements'!D68+'CurrentPor-Equ Factor Movements'!I68)/100,2))*100</f>
        <v>9581.4547115644182</v>
      </c>
      <c r="F68">
        <f>Portfolio!B$5*'CurrentPor-Equ Factor Movements'!E68</f>
        <v>52415.058145676529</v>
      </c>
      <c r="G68">
        <f>Portfolio!B$6*'CurrentPor-Equ Factor Movements'!F68</f>
        <v>4019.0107503835707</v>
      </c>
      <c r="H68">
        <f>Portfolio!B$7*'CurrentPor-Equ Factor Movements'!J68</f>
        <v>2148.0998964419859</v>
      </c>
      <c r="I68">
        <f t="shared" ref="I68:I131" si="2">SUM(B68:H68)</f>
        <v>97087.416195555983</v>
      </c>
      <c r="J68">
        <f t="shared" si="1"/>
        <v>622.99024255070253</v>
      </c>
    </row>
    <row r="69" spans="1:10">
      <c r="A69" s="1">
        <v>45566</v>
      </c>
      <c r="B69">
        <f>(3/(1+('CurrentPor-Equ Factor Movements'!C69)/100)+103/POWER(1+('CurrentPor-Equ Factor Movements'!D69)/100,2))*100</f>
        <v>9707.5857774288397</v>
      </c>
      <c r="C69">
        <f>(3/(1+('CurrentPor-Equ Factor Movements'!C69+'CurrentPor-Equ Factor Movements'!G69)/100)+103/POWER(1+('CurrentPor-Equ Factor Movements'!D69+'CurrentPor-Equ Factor Movements'!G69)/100,2))*100</f>
        <v>9614.9673582483465</v>
      </c>
      <c r="D69">
        <f>(3/(1+('CurrentPor-Equ Factor Movements'!C69+'CurrentPor-Equ Factor Movements'!H69)/100)+103/POWER(1+('CurrentPor-Equ Factor Movements'!D69+'CurrentPor-Equ Factor Movements'!H69)/100,2))*100</f>
        <v>9601.2395558122898</v>
      </c>
      <c r="E69">
        <f>(3/(1+('CurrentPor-Equ Factor Movements'!C69+'CurrentPor-Equ Factor Movements'!I69)/100)+103/POWER(1+('CurrentPor-Equ Factor Movements'!D69+'CurrentPor-Equ Factor Movements'!I69)/100,2))*100</f>
        <v>9581.4547115644182</v>
      </c>
      <c r="F69">
        <f>Portfolio!B$5*'CurrentPor-Equ Factor Movements'!E69</f>
        <v>52148.429124777103</v>
      </c>
      <c r="G69">
        <f>Portfolio!B$6*'CurrentPor-Equ Factor Movements'!F69</f>
        <v>3764.2793540385428</v>
      </c>
      <c r="H69">
        <f>Portfolio!B$7*'CurrentPor-Equ Factor Movements'!J69</f>
        <v>2148.0998964419859</v>
      </c>
      <c r="I69">
        <f t="shared" si="2"/>
        <v>96566.055778311536</v>
      </c>
      <c r="J69">
        <f t="shared" si="1"/>
        <v>-165.06824131829489</v>
      </c>
    </row>
    <row r="70" spans="1:10">
      <c r="A70" s="1">
        <v>45567</v>
      </c>
      <c r="B70">
        <f>(3/(1+('CurrentPor-Equ Factor Movements'!C70)/100)+103/POWER(1+('CurrentPor-Equ Factor Movements'!D70)/100,2))*100</f>
        <v>9707.5857774288397</v>
      </c>
      <c r="C70">
        <f>(3/(1+('CurrentPor-Equ Factor Movements'!C70+'CurrentPor-Equ Factor Movements'!G70)/100)+103/POWER(1+('CurrentPor-Equ Factor Movements'!D70+'CurrentPor-Equ Factor Movements'!G70)/100,2))*100</f>
        <v>9614.9673582483465</v>
      </c>
      <c r="D70">
        <f>(3/(1+('CurrentPor-Equ Factor Movements'!C70+'CurrentPor-Equ Factor Movements'!H70)/100)+103/POWER(1+('CurrentPor-Equ Factor Movements'!D70+'CurrentPor-Equ Factor Movements'!H70)/100,2))*100</f>
        <v>9601.2395558122898</v>
      </c>
      <c r="E70">
        <f>(3/(1+('CurrentPor-Equ Factor Movements'!C70+'CurrentPor-Equ Factor Movements'!I70)/100)+103/POWER(1+('CurrentPor-Equ Factor Movements'!D70+'CurrentPor-Equ Factor Movements'!I70)/100,2))*100</f>
        <v>9581.4547115644182</v>
      </c>
      <c r="F70">
        <f>Portfolio!B$5*'CurrentPor-Equ Factor Movements'!E70</f>
        <v>52373.622978310232</v>
      </c>
      <c r="G70">
        <f>Portfolio!B$6*'CurrentPor-Equ Factor Movements'!F70</f>
        <v>3980.1205337959941</v>
      </c>
      <c r="H70">
        <f>Portfolio!B$7*'CurrentPor-Equ Factor Movements'!J70</f>
        <v>2148.0998964419859</v>
      </c>
      <c r="I70">
        <f t="shared" si="2"/>
        <v>97007.090811602116</v>
      </c>
      <c r="J70">
        <f t="shared" si="1"/>
        <v>-18.945074200601084</v>
      </c>
    </row>
    <row r="71" spans="1:10">
      <c r="A71" s="1">
        <v>45568</v>
      </c>
      <c r="B71">
        <f>(3/(1+('CurrentPor-Equ Factor Movements'!C71)/100)+103/POWER(1+('CurrentPor-Equ Factor Movements'!D71)/100,2))*100</f>
        <v>9707.5857774288397</v>
      </c>
      <c r="C71">
        <f>(3/(1+('CurrentPor-Equ Factor Movements'!C71+'CurrentPor-Equ Factor Movements'!G71)/100)+103/POWER(1+('CurrentPor-Equ Factor Movements'!D71+'CurrentPor-Equ Factor Movements'!G71)/100,2))*100</f>
        <v>9614.9673582483465</v>
      </c>
      <c r="D71">
        <f>(3/(1+('CurrentPor-Equ Factor Movements'!C71+'CurrentPor-Equ Factor Movements'!H71)/100)+103/POWER(1+('CurrentPor-Equ Factor Movements'!D71+'CurrentPor-Equ Factor Movements'!H71)/100,2))*100</f>
        <v>9601.2395558122898</v>
      </c>
      <c r="E71">
        <f>(3/(1+('CurrentPor-Equ Factor Movements'!C71+'CurrentPor-Equ Factor Movements'!I71)/100)+103/POWER(1+('CurrentPor-Equ Factor Movements'!D71+'CurrentPor-Equ Factor Movements'!I71)/100,2))*100</f>
        <v>9581.4547115644182</v>
      </c>
      <c r="F71">
        <f>Portfolio!B$5*'CurrentPor-Equ Factor Movements'!E71</f>
        <v>52534.018492684911</v>
      </c>
      <c r="G71">
        <f>Portfolio!B$6*'CurrentPor-Equ Factor Movements'!F71</f>
        <v>4010.403684684708</v>
      </c>
      <c r="H71">
        <f>Portfolio!B$7*'CurrentPor-Equ Factor Movements'!J71</f>
        <v>2148.0998964419859</v>
      </c>
      <c r="I71">
        <f t="shared" si="2"/>
        <v>97197.769476865491</v>
      </c>
      <c r="J71">
        <f t="shared" si="1"/>
        <v>520.27568223924027</v>
      </c>
    </row>
    <row r="72" spans="1:10">
      <c r="A72" s="1">
        <v>45569</v>
      </c>
      <c r="B72">
        <f>(3/(1+('CurrentPor-Equ Factor Movements'!C72)/100)+103/POWER(1+('CurrentPor-Equ Factor Movements'!D72)/100,2))*100</f>
        <v>9707.5857774288397</v>
      </c>
      <c r="C72">
        <f>(3/(1+('CurrentPor-Equ Factor Movements'!C72+'CurrentPor-Equ Factor Movements'!G72)/100)+103/POWER(1+('CurrentPor-Equ Factor Movements'!D72+'CurrentPor-Equ Factor Movements'!G72)/100,2))*100</f>
        <v>9614.9673582483465</v>
      </c>
      <c r="D72">
        <f>(3/(1+('CurrentPor-Equ Factor Movements'!C72+'CurrentPor-Equ Factor Movements'!H72)/100)+103/POWER(1+('CurrentPor-Equ Factor Movements'!D72+'CurrentPor-Equ Factor Movements'!H72)/100,2))*100</f>
        <v>9601.2395558122898</v>
      </c>
      <c r="E72">
        <f>(3/(1+('CurrentPor-Equ Factor Movements'!C72+'CurrentPor-Equ Factor Movements'!I72)/100)+103/POWER(1+('CurrentPor-Equ Factor Movements'!D72+'CurrentPor-Equ Factor Movements'!I72)/100,2))*100</f>
        <v>9581.4547115644182</v>
      </c>
      <c r="F72">
        <f>Portfolio!B$5*'CurrentPor-Equ Factor Movements'!E72</f>
        <v>52401.21215459724</v>
      </c>
      <c r="G72">
        <f>Portfolio!B$6*'CurrentPor-Equ Factor Movements'!F72</f>
        <v>4068.1437238657822</v>
      </c>
      <c r="H72">
        <f>Portfolio!B$7*'CurrentPor-Equ Factor Movements'!J72</f>
        <v>2148.0998964419859</v>
      </c>
      <c r="I72">
        <f t="shared" si="2"/>
        <v>97122.703177958902</v>
      </c>
      <c r="J72">
        <f t="shared" si="1"/>
        <v>396.68679127535142</v>
      </c>
    </row>
    <row r="73" spans="1:10">
      <c r="A73" s="1">
        <v>45572</v>
      </c>
      <c r="B73">
        <f>(3/(1+('CurrentPor-Equ Factor Movements'!C73)/100)+103/POWER(1+('CurrentPor-Equ Factor Movements'!D73)/100,2))*100</f>
        <v>9707.5857774288397</v>
      </c>
      <c r="C73">
        <f>(3/(1+('CurrentPor-Equ Factor Movements'!C73+'CurrentPor-Equ Factor Movements'!G73)/100)+103/POWER(1+('CurrentPor-Equ Factor Movements'!D73+'CurrentPor-Equ Factor Movements'!G73)/100,2))*100</f>
        <v>9614.9673582483465</v>
      </c>
      <c r="D73">
        <f>(3/(1+('CurrentPor-Equ Factor Movements'!C73+'CurrentPor-Equ Factor Movements'!H73)/100)+103/POWER(1+('CurrentPor-Equ Factor Movements'!D73+'CurrentPor-Equ Factor Movements'!H73)/100,2))*100</f>
        <v>9601.2395558122898</v>
      </c>
      <c r="E73">
        <f>(3/(1+('CurrentPor-Equ Factor Movements'!C73+'CurrentPor-Equ Factor Movements'!I73)/100)+103/POWER(1+('CurrentPor-Equ Factor Movements'!D73+'CurrentPor-Equ Factor Movements'!I73)/100,2))*100</f>
        <v>9581.4547115644182</v>
      </c>
      <c r="F73">
        <f>Portfolio!B$5*'CurrentPor-Equ Factor Movements'!E73</f>
        <v>52303.94464623752</v>
      </c>
      <c r="G73">
        <f>Portfolio!B$6*'CurrentPor-Equ Factor Movements'!F73</f>
        <v>4045.1407912892273</v>
      </c>
      <c r="H73">
        <f>Portfolio!B$7*'CurrentPor-Equ Factor Movements'!J73</f>
        <v>2148.0998964419859</v>
      </c>
      <c r="I73">
        <f t="shared" si="2"/>
        <v>97002.432737022638</v>
      </c>
      <c r="J73">
        <f t="shared" si="1"/>
        <v>465.85017284096102</v>
      </c>
    </row>
    <row r="74" spans="1:10">
      <c r="A74" s="1">
        <v>45573</v>
      </c>
      <c r="B74">
        <f>(3/(1+('CurrentPor-Equ Factor Movements'!C74)/100)+103/POWER(1+('CurrentPor-Equ Factor Movements'!D74)/100,2))*100</f>
        <v>9707.5857774288397</v>
      </c>
      <c r="C74">
        <f>(3/(1+('CurrentPor-Equ Factor Movements'!C74+'CurrentPor-Equ Factor Movements'!G74)/100)+103/POWER(1+('CurrentPor-Equ Factor Movements'!D74+'CurrentPor-Equ Factor Movements'!G74)/100,2))*100</f>
        <v>9614.9673582483465</v>
      </c>
      <c r="D74">
        <f>(3/(1+('CurrentPor-Equ Factor Movements'!C74+'CurrentPor-Equ Factor Movements'!H74)/100)+103/POWER(1+('CurrentPor-Equ Factor Movements'!D74+'CurrentPor-Equ Factor Movements'!H74)/100,2))*100</f>
        <v>9601.2395558122898</v>
      </c>
      <c r="E74">
        <f>(3/(1+('CurrentPor-Equ Factor Movements'!C74+'CurrentPor-Equ Factor Movements'!I74)/100)+103/POWER(1+('CurrentPor-Equ Factor Movements'!D74+'CurrentPor-Equ Factor Movements'!I74)/100,2))*100</f>
        <v>9581.4547115644182</v>
      </c>
      <c r="F74">
        <f>Portfolio!B$5*'CurrentPor-Equ Factor Movements'!E74</f>
        <v>52078.089743474615</v>
      </c>
      <c r="G74">
        <f>Portfolio!B$6*'CurrentPor-Equ Factor Movements'!F74</f>
        <v>3584.7037306941429</v>
      </c>
      <c r="H74">
        <f>Portfolio!B$7*'CurrentPor-Equ Factor Movements'!J74</f>
        <v>2148.0998964419859</v>
      </c>
      <c r="I74">
        <f t="shared" si="2"/>
        <v>96316.140773664636</v>
      </c>
      <c r="J74">
        <f t="shared" si="1"/>
        <v>-1065.3859476838115</v>
      </c>
    </row>
    <row r="75" spans="1:10">
      <c r="A75" s="1">
        <v>45574</v>
      </c>
      <c r="B75">
        <f>(3/(1+('CurrentPor-Equ Factor Movements'!C75)/100)+103/POWER(1+('CurrentPor-Equ Factor Movements'!D75)/100,2))*100</f>
        <v>9707.5857774288397</v>
      </c>
      <c r="C75">
        <f>(3/(1+('CurrentPor-Equ Factor Movements'!C75+'CurrentPor-Equ Factor Movements'!G75)/100)+103/POWER(1+('CurrentPor-Equ Factor Movements'!D75+'CurrentPor-Equ Factor Movements'!G75)/100,2))*100</f>
        <v>9614.9673582483465</v>
      </c>
      <c r="D75">
        <f>(3/(1+('CurrentPor-Equ Factor Movements'!C75+'CurrentPor-Equ Factor Movements'!H75)/100)+103/POWER(1+('CurrentPor-Equ Factor Movements'!D75+'CurrentPor-Equ Factor Movements'!H75)/100,2))*100</f>
        <v>9601.2395558122898</v>
      </c>
      <c r="E75">
        <f>(3/(1+('CurrentPor-Equ Factor Movements'!C75+'CurrentPor-Equ Factor Movements'!I75)/100)+103/POWER(1+('CurrentPor-Equ Factor Movements'!D75+'CurrentPor-Equ Factor Movements'!I75)/100,2))*100</f>
        <v>9581.4547115644182</v>
      </c>
      <c r="F75">
        <f>Portfolio!B$5*'CurrentPor-Equ Factor Movements'!E75</f>
        <v>52165.040621568027</v>
      </c>
      <c r="G75">
        <f>Portfolio!B$6*'CurrentPor-Equ Factor Movements'!F75</f>
        <v>3516.7108353312456</v>
      </c>
      <c r="H75">
        <f>Portfolio!B$7*'CurrentPor-Equ Factor Movements'!J75</f>
        <v>2148.0998964419859</v>
      </c>
      <c r="I75">
        <f t="shared" si="2"/>
        <v>96335.098756395164</v>
      </c>
      <c r="J75">
        <f t="shared" si="1"/>
        <v>-604.67209508846281</v>
      </c>
    </row>
    <row r="76" spans="1:10">
      <c r="A76" s="1">
        <v>45575</v>
      </c>
      <c r="B76">
        <f>(3/(1+('CurrentPor-Equ Factor Movements'!C76)/100)+103/POWER(1+('CurrentPor-Equ Factor Movements'!D76)/100,2))*100</f>
        <v>9707.5857774288397</v>
      </c>
      <c r="C76">
        <f>(3/(1+('CurrentPor-Equ Factor Movements'!C76+'CurrentPor-Equ Factor Movements'!G76)/100)+103/POWER(1+('CurrentPor-Equ Factor Movements'!D76+'CurrentPor-Equ Factor Movements'!G76)/100,2))*100</f>
        <v>9614.9673582483465</v>
      </c>
      <c r="D76">
        <f>(3/(1+('CurrentPor-Equ Factor Movements'!C76+'CurrentPor-Equ Factor Movements'!H76)/100)+103/POWER(1+('CurrentPor-Equ Factor Movements'!D76+'CurrentPor-Equ Factor Movements'!H76)/100,2))*100</f>
        <v>9601.2395558122898</v>
      </c>
      <c r="E76">
        <f>(3/(1+('CurrentPor-Equ Factor Movements'!C76+'CurrentPor-Equ Factor Movements'!I76)/100)+103/POWER(1+('CurrentPor-Equ Factor Movements'!D76+'CurrentPor-Equ Factor Movements'!I76)/100,2))*100</f>
        <v>9581.4547115644182</v>
      </c>
      <c r="F76">
        <f>Portfolio!B$5*'CurrentPor-Equ Factor Movements'!E76</f>
        <v>52248.276815376252</v>
      </c>
      <c r="G76">
        <f>Portfolio!B$6*'CurrentPor-Equ Factor Movements'!F76</f>
        <v>3884.9298133862335</v>
      </c>
      <c r="H76">
        <f>Portfolio!B$7*'CurrentPor-Equ Factor Movements'!J76</f>
        <v>2148.0998964419859</v>
      </c>
      <c r="I76">
        <f t="shared" si="2"/>
        <v>96786.553928258363</v>
      </c>
      <c r="J76">
        <f t="shared" si="1"/>
        <v>-285.21288087718131</v>
      </c>
    </row>
    <row r="77" spans="1:10">
      <c r="A77" s="1">
        <v>45576</v>
      </c>
      <c r="B77">
        <f>(3/(1+('CurrentPor-Equ Factor Movements'!C77)/100)+103/POWER(1+('CurrentPor-Equ Factor Movements'!D77)/100,2))*100</f>
        <v>9707.5857774288397</v>
      </c>
      <c r="C77">
        <f>(3/(1+('CurrentPor-Equ Factor Movements'!C77+'CurrentPor-Equ Factor Movements'!G77)/100)+103/POWER(1+('CurrentPor-Equ Factor Movements'!D77+'CurrentPor-Equ Factor Movements'!G77)/100,2))*100</f>
        <v>9614.9673582483465</v>
      </c>
      <c r="D77">
        <f>(3/(1+('CurrentPor-Equ Factor Movements'!C77+'CurrentPor-Equ Factor Movements'!H77)/100)+103/POWER(1+('CurrentPor-Equ Factor Movements'!D77+'CurrentPor-Equ Factor Movements'!H77)/100,2))*100</f>
        <v>9601.2395558122898</v>
      </c>
      <c r="E77">
        <f>(3/(1+('CurrentPor-Equ Factor Movements'!C77+'CurrentPor-Equ Factor Movements'!I77)/100)+103/POWER(1+('CurrentPor-Equ Factor Movements'!D77+'CurrentPor-Equ Factor Movements'!I77)/100,2))*100</f>
        <v>9581.4547115644182</v>
      </c>
      <c r="F77">
        <f>Portfolio!B$5*'CurrentPor-Equ Factor Movements'!E77</f>
        <v>52089.588504040737</v>
      </c>
      <c r="G77">
        <f>Portfolio!B$6*'CurrentPor-Equ Factor Movements'!F77</f>
        <v>4082.9967992289858</v>
      </c>
      <c r="H77">
        <f>Portfolio!B$7*'CurrentPor-Equ Factor Movements'!J77</f>
        <v>2148.0998964419859</v>
      </c>
      <c r="I77">
        <f t="shared" si="2"/>
        <v>96825.932602765606</v>
      </c>
      <c r="J77">
        <f t="shared" si="1"/>
        <v>-306.02990896109259</v>
      </c>
    </row>
    <row r="78" spans="1:10">
      <c r="A78" s="1">
        <v>45579</v>
      </c>
      <c r="B78">
        <f>(3/(1+('CurrentPor-Equ Factor Movements'!C78)/100)+103/POWER(1+('CurrentPor-Equ Factor Movements'!D78)/100,2))*100</f>
        <v>9707.5857774288397</v>
      </c>
      <c r="C78">
        <f>(3/(1+('CurrentPor-Equ Factor Movements'!C78+'CurrentPor-Equ Factor Movements'!G78)/100)+103/POWER(1+('CurrentPor-Equ Factor Movements'!D78+'CurrentPor-Equ Factor Movements'!G78)/100,2))*100</f>
        <v>9614.9673582483465</v>
      </c>
      <c r="D78">
        <f>(3/(1+('CurrentPor-Equ Factor Movements'!C78+'CurrentPor-Equ Factor Movements'!H78)/100)+103/POWER(1+('CurrentPor-Equ Factor Movements'!D78+'CurrentPor-Equ Factor Movements'!H78)/100,2))*100</f>
        <v>9601.2395558122898</v>
      </c>
      <c r="E78">
        <f>(3/(1+('CurrentPor-Equ Factor Movements'!C78+'CurrentPor-Equ Factor Movements'!I78)/100)+103/POWER(1+('CurrentPor-Equ Factor Movements'!D78+'CurrentPor-Equ Factor Movements'!I78)/100,2))*100</f>
        <v>9581.4547115644182</v>
      </c>
      <c r="F78">
        <f>Portfolio!B$5*'CurrentPor-Equ Factor Movements'!E78</f>
        <v>52593.597347749252</v>
      </c>
      <c r="G78">
        <f>Portfolio!B$6*'CurrentPor-Equ Factor Movements'!F78</f>
        <v>4074.2954633723757</v>
      </c>
      <c r="H78">
        <f>Portfolio!B$7*'CurrentPor-Equ Factor Movements'!J78</f>
        <v>2148.0998964419859</v>
      </c>
      <c r="I78">
        <f t="shared" si="2"/>
        <v>97321.240110617495</v>
      </c>
      <c r="J78">
        <f t="shared" ref="J78:J141" si="3">I78-I68</f>
        <v>233.8239150615118</v>
      </c>
    </row>
    <row r="79" spans="1:10">
      <c r="A79" s="1">
        <v>45580</v>
      </c>
      <c r="B79">
        <f>(3/(1+('CurrentPor-Equ Factor Movements'!C79)/100)+103/POWER(1+('CurrentPor-Equ Factor Movements'!D79)/100,2))*100</f>
        <v>9707.5857774288397</v>
      </c>
      <c r="C79">
        <f>(3/(1+('CurrentPor-Equ Factor Movements'!C79+'CurrentPor-Equ Factor Movements'!G79)/100)+103/POWER(1+('CurrentPor-Equ Factor Movements'!D79+'CurrentPor-Equ Factor Movements'!G79)/100,2))*100</f>
        <v>9614.9673582483465</v>
      </c>
      <c r="D79">
        <f>(3/(1+('CurrentPor-Equ Factor Movements'!C79+'CurrentPor-Equ Factor Movements'!H79)/100)+103/POWER(1+('CurrentPor-Equ Factor Movements'!D79+'CurrentPor-Equ Factor Movements'!H79)/100,2))*100</f>
        <v>9601.2395558122898</v>
      </c>
      <c r="E79">
        <f>(3/(1+('CurrentPor-Equ Factor Movements'!C79+'CurrentPor-Equ Factor Movements'!I79)/100)+103/POWER(1+('CurrentPor-Equ Factor Movements'!D79+'CurrentPor-Equ Factor Movements'!I79)/100,2))*100</f>
        <v>9581.4547115644182</v>
      </c>
      <c r="F79">
        <f>Portfolio!B$5*'CurrentPor-Equ Factor Movements'!E79</f>
        <v>52222.394295245089</v>
      </c>
      <c r="G79">
        <f>Portfolio!B$6*'CurrentPor-Equ Factor Movements'!F79</f>
        <v>3667.3729324734977</v>
      </c>
      <c r="H79">
        <f>Portfolio!B$7*'CurrentPor-Equ Factor Movements'!J79</f>
        <v>2148.0998964419859</v>
      </c>
      <c r="I79">
        <f t="shared" si="2"/>
        <v>96543.114527214464</v>
      </c>
      <c r="J79">
        <f t="shared" si="3"/>
        <v>-22.941251097072382</v>
      </c>
    </row>
    <row r="80" spans="1:10">
      <c r="A80" s="1">
        <v>45581</v>
      </c>
      <c r="B80">
        <f>(3/(1+('CurrentPor-Equ Factor Movements'!C80)/100)+103/POWER(1+('CurrentPor-Equ Factor Movements'!D80)/100,2))*100</f>
        <v>9707.5857774288397</v>
      </c>
      <c r="C80">
        <f>(3/(1+('CurrentPor-Equ Factor Movements'!C80+'CurrentPor-Equ Factor Movements'!G80)/100)+103/POWER(1+('CurrentPor-Equ Factor Movements'!D80+'CurrentPor-Equ Factor Movements'!G80)/100,2))*100</f>
        <v>9614.9673582483465</v>
      </c>
      <c r="D80">
        <f>(3/(1+('CurrentPor-Equ Factor Movements'!C80+'CurrentPor-Equ Factor Movements'!H80)/100)+103/POWER(1+('CurrentPor-Equ Factor Movements'!D80+'CurrentPor-Equ Factor Movements'!H80)/100,2))*100</f>
        <v>9601.2395558122898</v>
      </c>
      <c r="E80">
        <f>(3/(1+('CurrentPor-Equ Factor Movements'!C80+'CurrentPor-Equ Factor Movements'!I80)/100)+103/POWER(1+('CurrentPor-Equ Factor Movements'!D80+'CurrentPor-Equ Factor Movements'!I80)/100,2))*100</f>
        <v>9581.4547115644182</v>
      </c>
      <c r="F80">
        <f>Portfolio!B$5*'CurrentPor-Equ Factor Movements'!E80</f>
        <v>52352.002485107849</v>
      </c>
      <c r="G80">
        <f>Portfolio!B$6*'CurrentPor-Equ Factor Movements'!F80</f>
        <v>4101.1450857868604</v>
      </c>
      <c r="H80">
        <f>Portfolio!B$7*'CurrentPor-Equ Factor Movements'!J80</f>
        <v>2148.0998964419859</v>
      </c>
      <c r="I80">
        <f t="shared" si="2"/>
        <v>97106.494870390597</v>
      </c>
      <c r="J80">
        <f t="shared" si="3"/>
        <v>99.404058788481052</v>
      </c>
    </row>
    <row r="81" spans="1:10">
      <c r="A81" s="1">
        <v>45582</v>
      </c>
      <c r="B81">
        <f>(3/(1+('CurrentPor-Equ Factor Movements'!C81)/100)+103/POWER(1+('CurrentPor-Equ Factor Movements'!D81)/100,2))*100</f>
        <v>9707.5857774288397</v>
      </c>
      <c r="C81">
        <f>(3/(1+('CurrentPor-Equ Factor Movements'!C81+'CurrentPor-Equ Factor Movements'!G81)/100)+103/POWER(1+('CurrentPor-Equ Factor Movements'!D81+'CurrentPor-Equ Factor Movements'!G81)/100,2))*100</f>
        <v>9614.9673582483465</v>
      </c>
      <c r="D81">
        <f>(3/(1+('CurrentPor-Equ Factor Movements'!C81+'CurrentPor-Equ Factor Movements'!H81)/100)+103/POWER(1+('CurrentPor-Equ Factor Movements'!D81+'CurrentPor-Equ Factor Movements'!H81)/100,2))*100</f>
        <v>9601.2395558122898</v>
      </c>
      <c r="E81">
        <f>(3/(1+('CurrentPor-Equ Factor Movements'!C81+'CurrentPor-Equ Factor Movements'!I81)/100)+103/POWER(1+('CurrentPor-Equ Factor Movements'!D81+'CurrentPor-Equ Factor Movements'!I81)/100,2))*100</f>
        <v>9581.4547115644182</v>
      </c>
      <c r="F81">
        <f>Portfolio!B$5*'CurrentPor-Equ Factor Movements'!E81</f>
        <v>52267.863205164977</v>
      </c>
      <c r="G81">
        <f>Portfolio!B$6*'CurrentPor-Equ Factor Movements'!F81</f>
        <v>3923.1698459259378</v>
      </c>
      <c r="H81">
        <f>Portfolio!B$7*'CurrentPor-Equ Factor Movements'!J81</f>
        <v>2148.0998964419859</v>
      </c>
      <c r="I81">
        <f t="shared" si="2"/>
        <v>96844.380350586798</v>
      </c>
      <c r="J81">
        <f t="shared" si="3"/>
        <v>-353.38912627869286</v>
      </c>
    </row>
    <row r="82" spans="1:10">
      <c r="A82" s="1">
        <v>45583</v>
      </c>
      <c r="B82">
        <f>(3/(1+('CurrentPor-Equ Factor Movements'!C82)/100)+103/POWER(1+('CurrentPor-Equ Factor Movements'!D82)/100,2))*100</f>
        <v>9707.5857774288397</v>
      </c>
      <c r="C82">
        <f>(3/(1+('CurrentPor-Equ Factor Movements'!C82+'CurrentPor-Equ Factor Movements'!G82)/100)+103/POWER(1+('CurrentPor-Equ Factor Movements'!D82+'CurrentPor-Equ Factor Movements'!G82)/100,2))*100</f>
        <v>9614.9673582483465</v>
      </c>
      <c r="D82">
        <f>(3/(1+('CurrentPor-Equ Factor Movements'!C82+'CurrentPor-Equ Factor Movements'!H82)/100)+103/POWER(1+('CurrentPor-Equ Factor Movements'!D82+'CurrentPor-Equ Factor Movements'!H82)/100,2))*100</f>
        <v>9601.2395558122898</v>
      </c>
      <c r="E82">
        <f>(3/(1+('CurrentPor-Equ Factor Movements'!C82+'CurrentPor-Equ Factor Movements'!I82)/100)+103/POWER(1+('CurrentPor-Equ Factor Movements'!D82+'CurrentPor-Equ Factor Movements'!I82)/100,2))*100</f>
        <v>9581.4547115644182</v>
      </c>
      <c r="F82">
        <f>Portfolio!B$5*'CurrentPor-Equ Factor Movements'!E82</f>
        <v>52132.948499339545</v>
      </c>
      <c r="G82">
        <f>Portfolio!B$6*'CurrentPor-Equ Factor Movements'!F82</f>
        <v>3417.310362951258</v>
      </c>
      <c r="H82">
        <f>Portfolio!B$7*'CurrentPor-Equ Factor Movements'!J82</f>
        <v>2148.0998964419859</v>
      </c>
      <c r="I82">
        <f t="shared" si="2"/>
        <v>96203.60616178668</v>
      </c>
      <c r="J82">
        <f t="shared" si="3"/>
        <v>-919.09701617222163</v>
      </c>
    </row>
    <row r="83" spans="1:10">
      <c r="A83" s="1">
        <v>45586</v>
      </c>
      <c r="B83">
        <f>(3/(1+('CurrentPor-Equ Factor Movements'!C83)/100)+103/POWER(1+('CurrentPor-Equ Factor Movements'!D83)/100,2))*100</f>
        <v>9707.5857774288397</v>
      </c>
      <c r="C83">
        <f>(3/(1+('CurrentPor-Equ Factor Movements'!C83+'CurrentPor-Equ Factor Movements'!G83)/100)+103/POWER(1+('CurrentPor-Equ Factor Movements'!D83+'CurrentPor-Equ Factor Movements'!G83)/100,2))*100</f>
        <v>9614.9673582483465</v>
      </c>
      <c r="D83">
        <f>(3/(1+('CurrentPor-Equ Factor Movements'!C83+'CurrentPor-Equ Factor Movements'!H83)/100)+103/POWER(1+('CurrentPor-Equ Factor Movements'!D83+'CurrentPor-Equ Factor Movements'!H83)/100,2))*100</f>
        <v>9601.2395558122898</v>
      </c>
      <c r="E83">
        <f>(3/(1+('CurrentPor-Equ Factor Movements'!C83+'CurrentPor-Equ Factor Movements'!I83)/100)+103/POWER(1+('CurrentPor-Equ Factor Movements'!D83+'CurrentPor-Equ Factor Movements'!I83)/100,2))*100</f>
        <v>9581.4547115644182</v>
      </c>
      <c r="F83">
        <f>Portfolio!B$5*'CurrentPor-Equ Factor Movements'!E83</f>
        <v>52336.036671364389</v>
      </c>
      <c r="G83">
        <f>Portfolio!B$6*'CurrentPor-Equ Factor Movements'!F83</f>
        <v>3563.9322231381157</v>
      </c>
      <c r="H83">
        <f>Portfolio!B$7*'CurrentPor-Equ Factor Movements'!J83</f>
        <v>2148.0998964419859</v>
      </c>
      <c r="I83">
        <f t="shared" si="2"/>
        <v>96553.316193998369</v>
      </c>
      <c r="J83">
        <f t="shared" si="3"/>
        <v>-449.11654302426905</v>
      </c>
    </row>
    <row r="84" spans="1:10">
      <c r="A84" s="1">
        <v>45587</v>
      </c>
      <c r="B84">
        <f>(3/(1+('CurrentPor-Equ Factor Movements'!C84)/100)+103/POWER(1+('CurrentPor-Equ Factor Movements'!D84)/100,2))*100</f>
        <v>9707.5857774288397</v>
      </c>
      <c r="C84">
        <f>(3/(1+('CurrentPor-Equ Factor Movements'!C84+'CurrentPor-Equ Factor Movements'!G84)/100)+103/POWER(1+('CurrentPor-Equ Factor Movements'!D84+'CurrentPor-Equ Factor Movements'!G84)/100,2))*100</f>
        <v>9614.9673582483465</v>
      </c>
      <c r="D84">
        <f>(3/(1+('CurrentPor-Equ Factor Movements'!C84+'CurrentPor-Equ Factor Movements'!H84)/100)+103/POWER(1+('CurrentPor-Equ Factor Movements'!D84+'CurrentPor-Equ Factor Movements'!H84)/100,2))*100</f>
        <v>9601.2395558122898</v>
      </c>
      <c r="E84">
        <f>(3/(1+('CurrentPor-Equ Factor Movements'!C84+'CurrentPor-Equ Factor Movements'!I84)/100)+103/POWER(1+('CurrentPor-Equ Factor Movements'!D84+'CurrentPor-Equ Factor Movements'!I84)/100,2))*100</f>
        <v>9581.4547115644182</v>
      </c>
      <c r="F84">
        <f>Portfolio!B$5*'CurrentPor-Equ Factor Movements'!E84</f>
        <v>52547.498033619413</v>
      </c>
      <c r="G84">
        <f>Portfolio!B$6*'CurrentPor-Equ Factor Movements'!F84</f>
        <v>4033.1045093462408</v>
      </c>
      <c r="H84">
        <f>Portfolio!B$7*'CurrentPor-Equ Factor Movements'!J84</f>
        <v>2148.0998964419859</v>
      </c>
      <c r="I84">
        <f t="shared" si="2"/>
        <v>97233.949842461545</v>
      </c>
      <c r="J84">
        <f t="shared" si="3"/>
        <v>917.80906879690883</v>
      </c>
    </row>
    <row r="85" spans="1:10">
      <c r="A85" s="1">
        <v>45588</v>
      </c>
      <c r="B85">
        <f>(3/(1+('CurrentPor-Equ Factor Movements'!C85)/100)+103/POWER(1+('CurrentPor-Equ Factor Movements'!D85)/100,2))*100</f>
        <v>9707.5857774288397</v>
      </c>
      <c r="C85">
        <f>(3/(1+('CurrentPor-Equ Factor Movements'!C85+'CurrentPor-Equ Factor Movements'!G85)/100)+103/POWER(1+('CurrentPor-Equ Factor Movements'!D85+'CurrentPor-Equ Factor Movements'!G85)/100,2))*100</f>
        <v>9614.9673582483465</v>
      </c>
      <c r="D85">
        <f>(3/(1+('CurrentPor-Equ Factor Movements'!C85+'CurrentPor-Equ Factor Movements'!H85)/100)+103/POWER(1+('CurrentPor-Equ Factor Movements'!D85+'CurrentPor-Equ Factor Movements'!H85)/100,2))*100</f>
        <v>9601.2395558122898</v>
      </c>
      <c r="E85">
        <f>(3/(1+('CurrentPor-Equ Factor Movements'!C85+'CurrentPor-Equ Factor Movements'!I85)/100)+103/POWER(1+('CurrentPor-Equ Factor Movements'!D85+'CurrentPor-Equ Factor Movements'!I85)/100,2))*100</f>
        <v>9581.4547115644182</v>
      </c>
      <c r="F85">
        <f>Portfolio!B$5*'CurrentPor-Equ Factor Movements'!E85</f>
        <v>52021.590295737406</v>
      </c>
      <c r="G85">
        <f>Portfolio!B$6*'CurrentPor-Equ Factor Movements'!F85</f>
        <v>3762.2926369600473</v>
      </c>
      <c r="H85">
        <f>Portfolio!B$7*'CurrentPor-Equ Factor Movements'!J85</f>
        <v>2148.0998964419859</v>
      </c>
      <c r="I85">
        <f t="shared" si="2"/>
        <v>96437.230232193324</v>
      </c>
      <c r="J85">
        <f t="shared" si="3"/>
        <v>102.13147579815995</v>
      </c>
    </row>
    <row r="86" spans="1:10">
      <c r="A86" s="1">
        <v>45589</v>
      </c>
      <c r="B86">
        <f>(3/(1+('CurrentPor-Equ Factor Movements'!C86)/100)+103/POWER(1+('CurrentPor-Equ Factor Movements'!D86)/100,2))*100</f>
        <v>9707.5857774288397</v>
      </c>
      <c r="C86">
        <f>(3/(1+('CurrentPor-Equ Factor Movements'!C86+'CurrentPor-Equ Factor Movements'!G86)/100)+103/POWER(1+('CurrentPor-Equ Factor Movements'!D86+'CurrentPor-Equ Factor Movements'!G86)/100,2))*100</f>
        <v>9614.9673582483465</v>
      </c>
      <c r="D86">
        <f>(3/(1+('CurrentPor-Equ Factor Movements'!C86+'CurrentPor-Equ Factor Movements'!H86)/100)+103/POWER(1+('CurrentPor-Equ Factor Movements'!D86+'CurrentPor-Equ Factor Movements'!H86)/100,2))*100</f>
        <v>9601.2395558122898</v>
      </c>
      <c r="E86">
        <f>(3/(1+('CurrentPor-Equ Factor Movements'!C86+'CurrentPor-Equ Factor Movements'!I86)/100)+103/POWER(1+('CurrentPor-Equ Factor Movements'!D86+'CurrentPor-Equ Factor Movements'!I86)/100,2))*100</f>
        <v>9581.4547115644182</v>
      </c>
      <c r="F86">
        <f>Portfolio!B$5*'CurrentPor-Equ Factor Movements'!E86</f>
        <v>52229.017643570696</v>
      </c>
      <c r="G86">
        <f>Portfolio!B$6*'CurrentPor-Equ Factor Movements'!F86</f>
        <v>3872.5236458315708</v>
      </c>
      <c r="H86">
        <f>Portfolio!B$7*'CurrentPor-Equ Factor Movements'!J86</f>
        <v>2148.0998964419859</v>
      </c>
      <c r="I86">
        <f t="shared" si="2"/>
        <v>96754.888588898146</v>
      </c>
      <c r="J86">
        <f t="shared" si="3"/>
        <v>-31.665339360217331</v>
      </c>
    </row>
    <row r="87" spans="1:10">
      <c r="A87" s="1">
        <v>45590</v>
      </c>
      <c r="B87">
        <f>(3/(1+('CurrentPor-Equ Factor Movements'!C87)/100)+103/POWER(1+('CurrentPor-Equ Factor Movements'!D87)/100,2))*100</f>
        <v>9707.5857774288397</v>
      </c>
      <c r="C87">
        <f>(3/(1+('CurrentPor-Equ Factor Movements'!C87+'CurrentPor-Equ Factor Movements'!G87)/100)+103/POWER(1+('CurrentPor-Equ Factor Movements'!D87+'CurrentPor-Equ Factor Movements'!G87)/100,2))*100</f>
        <v>9614.9673582483465</v>
      </c>
      <c r="D87">
        <f>(3/(1+('CurrentPor-Equ Factor Movements'!C87+'CurrentPor-Equ Factor Movements'!H87)/100)+103/POWER(1+('CurrentPor-Equ Factor Movements'!D87+'CurrentPor-Equ Factor Movements'!H87)/100,2))*100</f>
        <v>9601.2395558122898</v>
      </c>
      <c r="E87">
        <f>(3/(1+('CurrentPor-Equ Factor Movements'!C87+'CurrentPor-Equ Factor Movements'!I87)/100)+103/POWER(1+('CurrentPor-Equ Factor Movements'!D87+'CurrentPor-Equ Factor Movements'!I87)/100,2))*100</f>
        <v>9581.4547115644182</v>
      </c>
      <c r="F87">
        <f>Portfolio!B$5*'CurrentPor-Equ Factor Movements'!E87</f>
        <v>52153.763729080616</v>
      </c>
      <c r="G87">
        <f>Portfolio!B$6*'CurrentPor-Equ Factor Movements'!F87</f>
        <v>4128.7693514467346</v>
      </c>
      <c r="H87">
        <f>Portfolio!B$7*'CurrentPor-Equ Factor Movements'!J87</f>
        <v>2148.0998964419859</v>
      </c>
      <c r="I87">
        <f t="shared" si="2"/>
        <v>96935.880380023227</v>
      </c>
      <c r="J87">
        <f t="shared" si="3"/>
        <v>109.94777725762106</v>
      </c>
    </row>
    <row r="88" spans="1:10">
      <c r="A88" s="1">
        <v>45593</v>
      </c>
      <c r="B88">
        <f>(3/(1+('CurrentPor-Equ Factor Movements'!C88)/100)+103/POWER(1+('CurrentPor-Equ Factor Movements'!D88)/100,2))*100</f>
        <v>9707.5857774288397</v>
      </c>
      <c r="C88">
        <f>(3/(1+('CurrentPor-Equ Factor Movements'!C88+'CurrentPor-Equ Factor Movements'!G88)/100)+103/POWER(1+('CurrentPor-Equ Factor Movements'!D88+'CurrentPor-Equ Factor Movements'!G88)/100,2))*100</f>
        <v>9614.9673582483465</v>
      </c>
      <c r="D88">
        <f>(3/(1+('CurrentPor-Equ Factor Movements'!C88+'CurrentPor-Equ Factor Movements'!H88)/100)+103/POWER(1+('CurrentPor-Equ Factor Movements'!D88+'CurrentPor-Equ Factor Movements'!H88)/100,2))*100</f>
        <v>9601.2395558122898</v>
      </c>
      <c r="E88">
        <f>(3/(1+('CurrentPor-Equ Factor Movements'!C88+'CurrentPor-Equ Factor Movements'!I88)/100)+103/POWER(1+('CurrentPor-Equ Factor Movements'!D88+'CurrentPor-Equ Factor Movements'!I88)/100,2))*100</f>
        <v>9581.4547115644182</v>
      </c>
      <c r="F88">
        <f>Portfolio!B$5*'CurrentPor-Equ Factor Movements'!E88</f>
        <v>52175.952422059432</v>
      </c>
      <c r="G88">
        <f>Portfolio!B$6*'CurrentPor-Equ Factor Movements'!F88</f>
        <v>4005.3404199661509</v>
      </c>
      <c r="H88">
        <f>Portfolio!B$7*'CurrentPor-Equ Factor Movements'!J88</f>
        <v>2148.0998964419859</v>
      </c>
      <c r="I88">
        <f t="shared" si="2"/>
        <v>96834.64014152145</v>
      </c>
      <c r="J88">
        <f t="shared" si="3"/>
        <v>-486.59996909604524</v>
      </c>
    </row>
    <row r="89" spans="1:10">
      <c r="A89" s="1">
        <v>45594</v>
      </c>
      <c r="B89">
        <f>(3/(1+('CurrentPor-Equ Factor Movements'!C89)/100)+103/POWER(1+('CurrentPor-Equ Factor Movements'!D89)/100,2))*100</f>
        <v>9707.5857774288397</v>
      </c>
      <c r="C89">
        <f>(3/(1+('CurrentPor-Equ Factor Movements'!C89+'CurrentPor-Equ Factor Movements'!G89)/100)+103/POWER(1+('CurrentPor-Equ Factor Movements'!D89+'CurrentPor-Equ Factor Movements'!G89)/100,2))*100</f>
        <v>9614.9673582483465</v>
      </c>
      <c r="D89">
        <f>(3/(1+('CurrentPor-Equ Factor Movements'!C89+'CurrentPor-Equ Factor Movements'!H89)/100)+103/POWER(1+('CurrentPor-Equ Factor Movements'!D89+'CurrentPor-Equ Factor Movements'!H89)/100,2))*100</f>
        <v>9601.2395558122898</v>
      </c>
      <c r="E89">
        <f>(3/(1+('CurrentPor-Equ Factor Movements'!C89+'CurrentPor-Equ Factor Movements'!I89)/100)+103/POWER(1+('CurrentPor-Equ Factor Movements'!D89+'CurrentPor-Equ Factor Movements'!I89)/100,2))*100</f>
        <v>9581.4547115644182</v>
      </c>
      <c r="F89">
        <f>Portfolio!B$5*'CurrentPor-Equ Factor Movements'!E89</f>
        <v>52696.875265761541</v>
      </c>
      <c r="G89">
        <f>Portfolio!B$6*'CurrentPor-Equ Factor Movements'!F89</f>
        <v>3805.4365694868075</v>
      </c>
      <c r="H89">
        <f>Portfolio!B$7*'CurrentPor-Equ Factor Movements'!J89</f>
        <v>2148.0998964419859</v>
      </c>
      <c r="I89">
        <f t="shared" si="2"/>
        <v>97155.659134744215</v>
      </c>
      <c r="J89">
        <f t="shared" si="3"/>
        <v>612.54460752975137</v>
      </c>
    </row>
    <row r="90" spans="1:10">
      <c r="A90" s="1">
        <v>45595</v>
      </c>
      <c r="B90">
        <f>(3/(1+('CurrentPor-Equ Factor Movements'!C90)/100)+103/POWER(1+('CurrentPor-Equ Factor Movements'!D90)/100,2))*100</f>
        <v>9707.5857774288397</v>
      </c>
      <c r="C90">
        <f>(3/(1+('CurrentPor-Equ Factor Movements'!C90+'CurrentPor-Equ Factor Movements'!G90)/100)+103/POWER(1+('CurrentPor-Equ Factor Movements'!D90+'CurrentPor-Equ Factor Movements'!G90)/100,2))*100</f>
        <v>9614.9673582483465</v>
      </c>
      <c r="D90">
        <f>(3/(1+('CurrentPor-Equ Factor Movements'!C90+'CurrentPor-Equ Factor Movements'!H90)/100)+103/POWER(1+('CurrentPor-Equ Factor Movements'!D90+'CurrentPor-Equ Factor Movements'!H90)/100,2))*100</f>
        <v>9601.2395558122898</v>
      </c>
      <c r="E90">
        <f>(3/(1+('CurrentPor-Equ Factor Movements'!C90+'CurrentPor-Equ Factor Movements'!I90)/100)+103/POWER(1+('CurrentPor-Equ Factor Movements'!D90+'CurrentPor-Equ Factor Movements'!I90)/100,2))*100</f>
        <v>9581.4547115644182</v>
      </c>
      <c r="F90">
        <f>Portfolio!B$5*'CurrentPor-Equ Factor Movements'!E90</f>
        <v>52425.974874087333</v>
      </c>
      <c r="G90">
        <f>Portfolio!B$6*'CurrentPor-Equ Factor Movements'!F90</f>
        <v>4087.4245944671543</v>
      </c>
      <c r="H90">
        <f>Portfolio!B$7*'CurrentPor-Equ Factor Movements'!J90</f>
        <v>2148.0998964419859</v>
      </c>
      <c r="I90">
        <f t="shared" si="2"/>
        <v>97166.746768050376</v>
      </c>
      <c r="J90">
        <f t="shared" si="3"/>
        <v>60.251897659778479</v>
      </c>
    </row>
    <row r="91" spans="1:10">
      <c r="A91" s="1">
        <v>45596</v>
      </c>
      <c r="B91">
        <f>(3/(1+('CurrentPor-Equ Factor Movements'!C91)/100)+103/POWER(1+('CurrentPor-Equ Factor Movements'!D91)/100,2))*100</f>
        <v>9707.5857774288397</v>
      </c>
      <c r="C91">
        <f>(3/(1+('CurrentPor-Equ Factor Movements'!C91+'CurrentPor-Equ Factor Movements'!G91)/100)+103/POWER(1+('CurrentPor-Equ Factor Movements'!D91+'CurrentPor-Equ Factor Movements'!G91)/100,2))*100</f>
        <v>9614.9673582483465</v>
      </c>
      <c r="D91">
        <f>(3/(1+('CurrentPor-Equ Factor Movements'!C91+'CurrentPor-Equ Factor Movements'!H91)/100)+103/POWER(1+('CurrentPor-Equ Factor Movements'!D91+'CurrentPor-Equ Factor Movements'!H91)/100,2))*100</f>
        <v>9601.2395558122898</v>
      </c>
      <c r="E91">
        <f>(3/(1+('CurrentPor-Equ Factor Movements'!C91+'CurrentPor-Equ Factor Movements'!I91)/100)+103/POWER(1+('CurrentPor-Equ Factor Movements'!D91+'CurrentPor-Equ Factor Movements'!I91)/100,2))*100</f>
        <v>9581.4547115644182</v>
      </c>
      <c r="F91">
        <f>Portfolio!B$5*'CurrentPor-Equ Factor Movements'!E91</f>
        <v>52290.941476239561</v>
      </c>
      <c r="G91">
        <f>Portfolio!B$6*'CurrentPor-Equ Factor Movements'!F91</f>
        <v>4005.2019932884127</v>
      </c>
      <c r="H91">
        <f>Portfolio!B$7*'CurrentPor-Equ Factor Movements'!J91</f>
        <v>2148.0998964419859</v>
      </c>
      <c r="I91">
        <f t="shared" si="2"/>
        <v>96949.490769023847</v>
      </c>
      <c r="J91">
        <f t="shared" si="3"/>
        <v>105.11041843704879</v>
      </c>
    </row>
    <row r="92" spans="1:10">
      <c r="A92" s="1">
        <v>45597</v>
      </c>
      <c r="B92">
        <f>(3/(1+('CurrentPor-Equ Factor Movements'!C92)/100)+103/POWER(1+('CurrentPor-Equ Factor Movements'!D92)/100,2))*100</f>
        <v>9707.5857774288397</v>
      </c>
      <c r="C92">
        <f>(3/(1+('CurrentPor-Equ Factor Movements'!C92+'CurrentPor-Equ Factor Movements'!G92)/100)+103/POWER(1+('CurrentPor-Equ Factor Movements'!D92+'CurrentPor-Equ Factor Movements'!G92)/100,2))*100</f>
        <v>9614.9673582483465</v>
      </c>
      <c r="D92">
        <f>(3/(1+('CurrentPor-Equ Factor Movements'!C92+'CurrentPor-Equ Factor Movements'!H92)/100)+103/POWER(1+('CurrentPor-Equ Factor Movements'!D92+'CurrentPor-Equ Factor Movements'!H92)/100,2))*100</f>
        <v>9601.2395558122898</v>
      </c>
      <c r="E92">
        <f>(3/(1+('CurrentPor-Equ Factor Movements'!C92+'CurrentPor-Equ Factor Movements'!I92)/100)+103/POWER(1+('CurrentPor-Equ Factor Movements'!D92+'CurrentPor-Equ Factor Movements'!I92)/100,2))*100</f>
        <v>9581.4547115644182</v>
      </c>
      <c r="F92">
        <f>Portfolio!B$5*'CurrentPor-Equ Factor Movements'!E92</f>
        <v>52283.393856032912</v>
      </c>
      <c r="G92">
        <f>Portfolio!B$6*'CurrentPor-Equ Factor Movements'!F92</f>
        <v>3761.5186545000306</v>
      </c>
      <c r="H92">
        <f>Portfolio!B$7*'CurrentPor-Equ Factor Movements'!J92</f>
        <v>2148.0998964419859</v>
      </c>
      <c r="I92">
        <f t="shared" si="2"/>
        <v>96698.259810028831</v>
      </c>
      <c r="J92">
        <f t="shared" si="3"/>
        <v>494.65364824215067</v>
      </c>
    </row>
    <row r="93" spans="1:10">
      <c r="A93" s="1">
        <v>45600</v>
      </c>
      <c r="B93">
        <f>(3/(1+('CurrentPor-Equ Factor Movements'!C93)/100)+103/POWER(1+('CurrentPor-Equ Factor Movements'!D93)/100,2))*100</f>
        <v>9707.5857774288397</v>
      </c>
      <c r="C93">
        <f>(3/(1+('CurrentPor-Equ Factor Movements'!C93+'CurrentPor-Equ Factor Movements'!G93)/100)+103/POWER(1+('CurrentPor-Equ Factor Movements'!D93+'CurrentPor-Equ Factor Movements'!G93)/100,2))*100</f>
        <v>9614.9673582483465</v>
      </c>
      <c r="D93">
        <f>(3/(1+('CurrentPor-Equ Factor Movements'!C93+'CurrentPor-Equ Factor Movements'!H93)/100)+103/POWER(1+('CurrentPor-Equ Factor Movements'!D93+'CurrentPor-Equ Factor Movements'!H93)/100,2))*100</f>
        <v>9601.2395558122898</v>
      </c>
      <c r="E93">
        <f>(3/(1+('CurrentPor-Equ Factor Movements'!C93+'CurrentPor-Equ Factor Movements'!I93)/100)+103/POWER(1+('CurrentPor-Equ Factor Movements'!D93+'CurrentPor-Equ Factor Movements'!I93)/100,2))*100</f>
        <v>9581.4547115644182</v>
      </c>
      <c r="F93">
        <f>Portfolio!B$5*'CurrentPor-Equ Factor Movements'!E93</f>
        <v>52208.446789866779</v>
      </c>
      <c r="G93">
        <f>Portfolio!B$6*'CurrentPor-Equ Factor Movements'!F93</f>
        <v>3911.2148494293747</v>
      </c>
      <c r="H93">
        <f>Portfolio!B$7*'CurrentPor-Equ Factor Movements'!J93</f>
        <v>2148.0998964419859</v>
      </c>
      <c r="I93">
        <f t="shared" si="2"/>
        <v>96773.008938792031</v>
      </c>
      <c r="J93">
        <f t="shared" si="3"/>
        <v>219.6927447936614</v>
      </c>
    </row>
    <row r="94" spans="1:10">
      <c r="A94" s="1">
        <v>45601</v>
      </c>
      <c r="B94">
        <f>(3/(1+('CurrentPor-Equ Factor Movements'!C94)/100)+103/POWER(1+('CurrentPor-Equ Factor Movements'!D94)/100,2))*100</f>
        <v>9707.5857774288397</v>
      </c>
      <c r="C94">
        <f>(3/(1+('CurrentPor-Equ Factor Movements'!C94+'CurrentPor-Equ Factor Movements'!G94)/100)+103/POWER(1+('CurrentPor-Equ Factor Movements'!D94+'CurrentPor-Equ Factor Movements'!G94)/100,2))*100</f>
        <v>9614.9673582483465</v>
      </c>
      <c r="D94">
        <f>(3/(1+('CurrentPor-Equ Factor Movements'!C94+'CurrentPor-Equ Factor Movements'!H94)/100)+103/POWER(1+('CurrentPor-Equ Factor Movements'!D94+'CurrentPor-Equ Factor Movements'!H94)/100,2))*100</f>
        <v>9601.2395558122898</v>
      </c>
      <c r="E94">
        <f>(3/(1+('CurrentPor-Equ Factor Movements'!C94+'CurrentPor-Equ Factor Movements'!I94)/100)+103/POWER(1+('CurrentPor-Equ Factor Movements'!D94+'CurrentPor-Equ Factor Movements'!I94)/100,2))*100</f>
        <v>9581.4547115644182</v>
      </c>
      <c r="F94">
        <f>Portfolio!B$5*'CurrentPor-Equ Factor Movements'!E94</f>
        <v>52128.978144168366</v>
      </c>
      <c r="G94">
        <f>Portfolio!B$6*'CurrentPor-Equ Factor Movements'!F94</f>
        <v>3884.5244214688973</v>
      </c>
      <c r="H94">
        <f>Portfolio!B$7*'CurrentPor-Equ Factor Movements'!J94</f>
        <v>2148.0998964419859</v>
      </c>
      <c r="I94">
        <f t="shared" si="2"/>
        <v>96666.849865133147</v>
      </c>
      <c r="J94">
        <f t="shared" si="3"/>
        <v>-567.09997732839838</v>
      </c>
    </row>
    <row r="95" spans="1:10">
      <c r="A95" s="1">
        <v>45602</v>
      </c>
      <c r="B95">
        <f>(3/(1+('CurrentPor-Equ Factor Movements'!C95)/100)+103/POWER(1+('CurrentPor-Equ Factor Movements'!D95)/100,2))*100</f>
        <v>9707.5857774288397</v>
      </c>
      <c r="C95">
        <f>(3/(1+('CurrentPor-Equ Factor Movements'!C95+'CurrentPor-Equ Factor Movements'!G95)/100)+103/POWER(1+('CurrentPor-Equ Factor Movements'!D95+'CurrentPor-Equ Factor Movements'!G95)/100,2))*100</f>
        <v>9614.9673582483465</v>
      </c>
      <c r="D95">
        <f>(3/(1+('CurrentPor-Equ Factor Movements'!C95+'CurrentPor-Equ Factor Movements'!H95)/100)+103/POWER(1+('CurrentPor-Equ Factor Movements'!D95+'CurrentPor-Equ Factor Movements'!H95)/100,2))*100</f>
        <v>9601.2395558122898</v>
      </c>
      <c r="E95">
        <f>(3/(1+('CurrentPor-Equ Factor Movements'!C95+'CurrentPor-Equ Factor Movements'!I95)/100)+103/POWER(1+('CurrentPor-Equ Factor Movements'!D95+'CurrentPor-Equ Factor Movements'!I95)/100,2))*100</f>
        <v>9581.4547115644182</v>
      </c>
      <c r="F95">
        <f>Portfolio!B$5*'CurrentPor-Equ Factor Movements'!E95</f>
        <v>52039.28707781175</v>
      </c>
      <c r="G95">
        <f>Portfolio!B$6*'CurrentPor-Equ Factor Movements'!F95</f>
        <v>3425.6592278303451</v>
      </c>
      <c r="H95">
        <f>Portfolio!B$7*'CurrentPor-Equ Factor Movements'!J95</f>
        <v>2148.0998964419859</v>
      </c>
      <c r="I95">
        <f t="shared" si="2"/>
        <v>96118.293605137966</v>
      </c>
      <c r="J95">
        <f t="shared" si="3"/>
        <v>-318.93662705535826</v>
      </c>
    </row>
    <row r="96" spans="1:10">
      <c r="A96" s="1">
        <v>45603</v>
      </c>
      <c r="B96">
        <f>(3/(1+('CurrentPor-Equ Factor Movements'!C96)/100)+103/POWER(1+('CurrentPor-Equ Factor Movements'!D96)/100,2))*100</f>
        <v>9707.5857774288397</v>
      </c>
      <c r="C96">
        <f>(3/(1+('CurrentPor-Equ Factor Movements'!C96+'CurrentPor-Equ Factor Movements'!G96)/100)+103/POWER(1+('CurrentPor-Equ Factor Movements'!D96+'CurrentPor-Equ Factor Movements'!G96)/100,2))*100</f>
        <v>9614.9673582483465</v>
      </c>
      <c r="D96">
        <f>(3/(1+('CurrentPor-Equ Factor Movements'!C96+'CurrentPor-Equ Factor Movements'!H96)/100)+103/POWER(1+('CurrentPor-Equ Factor Movements'!D96+'CurrentPor-Equ Factor Movements'!H96)/100,2))*100</f>
        <v>9601.2395558122898</v>
      </c>
      <c r="E96">
        <f>(3/(1+('CurrentPor-Equ Factor Movements'!C96+'CurrentPor-Equ Factor Movements'!I96)/100)+103/POWER(1+('CurrentPor-Equ Factor Movements'!D96+'CurrentPor-Equ Factor Movements'!I96)/100,2))*100</f>
        <v>9581.4547115644182</v>
      </c>
      <c r="F96">
        <f>Portfolio!B$5*'CurrentPor-Equ Factor Movements'!E96</f>
        <v>52145.280033661256</v>
      </c>
      <c r="G96">
        <f>Portfolio!B$6*'CurrentPor-Equ Factor Movements'!F96</f>
        <v>3785.3019053041562</v>
      </c>
      <c r="H96">
        <f>Portfolio!B$7*'CurrentPor-Equ Factor Movements'!J96</f>
        <v>2148.0998964419859</v>
      </c>
      <c r="I96">
        <f t="shared" si="2"/>
        <v>96583.929238461278</v>
      </c>
      <c r="J96">
        <f t="shared" si="3"/>
        <v>-170.95935043686768</v>
      </c>
    </row>
    <row r="97" spans="1:10">
      <c r="A97" s="1">
        <v>45604</v>
      </c>
      <c r="B97">
        <f>(3/(1+('CurrentPor-Equ Factor Movements'!C97)/100)+103/POWER(1+('CurrentPor-Equ Factor Movements'!D97)/100,2))*100</f>
        <v>9707.5857774288397</v>
      </c>
      <c r="C97">
        <f>(3/(1+('CurrentPor-Equ Factor Movements'!C97+'CurrentPor-Equ Factor Movements'!G97)/100)+103/POWER(1+('CurrentPor-Equ Factor Movements'!D97+'CurrentPor-Equ Factor Movements'!G97)/100,2))*100</f>
        <v>9614.9673582483465</v>
      </c>
      <c r="D97">
        <f>(3/(1+('CurrentPor-Equ Factor Movements'!C97+'CurrentPor-Equ Factor Movements'!H97)/100)+103/POWER(1+('CurrentPor-Equ Factor Movements'!D97+'CurrentPor-Equ Factor Movements'!H97)/100,2))*100</f>
        <v>9601.2395558122898</v>
      </c>
      <c r="E97">
        <f>(3/(1+('CurrentPor-Equ Factor Movements'!C97+'CurrentPor-Equ Factor Movements'!I97)/100)+103/POWER(1+('CurrentPor-Equ Factor Movements'!D97+'CurrentPor-Equ Factor Movements'!I97)/100,2))*100</f>
        <v>9581.4547115644182</v>
      </c>
      <c r="F97">
        <f>Portfolio!B$5*'CurrentPor-Equ Factor Movements'!E97</f>
        <v>52517.899490181182</v>
      </c>
      <c r="G97">
        <f>Portfolio!B$6*'CurrentPor-Equ Factor Movements'!F97</f>
        <v>3810.8639553585072</v>
      </c>
      <c r="H97">
        <f>Portfolio!B$7*'CurrentPor-Equ Factor Movements'!J97</f>
        <v>2148.0998964419859</v>
      </c>
      <c r="I97">
        <f t="shared" si="2"/>
        <v>96982.110745035563</v>
      </c>
      <c r="J97">
        <f t="shared" si="3"/>
        <v>46.230365012335824</v>
      </c>
    </row>
    <row r="98" spans="1:10">
      <c r="A98" s="1">
        <v>45607</v>
      </c>
      <c r="B98">
        <f>(3/(1+('CurrentPor-Equ Factor Movements'!C98)/100)+103/POWER(1+('CurrentPor-Equ Factor Movements'!D98)/100,2))*100</f>
        <v>9707.5857774288397</v>
      </c>
      <c r="C98">
        <f>(3/(1+('CurrentPor-Equ Factor Movements'!C98+'CurrentPor-Equ Factor Movements'!G98)/100)+103/POWER(1+('CurrentPor-Equ Factor Movements'!D98+'CurrentPor-Equ Factor Movements'!G98)/100,2))*100</f>
        <v>9614.9673582483465</v>
      </c>
      <c r="D98">
        <f>(3/(1+('CurrentPor-Equ Factor Movements'!C98+'CurrentPor-Equ Factor Movements'!H98)/100)+103/POWER(1+('CurrentPor-Equ Factor Movements'!D98+'CurrentPor-Equ Factor Movements'!H98)/100,2))*100</f>
        <v>9601.2395558122898</v>
      </c>
      <c r="E98">
        <f>(3/(1+('CurrentPor-Equ Factor Movements'!C98+'CurrentPor-Equ Factor Movements'!I98)/100)+103/POWER(1+('CurrentPor-Equ Factor Movements'!D98+'CurrentPor-Equ Factor Movements'!I98)/100,2))*100</f>
        <v>9581.4547115644182</v>
      </c>
      <c r="F98">
        <f>Portfolio!B$5*'CurrentPor-Equ Factor Movements'!E98</f>
        <v>52209.22697385506</v>
      </c>
      <c r="G98">
        <f>Portfolio!B$6*'CurrentPor-Equ Factor Movements'!F98</f>
        <v>3634.9820159151377</v>
      </c>
      <c r="H98">
        <f>Portfolio!B$7*'CurrentPor-Equ Factor Movements'!J98</f>
        <v>2148.0998964419859</v>
      </c>
      <c r="I98">
        <f t="shared" si="2"/>
        <v>96497.556289266082</v>
      </c>
      <c r="J98">
        <f t="shared" si="3"/>
        <v>-337.08385225536767</v>
      </c>
    </row>
    <row r="99" spans="1:10">
      <c r="A99" s="1">
        <v>45608</v>
      </c>
      <c r="B99">
        <f>(3/(1+('CurrentPor-Equ Factor Movements'!C99)/100)+103/POWER(1+('CurrentPor-Equ Factor Movements'!D99)/100,2))*100</f>
        <v>9707.5857774288397</v>
      </c>
      <c r="C99">
        <f>(3/(1+('CurrentPor-Equ Factor Movements'!C99+'CurrentPor-Equ Factor Movements'!G99)/100)+103/POWER(1+('CurrentPor-Equ Factor Movements'!D99+'CurrentPor-Equ Factor Movements'!G99)/100,2))*100</f>
        <v>9614.9673582483465</v>
      </c>
      <c r="D99">
        <f>(3/(1+('CurrentPor-Equ Factor Movements'!C99+'CurrentPor-Equ Factor Movements'!H99)/100)+103/POWER(1+('CurrentPor-Equ Factor Movements'!D99+'CurrentPor-Equ Factor Movements'!H99)/100,2))*100</f>
        <v>9601.2395558122898</v>
      </c>
      <c r="E99">
        <f>(3/(1+('CurrentPor-Equ Factor Movements'!C99+'CurrentPor-Equ Factor Movements'!I99)/100)+103/POWER(1+('CurrentPor-Equ Factor Movements'!D99+'CurrentPor-Equ Factor Movements'!I99)/100,2))*100</f>
        <v>9581.4547115644182</v>
      </c>
      <c r="F99">
        <f>Portfolio!B$5*'CurrentPor-Equ Factor Movements'!E99</f>
        <v>52219.679416442377</v>
      </c>
      <c r="G99">
        <f>Portfolio!B$6*'CurrentPor-Equ Factor Movements'!F99</f>
        <v>4249.1132569922283</v>
      </c>
      <c r="H99">
        <f>Portfolio!B$7*'CurrentPor-Equ Factor Movements'!J99</f>
        <v>2148.0998964419859</v>
      </c>
      <c r="I99">
        <f t="shared" si="2"/>
        <v>97122.139972930483</v>
      </c>
      <c r="J99">
        <f t="shared" si="3"/>
        <v>-33.519161813732353</v>
      </c>
    </row>
    <row r="100" spans="1:10">
      <c r="A100" s="1">
        <v>45609</v>
      </c>
      <c r="B100">
        <f>(3/(1+('CurrentPor-Equ Factor Movements'!C100)/100)+103/POWER(1+('CurrentPor-Equ Factor Movements'!D100)/100,2))*100</f>
        <v>9707.5857774288397</v>
      </c>
      <c r="C100">
        <f>(3/(1+('CurrentPor-Equ Factor Movements'!C100+'CurrentPor-Equ Factor Movements'!G100)/100)+103/POWER(1+('CurrentPor-Equ Factor Movements'!D100+'CurrentPor-Equ Factor Movements'!G100)/100,2))*100</f>
        <v>9614.9673582483465</v>
      </c>
      <c r="D100">
        <f>(3/(1+('CurrentPor-Equ Factor Movements'!C100+'CurrentPor-Equ Factor Movements'!H100)/100)+103/POWER(1+('CurrentPor-Equ Factor Movements'!D100+'CurrentPor-Equ Factor Movements'!H100)/100,2))*100</f>
        <v>9601.2395558122898</v>
      </c>
      <c r="E100">
        <f>(3/(1+('CurrentPor-Equ Factor Movements'!C100+'CurrentPor-Equ Factor Movements'!I100)/100)+103/POWER(1+('CurrentPor-Equ Factor Movements'!D100+'CurrentPor-Equ Factor Movements'!I100)/100,2))*100</f>
        <v>9581.4547115644182</v>
      </c>
      <c r="F100">
        <f>Portfolio!B$5*'CurrentPor-Equ Factor Movements'!E100</f>
        <v>52429.98532646511</v>
      </c>
      <c r="G100">
        <f>Portfolio!B$6*'CurrentPor-Equ Factor Movements'!F100</f>
        <v>3787.7433597978561</v>
      </c>
      <c r="H100">
        <f>Portfolio!B$7*'CurrentPor-Equ Factor Movements'!J100</f>
        <v>2148.0998964419859</v>
      </c>
      <c r="I100">
        <f t="shared" si="2"/>
        <v>96871.075985758842</v>
      </c>
      <c r="J100">
        <f t="shared" si="3"/>
        <v>-295.67078229153412</v>
      </c>
    </row>
    <row r="101" spans="1:10">
      <c r="A101" s="1">
        <v>45610</v>
      </c>
      <c r="B101">
        <f>(3/(1+('CurrentPor-Equ Factor Movements'!C101)/100)+103/POWER(1+('CurrentPor-Equ Factor Movements'!D101)/100,2))*100</f>
        <v>9707.5857774288397</v>
      </c>
      <c r="C101">
        <f>(3/(1+('CurrentPor-Equ Factor Movements'!C101+'CurrentPor-Equ Factor Movements'!G101)/100)+103/POWER(1+('CurrentPor-Equ Factor Movements'!D101+'CurrentPor-Equ Factor Movements'!G101)/100,2))*100</f>
        <v>9614.9673582483465</v>
      </c>
      <c r="D101">
        <f>(3/(1+('CurrentPor-Equ Factor Movements'!C101+'CurrentPor-Equ Factor Movements'!H101)/100)+103/POWER(1+('CurrentPor-Equ Factor Movements'!D101+'CurrentPor-Equ Factor Movements'!H101)/100,2))*100</f>
        <v>9601.2395558122898</v>
      </c>
      <c r="E101">
        <f>(3/(1+('CurrentPor-Equ Factor Movements'!C101+'CurrentPor-Equ Factor Movements'!I101)/100)+103/POWER(1+('CurrentPor-Equ Factor Movements'!D101+'CurrentPor-Equ Factor Movements'!I101)/100,2))*100</f>
        <v>9581.4547115644182</v>
      </c>
      <c r="F101">
        <f>Portfolio!B$5*'CurrentPor-Equ Factor Movements'!E101</f>
        <v>52541.539983883536</v>
      </c>
      <c r="G101">
        <f>Portfolio!B$6*'CurrentPor-Equ Factor Movements'!F101</f>
        <v>3921.7832920561355</v>
      </c>
      <c r="H101">
        <f>Portfolio!B$7*'CurrentPor-Equ Factor Movements'!J101</f>
        <v>2148.0998964419859</v>
      </c>
      <c r="I101">
        <f t="shared" si="2"/>
        <v>97116.67057543555</v>
      </c>
      <c r="J101">
        <f t="shared" si="3"/>
        <v>167.17980641170288</v>
      </c>
    </row>
    <row r="102" spans="1:10">
      <c r="A102" s="1">
        <v>45611</v>
      </c>
      <c r="B102">
        <f>(3/(1+('CurrentPor-Equ Factor Movements'!C102)/100)+103/POWER(1+('CurrentPor-Equ Factor Movements'!D102)/100,2))*100</f>
        <v>9707.5857774288397</v>
      </c>
      <c r="C102">
        <f>(3/(1+('CurrentPor-Equ Factor Movements'!C102+'CurrentPor-Equ Factor Movements'!G102)/100)+103/POWER(1+('CurrentPor-Equ Factor Movements'!D102+'CurrentPor-Equ Factor Movements'!G102)/100,2))*100</f>
        <v>9614.9673582483465</v>
      </c>
      <c r="D102">
        <f>(3/(1+('CurrentPor-Equ Factor Movements'!C102+'CurrentPor-Equ Factor Movements'!H102)/100)+103/POWER(1+('CurrentPor-Equ Factor Movements'!D102+'CurrentPor-Equ Factor Movements'!H102)/100,2))*100</f>
        <v>9601.2395558122898</v>
      </c>
      <c r="E102">
        <f>(3/(1+('CurrentPor-Equ Factor Movements'!C102+'CurrentPor-Equ Factor Movements'!I102)/100)+103/POWER(1+('CurrentPor-Equ Factor Movements'!D102+'CurrentPor-Equ Factor Movements'!I102)/100,2))*100</f>
        <v>9581.4547115644182</v>
      </c>
      <c r="F102">
        <f>Portfolio!B$5*'CurrentPor-Equ Factor Movements'!E102</f>
        <v>52128.099113062141</v>
      </c>
      <c r="G102">
        <f>Portfolio!B$6*'CurrentPor-Equ Factor Movements'!F102</f>
        <v>3818.9835399805679</v>
      </c>
      <c r="H102">
        <f>Portfolio!B$7*'CurrentPor-Equ Factor Movements'!J102</f>
        <v>2148.0998964419859</v>
      </c>
      <c r="I102">
        <f t="shared" si="2"/>
        <v>96600.429952538587</v>
      </c>
      <c r="J102">
        <f t="shared" si="3"/>
        <v>-97.829857490243739</v>
      </c>
    </row>
    <row r="103" spans="1:10">
      <c r="A103" s="1">
        <v>45614</v>
      </c>
      <c r="B103">
        <f>(3/(1+('CurrentPor-Equ Factor Movements'!C103)/100)+103/POWER(1+('CurrentPor-Equ Factor Movements'!D103)/100,2))*100</f>
        <v>9707.5857774288397</v>
      </c>
      <c r="C103">
        <f>(3/(1+('CurrentPor-Equ Factor Movements'!C103+'CurrentPor-Equ Factor Movements'!G103)/100)+103/POWER(1+('CurrentPor-Equ Factor Movements'!D103+'CurrentPor-Equ Factor Movements'!G103)/100,2))*100</f>
        <v>9614.9673582483465</v>
      </c>
      <c r="D103">
        <f>(3/(1+('CurrentPor-Equ Factor Movements'!C103+'CurrentPor-Equ Factor Movements'!H103)/100)+103/POWER(1+('CurrentPor-Equ Factor Movements'!D103+'CurrentPor-Equ Factor Movements'!H103)/100,2))*100</f>
        <v>9601.2395558122898</v>
      </c>
      <c r="E103">
        <f>(3/(1+('CurrentPor-Equ Factor Movements'!C103+'CurrentPor-Equ Factor Movements'!I103)/100)+103/POWER(1+('CurrentPor-Equ Factor Movements'!D103+'CurrentPor-Equ Factor Movements'!I103)/100,2))*100</f>
        <v>9581.4547115644182</v>
      </c>
      <c r="F103">
        <f>Portfolio!B$5*'CurrentPor-Equ Factor Movements'!E103</f>
        <v>52180.388524598777</v>
      </c>
      <c r="G103">
        <f>Portfolio!B$6*'CurrentPor-Equ Factor Movements'!F103</f>
        <v>4051.8475222776019</v>
      </c>
      <c r="H103">
        <f>Portfolio!B$7*'CurrentPor-Equ Factor Movements'!J103</f>
        <v>2148.0998964419859</v>
      </c>
      <c r="I103">
        <f t="shared" si="2"/>
        <v>96885.583346372267</v>
      </c>
      <c r="J103">
        <f t="shared" si="3"/>
        <v>112.57440758023586</v>
      </c>
    </row>
    <row r="104" spans="1:10">
      <c r="A104" s="1">
        <v>45615</v>
      </c>
      <c r="B104">
        <f>(3/(1+('CurrentPor-Equ Factor Movements'!C104)/100)+103/POWER(1+('CurrentPor-Equ Factor Movements'!D104)/100,2))*100</f>
        <v>9707.5857774288397</v>
      </c>
      <c r="C104">
        <f>(3/(1+('CurrentPor-Equ Factor Movements'!C104+'CurrentPor-Equ Factor Movements'!G104)/100)+103/POWER(1+('CurrentPor-Equ Factor Movements'!D104+'CurrentPor-Equ Factor Movements'!G104)/100,2))*100</f>
        <v>9614.9673582483465</v>
      </c>
      <c r="D104">
        <f>(3/(1+('CurrentPor-Equ Factor Movements'!C104+'CurrentPor-Equ Factor Movements'!H104)/100)+103/POWER(1+('CurrentPor-Equ Factor Movements'!D104+'CurrentPor-Equ Factor Movements'!H104)/100,2))*100</f>
        <v>9601.2395558122898</v>
      </c>
      <c r="E104">
        <f>(3/(1+('CurrentPor-Equ Factor Movements'!C104+'CurrentPor-Equ Factor Movements'!I104)/100)+103/POWER(1+('CurrentPor-Equ Factor Movements'!D104+'CurrentPor-Equ Factor Movements'!I104)/100,2))*100</f>
        <v>9581.4547115644182</v>
      </c>
      <c r="F104">
        <f>Portfolio!B$5*'CurrentPor-Equ Factor Movements'!E104</f>
        <v>52239.25577210608</v>
      </c>
      <c r="G104">
        <f>Portfolio!B$6*'CurrentPor-Equ Factor Movements'!F104</f>
        <v>3632.5281636166465</v>
      </c>
      <c r="H104">
        <f>Portfolio!B$7*'CurrentPor-Equ Factor Movements'!J104</f>
        <v>2148.0998964419859</v>
      </c>
      <c r="I104">
        <f t="shared" si="2"/>
        <v>96525.131235218607</v>
      </c>
      <c r="J104">
        <f t="shared" si="3"/>
        <v>-141.71862991453963</v>
      </c>
    </row>
    <row r="105" spans="1:10">
      <c r="A105" s="1">
        <v>45616</v>
      </c>
      <c r="B105">
        <f>(3/(1+('CurrentPor-Equ Factor Movements'!C105)/100)+103/POWER(1+('CurrentPor-Equ Factor Movements'!D105)/100,2))*100</f>
        <v>9707.5857774288397</v>
      </c>
      <c r="C105">
        <f>(3/(1+('CurrentPor-Equ Factor Movements'!C105+'CurrentPor-Equ Factor Movements'!G105)/100)+103/POWER(1+('CurrentPor-Equ Factor Movements'!D105+'CurrentPor-Equ Factor Movements'!G105)/100,2))*100</f>
        <v>9614.9673582483465</v>
      </c>
      <c r="D105">
        <f>(3/(1+('CurrentPor-Equ Factor Movements'!C105+'CurrentPor-Equ Factor Movements'!H105)/100)+103/POWER(1+('CurrentPor-Equ Factor Movements'!D105+'CurrentPor-Equ Factor Movements'!H105)/100,2))*100</f>
        <v>9601.2395558122898</v>
      </c>
      <c r="E105">
        <f>(3/(1+('CurrentPor-Equ Factor Movements'!C105+'CurrentPor-Equ Factor Movements'!I105)/100)+103/POWER(1+('CurrentPor-Equ Factor Movements'!D105+'CurrentPor-Equ Factor Movements'!I105)/100,2))*100</f>
        <v>9581.4547115644182</v>
      </c>
      <c r="F105">
        <f>Portfolio!B$5*'CurrentPor-Equ Factor Movements'!E105</f>
        <v>52505.469508964532</v>
      </c>
      <c r="G105">
        <f>Portfolio!B$6*'CurrentPor-Equ Factor Movements'!F105</f>
        <v>3768.113507081925</v>
      </c>
      <c r="H105">
        <f>Portfolio!B$7*'CurrentPor-Equ Factor Movements'!J105</f>
        <v>2148.0998964419859</v>
      </c>
      <c r="I105">
        <f t="shared" si="2"/>
        <v>96926.93031554234</v>
      </c>
      <c r="J105">
        <f t="shared" si="3"/>
        <v>808.63671040437475</v>
      </c>
    </row>
    <row r="106" spans="1:10">
      <c r="A106" s="1">
        <v>45617</v>
      </c>
      <c r="B106">
        <f>(3/(1+('CurrentPor-Equ Factor Movements'!C106)/100)+103/POWER(1+('CurrentPor-Equ Factor Movements'!D106)/100,2))*100</f>
        <v>9707.5857774288397</v>
      </c>
      <c r="C106">
        <f>(3/(1+('CurrentPor-Equ Factor Movements'!C106+'CurrentPor-Equ Factor Movements'!G106)/100)+103/POWER(1+('CurrentPor-Equ Factor Movements'!D106+'CurrentPor-Equ Factor Movements'!G106)/100,2))*100</f>
        <v>9614.9673582483465</v>
      </c>
      <c r="D106">
        <f>(3/(1+('CurrentPor-Equ Factor Movements'!C106+'CurrentPor-Equ Factor Movements'!H106)/100)+103/POWER(1+('CurrentPor-Equ Factor Movements'!D106+'CurrentPor-Equ Factor Movements'!H106)/100,2))*100</f>
        <v>9601.2395558122898</v>
      </c>
      <c r="E106">
        <f>(3/(1+('CurrentPor-Equ Factor Movements'!C106+'CurrentPor-Equ Factor Movements'!I106)/100)+103/POWER(1+('CurrentPor-Equ Factor Movements'!D106+'CurrentPor-Equ Factor Movements'!I106)/100,2))*100</f>
        <v>9581.4547115644182</v>
      </c>
      <c r="F106">
        <f>Portfolio!B$5*'CurrentPor-Equ Factor Movements'!E106</f>
        <v>52162.004555104912</v>
      </c>
      <c r="G106">
        <f>Portfolio!B$6*'CurrentPor-Equ Factor Movements'!F106</f>
        <v>3659.295152485116</v>
      </c>
      <c r="H106">
        <f>Portfolio!B$7*'CurrentPor-Equ Factor Movements'!J106</f>
        <v>2148.0998964419859</v>
      </c>
      <c r="I106">
        <f t="shared" si="2"/>
        <v>96474.647007085892</v>
      </c>
      <c r="J106">
        <f t="shared" si="3"/>
        <v>-109.28223137538589</v>
      </c>
    </row>
    <row r="107" spans="1:10">
      <c r="A107" s="1">
        <v>45618</v>
      </c>
      <c r="B107">
        <f>(3/(1+('CurrentPor-Equ Factor Movements'!C107)/100)+103/POWER(1+('CurrentPor-Equ Factor Movements'!D107)/100,2))*100</f>
        <v>9707.5857774288397</v>
      </c>
      <c r="C107">
        <f>(3/(1+('CurrentPor-Equ Factor Movements'!C107+'CurrentPor-Equ Factor Movements'!G107)/100)+103/POWER(1+('CurrentPor-Equ Factor Movements'!D107+'CurrentPor-Equ Factor Movements'!G107)/100,2))*100</f>
        <v>9614.9673582483465</v>
      </c>
      <c r="D107">
        <f>(3/(1+('CurrentPor-Equ Factor Movements'!C107+'CurrentPor-Equ Factor Movements'!H107)/100)+103/POWER(1+('CurrentPor-Equ Factor Movements'!D107+'CurrentPor-Equ Factor Movements'!H107)/100,2))*100</f>
        <v>9601.2395558122898</v>
      </c>
      <c r="E107">
        <f>(3/(1+('CurrentPor-Equ Factor Movements'!C107+'CurrentPor-Equ Factor Movements'!I107)/100)+103/POWER(1+('CurrentPor-Equ Factor Movements'!D107+'CurrentPor-Equ Factor Movements'!I107)/100,2))*100</f>
        <v>9581.4547115644182</v>
      </c>
      <c r="F107">
        <f>Portfolio!B$5*'CurrentPor-Equ Factor Movements'!E107</f>
        <v>52190.621135045527</v>
      </c>
      <c r="G107">
        <f>Portfolio!B$6*'CurrentPor-Equ Factor Movements'!F107</f>
        <v>3950.8227843590312</v>
      </c>
      <c r="H107">
        <f>Portfolio!B$7*'CurrentPor-Equ Factor Movements'!J107</f>
        <v>2148.0998964419859</v>
      </c>
      <c r="I107">
        <f t="shared" si="2"/>
        <v>96794.791218900442</v>
      </c>
      <c r="J107">
        <f t="shared" si="3"/>
        <v>-187.31952613512112</v>
      </c>
    </row>
    <row r="108" spans="1:10">
      <c r="A108" s="1">
        <v>45621</v>
      </c>
      <c r="B108">
        <f>(3/(1+('CurrentPor-Equ Factor Movements'!C108)/100)+103/POWER(1+('CurrentPor-Equ Factor Movements'!D108)/100,2))*100</f>
        <v>9707.5857774288397</v>
      </c>
      <c r="C108">
        <f>(3/(1+('CurrentPor-Equ Factor Movements'!C108+'CurrentPor-Equ Factor Movements'!G108)/100)+103/POWER(1+('CurrentPor-Equ Factor Movements'!D108+'CurrentPor-Equ Factor Movements'!G108)/100,2))*100</f>
        <v>9614.9673582483465</v>
      </c>
      <c r="D108">
        <f>(3/(1+('CurrentPor-Equ Factor Movements'!C108+'CurrentPor-Equ Factor Movements'!H108)/100)+103/POWER(1+('CurrentPor-Equ Factor Movements'!D108+'CurrentPor-Equ Factor Movements'!H108)/100,2))*100</f>
        <v>9601.2395558122898</v>
      </c>
      <c r="E108">
        <f>(3/(1+('CurrentPor-Equ Factor Movements'!C108+'CurrentPor-Equ Factor Movements'!I108)/100)+103/POWER(1+('CurrentPor-Equ Factor Movements'!D108+'CurrentPor-Equ Factor Movements'!I108)/100,2))*100</f>
        <v>9581.4547115644182</v>
      </c>
      <c r="F108">
        <f>Portfolio!B$5*'CurrentPor-Equ Factor Movements'!E108</f>
        <v>52019.675030168153</v>
      </c>
      <c r="G108">
        <f>Portfolio!B$6*'CurrentPor-Equ Factor Movements'!F108</f>
        <v>3723.9814681946696</v>
      </c>
      <c r="H108">
        <f>Portfolio!B$7*'CurrentPor-Equ Factor Movements'!J108</f>
        <v>2148.0998964419859</v>
      </c>
      <c r="I108">
        <f t="shared" si="2"/>
        <v>96397.003797858706</v>
      </c>
      <c r="J108">
        <f t="shared" si="3"/>
        <v>-100.55249140737578</v>
      </c>
    </row>
    <row r="109" spans="1:10">
      <c r="A109" s="1">
        <v>45622</v>
      </c>
      <c r="B109">
        <f>(3/(1+('CurrentPor-Equ Factor Movements'!C109)/100)+103/POWER(1+('CurrentPor-Equ Factor Movements'!D109)/100,2))*100</f>
        <v>9707.5857774288397</v>
      </c>
      <c r="C109">
        <f>(3/(1+('CurrentPor-Equ Factor Movements'!C109+'CurrentPor-Equ Factor Movements'!G109)/100)+103/POWER(1+('CurrentPor-Equ Factor Movements'!D109+'CurrentPor-Equ Factor Movements'!G109)/100,2))*100</f>
        <v>9614.9673582483465</v>
      </c>
      <c r="D109">
        <f>(3/(1+('CurrentPor-Equ Factor Movements'!C109+'CurrentPor-Equ Factor Movements'!H109)/100)+103/POWER(1+('CurrentPor-Equ Factor Movements'!D109+'CurrentPor-Equ Factor Movements'!H109)/100,2))*100</f>
        <v>9601.2395558122898</v>
      </c>
      <c r="E109">
        <f>(3/(1+('CurrentPor-Equ Factor Movements'!C109+'CurrentPor-Equ Factor Movements'!I109)/100)+103/POWER(1+('CurrentPor-Equ Factor Movements'!D109+'CurrentPor-Equ Factor Movements'!I109)/100,2))*100</f>
        <v>9581.4547115644182</v>
      </c>
      <c r="F109">
        <f>Portfolio!B$5*'CurrentPor-Equ Factor Movements'!E109</f>
        <v>52649.115688828817</v>
      </c>
      <c r="G109">
        <f>Portfolio!B$6*'CurrentPor-Equ Factor Movements'!F109</f>
        <v>3974.6146283121484</v>
      </c>
      <c r="H109">
        <f>Portfolio!B$7*'CurrentPor-Equ Factor Movements'!J109</f>
        <v>2148.0998964419859</v>
      </c>
      <c r="I109">
        <f t="shared" si="2"/>
        <v>97277.077616636845</v>
      </c>
      <c r="J109">
        <f t="shared" si="3"/>
        <v>154.937643706362</v>
      </c>
    </row>
    <row r="110" spans="1:10">
      <c r="A110" s="1">
        <v>45623</v>
      </c>
      <c r="B110">
        <f>(3/(1+('CurrentPor-Equ Factor Movements'!C110)/100)+103/POWER(1+('CurrentPor-Equ Factor Movements'!D110)/100,2))*100</f>
        <v>9707.5857774288397</v>
      </c>
      <c r="C110">
        <f>(3/(1+('CurrentPor-Equ Factor Movements'!C110+'CurrentPor-Equ Factor Movements'!G110)/100)+103/POWER(1+('CurrentPor-Equ Factor Movements'!D110+'CurrentPor-Equ Factor Movements'!G110)/100,2))*100</f>
        <v>9614.9673582483465</v>
      </c>
      <c r="D110">
        <f>(3/(1+('CurrentPor-Equ Factor Movements'!C110+'CurrentPor-Equ Factor Movements'!H110)/100)+103/POWER(1+('CurrentPor-Equ Factor Movements'!D110+'CurrentPor-Equ Factor Movements'!H110)/100,2))*100</f>
        <v>9601.2395558122898</v>
      </c>
      <c r="E110">
        <f>(3/(1+('CurrentPor-Equ Factor Movements'!C110+'CurrentPor-Equ Factor Movements'!I110)/100)+103/POWER(1+('CurrentPor-Equ Factor Movements'!D110+'CurrentPor-Equ Factor Movements'!I110)/100,2))*100</f>
        <v>9581.4547115644182</v>
      </c>
      <c r="F110">
        <f>Portfolio!B$5*'CurrentPor-Equ Factor Movements'!E110</f>
        <v>52391.616491160275</v>
      </c>
      <c r="G110">
        <f>Portfolio!B$6*'CurrentPor-Equ Factor Movements'!F110</f>
        <v>3514.8238917170902</v>
      </c>
      <c r="H110">
        <f>Portfolio!B$7*'CurrentPor-Equ Factor Movements'!J110</f>
        <v>2148.0998964419859</v>
      </c>
      <c r="I110">
        <f t="shared" si="2"/>
        <v>96559.787682373251</v>
      </c>
      <c r="J110">
        <f t="shared" si="3"/>
        <v>-311.28830338559055</v>
      </c>
    </row>
    <row r="111" spans="1:10">
      <c r="A111" s="1">
        <v>45624</v>
      </c>
      <c r="B111">
        <f>(3/(1+('CurrentPor-Equ Factor Movements'!C111)/100)+103/POWER(1+('CurrentPor-Equ Factor Movements'!D111)/100,2))*100</f>
        <v>9707.5857774288397</v>
      </c>
      <c r="C111">
        <f>(3/(1+('CurrentPor-Equ Factor Movements'!C111+'CurrentPor-Equ Factor Movements'!G111)/100)+103/POWER(1+('CurrentPor-Equ Factor Movements'!D111+'CurrentPor-Equ Factor Movements'!G111)/100,2))*100</f>
        <v>9614.9673582483465</v>
      </c>
      <c r="D111">
        <f>(3/(1+('CurrentPor-Equ Factor Movements'!C111+'CurrentPor-Equ Factor Movements'!H111)/100)+103/POWER(1+('CurrentPor-Equ Factor Movements'!D111+'CurrentPor-Equ Factor Movements'!H111)/100,2))*100</f>
        <v>9601.2395558122898</v>
      </c>
      <c r="E111">
        <f>(3/(1+('CurrentPor-Equ Factor Movements'!C111+'CurrentPor-Equ Factor Movements'!I111)/100)+103/POWER(1+('CurrentPor-Equ Factor Movements'!D111+'CurrentPor-Equ Factor Movements'!I111)/100,2))*100</f>
        <v>9581.4547115644182</v>
      </c>
      <c r="F111">
        <f>Portfolio!B$5*'CurrentPor-Equ Factor Movements'!E111</f>
        <v>51983.47772701965</v>
      </c>
      <c r="G111">
        <f>Portfolio!B$6*'CurrentPor-Equ Factor Movements'!F111</f>
        <v>3502.3257169214025</v>
      </c>
      <c r="H111">
        <f>Portfolio!B$7*'CurrentPor-Equ Factor Movements'!J111</f>
        <v>2148.0998964419859</v>
      </c>
      <c r="I111">
        <f t="shared" si="2"/>
        <v>96139.150743436941</v>
      </c>
      <c r="J111">
        <f t="shared" si="3"/>
        <v>-977.51983199860842</v>
      </c>
    </row>
    <row r="112" spans="1:10">
      <c r="A112" s="1">
        <v>45625</v>
      </c>
      <c r="B112">
        <f>(3/(1+('CurrentPor-Equ Factor Movements'!C112)/100)+103/POWER(1+('CurrentPor-Equ Factor Movements'!D112)/100,2))*100</f>
        <v>9707.5857774288397</v>
      </c>
      <c r="C112">
        <f>(3/(1+('CurrentPor-Equ Factor Movements'!C112+'CurrentPor-Equ Factor Movements'!G112)/100)+103/POWER(1+('CurrentPor-Equ Factor Movements'!D112+'CurrentPor-Equ Factor Movements'!G112)/100,2))*100</f>
        <v>9614.9673582483465</v>
      </c>
      <c r="D112">
        <f>(3/(1+('CurrentPor-Equ Factor Movements'!C112+'CurrentPor-Equ Factor Movements'!H112)/100)+103/POWER(1+('CurrentPor-Equ Factor Movements'!D112+'CurrentPor-Equ Factor Movements'!H112)/100,2))*100</f>
        <v>9601.2395558122898</v>
      </c>
      <c r="E112">
        <f>(3/(1+('CurrentPor-Equ Factor Movements'!C112+'CurrentPor-Equ Factor Movements'!I112)/100)+103/POWER(1+('CurrentPor-Equ Factor Movements'!D112+'CurrentPor-Equ Factor Movements'!I112)/100,2))*100</f>
        <v>9581.4547115644182</v>
      </c>
      <c r="F112">
        <f>Portfolio!B$5*'CurrentPor-Equ Factor Movements'!E112</f>
        <v>52414.959558184521</v>
      </c>
      <c r="G112">
        <f>Portfolio!B$6*'CurrentPor-Equ Factor Movements'!F112</f>
        <v>3745.951740984046</v>
      </c>
      <c r="H112">
        <f>Portfolio!B$7*'CurrentPor-Equ Factor Movements'!J112</f>
        <v>2148.0998964419859</v>
      </c>
      <c r="I112">
        <f t="shared" si="2"/>
        <v>96814.258598664441</v>
      </c>
      <c r="J112">
        <f t="shared" si="3"/>
        <v>213.82864612585399</v>
      </c>
    </row>
    <row r="113" spans="1:10">
      <c r="A113" s="1">
        <v>45628</v>
      </c>
      <c r="B113">
        <f>(3/(1+('CurrentPor-Equ Factor Movements'!C113)/100)+103/POWER(1+('CurrentPor-Equ Factor Movements'!D113)/100,2))*100</f>
        <v>9707.5857774288397</v>
      </c>
      <c r="C113">
        <f>(3/(1+('CurrentPor-Equ Factor Movements'!C113+'CurrentPor-Equ Factor Movements'!G113)/100)+103/POWER(1+('CurrentPor-Equ Factor Movements'!D113+'CurrentPor-Equ Factor Movements'!G113)/100,2))*100</f>
        <v>9614.9673582483465</v>
      </c>
      <c r="D113">
        <f>(3/(1+('CurrentPor-Equ Factor Movements'!C113+'CurrentPor-Equ Factor Movements'!H113)/100)+103/POWER(1+('CurrentPor-Equ Factor Movements'!D113+'CurrentPor-Equ Factor Movements'!H113)/100,2))*100</f>
        <v>9601.2395558122898</v>
      </c>
      <c r="E113">
        <f>(3/(1+('CurrentPor-Equ Factor Movements'!C113+'CurrentPor-Equ Factor Movements'!I113)/100)+103/POWER(1+('CurrentPor-Equ Factor Movements'!D113+'CurrentPor-Equ Factor Movements'!I113)/100,2))*100</f>
        <v>9581.4547115644182</v>
      </c>
      <c r="F113">
        <f>Portfolio!B$5*'CurrentPor-Equ Factor Movements'!E113</f>
        <v>52423.196489642498</v>
      </c>
      <c r="G113">
        <f>Portfolio!B$6*'CurrentPor-Equ Factor Movements'!F113</f>
        <v>3669.0748769064498</v>
      </c>
      <c r="H113">
        <f>Portfolio!B$7*'CurrentPor-Equ Factor Movements'!J113</f>
        <v>2148.0998964419859</v>
      </c>
      <c r="I113">
        <f t="shared" si="2"/>
        <v>96745.618666044829</v>
      </c>
      <c r="J113">
        <f t="shared" si="3"/>
        <v>-139.96468032743724</v>
      </c>
    </row>
    <row r="114" spans="1:10">
      <c r="A114" s="1">
        <v>45629</v>
      </c>
      <c r="B114">
        <f>(3/(1+('CurrentPor-Equ Factor Movements'!C114)/100)+103/POWER(1+('CurrentPor-Equ Factor Movements'!D114)/100,2))*100</f>
        <v>9707.5857774288397</v>
      </c>
      <c r="C114">
        <f>(3/(1+('CurrentPor-Equ Factor Movements'!C114+'CurrentPor-Equ Factor Movements'!G114)/100)+103/POWER(1+('CurrentPor-Equ Factor Movements'!D114+'CurrentPor-Equ Factor Movements'!G114)/100,2))*100</f>
        <v>9614.9673582483465</v>
      </c>
      <c r="D114">
        <f>(3/(1+('CurrentPor-Equ Factor Movements'!C114+'CurrentPor-Equ Factor Movements'!H114)/100)+103/POWER(1+('CurrentPor-Equ Factor Movements'!D114+'CurrentPor-Equ Factor Movements'!H114)/100,2))*100</f>
        <v>9601.2395558122898</v>
      </c>
      <c r="E114">
        <f>(3/(1+('CurrentPor-Equ Factor Movements'!C114+'CurrentPor-Equ Factor Movements'!I114)/100)+103/POWER(1+('CurrentPor-Equ Factor Movements'!D114+'CurrentPor-Equ Factor Movements'!I114)/100,2))*100</f>
        <v>9581.4547115644182</v>
      </c>
      <c r="F114">
        <f>Portfolio!B$5*'CurrentPor-Equ Factor Movements'!E114</f>
        <v>52411.162128613185</v>
      </c>
      <c r="G114">
        <f>Portfolio!B$6*'CurrentPor-Equ Factor Movements'!F114</f>
        <v>4014.6892107563717</v>
      </c>
      <c r="H114">
        <f>Portfolio!B$7*'CurrentPor-Equ Factor Movements'!J114</f>
        <v>2148.0998964419859</v>
      </c>
      <c r="I114">
        <f t="shared" si="2"/>
        <v>97079.198638865433</v>
      </c>
      <c r="J114">
        <f t="shared" si="3"/>
        <v>554.06740364682628</v>
      </c>
    </row>
    <row r="115" spans="1:10">
      <c r="A115" s="1">
        <v>45630</v>
      </c>
      <c r="B115">
        <f>(3/(1+('CurrentPor-Equ Factor Movements'!C115)/100)+103/POWER(1+('CurrentPor-Equ Factor Movements'!D115)/100,2))*100</f>
        <v>9707.5857774288397</v>
      </c>
      <c r="C115">
        <f>(3/(1+('CurrentPor-Equ Factor Movements'!C115+'CurrentPor-Equ Factor Movements'!G115)/100)+103/POWER(1+('CurrentPor-Equ Factor Movements'!D115+'CurrentPor-Equ Factor Movements'!G115)/100,2))*100</f>
        <v>9614.9673582483465</v>
      </c>
      <c r="D115">
        <f>(3/(1+('CurrentPor-Equ Factor Movements'!C115+'CurrentPor-Equ Factor Movements'!H115)/100)+103/POWER(1+('CurrentPor-Equ Factor Movements'!D115+'CurrentPor-Equ Factor Movements'!H115)/100,2))*100</f>
        <v>9601.2395558122898</v>
      </c>
      <c r="E115">
        <f>(3/(1+('CurrentPor-Equ Factor Movements'!C115+'CurrentPor-Equ Factor Movements'!I115)/100)+103/POWER(1+('CurrentPor-Equ Factor Movements'!D115+'CurrentPor-Equ Factor Movements'!I115)/100,2))*100</f>
        <v>9581.4547115644182</v>
      </c>
      <c r="F115">
        <f>Portfolio!B$5*'CurrentPor-Equ Factor Movements'!E115</f>
        <v>52244.628796070188</v>
      </c>
      <c r="G115">
        <f>Portfolio!B$6*'CurrentPor-Equ Factor Movements'!F115</f>
        <v>3661.9191076732513</v>
      </c>
      <c r="H115">
        <f>Portfolio!B$7*'CurrentPor-Equ Factor Movements'!J115</f>
        <v>2148.0998964419859</v>
      </c>
      <c r="I115">
        <f t="shared" si="2"/>
        <v>96559.895203239328</v>
      </c>
      <c r="J115">
        <f t="shared" si="3"/>
        <v>-367.03511230301228</v>
      </c>
    </row>
    <row r="116" spans="1:10">
      <c r="A116" s="1">
        <v>45631</v>
      </c>
      <c r="B116">
        <f>(3/(1+('CurrentPor-Equ Factor Movements'!C116)/100)+103/POWER(1+('CurrentPor-Equ Factor Movements'!D116)/100,2))*100</f>
        <v>9707.5857774288397</v>
      </c>
      <c r="C116">
        <f>(3/(1+('CurrentPor-Equ Factor Movements'!C116+'CurrentPor-Equ Factor Movements'!G116)/100)+103/POWER(1+('CurrentPor-Equ Factor Movements'!D116+'CurrentPor-Equ Factor Movements'!G116)/100,2))*100</f>
        <v>9614.9673582483465</v>
      </c>
      <c r="D116">
        <f>(3/(1+('CurrentPor-Equ Factor Movements'!C116+'CurrentPor-Equ Factor Movements'!H116)/100)+103/POWER(1+('CurrentPor-Equ Factor Movements'!D116+'CurrentPor-Equ Factor Movements'!H116)/100,2))*100</f>
        <v>9601.2395558122898</v>
      </c>
      <c r="E116">
        <f>(3/(1+('CurrentPor-Equ Factor Movements'!C116+'CurrentPor-Equ Factor Movements'!I116)/100)+103/POWER(1+('CurrentPor-Equ Factor Movements'!D116+'CurrentPor-Equ Factor Movements'!I116)/100,2))*100</f>
        <v>9581.4547115644182</v>
      </c>
      <c r="F116">
        <f>Portfolio!B$5*'CurrentPor-Equ Factor Movements'!E116</f>
        <v>51909.87726956579</v>
      </c>
      <c r="G116">
        <f>Portfolio!B$6*'CurrentPor-Equ Factor Movements'!F116</f>
        <v>3767.6700025158198</v>
      </c>
      <c r="H116">
        <f>Portfolio!B$7*'CurrentPor-Equ Factor Movements'!J116</f>
        <v>2148.0998964419859</v>
      </c>
      <c r="I116">
        <f t="shared" si="2"/>
        <v>96330.89457157749</v>
      </c>
      <c r="J116">
        <f t="shared" si="3"/>
        <v>-143.75243550840241</v>
      </c>
    </row>
    <row r="117" spans="1:10">
      <c r="A117" s="1">
        <v>45632</v>
      </c>
      <c r="B117">
        <f>(3/(1+('CurrentPor-Equ Factor Movements'!C117)/100)+103/POWER(1+('CurrentPor-Equ Factor Movements'!D117)/100,2))*100</f>
        <v>9707.5857774288397</v>
      </c>
      <c r="C117">
        <f>(3/(1+('CurrentPor-Equ Factor Movements'!C117+'CurrentPor-Equ Factor Movements'!G117)/100)+103/POWER(1+('CurrentPor-Equ Factor Movements'!D117+'CurrentPor-Equ Factor Movements'!G117)/100,2))*100</f>
        <v>9614.9673582483465</v>
      </c>
      <c r="D117">
        <f>(3/(1+('CurrentPor-Equ Factor Movements'!C117+'CurrentPor-Equ Factor Movements'!H117)/100)+103/POWER(1+('CurrentPor-Equ Factor Movements'!D117+'CurrentPor-Equ Factor Movements'!H117)/100,2))*100</f>
        <v>9601.2395558122898</v>
      </c>
      <c r="E117">
        <f>(3/(1+('CurrentPor-Equ Factor Movements'!C117+'CurrentPor-Equ Factor Movements'!I117)/100)+103/POWER(1+('CurrentPor-Equ Factor Movements'!D117+'CurrentPor-Equ Factor Movements'!I117)/100,2))*100</f>
        <v>9581.4547115644182</v>
      </c>
      <c r="F117">
        <f>Portfolio!B$5*'CurrentPor-Equ Factor Movements'!E117</f>
        <v>52302.160761590923</v>
      </c>
      <c r="G117">
        <f>Portfolio!B$6*'CurrentPor-Equ Factor Movements'!F117</f>
        <v>3785.8644612565085</v>
      </c>
      <c r="H117">
        <f>Portfolio!B$7*'CurrentPor-Equ Factor Movements'!J117</f>
        <v>2148.0998964419859</v>
      </c>
      <c r="I117">
        <f t="shared" si="2"/>
        <v>96741.372522343314</v>
      </c>
      <c r="J117">
        <f t="shared" si="3"/>
        <v>-53.418696557127987</v>
      </c>
    </row>
    <row r="118" spans="1:10">
      <c r="A118" s="1">
        <v>45635</v>
      </c>
      <c r="B118">
        <f>(3/(1+('CurrentPor-Equ Factor Movements'!C118)/100)+103/POWER(1+('CurrentPor-Equ Factor Movements'!D118)/100,2))*100</f>
        <v>9707.5857774288397</v>
      </c>
      <c r="C118">
        <f>(3/(1+('CurrentPor-Equ Factor Movements'!C118+'CurrentPor-Equ Factor Movements'!G118)/100)+103/POWER(1+('CurrentPor-Equ Factor Movements'!D118+'CurrentPor-Equ Factor Movements'!G118)/100,2))*100</f>
        <v>9614.9673582483465</v>
      </c>
      <c r="D118">
        <f>(3/(1+('CurrentPor-Equ Factor Movements'!C118+'CurrentPor-Equ Factor Movements'!H118)/100)+103/POWER(1+('CurrentPor-Equ Factor Movements'!D118+'CurrentPor-Equ Factor Movements'!H118)/100,2))*100</f>
        <v>9601.2395558122898</v>
      </c>
      <c r="E118">
        <f>(3/(1+('CurrentPor-Equ Factor Movements'!C118+'CurrentPor-Equ Factor Movements'!I118)/100)+103/POWER(1+('CurrentPor-Equ Factor Movements'!D118+'CurrentPor-Equ Factor Movements'!I118)/100,2))*100</f>
        <v>9581.4547115644182</v>
      </c>
      <c r="F118">
        <f>Portfolio!B$5*'CurrentPor-Equ Factor Movements'!E118</f>
        <v>52318.27070209782</v>
      </c>
      <c r="G118">
        <f>Portfolio!B$6*'CurrentPor-Equ Factor Movements'!F118</f>
        <v>3730.2931398484916</v>
      </c>
      <c r="H118">
        <f>Portfolio!B$7*'CurrentPor-Equ Factor Movements'!J118</f>
        <v>2148.0998964419859</v>
      </c>
      <c r="I118">
        <f t="shared" si="2"/>
        <v>96701.911141442193</v>
      </c>
      <c r="J118">
        <f t="shared" si="3"/>
        <v>304.90734358348709</v>
      </c>
    </row>
    <row r="119" spans="1:10">
      <c r="A119" s="1">
        <v>45636</v>
      </c>
      <c r="B119">
        <f>(3/(1+('CurrentPor-Equ Factor Movements'!C119)/100)+103/POWER(1+('CurrentPor-Equ Factor Movements'!D119)/100,2))*100</f>
        <v>9707.5857774288397</v>
      </c>
      <c r="C119">
        <f>(3/(1+('CurrentPor-Equ Factor Movements'!C119+'CurrentPor-Equ Factor Movements'!G119)/100)+103/POWER(1+('CurrentPor-Equ Factor Movements'!D119+'CurrentPor-Equ Factor Movements'!G119)/100,2))*100</f>
        <v>9614.9673582483465</v>
      </c>
      <c r="D119">
        <f>(3/(1+('CurrentPor-Equ Factor Movements'!C119+'CurrentPor-Equ Factor Movements'!H119)/100)+103/POWER(1+('CurrentPor-Equ Factor Movements'!D119+'CurrentPor-Equ Factor Movements'!H119)/100,2))*100</f>
        <v>9601.2395558122898</v>
      </c>
      <c r="E119">
        <f>(3/(1+('CurrentPor-Equ Factor Movements'!C119+'CurrentPor-Equ Factor Movements'!I119)/100)+103/POWER(1+('CurrentPor-Equ Factor Movements'!D119+'CurrentPor-Equ Factor Movements'!I119)/100,2))*100</f>
        <v>9581.4547115644182</v>
      </c>
      <c r="F119">
        <f>Portfolio!B$5*'CurrentPor-Equ Factor Movements'!E119</f>
        <v>52193.780247822324</v>
      </c>
      <c r="G119">
        <f>Portfolio!B$6*'CurrentPor-Equ Factor Movements'!F119</f>
        <v>3859.9090797585709</v>
      </c>
      <c r="H119">
        <f>Portfolio!B$7*'CurrentPor-Equ Factor Movements'!J119</f>
        <v>2148.0998964419859</v>
      </c>
      <c r="I119">
        <f t="shared" si="2"/>
        <v>96707.03662707677</v>
      </c>
      <c r="J119">
        <f t="shared" si="3"/>
        <v>-570.0409895600751</v>
      </c>
    </row>
    <row r="120" spans="1:10">
      <c r="A120" s="1">
        <v>45637</v>
      </c>
      <c r="B120">
        <f>(3/(1+('CurrentPor-Equ Factor Movements'!C120)/100)+103/POWER(1+('CurrentPor-Equ Factor Movements'!D120)/100,2))*100</f>
        <v>9707.5857774288397</v>
      </c>
      <c r="C120">
        <f>(3/(1+('CurrentPor-Equ Factor Movements'!C120+'CurrentPor-Equ Factor Movements'!G120)/100)+103/POWER(1+('CurrentPor-Equ Factor Movements'!D120+'CurrentPor-Equ Factor Movements'!G120)/100,2))*100</f>
        <v>9614.9673582483465</v>
      </c>
      <c r="D120">
        <f>(3/(1+('CurrentPor-Equ Factor Movements'!C120+'CurrentPor-Equ Factor Movements'!H120)/100)+103/POWER(1+('CurrentPor-Equ Factor Movements'!D120+'CurrentPor-Equ Factor Movements'!H120)/100,2))*100</f>
        <v>9601.2395558122898</v>
      </c>
      <c r="E120">
        <f>(3/(1+('CurrentPor-Equ Factor Movements'!C120+'CurrentPor-Equ Factor Movements'!I120)/100)+103/POWER(1+('CurrentPor-Equ Factor Movements'!D120+'CurrentPor-Equ Factor Movements'!I120)/100,2))*100</f>
        <v>9581.4547115644182</v>
      </c>
      <c r="F120">
        <f>Portfolio!B$5*'CurrentPor-Equ Factor Movements'!E120</f>
        <v>52639.593058755585</v>
      </c>
      <c r="G120">
        <f>Portfolio!B$6*'CurrentPor-Equ Factor Movements'!F120</f>
        <v>4127.1419081241074</v>
      </c>
      <c r="H120">
        <f>Portfolio!B$7*'CurrentPor-Equ Factor Movements'!J120</f>
        <v>2148.0998964419859</v>
      </c>
      <c r="I120">
        <f t="shared" si="2"/>
        <v>97420.082266375568</v>
      </c>
      <c r="J120">
        <f t="shared" si="3"/>
        <v>860.2945840023167</v>
      </c>
    </row>
    <row r="121" spans="1:10">
      <c r="A121" s="1">
        <v>45638</v>
      </c>
      <c r="B121">
        <f>(3/(1+('CurrentPor-Equ Factor Movements'!C121)/100)+103/POWER(1+('CurrentPor-Equ Factor Movements'!D121)/100,2))*100</f>
        <v>9707.5857774288397</v>
      </c>
      <c r="C121">
        <f>(3/(1+('CurrentPor-Equ Factor Movements'!C121+'CurrentPor-Equ Factor Movements'!G121)/100)+103/POWER(1+('CurrentPor-Equ Factor Movements'!D121+'CurrentPor-Equ Factor Movements'!G121)/100,2))*100</f>
        <v>9614.9673582483465</v>
      </c>
      <c r="D121">
        <f>(3/(1+('CurrentPor-Equ Factor Movements'!C121+'CurrentPor-Equ Factor Movements'!H121)/100)+103/POWER(1+('CurrentPor-Equ Factor Movements'!D121+'CurrentPor-Equ Factor Movements'!H121)/100,2))*100</f>
        <v>9601.2395558122898</v>
      </c>
      <c r="E121">
        <f>(3/(1+('CurrentPor-Equ Factor Movements'!C121+'CurrentPor-Equ Factor Movements'!I121)/100)+103/POWER(1+('CurrentPor-Equ Factor Movements'!D121+'CurrentPor-Equ Factor Movements'!I121)/100,2))*100</f>
        <v>9581.4547115644182</v>
      </c>
      <c r="F121">
        <f>Portfolio!B$5*'CurrentPor-Equ Factor Movements'!E121</f>
        <v>52668.263784012292</v>
      </c>
      <c r="G121">
        <f>Portfolio!B$6*'CurrentPor-Equ Factor Movements'!F121</f>
        <v>3554.8894772535618</v>
      </c>
      <c r="H121">
        <f>Portfolio!B$7*'CurrentPor-Equ Factor Movements'!J121</f>
        <v>2148.0998964419859</v>
      </c>
      <c r="I121">
        <f t="shared" si="2"/>
        <v>96876.50056076172</v>
      </c>
      <c r="J121">
        <f t="shared" si="3"/>
        <v>737.349817324779</v>
      </c>
    </row>
    <row r="122" spans="1:10">
      <c r="A122" s="1">
        <v>45639</v>
      </c>
      <c r="B122">
        <f>(3/(1+('CurrentPor-Equ Factor Movements'!C122)/100)+103/POWER(1+('CurrentPor-Equ Factor Movements'!D122)/100,2))*100</f>
        <v>9707.5857774288397</v>
      </c>
      <c r="C122">
        <f>(3/(1+('CurrentPor-Equ Factor Movements'!C122+'CurrentPor-Equ Factor Movements'!G122)/100)+103/POWER(1+('CurrentPor-Equ Factor Movements'!D122+'CurrentPor-Equ Factor Movements'!G122)/100,2))*100</f>
        <v>9614.9673582483465</v>
      </c>
      <c r="D122">
        <f>(3/(1+('CurrentPor-Equ Factor Movements'!C122+'CurrentPor-Equ Factor Movements'!H122)/100)+103/POWER(1+('CurrentPor-Equ Factor Movements'!D122+'CurrentPor-Equ Factor Movements'!H122)/100,2))*100</f>
        <v>9601.2395558122898</v>
      </c>
      <c r="E122">
        <f>(3/(1+('CurrentPor-Equ Factor Movements'!C122+'CurrentPor-Equ Factor Movements'!I122)/100)+103/POWER(1+('CurrentPor-Equ Factor Movements'!D122+'CurrentPor-Equ Factor Movements'!I122)/100,2))*100</f>
        <v>9581.4547115644182</v>
      </c>
      <c r="F122">
        <f>Portfolio!B$5*'CurrentPor-Equ Factor Movements'!E122</f>
        <v>52165.182017666055</v>
      </c>
      <c r="G122">
        <f>Portfolio!B$6*'CurrentPor-Equ Factor Movements'!F122</f>
        <v>3842.7265043070079</v>
      </c>
      <c r="H122">
        <f>Portfolio!B$7*'CurrentPor-Equ Factor Movements'!J122</f>
        <v>2148.0998964419859</v>
      </c>
      <c r="I122">
        <f t="shared" si="2"/>
        <v>96661.255821468934</v>
      </c>
      <c r="J122">
        <f t="shared" si="3"/>
        <v>-153.0027771955065</v>
      </c>
    </row>
    <row r="123" spans="1:10">
      <c r="A123" s="1">
        <v>45642</v>
      </c>
      <c r="B123">
        <f>(3/(1+('CurrentPor-Equ Factor Movements'!C123)/100)+103/POWER(1+('CurrentPor-Equ Factor Movements'!D123)/100,2))*100</f>
        <v>9707.5857774288397</v>
      </c>
      <c r="C123">
        <f>(3/(1+('CurrentPor-Equ Factor Movements'!C123+'CurrentPor-Equ Factor Movements'!G123)/100)+103/POWER(1+('CurrentPor-Equ Factor Movements'!D123+'CurrentPor-Equ Factor Movements'!G123)/100,2))*100</f>
        <v>9614.9673582483465</v>
      </c>
      <c r="D123">
        <f>(3/(1+('CurrentPor-Equ Factor Movements'!C123+'CurrentPor-Equ Factor Movements'!H123)/100)+103/POWER(1+('CurrentPor-Equ Factor Movements'!D123+'CurrentPor-Equ Factor Movements'!H123)/100,2))*100</f>
        <v>9601.2395558122898</v>
      </c>
      <c r="E123">
        <f>(3/(1+('CurrentPor-Equ Factor Movements'!C123+'CurrentPor-Equ Factor Movements'!I123)/100)+103/POWER(1+('CurrentPor-Equ Factor Movements'!D123+'CurrentPor-Equ Factor Movements'!I123)/100,2))*100</f>
        <v>9581.4547115644182</v>
      </c>
      <c r="F123">
        <f>Portfolio!B$5*'CurrentPor-Equ Factor Movements'!E123</f>
        <v>52178.846073333669</v>
      </c>
      <c r="G123">
        <f>Portfolio!B$6*'CurrentPor-Equ Factor Movements'!F123</f>
        <v>4023.7074590321017</v>
      </c>
      <c r="H123">
        <f>Portfolio!B$7*'CurrentPor-Equ Factor Movements'!J123</f>
        <v>2148.0998964419859</v>
      </c>
      <c r="I123">
        <f t="shared" si="2"/>
        <v>96855.90083186164</v>
      </c>
      <c r="J123">
        <f t="shared" si="3"/>
        <v>110.28216581681045</v>
      </c>
    </row>
    <row r="124" spans="1:10">
      <c r="A124" s="1">
        <v>45643</v>
      </c>
      <c r="B124">
        <f>(3/(1+('CurrentPor-Equ Factor Movements'!C124)/100)+103/POWER(1+('CurrentPor-Equ Factor Movements'!D124)/100,2))*100</f>
        <v>9707.5857774288397</v>
      </c>
      <c r="C124">
        <f>(3/(1+('CurrentPor-Equ Factor Movements'!C124+'CurrentPor-Equ Factor Movements'!G124)/100)+103/POWER(1+('CurrentPor-Equ Factor Movements'!D124+'CurrentPor-Equ Factor Movements'!G124)/100,2))*100</f>
        <v>9614.9673582483465</v>
      </c>
      <c r="D124">
        <f>(3/(1+('CurrentPor-Equ Factor Movements'!C124+'CurrentPor-Equ Factor Movements'!H124)/100)+103/POWER(1+('CurrentPor-Equ Factor Movements'!D124+'CurrentPor-Equ Factor Movements'!H124)/100,2))*100</f>
        <v>9601.2395558122898</v>
      </c>
      <c r="E124">
        <f>(3/(1+('CurrentPor-Equ Factor Movements'!C124+'CurrentPor-Equ Factor Movements'!I124)/100)+103/POWER(1+('CurrentPor-Equ Factor Movements'!D124+'CurrentPor-Equ Factor Movements'!I124)/100,2))*100</f>
        <v>9581.4547115644182</v>
      </c>
      <c r="F124">
        <f>Portfolio!B$5*'CurrentPor-Equ Factor Movements'!E124</f>
        <v>52086.540834987769</v>
      </c>
      <c r="G124">
        <f>Portfolio!B$6*'CurrentPor-Equ Factor Movements'!F124</f>
        <v>3844.8690462919708</v>
      </c>
      <c r="H124">
        <f>Portfolio!B$7*'CurrentPor-Equ Factor Movements'!J124</f>
        <v>2148.0998964419859</v>
      </c>
      <c r="I124">
        <f t="shared" si="2"/>
        <v>96584.757180775618</v>
      </c>
      <c r="J124">
        <f t="shared" si="3"/>
        <v>-494.44145808981557</v>
      </c>
    </row>
    <row r="125" spans="1:10">
      <c r="A125" s="1">
        <v>45644</v>
      </c>
      <c r="B125">
        <f>(3/(1+('CurrentPor-Equ Factor Movements'!C125)/100)+103/POWER(1+('CurrentPor-Equ Factor Movements'!D125)/100,2))*100</f>
        <v>9707.5857774288397</v>
      </c>
      <c r="C125">
        <f>(3/(1+('CurrentPor-Equ Factor Movements'!C125+'CurrentPor-Equ Factor Movements'!G125)/100)+103/POWER(1+('CurrentPor-Equ Factor Movements'!D125+'CurrentPor-Equ Factor Movements'!G125)/100,2))*100</f>
        <v>9614.9673582483465</v>
      </c>
      <c r="D125">
        <f>(3/(1+('CurrentPor-Equ Factor Movements'!C125+'CurrentPor-Equ Factor Movements'!H125)/100)+103/POWER(1+('CurrentPor-Equ Factor Movements'!D125+'CurrentPor-Equ Factor Movements'!H125)/100,2))*100</f>
        <v>9601.2395558122898</v>
      </c>
      <c r="E125">
        <f>(3/(1+('CurrentPor-Equ Factor Movements'!C125+'CurrentPor-Equ Factor Movements'!I125)/100)+103/POWER(1+('CurrentPor-Equ Factor Movements'!D125+'CurrentPor-Equ Factor Movements'!I125)/100,2))*100</f>
        <v>9581.4547115644182</v>
      </c>
      <c r="F125">
        <f>Portfolio!B$5*'CurrentPor-Equ Factor Movements'!E125</f>
        <v>52112.923237691175</v>
      </c>
      <c r="G125">
        <f>Portfolio!B$6*'CurrentPor-Equ Factor Movements'!F125</f>
        <v>3641.9309090376055</v>
      </c>
      <c r="H125">
        <f>Portfolio!B$7*'CurrentPor-Equ Factor Movements'!J125</f>
        <v>2148.0998964419859</v>
      </c>
      <c r="I125">
        <f t="shared" si="2"/>
        <v>96408.201446224659</v>
      </c>
      <c r="J125">
        <f t="shared" si="3"/>
        <v>-151.69375701466925</v>
      </c>
    </row>
    <row r="126" spans="1:10">
      <c r="A126" s="1">
        <v>45645</v>
      </c>
      <c r="B126">
        <f>(3/(1+('CurrentPor-Equ Factor Movements'!C126)/100)+103/POWER(1+('CurrentPor-Equ Factor Movements'!D126)/100,2))*100</f>
        <v>9707.5857774288397</v>
      </c>
      <c r="C126">
        <f>(3/(1+('CurrentPor-Equ Factor Movements'!C126+'CurrentPor-Equ Factor Movements'!G126)/100)+103/POWER(1+('CurrentPor-Equ Factor Movements'!D126+'CurrentPor-Equ Factor Movements'!G126)/100,2))*100</f>
        <v>9614.9673582483465</v>
      </c>
      <c r="D126">
        <f>(3/(1+('CurrentPor-Equ Factor Movements'!C126+'CurrentPor-Equ Factor Movements'!H126)/100)+103/POWER(1+('CurrentPor-Equ Factor Movements'!D126+'CurrentPor-Equ Factor Movements'!H126)/100,2))*100</f>
        <v>9601.2395558122898</v>
      </c>
      <c r="E126">
        <f>(3/(1+('CurrentPor-Equ Factor Movements'!C126+'CurrentPor-Equ Factor Movements'!I126)/100)+103/POWER(1+('CurrentPor-Equ Factor Movements'!D126+'CurrentPor-Equ Factor Movements'!I126)/100,2))*100</f>
        <v>9581.4547115644182</v>
      </c>
      <c r="F126">
        <f>Portfolio!B$5*'CurrentPor-Equ Factor Movements'!E126</f>
        <v>51815.079073052097</v>
      </c>
      <c r="G126">
        <f>Portfolio!B$6*'CurrentPor-Equ Factor Movements'!F126</f>
        <v>3802.4981128383984</v>
      </c>
      <c r="H126">
        <f>Portfolio!B$7*'CurrentPor-Equ Factor Movements'!J126</f>
        <v>2148.0998964419859</v>
      </c>
      <c r="I126">
        <f t="shared" si="2"/>
        <v>96270.924485386364</v>
      </c>
      <c r="J126">
        <f t="shared" si="3"/>
        <v>-59.970086191126029</v>
      </c>
    </row>
    <row r="127" spans="1:10">
      <c r="A127" s="1">
        <v>45646</v>
      </c>
      <c r="B127">
        <f>(3/(1+('CurrentPor-Equ Factor Movements'!C127)/100)+103/POWER(1+('CurrentPor-Equ Factor Movements'!D127)/100,2))*100</f>
        <v>9707.5857774288397</v>
      </c>
      <c r="C127">
        <f>(3/(1+('CurrentPor-Equ Factor Movements'!C127+'CurrentPor-Equ Factor Movements'!G127)/100)+103/POWER(1+('CurrentPor-Equ Factor Movements'!D127+'CurrentPor-Equ Factor Movements'!G127)/100,2))*100</f>
        <v>9614.9673582483465</v>
      </c>
      <c r="D127">
        <f>(3/(1+('CurrentPor-Equ Factor Movements'!C127+'CurrentPor-Equ Factor Movements'!H127)/100)+103/POWER(1+('CurrentPor-Equ Factor Movements'!D127+'CurrentPor-Equ Factor Movements'!H127)/100,2))*100</f>
        <v>9601.2395558122898</v>
      </c>
      <c r="E127">
        <f>(3/(1+('CurrentPor-Equ Factor Movements'!C127+'CurrentPor-Equ Factor Movements'!I127)/100)+103/POWER(1+('CurrentPor-Equ Factor Movements'!D127+'CurrentPor-Equ Factor Movements'!I127)/100,2))*100</f>
        <v>9581.4547115644182</v>
      </c>
      <c r="F127">
        <f>Portfolio!B$5*'CurrentPor-Equ Factor Movements'!E127</f>
        <v>52266.345031351353</v>
      </c>
      <c r="G127">
        <f>Portfolio!B$6*'CurrentPor-Equ Factor Movements'!F127</f>
        <v>3993.868243705303</v>
      </c>
      <c r="H127">
        <f>Portfolio!B$7*'CurrentPor-Equ Factor Movements'!J127</f>
        <v>2148.0998964419859</v>
      </c>
      <c r="I127">
        <f t="shared" si="2"/>
        <v>96913.560574552539</v>
      </c>
      <c r="J127">
        <f t="shared" si="3"/>
        <v>172.18805220922513</v>
      </c>
    </row>
    <row r="128" spans="1:10">
      <c r="A128" s="1">
        <v>45649</v>
      </c>
      <c r="B128">
        <f>(3/(1+('CurrentPor-Equ Factor Movements'!C128)/100)+103/POWER(1+('CurrentPor-Equ Factor Movements'!D128)/100,2))*100</f>
        <v>9707.5857774288397</v>
      </c>
      <c r="C128">
        <f>(3/(1+('CurrentPor-Equ Factor Movements'!C128+'CurrentPor-Equ Factor Movements'!G128)/100)+103/POWER(1+('CurrentPor-Equ Factor Movements'!D128+'CurrentPor-Equ Factor Movements'!G128)/100,2))*100</f>
        <v>9614.9673582483465</v>
      </c>
      <c r="D128">
        <f>(3/(1+('CurrentPor-Equ Factor Movements'!C128+'CurrentPor-Equ Factor Movements'!H128)/100)+103/POWER(1+('CurrentPor-Equ Factor Movements'!D128+'CurrentPor-Equ Factor Movements'!H128)/100,2))*100</f>
        <v>9601.2395558122898</v>
      </c>
      <c r="E128">
        <f>(3/(1+('CurrentPor-Equ Factor Movements'!C128+'CurrentPor-Equ Factor Movements'!I128)/100)+103/POWER(1+('CurrentPor-Equ Factor Movements'!D128+'CurrentPor-Equ Factor Movements'!I128)/100,2))*100</f>
        <v>9581.4547115644182</v>
      </c>
      <c r="F128">
        <f>Portfolio!B$5*'CurrentPor-Equ Factor Movements'!E128</f>
        <v>52484.764329405756</v>
      </c>
      <c r="G128">
        <f>Portfolio!B$6*'CurrentPor-Equ Factor Movements'!F128</f>
        <v>3850.8732974342656</v>
      </c>
      <c r="H128">
        <f>Portfolio!B$7*'CurrentPor-Equ Factor Movements'!J128</f>
        <v>2148.0998964419859</v>
      </c>
      <c r="I128">
        <f t="shared" si="2"/>
        <v>96988.984926335906</v>
      </c>
      <c r="J128">
        <f t="shared" si="3"/>
        <v>287.07378489371331</v>
      </c>
    </row>
    <row r="129" spans="1:10">
      <c r="A129" s="1">
        <v>45650</v>
      </c>
      <c r="B129">
        <f>(3/(1+('CurrentPor-Equ Factor Movements'!C129)/100)+103/POWER(1+('CurrentPor-Equ Factor Movements'!D129)/100,2))*100</f>
        <v>9707.5857774288397</v>
      </c>
      <c r="C129">
        <f>(3/(1+('CurrentPor-Equ Factor Movements'!C129+'CurrentPor-Equ Factor Movements'!G129)/100)+103/POWER(1+('CurrentPor-Equ Factor Movements'!D129+'CurrentPor-Equ Factor Movements'!G129)/100,2))*100</f>
        <v>9614.9673582483465</v>
      </c>
      <c r="D129">
        <f>(3/(1+('CurrentPor-Equ Factor Movements'!C129+'CurrentPor-Equ Factor Movements'!H129)/100)+103/POWER(1+('CurrentPor-Equ Factor Movements'!D129+'CurrentPor-Equ Factor Movements'!H129)/100,2))*100</f>
        <v>9601.2395558122898</v>
      </c>
      <c r="E129">
        <f>(3/(1+('CurrentPor-Equ Factor Movements'!C129+'CurrentPor-Equ Factor Movements'!I129)/100)+103/POWER(1+('CurrentPor-Equ Factor Movements'!D129+'CurrentPor-Equ Factor Movements'!I129)/100,2))*100</f>
        <v>9581.4547115644182</v>
      </c>
      <c r="F129">
        <f>Portfolio!B$5*'CurrentPor-Equ Factor Movements'!E129</f>
        <v>52440.729265562615</v>
      </c>
      <c r="G129">
        <f>Portfolio!B$6*'CurrentPor-Equ Factor Movements'!F129</f>
        <v>3780.0996324488146</v>
      </c>
      <c r="H129">
        <f>Portfolio!B$7*'CurrentPor-Equ Factor Movements'!J129</f>
        <v>2148.0998964419859</v>
      </c>
      <c r="I129">
        <f t="shared" si="2"/>
        <v>96874.176197507302</v>
      </c>
      <c r="J129">
        <f t="shared" si="3"/>
        <v>167.13957043053233</v>
      </c>
    </row>
    <row r="130" spans="1:10">
      <c r="A130" s="1">
        <v>45651</v>
      </c>
      <c r="B130">
        <f>(3/(1+('CurrentPor-Equ Factor Movements'!C130)/100)+103/POWER(1+('CurrentPor-Equ Factor Movements'!D130)/100,2))*100</f>
        <v>9707.5857774288397</v>
      </c>
      <c r="C130">
        <f>(3/(1+('CurrentPor-Equ Factor Movements'!C130+'CurrentPor-Equ Factor Movements'!G130)/100)+103/POWER(1+('CurrentPor-Equ Factor Movements'!D130+'CurrentPor-Equ Factor Movements'!G130)/100,2))*100</f>
        <v>9614.9673582483465</v>
      </c>
      <c r="D130">
        <f>(3/(1+('CurrentPor-Equ Factor Movements'!C130+'CurrentPor-Equ Factor Movements'!H130)/100)+103/POWER(1+('CurrentPor-Equ Factor Movements'!D130+'CurrentPor-Equ Factor Movements'!H130)/100,2))*100</f>
        <v>9601.2395558122898</v>
      </c>
      <c r="E130">
        <f>(3/(1+('CurrentPor-Equ Factor Movements'!C130+'CurrentPor-Equ Factor Movements'!I130)/100)+103/POWER(1+('CurrentPor-Equ Factor Movements'!D130+'CurrentPor-Equ Factor Movements'!I130)/100,2))*100</f>
        <v>9581.4547115644182</v>
      </c>
      <c r="F130">
        <f>Portfolio!B$5*'CurrentPor-Equ Factor Movements'!E130</f>
        <v>52019.810349354222</v>
      </c>
      <c r="G130">
        <f>Portfolio!B$6*'CurrentPor-Equ Factor Movements'!F130</f>
        <v>3652.1273293568152</v>
      </c>
      <c r="H130">
        <f>Portfolio!B$7*'CurrentPor-Equ Factor Movements'!J130</f>
        <v>2148.0998964419859</v>
      </c>
      <c r="I130">
        <f t="shared" si="2"/>
        <v>96325.28497820691</v>
      </c>
      <c r="J130">
        <f t="shared" si="3"/>
        <v>-1094.7972881686583</v>
      </c>
    </row>
    <row r="131" spans="1:10">
      <c r="A131" s="1">
        <v>45652</v>
      </c>
      <c r="B131">
        <f>(3/(1+('CurrentPor-Equ Factor Movements'!C131)/100)+103/POWER(1+('CurrentPor-Equ Factor Movements'!D131)/100,2))*100</f>
        <v>9707.5857774288397</v>
      </c>
      <c r="C131">
        <f>(3/(1+('CurrentPor-Equ Factor Movements'!C131+'CurrentPor-Equ Factor Movements'!G131)/100)+103/POWER(1+('CurrentPor-Equ Factor Movements'!D131+'CurrentPor-Equ Factor Movements'!G131)/100,2))*100</f>
        <v>9614.9673582483465</v>
      </c>
      <c r="D131">
        <f>(3/(1+('CurrentPor-Equ Factor Movements'!C131+'CurrentPor-Equ Factor Movements'!H131)/100)+103/POWER(1+('CurrentPor-Equ Factor Movements'!D131+'CurrentPor-Equ Factor Movements'!H131)/100,2))*100</f>
        <v>9601.2395558122898</v>
      </c>
      <c r="E131">
        <f>(3/(1+('CurrentPor-Equ Factor Movements'!C131+'CurrentPor-Equ Factor Movements'!I131)/100)+103/POWER(1+('CurrentPor-Equ Factor Movements'!D131+'CurrentPor-Equ Factor Movements'!I131)/100,2))*100</f>
        <v>9581.4547115644182</v>
      </c>
      <c r="F131">
        <f>Portfolio!B$5*'CurrentPor-Equ Factor Movements'!E131</f>
        <v>52055.120407152855</v>
      </c>
      <c r="G131">
        <f>Portfolio!B$6*'CurrentPor-Equ Factor Movements'!F131</f>
        <v>3940.3099782904151</v>
      </c>
      <c r="H131">
        <f>Portfolio!B$7*'CurrentPor-Equ Factor Movements'!J131</f>
        <v>2148.0998964419859</v>
      </c>
      <c r="I131">
        <f t="shared" si="2"/>
        <v>96648.777684939152</v>
      </c>
      <c r="J131">
        <f t="shared" si="3"/>
        <v>-227.72287582256831</v>
      </c>
    </row>
    <row r="132" spans="1:10">
      <c r="A132" s="1">
        <v>45653</v>
      </c>
      <c r="B132">
        <f>(3/(1+('CurrentPor-Equ Factor Movements'!C132)/100)+103/POWER(1+('CurrentPor-Equ Factor Movements'!D132)/100,2))*100</f>
        <v>9707.5857774288397</v>
      </c>
      <c r="C132">
        <f>(3/(1+('CurrentPor-Equ Factor Movements'!C132+'CurrentPor-Equ Factor Movements'!G132)/100)+103/POWER(1+('CurrentPor-Equ Factor Movements'!D132+'CurrentPor-Equ Factor Movements'!G132)/100,2))*100</f>
        <v>9614.9673582483465</v>
      </c>
      <c r="D132">
        <f>(3/(1+('CurrentPor-Equ Factor Movements'!C132+'CurrentPor-Equ Factor Movements'!H132)/100)+103/POWER(1+('CurrentPor-Equ Factor Movements'!D132+'CurrentPor-Equ Factor Movements'!H132)/100,2))*100</f>
        <v>9601.2395558122898</v>
      </c>
      <c r="E132">
        <f>(3/(1+('CurrentPor-Equ Factor Movements'!C132+'CurrentPor-Equ Factor Movements'!I132)/100)+103/POWER(1+('CurrentPor-Equ Factor Movements'!D132+'CurrentPor-Equ Factor Movements'!I132)/100,2))*100</f>
        <v>9581.4547115644182</v>
      </c>
      <c r="F132">
        <f>Portfolio!B$5*'CurrentPor-Equ Factor Movements'!E132</f>
        <v>52152.286780527982</v>
      </c>
      <c r="G132">
        <f>Portfolio!B$6*'CurrentPor-Equ Factor Movements'!F132</f>
        <v>4086.6505759867337</v>
      </c>
      <c r="H132">
        <f>Portfolio!B$7*'CurrentPor-Equ Factor Movements'!J132</f>
        <v>2148.0998964419859</v>
      </c>
      <c r="I132">
        <f t="shared" ref="I132:I187" si="4">SUM(B132:H132)</f>
        <v>96892.284656010597</v>
      </c>
      <c r="J132">
        <f t="shared" si="3"/>
        <v>231.02883454166295</v>
      </c>
    </row>
    <row r="133" spans="1:10">
      <c r="A133" s="1">
        <v>45656</v>
      </c>
      <c r="B133">
        <f>(3/(1+('CurrentPor-Equ Factor Movements'!C133)/100)+103/POWER(1+('CurrentPor-Equ Factor Movements'!D133)/100,2))*100</f>
        <v>9707.5857774288397</v>
      </c>
      <c r="C133">
        <f>(3/(1+('CurrentPor-Equ Factor Movements'!C133+'CurrentPor-Equ Factor Movements'!G133)/100)+103/POWER(1+('CurrentPor-Equ Factor Movements'!D133+'CurrentPor-Equ Factor Movements'!G133)/100,2))*100</f>
        <v>9614.9673582483465</v>
      </c>
      <c r="D133">
        <f>(3/(1+('CurrentPor-Equ Factor Movements'!C133+'CurrentPor-Equ Factor Movements'!H133)/100)+103/POWER(1+('CurrentPor-Equ Factor Movements'!D133+'CurrentPor-Equ Factor Movements'!H133)/100,2))*100</f>
        <v>9601.2395558122898</v>
      </c>
      <c r="E133">
        <f>(3/(1+('CurrentPor-Equ Factor Movements'!C133+'CurrentPor-Equ Factor Movements'!I133)/100)+103/POWER(1+('CurrentPor-Equ Factor Movements'!D133+'CurrentPor-Equ Factor Movements'!I133)/100,2))*100</f>
        <v>9581.4547115644182</v>
      </c>
      <c r="F133">
        <f>Portfolio!B$5*'CurrentPor-Equ Factor Movements'!E133</f>
        <v>52401.855682716719</v>
      </c>
      <c r="G133">
        <f>Portfolio!B$6*'CurrentPor-Equ Factor Movements'!F133</f>
        <v>4005.6264353140828</v>
      </c>
      <c r="H133">
        <f>Portfolio!B$7*'CurrentPor-Equ Factor Movements'!J133</f>
        <v>2148.0998964419859</v>
      </c>
      <c r="I133">
        <f t="shared" si="4"/>
        <v>97060.829417526693</v>
      </c>
      <c r="J133">
        <f t="shared" si="3"/>
        <v>204.92858566505311</v>
      </c>
    </row>
    <row r="134" spans="1:10">
      <c r="A134" s="1">
        <v>45657</v>
      </c>
      <c r="B134">
        <f>(3/(1+('CurrentPor-Equ Factor Movements'!C134)/100)+103/POWER(1+('CurrentPor-Equ Factor Movements'!D134)/100,2))*100</f>
        <v>9707.5857774288397</v>
      </c>
      <c r="C134">
        <f>(3/(1+('CurrentPor-Equ Factor Movements'!C134+'CurrentPor-Equ Factor Movements'!G134)/100)+103/POWER(1+('CurrentPor-Equ Factor Movements'!D134+'CurrentPor-Equ Factor Movements'!G134)/100,2))*100</f>
        <v>9614.9673582483465</v>
      </c>
      <c r="D134">
        <f>(3/(1+('CurrentPor-Equ Factor Movements'!C134+'CurrentPor-Equ Factor Movements'!H134)/100)+103/POWER(1+('CurrentPor-Equ Factor Movements'!D134+'CurrentPor-Equ Factor Movements'!H134)/100,2))*100</f>
        <v>9601.2395558122898</v>
      </c>
      <c r="E134">
        <f>(3/(1+('CurrentPor-Equ Factor Movements'!C134+'CurrentPor-Equ Factor Movements'!I134)/100)+103/POWER(1+('CurrentPor-Equ Factor Movements'!D134+'CurrentPor-Equ Factor Movements'!I134)/100,2))*100</f>
        <v>9581.4547115644182</v>
      </c>
      <c r="F134">
        <f>Portfolio!B$5*'CurrentPor-Equ Factor Movements'!E134</f>
        <v>52408.457741395367</v>
      </c>
      <c r="G134">
        <f>Portfolio!B$6*'CurrentPor-Equ Factor Movements'!F134</f>
        <v>3923.0602871281926</v>
      </c>
      <c r="H134">
        <f>Portfolio!B$7*'CurrentPor-Equ Factor Movements'!J134</f>
        <v>2148.0998964419859</v>
      </c>
      <c r="I134">
        <f t="shared" si="4"/>
        <v>96984.865328019427</v>
      </c>
      <c r="J134">
        <f t="shared" si="3"/>
        <v>400.10814724380907</v>
      </c>
    </row>
    <row r="135" spans="1:10">
      <c r="A135" s="1">
        <v>45658</v>
      </c>
      <c r="B135">
        <f>(3/(1+('CurrentPor-Equ Factor Movements'!C135)/100)+103/POWER(1+('CurrentPor-Equ Factor Movements'!D135)/100,2))*100</f>
        <v>9707.5857774288397</v>
      </c>
      <c r="C135">
        <f>(3/(1+('CurrentPor-Equ Factor Movements'!C135+'CurrentPor-Equ Factor Movements'!G135)/100)+103/POWER(1+('CurrentPor-Equ Factor Movements'!D135+'CurrentPor-Equ Factor Movements'!G135)/100,2))*100</f>
        <v>9614.9673582483465</v>
      </c>
      <c r="D135">
        <f>(3/(1+('CurrentPor-Equ Factor Movements'!C135+'CurrentPor-Equ Factor Movements'!H135)/100)+103/POWER(1+('CurrentPor-Equ Factor Movements'!D135+'CurrentPor-Equ Factor Movements'!H135)/100,2))*100</f>
        <v>9601.2395558122898</v>
      </c>
      <c r="E135">
        <f>(3/(1+('CurrentPor-Equ Factor Movements'!C135+'CurrentPor-Equ Factor Movements'!I135)/100)+103/POWER(1+('CurrentPor-Equ Factor Movements'!D135+'CurrentPor-Equ Factor Movements'!I135)/100,2))*100</f>
        <v>9581.4547115644182</v>
      </c>
      <c r="F135">
        <f>Portfolio!B$5*'CurrentPor-Equ Factor Movements'!E135</f>
        <v>52386.625004328336</v>
      </c>
      <c r="G135">
        <f>Portfolio!B$6*'CurrentPor-Equ Factor Movements'!F135</f>
        <v>3578.884813527231</v>
      </c>
      <c r="H135">
        <f>Portfolio!B$7*'CurrentPor-Equ Factor Movements'!J135</f>
        <v>2148.0998964419859</v>
      </c>
      <c r="I135">
        <f t="shared" si="4"/>
        <v>96618.85711735145</v>
      </c>
      <c r="J135">
        <f t="shared" si="3"/>
        <v>210.65567112679128</v>
      </c>
    </row>
    <row r="136" spans="1:10">
      <c r="A136" s="1">
        <v>45659</v>
      </c>
      <c r="B136">
        <f>(3/(1+('CurrentPor-Equ Factor Movements'!C136)/100)+103/POWER(1+('CurrentPor-Equ Factor Movements'!D136)/100,2))*100</f>
        <v>9707.5857774288397</v>
      </c>
      <c r="C136">
        <f>(3/(1+('CurrentPor-Equ Factor Movements'!C136+'CurrentPor-Equ Factor Movements'!G136)/100)+103/POWER(1+('CurrentPor-Equ Factor Movements'!D136+'CurrentPor-Equ Factor Movements'!G136)/100,2))*100</f>
        <v>9614.9673582483465</v>
      </c>
      <c r="D136">
        <f>(3/(1+('CurrentPor-Equ Factor Movements'!C136+'CurrentPor-Equ Factor Movements'!H136)/100)+103/POWER(1+('CurrentPor-Equ Factor Movements'!D136+'CurrentPor-Equ Factor Movements'!H136)/100,2))*100</f>
        <v>9601.2395558122898</v>
      </c>
      <c r="E136">
        <f>(3/(1+('CurrentPor-Equ Factor Movements'!C136+'CurrentPor-Equ Factor Movements'!I136)/100)+103/POWER(1+('CurrentPor-Equ Factor Movements'!D136+'CurrentPor-Equ Factor Movements'!I136)/100,2))*100</f>
        <v>9581.4547115644182</v>
      </c>
      <c r="F136">
        <f>Portfolio!B$5*'CurrentPor-Equ Factor Movements'!E136</f>
        <v>52296.567945975483</v>
      </c>
      <c r="G136">
        <f>Portfolio!B$6*'CurrentPor-Equ Factor Movements'!F136</f>
        <v>3988.4877731058396</v>
      </c>
      <c r="H136">
        <f>Portfolio!B$7*'CurrentPor-Equ Factor Movements'!J136</f>
        <v>2148.0998964419859</v>
      </c>
      <c r="I136">
        <f t="shared" si="4"/>
        <v>96938.403018577199</v>
      </c>
      <c r="J136">
        <f t="shared" si="3"/>
        <v>667.47853319083515</v>
      </c>
    </row>
    <row r="137" spans="1:10">
      <c r="A137" s="1">
        <v>45660</v>
      </c>
      <c r="B137">
        <f>(3/(1+('CurrentPor-Equ Factor Movements'!C137)/100)+103/POWER(1+('CurrentPor-Equ Factor Movements'!D137)/100,2))*100</f>
        <v>9707.5857774288397</v>
      </c>
      <c r="C137">
        <f>(3/(1+('CurrentPor-Equ Factor Movements'!C137+'CurrentPor-Equ Factor Movements'!G137)/100)+103/POWER(1+('CurrentPor-Equ Factor Movements'!D137+'CurrentPor-Equ Factor Movements'!G137)/100,2))*100</f>
        <v>9614.9673582483465</v>
      </c>
      <c r="D137">
        <f>(3/(1+('CurrentPor-Equ Factor Movements'!C137+'CurrentPor-Equ Factor Movements'!H137)/100)+103/POWER(1+('CurrentPor-Equ Factor Movements'!D137+'CurrentPor-Equ Factor Movements'!H137)/100,2))*100</f>
        <v>9601.2395558122898</v>
      </c>
      <c r="E137">
        <f>(3/(1+('CurrentPor-Equ Factor Movements'!C137+'CurrentPor-Equ Factor Movements'!I137)/100)+103/POWER(1+('CurrentPor-Equ Factor Movements'!D137+'CurrentPor-Equ Factor Movements'!I137)/100,2))*100</f>
        <v>9581.4547115644182</v>
      </c>
      <c r="F137">
        <f>Portfolio!B$5*'CurrentPor-Equ Factor Movements'!E137</f>
        <v>52046.230278938288</v>
      </c>
      <c r="G137">
        <f>Portfolio!B$6*'CurrentPor-Equ Factor Movements'!F137</f>
        <v>3758.6863675624249</v>
      </c>
      <c r="H137">
        <f>Portfolio!B$7*'CurrentPor-Equ Factor Movements'!J137</f>
        <v>2148.0998964419859</v>
      </c>
      <c r="I137">
        <f t="shared" si="4"/>
        <v>96458.263945996587</v>
      </c>
      <c r="J137">
        <f t="shared" si="3"/>
        <v>-455.29662855595234</v>
      </c>
    </row>
    <row r="138" spans="1:10">
      <c r="A138" s="1">
        <v>45663</v>
      </c>
      <c r="B138">
        <f>(3/(1+('CurrentPor-Equ Factor Movements'!C138)/100)+103/POWER(1+('CurrentPor-Equ Factor Movements'!D138)/100,2))*100</f>
        <v>9707.5857774288397</v>
      </c>
      <c r="C138">
        <f>(3/(1+('CurrentPor-Equ Factor Movements'!C138+'CurrentPor-Equ Factor Movements'!G138)/100)+103/POWER(1+('CurrentPor-Equ Factor Movements'!D138+'CurrentPor-Equ Factor Movements'!G138)/100,2))*100</f>
        <v>9614.9673582483465</v>
      </c>
      <c r="D138">
        <f>(3/(1+('CurrentPor-Equ Factor Movements'!C138+'CurrentPor-Equ Factor Movements'!H138)/100)+103/POWER(1+('CurrentPor-Equ Factor Movements'!D138+'CurrentPor-Equ Factor Movements'!H138)/100,2))*100</f>
        <v>9601.2395558122898</v>
      </c>
      <c r="E138">
        <f>(3/(1+('CurrentPor-Equ Factor Movements'!C138+'CurrentPor-Equ Factor Movements'!I138)/100)+103/POWER(1+('CurrentPor-Equ Factor Movements'!D138+'CurrentPor-Equ Factor Movements'!I138)/100,2))*100</f>
        <v>9581.4547115644182</v>
      </c>
      <c r="F138">
        <f>Portfolio!B$5*'CurrentPor-Equ Factor Movements'!E138</f>
        <v>52482.433392443025</v>
      </c>
      <c r="G138">
        <f>Portfolio!B$6*'CurrentPor-Equ Factor Movements'!F138</f>
        <v>4217.4990877408127</v>
      </c>
      <c r="H138">
        <f>Portfolio!B$7*'CurrentPor-Equ Factor Movements'!J138</f>
        <v>2148.0998964419859</v>
      </c>
      <c r="I138">
        <f t="shared" si="4"/>
        <v>97353.279779679709</v>
      </c>
      <c r="J138">
        <f t="shared" si="3"/>
        <v>364.29485334380297</v>
      </c>
    </row>
    <row r="139" spans="1:10">
      <c r="A139" s="1">
        <v>45664</v>
      </c>
      <c r="B139">
        <f>(3/(1+('CurrentPor-Equ Factor Movements'!C139)/100)+103/POWER(1+('CurrentPor-Equ Factor Movements'!D139)/100,2))*100</f>
        <v>9707.5857774288397</v>
      </c>
      <c r="C139">
        <f>(3/(1+('CurrentPor-Equ Factor Movements'!C139+'CurrentPor-Equ Factor Movements'!G139)/100)+103/POWER(1+('CurrentPor-Equ Factor Movements'!D139+'CurrentPor-Equ Factor Movements'!G139)/100,2))*100</f>
        <v>9614.9673582483465</v>
      </c>
      <c r="D139">
        <f>(3/(1+('CurrentPor-Equ Factor Movements'!C139+'CurrentPor-Equ Factor Movements'!H139)/100)+103/POWER(1+('CurrentPor-Equ Factor Movements'!D139+'CurrentPor-Equ Factor Movements'!H139)/100,2))*100</f>
        <v>9601.2395558122898</v>
      </c>
      <c r="E139">
        <f>(3/(1+('CurrentPor-Equ Factor Movements'!C139+'CurrentPor-Equ Factor Movements'!I139)/100)+103/POWER(1+('CurrentPor-Equ Factor Movements'!D139+'CurrentPor-Equ Factor Movements'!I139)/100,2))*100</f>
        <v>9581.4547115644182</v>
      </c>
      <c r="F139">
        <f>Portfolio!B$5*'CurrentPor-Equ Factor Movements'!E139</f>
        <v>52137.936080735621</v>
      </c>
      <c r="G139">
        <f>Portfolio!B$6*'CurrentPor-Equ Factor Movements'!F139</f>
        <v>3933.6292654132862</v>
      </c>
      <c r="H139">
        <f>Portfolio!B$7*'CurrentPor-Equ Factor Movements'!J139</f>
        <v>2148.0998964419859</v>
      </c>
      <c r="I139">
        <f t="shared" si="4"/>
        <v>96724.912645644785</v>
      </c>
      <c r="J139">
        <f t="shared" si="3"/>
        <v>-149.26355186251749</v>
      </c>
    </row>
    <row r="140" spans="1:10">
      <c r="A140" s="1">
        <v>45665</v>
      </c>
      <c r="B140">
        <f>(3/(1+('CurrentPor-Equ Factor Movements'!C140)/100)+103/POWER(1+('CurrentPor-Equ Factor Movements'!D140)/100,2))*100</f>
        <v>9707.5857774288397</v>
      </c>
      <c r="C140">
        <f>(3/(1+('CurrentPor-Equ Factor Movements'!C140+'CurrentPor-Equ Factor Movements'!G140)/100)+103/POWER(1+('CurrentPor-Equ Factor Movements'!D140+'CurrentPor-Equ Factor Movements'!G140)/100,2))*100</f>
        <v>9614.9673582483465</v>
      </c>
      <c r="D140">
        <f>(3/(1+('CurrentPor-Equ Factor Movements'!C140+'CurrentPor-Equ Factor Movements'!H140)/100)+103/POWER(1+('CurrentPor-Equ Factor Movements'!D140+'CurrentPor-Equ Factor Movements'!H140)/100,2))*100</f>
        <v>9601.2395558122898</v>
      </c>
      <c r="E140">
        <f>(3/(1+('CurrentPor-Equ Factor Movements'!C140+'CurrentPor-Equ Factor Movements'!I140)/100)+103/POWER(1+('CurrentPor-Equ Factor Movements'!D140+'CurrentPor-Equ Factor Movements'!I140)/100,2))*100</f>
        <v>9581.4547115644182</v>
      </c>
      <c r="F140">
        <f>Portfolio!B$5*'CurrentPor-Equ Factor Movements'!E140</f>
        <v>52070.057240949791</v>
      </c>
      <c r="G140">
        <f>Portfolio!B$6*'CurrentPor-Equ Factor Movements'!F140</f>
        <v>3962.4263608637316</v>
      </c>
      <c r="H140">
        <f>Portfolio!B$7*'CurrentPor-Equ Factor Movements'!J140</f>
        <v>2148.0998964419859</v>
      </c>
      <c r="I140">
        <f t="shared" si="4"/>
        <v>96685.830901309397</v>
      </c>
      <c r="J140">
        <f t="shared" si="3"/>
        <v>360.545923102487</v>
      </c>
    </row>
    <row r="141" spans="1:10">
      <c r="A141" s="1">
        <v>45666</v>
      </c>
      <c r="B141">
        <f>(3/(1+('CurrentPor-Equ Factor Movements'!C141)/100)+103/POWER(1+('CurrentPor-Equ Factor Movements'!D141)/100,2))*100</f>
        <v>9707.5857774288397</v>
      </c>
      <c r="C141">
        <f>(3/(1+('CurrentPor-Equ Factor Movements'!C141+'CurrentPor-Equ Factor Movements'!G141)/100)+103/POWER(1+('CurrentPor-Equ Factor Movements'!D141+'CurrentPor-Equ Factor Movements'!G141)/100,2))*100</f>
        <v>9614.9673582483465</v>
      </c>
      <c r="D141">
        <f>(3/(1+('CurrentPor-Equ Factor Movements'!C141+'CurrentPor-Equ Factor Movements'!H141)/100)+103/POWER(1+('CurrentPor-Equ Factor Movements'!D141+'CurrentPor-Equ Factor Movements'!H141)/100,2))*100</f>
        <v>9601.2395558122898</v>
      </c>
      <c r="E141">
        <f>(3/(1+('CurrentPor-Equ Factor Movements'!C141+'CurrentPor-Equ Factor Movements'!I141)/100)+103/POWER(1+('CurrentPor-Equ Factor Movements'!D141+'CurrentPor-Equ Factor Movements'!I141)/100,2))*100</f>
        <v>9581.4547115644182</v>
      </c>
      <c r="F141">
        <f>Portfolio!B$5*'CurrentPor-Equ Factor Movements'!E141</f>
        <v>52056.119762462651</v>
      </c>
      <c r="G141">
        <f>Portfolio!B$6*'CurrentPor-Equ Factor Movements'!F141</f>
        <v>3664.4967472681733</v>
      </c>
      <c r="H141">
        <f>Portfolio!B$7*'CurrentPor-Equ Factor Movements'!J141</f>
        <v>2148.0998964419859</v>
      </c>
      <c r="I141">
        <f t="shared" si="4"/>
        <v>96373.963809226698</v>
      </c>
      <c r="J141">
        <f t="shared" si="3"/>
        <v>-274.81387571245432</v>
      </c>
    </row>
    <row r="142" spans="1:10">
      <c r="A142" s="1">
        <v>45667</v>
      </c>
      <c r="B142">
        <f>(3/(1+('CurrentPor-Equ Factor Movements'!C142)/100)+103/POWER(1+('CurrentPor-Equ Factor Movements'!D142)/100,2))*100</f>
        <v>9707.5857774288397</v>
      </c>
      <c r="C142">
        <f>(3/(1+('CurrentPor-Equ Factor Movements'!C142+'CurrentPor-Equ Factor Movements'!G142)/100)+103/POWER(1+('CurrentPor-Equ Factor Movements'!D142+'CurrentPor-Equ Factor Movements'!G142)/100,2))*100</f>
        <v>9614.9673582483465</v>
      </c>
      <c r="D142">
        <f>(3/(1+('CurrentPor-Equ Factor Movements'!C142+'CurrentPor-Equ Factor Movements'!H142)/100)+103/POWER(1+('CurrentPor-Equ Factor Movements'!D142+'CurrentPor-Equ Factor Movements'!H142)/100,2))*100</f>
        <v>9601.2395558122898</v>
      </c>
      <c r="E142">
        <f>(3/(1+('CurrentPor-Equ Factor Movements'!C142+'CurrentPor-Equ Factor Movements'!I142)/100)+103/POWER(1+('CurrentPor-Equ Factor Movements'!D142+'CurrentPor-Equ Factor Movements'!I142)/100,2))*100</f>
        <v>9581.4547115644182</v>
      </c>
      <c r="F142">
        <f>Portfolio!B$5*'CurrentPor-Equ Factor Movements'!E142</f>
        <v>52495.571710855525</v>
      </c>
      <c r="G142">
        <f>Portfolio!B$6*'CurrentPor-Equ Factor Movements'!F142</f>
        <v>3857.8860272020534</v>
      </c>
      <c r="H142">
        <f>Portfolio!B$7*'CurrentPor-Equ Factor Movements'!J142</f>
        <v>2148.0998964419859</v>
      </c>
      <c r="I142">
        <f t="shared" si="4"/>
        <v>97006.805037553451</v>
      </c>
      <c r="J142">
        <f t="shared" ref="J142:J187" si="5">I142-I132</f>
        <v>114.52038154285401</v>
      </c>
    </row>
    <row r="143" spans="1:10">
      <c r="A143" s="1">
        <v>45670</v>
      </c>
      <c r="B143">
        <f>(3/(1+('CurrentPor-Equ Factor Movements'!C143)/100)+103/POWER(1+('CurrentPor-Equ Factor Movements'!D143)/100,2))*100</f>
        <v>9707.5857774288397</v>
      </c>
      <c r="C143">
        <f>(3/(1+('CurrentPor-Equ Factor Movements'!C143+'CurrentPor-Equ Factor Movements'!G143)/100)+103/POWER(1+('CurrentPor-Equ Factor Movements'!D143+'CurrentPor-Equ Factor Movements'!G143)/100,2))*100</f>
        <v>9614.9673582483465</v>
      </c>
      <c r="D143">
        <f>(3/(1+('CurrentPor-Equ Factor Movements'!C143+'CurrentPor-Equ Factor Movements'!H143)/100)+103/POWER(1+('CurrentPor-Equ Factor Movements'!D143+'CurrentPor-Equ Factor Movements'!H143)/100,2))*100</f>
        <v>9601.2395558122898</v>
      </c>
      <c r="E143">
        <f>(3/(1+('CurrentPor-Equ Factor Movements'!C143+'CurrentPor-Equ Factor Movements'!I143)/100)+103/POWER(1+('CurrentPor-Equ Factor Movements'!D143+'CurrentPor-Equ Factor Movements'!I143)/100,2))*100</f>
        <v>9581.4547115644182</v>
      </c>
      <c r="F143">
        <f>Portfolio!B$5*'CurrentPor-Equ Factor Movements'!E143</f>
        <v>52149.794065867696</v>
      </c>
      <c r="G143">
        <f>Portfolio!B$6*'CurrentPor-Equ Factor Movements'!F143</f>
        <v>3766.1755673273874</v>
      </c>
      <c r="H143">
        <f>Portfolio!B$7*'CurrentPor-Equ Factor Movements'!J143</f>
        <v>2148.0998964419859</v>
      </c>
      <c r="I143">
        <f t="shared" si="4"/>
        <v>96569.316932690956</v>
      </c>
      <c r="J143">
        <f t="shared" si="5"/>
        <v>-491.51248483573727</v>
      </c>
    </row>
    <row r="144" spans="1:10">
      <c r="A144" s="1">
        <v>45671</v>
      </c>
      <c r="B144">
        <f>(3/(1+('CurrentPor-Equ Factor Movements'!C144)/100)+103/POWER(1+('CurrentPor-Equ Factor Movements'!D144)/100,2))*100</f>
        <v>9707.5857774288397</v>
      </c>
      <c r="C144">
        <f>(3/(1+('CurrentPor-Equ Factor Movements'!C144+'CurrentPor-Equ Factor Movements'!G144)/100)+103/POWER(1+('CurrentPor-Equ Factor Movements'!D144+'CurrentPor-Equ Factor Movements'!G144)/100,2))*100</f>
        <v>9614.9673582483465</v>
      </c>
      <c r="D144">
        <f>(3/(1+('CurrentPor-Equ Factor Movements'!C144+'CurrentPor-Equ Factor Movements'!H144)/100)+103/POWER(1+('CurrentPor-Equ Factor Movements'!D144+'CurrentPor-Equ Factor Movements'!H144)/100,2))*100</f>
        <v>9601.2395558122898</v>
      </c>
      <c r="E144">
        <f>(3/(1+('CurrentPor-Equ Factor Movements'!C144+'CurrentPor-Equ Factor Movements'!I144)/100)+103/POWER(1+('CurrentPor-Equ Factor Movements'!D144+'CurrentPor-Equ Factor Movements'!I144)/100,2))*100</f>
        <v>9581.4547115644182</v>
      </c>
      <c r="F144">
        <f>Portfolio!B$5*'CurrentPor-Equ Factor Movements'!E144</f>
        <v>52445.390938947196</v>
      </c>
      <c r="G144">
        <f>Portfolio!B$6*'CurrentPor-Equ Factor Movements'!F144</f>
        <v>3955.9510474418817</v>
      </c>
      <c r="H144">
        <f>Portfolio!B$7*'CurrentPor-Equ Factor Movements'!J144</f>
        <v>2148.0998964419859</v>
      </c>
      <c r="I144">
        <f t="shared" si="4"/>
        <v>97054.689285884961</v>
      </c>
      <c r="J144">
        <f t="shared" si="5"/>
        <v>69.823957865533885</v>
      </c>
    </row>
    <row r="145" spans="1:10">
      <c r="A145" s="1">
        <v>45672</v>
      </c>
      <c r="B145">
        <f>(3/(1+('CurrentPor-Equ Factor Movements'!C145)/100)+103/POWER(1+('CurrentPor-Equ Factor Movements'!D145)/100,2))*100</f>
        <v>9707.5857774288397</v>
      </c>
      <c r="C145">
        <f>(3/(1+('CurrentPor-Equ Factor Movements'!C145+'CurrentPor-Equ Factor Movements'!G145)/100)+103/POWER(1+('CurrentPor-Equ Factor Movements'!D145+'CurrentPor-Equ Factor Movements'!G145)/100,2))*100</f>
        <v>9614.9673582483465</v>
      </c>
      <c r="D145">
        <f>(3/(1+('CurrentPor-Equ Factor Movements'!C145+'CurrentPor-Equ Factor Movements'!H145)/100)+103/POWER(1+('CurrentPor-Equ Factor Movements'!D145+'CurrentPor-Equ Factor Movements'!H145)/100,2))*100</f>
        <v>9601.2395558122898</v>
      </c>
      <c r="E145">
        <f>(3/(1+('CurrentPor-Equ Factor Movements'!C145+'CurrentPor-Equ Factor Movements'!I145)/100)+103/POWER(1+('CurrentPor-Equ Factor Movements'!D145+'CurrentPor-Equ Factor Movements'!I145)/100,2))*100</f>
        <v>9581.4547115644182</v>
      </c>
      <c r="F145">
        <f>Portfolio!B$5*'CurrentPor-Equ Factor Movements'!E145</f>
        <v>52446.467042873359</v>
      </c>
      <c r="G145">
        <f>Portfolio!B$6*'CurrentPor-Equ Factor Movements'!F145</f>
        <v>3502.3321013707891</v>
      </c>
      <c r="H145">
        <f>Portfolio!B$7*'CurrentPor-Equ Factor Movements'!J145</f>
        <v>2148.0998964419859</v>
      </c>
      <c r="I145">
        <f t="shared" si="4"/>
        <v>96602.146443740028</v>
      </c>
      <c r="J145">
        <f t="shared" si="5"/>
        <v>-16.710673611421953</v>
      </c>
    </row>
    <row r="146" spans="1:10">
      <c r="A146" s="1">
        <v>45673</v>
      </c>
      <c r="B146">
        <f>(3/(1+('CurrentPor-Equ Factor Movements'!C146)/100)+103/POWER(1+('CurrentPor-Equ Factor Movements'!D146)/100,2))*100</f>
        <v>9707.5857774288397</v>
      </c>
      <c r="C146">
        <f>(3/(1+('CurrentPor-Equ Factor Movements'!C146+'CurrentPor-Equ Factor Movements'!G146)/100)+103/POWER(1+('CurrentPor-Equ Factor Movements'!D146+'CurrentPor-Equ Factor Movements'!G146)/100,2))*100</f>
        <v>9614.9673582483465</v>
      </c>
      <c r="D146">
        <f>(3/(1+('CurrentPor-Equ Factor Movements'!C146+'CurrentPor-Equ Factor Movements'!H146)/100)+103/POWER(1+('CurrentPor-Equ Factor Movements'!D146+'CurrentPor-Equ Factor Movements'!H146)/100,2))*100</f>
        <v>9601.2395558122898</v>
      </c>
      <c r="E146">
        <f>(3/(1+('CurrentPor-Equ Factor Movements'!C146+'CurrentPor-Equ Factor Movements'!I146)/100)+103/POWER(1+('CurrentPor-Equ Factor Movements'!D146+'CurrentPor-Equ Factor Movements'!I146)/100,2))*100</f>
        <v>9581.4547115644182</v>
      </c>
      <c r="F146">
        <f>Portfolio!B$5*'CurrentPor-Equ Factor Movements'!E146</f>
        <v>52591.554478698061</v>
      </c>
      <c r="G146">
        <f>Portfolio!B$6*'CurrentPor-Equ Factor Movements'!F146</f>
        <v>3667.9769006030738</v>
      </c>
      <c r="H146">
        <f>Portfolio!B$7*'CurrentPor-Equ Factor Movements'!J146</f>
        <v>2148.0998964419859</v>
      </c>
      <c r="I146">
        <f t="shared" si="4"/>
        <v>96912.878678797002</v>
      </c>
      <c r="J146">
        <f t="shared" si="5"/>
        <v>-25.524339780196897</v>
      </c>
    </row>
    <row r="147" spans="1:10">
      <c r="A147" s="1">
        <v>45674</v>
      </c>
      <c r="B147">
        <f>(3/(1+('CurrentPor-Equ Factor Movements'!C147)/100)+103/POWER(1+('CurrentPor-Equ Factor Movements'!D147)/100,2))*100</f>
        <v>9707.5857774288397</v>
      </c>
      <c r="C147">
        <f>(3/(1+('CurrentPor-Equ Factor Movements'!C147+'CurrentPor-Equ Factor Movements'!G147)/100)+103/POWER(1+('CurrentPor-Equ Factor Movements'!D147+'CurrentPor-Equ Factor Movements'!G147)/100,2))*100</f>
        <v>9614.9673582483465</v>
      </c>
      <c r="D147">
        <f>(3/(1+('CurrentPor-Equ Factor Movements'!C147+'CurrentPor-Equ Factor Movements'!H147)/100)+103/POWER(1+('CurrentPor-Equ Factor Movements'!D147+'CurrentPor-Equ Factor Movements'!H147)/100,2))*100</f>
        <v>9601.2395558122898</v>
      </c>
      <c r="E147">
        <f>(3/(1+('CurrentPor-Equ Factor Movements'!C147+'CurrentPor-Equ Factor Movements'!I147)/100)+103/POWER(1+('CurrentPor-Equ Factor Movements'!D147+'CurrentPor-Equ Factor Movements'!I147)/100,2))*100</f>
        <v>9581.4547115644182</v>
      </c>
      <c r="F147">
        <f>Portfolio!B$5*'CurrentPor-Equ Factor Movements'!E147</f>
        <v>52306.610036809783</v>
      </c>
      <c r="G147">
        <f>Portfolio!B$6*'CurrentPor-Equ Factor Movements'!F147</f>
        <v>3839.4891800654714</v>
      </c>
      <c r="H147">
        <f>Portfolio!B$7*'CurrentPor-Equ Factor Movements'!J147</f>
        <v>2148.0998964419859</v>
      </c>
      <c r="I147">
        <f t="shared" si="4"/>
        <v>96799.446516371128</v>
      </c>
      <c r="J147">
        <f t="shared" si="5"/>
        <v>341.18257037454168</v>
      </c>
    </row>
    <row r="148" spans="1:10">
      <c r="A148" s="1">
        <v>45677</v>
      </c>
      <c r="B148">
        <f>(3/(1+('CurrentPor-Equ Factor Movements'!C148)/100)+103/POWER(1+('CurrentPor-Equ Factor Movements'!D148)/100,2))*100</f>
        <v>9707.5857774288397</v>
      </c>
      <c r="C148">
        <f>(3/(1+('CurrentPor-Equ Factor Movements'!C148+'CurrentPor-Equ Factor Movements'!G148)/100)+103/POWER(1+('CurrentPor-Equ Factor Movements'!D148+'CurrentPor-Equ Factor Movements'!G148)/100,2))*100</f>
        <v>9614.9673582483465</v>
      </c>
      <c r="D148">
        <f>(3/(1+('CurrentPor-Equ Factor Movements'!C148+'CurrentPor-Equ Factor Movements'!H148)/100)+103/POWER(1+('CurrentPor-Equ Factor Movements'!D148+'CurrentPor-Equ Factor Movements'!H148)/100,2))*100</f>
        <v>9601.2395558122898</v>
      </c>
      <c r="E148">
        <f>(3/(1+('CurrentPor-Equ Factor Movements'!C148+'CurrentPor-Equ Factor Movements'!I148)/100)+103/POWER(1+('CurrentPor-Equ Factor Movements'!D148+'CurrentPor-Equ Factor Movements'!I148)/100,2))*100</f>
        <v>9581.4547115644182</v>
      </c>
      <c r="F148">
        <f>Portfolio!B$5*'CurrentPor-Equ Factor Movements'!E148</f>
        <v>52236.504338774874</v>
      </c>
      <c r="G148">
        <f>Portfolio!B$6*'CurrentPor-Equ Factor Movements'!F148</f>
        <v>3966.9532717202378</v>
      </c>
      <c r="H148">
        <f>Portfolio!B$7*'CurrentPor-Equ Factor Movements'!J148</f>
        <v>2148.0998964419859</v>
      </c>
      <c r="I148">
        <f t="shared" si="4"/>
        <v>96856.804909990999</v>
      </c>
      <c r="J148">
        <f t="shared" si="5"/>
        <v>-496.4748696887109</v>
      </c>
    </row>
    <row r="149" spans="1:10">
      <c r="A149" s="1">
        <v>45678</v>
      </c>
      <c r="B149">
        <f>(3/(1+('CurrentPor-Equ Factor Movements'!C149)/100)+103/POWER(1+('CurrentPor-Equ Factor Movements'!D149)/100,2))*100</f>
        <v>9707.5857774288397</v>
      </c>
      <c r="C149">
        <f>(3/(1+('CurrentPor-Equ Factor Movements'!C149+'CurrentPor-Equ Factor Movements'!G149)/100)+103/POWER(1+('CurrentPor-Equ Factor Movements'!D149+'CurrentPor-Equ Factor Movements'!G149)/100,2))*100</f>
        <v>9614.9673582483465</v>
      </c>
      <c r="D149">
        <f>(3/(1+('CurrentPor-Equ Factor Movements'!C149+'CurrentPor-Equ Factor Movements'!H149)/100)+103/POWER(1+('CurrentPor-Equ Factor Movements'!D149+'CurrentPor-Equ Factor Movements'!H149)/100,2))*100</f>
        <v>9601.2395558122898</v>
      </c>
      <c r="E149">
        <f>(3/(1+('CurrentPor-Equ Factor Movements'!C149+'CurrentPor-Equ Factor Movements'!I149)/100)+103/POWER(1+('CurrentPor-Equ Factor Movements'!D149+'CurrentPor-Equ Factor Movements'!I149)/100,2))*100</f>
        <v>9581.4547115644182</v>
      </c>
      <c r="F149">
        <f>Portfolio!B$5*'CurrentPor-Equ Factor Movements'!E149</f>
        <v>52506.524949710118</v>
      </c>
      <c r="G149">
        <f>Portfolio!B$6*'CurrentPor-Equ Factor Movements'!F149</f>
        <v>3926.5814607785792</v>
      </c>
      <c r="H149">
        <f>Portfolio!B$7*'CurrentPor-Equ Factor Movements'!J149</f>
        <v>2148.0998964419859</v>
      </c>
      <c r="I149">
        <f t="shared" si="4"/>
        <v>97086.453709984562</v>
      </c>
      <c r="J149">
        <f t="shared" si="5"/>
        <v>361.54106433977722</v>
      </c>
    </row>
    <row r="150" spans="1:10">
      <c r="A150" s="1">
        <v>45679</v>
      </c>
      <c r="B150">
        <f>(3/(1+('CurrentPor-Equ Factor Movements'!C150)/100)+103/POWER(1+('CurrentPor-Equ Factor Movements'!D150)/100,2))*100</f>
        <v>9707.5857774288397</v>
      </c>
      <c r="C150">
        <f>(3/(1+('CurrentPor-Equ Factor Movements'!C150+'CurrentPor-Equ Factor Movements'!G150)/100)+103/POWER(1+('CurrentPor-Equ Factor Movements'!D150+'CurrentPor-Equ Factor Movements'!G150)/100,2))*100</f>
        <v>9614.9673582483465</v>
      </c>
      <c r="D150">
        <f>(3/(1+('CurrentPor-Equ Factor Movements'!C150+'CurrentPor-Equ Factor Movements'!H150)/100)+103/POWER(1+('CurrentPor-Equ Factor Movements'!D150+'CurrentPor-Equ Factor Movements'!H150)/100,2))*100</f>
        <v>9601.2395558122898</v>
      </c>
      <c r="E150">
        <f>(3/(1+('CurrentPor-Equ Factor Movements'!C150+'CurrentPor-Equ Factor Movements'!I150)/100)+103/POWER(1+('CurrentPor-Equ Factor Movements'!D150+'CurrentPor-Equ Factor Movements'!I150)/100,2))*100</f>
        <v>9581.4547115644182</v>
      </c>
      <c r="F150">
        <f>Portfolio!B$5*'CurrentPor-Equ Factor Movements'!E150</f>
        <v>52429.697422786521</v>
      </c>
      <c r="G150">
        <f>Portfolio!B$6*'CurrentPor-Equ Factor Movements'!F150</f>
        <v>3519.3889131801193</v>
      </c>
      <c r="H150">
        <f>Portfolio!B$7*'CurrentPor-Equ Factor Movements'!J150</f>
        <v>2148.0998964419859</v>
      </c>
      <c r="I150">
        <f t="shared" si="4"/>
        <v>96602.433635462527</v>
      </c>
      <c r="J150">
        <f t="shared" si="5"/>
        <v>-83.397265846870141</v>
      </c>
    </row>
    <row r="151" spans="1:10">
      <c r="A151" s="1">
        <v>45680</v>
      </c>
      <c r="B151">
        <f>(3/(1+('CurrentPor-Equ Factor Movements'!C151)/100)+103/POWER(1+('CurrentPor-Equ Factor Movements'!D151)/100,2))*100</f>
        <v>9707.5857774288397</v>
      </c>
      <c r="C151">
        <f>(3/(1+('CurrentPor-Equ Factor Movements'!C151+'CurrentPor-Equ Factor Movements'!G151)/100)+103/POWER(1+('CurrentPor-Equ Factor Movements'!D151+'CurrentPor-Equ Factor Movements'!G151)/100,2))*100</f>
        <v>9614.9673582483465</v>
      </c>
      <c r="D151">
        <f>(3/(1+('CurrentPor-Equ Factor Movements'!C151+'CurrentPor-Equ Factor Movements'!H151)/100)+103/POWER(1+('CurrentPor-Equ Factor Movements'!D151+'CurrentPor-Equ Factor Movements'!H151)/100,2))*100</f>
        <v>9601.2395558122898</v>
      </c>
      <c r="E151">
        <f>(3/(1+('CurrentPor-Equ Factor Movements'!C151+'CurrentPor-Equ Factor Movements'!I151)/100)+103/POWER(1+('CurrentPor-Equ Factor Movements'!D151+'CurrentPor-Equ Factor Movements'!I151)/100,2))*100</f>
        <v>9581.4547115644182</v>
      </c>
      <c r="F151">
        <f>Portfolio!B$5*'CurrentPor-Equ Factor Movements'!E151</f>
        <v>52645.156567689279</v>
      </c>
      <c r="G151">
        <f>Portfolio!B$6*'CurrentPor-Equ Factor Movements'!F151</f>
        <v>3718.3653279079672</v>
      </c>
      <c r="H151">
        <f>Portfolio!B$7*'CurrentPor-Equ Factor Movements'!J151</f>
        <v>2148.0998964419859</v>
      </c>
      <c r="I151">
        <f t="shared" si="4"/>
        <v>97016.869195093139</v>
      </c>
      <c r="J151">
        <f t="shared" si="5"/>
        <v>642.90538586644107</v>
      </c>
    </row>
    <row r="152" spans="1:10">
      <c r="A152" s="1">
        <v>45681</v>
      </c>
      <c r="B152">
        <f>(3/(1+('CurrentPor-Equ Factor Movements'!C152)/100)+103/POWER(1+('CurrentPor-Equ Factor Movements'!D152)/100,2))*100</f>
        <v>9707.5857774288397</v>
      </c>
      <c r="C152">
        <f>(3/(1+('CurrentPor-Equ Factor Movements'!C152+'CurrentPor-Equ Factor Movements'!G152)/100)+103/POWER(1+('CurrentPor-Equ Factor Movements'!D152+'CurrentPor-Equ Factor Movements'!G152)/100,2))*100</f>
        <v>9614.9673582483465</v>
      </c>
      <c r="D152">
        <f>(3/(1+('CurrentPor-Equ Factor Movements'!C152+'CurrentPor-Equ Factor Movements'!H152)/100)+103/POWER(1+('CurrentPor-Equ Factor Movements'!D152+'CurrentPor-Equ Factor Movements'!H152)/100,2))*100</f>
        <v>9601.2395558122898</v>
      </c>
      <c r="E152">
        <f>(3/(1+('CurrentPor-Equ Factor Movements'!C152+'CurrentPor-Equ Factor Movements'!I152)/100)+103/POWER(1+('CurrentPor-Equ Factor Movements'!D152+'CurrentPor-Equ Factor Movements'!I152)/100,2))*100</f>
        <v>9581.4547115644182</v>
      </c>
      <c r="F152">
        <f>Portfolio!B$5*'CurrentPor-Equ Factor Movements'!E152</f>
        <v>52394.584337096901</v>
      </c>
      <c r="G152">
        <f>Portfolio!B$6*'CurrentPor-Equ Factor Movements'!F152</f>
        <v>3757.8035467797586</v>
      </c>
      <c r="H152">
        <f>Portfolio!B$7*'CurrentPor-Equ Factor Movements'!J152</f>
        <v>2148.0998964419859</v>
      </c>
      <c r="I152">
        <f t="shared" si="4"/>
        <v>96805.735183372541</v>
      </c>
      <c r="J152">
        <f t="shared" si="5"/>
        <v>-201.06985418091062</v>
      </c>
    </row>
    <row r="153" spans="1:10">
      <c r="A153" s="1">
        <v>45684</v>
      </c>
      <c r="B153">
        <f>(3/(1+('CurrentPor-Equ Factor Movements'!C153)/100)+103/POWER(1+('CurrentPor-Equ Factor Movements'!D153)/100,2))*100</f>
        <v>9707.5857774288397</v>
      </c>
      <c r="C153">
        <f>(3/(1+('CurrentPor-Equ Factor Movements'!C153+'CurrentPor-Equ Factor Movements'!G153)/100)+103/POWER(1+('CurrentPor-Equ Factor Movements'!D153+'CurrentPor-Equ Factor Movements'!G153)/100,2))*100</f>
        <v>9614.9673582483465</v>
      </c>
      <c r="D153">
        <f>(3/(1+('CurrentPor-Equ Factor Movements'!C153+'CurrentPor-Equ Factor Movements'!H153)/100)+103/POWER(1+('CurrentPor-Equ Factor Movements'!D153+'CurrentPor-Equ Factor Movements'!H153)/100,2))*100</f>
        <v>9601.2395558122898</v>
      </c>
      <c r="E153">
        <f>(3/(1+('CurrentPor-Equ Factor Movements'!C153+'CurrentPor-Equ Factor Movements'!I153)/100)+103/POWER(1+('CurrentPor-Equ Factor Movements'!D153+'CurrentPor-Equ Factor Movements'!I153)/100,2))*100</f>
        <v>9581.4547115644182</v>
      </c>
      <c r="F153">
        <f>Portfolio!B$5*'CurrentPor-Equ Factor Movements'!E153</f>
        <v>52338.72140792042</v>
      </c>
      <c r="G153">
        <f>Portfolio!B$6*'CurrentPor-Equ Factor Movements'!F153</f>
        <v>3670.2880927446367</v>
      </c>
      <c r="H153">
        <f>Portfolio!B$7*'CurrentPor-Equ Factor Movements'!J153</f>
        <v>2148.0998964419859</v>
      </c>
      <c r="I153">
        <f t="shared" si="4"/>
        <v>96662.356800160938</v>
      </c>
      <c r="J153">
        <f t="shared" si="5"/>
        <v>93.03986746998271</v>
      </c>
    </row>
    <row r="154" spans="1:10">
      <c r="A154" s="1">
        <v>45685</v>
      </c>
      <c r="B154">
        <f>(3/(1+('CurrentPor-Equ Factor Movements'!C154)/100)+103/POWER(1+('CurrentPor-Equ Factor Movements'!D154)/100,2))*100</f>
        <v>9707.5857774288397</v>
      </c>
      <c r="C154">
        <f>(3/(1+('CurrentPor-Equ Factor Movements'!C154+'CurrentPor-Equ Factor Movements'!G154)/100)+103/POWER(1+('CurrentPor-Equ Factor Movements'!D154+'CurrentPor-Equ Factor Movements'!G154)/100,2))*100</f>
        <v>9614.9673582483465</v>
      </c>
      <c r="D154">
        <f>(3/(1+('CurrentPor-Equ Factor Movements'!C154+'CurrentPor-Equ Factor Movements'!H154)/100)+103/POWER(1+('CurrentPor-Equ Factor Movements'!D154+'CurrentPor-Equ Factor Movements'!H154)/100,2))*100</f>
        <v>9601.2395558122898</v>
      </c>
      <c r="E154">
        <f>(3/(1+('CurrentPor-Equ Factor Movements'!C154+'CurrentPor-Equ Factor Movements'!I154)/100)+103/POWER(1+('CurrentPor-Equ Factor Movements'!D154+'CurrentPor-Equ Factor Movements'!I154)/100,2))*100</f>
        <v>9581.4547115644182</v>
      </c>
      <c r="F154">
        <f>Portfolio!B$5*'CurrentPor-Equ Factor Movements'!E154</f>
        <v>52421.3650448521</v>
      </c>
      <c r="G154">
        <f>Portfolio!B$6*'CurrentPor-Equ Factor Movements'!F154</f>
        <v>3710.7910988322083</v>
      </c>
      <c r="H154">
        <f>Portfolio!B$7*'CurrentPor-Equ Factor Movements'!J154</f>
        <v>2148.0998964419859</v>
      </c>
      <c r="I154">
        <f t="shared" si="4"/>
        <v>96785.503443180191</v>
      </c>
      <c r="J154">
        <f t="shared" si="5"/>
        <v>-269.18584270477004</v>
      </c>
    </row>
    <row r="155" spans="1:10">
      <c r="A155" s="1">
        <v>45686</v>
      </c>
      <c r="B155">
        <f>(3/(1+('CurrentPor-Equ Factor Movements'!C155)/100)+103/POWER(1+('CurrentPor-Equ Factor Movements'!D155)/100,2))*100</f>
        <v>9707.5857774288397</v>
      </c>
      <c r="C155">
        <f>(3/(1+('CurrentPor-Equ Factor Movements'!C155+'CurrentPor-Equ Factor Movements'!G155)/100)+103/POWER(1+('CurrentPor-Equ Factor Movements'!D155+'CurrentPor-Equ Factor Movements'!G155)/100,2))*100</f>
        <v>9614.9673582483465</v>
      </c>
      <c r="D155">
        <f>(3/(1+('CurrentPor-Equ Factor Movements'!C155+'CurrentPor-Equ Factor Movements'!H155)/100)+103/POWER(1+('CurrentPor-Equ Factor Movements'!D155+'CurrentPor-Equ Factor Movements'!H155)/100,2))*100</f>
        <v>9601.2395558122898</v>
      </c>
      <c r="E155">
        <f>(3/(1+('CurrentPor-Equ Factor Movements'!C155+'CurrentPor-Equ Factor Movements'!I155)/100)+103/POWER(1+('CurrentPor-Equ Factor Movements'!D155+'CurrentPor-Equ Factor Movements'!I155)/100,2))*100</f>
        <v>9581.4547115644182</v>
      </c>
      <c r="F155">
        <f>Portfolio!B$5*'CurrentPor-Equ Factor Movements'!E155</f>
        <v>52799.850111173611</v>
      </c>
      <c r="G155">
        <f>Portfolio!B$6*'CurrentPor-Equ Factor Movements'!F155</f>
        <v>3674.6581876585319</v>
      </c>
      <c r="H155">
        <f>Portfolio!B$7*'CurrentPor-Equ Factor Movements'!J155</f>
        <v>2148.0998964419859</v>
      </c>
      <c r="I155">
        <f t="shared" si="4"/>
        <v>97127.855598328009</v>
      </c>
      <c r="J155">
        <f t="shared" si="5"/>
        <v>525.70915458798117</v>
      </c>
    </row>
    <row r="156" spans="1:10">
      <c r="A156" s="1">
        <v>45687</v>
      </c>
      <c r="B156">
        <f>(3/(1+('CurrentPor-Equ Factor Movements'!C156)/100)+103/POWER(1+('CurrentPor-Equ Factor Movements'!D156)/100,2))*100</f>
        <v>9707.5857774288397</v>
      </c>
      <c r="C156">
        <f>(3/(1+('CurrentPor-Equ Factor Movements'!C156+'CurrentPor-Equ Factor Movements'!G156)/100)+103/POWER(1+('CurrentPor-Equ Factor Movements'!D156+'CurrentPor-Equ Factor Movements'!G156)/100,2))*100</f>
        <v>9614.9673582483465</v>
      </c>
      <c r="D156">
        <f>(3/(1+('CurrentPor-Equ Factor Movements'!C156+'CurrentPor-Equ Factor Movements'!H156)/100)+103/POWER(1+('CurrentPor-Equ Factor Movements'!D156+'CurrentPor-Equ Factor Movements'!H156)/100,2))*100</f>
        <v>9601.2395558122898</v>
      </c>
      <c r="E156">
        <f>(3/(1+('CurrentPor-Equ Factor Movements'!C156+'CurrentPor-Equ Factor Movements'!I156)/100)+103/POWER(1+('CurrentPor-Equ Factor Movements'!D156+'CurrentPor-Equ Factor Movements'!I156)/100,2))*100</f>
        <v>9581.4547115644182</v>
      </c>
      <c r="F156">
        <f>Portfolio!B$5*'CurrentPor-Equ Factor Movements'!E156</f>
        <v>52496.09251190412</v>
      </c>
      <c r="G156">
        <f>Portfolio!B$6*'CurrentPor-Equ Factor Movements'!F156</f>
        <v>3841.2275788079191</v>
      </c>
      <c r="H156">
        <f>Portfolio!B$7*'CurrentPor-Equ Factor Movements'!J156</f>
        <v>2148.0998964419859</v>
      </c>
      <c r="I156">
        <f t="shared" si="4"/>
        <v>96990.66739020792</v>
      </c>
      <c r="J156">
        <f t="shared" si="5"/>
        <v>77.78871141091804</v>
      </c>
    </row>
    <row r="157" spans="1:10">
      <c r="A157" s="1">
        <v>45688</v>
      </c>
      <c r="B157">
        <f>(3/(1+('CurrentPor-Equ Factor Movements'!C157)/100)+103/POWER(1+('CurrentPor-Equ Factor Movements'!D157)/100,2))*100</f>
        <v>9707.5857774288397</v>
      </c>
      <c r="C157">
        <f>(3/(1+('CurrentPor-Equ Factor Movements'!C157+'CurrentPor-Equ Factor Movements'!G157)/100)+103/POWER(1+('CurrentPor-Equ Factor Movements'!D157+'CurrentPor-Equ Factor Movements'!G157)/100,2))*100</f>
        <v>9614.9673582483465</v>
      </c>
      <c r="D157">
        <f>(3/(1+('CurrentPor-Equ Factor Movements'!C157+'CurrentPor-Equ Factor Movements'!H157)/100)+103/POWER(1+('CurrentPor-Equ Factor Movements'!D157+'CurrentPor-Equ Factor Movements'!H157)/100,2))*100</f>
        <v>9601.2395558122898</v>
      </c>
      <c r="E157">
        <f>(3/(1+('CurrentPor-Equ Factor Movements'!C157+'CurrentPor-Equ Factor Movements'!I157)/100)+103/POWER(1+('CurrentPor-Equ Factor Movements'!D157+'CurrentPor-Equ Factor Movements'!I157)/100,2))*100</f>
        <v>9581.4547115644182</v>
      </c>
      <c r="F157">
        <f>Portfolio!B$5*'CurrentPor-Equ Factor Movements'!E157</f>
        <v>52242.474022815892</v>
      </c>
      <c r="G157">
        <f>Portfolio!B$6*'CurrentPor-Equ Factor Movements'!F157</f>
        <v>3594.2773939735607</v>
      </c>
      <c r="H157">
        <f>Portfolio!B$7*'CurrentPor-Equ Factor Movements'!J157</f>
        <v>2148.0998964419859</v>
      </c>
      <c r="I157">
        <f t="shared" si="4"/>
        <v>96490.098716285342</v>
      </c>
      <c r="J157">
        <f t="shared" si="5"/>
        <v>-309.34780008578673</v>
      </c>
    </row>
    <row r="158" spans="1:10">
      <c r="A158" s="1">
        <v>45691</v>
      </c>
      <c r="B158">
        <f>(3/(1+('CurrentPor-Equ Factor Movements'!C158)/100)+103/POWER(1+('CurrentPor-Equ Factor Movements'!D158)/100,2))*100</f>
        <v>9707.5857774288397</v>
      </c>
      <c r="C158">
        <f>(3/(1+('CurrentPor-Equ Factor Movements'!C158+'CurrentPor-Equ Factor Movements'!G158)/100)+103/POWER(1+('CurrentPor-Equ Factor Movements'!D158+'CurrentPor-Equ Factor Movements'!G158)/100,2))*100</f>
        <v>9614.9673582483465</v>
      </c>
      <c r="D158">
        <f>(3/(1+('CurrentPor-Equ Factor Movements'!C158+'CurrentPor-Equ Factor Movements'!H158)/100)+103/POWER(1+('CurrentPor-Equ Factor Movements'!D158+'CurrentPor-Equ Factor Movements'!H158)/100,2))*100</f>
        <v>9601.2395558122898</v>
      </c>
      <c r="E158">
        <f>(3/(1+('CurrentPor-Equ Factor Movements'!C158+'CurrentPor-Equ Factor Movements'!I158)/100)+103/POWER(1+('CurrentPor-Equ Factor Movements'!D158+'CurrentPor-Equ Factor Movements'!I158)/100,2))*100</f>
        <v>9581.4547115644182</v>
      </c>
      <c r="F158">
        <f>Portfolio!B$5*'CurrentPor-Equ Factor Movements'!E158</f>
        <v>52250.617241383137</v>
      </c>
      <c r="G158">
        <f>Portfolio!B$6*'CurrentPor-Equ Factor Movements'!F158</f>
        <v>3650.6292976882264</v>
      </c>
      <c r="H158">
        <f>Portfolio!B$7*'CurrentPor-Equ Factor Movements'!J158</f>
        <v>2148.0998964419859</v>
      </c>
      <c r="I158">
        <f t="shared" si="4"/>
        <v>96554.593838567249</v>
      </c>
      <c r="J158">
        <f t="shared" si="5"/>
        <v>-302.21107142374967</v>
      </c>
    </row>
    <row r="159" spans="1:10">
      <c r="A159" s="1">
        <v>45692</v>
      </c>
      <c r="B159">
        <f>(3/(1+('CurrentPor-Equ Factor Movements'!C159)/100)+103/POWER(1+('CurrentPor-Equ Factor Movements'!D159)/100,2))*100</f>
        <v>9707.5857774288397</v>
      </c>
      <c r="C159">
        <f>(3/(1+('CurrentPor-Equ Factor Movements'!C159+'CurrentPor-Equ Factor Movements'!G159)/100)+103/POWER(1+('CurrentPor-Equ Factor Movements'!D159+'CurrentPor-Equ Factor Movements'!G159)/100,2))*100</f>
        <v>9614.9673582483465</v>
      </c>
      <c r="D159">
        <f>(3/(1+('CurrentPor-Equ Factor Movements'!C159+'CurrentPor-Equ Factor Movements'!H159)/100)+103/POWER(1+('CurrentPor-Equ Factor Movements'!D159+'CurrentPor-Equ Factor Movements'!H159)/100,2))*100</f>
        <v>9601.2395558122898</v>
      </c>
      <c r="E159">
        <f>(3/(1+('CurrentPor-Equ Factor Movements'!C159+'CurrentPor-Equ Factor Movements'!I159)/100)+103/POWER(1+('CurrentPor-Equ Factor Movements'!D159+'CurrentPor-Equ Factor Movements'!I159)/100,2))*100</f>
        <v>9581.4547115644182</v>
      </c>
      <c r="F159">
        <f>Portfolio!B$5*'CurrentPor-Equ Factor Movements'!E159</f>
        <v>52383.103271300402</v>
      </c>
      <c r="G159">
        <f>Portfolio!B$6*'CurrentPor-Equ Factor Movements'!F159</f>
        <v>3826.0420693580018</v>
      </c>
      <c r="H159">
        <f>Portfolio!B$7*'CurrentPor-Equ Factor Movements'!J159</f>
        <v>2148.0998964419859</v>
      </c>
      <c r="I159">
        <f t="shared" si="4"/>
        <v>96862.492640154276</v>
      </c>
      <c r="J159">
        <f t="shared" si="5"/>
        <v>-223.96106983028585</v>
      </c>
    </row>
    <row r="160" spans="1:10">
      <c r="A160" s="1">
        <v>45693</v>
      </c>
      <c r="B160">
        <f>(3/(1+('CurrentPor-Equ Factor Movements'!C160)/100)+103/POWER(1+('CurrentPor-Equ Factor Movements'!D160)/100,2))*100</f>
        <v>9707.5857774288397</v>
      </c>
      <c r="C160">
        <f>(3/(1+('CurrentPor-Equ Factor Movements'!C160+'CurrentPor-Equ Factor Movements'!G160)/100)+103/POWER(1+('CurrentPor-Equ Factor Movements'!D160+'CurrentPor-Equ Factor Movements'!G160)/100,2))*100</f>
        <v>9614.9673582483465</v>
      </c>
      <c r="D160">
        <f>(3/(1+('CurrentPor-Equ Factor Movements'!C160+'CurrentPor-Equ Factor Movements'!H160)/100)+103/POWER(1+('CurrentPor-Equ Factor Movements'!D160+'CurrentPor-Equ Factor Movements'!H160)/100,2))*100</f>
        <v>9601.2395558122898</v>
      </c>
      <c r="E160">
        <f>(3/(1+('CurrentPor-Equ Factor Movements'!C160+'CurrentPor-Equ Factor Movements'!I160)/100)+103/POWER(1+('CurrentPor-Equ Factor Movements'!D160+'CurrentPor-Equ Factor Movements'!I160)/100,2))*100</f>
        <v>9581.4547115644182</v>
      </c>
      <c r="F160">
        <f>Portfolio!B$5*'CurrentPor-Equ Factor Movements'!E160</f>
        <v>52176.741643085428</v>
      </c>
      <c r="G160">
        <f>Portfolio!B$6*'CurrentPor-Equ Factor Movements'!F160</f>
        <v>3988.4040633546797</v>
      </c>
      <c r="H160">
        <f>Portfolio!B$7*'CurrentPor-Equ Factor Movements'!J160</f>
        <v>2148.0998964419859</v>
      </c>
      <c r="I160">
        <f t="shared" si="4"/>
        <v>96818.49300593599</v>
      </c>
      <c r="J160">
        <f t="shared" si="5"/>
        <v>216.05937047346379</v>
      </c>
    </row>
    <row r="161" spans="1:10">
      <c r="A161" s="1">
        <v>45694</v>
      </c>
      <c r="B161">
        <f>(3/(1+('CurrentPor-Equ Factor Movements'!C161)/100)+103/POWER(1+('CurrentPor-Equ Factor Movements'!D161)/100,2))*100</f>
        <v>9707.5857774288397</v>
      </c>
      <c r="C161">
        <f>(3/(1+('CurrentPor-Equ Factor Movements'!C161+'CurrentPor-Equ Factor Movements'!G161)/100)+103/POWER(1+('CurrentPor-Equ Factor Movements'!D161+'CurrentPor-Equ Factor Movements'!G161)/100,2))*100</f>
        <v>9614.9673582483465</v>
      </c>
      <c r="D161">
        <f>(3/(1+('CurrentPor-Equ Factor Movements'!C161+'CurrentPor-Equ Factor Movements'!H161)/100)+103/POWER(1+('CurrentPor-Equ Factor Movements'!D161+'CurrentPor-Equ Factor Movements'!H161)/100,2))*100</f>
        <v>9601.2395558122898</v>
      </c>
      <c r="E161">
        <f>(3/(1+('CurrentPor-Equ Factor Movements'!C161+'CurrentPor-Equ Factor Movements'!I161)/100)+103/POWER(1+('CurrentPor-Equ Factor Movements'!D161+'CurrentPor-Equ Factor Movements'!I161)/100,2))*100</f>
        <v>9581.4547115644182</v>
      </c>
      <c r="F161">
        <f>Portfolio!B$5*'CurrentPor-Equ Factor Movements'!E161</f>
        <v>52097.989346156224</v>
      </c>
      <c r="G161">
        <f>Portfolio!B$6*'CurrentPor-Equ Factor Movements'!F161</f>
        <v>3982.9245529061559</v>
      </c>
      <c r="H161">
        <f>Portfolio!B$7*'CurrentPor-Equ Factor Movements'!J161</f>
        <v>2148.0998964419859</v>
      </c>
      <c r="I161">
        <f t="shared" si="4"/>
        <v>96734.261198558263</v>
      </c>
      <c r="J161">
        <f t="shared" si="5"/>
        <v>-282.60799653487629</v>
      </c>
    </row>
    <row r="162" spans="1:10">
      <c r="A162" s="1">
        <v>45695</v>
      </c>
      <c r="B162">
        <f>(3/(1+('CurrentPor-Equ Factor Movements'!C162)/100)+103/POWER(1+('CurrentPor-Equ Factor Movements'!D162)/100,2))*100</f>
        <v>9707.5857774288397</v>
      </c>
      <c r="C162">
        <f>(3/(1+('CurrentPor-Equ Factor Movements'!C162+'CurrentPor-Equ Factor Movements'!G162)/100)+103/POWER(1+('CurrentPor-Equ Factor Movements'!D162+'CurrentPor-Equ Factor Movements'!G162)/100,2))*100</f>
        <v>9614.9673582483465</v>
      </c>
      <c r="D162">
        <f>(3/(1+('CurrentPor-Equ Factor Movements'!C162+'CurrentPor-Equ Factor Movements'!H162)/100)+103/POWER(1+('CurrentPor-Equ Factor Movements'!D162+'CurrentPor-Equ Factor Movements'!H162)/100,2))*100</f>
        <v>9601.2395558122898</v>
      </c>
      <c r="E162">
        <f>(3/(1+('CurrentPor-Equ Factor Movements'!C162+'CurrentPor-Equ Factor Movements'!I162)/100)+103/POWER(1+('CurrentPor-Equ Factor Movements'!D162+'CurrentPor-Equ Factor Movements'!I162)/100,2))*100</f>
        <v>9581.4547115644182</v>
      </c>
      <c r="F162">
        <f>Portfolio!B$5*'CurrentPor-Equ Factor Movements'!E162</f>
        <v>52254.877020022504</v>
      </c>
      <c r="G162">
        <f>Portfolio!B$6*'CurrentPor-Equ Factor Movements'!F162</f>
        <v>3858.0959769281108</v>
      </c>
      <c r="H162">
        <f>Portfolio!B$7*'CurrentPor-Equ Factor Movements'!J162</f>
        <v>2148.0998964419859</v>
      </c>
      <c r="I162">
        <f t="shared" si="4"/>
        <v>96766.320296446487</v>
      </c>
      <c r="J162">
        <f t="shared" si="5"/>
        <v>-39.414886926053441</v>
      </c>
    </row>
    <row r="163" spans="1:10">
      <c r="A163" s="1">
        <v>45698</v>
      </c>
      <c r="B163">
        <f>(3/(1+('CurrentPor-Equ Factor Movements'!C163)/100)+103/POWER(1+('CurrentPor-Equ Factor Movements'!D163)/100,2))*100</f>
        <v>9707.5857774288397</v>
      </c>
      <c r="C163">
        <f>(3/(1+('CurrentPor-Equ Factor Movements'!C163+'CurrentPor-Equ Factor Movements'!G163)/100)+103/POWER(1+('CurrentPor-Equ Factor Movements'!D163+'CurrentPor-Equ Factor Movements'!G163)/100,2))*100</f>
        <v>9614.9673582483465</v>
      </c>
      <c r="D163">
        <f>(3/(1+('CurrentPor-Equ Factor Movements'!C163+'CurrentPor-Equ Factor Movements'!H163)/100)+103/POWER(1+('CurrentPor-Equ Factor Movements'!D163+'CurrentPor-Equ Factor Movements'!H163)/100,2))*100</f>
        <v>9601.2395558122898</v>
      </c>
      <c r="E163">
        <f>(3/(1+('CurrentPor-Equ Factor Movements'!C163+'CurrentPor-Equ Factor Movements'!I163)/100)+103/POWER(1+('CurrentPor-Equ Factor Movements'!D163+'CurrentPor-Equ Factor Movements'!I163)/100,2))*100</f>
        <v>9581.4547115644182</v>
      </c>
      <c r="F163">
        <f>Portfolio!B$5*'CurrentPor-Equ Factor Movements'!E163</f>
        <v>52014.983205002398</v>
      </c>
      <c r="G163">
        <f>Portfolio!B$6*'CurrentPor-Equ Factor Movements'!F163</f>
        <v>3691.8427607626945</v>
      </c>
      <c r="H163">
        <f>Portfolio!B$7*'CurrentPor-Equ Factor Movements'!J163</f>
        <v>2148.0998964419859</v>
      </c>
      <c r="I163">
        <f t="shared" si="4"/>
        <v>96360.173265260979</v>
      </c>
      <c r="J163">
        <f t="shared" si="5"/>
        <v>-302.18353489995934</v>
      </c>
    </row>
    <row r="164" spans="1:10">
      <c r="A164" s="1">
        <v>45699</v>
      </c>
      <c r="B164">
        <f>(3/(1+('CurrentPor-Equ Factor Movements'!C164)/100)+103/POWER(1+('CurrentPor-Equ Factor Movements'!D164)/100,2))*100</f>
        <v>9707.5857774288397</v>
      </c>
      <c r="C164">
        <f>(3/(1+('CurrentPor-Equ Factor Movements'!C164+'CurrentPor-Equ Factor Movements'!G164)/100)+103/POWER(1+('CurrentPor-Equ Factor Movements'!D164+'CurrentPor-Equ Factor Movements'!G164)/100,2))*100</f>
        <v>9614.9673582483465</v>
      </c>
      <c r="D164">
        <f>(3/(1+('CurrentPor-Equ Factor Movements'!C164+'CurrentPor-Equ Factor Movements'!H164)/100)+103/POWER(1+('CurrentPor-Equ Factor Movements'!D164+'CurrentPor-Equ Factor Movements'!H164)/100,2))*100</f>
        <v>9601.2395558122898</v>
      </c>
      <c r="E164">
        <f>(3/(1+('CurrentPor-Equ Factor Movements'!C164+'CurrentPor-Equ Factor Movements'!I164)/100)+103/POWER(1+('CurrentPor-Equ Factor Movements'!D164+'CurrentPor-Equ Factor Movements'!I164)/100,2))*100</f>
        <v>9581.4547115644182</v>
      </c>
      <c r="F164">
        <f>Portfolio!B$5*'CurrentPor-Equ Factor Movements'!E164</f>
        <v>52235.641011277832</v>
      </c>
      <c r="G164">
        <f>Portfolio!B$6*'CurrentPor-Equ Factor Movements'!F164</f>
        <v>3564.3903609148069</v>
      </c>
      <c r="H164">
        <f>Portfolio!B$7*'CurrentPor-Equ Factor Movements'!J164</f>
        <v>2148.0998964419859</v>
      </c>
      <c r="I164">
        <f t="shared" si="4"/>
        <v>96453.378671688522</v>
      </c>
      <c r="J164">
        <f t="shared" si="5"/>
        <v>-332.12477149166807</v>
      </c>
    </row>
    <row r="165" spans="1:10">
      <c r="A165" s="1">
        <v>45700</v>
      </c>
      <c r="B165">
        <f>(3/(1+('CurrentPor-Equ Factor Movements'!C165)/100)+103/POWER(1+('CurrentPor-Equ Factor Movements'!D165)/100,2))*100</f>
        <v>9707.5857774288397</v>
      </c>
      <c r="C165">
        <f>(3/(1+('CurrentPor-Equ Factor Movements'!C165+'CurrentPor-Equ Factor Movements'!G165)/100)+103/POWER(1+('CurrentPor-Equ Factor Movements'!D165+'CurrentPor-Equ Factor Movements'!G165)/100,2))*100</f>
        <v>9614.9673582483465</v>
      </c>
      <c r="D165">
        <f>(3/(1+('CurrentPor-Equ Factor Movements'!C165+'CurrentPor-Equ Factor Movements'!H165)/100)+103/POWER(1+('CurrentPor-Equ Factor Movements'!D165+'CurrentPor-Equ Factor Movements'!H165)/100,2))*100</f>
        <v>9601.2395558122898</v>
      </c>
      <c r="E165">
        <f>(3/(1+('CurrentPor-Equ Factor Movements'!C165+'CurrentPor-Equ Factor Movements'!I165)/100)+103/POWER(1+('CurrentPor-Equ Factor Movements'!D165+'CurrentPor-Equ Factor Movements'!I165)/100,2))*100</f>
        <v>9581.4547115644182</v>
      </c>
      <c r="F165">
        <f>Portfolio!B$5*'CurrentPor-Equ Factor Movements'!E165</f>
        <v>52465.903313861665</v>
      </c>
      <c r="G165">
        <f>Portfolio!B$6*'CurrentPor-Equ Factor Movements'!F165</f>
        <v>3982.9802683924363</v>
      </c>
      <c r="H165">
        <f>Portfolio!B$7*'CurrentPor-Equ Factor Movements'!J165</f>
        <v>2148.0998964419859</v>
      </c>
      <c r="I165">
        <f t="shared" si="4"/>
        <v>97102.230881749972</v>
      </c>
      <c r="J165">
        <f t="shared" si="5"/>
        <v>-25.624716578036896</v>
      </c>
    </row>
    <row r="166" spans="1:10">
      <c r="A166" s="1">
        <v>45701</v>
      </c>
      <c r="B166">
        <f>(3/(1+('CurrentPor-Equ Factor Movements'!C166)/100)+103/POWER(1+('CurrentPor-Equ Factor Movements'!D166)/100,2))*100</f>
        <v>9707.5857774288397</v>
      </c>
      <c r="C166">
        <f>(3/(1+('CurrentPor-Equ Factor Movements'!C166+'CurrentPor-Equ Factor Movements'!G166)/100)+103/POWER(1+('CurrentPor-Equ Factor Movements'!D166+'CurrentPor-Equ Factor Movements'!G166)/100,2))*100</f>
        <v>9614.9673582483465</v>
      </c>
      <c r="D166">
        <f>(3/(1+('CurrentPor-Equ Factor Movements'!C166+'CurrentPor-Equ Factor Movements'!H166)/100)+103/POWER(1+('CurrentPor-Equ Factor Movements'!D166+'CurrentPor-Equ Factor Movements'!H166)/100,2))*100</f>
        <v>9601.2395558122898</v>
      </c>
      <c r="E166">
        <f>(3/(1+('CurrentPor-Equ Factor Movements'!C166+'CurrentPor-Equ Factor Movements'!I166)/100)+103/POWER(1+('CurrentPor-Equ Factor Movements'!D166+'CurrentPor-Equ Factor Movements'!I166)/100,2))*100</f>
        <v>9581.4547115644182</v>
      </c>
      <c r="F166">
        <f>Portfolio!B$5*'CurrentPor-Equ Factor Movements'!E166</f>
        <v>52288.245746908317</v>
      </c>
      <c r="G166">
        <f>Portfolio!B$6*'CurrentPor-Equ Factor Movements'!F166</f>
        <v>3745.6347189316498</v>
      </c>
      <c r="H166">
        <f>Portfolio!B$7*'CurrentPor-Equ Factor Movements'!J166</f>
        <v>2148.0998964419859</v>
      </c>
      <c r="I166">
        <f t="shared" si="4"/>
        <v>96687.227765335847</v>
      </c>
      <c r="J166">
        <f t="shared" si="5"/>
        <v>-303.43962487207318</v>
      </c>
    </row>
    <row r="167" spans="1:10">
      <c r="A167" s="1">
        <v>45702</v>
      </c>
      <c r="B167">
        <f>(3/(1+('CurrentPor-Equ Factor Movements'!C167)/100)+103/POWER(1+('CurrentPor-Equ Factor Movements'!D167)/100,2))*100</f>
        <v>9707.5857774288397</v>
      </c>
      <c r="C167">
        <f>(3/(1+('CurrentPor-Equ Factor Movements'!C167+'CurrentPor-Equ Factor Movements'!G167)/100)+103/POWER(1+('CurrentPor-Equ Factor Movements'!D167+'CurrentPor-Equ Factor Movements'!G167)/100,2))*100</f>
        <v>9614.9673582483465</v>
      </c>
      <c r="D167">
        <f>(3/(1+('CurrentPor-Equ Factor Movements'!C167+'CurrentPor-Equ Factor Movements'!H167)/100)+103/POWER(1+('CurrentPor-Equ Factor Movements'!D167+'CurrentPor-Equ Factor Movements'!H167)/100,2))*100</f>
        <v>9601.2395558122898</v>
      </c>
      <c r="E167">
        <f>(3/(1+('CurrentPor-Equ Factor Movements'!C167+'CurrentPor-Equ Factor Movements'!I167)/100)+103/POWER(1+('CurrentPor-Equ Factor Movements'!D167+'CurrentPor-Equ Factor Movements'!I167)/100,2))*100</f>
        <v>9581.4547115644182</v>
      </c>
      <c r="F167">
        <f>Portfolio!B$5*'CurrentPor-Equ Factor Movements'!E167</f>
        <v>52301.058844510771</v>
      </c>
      <c r="G167">
        <f>Portfolio!B$6*'CurrentPor-Equ Factor Movements'!F167</f>
        <v>4219.7316525834776</v>
      </c>
      <c r="H167">
        <f>Portfolio!B$7*'CurrentPor-Equ Factor Movements'!J167</f>
        <v>2148.0998964419859</v>
      </c>
      <c r="I167">
        <f t="shared" si="4"/>
        <v>97174.137796590134</v>
      </c>
      <c r="J167">
        <f t="shared" si="5"/>
        <v>684.03908030479215</v>
      </c>
    </row>
    <row r="168" spans="1:10">
      <c r="A168" s="1">
        <v>45705</v>
      </c>
      <c r="B168">
        <f>(3/(1+('CurrentPor-Equ Factor Movements'!C168)/100)+103/POWER(1+('CurrentPor-Equ Factor Movements'!D168)/100,2))*100</f>
        <v>9707.5857774288397</v>
      </c>
      <c r="C168">
        <f>(3/(1+('CurrentPor-Equ Factor Movements'!C168+'CurrentPor-Equ Factor Movements'!G168)/100)+103/POWER(1+('CurrentPor-Equ Factor Movements'!D168+'CurrentPor-Equ Factor Movements'!G168)/100,2))*100</f>
        <v>9614.9673582483465</v>
      </c>
      <c r="D168">
        <f>(3/(1+('CurrentPor-Equ Factor Movements'!C168+'CurrentPor-Equ Factor Movements'!H168)/100)+103/POWER(1+('CurrentPor-Equ Factor Movements'!D168+'CurrentPor-Equ Factor Movements'!H168)/100,2))*100</f>
        <v>9601.2395558122898</v>
      </c>
      <c r="E168">
        <f>(3/(1+('CurrentPor-Equ Factor Movements'!C168+'CurrentPor-Equ Factor Movements'!I168)/100)+103/POWER(1+('CurrentPor-Equ Factor Movements'!D168+'CurrentPor-Equ Factor Movements'!I168)/100,2))*100</f>
        <v>9581.4547115644182</v>
      </c>
      <c r="F168">
        <f>Portfolio!B$5*'CurrentPor-Equ Factor Movements'!E168</f>
        <v>52272.993690842733</v>
      </c>
      <c r="G168">
        <f>Portfolio!B$6*'CurrentPor-Equ Factor Movements'!F168</f>
        <v>3765.111129868837</v>
      </c>
      <c r="H168">
        <f>Portfolio!B$7*'CurrentPor-Equ Factor Movements'!J168</f>
        <v>2148.0998964419859</v>
      </c>
      <c r="I168">
        <f t="shared" si="4"/>
        <v>96691.452120207439</v>
      </c>
      <c r="J168">
        <f t="shared" si="5"/>
        <v>136.8582816401904</v>
      </c>
    </row>
    <row r="169" spans="1:10">
      <c r="A169" s="1">
        <v>45706</v>
      </c>
      <c r="B169">
        <f>(3/(1+('CurrentPor-Equ Factor Movements'!C169)/100)+103/POWER(1+('CurrentPor-Equ Factor Movements'!D169)/100,2))*100</f>
        <v>9707.5857774288397</v>
      </c>
      <c r="C169">
        <f>(3/(1+('CurrentPor-Equ Factor Movements'!C169+'CurrentPor-Equ Factor Movements'!G169)/100)+103/POWER(1+('CurrentPor-Equ Factor Movements'!D169+'CurrentPor-Equ Factor Movements'!G169)/100,2))*100</f>
        <v>9614.9673582483465</v>
      </c>
      <c r="D169">
        <f>(3/(1+('CurrentPor-Equ Factor Movements'!C169+'CurrentPor-Equ Factor Movements'!H169)/100)+103/POWER(1+('CurrentPor-Equ Factor Movements'!D169+'CurrentPor-Equ Factor Movements'!H169)/100,2))*100</f>
        <v>9601.2395558122898</v>
      </c>
      <c r="E169">
        <f>(3/(1+('CurrentPor-Equ Factor Movements'!C169+'CurrentPor-Equ Factor Movements'!I169)/100)+103/POWER(1+('CurrentPor-Equ Factor Movements'!D169+'CurrentPor-Equ Factor Movements'!I169)/100,2))*100</f>
        <v>9581.4547115644182</v>
      </c>
      <c r="F169">
        <f>Portfolio!B$5*'CurrentPor-Equ Factor Movements'!E169</f>
        <v>51783.651909426786</v>
      </c>
      <c r="G169">
        <f>Portfolio!B$6*'CurrentPor-Equ Factor Movements'!F169</f>
        <v>3962.7840589556131</v>
      </c>
      <c r="H169">
        <f>Portfolio!B$7*'CurrentPor-Equ Factor Movements'!J169</f>
        <v>2148.0998964419859</v>
      </c>
      <c r="I169">
        <f t="shared" si="4"/>
        <v>96399.783267878272</v>
      </c>
      <c r="J169">
        <f t="shared" si="5"/>
        <v>-462.70937227600371</v>
      </c>
    </row>
    <row r="170" spans="1:10">
      <c r="A170" s="1">
        <v>45707</v>
      </c>
      <c r="B170">
        <f>(3/(1+('CurrentPor-Equ Factor Movements'!C170)/100)+103/POWER(1+('CurrentPor-Equ Factor Movements'!D170)/100,2))*100</f>
        <v>9707.5857774288397</v>
      </c>
      <c r="C170">
        <f>(3/(1+('CurrentPor-Equ Factor Movements'!C170+'CurrentPor-Equ Factor Movements'!G170)/100)+103/POWER(1+('CurrentPor-Equ Factor Movements'!D170+'CurrentPor-Equ Factor Movements'!G170)/100,2))*100</f>
        <v>9614.9673582483465</v>
      </c>
      <c r="D170">
        <f>(3/(1+('CurrentPor-Equ Factor Movements'!C170+'CurrentPor-Equ Factor Movements'!H170)/100)+103/POWER(1+('CurrentPor-Equ Factor Movements'!D170+'CurrentPor-Equ Factor Movements'!H170)/100,2))*100</f>
        <v>9601.2395558122898</v>
      </c>
      <c r="E170">
        <f>(3/(1+('CurrentPor-Equ Factor Movements'!C170+'CurrentPor-Equ Factor Movements'!I170)/100)+103/POWER(1+('CurrentPor-Equ Factor Movements'!D170+'CurrentPor-Equ Factor Movements'!I170)/100,2))*100</f>
        <v>9581.4547115644182</v>
      </c>
      <c r="F170">
        <f>Portfolio!B$5*'CurrentPor-Equ Factor Movements'!E170</f>
        <v>52573.209776268093</v>
      </c>
      <c r="G170">
        <f>Portfolio!B$6*'CurrentPor-Equ Factor Movements'!F170</f>
        <v>4336.1256602718113</v>
      </c>
      <c r="H170">
        <f>Portfolio!B$7*'CurrentPor-Equ Factor Movements'!J170</f>
        <v>2148.0998964419859</v>
      </c>
      <c r="I170">
        <f t="shared" si="4"/>
        <v>97562.682736035786</v>
      </c>
      <c r="J170">
        <f t="shared" si="5"/>
        <v>744.18973009979527</v>
      </c>
    </row>
    <row r="171" spans="1:10">
      <c r="A171" s="1">
        <v>45708</v>
      </c>
      <c r="B171">
        <f>(3/(1+('CurrentPor-Equ Factor Movements'!C171)/100)+103/POWER(1+('CurrentPor-Equ Factor Movements'!D171)/100,2))*100</f>
        <v>9707.5857774288397</v>
      </c>
      <c r="C171">
        <f>(3/(1+('CurrentPor-Equ Factor Movements'!C171+'CurrentPor-Equ Factor Movements'!G171)/100)+103/POWER(1+('CurrentPor-Equ Factor Movements'!D171+'CurrentPor-Equ Factor Movements'!G171)/100,2))*100</f>
        <v>9614.9673582483465</v>
      </c>
      <c r="D171">
        <f>(3/(1+('CurrentPor-Equ Factor Movements'!C171+'CurrentPor-Equ Factor Movements'!H171)/100)+103/POWER(1+('CurrentPor-Equ Factor Movements'!D171+'CurrentPor-Equ Factor Movements'!H171)/100,2))*100</f>
        <v>9601.2395558122898</v>
      </c>
      <c r="E171">
        <f>(3/(1+('CurrentPor-Equ Factor Movements'!C171+'CurrentPor-Equ Factor Movements'!I171)/100)+103/POWER(1+('CurrentPor-Equ Factor Movements'!D171+'CurrentPor-Equ Factor Movements'!I171)/100,2))*100</f>
        <v>9581.4547115644182</v>
      </c>
      <c r="F171">
        <f>Portfolio!B$5*'CurrentPor-Equ Factor Movements'!E171</f>
        <v>52364.612727698754</v>
      </c>
      <c r="G171">
        <f>Portfolio!B$6*'CurrentPor-Equ Factor Movements'!F171</f>
        <v>3731.1306901897219</v>
      </c>
      <c r="H171">
        <f>Portfolio!B$7*'CurrentPor-Equ Factor Movements'!J171</f>
        <v>2148.0998964419859</v>
      </c>
      <c r="I171">
        <f t="shared" si="4"/>
        <v>96749.090717384344</v>
      </c>
      <c r="J171">
        <f t="shared" si="5"/>
        <v>14.829518826081767</v>
      </c>
    </row>
    <row r="172" spans="1:10">
      <c r="A172" s="1">
        <v>45709</v>
      </c>
      <c r="B172">
        <f>(3/(1+('CurrentPor-Equ Factor Movements'!C172)/100)+103/POWER(1+('CurrentPor-Equ Factor Movements'!D172)/100,2))*100</f>
        <v>9707.5857774288397</v>
      </c>
      <c r="C172">
        <f>(3/(1+('CurrentPor-Equ Factor Movements'!C172+'CurrentPor-Equ Factor Movements'!G172)/100)+103/POWER(1+('CurrentPor-Equ Factor Movements'!D172+'CurrentPor-Equ Factor Movements'!G172)/100,2))*100</f>
        <v>9614.9673582483465</v>
      </c>
      <c r="D172">
        <f>(3/(1+('CurrentPor-Equ Factor Movements'!C172+'CurrentPor-Equ Factor Movements'!H172)/100)+103/POWER(1+('CurrentPor-Equ Factor Movements'!D172+'CurrentPor-Equ Factor Movements'!H172)/100,2))*100</f>
        <v>9601.2395558122898</v>
      </c>
      <c r="E172">
        <f>(3/(1+('CurrentPor-Equ Factor Movements'!C172+'CurrentPor-Equ Factor Movements'!I172)/100)+103/POWER(1+('CurrentPor-Equ Factor Movements'!D172+'CurrentPor-Equ Factor Movements'!I172)/100,2))*100</f>
        <v>9581.4547115644182</v>
      </c>
      <c r="F172">
        <f>Portfolio!B$5*'CurrentPor-Equ Factor Movements'!E172</f>
        <v>52155.464997171155</v>
      </c>
      <c r="G172">
        <f>Portfolio!B$6*'CurrentPor-Equ Factor Movements'!F172</f>
        <v>3790.9911058844687</v>
      </c>
      <c r="H172">
        <f>Portfolio!B$7*'CurrentPor-Equ Factor Movements'!J172</f>
        <v>2148.0998964419859</v>
      </c>
      <c r="I172">
        <f t="shared" si="4"/>
        <v>96599.803402551508</v>
      </c>
      <c r="J172">
        <f t="shared" si="5"/>
        <v>-166.51689389497915</v>
      </c>
    </row>
    <row r="173" spans="1:10">
      <c r="A173" s="1">
        <v>45712</v>
      </c>
      <c r="B173">
        <f>(3/(1+('CurrentPor-Equ Factor Movements'!C173)/100)+103/POWER(1+('CurrentPor-Equ Factor Movements'!D173)/100,2))*100</f>
        <v>9707.5857774288397</v>
      </c>
      <c r="C173">
        <f>(3/(1+('CurrentPor-Equ Factor Movements'!C173+'CurrentPor-Equ Factor Movements'!G173)/100)+103/POWER(1+('CurrentPor-Equ Factor Movements'!D173+'CurrentPor-Equ Factor Movements'!G173)/100,2))*100</f>
        <v>9614.9673582483465</v>
      </c>
      <c r="D173">
        <f>(3/(1+('CurrentPor-Equ Factor Movements'!C173+'CurrentPor-Equ Factor Movements'!H173)/100)+103/POWER(1+('CurrentPor-Equ Factor Movements'!D173+'CurrentPor-Equ Factor Movements'!H173)/100,2))*100</f>
        <v>9601.2395558122898</v>
      </c>
      <c r="E173">
        <f>(3/(1+('CurrentPor-Equ Factor Movements'!C173+'CurrentPor-Equ Factor Movements'!I173)/100)+103/POWER(1+('CurrentPor-Equ Factor Movements'!D173+'CurrentPor-Equ Factor Movements'!I173)/100,2))*100</f>
        <v>9581.4547115644182</v>
      </c>
      <c r="F173">
        <f>Portfolio!B$5*'CurrentPor-Equ Factor Movements'!E173</f>
        <v>52350.007388650491</v>
      </c>
      <c r="G173">
        <f>Portfolio!B$6*'CurrentPor-Equ Factor Movements'!F173</f>
        <v>3600.5265554345747</v>
      </c>
      <c r="H173">
        <f>Portfolio!B$7*'CurrentPor-Equ Factor Movements'!J173</f>
        <v>2148.0998964419859</v>
      </c>
      <c r="I173">
        <f t="shared" si="4"/>
        <v>96603.881243580938</v>
      </c>
      <c r="J173">
        <f t="shared" si="5"/>
        <v>243.70797831995878</v>
      </c>
    </row>
    <row r="174" spans="1:10">
      <c r="A174" s="1">
        <v>45713</v>
      </c>
      <c r="B174">
        <f>(3/(1+('CurrentPor-Equ Factor Movements'!C174)/100)+103/POWER(1+('CurrentPor-Equ Factor Movements'!D174)/100,2))*100</f>
        <v>9707.5857774288397</v>
      </c>
      <c r="C174">
        <f>(3/(1+('CurrentPor-Equ Factor Movements'!C174+'CurrentPor-Equ Factor Movements'!G174)/100)+103/POWER(1+('CurrentPor-Equ Factor Movements'!D174+'CurrentPor-Equ Factor Movements'!G174)/100,2))*100</f>
        <v>9614.9673582483465</v>
      </c>
      <c r="D174">
        <f>(3/(1+('CurrentPor-Equ Factor Movements'!C174+'CurrentPor-Equ Factor Movements'!H174)/100)+103/POWER(1+('CurrentPor-Equ Factor Movements'!D174+'CurrentPor-Equ Factor Movements'!H174)/100,2))*100</f>
        <v>9601.2395558122898</v>
      </c>
      <c r="E174">
        <f>(3/(1+('CurrentPor-Equ Factor Movements'!C174+'CurrentPor-Equ Factor Movements'!I174)/100)+103/POWER(1+('CurrentPor-Equ Factor Movements'!D174+'CurrentPor-Equ Factor Movements'!I174)/100,2))*100</f>
        <v>9581.4547115644182</v>
      </c>
      <c r="F174">
        <f>Portfolio!B$5*'CurrentPor-Equ Factor Movements'!E174</f>
        <v>52430.594496455044</v>
      </c>
      <c r="G174">
        <f>Portfolio!B$6*'CurrentPor-Equ Factor Movements'!F174</f>
        <v>3598.6783872828814</v>
      </c>
      <c r="H174">
        <f>Portfolio!B$7*'CurrentPor-Equ Factor Movements'!J174</f>
        <v>2148.0998964419859</v>
      </c>
      <c r="I174">
        <f t="shared" si="4"/>
        <v>96682.620183233797</v>
      </c>
      <c r="J174">
        <f t="shared" si="5"/>
        <v>229.24151154527499</v>
      </c>
    </row>
    <row r="175" spans="1:10">
      <c r="A175" s="1">
        <v>45714</v>
      </c>
      <c r="B175">
        <f>(3/(1+('CurrentPor-Equ Factor Movements'!C175)/100)+103/POWER(1+('CurrentPor-Equ Factor Movements'!D175)/100,2))*100</f>
        <v>9707.5857774288397</v>
      </c>
      <c r="C175">
        <f>(3/(1+('CurrentPor-Equ Factor Movements'!C175+'CurrentPor-Equ Factor Movements'!G175)/100)+103/POWER(1+('CurrentPor-Equ Factor Movements'!D175+'CurrentPor-Equ Factor Movements'!G175)/100,2))*100</f>
        <v>9614.9673582483465</v>
      </c>
      <c r="D175">
        <f>(3/(1+('CurrentPor-Equ Factor Movements'!C175+'CurrentPor-Equ Factor Movements'!H175)/100)+103/POWER(1+('CurrentPor-Equ Factor Movements'!D175+'CurrentPor-Equ Factor Movements'!H175)/100,2))*100</f>
        <v>9601.2395558122898</v>
      </c>
      <c r="E175">
        <f>(3/(1+('CurrentPor-Equ Factor Movements'!C175+'CurrentPor-Equ Factor Movements'!I175)/100)+103/POWER(1+('CurrentPor-Equ Factor Movements'!D175+'CurrentPor-Equ Factor Movements'!I175)/100,2))*100</f>
        <v>9581.4547115644182</v>
      </c>
      <c r="F175">
        <f>Portfolio!B$5*'CurrentPor-Equ Factor Movements'!E175</f>
        <v>51947.901648494495</v>
      </c>
      <c r="G175">
        <f>Portfolio!B$6*'CurrentPor-Equ Factor Movements'!F175</f>
        <v>3419.7800336460623</v>
      </c>
      <c r="H175">
        <f>Portfolio!B$7*'CurrentPor-Equ Factor Movements'!J175</f>
        <v>2148.0998964419859</v>
      </c>
      <c r="I175">
        <f t="shared" si="4"/>
        <v>96021.028981636438</v>
      </c>
      <c r="J175">
        <f t="shared" si="5"/>
        <v>-1081.2019001135341</v>
      </c>
    </row>
    <row r="176" spans="1:10">
      <c r="A176" s="1">
        <v>45715</v>
      </c>
      <c r="B176">
        <f>(3/(1+('CurrentPor-Equ Factor Movements'!C176)/100)+103/POWER(1+('CurrentPor-Equ Factor Movements'!D176)/100,2))*100</f>
        <v>9707.5857774288397</v>
      </c>
      <c r="C176">
        <f>(3/(1+('CurrentPor-Equ Factor Movements'!C176+'CurrentPor-Equ Factor Movements'!G176)/100)+103/POWER(1+('CurrentPor-Equ Factor Movements'!D176+'CurrentPor-Equ Factor Movements'!G176)/100,2))*100</f>
        <v>9614.9673582483465</v>
      </c>
      <c r="D176">
        <f>(3/(1+('CurrentPor-Equ Factor Movements'!C176+'CurrentPor-Equ Factor Movements'!H176)/100)+103/POWER(1+('CurrentPor-Equ Factor Movements'!D176+'CurrentPor-Equ Factor Movements'!H176)/100,2))*100</f>
        <v>9601.2395558122898</v>
      </c>
      <c r="E176">
        <f>(3/(1+('CurrentPor-Equ Factor Movements'!C176+'CurrentPor-Equ Factor Movements'!I176)/100)+103/POWER(1+('CurrentPor-Equ Factor Movements'!D176+'CurrentPor-Equ Factor Movements'!I176)/100,2))*100</f>
        <v>9581.4547115644182</v>
      </c>
      <c r="F176">
        <f>Portfolio!B$5*'CurrentPor-Equ Factor Movements'!E176</f>
        <v>52217.475505332492</v>
      </c>
      <c r="G176">
        <f>Portfolio!B$6*'CurrentPor-Equ Factor Movements'!F176</f>
        <v>3673.3701929380636</v>
      </c>
      <c r="H176">
        <f>Portfolio!B$7*'CurrentPor-Equ Factor Movements'!J176</f>
        <v>2148.0998964419859</v>
      </c>
      <c r="I176">
        <f t="shared" si="4"/>
        <v>96544.192997766426</v>
      </c>
      <c r="J176">
        <f t="shared" si="5"/>
        <v>-143.03476756942109</v>
      </c>
    </row>
    <row r="177" spans="1:10">
      <c r="A177" s="1">
        <v>45716</v>
      </c>
      <c r="B177">
        <f>(3/(1+('CurrentPor-Equ Factor Movements'!C177)/100)+103/POWER(1+('CurrentPor-Equ Factor Movements'!D177)/100,2))*100</f>
        <v>9707.5857774288397</v>
      </c>
      <c r="C177">
        <f>(3/(1+('CurrentPor-Equ Factor Movements'!C177+'CurrentPor-Equ Factor Movements'!G177)/100)+103/POWER(1+('CurrentPor-Equ Factor Movements'!D177+'CurrentPor-Equ Factor Movements'!G177)/100,2))*100</f>
        <v>9614.9673582483465</v>
      </c>
      <c r="D177">
        <f>(3/(1+('CurrentPor-Equ Factor Movements'!C177+'CurrentPor-Equ Factor Movements'!H177)/100)+103/POWER(1+('CurrentPor-Equ Factor Movements'!D177+'CurrentPor-Equ Factor Movements'!H177)/100,2))*100</f>
        <v>9601.2395558122898</v>
      </c>
      <c r="E177">
        <f>(3/(1+('CurrentPor-Equ Factor Movements'!C177+'CurrentPor-Equ Factor Movements'!I177)/100)+103/POWER(1+('CurrentPor-Equ Factor Movements'!D177+'CurrentPor-Equ Factor Movements'!I177)/100,2))*100</f>
        <v>9581.4547115644182</v>
      </c>
      <c r="F177">
        <f>Portfolio!B$5*'CurrentPor-Equ Factor Movements'!E177</f>
        <v>51931.181622931283</v>
      </c>
      <c r="G177">
        <f>Portfolio!B$6*'CurrentPor-Equ Factor Movements'!F177</f>
        <v>3710.3281191503443</v>
      </c>
      <c r="H177">
        <f>Portfolio!B$7*'CurrentPor-Equ Factor Movements'!J177</f>
        <v>2148.0998964419859</v>
      </c>
      <c r="I177">
        <f t="shared" si="4"/>
        <v>96294.857041577518</v>
      </c>
      <c r="J177">
        <f t="shared" si="5"/>
        <v>-879.28075501261628</v>
      </c>
    </row>
    <row r="178" spans="1:10">
      <c r="A178" s="1">
        <v>45719</v>
      </c>
      <c r="B178">
        <f>(3/(1+('CurrentPor-Equ Factor Movements'!C178)/100)+103/POWER(1+('CurrentPor-Equ Factor Movements'!D178)/100,2))*100</f>
        <v>9707.5857774288397</v>
      </c>
      <c r="C178">
        <f>(3/(1+('CurrentPor-Equ Factor Movements'!C178+'CurrentPor-Equ Factor Movements'!G178)/100)+103/POWER(1+('CurrentPor-Equ Factor Movements'!D178+'CurrentPor-Equ Factor Movements'!G178)/100,2))*100</f>
        <v>9614.9673582483465</v>
      </c>
      <c r="D178">
        <f>(3/(1+('CurrentPor-Equ Factor Movements'!C178+'CurrentPor-Equ Factor Movements'!H178)/100)+103/POWER(1+('CurrentPor-Equ Factor Movements'!D178+'CurrentPor-Equ Factor Movements'!H178)/100,2))*100</f>
        <v>9601.2395558122898</v>
      </c>
      <c r="E178">
        <f>(3/(1+('CurrentPor-Equ Factor Movements'!C178+'CurrentPor-Equ Factor Movements'!I178)/100)+103/POWER(1+('CurrentPor-Equ Factor Movements'!D178+'CurrentPor-Equ Factor Movements'!I178)/100,2))*100</f>
        <v>9581.4547115644182</v>
      </c>
      <c r="F178">
        <f>Portfolio!B$5*'CurrentPor-Equ Factor Movements'!E178</f>
        <v>52221.812675650835</v>
      </c>
      <c r="G178">
        <f>Portfolio!B$6*'CurrentPor-Equ Factor Movements'!F178</f>
        <v>3361.3887001263811</v>
      </c>
      <c r="H178">
        <f>Portfolio!B$7*'CurrentPor-Equ Factor Movements'!J178</f>
        <v>2148.0998964419859</v>
      </c>
      <c r="I178">
        <f t="shared" si="4"/>
        <v>96236.548675273094</v>
      </c>
      <c r="J178">
        <f t="shared" si="5"/>
        <v>-454.90344493434532</v>
      </c>
    </row>
    <row r="179" spans="1:10">
      <c r="A179" s="1">
        <v>45720</v>
      </c>
      <c r="B179">
        <f>(3/(1+('CurrentPor-Equ Factor Movements'!C179)/100)+103/POWER(1+('CurrentPor-Equ Factor Movements'!D179)/100,2))*100</f>
        <v>9707.5857774288397</v>
      </c>
      <c r="C179">
        <f>(3/(1+('CurrentPor-Equ Factor Movements'!C179+'CurrentPor-Equ Factor Movements'!G179)/100)+103/POWER(1+('CurrentPor-Equ Factor Movements'!D179+'CurrentPor-Equ Factor Movements'!G179)/100,2))*100</f>
        <v>9614.9673582483465</v>
      </c>
      <c r="D179">
        <f>(3/(1+('CurrentPor-Equ Factor Movements'!C179+'CurrentPor-Equ Factor Movements'!H179)/100)+103/POWER(1+('CurrentPor-Equ Factor Movements'!D179+'CurrentPor-Equ Factor Movements'!H179)/100,2))*100</f>
        <v>9601.2395558122898</v>
      </c>
      <c r="E179">
        <f>(3/(1+('CurrentPor-Equ Factor Movements'!C179+'CurrentPor-Equ Factor Movements'!I179)/100)+103/POWER(1+('CurrentPor-Equ Factor Movements'!D179+'CurrentPor-Equ Factor Movements'!I179)/100,2))*100</f>
        <v>9581.4547115644182</v>
      </c>
      <c r="F179">
        <f>Portfolio!B$5*'CurrentPor-Equ Factor Movements'!E179</f>
        <v>52243.110385895059</v>
      </c>
      <c r="G179">
        <f>Portfolio!B$6*'CurrentPor-Equ Factor Movements'!F179</f>
        <v>3834.6311860868495</v>
      </c>
      <c r="H179">
        <f>Portfolio!B$7*'CurrentPor-Equ Factor Movements'!J179</f>
        <v>2148.0998964419859</v>
      </c>
      <c r="I179">
        <f t="shared" si="4"/>
        <v>96731.088871477783</v>
      </c>
      <c r="J179">
        <f t="shared" si="5"/>
        <v>331.3056035995105</v>
      </c>
    </row>
    <row r="180" spans="1:10">
      <c r="A180" s="1">
        <v>45721</v>
      </c>
      <c r="B180">
        <f>(3/(1+('CurrentPor-Equ Factor Movements'!C180)/100)+103/POWER(1+('CurrentPor-Equ Factor Movements'!D180)/100,2))*100</f>
        <v>9707.5857774288397</v>
      </c>
      <c r="C180">
        <f>(3/(1+('CurrentPor-Equ Factor Movements'!C180+'CurrentPor-Equ Factor Movements'!G180)/100)+103/POWER(1+('CurrentPor-Equ Factor Movements'!D180+'CurrentPor-Equ Factor Movements'!G180)/100,2))*100</f>
        <v>9614.9673582483465</v>
      </c>
      <c r="D180">
        <f>(3/(1+('CurrentPor-Equ Factor Movements'!C180+'CurrentPor-Equ Factor Movements'!H180)/100)+103/POWER(1+('CurrentPor-Equ Factor Movements'!D180+'CurrentPor-Equ Factor Movements'!H180)/100,2))*100</f>
        <v>9601.2395558122898</v>
      </c>
      <c r="E180">
        <f>(3/(1+('CurrentPor-Equ Factor Movements'!C180+'CurrentPor-Equ Factor Movements'!I180)/100)+103/POWER(1+('CurrentPor-Equ Factor Movements'!D180+'CurrentPor-Equ Factor Movements'!I180)/100,2))*100</f>
        <v>9581.4547115644182</v>
      </c>
      <c r="F180">
        <f>Portfolio!B$5*'CurrentPor-Equ Factor Movements'!E180</f>
        <v>52293.565410377254</v>
      </c>
      <c r="G180">
        <f>Portfolio!B$6*'CurrentPor-Equ Factor Movements'!F180</f>
        <v>4053.1227983629797</v>
      </c>
      <c r="H180">
        <f>Portfolio!B$7*'CurrentPor-Equ Factor Movements'!J180</f>
        <v>2148.0998964419859</v>
      </c>
      <c r="I180">
        <f t="shared" si="4"/>
        <v>97000.035508236106</v>
      </c>
      <c r="J180">
        <f t="shared" si="5"/>
        <v>-562.64722779967997</v>
      </c>
    </row>
    <row r="181" spans="1:10">
      <c r="A181" s="1">
        <v>45722</v>
      </c>
      <c r="B181">
        <f>(3/(1+('CurrentPor-Equ Factor Movements'!C181)/100)+103/POWER(1+('CurrentPor-Equ Factor Movements'!D181)/100,2))*100</f>
        <v>9707.5857774288397</v>
      </c>
      <c r="C181">
        <f>(3/(1+('CurrentPor-Equ Factor Movements'!C181+'CurrentPor-Equ Factor Movements'!G181)/100)+103/POWER(1+('CurrentPor-Equ Factor Movements'!D181+'CurrentPor-Equ Factor Movements'!G181)/100,2))*100</f>
        <v>9614.9673582483465</v>
      </c>
      <c r="D181">
        <f>(3/(1+('CurrentPor-Equ Factor Movements'!C181+'CurrentPor-Equ Factor Movements'!H181)/100)+103/POWER(1+('CurrentPor-Equ Factor Movements'!D181+'CurrentPor-Equ Factor Movements'!H181)/100,2))*100</f>
        <v>9601.2395558122898</v>
      </c>
      <c r="E181">
        <f>(3/(1+('CurrentPor-Equ Factor Movements'!C181+'CurrentPor-Equ Factor Movements'!I181)/100)+103/POWER(1+('CurrentPor-Equ Factor Movements'!D181+'CurrentPor-Equ Factor Movements'!I181)/100,2))*100</f>
        <v>9581.4547115644182</v>
      </c>
      <c r="F181">
        <f>Portfolio!B$5*'CurrentPor-Equ Factor Movements'!E181</f>
        <v>52021.657066204803</v>
      </c>
      <c r="G181">
        <f>Portfolio!B$6*'CurrentPor-Equ Factor Movements'!F181</f>
        <v>3850.2623328837872</v>
      </c>
      <c r="H181">
        <f>Portfolio!B$7*'CurrentPor-Equ Factor Movements'!J181</f>
        <v>2148.0998964419859</v>
      </c>
      <c r="I181">
        <f t="shared" si="4"/>
        <v>96525.26669858447</v>
      </c>
      <c r="J181">
        <f t="shared" si="5"/>
        <v>-223.82401879987447</v>
      </c>
    </row>
    <row r="182" spans="1:10">
      <c r="A182" s="1">
        <v>45723</v>
      </c>
      <c r="B182">
        <f>(3/(1+('CurrentPor-Equ Factor Movements'!C182)/100)+103/POWER(1+('CurrentPor-Equ Factor Movements'!D182)/100,2))*100</f>
        <v>9707.5857774288397</v>
      </c>
      <c r="C182">
        <f>(3/(1+('CurrentPor-Equ Factor Movements'!C182+'CurrentPor-Equ Factor Movements'!G182)/100)+103/POWER(1+('CurrentPor-Equ Factor Movements'!D182+'CurrentPor-Equ Factor Movements'!G182)/100,2))*100</f>
        <v>9614.9673582483465</v>
      </c>
      <c r="D182">
        <f>(3/(1+('CurrentPor-Equ Factor Movements'!C182+'CurrentPor-Equ Factor Movements'!H182)/100)+103/POWER(1+('CurrentPor-Equ Factor Movements'!D182+'CurrentPor-Equ Factor Movements'!H182)/100,2))*100</f>
        <v>9601.2395558122898</v>
      </c>
      <c r="E182">
        <f>(3/(1+('CurrentPor-Equ Factor Movements'!C182+'CurrentPor-Equ Factor Movements'!I182)/100)+103/POWER(1+('CurrentPor-Equ Factor Movements'!D182+'CurrentPor-Equ Factor Movements'!I182)/100,2))*100</f>
        <v>9581.4547115644182</v>
      </c>
      <c r="F182">
        <f>Portfolio!B$5*'CurrentPor-Equ Factor Movements'!E182</f>
        <v>52385.64569140035</v>
      </c>
      <c r="G182">
        <f>Portfolio!B$6*'CurrentPor-Equ Factor Movements'!F182</f>
        <v>3622.4264361618802</v>
      </c>
      <c r="H182">
        <f>Portfolio!B$7*'CurrentPor-Equ Factor Movements'!J182</f>
        <v>2148.0998964419859</v>
      </c>
      <c r="I182">
        <f t="shared" si="4"/>
        <v>96661.419427058121</v>
      </c>
      <c r="J182">
        <f t="shared" si="5"/>
        <v>61.61602450661303</v>
      </c>
    </row>
    <row r="183" spans="1:10">
      <c r="A183" s="1">
        <v>45726</v>
      </c>
      <c r="B183">
        <f>(3/(1+('CurrentPor-Equ Factor Movements'!C183)/100)+103/POWER(1+('CurrentPor-Equ Factor Movements'!D183)/100,2))*100</f>
        <v>9707.5857774288397</v>
      </c>
      <c r="C183">
        <f>(3/(1+('CurrentPor-Equ Factor Movements'!C183+'CurrentPor-Equ Factor Movements'!G183)/100)+103/POWER(1+('CurrentPor-Equ Factor Movements'!D183+'CurrentPor-Equ Factor Movements'!G183)/100,2))*100</f>
        <v>9614.9673582483465</v>
      </c>
      <c r="D183">
        <f>(3/(1+('CurrentPor-Equ Factor Movements'!C183+'CurrentPor-Equ Factor Movements'!H183)/100)+103/POWER(1+('CurrentPor-Equ Factor Movements'!D183+'CurrentPor-Equ Factor Movements'!H183)/100,2))*100</f>
        <v>9601.2395558122898</v>
      </c>
      <c r="E183">
        <f>(3/(1+('CurrentPor-Equ Factor Movements'!C183+'CurrentPor-Equ Factor Movements'!I183)/100)+103/POWER(1+('CurrentPor-Equ Factor Movements'!D183+'CurrentPor-Equ Factor Movements'!I183)/100,2))*100</f>
        <v>9581.4547115644182</v>
      </c>
      <c r="F183">
        <f>Portfolio!B$5*'CurrentPor-Equ Factor Movements'!E183</f>
        <v>52570.009468101976</v>
      </c>
      <c r="G183">
        <f>Portfolio!B$6*'CurrentPor-Equ Factor Movements'!F183</f>
        <v>3478.0610886981704</v>
      </c>
      <c r="H183">
        <f>Portfolio!B$7*'CurrentPor-Equ Factor Movements'!J183</f>
        <v>2148.0998964419859</v>
      </c>
      <c r="I183">
        <f t="shared" si="4"/>
        <v>96701.41785629603</v>
      </c>
      <c r="J183">
        <f t="shared" si="5"/>
        <v>97.536612715091906</v>
      </c>
    </row>
    <row r="184" spans="1:10">
      <c r="A184" s="1">
        <v>45727</v>
      </c>
      <c r="B184">
        <f>(3/(1+('CurrentPor-Equ Factor Movements'!C184)/100)+103/POWER(1+('CurrentPor-Equ Factor Movements'!D184)/100,2))*100</f>
        <v>9707.5857774288397</v>
      </c>
      <c r="C184">
        <f>(3/(1+('CurrentPor-Equ Factor Movements'!C184+'CurrentPor-Equ Factor Movements'!G184)/100)+103/POWER(1+('CurrentPor-Equ Factor Movements'!D184+'CurrentPor-Equ Factor Movements'!G184)/100,2))*100</f>
        <v>9614.9673582483465</v>
      </c>
      <c r="D184">
        <f>(3/(1+('CurrentPor-Equ Factor Movements'!C184+'CurrentPor-Equ Factor Movements'!H184)/100)+103/POWER(1+('CurrentPor-Equ Factor Movements'!D184+'CurrentPor-Equ Factor Movements'!H184)/100,2))*100</f>
        <v>9601.2395558122898</v>
      </c>
      <c r="E184">
        <f>(3/(1+('CurrentPor-Equ Factor Movements'!C184+'CurrentPor-Equ Factor Movements'!I184)/100)+103/POWER(1+('CurrentPor-Equ Factor Movements'!D184+'CurrentPor-Equ Factor Movements'!I184)/100,2))*100</f>
        <v>9581.4547115644182</v>
      </c>
      <c r="F184">
        <f>Portfolio!B$5*'CurrentPor-Equ Factor Movements'!E184</f>
        <v>52226.538645597488</v>
      </c>
      <c r="G184">
        <f>Portfolio!B$6*'CurrentPor-Equ Factor Movements'!F184</f>
        <v>4158.5620539728179</v>
      </c>
      <c r="H184">
        <f>Portfolio!B$7*'CurrentPor-Equ Factor Movements'!J184</f>
        <v>2148.0998964419859</v>
      </c>
      <c r="I184">
        <f t="shared" si="4"/>
        <v>97038.447999066178</v>
      </c>
      <c r="J184">
        <f t="shared" si="5"/>
        <v>355.82781583238102</v>
      </c>
    </row>
    <row r="185" spans="1:10">
      <c r="A185" s="1">
        <v>45728</v>
      </c>
      <c r="B185">
        <f>(3/(1+('CurrentPor-Equ Factor Movements'!C185)/100)+103/POWER(1+('CurrentPor-Equ Factor Movements'!D185)/100,2))*100</f>
        <v>9707.5857774288397</v>
      </c>
      <c r="C185">
        <f>(3/(1+('CurrentPor-Equ Factor Movements'!C185+'CurrentPor-Equ Factor Movements'!G185)/100)+103/POWER(1+('CurrentPor-Equ Factor Movements'!D185+'CurrentPor-Equ Factor Movements'!G185)/100,2))*100</f>
        <v>9614.9673582483465</v>
      </c>
      <c r="D185">
        <f>(3/(1+('CurrentPor-Equ Factor Movements'!C185+'CurrentPor-Equ Factor Movements'!H185)/100)+103/POWER(1+('CurrentPor-Equ Factor Movements'!D185+'CurrentPor-Equ Factor Movements'!H185)/100,2))*100</f>
        <v>9601.2395558122898</v>
      </c>
      <c r="E185">
        <f>(3/(1+('CurrentPor-Equ Factor Movements'!C185+'CurrentPor-Equ Factor Movements'!I185)/100)+103/POWER(1+('CurrentPor-Equ Factor Movements'!D185+'CurrentPor-Equ Factor Movements'!I185)/100,2))*100</f>
        <v>9581.4547115644182</v>
      </c>
      <c r="F185">
        <f>Portfolio!B$5*'CurrentPor-Equ Factor Movements'!E185</f>
        <v>52331.473692130297</v>
      </c>
      <c r="G185">
        <f>Portfolio!B$6*'CurrentPor-Equ Factor Movements'!F185</f>
        <v>3561.6393307862731</v>
      </c>
      <c r="H185">
        <f>Portfolio!B$7*'CurrentPor-Equ Factor Movements'!J185</f>
        <v>2148.0998964419859</v>
      </c>
      <c r="I185">
        <f t="shared" si="4"/>
        <v>96546.460322412444</v>
      </c>
      <c r="J185">
        <f t="shared" si="5"/>
        <v>525.43134077600553</v>
      </c>
    </row>
    <row r="186" spans="1:10">
      <c r="A186" s="1">
        <v>45729</v>
      </c>
      <c r="B186">
        <f>(3/(1+('CurrentPor-Equ Factor Movements'!C186)/100)+103/POWER(1+('CurrentPor-Equ Factor Movements'!D186)/100,2))*100</f>
        <v>9707.5857774288397</v>
      </c>
      <c r="C186">
        <f>(3/(1+('CurrentPor-Equ Factor Movements'!C186+'CurrentPor-Equ Factor Movements'!G186)/100)+103/POWER(1+('CurrentPor-Equ Factor Movements'!D186+'CurrentPor-Equ Factor Movements'!G186)/100,2))*100</f>
        <v>9614.9673582483465</v>
      </c>
      <c r="D186">
        <f>(3/(1+('CurrentPor-Equ Factor Movements'!C186+'CurrentPor-Equ Factor Movements'!H186)/100)+103/POWER(1+('CurrentPor-Equ Factor Movements'!D186+'CurrentPor-Equ Factor Movements'!H186)/100,2))*100</f>
        <v>9601.2395558122898</v>
      </c>
      <c r="E186">
        <f>(3/(1+('CurrentPor-Equ Factor Movements'!C186+'CurrentPor-Equ Factor Movements'!I186)/100)+103/POWER(1+('CurrentPor-Equ Factor Movements'!D186+'CurrentPor-Equ Factor Movements'!I186)/100,2))*100</f>
        <v>9581.4547115644182</v>
      </c>
      <c r="F186">
        <f>Portfolio!B$5*'CurrentPor-Equ Factor Movements'!E186</f>
        <v>52070.56534001133</v>
      </c>
      <c r="G186">
        <f>Portfolio!B$6*'CurrentPor-Equ Factor Movements'!F186</f>
        <v>3774.8604757338321</v>
      </c>
      <c r="H186">
        <f>Portfolio!B$7*'CurrentPor-Equ Factor Movements'!J186</f>
        <v>2148.0998964419859</v>
      </c>
      <c r="I186">
        <f t="shared" si="4"/>
        <v>96498.773115241042</v>
      </c>
      <c r="J186">
        <f t="shared" si="5"/>
        <v>-45.41988252538431</v>
      </c>
    </row>
    <row r="187" spans="1:10">
      <c r="A187" s="1">
        <v>45730</v>
      </c>
      <c r="B187">
        <f>(3/(1+('CurrentPor-Equ Factor Movements'!C187)/100)+103/POWER(1+('CurrentPor-Equ Factor Movements'!D187)/100,2))*100</f>
        <v>9707.5857774288397</v>
      </c>
      <c r="C187">
        <f>(3/(1+('CurrentPor-Equ Factor Movements'!C187+'CurrentPor-Equ Factor Movements'!G187)/100)+103/POWER(1+('CurrentPor-Equ Factor Movements'!D187+'CurrentPor-Equ Factor Movements'!G187)/100,2))*100</f>
        <v>9614.9673582483465</v>
      </c>
      <c r="D187">
        <f>(3/(1+('CurrentPor-Equ Factor Movements'!C187+'CurrentPor-Equ Factor Movements'!H187)/100)+103/POWER(1+('CurrentPor-Equ Factor Movements'!D187+'CurrentPor-Equ Factor Movements'!H187)/100,2))*100</f>
        <v>9601.2395558122898</v>
      </c>
      <c r="E187">
        <f>(3/(1+('CurrentPor-Equ Factor Movements'!C187+'CurrentPor-Equ Factor Movements'!I187)/100)+103/POWER(1+('CurrentPor-Equ Factor Movements'!D187+'CurrentPor-Equ Factor Movements'!I187)/100,2))*100</f>
        <v>9581.4547115644182</v>
      </c>
      <c r="F187">
        <f>Portfolio!B$5*'CurrentPor-Equ Factor Movements'!E187</f>
        <v>52141.368527819599</v>
      </c>
      <c r="G187">
        <f>Portfolio!B$6*'CurrentPor-Equ Factor Movements'!F187</f>
        <v>3942.8223153789604</v>
      </c>
      <c r="H187">
        <f>Portfolio!B$7*'CurrentPor-Equ Factor Movements'!J187</f>
        <v>2148.0998964419859</v>
      </c>
      <c r="I187">
        <f t="shared" si="4"/>
        <v>96737.538142694437</v>
      </c>
      <c r="J187">
        <f t="shared" si="5"/>
        <v>442.68110111691931</v>
      </c>
    </row>
    <row r="188" spans="1:10">
      <c r="A188" s="13">
        <v>45733</v>
      </c>
      <c r="B188">
        <f>(3/(1+('CurrentPor-Equ Factor Movements'!C188)/100)+103/POWER(1+('CurrentPor-Equ Factor Movements'!D188)/100,2))*100</f>
        <v>9707.5857774288397</v>
      </c>
      <c r="C188">
        <f>(3/(1+('CurrentPor-Equ Factor Movements'!C188+'CurrentPor-Equ Factor Movements'!G188)/100)+103/POWER(1+('CurrentPor-Equ Factor Movements'!D188+'CurrentPor-Equ Factor Movements'!G188)/100,2))*100</f>
        <v>9614.9673582483465</v>
      </c>
      <c r="D188">
        <f>(3/(1+('CurrentPor-Equ Factor Movements'!C188+'CurrentPor-Equ Factor Movements'!H188)/100)+103/POWER(1+('CurrentPor-Equ Factor Movements'!D188+'CurrentPor-Equ Factor Movements'!H188)/100,2))*100</f>
        <v>9601.2395558122898</v>
      </c>
      <c r="E188">
        <f>(3/(1+('CurrentPor-Equ Factor Movements'!C188+'CurrentPor-Equ Factor Movements'!I188)/100)+103/POWER(1+('CurrentPor-Equ Factor Movements'!D188+'CurrentPor-Equ Factor Movements'!I188)/100,2))*100</f>
        <v>9581.4547115644182</v>
      </c>
      <c r="F188">
        <f>Portfolio!B$5*'CurrentPor-Equ Factor Movements'!E188</f>
        <v>52166.335662633457</v>
      </c>
      <c r="G188">
        <f>Portfolio!B$6*'CurrentPor-Equ Factor Movements'!F188</f>
        <v>3678.8676583152264</v>
      </c>
      <c r="H188">
        <f>Portfolio!B$7*'CurrentPor-Equ Factor Movements'!J188</f>
        <v>2148.0998964419859</v>
      </c>
      <c r="I188">
        <f t="shared" ref="I188:I251" si="6">SUM(B188:H188)</f>
        <v>96498.55062044457</v>
      </c>
      <c r="J188">
        <f t="shared" ref="J188:J251" si="7">I188-I178</f>
        <v>262.00194517147611</v>
      </c>
    </row>
    <row r="189" spans="1:10">
      <c r="A189" s="1">
        <v>45734</v>
      </c>
      <c r="B189">
        <f>(3/(1+('CurrentPor-Equ Factor Movements'!C189)/100)+103/POWER(1+('CurrentPor-Equ Factor Movements'!D189)/100,2))*100</f>
        <v>9707.5857774288397</v>
      </c>
      <c r="C189">
        <f>(3/(1+('CurrentPor-Equ Factor Movements'!C189+'CurrentPor-Equ Factor Movements'!G189)/100)+103/POWER(1+('CurrentPor-Equ Factor Movements'!D189+'CurrentPor-Equ Factor Movements'!G189)/100,2))*100</f>
        <v>9614.9673582483465</v>
      </c>
      <c r="D189">
        <f>(3/(1+('CurrentPor-Equ Factor Movements'!C189+'CurrentPor-Equ Factor Movements'!H189)/100)+103/POWER(1+('CurrentPor-Equ Factor Movements'!D189+'CurrentPor-Equ Factor Movements'!H189)/100,2))*100</f>
        <v>9601.2395558122898</v>
      </c>
      <c r="E189">
        <f>(3/(1+('CurrentPor-Equ Factor Movements'!C189+'CurrentPor-Equ Factor Movements'!I189)/100)+103/POWER(1+('CurrentPor-Equ Factor Movements'!D189+'CurrentPor-Equ Factor Movements'!I189)/100,2))*100</f>
        <v>9581.4547115644182</v>
      </c>
      <c r="F189">
        <f>Portfolio!B$5*'CurrentPor-Equ Factor Movements'!E189</f>
        <v>51960.386923171369</v>
      </c>
      <c r="G189">
        <f>Portfolio!B$6*'CurrentPor-Equ Factor Movements'!F189</f>
        <v>3717.9453045289606</v>
      </c>
      <c r="H189">
        <f>Portfolio!B$7*'CurrentPor-Equ Factor Movements'!J189</f>
        <v>2148.0998964419859</v>
      </c>
      <c r="I189">
        <f t="shared" si="6"/>
        <v>96331.679527196204</v>
      </c>
      <c r="J189">
        <f t="shared" si="7"/>
        <v>-399.40934428157925</v>
      </c>
    </row>
    <row r="190" spans="1:10">
      <c r="A190" s="1">
        <v>45735</v>
      </c>
      <c r="B190">
        <f>(3/(1+('CurrentPor-Equ Factor Movements'!C190)/100)+103/POWER(1+('CurrentPor-Equ Factor Movements'!D190)/100,2))*100</f>
        <v>9707.5857774288397</v>
      </c>
      <c r="C190">
        <f>(3/(1+('CurrentPor-Equ Factor Movements'!C190+'CurrentPor-Equ Factor Movements'!G190)/100)+103/POWER(1+('CurrentPor-Equ Factor Movements'!D190+'CurrentPor-Equ Factor Movements'!G190)/100,2))*100</f>
        <v>9614.9673582483465</v>
      </c>
      <c r="D190">
        <f>(3/(1+('CurrentPor-Equ Factor Movements'!C190+'CurrentPor-Equ Factor Movements'!H190)/100)+103/POWER(1+('CurrentPor-Equ Factor Movements'!D190+'CurrentPor-Equ Factor Movements'!H190)/100,2))*100</f>
        <v>9601.2395558122898</v>
      </c>
      <c r="E190">
        <f>(3/(1+('CurrentPor-Equ Factor Movements'!C190+'CurrentPor-Equ Factor Movements'!I190)/100)+103/POWER(1+('CurrentPor-Equ Factor Movements'!D190+'CurrentPor-Equ Factor Movements'!I190)/100,2))*100</f>
        <v>9581.4547115644182</v>
      </c>
      <c r="F190">
        <f>Portfolio!B$5*'CurrentPor-Equ Factor Movements'!E190</f>
        <v>52247.536498208123</v>
      </c>
      <c r="G190">
        <f>Portfolio!B$6*'CurrentPor-Equ Factor Movements'!F190</f>
        <v>3891.2529309305555</v>
      </c>
      <c r="H190">
        <f>Portfolio!B$7*'CurrentPor-Equ Factor Movements'!J190</f>
        <v>2148.0998964419859</v>
      </c>
      <c r="I190">
        <f t="shared" si="6"/>
        <v>96792.136728634548</v>
      </c>
      <c r="J190">
        <f t="shared" si="7"/>
        <v>-207.89877960155718</v>
      </c>
    </row>
    <row r="191" spans="1:10">
      <c r="A191" s="1">
        <v>45736</v>
      </c>
      <c r="B191">
        <f>(3/(1+('CurrentPor-Equ Factor Movements'!C191)/100)+103/POWER(1+('CurrentPor-Equ Factor Movements'!D191)/100,2))*100</f>
        <v>9707.5857774288397</v>
      </c>
      <c r="C191">
        <f>(3/(1+('CurrentPor-Equ Factor Movements'!C191+'CurrentPor-Equ Factor Movements'!G191)/100)+103/POWER(1+('CurrentPor-Equ Factor Movements'!D191+'CurrentPor-Equ Factor Movements'!G191)/100,2))*100</f>
        <v>9614.9673582483465</v>
      </c>
      <c r="D191">
        <f>(3/(1+('CurrentPor-Equ Factor Movements'!C191+'CurrentPor-Equ Factor Movements'!H191)/100)+103/POWER(1+('CurrentPor-Equ Factor Movements'!D191+'CurrentPor-Equ Factor Movements'!H191)/100,2))*100</f>
        <v>9601.2395558122898</v>
      </c>
      <c r="E191">
        <f>(3/(1+('CurrentPor-Equ Factor Movements'!C191+'CurrentPor-Equ Factor Movements'!I191)/100)+103/POWER(1+('CurrentPor-Equ Factor Movements'!D191+'CurrentPor-Equ Factor Movements'!I191)/100,2))*100</f>
        <v>9581.4547115644182</v>
      </c>
      <c r="F191">
        <f>Portfolio!B$5*'CurrentPor-Equ Factor Movements'!E191</f>
        <v>52258.611055917347</v>
      </c>
      <c r="G191">
        <f>Portfolio!B$6*'CurrentPor-Equ Factor Movements'!F191</f>
        <v>3951.4015476447285</v>
      </c>
      <c r="H191">
        <f>Portfolio!B$7*'CurrentPor-Equ Factor Movements'!J191</f>
        <v>2148.0998964419859</v>
      </c>
      <c r="I191">
        <f t="shared" si="6"/>
        <v>96863.35990305795</v>
      </c>
      <c r="J191">
        <f t="shared" si="7"/>
        <v>338.09320447348</v>
      </c>
    </row>
    <row r="192" spans="1:10">
      <c r="A192" s="1">
        <v>45737</v>
      </c>
      <c r="B192">
        <f>(3/(1+('CurrentPor-Equ Factor Movements'!C192)/100)+103/POWER(1+('CurrentPor-Equ Factor Movements'!D192)/100,2))*100</f>
        <v>9707.5857774288397</v>
      </c>
      <c r="C192">
        <f>(3/(1+('CurrentPor-Equ Factor Movements'!C192+'CurrentPor-Equ Factor Movements'!G192)/100)+103/POWER(1+('CurrentPor-Equ Factor Movements'!D192+'CurrentPor-Equ Factor Movements'!G192)/100,2))*100</f>
        <v>9614.9673582483465</v>
      </c>
      <c r="D192">
        <f>(3/(1+('CurrentPor-Equ Factor Movements'!C192+'CurrentPor-Equ Factor Movements'!H192)/100)+103/POWER(1+('CurrentPor-Equ Factor Movements'!D192+'CurrentPor-Equ Factor Movements'!H192)/100,2))*100</f>
        <v>9601.2395558122898</v>
      </c>
      <c r="E192">
        <f>(3/(1+('CurrentPor-Equ Factor Movements'!C192+'CurrentPor-Equ Factor Movements'!I192)/100)+103/POWER(1+('CurrentPor-Equ Factor Movements'!D192+'CurrentPor-Equ Factor Movements'!I192)/100,2))*100</f>
        <v>9581.4547115644182</v>
      </c>
      <c r="F192">
        <f>Portfolio!B$5*'CurrentPor-Equ Factor Movements'!E192</f>
        <v>51920.488540172446</v>
      </c>
      <c r="G192">
        <f>Portfolio!B$6*'CurrentPor-Equ Factor Movements'!F192</f>
        <v>3841.0664876675419</v>
      </c>
      <c r="H192">
        <f>Portfolio!B$7*'CurrentPor-Equ Factor Movements'!J192</f>
        <v>2148.0998964419859</v>
      </c>
      <c r="I192">
        <f t="shared" si="6"/>
        <v>96414.902327335876</v>
      </c>
      <c r="J192">
        <f t="shared" si="7"/>
        <v>-246.51709972224489</v>
      </c>
    </row>
    <row r="193" spans="1:10">
      <c r="A193" s="1">
        <v>45740</v>
      </c>
      <c r="B193">
        <f>(3/(1+('CurrentPor-Equ Factor Movements'!C193)/100)+103/POWER(1+('CurrentPor-Equ Factor Movements'!D193)/100,2))*100</f>
        <v>9707.5857774288397</v>
      </c>
      <c r="C193">
        <f>(3/(1+('CurrentPor-Equ Factor Movements'!C193+'CurrentPor-Equ Factor Movements'!G193)/100)+103/POWER(1+('CurrentPor-Equ Factor Movements'!D193+'CurrentPor-Equ Factor Movements'!G193)/100,2))*100</f>
        <v>9614.9673582483465</v>
      </c>
      <c r="D193">
        <f>(3/(1+('CurrentPor-Equ Factor Movements'!C193+'CurrentPor-Equ Factor Movements'!H193)/100)+103/POWER(1+('CurrentPor-Equ Factor Movements'!D193+'CurrentPor-Equ Factor Movements'!H193)/100,2))*100</f>
        <v>9601.2395558122898</v>
      </c>
      <c r="E193">
        <f>(3/(1+('CurrentPor-Equ Factor Movements'!C193+'CurrentPor-Equ Factor Movements'!I193)/100)+103/POWER(1+('CurrentPor-Equ Factor Movements'!D193+'CurrentPor-Equ Factor Movements'!I193)/100,2))*100</f>
        <v>9581.4547115644182</v>
      </c>
      <c r="F193">
        <f>Portfolio!B$5*'CurrentPor-Equ Factor Movements'!E193</f>
        <v>52247.112582625559</v>
      </c>
      <c r="G193">
        <f>Portfolio!B$6*'CurrentPor-Equ Factor Movements'!F193</f>
        <v>3616.0978471508292</v>
      </c>
      <c r="H193">
        <f>Portfolio!B$7*'CurrentPor-Equ Factor Movements'!J193</f>
        <v>2148.0998964419859</v>
      </c>
      <c r="I193">
        <f t="shared" si="6"/>
        <v>96516.557729272259</v>
      </c>
      <c r="J193">
        <f t="shared" si="7"/>
        <v>-184.86012702377047</v>
      </c>
    </row>
    <row r="194" spans="1:10">
      <c r="A194" s="1">
        <v>45741</v>
      </c>
      <c r="B194">
        <f>(3/(1+('CurrentPor-Equ Factor Movements'!C194)/100)+103/POWER(1+('CurrentPor-Equ Factor Movements'!D194)/100,2))*100</f>
        <v>9707.5857774288397</v>
      </c>
      <c r="C194">
        <f>(3/(1+('CurrentPor-Equ Factor Movements'!C194+'CurrentPor-Equ Factor Movements'!G194)/100)+103/POWER(1+('CurrentPor-Equ Factor Movements'!D194+'CurrentPor-Equ Factor Movements'!G194)/100,2))*100</f>
        <v>9614.9673582483465</v>
      </c>
      <c r="D194">
        <f>(3/(1+('CurrentPor-Equ Factor Movements'!C194+'CurrentPor-Equ Factor Movements'!H194)/100)+103/POWER(1+('CurrentPor-Equ Factor Movements'!D194+'CurrentPor-Equ Factor Movements'!H194)/100,2))*100</f>
        <v>9601.2395558122898</v>
      </c>
      <c r="E194">
        <f>(3/(1+('CurrentPor-Equ Factor Movements'!C194+'CurrentPor-Equ Factor Movements'!I194)/100)+103/POWER(1+('CurrentPor-Equ Factor Movements'!D194+'CurrentPor-Equ Factor Movements'!I194)/100,2))*100</f>
        <v>9581.4547115644182</v>
      </c>
      <c r="F194">
        <f>Portfolio!B$5*'CurrentPor-Equ Factor Movements'!E194</f>
        <v>52055.265042493011</v>
      </c>
      <c r="G194">
        <f>Portfolio!B$6*'CurrentPor-Equ Factor Movements'!F194</f>
        <v>3892.6970373150702</v>
      </c>
      <c r="H194">
        <f>Portfolio!B$7*'CurrentPor-Equ Factor Movements'!J194</f>
        <v>2148.0998964419859</v>
      </c>
      <c r="I194">
        <f t="shared" si="6"/>
        <v>96601.309379303959</v>
      </c>
      <c r="J194">
        <f t="shared" si="7"/>
        <v>-437.13861976221961</v>
      </c>
    </row>
    <row r="195" spans="1:10">
      <c r="A195" s="1">
        <v>45742</v>
      </c>
      <c r="B195">
        <f>(3/(1+('CurrentPor-Equ Factor Movements'!C195)/100)+103/POWER(1+('CurrentPor-Equ Factor Movements'!D195)/100,2))*100</f>
        <v>9707.5857774288397</v>
      </c>
      <c r="C195">
        <f>(3/(1+('CurrentPor-Equ Factor Movements'!C195+'CurrentPor-Equ Factor Movements'!G195)/100)+103/POWER(1+('CurrentPor-Equ Factor Movements'!D195+'CurrentPor-Equ Factor Movements'!G195)/100,2))*100</f>
        <v>9614.9673582483465</v>
      </c>
      <c r="D195">
        <f>(3/(1+('CurrentPor-Equ Factor Movements'!C195+'CurrentPor-Equ Factor Movements'!H195)/100)+103/POWER(1+('CurrentPor-Equ Factor Movements'!D195+'CurrentPor-Equ Factor Movements'!H195)/100,2))*100</f>
        <v>9601.2395558122898</v>
      </c>
      <c r="E195">
        <f>(3/(1+('CurrentPor-Equ Factor Movements'!C195+'CurrentPor-Equ Factor Movements'!I195)/100)+103/POWER(1+('CurrentPor-Equ Factor Movements'!D195+'CurrentPor-Equ Factor Movements'!I195)/100,2))*100</f>
        <v>9581.4547115644182</v>
      </c>
      <c r="F195">
        <f>Portfolio!B$5*'CurrentPor-Equ Factor Movements'!E195</f>
        <v>52097.434950845854</v>
      </c>
      <c r="G195">
        <f>Portfolio!B$6*'CurrentPor-Equ Factor Movements'!F195</f>
        <v>4213.52226831605</v>
      </c>
      <c r="H195">
        <f>Portfolio!B$7*'CurrentPor-Equ Factor Movements'!J195</f>
        <v>2148.0998964419859</v>
      </c>
      <c r="I195">
        <f t="shared" si="6"/>
        <v>96964.304518657795</v>
      </c>
      <c r="J195">
        <f t="shared" si="7"/>
        <v>417.84419624535076</v>
      </c>
    </row>
    <row r="196" spans="1:10">
      <c r="A196" s="1">
        <v>45743</v>
      </c>
      <c r="B196">
        <f>(3/(1+('CurrentPor-Equ Factor Movements'!C196)/100)+103/POWER(1+('CurrentPor-Equ Factor Movements'!D196)/100,2))*100</f>
        <v>9707.5857774288397</v>
      </c>
      <c r="C196">
        <f>(3/(1+('CurrentPor-Equ Factor Movements'!C196+'CurrentPor-Equ Factor Movements'!G196)/100)+103/POWER(1+('CurrentPor-Equ Factor Movements'!D196+'CurrentPor-Equ Factor Movements'!G196)/100,2))*100</f>
        <v>9614.9673582483465</v>
      </c>
      <c r="D196">
        <f>(3/(1+('CurrentPor-Equ Factor Movements'!C196+'CurrentPor-Equ Factor Movements'!H196)/100)+103/POWER(1+('CurrentPor-Equ Factor Movements'!D196+'CurrentPor-Equ Factor Movements'!H196)/100,2))*100</f>
        <v>9601.2395558122898</v>
      </c>
      <c r="E196">
        <f>(3/(1+('CurrentPor-Equ Factor Movements'!C196+'CurrentPor-Equ Factor Movements'!I196)/100)+103/POWER(1+('CurrentPor-Equ Factor Movements'!D196+'CurrentPor-Equ Factor Movements'!I196)/100,2))*100</f>
        <v>9581.4547115644182</v>
      </c>
      <c r="F196">
        <f>Portfolio!B$5*'CurrentPor-Equ Factor Movements'!E196</f>
        <v>52222.383890520417</v>
      </c>
      <c r="G196">
        <f>Portfolio!B$6*'CurrentPor-Equ Factor Movements'!F196</f>
        <v>3949.9950888085536</v>
      </c>
      <c r="H196">
        <f>Portfolio!B$7*'CurrentPor-Equ Factor Movements'!J196</f>
        <v>2148.0998964419859</v>
      </c>
      <c r="I196">
        <f t="shared" si="6"/>
        <v>96825.726278824863</v>
      </c>
      <c r="J196">
        <f t="shared" si="7"/>
        <v>326.95316358382115</v>
      </c>
    </row>
    <row r="197" spans="1:10">
      <c r="A197" s="1">
        <v>45744</v>
      </c>
      <c r="B197">
        <f>(3/(1+('CurrentPor-Equ Factor Movements'!C197)/100)+103/POWER(1+('CurrentPor-Equ Factor Movements'!D197)/100,2))*100</f>
        <v>9707.5857774288397</v>
      </c>
      <c r="C197">
        <f>(3/(1+('CurrentPor-Equ Factor Movements'!C197+'CurrentPor-Equ Factor Movements'!G197)/100)+103/POWER(1+('CurrentPor-Equ Factor Movements'!D197+'CurrentPor-Equ Factor Movements'!G197)/100,2))*100</f>
        <v>9614.9673582483465</v>
      </c>
      <c r="D197">
        <f>(3/(1+('CurrentPor-Equ Factor Movements'!C197+'CurrentPor-Equ Factor Movements'!H197)/100)+103/POWER(1+('CurrentPor-Equ Factor Movements'!D197+'CurrentPor-Equ Factor Movements'!H197)/100,2))*100</f>
        <v>9601.2395558122898</v>
      </c>
      <c r="E197">
        <f>(3/(1+('CurrentPor-Equ Factor Movements'!C197+'CurrentPor-Equ Factor Movements'!I197)/100)+103/POWER(1+('CurrentPor-Equ Factor Movements'!D197+'CurrentPor-Equ Factor Movements'!I197)/100,2))*100</f>
        <v>9581.4547115644182</v>
      </c>
      <c r="F197">
        <f>Portfolio!B$5*'CurrentPor-Equ Factor Movements'!E197</f>
        <v>52226.817419865096</v>
      </c>
      <c r="G197">
        <f>Portfolio!B$6*'CurrentPor-Equ Factor Movements'!F197</f>
        <v>3923.0106236215024</v>
      </c>
      <c r="H197">
        <f>Portfolio!B$7*'CurrentPor-Equ Factor Movements'!J197</f>
        <v>2148.0998964419859</v>
      </c>
      <c r="I197">
        <f t="shared" si="6"/>
        <v>96803.175342982489</v>
      </c>
      <c r="J197">
        <f t="shared" si="7"/>
        <v>65.637200288052554</v>
      </c>
    </row>
    <row r="198" spans="1:10">
      <c r="A198" s="1">
        <v>45747</v>
      </c>
      <c r="B198">
        <f>(3/(1+('CurrentPor-Equ Factor Movements'!C198)/100)+103/POWER(1+('CurrentPor-Equ Factor Movements'!D198)/100,2))*100</f>
        <v>9707.5857774288397</v>
      </c>
      <c r="C198">
        <f>(3/(1+('CurrentPor-Equ Factor Movements'!C198+'CurrentPor-Equ Factor Movements'!G198)/100)+103/POWER(1+('CurrentPor-Equ Factor Movements'!D198+'CurrentPor-Equ Factor Movements'!G198)/100,2))*100</f>
        <v>9614.9673582483465</v>
      </c>
      <c r="D198">
        <f>(3/(1+('CurrentPor-Equ Factor Movements'!C198+'CurrentPor-Equ Factor Movements'!H198)/100)+103/POWER(1+('CurrentPor-Equ Factor Movements'!D198+'CurrentPor-Equ Factor Movements'!H198)/100,2))*100</f>
        <v>9601.2395558122898</v>
      </c>
      <c r="E198">
        <f>(3/(1+('CurrentPor-Equ Factor Movements'!C198+'CurrentPor-Equ Factor Movements'!I198)/100)+103/POWER(1+('CurrentPor-Equ Factor Movements'!D198+'CurrentPor-Equ Factor Movements'!I198)/100,2))*100</f>
        <v>9581.4547115644182</v>
      </c>
      <c r="F198">
        <f>Portfolio!B$5*'CurrentPor-Equ Factor Movements'!E198</f>
        <v>52041.585784357048</v>
      </c>
      <c r="G198">
        <f>Portfolio!B$6*'CurrentPor-Equ Factor Movements'!F198</f>
        <v>3767.2144883307128</v>
      </c>
      <c r="H198">
        <f>Portfolio!B$7*'CurrentPor-Equ Factor Movements'!J198</f>
        <v>2148.0998964419859</v>
      </c>
      <c r="I198">
        <f t="shared" si="6"/>
        <v>96462.147572183647</v>
      </c>
      <c r="J198">
        <f t="shared" si="7"/>
        <v>-36.403048260923242</v>
      </c>
    </row>
    <row r="199" spans="1:10">
      <c r="A199" s="1">
        <v>45748</v>
      </c>
      <c r="B199">
        <f>(3/(1+('CurrentPor-Equ Factor Movements'!C199)/100)+103/POWER(1+('CurrentPor-Equ Factor Movements'!D199)/100,2))*100</f>
        <v>9707.5857774288397</v>
      </c>
      <c r="C199">
        <f>(3/(1+('CurrentPor-Equ Factor Movements'!C199+'CurrentPor-Equ Factor Movements'!G199)/100)+103/POWER(1+('CurrentPor-Equ Factor Movements'!D199+'CurrentPor-Equ Factor Movements'!G199)/100,2))*100</f>
        <v>9614.9673582483465</v>
      </c>
      <c r="D199">
        <f>(3/(1+('CurrentPor-Equ Factor Movements'!C199+'CurrentPor-Equ Factor Movements'!H199)/100)+103/POWER(1+('CurrentPor-Equ Factor Movements'!D199+'CurrentPor-Equ Factor Movements'!H199)/100,2))*100</f>
        <v>9601.2395558122898</v>
      </c>
      <c r="E199">
        <f>(3/(1+('CurrentPor-Equ Factor Movements'!C199+'CurrentPor-Equ Factor Movements'!I199)/100)+103/POWER(1+('CurrentPor-Equ Factor Movements'!D199+'CurrentPor-Equ Factor Movements'!I199)/100,2))*100</f>
        <v>9581.4547115644182</v>
      </c>
      <c r="F199">
        <f>Portfolio!B$5*'CurrentPor-Equ Factor Movements'!E199</f>
        <v>52039.557784709628</v>
      </c>
      <c r="G199">
        <f>Portfolio!B$6*'CurrentPor-Equ Factor Movements'!F199</f>
        <v>3727.3830308702372</v>
      </c>
      <c r="H199">
        <f>Portfolio!B$7*'CurrentPor-Equ Factor Movements'!J199</f>
        <v>2148.0998964419859</v>
      </c>
      <c r="I199">
        <f t="shared" si="6"/>
        <v>96420.288115075746</v>
      </c>
      <c r="J199">
        <f t="shared" si="7"/>
        <v>88.608587879542029</v>
      </c>
    </row>
    <row r="200" spans="1:10">
      <c r="A200" s="1">
        <v>45749</v>
      </c>
      <c r="B200">
        <f>(3/(1+('CurrentPor-Equ Factor Movements'!C200)/100)+103/POWER(1+('CurrentPor-Equ Factor Movements'!D200)/100,2))*100</f>
        <v>9707.5857774288397</v>
      </c>
      <c r="C200">
        <f>(3/(1+('CurrentPor-Equ Factor Movements'!C200+'CurrentPor-Equ Factor Movements'!G200)/100)+103/POWER(1+('CurrentPor-Equ Factor Movements'!D200+'CurrentPor-Equ Factor Movements'!G200)/100,2))*100</f>
        <v>9614.9673582483465</v>
      </c>
      <c r="D200">
        <f>(3/(1+('CurrentPor-Equ Factor Movements'!C200+'CurrentPor-Equ Factor Movements'!H200)/100)+103/POWER(1+('CurrentPor-Equ Factor Movements'!D200+'CurrentPor-Equ Factor Movements'!H200)/100,2))*100</f>
        <v>9601.2395558122898</v>
      </c>
      <c r="E200">
        <f>(3/(1+('CurrentPor-Equ Factor Movements'!C200+'CurrentPor-Equ Factor Movements'!I200)/100)+103/POWER(1+('CurrentPor-Equ Factor Movements'!D200+'CurrentPor-Equ Factor Movements'!I200)/100,2))*100</f>
        <v>9581.4547115644182</v>
      </c>
      <c r="F200">
        <f>Portfolio!B$5*'CurrentPor-Equ Factor Movements'!E200</f>
        <v>52297.250168598352</v>
      </c>
      <c r="G200">
        <f>Portfolio!B$6*'CurrentPor-Equ Factor Movements'!F200</f>
        <v>4057.9109261382791</v>
      </c>
      <c r="H200">
        <f>Portfolio!B$7*'CurrentPor-Equ Factor Movements'!J200</f>
        <v>2148.0998964419859</v>
      </c>
      <c r="I200">
        <f t="shared" si="6"/>
        <v>97008.508394232515</v>
      </c>
      <c r="J200">
        <f t="shared" si="7"/>
        <v>216.37166559796606</v>
      </c>
    </row>
    <row r="201" spans="1:10">
      <c r="A201" s="1">
        <v>45750</v>
      </c>
      <c r="B201">
        <f>(3/(1+('CurrentPor-Equ Factor Movements'!C201)/100)+103/POWER(1+('CurrentPor-Equ Factor Movements'!D201)/100,2))*100</f>
        <v>9707.5857774288397</v>
      </c>
      <c r="C201">
        <f>(3/(1+('CurrentPor-Equ Factor Movements'!C201+'CurrentPor-Equ Factor Movements'!G201)/100)+103/POWER(1+('CurrentPor-Equ Factor Movements'!D201+'CurrentPor-Equ Factor Movements'!G201)/100,2))*100</f>
        <v>9614.9673582483465</v>
      </c>
      <c r="D201">
        <f>(3/(1+('CurrentPor-Equ Factor Movements'!C201+'CurrentPor-Equ Factor Movements'!H201)/100)+103/POWER(1+('CurrentPor-Equ Factor Movements'!D201+'CurrentPor-Equ Factor Movements'!H201)/100,2))*100</f>
        <v>9601.2395558122898</v>
      </c>
      <c r="E201">
        <f>(3/(1+('CurrentPor-Equ Factor Movements'!C201+'CurrentPor-Equ Factor Movements'!I201)/100)+103/POWER(1+('CurrentPor-Equ Factor Movements'!D201+'CurrentPor-Equ Factor Movements'!I201)/100,2))*100</f>
        <v>9581.4547115644182</v>
      </c>
      <c r="F201">
        <f>Portfolio!B$5*'CurrentPor-Equ Factor Movements'!E201</f>
        <v>51800.527875778644</v>
      </c>
      <c r="G201">
        <f>Portfolio!B$6*'CurrentPor-Equ Factor Movements'!F201</f>
        <v>4385.1217201868149</v>
      </c>
      <c r="H201">
        <f>Portfolio!B$7*'CurrentPor-Equ Factor Movements'!J201</f>
        <v>2148.0998964419859</v>
      </c>
      <c r="I201">
        <f t="shared" si="6"/>
        <v>96838.996895461329</v>
      </c>
      <c r="J201">
        <f t="shared" si="7"/>
        <v>-24.363007596621173</v>
      </c>
    </row>
    <row r="202" spans="1:10">
      <c r="A202" s="1">
        <v>45751</v>
      </c>
      <c r="B202">
        <f>(3/(1+('CurrentPor-Equ Factor Movements'!C202)/100)+103/POWER(1+('CurrentPor-Equ Factor Movements'!D202)/100,2))*100</f>
        <v>9707.5857774288397</v>
      </c>
      <c r="C202">
        <f>(3/(1+('CurrentPor-Equ Factor Movements'!C202+'CurrentPor-Equ Factor Movements'!G202)/100)+103/POWER(1+('CurrentPor-Equ Factor Movements'!D202+'CurrentPor-Equ Factor Movements'!G202)/100,2))*100</f>
        <v>9614.9673582483465</v>
      </c>
      <c r="D202">
        <f>(3/(1+('CurrentPor-Equ Factor Movements'!C202+'CurrentPor-Equ Factor Movements'!H202)/100)+103/POWER(1+('CurrentPor-Equ Factor Movements'!D202+'CurrentPor-Equ Factor Movements'!H202)/100,2))*100</f>
        <v>9601.2395558122898</v>
      </c>
      <c r="E202">
        <f>(3/(1+('CurrentPor-Equ Factor Movements'!C202+'CurrentPor-Equ Factor Movements'!I202)/100)+103/POWER(1+('CurrentPor-Equ Factor Movements'!D202+'CurrentPor-Equ Factor Movements'!I202)/100,2))*100</f>
        <v>9581.4547115644182</v>
      </c>
      <c r="F202">
        <f>Portfolio!B$5*'CurrentPor-Equ Factor Movements'!E202</f>
        <v>52192.028545489891</v>
      </c>
      <c r="G202">
        <f>Portfolio!B$6*'CurrentPor-Equ Factor Movements'!F202</f>
        <v>3745.5625606481412</v>
      </c>
      <c r="H202">
        <f>Portfolio!B$7*'CurrentPor-Equ Factor Movements'!J202</f>
        <v>2148.0998964419859</v>
      </c>
      <c r="I202">
        <f t="shared" si="6"/>
        <v>96590.938405633919</v>
      </c>
      <c r="J202">
        <f t="shared" si="7"/>
        <v>176.03607829804241</v>
      </c>
    </row>
    <row r="203" spans="1:10">
      <c r="A203" s="1">
        <v>45754</v>
      </c>
      <c r="B203">
        <f>(3/(1+('CurrentPor-Equ Factor Movements'!C203)/100)+103/POWER(1+('CurrentPor-Equ Factor Movements'!D203)/100,2))*100</f>
        <v>9707.5857774288397</v>
      </c>
      <c r="C203">
        <f>(3/(1+('CurrentPor-Equ Factor Movements'!C203+'CurrentPor-Equ Factor Movements'!G203)/100)+103/POWER(1+('CurrentPor-Equ Factor Movements'!D203+'CurrentPor-Equ Factor Movements'!G203)/100,2))*100</f>
        <v>9614.9673582483465</v>
      </c>
      <c r="D203">
        <f>(3/(1+('CurrentPor-Equ Factor Movements'!C203+'CurrentPor-Equ Factor Movements'!H203)/100)+103/POWER(1+('CurrentPor-Equ Factor Movements'!D203+'CurrentPor-Equ Factor Movements'!H203)/100,2))*100</f>
        <v>9601.2395558122898</v>
      </c>
      <c r="E203">
        <f>(3/(1+('CurrentPor-Equ Factor Movements'!C203+'CurrentPor-Equ Factor Movements'!I203)/100)+103/POWER(1+('CurrentPor-Equ Factor Movements'!D203+'CurrentPor-Equ Factor Movements'!I203)/100,2))*100</f>
        <v>9581.4547115644182</v>
      </c>
      <c r="F203">
        <f>Portfolio!B$5*'CurrentPor-Equ Factor Movements'!E203</f>
        <v>52058.940886971723</v>
      </c>
      <c r="G203">
        <f>Portfolio!B$6*'CurrentPor-Equ Factor Movements'!F203</f>
        <v>4234.3124436103753</v>
      </c>
      <c r="H203">
        <f>Portfolio!B$7*'CurrentPor-Equ Factor Movements'!J203</f>
        <v>2148.0998964419859</v>
      </c>
      <c r="I203">
        <f t="shared" si="6"/>
        <v>96946.600630077985</v>
      </c>
      <c r="J203">
        <f t="shared" si="7"/>
        <v>430.04290080572537</v>
      </c>
    </row>
    <row r="204" spans="1:10">
      <c r="A204" s="1">
        <v>45755</v>
      </c>
      <c r="B204">
        <f>(3/(1+('CurrentPor-Equ Factor Movements'!C204)/100)+103/POWER(1+('CurrentPor-Equ Factor Movements'!D204)/100,2))*100</f>
        <v>9707.5857774288397</v>
      </c>
      <c r="C204">
        <f>(3/(1+('CurrentPor-Equ Factor Movements'!C204+'CurrentPor-Equ Factor Movements'!G204)/100)+103/POWER(1+('CurrentPor-Equ Factor Movements'!D204+'CurrentPor-Equ Factor Movements'!G204)/100,2))*100</f>
        <v>9614.9673582483465</v>
      </c>
      <c r="D204">
        <f>(3/(1+('CurrentPor-Equ Factor Movements'!C204+'CurrentPor-Equ Factor Movements'!H204)/100)+103/POWER(1+('CurrentPor-Equ Factor Movements'!D204+'CurrentPor-Equ Factor Movements'!H204)/100,2))*100</f>
        <v>9601.2395558122898</v>
      </c>
      <c r="E204">
        <f>(3/(1+('CurrentPor-Equ Factor Movements'!C204+'CurrentPor-Equ Factor Movements'!I204)/100)+103/POWER(1+('CurrentPor-Equ Factor Movements'!D204+'CurrentPor-Equ Factor Movements'!I204)/100,2))*100</f>
        <v>9581.4547115644182</v>
      </c>
      <c r="F204">
        <f>Portfolio!B$5*'CurrentPor-Equ Factor Movements'!E204</f>
        <v>51990.094887880718</v>
      </c>
      <c r="G204">
        <f>Portfolio!B$6*'CurrentPor-Equ Factor Movements'!F204</f>
        <v>3908.0311188484038</v>
      </c>
      <c r="H204">
        <f>Portfolio!B$7*'CurrentPor-Equ Factor Movements'!J204</f>
        <v>2148.0998964419859</v>
      </c>
      <c r="I204">
        <f t="shared" si="6"/>
        <v>96551.473306225002</v>
      </c>
      <c r="J204">
        <f t="shared" si="7"/>
        <v>-49.83607307895727</v>
      </c>
    </row>
    <row r="205" spans="1:10">
      <c r="A205" s="1">
        <v>45756</v>
      </c>
      <c r="B205">
        <f>(3/(1+('CurrentPor-Equ Factor Movements'!C205)/100)+103/POWER(1+('CurrentPor-Equ Factor Movements'!D205)/100,2))*100</f>
        <v>9707.5857774288397</v>
      </c>
      <c r="C205">
        <f>(3/(1+('CurrentPor-Equ Factor Movements'!C205+'CurrentPor-Equ Factor Movements'!G205)/100)+103/POWER(1+('CurrentPor-Equ Factor Movements'!D205+'CurrentPor-Equ Factor Movements'!G205)/100,2))*100</f>
        <v>9614.9673582483465</v>
      </c>
      <c r="D205">
        <f>(3/(1+('CurrentPor-Equ Factor Movements'!C205+'CurrentPor-Equ Factor Movements'!H205)/100)+103/POWER(1+('CurrentPor-Equ Factor Movements'!D205+'CurrentPor-Equ Factor Movements'!H205)/100,2))*100</f>
        <v>9601.2395558122898</v>
      </c>
      <c r="E205">
        <f>(3/(1+('CurrentPor-Equ Factor Movements'!C205+'CurrentPor-Equ Factor Movements'!I205)/100)+103/POWER(1+('CurrentPor-Equ Factor Movements'!D205+'CurrentPor-Equ Factor Movements'!I205)/100,2))*100</f>
        <v>9581.4547115644182</v>
      </c>
      <c r="F205">
        <f>Portfolio!B$5*'CurrentPor-Equ Factor Movements'!E205</f>
        <v>51995.654334860628</v>
      </c>
      <c r="G205">
        <f>Portfolio!B$6*'CurrentPor-Equ Factor Movements'!F205</f>
        <v>4098.0438811190925</v>
      </c>
      <c r="H205">
        <f>Portfolio!B$7*'CurrentPor-Equ Factor Movements'!J205</f>
        <v>2148.0998964419859</v>
      </c>
      <c r="I205">
        <f t="shared" si="6"/>
        <v>96747.045515475605</v>
      </c>
      <c r="J205">
        <f t="shared" si="7"/>
        <v>-217.25900318218919</v>
      </c>
    </row>
    <row r="206" spans="1:10">
      <c r="A206" s="1">
        <v>45757</v>
      </c>
      <c r="B206">
        <f>(3/(1+('CurrentPor-Equ Factor Movements'!C206)/100)+103/POWER(1+('CurrentPor-Equ Factor Movements'!D206)/100,2))*100</f>
        <v>9707.5857774288397</v>
      </c>
      <c r="C206">
        <f>(3/(1+('CurrentPor-Equ Factor Movements'!C206+'CurrentPor-Equ Factor Movements'!G206)/100)+103/POWER(1+('CurrentPor-Equ Factor Movements'!D206+'CurrentPor-Equ Factor Movements'!G206)/100,2))*100</f>
        <v>9614.9673582483465</v>
      </c>
      <c r="D206">
        <f>(3/(1+('CurrentPor-Equ Factor Movements'!C206+'CurrentPor-Equ Factor Movements'!H206)/100)+103/POWER(1+('CurrentPor-Equ Factor Movements'!D206+'CurrentPor-Equ Factor Movements'!H206)/100,2))*100</f>
        <v>9601.2395558122898</v>
      </c>
      <c r="E206">
        <f>(3/(1+('CurrentPor-Equ Factor Movements'!C206+'CurrentPor-Equ Factor Movements'!I206)/100)+103/POWER(1+('CurrentPor-Equ Factor Movements'!D206+'CurrentPor-Equ Factor Movements'!I206)/100,2))*100</f>
        <v>9581.4547115644182</v>
      </c>
      <c r="F206">
        <f>Portfolio!B$5*'CurrentPor-Equ Factor Movements'!E206</f>
        <v>51784.315289754886</v>
      </c>
      <c r="G206">
        <f>Portfolio!B$6*'CurrentPor-Equ Factor Movements'!F206</f>
        <v>3909.8899805357964</v>
      </c>
      <c r="H206">
        <f>Portfolio!B$7*'CurrentPor-Equ Factor Movements'!J206</f>
        <v>2148.0998964419859</v>
      </c>
      <c r="I206">
        <f t="shared" si="6"/>
        <v>96347.552569786552</v>
      </c>
      <c r="J206">
        <f t="shared" si="7"/>
        <v>-478.17370903831034</v>
      </c>
    </row>
    <row r="207" spans="1:10">
      <c r="A207" s="1">
        <v>45758</v>
      </c>
      <c r="B207">
        <f>(3/(1+('CurrentPor-Equ Factor Movements'!C207)/100)+103/POWER(1+('CurrentPor-Equ Factor Movements'!D207)/100,2))*100</f>
        <v>9707.5857774288397</v>
      </c>
      <c r="C207">
        <f>(3/(1+('CurrentPor-Equ Factor Movements'!C207+'CurrentPor-Equ Factor Movements'!G207)/100)+103/POWER(1+('CurrentPor-Equ Factor Movements'!D207+'CurrentPor-Equ Factor Movements'!G207)/100,2))*100</f>
        <v>9614.9673582483465</v>
      </c>
      <c r="D207">
        <f>(3/(1+('CurrentPor-Equ Factor Movements'!C207+'CurrentPor-Equ Factor Movements'!H207)/100)+103/POWER(1+('CurrentPor-Equ Factor Movements'!D207+'CurrentPor-Equ Factor Movements'!H207)/100,2))*100</f>
        <v>9601.2395558122898</v>
      </c>
      <c r="E207">
        <f>(3/(1+('CurrentPor-Equ Factor Movements'!C207+'CurrentPor-Equ Factor Movements'!I207)/100)+103/POWER(1+('CurrentPor-Equ Factor Movements'!D207+'CurrentPor-Equ Factor Movements'!I207)/100,2))*100</f>
        <v>9581.4547115644182</v>
      </c>
      <c r="F207">
        <f>Portfolio!B$5*'CurrentPor-Equ Factor Movements'!E207</f>
        <v>52100.084169816168</v>
      </c>
      <c r="G207">
        <f>Portfolio!B$6*'CurrentPor-Equ Factor Movements'!F207</f>
        <v>3566.9878262774309</v>
      </c>
      <c r="H207">
        <f>Portfolio!B$7*'CurrentPor-Equ Factor Movements'!J207</f>
        <v>2148.0998964419859</v>
      </c>
      <c r="I207">
        <f t="shared" si="6"/>
        <v>96320.419295589469</v>
      </c>
      <c r="J207">
        <f t="shared" si="7"/>
        <v>-482.75604739302071</v>
      </c>
    </row>
    <row r="208" spans="1:10">
      <c r="A208" s="1">
        <v>45761</v>
      </c>
      <c r="B208">
        <f>(3/(1+('CurrentPor-Equ Factor Movements'!C208)/100)+103/POWER(1+('CurrentPor-Equ Factor Movements'!D208)/100,2))*100</f>
        <v>9707.5857774288397</v>
      </c>
      <c r="C208">
        <f>(3/(1+('CurrentPor-Equ Factor Movements'!C208+'CurrentPor-Equ Factor Movements'!G208)/100)+103/POWER(1+('CurrentPor-Equ Factor Movements'!D208+'CurrentPor-Equ Factor Movements'!G208)/100,2))*100</f>
        <v>9614.9673582483465</v>
      </c>
      <c r="D208">
        <f>(3/(1+('CurrentPor-Equ Factor Movements'!C208+'CurrentPor-Equ Factor Movements'!H208)/100)+103/POWER(1+('CurrentPor-Equ Factor Movements'!D208+'CurrentPor-Equ Factor Movements'!H208)/100,2))*100</f>
        <v>9601.2395558122898</v>
      </c>
      <c r="E208">
        <f>(3/(1+('CurrentPor-Equ Factor Movements'!C208+'CurrentPor-Equ Factor Movements'!I208)/100)+103/POWER(1+('CurrentPor-Equ Factor Movements'!D208+'CurrentPor-Equ Factor Movements'!I208)/100,2))*100</f>
        <v>9581.4547115644182</v>
      </c>
      <c r="F208">
        <f>Portfolio!B$5*'CurrentPor-Equ Factor Movements'!E208</f>
        <v>52327.661059875616</v>
      </c>
      <c r="G208">
        <f>Portfolio!B$6*'CurrentPor-Equ Factor Movements'!F208</f>
        <v>3795.181444228976</v>
      </c>
      <c r="H208">
        <f>Portfolio!B$7*'CurrentPor-Equ Factor Movements'!J208</f>
        <v>2148.0998964419859</v>
      </c>
      <c r="I208">
        <f t="shared" si="6"/>
        <v>96776.189803600471</v>
      </c>
      <c r="J208">
        <f t="shared" si="7"/>
        <v>314.04223141682451</v>
      </c>
    </row>
    <row r="209" spans="1:10">
      <c r="A209" s="1">
        <v>45762</v>
      </c>
      <c r="B209">
        <f>(3/(1+('CurrentPor-Equ Factor Movements'!C209)/100)+103/POWER(1+('CurrentPor-Equ Factor Movements'!D209)/100,2))*100</f>
        <v>9707.5857774288397</v>
      </c>
      <c r="C209">
        <f>(3/(1+('CurrentPor-Equ Factor Movements'!C209+'CurrentPor-Equ Factor Movements'!G209)/100)+103/POWER(1+('CurrentPor-Equ Factor Movements'!D209+'CurrentPor-Equ Factor Movements'!G209)/100,2))*100</f>
        <v>9614.9673582483465</v>
      </c>
      <c r="D209">
        <f>(3/(1+('CurrentPor-Equ Factor Movements'!C209+'CurrentPor-Equ Factor Movements'!H209)/100)+103/POWER(1+('CurrentPor-Equ Factor Movements'!D209+'CurrentPor-Equ Factor Movements'!H209)/100,2))*100</f>
        <v>9601.2395558122898</v>
      </c>
      <c r="E209">
        <f>(3/(1+('CurrentPor-Equ Factor Movements'!C209+'CurrentPor-Equ Factor Movements'!I209)/100)+103/POWER(1+('CurrentPor-Equ Factor Movements'!D209+'CurrentPor-Equ Factor Movements'!I209)/100,2))*100</f>
        <v>9581.4547115644182</v>
      </c>
      <c r="F209">
        <f>Portfolio!B$5*'CurrentPor-Equ Factor Movements'!E209</f>
        <v>51910.199411193149</v>
      </c>
      <c r="G209">
        <f>Portfolio!B$6*'CurrentPor-Equ Factor Movements'!F209</f>
        <v>4167.2692791357822</v>
      </c>
      <c r="H209">
        <f>Portfolio!B$7*'CurrentPor-Equ Factor Movements'!J209</f>
        <v>2148.0998964419859</v>
      </c>
      <c r="I209">
        <f t="shared" si="6"/>
        <v>96730.815989824812</v>
      </c>
      <c r="J209">
        <f t="shared" si="7"/>
        <v>310.52787474906654</v>
      </c>
    </row>
    <row r="210" spans="1:10">
      <c r="A210" s="1">
        <v>45763</v>
      </c>
      <c r="B210">
        <f>(3/(1+('CurrentPor-Equ Factor Movements'!C210)/100)+103/POWER(1+('CurrentPor-Equ Factor Movements'!D210)/100,2))*100</f>
        <v>9707.5857774288397</v>
      </c>
      <c r="C210">
        <f>(3/(1+('CurrentPor-Equ Factor Movements'!C210+'CurrentPor-Equ Factor Movements'!G210)/100)+103/POWER(1+('CurrentPor-Equ Factor Movements'!D210+'CurrentPor-Equ Factor Movements'!G210)/100,2))*100</f>
        <v>9614.9673582483465</v>
      </c>
      <c r="D210">
        <f>(3/(1+('CurrentPor-Equ Factor Movements'!C210+'CurrentPor-Equ Factor Movements'!H210)/100)+103/POWER(1+('CurrentPor-Equ Factor Movements'!D210+'CurrentPor-Equ Factor Movements'!H210)/100,2))*100</f>
        <v>9601.2395558122898</v>
      </c>
      <c r="E210">
        <f>(3/(1+('CurrentPor-Equ Factor Movements'!C210+'CurrentPor-Equ Factor Movements'!I210)/100)+103/POWER(1+('CurrentPor-Equ Factor Movements'!D210+'CurrentPor-Equ Factor Movements'!I210)/100,2))*100</f>
        <v>9581.4547115644182</v>
      </c>
      <c r="F210">
        <f>Portfolio!B$5*'CurrentPor-Equ Factor Movements'!E210</f>
        <v>51979.213011874264</v>
      </c>
      <c r="G210">
        <f>Portfolio!B$6*'CurrentPor-Equ Factor Movements'!F210</f>
        <v>4025.7779805410573</v>
      </c>
      <c r="H210">
        <f>Portfolio!B$7*'CurrentPor-Equ Factor Movements'!J210</f>
        <v>2148.0998964419859</v>
      </c>
      <c r="I210">
        <f t="shared" si="6"/>
        <v>96658.33829191119</v>
      </c>
      <c r="J210">
        <f t="shared" si="7"/>
        <v>-350.17010232132452</v>
      </c>
    </row>
    <row r="211" spans="1:10">
      <c r="A211" s="1">
        <v>45764</v>
      </c>
      <c r="B211">
        <f>(3/(1+('CurrentPor-Equ Factor Movements'!C211)/100)+103/POWER(1+('CurrentPor-Equ Factor Movements'!D211)/100,2))*100</f>
        <v>9707.5857774288397</v>
      </c>
      <c r="C211">
        <f>(3/(1+('CurrentPor-Equ Factor Movements'!C211+'CurrentPor-Equ Factor Movements'!G211)/100)+103/POWER(1+('CurrentPor-Equ Factor Movements'!D211+'CurrentPor-Equ Factor Movements'!G211)/100,2))*100</f>
        <v>9614.9673582483465</v>
      </c>
      <c r="D211">
        <f>(3/(1+('CurrentPor-Equ Factor Movements'!C211+'CurrentPor-Equ Factor Movements'!H211)/100)+103/POWER(1+('CurrentPor-Equ Factor Movements'!D211+'CurrentPor-Equ Factor Movements'!H211)/100,2))*100</f>
        <v>9601.2395558122898</v>
      </c>
      <c r="E211">
        <f>(3/(1+('CurrentPor-Equ Factor Movements'!C211+'CurrentPor-Equ Factor Movements'!I211)/100)+103/POWER(1+('CurrentPor-Equ Factor Movements'!D211+'CurrentPor-Equ Factor Movements'!I211)/100,2))*100</f>
        <v>9581.4547115644182</v>
      </c>
      <c r="F211">
        <f>Portfolio!B$5*'CurrentPor-Equ Factor Movements'!E211</f>
        <v>51904.213303766643</v>
      </c>
      <c r="G211">
        <f>Portfolio!B$6*'CurrentPor-Equ Factor Movements'!F211</f>
        <v>4023.3589083071442</v>
      </c>
      <c r="H211">
        <f>Portfolio!B$7*'CurrentPor-Equ Factor Movements'!J211</f>
        <v>2148.0998964419859</v>
      </c>
      <c r="I211">
        <f t="shared" si="6"/>
        <v>96580.919511569664</v>
      </c>
      <c r="J211">
        <f t="shared" si="7"/>
        <v>-258.07738389166479</v>
      </c>
    </row>
    <row r="212" spans="1:10">
      <c r="A212" s="1">
        <v>45765</v>
      </c>
      <c r="B212">
        <f>(3/(1+('CurrentPor-Equ Factor Movements'!C212)/100)+103/POWER(1+('CurrentPor-Equ Factor Movements'!D212)/100,2))*100</f>
        <v>9707.5857774288397</v>
      </c>
      <c r="C212">
        <f>(3/(1+('CurrentPor-Equ Factor Movements'!C212+'CurrentPor-Equ Factor Movements'!G212)/100)+103/POWER(1+('CurrentPor-Equ Factor Movements'!D212+'CurrentPor-Equ Factor Movements'!G212)/100,2))*100</f>
        <v>9614.9673582483465</v>
      </c>
      <c r="D212">
        <f>(3/(1+('CurrentPor-Equ Factor Movements'!C212+'CurrentPor-Equ Factor Movements'!H212)/100)+103/POWER(1+('CurrentPor-Equ Factor Movements'!D212+'CurrentPor-Equ Factor Movements'!H212)/100,2))*100</f>
        <v>9601.2395558122898</v>
      </c>
      <c r="E212">
        <f>(3/(1+('CurrentPor-Equ Factor Movements'!C212+'CurrentPor-Equ Factor Movements'!I212)/100)+103/POWER(1+('CurrentPor-Equ Factor Movements'!D212+'CurrentPor-Equ Factor Movements'!I212)/100,2))*100</f>
        <v>9581.4547115644182</v>
      </c>
      <c r="F212">
        <f>Portfolio!B$5*'CurrentPor-Equ Factor Movements'!E212</f>
        <v>52124.386535227619</v>
      </c>
      <c r="G212">
        <f>Portfolio!B$6*'CurrentPor-Equ Factor Movements'!F212</f>
        <v>3940.2654572025613</v>
      </c>
      <c r="H212">
        <f>Portfolio!B$7*'CurrentPor-Equ Factor Movements'!J212</f>
        <v>2148.0998964419859</v>
      </c>
      <c r="I212">
        <f t="shared" si="6"/>
        <v>96717.999291926055</v>
      </c>
      <c r="J212">
        <f t="shared" si="7"/>
        <v>127.06088629213627</v>
      </c>
    </row>
    <row r="213" spans="1:10">
      <c r="A213" s="1">
        <v>45768</v>
      </c>
      <c r="B213">
        <f>(3/(1+('CurrentPor-Equ Factor Movements'!C213)/100)+103/POWER(1+('CurrentPor-Equ Factor Movements'!D213)/100,2))*100</f>
        <v>9707.5857774288397</v>
      </c>
      <c r="C213">
        <f>(3/(1+('CurrentPor-Equ Factor Movements'!C213+'CurrentPor-Equ Factor Movements'!G213)/100)+103/POWER(1+('CurrentPor-Equ Factor Movements'!D213+'CurrentPor-Equ Factor Movements'!G213)/100,2))*100</f>
        <v>9614.9673582483465</v>
      </c>
      <c r="D213">
        <f>(3/(1+('CurrentPor-Equ Factor Movements'!C213+'CurrentPor-Equ Factor Movements'!H213)/100)+103/POWER(1+('CurrentPor-Equ Factor Movements'!D213+'CurrentPor-Equ Factor Movements'!H213)/100,2))*100</f>
        <v>9601.2395558122898</v>
      </c>
      <c r="E213">
        <f>(3/(1+('CurrentPor-Equ Factor Movements'!C213+'CurrentPor-Equ Factor Movements'!I213)/100)+103/POWER(1+('CurrentPor-Equ Factor Movements'!D213+'CurrentPor-Equ Factor Movements'!I213)/100,2))*100</f>
        <v>9581.4547115644182</v>
      </c>
      <c r="F213">
        <f>Portfolio!B$5*'CurrentPor-Equ Factor Movements'!E213</f>
        <v>51999.069557974748</v>
      </c>
      <c r="G213">
        <f>Portfolio!B$6*'CurrentPor-Equ Factor Movements'!F213</f>
        <v>3678.1724701447374</v>
      </c>
      <c r="H213">
        <f>Portfolio!B$7*'CurrentPor-Equ Factor Movements'!J213</f>
        <v>2148.0998964419859</v>
      </c>
      <c r="I213">
        <f t="shared" si="6"/>
        <v>96330.589327615366</v>
      </c>
      <c r="J213">
        <f t="shared" si="7"/>
        <v>-616.01130246261891</v>
      </c>
    </row>
    <row r="214" spans="1:10">
      <c r="A214" s="1">
        <v>45769</v>
      </c>
      <c r="B214">
        <f>(3/(1+('CurrentPor-Equ Factor Movements'!C214)/100)+103/POWER(1+('CurrentPor-Equ Factor Movements'!D214)/100,2))*100</f>
        <v>9707.5857774288397</v>
      </c>
      <c r="C214">
        <f>(3/(1+('CurrentPor-Equ Factor Movements'!C214+'CurrentPor-Equ Factor Movements'!G214)/100)+103/POWER(1+('CurrentPor-Equ Factor Movements'!D214+'CurrentPor-Equ Factor Movements'!G214)/100,2))*100</f>
        <v>9614.9673582483465</v>
      </c>
      <c r="D214">
        <f>(3/(1+('CurrentPor-Equ Factor Movements'!C214+'CurrentPor-Equ Factor Movements'!H214)/100)+103/POWER(1+('CurrentPor-Equ Factor Movements'!D214+'CurrentPor-Equ Factor Movements'!H214)/100,2))*100</f>
        <v>9601.2395558122898</v>
      </c>
      <c r="E214">
        <f>(3/(1+('CurrentPor-Equ Factor Movements'!C214+'CurrentPor-Equ Factor Movements'!I214)/100)+103/POWER(1+('CurrentPor-Equ Factor Movements'!D214+'CurrentPor-Equ Factor Movements'!I214)/100,2))*100</f>
        <v>9581.4547115644182</v>
      </c>
      <c r="F214">
        <f>Portfolio!B$5*'CurrentPor-Equ Factor Movements'!E214</f>
        <v>51898.677147448143</v>
      </c>
      <c r="G214">
        <f>Portfolio!B$6*'CurrentPor-Equ Factor Movements'!F214</f>
        <v>3878.3904800033029</v>
      </c>
      <c r="H214">
        <f>Portfolio!B$7*'CurrentPor-Equ Factor Movements'!J214</f>
        <v>2148.0998964419859</v>
      </c>
      <c r="I214">
        <f t="shared" si="6"/>
        <v>96430.414926947327</v>
      </c>
      <c r="J214">
        <f t="shared" si="7"/>
        <v>-121.05837927767425</v>
      </c>
    </row>
    <row r="215" spans="1:10">
      <c r="A215" s="1">
        <v>45770</v>
      </c>
      <c r="B215">
        <f>(3/(1+('CurrentPor-Equ Factor Movements'!C215)/100)+103/POWER(1+('CurrentPor-Equ Factor Movements'!D215)/100,2))*100</f>
        <v>9707.5857774288397</v>
      </c>
      <c r="C215">
        <f>(3/(1+('CurrentPor-Equ Factor Movements'!C215+'CurrentPor-Equ Factor Movements'!G215)/100)+103/POWER(1+('CurrentPor-Equ Factor Movements'!D215+'CurrentPor-Equ Factor Movements'!G215)/100,2))*100</f>
        <v>9614.9673582483465</v>
      </c>
      <c r="D215">
        <f>(3/(1+('CurrentPor-Equ Factor Movements'!C215+'CurrentPor-Equ Factor Movements'!H215)/100)+103/POWER(1+('CurrentPor-Equ Factor Movements'!D215+'CurrentPor-Equ Factor Movements'!H215)/100,2))*100</f>
        <v>9601.2395558122898</v>
      </c>
      <c r="E215">
        <f>(3/(1+('CurrentPor-Equ Factor Movements'!C215+'CurrentPor-Equ Factor Movements'!I215)/100)+103/POWER(1+('CurrentPor-Equ Factor Movements'!D215+'CurrentPor-Equ Factor Movements'!I215)/100,2))*100</f>
        <v>9581.4547115644182</v>
      </c>
      <c r="F215">
        <f>Portfolio!B$5*'CurrentPor-Equ Factor Movements'!E215</f>
        <v>52057.703395003271</v>
      </c>
      <c r="G215">
        <f>Portfolio!B$6*'CurrentPor-Equ Factor Movements'!F215</f>
        <v>3704.0182037063773</v>
      </c>
      <c r="H215">
        <f>Portfolio!B$7*'CurrentPor-Equ Factor Movements'!J215</f>
        <v>2148.0998964419859</v>
      </c>
      <c r="I215">
        <f t="shared" si="6"/>
        <v>96415.068898205529</v>
      </c>
      <c r="J215">
        <f t="shared" si="7"/>
        <v>-331.97661727007653</v>
      </c>
    </row>
    <row r="216" spans="1:10">
      <c r="A216" s="1">
        <v>45771</v>
      </c>
      <c r="B216">
        <f>(3/(1+('CurrentPor-Equ Factor Movements'!C216)/100)+103/POWER(1+('CurrentPor-Equ Factor Movements'!D216)/100,2))*100</f>
        <v>9707.5857774288397</v>
      </c>
      <c r="C216">
        <f>(3/(1+('CurrentPor-Equ Factor Movements'!C216+'CurrentPor-Equ Factor Movements'!G216)/100)+103/POWER(1+('CurrentPor-Equ Factor Movements'!D216+'CurrentPor-Equ Factor Movements'!G216)/100,2))*100</f>
        <v>9614.9673582483465</v>
      </c>
      <c r="D216">
        <f>(3/(1+('CurrentPor-Equ Factor Movements'!C216+'CurrentPor-Equ Factor Movements'!H216)/100)+103/POWER(1+('CurrentPor-Equ Factor Movements'!D216+'CurrentPor-Equ Factor Movements'!H216)/100,2))*100</f>
        <v>9601.2395558122898</v>
      </c>
      <c r="E216">
        <f>(3/(1+('CurrentPor-Equ Factor Movements'!C216+'CurrentPor-Equ Factor Movements'!I216)/100)+103/POWER(1+('CurrentPor-Equ Factor Movements'!D216+'CurrentPor-Equ Factor Movements'!I216)/100,2))*100</f>
        <v>9581.4547115644182</v>
      </c>
      <c r="F216">
        <f>Portfolio!B$5*'CurrentPor-Equ Factor Movements'!E216</f>
        <v>52498.264055185995</v>
      </c>
      <c r="G216">
        <f>Portfolio!B$6*'CurrentPor-Equ Factor Movements'!F216</f>
        <v>4100.7438467643278</v>
      </c>
      <c r="H216">
        <f>Portfolio!B$7*'CurrentPor-Equ Factor Movements'!J216</f>
        <v>2148.0998964419859</v>
      </c>
      <c r="I216">
        <f t="shared" si="6"/>
        <v>97252.355201446204</v>
      </c>
      <c r="J216">
        <f t="shared" si="7"/>
        <v>904.80263165965152</v>
      </c>
    </row>
    <row r="217" spans="1:10">
      <c r="A217" s="1">
        <v>45772</v>
      </c>
      <c r="B217">
        <f>(3/(1+('CurrentPor-Equ Factor Movements'!C217)/100)+103/POWER(1+('CurrentPor-Equ Factor Movements'!D217)/100,2))*100</f>
        <v>9707.5857774288397</v>
      </c>
      <c r="C217">
        <f>(3/(1+('CurrentPor-Equ Factor Movements'!C217+'CurrentPor-Equ Factor Movements'!G217)/100)+103/POWER(1+('CurrentPor-Equ Factor Movements'!D217+'CurrentPor-Equ Factor Movements'!G217)/100,2))*100</f>
        <v>9614.9673582483465</v>
      </c>
      <c r="D217">
        <f>(3/(1+('CurrentPor-Equ Factor Movements'!C217+'CurrentPor-Equ Factor Movements'!H217)/100)+103/POWER(1+('CurrentPor-Equ Factor Movements'!D217+'CurrentPor-Equ Factor Movements'!H217)/100,2))*100</f>
        <v>9601.2395558122898</v>
      </c>
      <c r="E217">
        <f>(3/(1+('CurrentPor-Equ Factor Movements'!C217+'CurrentPor-Equ Factor Movements'!I217)/100)+103/POWER(1+('CurrentPor-Equ Factor Movements'!D217+'CurrentPor-Equ Factor Movements'!I217)/100,2))*100</f>
        <v>9581.4547115644182</v>
      </c>
      <c r="F217">
        <f>Portfolio!B$5*'CurrentPor-Equ Factor Movements'!E217</f>
        <v>51976.152644961701</v>
      </c>
      <c r="G217">
        <f>Portfolio!B$6*'CurrentPor-Equ Factor Movements'!F217</f>
        <v>3591.9388340784103</v>
      </c>
      <c r="H217">
        <f>Portfolio!B$7*'CurrentPor-Equ Factor Movements'!J217</f>
        <v>2148.0998964419859</v>
      </c>
      <c r="I217">
        <f t="shared" si="6"/>
        <v>96221.438778535987</v>
      </c>
      <c r="J217">
        <f t="shared" si="7"/>
        <v>-98.98051705348189</v>
      </c>
    </row>
    <row r="218" spans="1:10">
      <c r="A218" s="1">
        <v>45775</v>
      </c>
      <c r="B218">
        <f>(3/(1+('CurrentPor-Equ Factor Movements'!C218)/100)+103/POWER(1+('CurrentPor-Equ Factor Movements'!D218)/100,2))*100</f>
        <v>9707.5857774288397</v>
      </c>
      <c r="C218">
        <f>(3/(1+('CurrentPor-Equ Factor Movements'!C218+'CurrentPor-Equ Factor Movements'!G218)/100)+103/POWER(1+('CurrentPor-Equ Factor Movements'!D218+'CurrentPor-Equ Factor Movements'!G218)/100,2))*100</f>
        <v>9614.9673582483465</v>
      </c>
      <c r="D218">
        <f>(3/(1+('CurrentPor-Equ Factor Movements'!C218+'CurrentPor-Equ Factor Movements'!H218)/100)+103/POWER(1+('CurrentPor-Equ Factor Movements'!D218+'CurrentPor-Equ Factor Movements'!H218)/100,2))*100</f>
        <v>9601.2395558122898</v>
      </c>
      <c r="E218">
        <f>(3/(1+('CurrentPor-Equ Factor Movements'!C218+'CurrentPor-Equ Factor Movements'!I218)/100)+103/POWER(1+('CurrentPor-Equ Factor Movements'!D218+'CurrentPor-Equ Factor Movements'!I218)/100,2))*100</f>
        <v>9581.4547115644182</v>
      </c>
      <c r="F218">
        <f>Portfolio!B$5*'CurrentPor-Equ Factor Movements'!E218</f>
        <v>51925.847661918226</v>
      </c>
      <c r="G218">
        <f>Portfolio!B$6*'CurrentPor-Equ Factor Movements'!F218</f>
        <v>3989.3904010214833</v>
      </c>
      <c r="H218">
        <f>Portfolio!B$7*'CurrentPor-Equ Factor Movements'!J218</f>
        <v>2148.0998964419859</v>
      </c>
      <c r="I218">
        <f t="shared" si="6"/>
        <v>96568.585362435595</v>
      </c>
      <c r="J218">
        <f t="shared" si="7"/>
        <v>-207.60444116487633</v>
      </c>
    </row>
    <row r="219" spans="1:10">
      <c r="A219" s="1">
        <v>45776</v>
      </c>
      <c r="B219">
        <f>(3/(1+('CurrentPor-Equ Factor Movements'!C219)/100)+103/POWER(1+('CurrentPor-Equ Factor Movements'!D219)/100,2))*100</f>
        <v>9707.5857774288397</v>
      </c>
      <c r="C219">
        <f>(3/(1+('CurrentPor-Equ Factor Movements'!C219+'CurrentPor-Equ Factor Movements'!G219)/100)+103/POWER(1+('CurrentPor-Equ Factor Movements'!D219+'CurrentPor-Equ Factor Movements'!G219)/100,2))*100</f>
        <v>9614.9673582483465</v>
      </c>
      <c r="D219">
        <f>(3/(1+('CurrentPor-Equ Factor Movements'!C219+'CurrentPor-Equ Factor Movements'!H219)/100)+103/POWER(1+('CurrentPor-Equ Factor Movements'!D219+'CurrentPor-Equ Factor Movements'!H219)/100,2))*100</f>
        <v>9601.2395558122898</v>
      </c>
      <c r="E219">
        <f>(3/(1+('CurrentPor-Equ Factor Movements'!C219+'CurrentPor-Equ Factor Movements'!I219)/100)+103/POWER(1+('CurrentPor-Equ Factor Movements'!D219+'CurrentPor-Equ Factor Movements'!I219)/100,2))*100</f>
        <v>9581.4547115644182</v>
      </c>
      <c r="F219">
        <f>Portfolio!B$5*'CurrentPor-Equ Factor Movements'!E219</f>
        <v>52024.181025291226</v>
      </c>
      <c r="G219">
        <f>Portfolio!B$6*'CurrentPor-Equ Factor Movements'!F219</f>
        <v>3753.1649267574821</v>
      </c>
      <c r="H219">
        <f>Portfolio!B$7*'CurrentPor-Equ Factor Movements'!J219</f>
        <v>2148.0998964419859</v>
      </c>
      <c r="I219">
        <f t="shared" si="6"/>
        <v>96430.693251544595</v>
      </c>
      <c r="J219">
        <f t="shared" si="7"/>
        <v>-300.12273828021716</v>
      </c>
    </row>
    <row r="220" spans="1:10">
      <c r="A220" s="1">
        <v>45777</v>
      </c>
      <c r="B220">
        <f>(3/(1+('CurrentPor-Equ Factor Movements'!C220)/100)+103/POWER(1+('CurrentPor-Equ Factor Movements'!D220)/100,2))*100</f>
        <v>9707.5857774288397</v>
      </c>
      <c r="C220">
        <f>(3/(1+('CurrentPor-Equ Factor Movements'!C220+'CurrentPor-Equ Factor Movements'!G220)/100)+103/POWER(1+('CurrentPor-Equ Factor Movements'!D220+'CurrentPor-Equ Factor Movements'!G220)/100,2))*100</f>
        <v>9614.9673582483465</v>
      </c>
      <c r="D220">
        <f>(3/(1+('CurrentPor-Equ Factor Movements'!C220+'CurrentPor-Equ Factor Movements'!H220)/100)+103/POWER(1+('CurrentPor-Equ Factor Movements'!D220+'CurrentPor-Equ Factor Movements'!H220)/100,2))*100</f>
        <v>9601.2395558122898</v>
      </c>
      <c r="E220">
        <f>(3/(1+('CurrentPor-Equ Factor Movements'!C220+'CurrentPor-Equ Factor Movements'!I220)/100)+103/POWER(1+('CurrentPor-Equ Factor Movements'!D220+'CurrentPor-Equ Factor Movements'!I220)/100,2))*100</f>
        <v>9581.4547115644182</v>
      </c>
      <c r="F220">
        <f>Portfolio!B$5*'CurrentPor-Equ Factor Movements'!E220</f>
        <v>52436.354533128841</v>
      </c>
      <c r="G220">
        <f>Portfolio!B$6*'CurrentPor-Equ Factor Movements'!F220</f>
        <v>3617.6039156038555</v>
      </c>
      <c r="H220">
        <f>Portfolio!B$7*'CurrentPor-Equ Factor Movements'!J220</f>
        <v>2148.0998964419859</v>
      </c>
      <c r="I220">
        <f t="shared" si="6"/>
        <v>96707.30574822858</v>
      </c>
      <c r="J220">
        <f t="shared" si="7"/>
        <v>48.967456317390315</v>
      </c>
    </row>
    <row r="221" spans="1:10">
      <c r="A221" s="1">
        <v>45778</v>
      </c>
      <c r="B221">
        <f>(3/(1+('CurrentPor-Equ Factor Movements'!C221)/100)+103/POWER(1+('CurrentPor-Equ Factor Movements'!D221)/100,2))*100</f>
        <v>9707.5857774288397</v>
      </c>
      <c r="C221">
        <f>(3/(1+('CurrentPor-Equ Factor Movements'!C221+'CurrentPor-Equ Factor Movements'!G221)/100)+103/POWER(1+('CurrentPor-Equ Factor Movements'!D221+'CurrentPor-Equ Factor Movements'!G221)/100,2))*100</f>
        <v>9614.9673582483465</v>
      </c>
      <c r="D221">
        <f>(3/(1+('CurrentPor-Equ Factor Movements'!C221+'CurrentPor-Equ Factor Movements'!H221)/100)+103/POWER(1+('CurrentPor-Equ Factor Movements'!D221+'CurrentPor-Equ Factor Movements'!H221)/100,2))*100</f>
        <v>9601.2395558122898</v>
      </c>
      <c r="E221">
        <f>(3/(1+('CurrentPor-Equ Factor Movements'!C221+'CurrentPor-Equ Factor Movements'!I221)/100)+103/POWER(1+('CurrentPor-Equ Factor Movements'!D221+'CurrentPor-Equ Factor Movements'!I221)/100,2))*100</f>
        <v>9581.4547115644182</v>
      </c>
      <c r="F221">
        <f>Portfolio!B$5*'CurrentPor-Equ Factor Movements'!E221</f>
        <v>52022.345527950223</v>
      </c>
      <c r="G221">
        <f>Portfolio!B$6*'CurrentPor-Equ Factor Movements'!F221</f>
        <v>4004.404997052312</v>
      </c>
      <c r="H221">
        <f>Portfolio!B$7*'CurrentPor-Equ Factor Movements'!J221</f>
        <v>2148.0998964419859</v>
      </c>
      <c r="I221">
        <f t="shared" si="6"/>
        <v>96680.097824498414</v>
      </c>
      <c r="J221">
        <f t="shared" si="7"/>
        <v>99.178312928750529</v>
      </c>
    </row>
    <row r="222" spans="1:10">
      <c r="A222" s="1">
        <v>45779</v>
      </c>
      <c r="B222">
        <f>(3/(1+('CurrentPor-Equ Factor Movements'!C222)/100)+103/POWER(1+('CurrentPor-Equ Factor Movements'!D222)/100,2))*100</f>
        <v>9707.5857774288397</v>
      </c>
      <c r="C222">
        <f>(3/(1+('CurrentPor-Equ Factor Movements'!C222+'CurrentPor-Equ Factor Movements'!G222)/100)+103/POWER(1+('CurrentPor-Equ Factor Movements'!D222+'CurrentPor-Equ Factor Movements'!G222)/100,2))*100</f>
        <v>9614.9673582483465</v>
      </c>
      <c r="D222">
        <f>(3/(1+('CurrentPor-Equ Factor Movements'!C222+'CurrentPor-Equ Factor Movements'!H222)/100)+103/POWER(1+('CurrentPor-Equ Factor Movements'!D222+'CurrentPor-Equ Factor Movements'!H222)/100,2))*100</f>
        <v>9601.2395558122898</v>
      </c>
      <c r="E222">
        <f>(3/(1+('CurrentPor-Equ Factor Movements'!C222+'CurrentPor-Equ Factor Movements'!I222)/100)+103/POWER(1+('CurrentPor-Equ Factor Movements'!D222+'CurrentPor-Equ Factor Movements'!I222)/100,2))*100</f>
        <v>9581.4547115644182</v>
      </c>
      <c r="F222">
        <f>Portfolio!B$5*'CurrentPor-Equ Factor Movements'!E222</f>
        <v>52022.203215919646</v>
      </c>
      <c r="G222">
        <f>Portfolio!B$6*'CurrentPor-Equ Factor Movements'!F222</f>
        <v>3877.3851084829053</v>
      </c>
      <c r="H222">
        <f>Portfolio!B$7*'CurrentPor-Equ Factor Movements'!J222</f>
        <v>2148.0998964419859</v>
      </c>
      <c r="I222">
        <f t="shared" si="6"/>
        <v>96552.935623898433</v>
      </c>
      <c r="J222">
        <f t="shared" si="7"/>
        <v>-165.06366802762204</v>
      </c>
    </row>
    <row r="223" spans="1:10">
      <c r="A223" s="1">
        <v>45782</v>
      </c>
      <c r="B223">
        <f>(3/(1+('CurrentPor-Equ Factor Movements'!C223)/100)+103/POWER(1+('CurrentPor-Equ Factor Movements'!D223)/100,2))*100</f>
        <v>9707.5857774288397</v>
      </c>
      <c r="C223">
        <f>(3/(1+('CurrentPor-Equ Factor Movements'!C223+'CurrentPor-Equ Factor Movements'!G223)/100)+103/POWER(1+('CurrentPor-Equ Factor Movements'!D223+'CurrentPor-Equ Factor Movements'!G223)/100,2))*100</f>
        <v>9614.9673582483465</v>
      </c>
      <c r="D223">
        <f>(3/(1+('CurrentPor-Equ Factor Movements'!C223+'CurrentPor-Equ Factor Movements'!H223)/100)+103/POWER(1+('CurrentPor-Equ Factor Movements'!D223+'CurrentPor-Equ Factor Movements'!H223)/100,2))*100</f>
        <v>9601.2395558122898</v>
      </c>
      <c r="E223">
        <f>(3/(1+('CurrentPor-Equ Factor Movements'!C223+'CurrentPor-Equ Factor Movements'!I223)/100)+103/POWER(1+('CurrentPor-Equ Factor Movements'!D223+'CurrentPor-Equ Factor Movements'!I223)/100,2))*100</f>
        <v>9581.4547115644182</v>
      </c>
      <c r="F223">
        <f>Portfolio!B$5*'CurrentPor-Equ Factor Movements'!E223</f>
        <v>52233.04728939521</v>
      </c>
      <c r="G223">
        <f>Portfolio!B$6*'CurrentPor-Equ Factor Movements'!F223</f>
        <v>3955.8560361477248</v>
      </c>
      <c r="H223">
        <f>Portfolio!B$7*'CurrentPor-Equ Factor Movements'!J223</f>
        <v>2148.0998964419859</v>
      </c>
      <c r="I223">
        <f t="shared" si="6"/>
        <v>96842.250625038811</v>
      </c>
      <c r="J223">
        <f t="shared" si="7"/>
        <v>511.66129742344492</v>
      </c>
    </row>
    <row r="224" spans="1:10">
      <c r="A224" s="1">
        <v>45783</v>
      </c>
      <c r="B224">
        <f>(3/(1+('CurrentPor-Equ Factor Movements'!C224)/100)+103/POWER(1+('CurrentPor-Equ Factor Movements'!D224)/100,2))*100</f>
        <v>9707.5857774288397</v>
      </c>
      <c r="C224">
        <f>(3/(1+('CurrentPor-Equ Factor Movements'!C224+'CurrentPor-Equ Factor Movements'!G224)/100)+103/POWER(1+('CurrentPor-Equ Factor Movements'!D224+'CurrentPor-Equ Factor Movements'!G224)/100,2))*100</f>
        <v>9614.9673582483465</v>
      </c>
      <c r="D224">
        <f>(3/(1+('CurrentPor-Equ Factor Movements'!C224+'CurrentPor-Equ Factor Movements'!H224)/100)+103/POWER(1+('CurrentPor-Equ Factor Movements'!D224+'CurrentPor-Equ Factor Movements'!H224)/100,2))*100</f>
        <v>9601.2395558122898</v>
      </c>
      <c r="E224">
        <f>(3/(1+('CurrentPor-Equ Factor Movements'!C224+'CurrentPor-Equ Factor Movements'!I224)/100)+103/POWER(1+('CurrentPor-Equ Factor Movements'!D224+'CurrentPor-Equ Factor Movements'!I224)/100,2))*100</f>
        <v>9581.4547115644182</v>
      </c>
      <c r="F224">
        <f>Portfolio!B$5*'CurrentPor-Equ Factor Movements'!E224</f>
        <v>52223.041122399278</v>
      </c>
      <c r="G224">
        <f>Portfolio!B$6*'CurrentPor-Equ Factor Movements'!F224</f>
        <v>3938.5812210782801</v>
      </c>
      <c r="H224">
        <f>Portfolio!B$7*'CurrentPor-Equ Factor Movements'!J224</f>
        <v>2148.0998964419859</v>
      </c>
      <c r="I224">
        <f t="shared" si="6"/>
        <v>96814.969642973432</v>
      </c>
      <c r="J224">
        <f t="shared" si="7"/>
        <v>384.55471602610487</v>
      </c>
    </row>
    <row r="225" spans="1:10">
      <c r="A225" s="1">
        <v>45784</v>
      </c>
      <c r="B225">
        <f>(3/(1+('CurrentPor-Equ Factor Movements'!C225)/100)+103/POWER(1+('CurrentPor-Equ Factor Movements'!D225)/100,2))*100</f>
        <v>9707.5857774288397</v>
      </c>
      <c r="C225">
        <f>(3/(1+('CurrentPor-Equ Factor Movements'!C225+'CurrentPor-Equ Factor Movements'!G225)/100)+103/POWER(1+('CurrentPor-Equ Factor Movements'!D225+'CurrentPor-Equ Factor Movements'!G225)/100,2))*100</f>
        <v>9614.9673582483465</v>
      </c>
      <c r="D225">
        <f>(3/(1+('CurrentPor-Equ Factor Movements'!C225+'CurrentPor-Equ Factor Movements'!H225)/100)+103/POWER(1+('CurrentPor-Equ Factor Movements'!D225+'CurrentPor-Equ Factor Movements'!H225)/100,2))*100</f>
        <v>9601.2395558122898</v>
      </c>
      <c r="E225">
        <f>(3/(1+('CurrentPor-Equ Factor Movements'!C225+'CurrentPor-Equ Factor Movements'!I225)/100)+103/POWER(1+('CurrentPor-Equ Factor Movements'!D225+'CurrentPor-Equ Factor Movements'!I225)/100,2))*100</f>
        <v>9581.4547115644182</v>
      </c>
      <c r="F225">
        <f>Portfolio!B$5*'CurrentPor-Equ Factor Movements'!E225</f>
        <v>52434.735490686464</v>
      </c>
      <c r="G225">
        <f>Portfolio!B$6*'CurrentPor-Equ Factor Movements'!F225</f>
        <v>3808.9167352215463</v>
      </c>
      <c r="H225">
        <f>Portfolio!B$7*'CurrentPor-Equ Factor Movements'!J225</f>
        <v>2148.0998964419859</v>
      </c>
      <c r="I225">
        <f t="shared" si="6"/>
        <v>96896.99952540388</v>
      </c>
      <c r="J225">
        <f t="shared" si="7"/>
        <v>481.93062719835143</v>
      </c>
    </row>
    <row r="226" spans="1:10">
      <c r="A226" s="1">
        <v>45785</v>
      </c>
      <c r="B226">
        <f>(3/(1+('CurrentPor-Equ Factor Movements'!C226)/100)+103/POWER(1+('CurrentPor-Equ Factor Movements'!D226)/100,2))*100</f>
        <v>9707.5857774288397</v>
      </c>
      <c r="C226">
        <f>(3/(1+('CurrentPor-Equ Factor Movements'!C226+'CurrentPor-Equ Factor Movements'!G226)/100)+103/POWER(1+('CurrentPor-Equ Factor Movements'!D226+'CurrentPor-Equ Factor Movements'!G226)/100,2))*100</f>
        <v>9614.9673582483465</v>
      </c>
      <c r="D226">
        <f>(3/(1+('CurrentPor-Equ Factor Movements'!C226+'CurrentPor-Equ Factor Movements'!H226)/100)+103/POWER(1+('CurrentPor-Equ Factor Movements'!D226+'CurrentPor-Equ Factor Movements'!H226)/100,2))*100</f>
        <v>9601.2395558122898</v>
      </c>
      <c r="E226">
        <f>(3/(1+('CurrentPor-Equ Factor Movements'!C226+'CurrentPor-Equ Factor Movements'!I226)/100)+103/POWER(1+('CurrentPor-Equ Factor Movements'!D226+'CurrentPor-Equ Factor Movements'!I226)/100,2))*100</f>
        <v>9581.4547115644182</v>
      </c>
      <c r="F226">
        <f>Portfolio!B$5*'CurrentPor-Equ Factor Movements'!E226</f>
        <v>52000.397992251586</v>
      </c>
      <c r="G226">
        <f>Portfolio!B$6*'CurrentPor-Equ Factor Movements'!F226</f>
        <v>4255.767805250066</v>
      </c>
      <c r="H226">
        <f>Portfolio!B$7*'CurrentPor-Equ Factor Movements'!J226</f>
        <v>2148.0998964419859</v>
      </c>
      <c r="I226">
        <f t="shared" si="6"/>
        <v>96909.513096997529</v>
      </c>
      <c r="J226">
        <f t="shared" si="7"/>
        <v>-342.84210444867495</v>
      </c>
    </row>
    <row r="227" spans="1:10">
      <c r="A227" s="1">
        <v>45786</v>
      </c>
      <c r="B227">
        <f>(3/(1+('CurrentPor-Equ Factor Movements'!C227)/100)+103/POWER(1+('CurrentPor-Equ Factor Movements'!D227)/100,2))*100</f>
        <v>9707.5857774288397</v>
      </c>
      <c r="C227">
        <f>(3/(1+('CurrentPor-Equ Factor Movements'!C227+'CurrentPor-Equ Factor Movements'!G227)/100)+103/POWER(1+('CurrentPor-Equ Factor Movements'!D227+'CurrentPor-Equ Factor Movements'!G227)/100,2))*100</f>
        <v>9614.9673582483465</v>
      </c>
      <c r="D227">
        <f>(3/(1+('CurrentPor-Equ Factor Movements'!C227+'CurrentPor-Equ Factor Movements'!H227)/100)+103/POWER(1+('CurrentPor-Equ Factor Movements'!D227+'CurrentPor-Equ Factor Movements'!H227)/100,2))*100</f>
        <v>9601.2395558122898</v>
      </c>
      <c r="E227">
        <f>(3/(1+('CurrentPor-Equ Factor Movements'!C227+'CurrentPor-Equ Factor Movements'!I227)/100)+103/POWER(1+('CurrentPor-Equ Factor Movements'!D227+'CurrentPor-Equ Factor Movements'!I227)/100,2))*100</f>
        <v>9581.4547115644182</v>
      </c>
      <c r="F227">
        <f>Portfolio!B$5*'CurrentPor-Equ Factor Movements'!E227</f>
        <v>51617.74055640593</v>
      </c>
      <c r="G227">
        <f>Portfolio!B$6*'CurrentPor-Equ Factor Movements'!F227</f>
        <v>4321.0591674002835</v>
      </c>
      <c r="H227">
        <f>Portfolio!B$7*'CurrentPor-Equ Factor Movements'!J227</f>
        <v>2148.0998964419859</v>
      </c>
      <c r="I227">
        <f t="shared" si="6"/>
        <v>96592.147023302095</v>
      </c>
      <c r="J227">
        <f t="shared" si="7"/>
        <v>370.70824476610869</v>
      </c>
    </row>
    <row r="228" spans="1:10">
      <c r="A228" s="1">
        <v>45789</v>
      </c>
      <c r="B228">
        <f>(3/(1+('CurrentPor-Equ Factor Movements'!C228)/100)+103/POWER(1+('CurrentPor-Equ Factor Movements'!D228)/100,2))*100</f>
        <v>9707.5857774288397</v>
      </c>
      <c r="C228">
        <f>(3/(1+('CurrentPor-Equ Factor Movements'!C228+'CurrentPor-Equ Factor Movements'!G228)/100)+103/POWER(1+('CurrentPor-Equ Factor Movements'!D228+'CurrentPor-Equ Factor Movements'!G228)/100,2))*100</f>
        <v>9614.9673582483465</v>
      </c>
      <c r="D228">
        <f>(3/(1+('CurrentPor-Equ Factor Movements'!C228+'CurrentPor-Equ Factor Movements'!H228)/100)+103/POWER(1+('CurrentPor-Equ Factor Movements'!D228+'CurrentPor-Equ Factor Movements'!H228)/100,2))*100</f>
        <v>9601.2395558122898</v>
      </c>
      <c r="E228">
        <f>(3/(1+('CurrentPor-Equ Factor Movements'!C228+'CurrentPor-Equ Factor Movements'!I228)/100)+103/POWER(1+('CurrentPor-Equ Factor Movements'!D228+'CurrentPor-Equ Factor Movements'!I228)/100,2))*100</f>
        <v>9581.4547115644182</v>
      </c>
      <c r="F228">
        <f>Portfolio!B$5*'CurrentPor-Equ Factor Movements'!E228</f>
        <v>51702.581127812322</v>
      </c>
      <c r="G228">
        <f>Portfolio!B$6*'CurrentPor-Equ Factor Movements'!F228</f>
        <v>4050.6788506273183</v>
      </c>
      <c r="H228">
        <f>Portfolio!B$7*'CurrentPor-Equ Factor Movements'!J228</f>
        <v>2148.0998964419859</v>
      </c>
      <c r="I228">
        <f t="shared" si="6"/>
        <v>96406.607277935516</v>
      </c>
      <c r="J228">
        <f t="shared" si="7"/>
        <v>-161.97808450007869</v>
      </c>
    </row>
    <row r="229" spans="1:10">
      <c r="A229" s="1">
        <v>45790</v>
      </c>
      <c r="B229">
        <f>(3/(1+('CurrentPor-Equ Factor Movements'!C229)/100)+103/POWER(1+('CurrentPor-Equ Factor Movements'!D229)/100,2))*100</f>
        <v>9707.5857774288397</v>
      </c>
      <c r="C229">
        <f>(3/(1+('CurrentPor-Equ Factor Movements'!C229+'CurrentPor-Equ Factor Movements'!G229)/100)+103/POWER(1+('CurrentPor-Equ Factor Movements'!D229+'CurrentPor-Equ Factor Movements'!G229)/100,2))*100</f>
        <v>9614.9673582483465</v>
      </c>
      <c r="D229">
        <f>(3/(1+('CurrentPor-Equ Factor Movements'!C229+'CurrentPor-Equ Factor Movements'!H229)/100)+103/POWER(1+('CurrentPor-Equ Factor Movements'!D229+'CurrentPor-Equ Factor Movements'!H229)/100,2))*100</f>
        <v>9601.2395558122898</v>
      </c>
      <c r="E229">
        <f>(3/(1+('CurrentPor-Equ Factor Movements'!C229+'CurrentPor-Equ Factor Movements'!I229)/100)+103/POWER(1+('CurrentPor-Equ Factor Movements'!D229+'CurrentPor-Equ Factor Movements'!I229)/100,2))*100</f>
        <v>9581.4547115644182</v>
      </c>
      <c r="F229">
        <f>Portfolio!B$5*'CurrentPor-Equ Factor Movements'!E229</f>
        <v>51708.807566437346</v>
      </c>
      <c r="G229">
        <f>Portfolio!B$6*'CurrentPor-Equ Factor Movements'!F229</f>
        <v>3773.5710438504329</v>
      </c>
      <c r="H229">
        <f>Portfolio!B$7*'CurrentPor-Equ Factor Movements'!J229</f>
        <v>2148.0998964419859</v>
      </c>
      <c r="I229">
        <f t="shared" si="6"/>
        <v>96135.72590978365</v>
      </c>
      <c r="J229">
        <f t="shared" si="7"/>
        <v>-294.96734176094469</v>
      </c>
    </row>
    <row r="230" spans="1:10">
      <c r="A230" s="1">
        <v>45791</v>
      </c>
      <c r="B230">
        <f>(3/(1+('CurrentPor-Equ Factor Movements'!C230)/100)+103/POWER(1+('CurrentPor-Equ Factor Movements'!D230)/100,2))*100</f>
        <v>9707.5857774288397</v>
      </c>
      <c r="C230">
        <f>(3/(1+('CurrentPor-Equ Factor Movements'!C230+'CurrentPor-Equ Factor Movements'!G230)/100)+103/POWER(1+('CurrentPor-Equ Factor Movements'!D230+'CurrentPor-Equ Factor Movements'!G230)/100,2))*100</f>
        <v>9614.9673582483465</v>
      </c>
      <c r="D230">
        <f>(3/(1+('CurrentPor-Equ Factor Movements'!C230+'CurrentPor-Equ Factor Movements'!H230)/100)+103/POWER(1+('CurrentPor-Equ Factor Movements'!D230+'CurrentPor-Equ Factor Movements'!H230)/100,2))*100</f>
        <v>9601.2395558122898</v>
      </c>
      <c r="E230">
        <f>(3/(1+('CurrentPor-Equ Factor Movements'!C230+'CurrentPor-Equ Factor Movements'!I230)/100)+103/POWER(1+('CurrentPor-Equ Factor Movements'!D230+'CurrentPor-Equ Factor Movements'!I230)/100,2))*100</f>
        <v>9581.4547115644182</v>
      </c>
      <c r="F230">
        <f>Portfolio!B$5*'CurrentPor-Equ Factor Movements'!E230</f>
        <v>52434.508297088476</v>
      </c>
      <c r="G230">
        <f>Portfolio!B$6*'CurrentPor-Equ Factor Movements'!F230</f>
        <v>3967.6773257945988</v>
      </c>
      <c r="H230">
        <f>Portfolio!B$7*'CurrentPor-Equ Factor Movements'!J230</f>
        <v>2148.0998964419859</v>
      </c>
      <c r="I230">
        <f t="shared" si="6"/>
        <v>97055.532922378959</v>
      </c>
      <c r="J230">
        <f t="shared" si="7"/>
        <v>348.22717415037914</v>
      </c>
    </row>
    <row r="231" spans="1:10">
      <c r="A231" s="1">
        <v>45792</v>
      </c>
      <c r="B231">
        <f>(3/(1+('CurrentPor-Equ Factor Movements'!C231)/100)+103/POWER(1+('CurrentPor-Equ Factor Movements'!D231)/100,2))*100</f>
        <v>9707.5857774288397</v>
      </c>
      <c r="C231">
        <f>(3/(1+('CurrentPor-Equ Factor Movements'!C231+'CurrentPor-Equ Factor Movements'!G231)/100)+103/POWER(1+('CurrentPor-Equ Factor Movements'!D231+'CurrentPor-Equ Factor Movements'!G231)/100,2))*100</f>
        <v>9614.9673582483465</v>
      </c>
      <c r="D231">
        <f>(3/(1+('CurrentPor-Equ Factor Movements'!C231+'CurrentPor-Equ Factor Movements'!H231)/100)+103/POWER(1+('CurrentPor-Equ Factor Movements'!D231+'CurrentPor-Equ Factor Movements'!H231)/100,2))*100</f>
        <v>9601.2395558122898</v>
      </c>
      <c r="E231">
        <f>(3/(1+('CurrentPor-Equ Factor Movements'!C231+'CurrentPor-Equ Factor Movements'!I231)/100)+103/POWER(1+('CurrentPor-Equ Factor Movements'!D231+'CurrentPor-Equ Factor Movements'!I231)/100,2))*100</f>
        <v>9581.4547115644182</v>
      </c>
      <c r="F231">
        <f>Portfolio!B$5*'CurrentPor-Equ Factor Movements'!E231</f>
        <v>51779.658468973263</v>
      </c>
      <c r="G231">
        <f>Portfolio!B$6*'CurrentPor-Equ Factor Movements'!F231</f>
        <v>3582.1449118182932</v>
      </c>
      <c r="H231">
        <f>Portfolio!B$7*'CurrentPor-Equ Factor Movements'!J231</f>
        <v>2148.0998964419859</v>
      </c>
      <c r="I231">
        <f t="shared" si="6"/>
        <v>96015.150680287436</v>
      </c>
      <c r="J231">
        <f t="shared" si="7"/>
        <v>-664.94714421097888</v>
      </c>
    </row>
    <row r="232" spans="1:10">
      <c r="A232" s="1">
        <v>45793</v>
      </c>
      <c r="B232">
        <f>(3/(1+('CurrentPor-Equ Factor Movements'!C232)/100)+103/POWER(1+('CurrentPor-Equ Factor Movements'!D232)/100,2))*100</f>
        <v>9707.5857774288397</v>
      </c>
      <c r="C232">
        <f>(3/(1+('CurrentPor-Equ Factor Movements'!C232+'CurrentPor-Equ Factor Movements'!G232)/100)+103/POWER(1+('CurrentPor-Equ Factor Movements'!D232+'CurrentPor-Equ Factor Movements'!G232)/100,2))*100</f>
        <v>9614.9673582483465</v>
      </c>
      <c r="D232">
        <f>(3/(1+('CurrentPor-Equ Factor Movements'!C232+'CurrentPor-Equ Factor Movements'!H232)/100)+103/POWER(1+('CurrentPor-Equ Factor Movements'!D232+'CurrentPor-Equ Factor Movements'!H232)/100,2))*100</f>
        <v>9601.2395558122898</v>
      </c>
      <c r="E232">
        <f>(3/(1+('CurrentPor-Equ Factor Movements'!C232+'CurrentPor-Equ Factor Movements'!I232)/100)+103/POWER(1+('CurrentPor-Equ Factor Movements'!D232+'CurrentPor-Equ Factor Movements'!I232)/100,2))*100</f>
        <v>9581.4547115644182</v>
      </c>
      <c r="F232">
        <f>Portfolio!B$5*'CurrentPor-Equ Factor Movements'!E232</f>
        <v>52438.317474849282</v>
      </c>
      <c r="G232">
        <f>Portfolio!B$6*'CurrentPor-Equ Factor Movements'!F232</f>
        <v>3998.1894920128398</v>
      </c>
      <c r="H232">
        <f>Portfolio!B$7*'CurrentPor-Equ Factor Movements'!J232</f>
        <v>2148.0998964419859</v>
      </c>
      <c r="I232">
        <f t="shared" si="6"/>
        <v>97089.854266358001</v>
      </c>
      <c r="J232">
        <f t="shared" si="7"/>
        <v>536.91864245956822</v>
      </c>
    </row>
    <row r="233" spans="1:10">
      <c r="A233" s="1">
        <v>45796</v>
      </c>
      <c r="B233">
        <f>(3/(1+('CurrentPor-Equ Factor Movements'!C233)/100)+103/POWER(1+('CurrentPor-Equ Factor Movements'!D233)/100,2))*100</f>
        <v>9707.5857774288397</v>
      </c>
      <c r="C233">
        <f>(3/(1+('CurrentPor-Equ Factor Movements'!C233+'CurrentPor-Equ Factor Movements'!G233)/100)+103/POWER(1+('CurrentPor-Equ Factor Movements'!D233+'CurrentPor-Equ Factor Movements'!G233)/100,2))*100</f>
        <v>9614.9673582483465</v>
      </c>
      <c r="D233">
        <f>(3/(1+('CurrentPor-Equ Factor Movements'!C233+'CurrentPor-Equ Factor Movements'!H233)/100)+103/POWER(1+('CurrentPor-Equ Factor Movements'!D233+'CurrentPor-Equ Factor Movements'!H233)/100,2))*100</f>
        <v>9601.2395558122898</v>
      </c>
      <c r="E233">
        <f>(3/(1+('CurrentPor-Equ Factor Movements'!C233+'CurrentPor-Equ Factor Movements'!I233)/100)+103/POWER(1+('CurrentPor-Equ Factor Movements'!D233+'CurrentPor-Equ Factor Movements'!I233)/100,2))*100</f>
        <v>9581.4547115644182</v>
      </c>
      <c r="F233">
        <f>Portfolio!B$5*'CurrentPor-Equ Factor Movements'!E233</f>
        <v>52248.833472917919</v>
      </c>
      <c r="G233">
        <f>Portfolio!B$6*'CurrentPor-Equ Factor Movements'!F233</f>
        <v>4072.2321216549885</v>
      </c>
      <c r="H233">
        <f>Portfolio!B$7*'CurrentPor-Equ Factor Movements'!J233</f>
        <v>2148.0998964419859</v>
      </c>
      <c r="I233">
        <f t="shared" si="6"/>
        <v>96974.412894068795</v>
      </c>
      <c r="J233">
        <f t="shared" si="7"/>
        <v>132.1622690299846</v>
      </c>
    </row>
    <row r="234" spans="1:10">
      <c r="A234" s="1">
        <v>45797</v>
      </c>
      <c r="B234">
        <f>(3/(1+('CurrentPor-Equ Factor Movements'!C234)/100)+103/POWER(1+('CurrentPor-Equ Factor Movements'!D234)/100,2))*100</f>
        <v>9707.5857774288397</v>
      </c>
      <c r="C234">
        <f>(3/(1+('CurrentPor-Equ Factor Movements'!C234+'CurrentPor-Equ Factor Movements'!G234)/100)+103/POWER(1+('CurrentPor-Equ Factor Movements'!D234+'CurrentPor-Equ Factor Movements'!G234)/100,2))*100</f>
        <v>9614.9673582483465</v>
      </c>
      <c r="D234">
        <f>(3/(1+('CurrentPor-Equ Factor Movements'!C234+'CurrentPor-Equ Factor Movements'!H234)/100)+103/POWER(1+('CurrentPor-Equ Factor Movements'!D234+'CurrentPor-Equ Factor Movements'!H234)/100,2))*100</f>
        <v>9601.2395558122898</v>
      </c>
      <c r="E234">
        <f>(3/(1+('CurrentPor-Equ Factor Movements'!C234+'CurrentPor-Equ Factor Movements'!I234)/100)+103/POWER(1+('CurrentPor-Equ Factor Movements'!D234+'CurrentPor-Equ Factor Movements'!I234)/100,2))*100</f>
        <v>9581.4547115644182</v>
      </c>
      <c r="F234">
        <f>Portfolio!B$5*'CurrentPor-Equ Factor Movements'!E234</f>
        <v>52152.001062856674</v>
      </c>
      <c r="G234">
        <f>Portfolio!B$6*'CurrentPor-Equ Factor Movements'!F234</f>
        <v>4184.4101454272914</v>
      </c>
      <c r="H234">
        <f>Portfolio!B$7*'CurrentPor-Equ Factor Movements'!J234</f>
        <v>2148.0998964419859</v>
      </c>
      <c r="I234">
        <f t="shared" si="6"/>
        <v>96989.758507779843</v>
      </c>
      <c r="J234">
        <f t="shared" si="7"/>
        <v>174.78886480641086</v>
      </c>
    </row>
    <row r="235" spans="1:10">
      <c r="A235" s="1">
        <v>45798</v>
      </c>
      <c r="B235">
        <f>(3/(1+('CurrentPor-Equ Factor Movements'!C235)/100)+103/POWER(1+('CurrentPor-Equ Factor Movements'!D235)/100,2))*100</f>
        <v>9707.5857774288397</v>
      </c>
      <c r="C235">
        <f>(3/(1+('CurrentPor-Equ Factor Movements'!C235+'CurrentPor-Equ Factor Movements'!G235)/100)+103/POWER(1+('CurrentPor-Equ Factor Movements'!D235+'CurrentPor-Equ Factor Movements'!G235)/100,2))*100</f>
        <v>9614.9673582483465</v>
      </c>
      <c r="D235">
        <f>(3/(1+('CurrentPor-Equ Factor Movements'!C235+'CurrentPor-Equ Factor Movements'!H235)/100)+103/POWER(1+('CurrentPor-Equ Factor Movements'!D235+'CurrentPor-Equ Factor Movements'!H235)/100,2))*100</f>
        <v>9601.2395558122898</v>
      </c>
      <c r="E235">
        <f>(3/(1+('CurrentPor-Equ Factor Movements'!C235+'CurrentPor-Equ Factor Movements'!I235)/100)+103/POWER(1+('CurrentPor-Equ Factor Movements'!D235+'CurrentPor-Equ Factor Movements'!I235)/100,2))*100</f>
        <v>9581.4547115644182</v>
      </c>
      <c r="F235">
        <f>Portfolio!B$5*'CurrentPor-Equ Factor Movements'!E235</f>
        <v>52026.654810801971</v>
      </c>
      <c r="G235">
        <f>Portfolio!B$6*'CurrentPor-Equ Factor Movements'!F235</f>
        <v>4092.6436743997679</v>
      </c>
      <c r="H235">
        <f>Portfolio!B$7*'CurrentPor-Equ Factor Movements'!J235</f>
        <v>2148.0998964419859</v>
      </c>
      <c r="I235">
        <f t="shared" si="6"/>
        <v>96772.645784697612</v>
      </c>
      <c r="J235">
        <f t="shared" si="7"/>
        <v>-124.35374070626858</v>
      </c>
    </row>
    <row r="236" spans="1:10">
      <c r="A236" s="1">
        <v>45799</v>
      </c>
      <c r="B236">
        <f>(3/(1+('CurrentPor-Equ Factor Movements'!C236)/100)+103/POWER(1+('CurrentPor-Equ Factor Movements'!D236)/100,2))*100</f>
        <v>9707.5857774288397</v>
      </c>
      <c r="C236">
        <f>(3/(1+('CurrentPor-Equ Factor Movements'!C236+'CurrentPor-Equ Factor Movements'!G236)/100)+103/POWER(1+('CurrentPor-Equ Factor Movements'!D236+'CurrentPor-Equ Factor Movements'!G236)/100,2))*100</f>
        <v>9614.9673582483465</v>
      </c>
      <c r="D236">
        <f>(3/(1+('CurrentPor-Equ Factor Movements'!C236+'CurrentPor-Equ Factor Movements'!H236)/100)+103/POWER(1+('CurrentPor-Equ Factor Movements'!D236+'CurrentPor-Equ Factor Movements'!H236)/100,2))*100</f>
        <v>9601.2395558122898</v>
      </c>
      <c r="E236">
        <f>(3/(1+('CurrentPor-Equ Factor Movements'!C236+'CurrentPor-Equ Factor Movements'!I236)/100)+103/POWER(1+('CurrentPor-Equ Factor Movements'!D236+'CurrentPor-Equ Factor Movements'!I236)/100,2))*100</f>
        <v>9581.4547115644182</v>
      </c>
      <c r="F236">
        <f>Portfolio!B$5*'CurrentPor-Equ Factor Movements'!E236</f>
        <v>52101.786380406942</v>
      </c>
      <c r="G236">
        <f>Portfolio!B$6*'CurrentPor-Equ Factor Movements'!F236</f>
        <v>3945.0200950834405</v>
      </c>
      <c r="H236">
        <f>Portfolio!B$7*'CurrentPor-Equ Factor Movements'!J236</f>
        <v>2148.0998964419859</v>
      </c>
      <c r="I236">
        <f t="shared" si="6"/>
        <v>96700.153774986262</v>
      </c>
      <c r="J236">
        <f t="shared" si="7"/>
        <v>-209.35932201126707</v>
      </c>
    </row>
    <row r="237" spans="1:10">
      <c r="A237" s="1">
        <v>45800</v>
      </c>
      <c r="B237">
        <f>(3/(1+('CurrentPor-Equ Factor Movements'!C237)/100)+103/POWER(1+('CurrentPor-Equ Factor Movements'!D237)/100,2))*100</f>
        <v>9707.5857774288397</v>
      </c>
      <c r="C237">
        <f>(3/(1+('CurrentPor-Equ Factor Movements'!C237+'CurrentPor-Equ Factor Movements'!G237)/100)+103/POWER(1+('CurrentPor-Equ Factor Movements'!D237+'CurrentPor-Equ Factor Movements'!G237)/100,2))*100</f>
        <v>9614.9673582483465</v>
      </c>
      <c r="D237">
        <f>(3/(1+('CurrentPor-Equ Factor Movements'!C237+'CurrentPor-Equ Factor Movements'!H237)/100)+103/POWER(1+('CurrentPor-Equ Factor Movements'!D237+'CurrentPor-Equ Factor Movements'!H237)/100,2))*100</f>
        <v>9601.2395558122898</v>
      </c>
      <c r="E237">
        <f>(3/(1+('CurrentPor-Equ Factor Movements'!C237+'CurrentPor-Equ Factor Movements'!I237)/100)+103/POWER(1+('CurrentPor-Equ Factor Movements'!D237+'CurrentPor-Equ Factor Movements'!I237)/100,2))*100</f>
        <v>9581.4547115644182</v>
      </c>
      <c r="F237">
        <f>Portfolio!B$5*'CurrentPor-Equ Factor Movements'!E237</f>
        <v>51988.482972527432</v>
      </c>
      <c r="G237">
        <f>Portfolio!B$6*'CurrentPor-Equ Factor Movements'!F237</f>
        <v>4132.0742874277303</v>
      </c>
      <c r="H237">
        <f>Portfolio!B$7*'CurrentPor-Equ Factor Movements'!J237</f>
        <v>2148.0998964419859</v>
      </c>
      <c r="I237">
        <f t="shared" si="6"/>
        <v>96773.904559451054</v>
      </c>
      <c r="J237">
        <f t="shared" si="7"/>
        <v>181.75753614895802</v>
      </c>
    </row>
    <row r="238" spans="1:10">
      <c r="A238" s="1">
        <v>45803</v>
      </c>
      <c r="B238">
        <f>(3/(1+('CurrentPor-Equ Factor Movements'!C238)/100)+103/POWER(1+('CurrentPor-Equ Factor Movements'!D238)/100,2))*100</f>
        <v>9707.5857774288397</v>
      </c>
      <c r="C238">
        <f>(3/(1+('CurrentPor-Equ Factor Movements'!C238+'CurrentPor-Equ Factor Movements'!G238)/100)+103/POWER(1+('CurrentPor-Equ Factor Movements'!D238+'CurrentPor-Equ Factor Movements'!G238)/100,2))*100</f>
        <v>9614.9673582483465</v>
      </c>
      <c r="D238">
        <f>(3/(1+('CurrentPor-Equ Factor Movements'!C238+'CurrentPor-Equ Factor Movements'!H238)/100)+103/POWER(1+('CurrentPor-Equ Factor Movements'!D238+'CurrentPor-Equ Factor Movements'!H238)/100,2))*100</f>
        <v>9601.2395558122898</v>
      </c>
      <c r="E238">
        <f>(3/(1+('CurrentPor-Equ Factor Movements'!C238+'CurrentPor-Equ Factor Movements'!I238)/100)+103/POWER(1+('CurrentPor-Equ Factor Movements'!D238+'CurrentPor-Equ Factor Movements'!I238)/100,2))*100</f>
        <v>9581.4547115644182</v>
      </c>
      <c r="F238">
        <f>Portfolio!B$5*'CurrentPor-Equ Factor Movements'!E238</f>
        <v>52354.568626803084</v>
      </c>
      <c r="G238">
        <f>Portfolio!B$6*'CurrentPor-Equ Factor Movements'!F238</f>
        <v>3763.9356372696338</v>
      </c>
      <c r="H238">
        <f>Portfolio!B$7*'CurrentPor-Equ Factor Movements'!J238</f>
        <v>2148.0998964419859</v>
      </c>
      <c r="I238">
        <f t="shared" si="6"/>
        <v>96771.851563568591</v>
      </c>
      <c r="J238">
        <f t="shared" si="7"/>
        <v>365.24428563307447</v>
      </c>
    </row>
    <row r="239" spans="1:10">
      <c r="A239" s="1">
        <v>45804</v>
      </c>
      <c r="B239">
        <f>(3/(1+('CurrentPor-Equ Factor Movements'!C239)/100)+103/POWER(1+('CurrentPor-Equ Factor Movements'!D239)/100,2))*100</f>
        <v>9707.5857774288397</v>
      </c>
      <c r="C239">
        <f>(3/(1+('CurrentPor-Equ Factor Movements'!C239+'CurrentPor-Equ Factor Movements'!G239)/100)+103/POWER(1+('CurrentPor-Equ Factor Movements'!D239+'CurrentPor-Equ Factor Movements'!G239)/100,2))*100</f>
        <v>9614.9673582483465</v>
      </c>
      <c r="D239">
        <f>(3/(1+('CurrentPor-Equ Factor Movements'!C239+'CurrentPor-Equ Factor Movements'!H239)/100)+103/POWER(1+('CurrentPor-Equ Factor Movements'!D239+'CurrentPor-Equ Factor Movements'!H239)/100,2))*100</f>
        <v>9601.2395558122898</v>
      </c>
      <c r="E239">
        <f>(3/(1+('CurrentPor-Equ Factor Movements'!C239+'CurrentPor-Equ Factor Movements'!I239)/100)+103/POWER(1+('CurrentPor-Equ Factor Movements'!D239+'CurrentPor-Equ Factor Movements'!I239)/100,2))*100</f>
        <v>9581.4547115644182</v>
      </c>
      <c r="F239">
        <f>Portfolio!B$5*'CurrentPor-Equ Factor Movements'!E239</f>
        <v>52124.286732312758</v>
      </c>
      <c r="G239">
        <f>Portfolio!B$6*'CurrentPor-Equ Factor Movements'!F239</f>
        <v>4093.5717192134953</v>
      </c>
      <c r="H239">
        <f>Portfolio!B$7*'CurrentPor-Equ Factor Movements'!J239</f>
        <v>2148.0998964419859</v>
      </c>
      <c r="I239">
        <f t="shared" si="6"/>
        <v>96871.20575102212</v>
      </c>
      <c r="J239">
        <f t="shared" si="7"/>
        <v>735.47984123846982</v>
      </c>
    </row>
    <row r="240" spans="1:10">
      <c r="A240" s="1">
        <v>45805</v>
      </c>
      <c r="B240">
        <f>(3/(1+('CurrentPor-Equ Factor Movements'!C240)/100)+103/POWER(1+('CurrentPor-Equ Factor Movements'!D240)/100,2))*100</f>
        <v>9707.5857774288397</v>
      </c>
      <c r="C240">
        <f>(3/(1+('CurrentPor-Equ Factor Movements'!C240+'CurrentPor-Equ Factor Movements'!G240)/100)+103/POWER(1+('CurrentPor-Equ Factor Movements'!D240+'CurrentPor-Equ Factor Movements'!G240)/100,2))*100</f>
        <v>9614.9673582483465</v>
      </c>
      <c r="D240">
        <f>(3/(1+('CurrentPor-Equ Factor Movements'!C240+'CurrentPor-Equ Factor Movements'!H240)/100)+103/POWER(1+('CurrentPor-Equ Factor Movements'!D240+'CurrentPor-Equ Factor Movements'!H240)/100,2))*100</f>
        <v>9601.2395558122898</v>
      </c>
      <c r="E240">
        <f>(3/(1+('CurrentPor-Equ Factor Movements'!C240+'CurrentPor-Equ Factor Movements'!I240)/100)+103/POWER(1+('CurrentPor-Equ Factor Movements'!D240+'CurrentPor-Equ Factor Movements'!I240)/100,2))*100</f>
        <v>9581.4547115644182</v>
      </c>
      <c r="F240">
        <f>Portfolio!B$5*'CurrentPor-Equ Factor Movements'!E240</f>
        <v>51851.675979731204</v>
      </c>
      <c r="G240">
        <f>Portfolio!B$6*'CurrentPor-Equ Factor Movements'!F240</f>
        <v>4156.2210976391489</v>
      </c>
      <c r="H240">
        <f>Portfolio!B$7*'CurrentPor-Equ Factor Movements'!J240</f>
        <v>2148.0998964419859</v>
      </c>
      <c r="I240">
        <f t="shared" si="6"/>
        <v>96661.244376866234</v>
      </c>
      <c r="J240">
        <f t="shared" si="7"/>
        <v>-394.28854551272525</v>
      </c>
    </row>
    <row r="241" spans="1:10">
      <c r="A241" s="1">
        <v>45806</v>
      </c>
      <c r="B241">
        <f>(3/(1+('CurrentPor-Equ Factor Movements'!C241)/100)+103/POWER(1+('CurrentPor-Equ Factor Movements'!D241)/100,2))*100</f>
        <v>9707.5857774288397</v>
      </c>
      <c r="C241">
        <f>(3/(1+('CurrentPor-Equ Factor Movements'!C241+'CurrentPor-Equ Factor Movements'!G241)/100)+103/POWER(1+('CurrentPor-Equ Factor Movements'!D241+'CurrentPor-Equ Factor Movements'!G241)/100,2))*100</f>
        <v>9614.9673582483465</v>
      </c>
      <c r="D241">
        <f>(3/(1+('CurrentPor-Equ Factor Movements'!C241+'CurrentPor-Equ Factor Movements'!H241)/100)+103/POWER(1+('CurrentPor-Equ Factor Movements'!D241+'CurrentPor-Equ Factor Movements'!H241)/100,2))*100</f>
        <v>9601.2395558122898</v>
      </c>
      <c r="E241">
        <f>(3/(1+('CurrentPor-Equ Factor Movements'!C241+'CurrentPor-Equ Factor Movements'!I241)/100)+103/POWER(1+('CurrentPor-Equ Factor Movements'!D241+'CurrentPor-Equ Factor Movements'!I241)/100,2))*100</f>
        <v>9581.4547115644182</v>
      </c>
      <c r="F241">
        <f>Portfolio!B$5*'CurrentPor-Equ Factor Movements'!E241</f>
        <v>52116.336622125003</v>
      </c>
      <c r="G241">
        <f>Portfolio!B$6*'CurrentPor-Equ Factor Movements'!F241</f>
        <v>3728.82321333748</v>
      </c>
      <c r="H241">
        <f>Portfolio!B$7*'CurrentPor-Equ Factor Movements'!J241</f>
        <v>2148.0998964419859</v>
      </c>
      <c r="I241">
        <f t="shared" si="6"/>
        <v>96498.50713495836</v>
      </c>
      <c r="J241">
        <f t="shared" si="7"/>
        <v>483.35645467092399</v>
      </c>
    </row>
    <row r="242" spans="1:10">
      <c r="A242" s="1">
        <v>45807</v>
      </c>
      <c r="B242">
        <f>(3/(1+('CurrentPor-Equ Factor Movements'!C242)/100)+103/POWER(1+('CurrentPor-Equ Factor Movements'!D242)/100,2))*100</f>
        <v>9707.5857774288397</v>
      </c>
      <c r="C242">
        <f>(3/(1+('CurrentPor-Equ Factor Movements'!C242+'CurrentPor-Equ Factor Movements'!G242)/100)+103/POWER(1+('CurrentPor-Equ Factor Movements'!D242+'CurrentPor-Equ Factor Movements'!G242)/100,2))*100</f>
        <v>9614.9673582483465</v>
      </c>
      <c r="D242">
        <f>(3/(1+('CurrentPor-Equ Factor Movements'!C242+'CurrentPor-Equ Factor Movements'!H242)/100)+103/POWER(1+('CurrentPor-Equ Factor Movements'!D242+'CurrentPor-Equ Factor Movements'!H242)/100,2))*100</f>
        <v>9601.2395558122898</v>
      </c>
      <c r="E242">
        <f>(3/(1+('CurrentPor-Equ Factor Movements'!C242+'CurrentPor-Equ Factor Movements'!I242)/100)+103/POWER(1+('CurrentPor-Equ Factor Movements'!D242+'CurrentPor-Equ Factor Movements'!I242)/100,2))*100</f>
        <v>9581.4547115644182</v>
      </c>
      <c r="F242">
        <f>Portfolio!B$5*'CurrentPor-Equ Factor Movements'!E242</f>
        <v>51970.471947766331</v>
      </c>
      <c r="G242">
        <f>Portfolio!B$6*'CurrentPor-Equ Factor Movements'!F242</f>
        <v>3946.8152743717342</v>
      </c>
      <c r="H242">
        <f>Portfolio!B$7*'CurrentPor-Equ Factor Movements'!J242</f>
        <v>2148.0998964419859</v>
      </c>
      <c r="I242">
        <f t="shared" si="6"/>
        <v>96570.634521633954</v>
      </c>
      <c r="J242">
        <f t="shared" si="7"/>
        <v>-519.2197447240469</v>
      </c>
    </row>
    <row r="243" spans="1:10">
      <c r="A243" s="1">
        <v>45810</v>
      </c>
      <c r="B243">
        <f>(3/(1+('CurrentPor-Equ Factor Movements'!C243)/100)+103/POWER(1+('CurrentPor-Equ Factor Movements'!D243)/100,2))*100</f>
        <v>9707.5857774288397</v>
      </c>
      <c r="C243">
        <f>(3/(1+('CurrentPor-Equ Factor Movements'!C243+'CurrentPor-Equ Factor Movements'!G243)/100)+103/POWER(1+('CurrentPor-Equ Factor Movements'!D243+'CurrentPor-Equ Factor Movements'!G243)/100,2))*100</f>
        <v>9614.9673582483465</v>
      </c>
      <c r="D243">
        <f>(3/(1+('CurrentPor-Equ Factor Movements'!C243+'CurrentPor-Equ Factor Movements'!H243)/100)+103/POWER(1+('CurrentPor-Equ Factor Movements'!D243+'CurrentPor-Equ Factor Movements'!H243)/100,2))*100</f>
        <v>9601.2395558122898</v>
      </c>
      <c r="E243">
        <f>(3/(1+('CurrentPor-Equ Factor Movements'!C243+'CurrentPor-Equ Factor Movements'!I243)/100)+103/POWER(1+('CurrentPor-Equ Factor Movements'!D243+'CurrentPor-Equ Factor Movements'!I243)/100,2))*100</f>
        <v>9581.4547115644182</v>
      </c>
      <c r="F243">
        <f>Portfolio!B$5*'CurrentPor-Equ Factor Movements'!E243</f>
        <v>52141.621541785687</v>
      </c>
      <c r="G243">
        <f>Portfolio!B$6*'CurrentPor-Equ Factor Movements'!F243</f>
        <v>3799.5963111145265</v>
      </c>
      <c r="H243">
        <f>Portfolio!B$7*'CurrentPor-Equ Factor Movements'!J243</f>
        <v>2148.0998964419859</v>
      </c>
      <c r="I243">
        <f t="shared" si="6"/>
        <v>96594.565152396084</v>
      </c>
      <c r="J243">
        <f t="shared" si="7"/>
        <v>-379.84774167271098</v>
      </c>
    </row>
    <row r="244" spans="1:10">
      <c r="A244" s="1">
        <v>45811</v>
      </c>
      <c r="B244">
        <f>(3/(1+('CurrentPor-Equ Factor Movements'!C244)/100)+103/POWER(1+('CurrentPor-Equ Factor Movements'!D244)/100,2))*100</f>
        <v>9707.5857774288397</v>
      </c>
      <c r="C244">
        <f>(3/(1+('CurrentPor-Equ Factor Movements'!C244+'CurrentPor-Equ Factor Movements'!G244)/100)+103/POWER(1+('CurrentPor-Equ Factor Movements'!D244+'CurrentPor-Equ Factor Movements'!G244)/100,2))*100</f>
        <v>9614.9673582483465</v>
      </c>
      <c r="D244">
        <f>(3/(1+('CurrentPor-Equ Factor Movements'!C244+'CurrentPor-Equ Factor Movements'!H244)/100)+103/POWER(1+('CurrentPor-Equ Factor Movements'!D244+'CurrentPor-Equ Factor Movements'!H244)/100,2))*100</f>
        <v>9601.2395558122898</v>
      </c>
      <c r="E244">
        <f>(3/(1+('CurrentPor-Equ Factor Movements'!C244+'CurrentPor-Equ Factor Movements'!I244)/100)+103/POWER(1+('CurrentPor-Equ Factor Movements'!D244+'CurrentPor-Equ Factor Movements'!I244)/100,2))*100</f>
        <v>9581.4547115644182</v>
      </c>
      <c r="F244">
        <f>Portfolio!B$5*'CurrentPor-Equ Factor Movements'!E244</f>
        <v>51870.849203065176</v>
      </c>
      <c r="G244">
        <f>Portfolio!B$6*'CurrentPor-Equ Factor Movements'!F244</f>
        <v>4250.293364558649</v>
      </c>
      <c r="H244">
        <f>Portfolio!B$7*'CurrentPor-Equ Factor Movements'!J244</f>
        <v>2148.0998964419859</v>
      </c>
      <c r="I244">
        <f t="shared" si="6"/>
        <v>96774.489867119701</v>
      </c>
      <c r="J244">
        <f t="shared" si="7"/>
        <v>-215.26864066014241</v>
      </c>
    </row>
    <row r="245" spans="1:10">
      <c r="A245" s="1">
        <v>45812</v>
      </c>
      <c r="B245">
        <f>(3/(1+('CurrentPor-Equ Factor Movements'!C245)/100)+103/POWER(1+('CurrentPor-Equ Factor Movements'!D245)/100,2))*100</f>
        <v>9707.5857774288397</v>
      </c>
      <c r="C245">
        <f>(3/(1+('CurrentPor-Equ Factor Movements'!C245+'CurrentPor-Equ Factor Movements'!G245)/100)+103/POWER(1+('CurrentPor-Equ Factor Movements'!D245+'CurrentPor-Equ Factor Movements'!G245)/100,2))*100</f>
        <v>9614.9673582483465</v>
      </c>
      <c r="D245">
        <f>(3/(1+('CurrentPor-Equ Factor Movements'!C245+'CurrentPor-Equ Factor Movements'!H245)/100)+103/POWER(1+('CurrentPor-Equ Factor Movements'!D245+'CurrentPor-Equ Factor Movements'!H245)/100,2))*100</f>
        <v>9601.2395558122898</v>
      </c>
      <c r="E245">
        <f>(3/(1+('CurrentPor-Equ Factor Movements'!C245+'CurrentPor-Equ Factor Movements'!I245)/100)+103/POWER(1+('CurrentPor-Equ Factor Movements'!D245+'CurrentPor-Equ Factor Movements'!I245)/100,2))*100</f>
        <v>9581.4547115644182</v>
      </c>
      <c r="F245">
        <f>Portfolio!B$5*'CurrentPor-Equ Factor Movements'!E245</f>
        <v>52368.784639607453</v>
      </c>
      <c r="G245">
        <f>Portfolio!B$6*'CurrentPor-Equ Factor Movements'!F245</f>
        <v>4096.0349842680898</v>
      </c>
      <c r="H245">
        <f>Portfolio!B$7*'CurrentPor-Equ Factor Movements'!J245</f>
        <v>2148.0998964419859</v>
      </c>
      <c r="I245">
        <f t="shared" si="6"/>
        <v>97118.16692337142</v>
      </c>
      <c r="J245">
        <f t="shared" si="7"/>
        <v>345.52113867380831</v>
      </c>
    </row>
    <row r="246" spans="1:10">
      <c r="A246" s="1">
        <v>45813</v>
      </c>
      <c r="B246">
        <f>(3/(1+('CurrentPor-Equ Factor Movements'!C246)/100)+103/POWER(1+('CurrentPor-Equ Factor Movements'!D246)/100,2))*100</f>
        <v>9707.5857774288397</v>
      </c>
      <c r="C246">
        <f>(3/(1+('CurrentPor-Equ Factor Movements'!C246+'CurrentPor-Equ Factor Movements'!G246)/100)+103/POWER(1+('CurrentPor-Equ Factor Movements'!D246+'CurrentPor-Equ Factor Movements'!G246)/100,2))*100</f>
        <v>9614.9673582483465</v>
      </c>
      <c r="D246">
        <f>(3/(1+('CurrentPor-Equ Factor Movements'!C246+'CurrentPor-Equ Factor Movements'!H246)/100)+103/POWER(1+('CurrentPor-Equ Factor Movements'!D246+'CurrentPor-Equ Factor Movements'!H246)/100,2))*100</f>
        <v>9601.2395558122898</v>
      </c>
      <c r="E246">
        <f>(3/(1+('CurrentPor-Equ Factor Movements'!C246+'CurrentPor-Equ Factor Movements'!I246)/100)+103/POWER(1+('CurrentPor-Equ Factor Movements'!D246+'CurrentPor-Equ Factor Movements'!I246)/100,2))*100</f>
        <v>9581.4547115644182</v>
      </c>
      <c r="F246">
        <f>Portfolio!B$5*'CurrentPor-Equ Factor Movements'!E246</f>
        <v>52114.550908399942</v>
      </c>
      <c r="G246">
        <f>Portfolio!B$6*'CurrentPor-Equ Factor Movements'!F246</f>
        <v>4019.0562709291016</v>
      </c>
      <c r="H246">
        <f>Portfolio!B$7*'CurrentPor-Equ Factor Movements'!J246</f>
        <v>2148.0998964419859</v>
      </c>
      <c r="I246">
        <f t="shared" si="6"/>
        <v>96786.954478824919</v>
      </c>
      <c r="J246">
        <f t="shared" si="7"/>
        <v>86.800703838656773</v>
      </c>
    </row>
    <row r="247" spans="1:10">
      <c r="A247" s="1">
        <v>45814</v>
      </c>
      <c r="B247">
        <f>(3/(1+('CurrentPor-Equ Factor Movements'!C247)/100)+103/POWER(1+('CurrentPor-Equ Factor Movements'!D247)/100,2))*100</f>
        <v>9707.5857774288397</v>
      </c>
      <c r="C247">
        <f>(3/(1+('CurrentPor-Equ Factor Movements'!C247+'CurrentPor-Equ Factor Movements'!G247)/100)+103/POWER(1+('CurrentPor-Equ Factor Movements'!D247+'CurrentPor-Equ Factor Movements'!G247)/100,2))*100</f>
        <v>9614.9673582483465</v>
      </c>
      <c r="D247">
        <f>(3/(1+('CurrentPor-Equ Factor Movements'!C247+'CurrentPor-Equ Factor Movements'!H247)/100)+103/POWER(1+('CurrentPor-Equ Factor Movements'!D247+'CurrentPor-Equ Factor Movements'!H247)/100,2))*100</f>
        <v>9601.2395558122898</v>
      </c>
      <c r="E247">
        <f>(3/(1+('CurrentPor-Equ Factor Movements'!C247+'CurrentPor-Equ Factor Movements'!I247)/100)+103/POWER(1+('CurrentPor-Equ Factor Movements'!D247+'CurrentPor-Equ Factor Movements'!I247)/100,2))*100</f>
        <v>9581.4547115644182</v>
      </c>
      <c r="F247">
        <f>Portfolio!B$5*'CurrentPor-Equ Factor Movements'!E247</f>
        <v>51876.380940184026</v>
      </c>
      <c r="G247">
        <f>Portfolio!B$6*'CurrentPor-Equ Factor Movements'!F247</f>
        <v>3955.1106693914066</v>
      </c>
      <c r="H247">
        <f>Portfolio!B$7*'CurrentPor-Equ Factor Movements'!J247</f>
        <v>2148.0998964419859</v>
      </c>
      <c r="I247">
        <f t="shared" si="6"/>
        <v>96484.838909071303</v>
      </c>
      <c r="J247">
        <f t="shared" si="7"/>
        <v>-289.06565037975088</v>
      </c>
    </row>
    <row r="248" spans="1:10">
      <c r="A248" s="1">
        <v>45817</v>
      </c>
      <c r="B248">
        <f>(3/(1+('CurrentPor-Equ Factor Movements'!C248)/100)+103/POWER(1+('CurrentPor-Equ Factor Movements'!D248)/100,2))*100</f>
        <v>9707.5857774288397</v>
      </c>
      <c r="C248">
        <f>(3/(1+('CurrentPor-Equ Factor Movements'!C248+'CurrentPor-Equ Factor Movements'!G248)/100)+103/POWER(1+('CurrentPor-Equ Factor Movements'!D248+'CurrentPor-Equ Factor Movements'!G248)/100,2))*100</f>
        <v>9614.9673582483465</v>
      </c>
      <c r="D248">
        <f>(3/(1+('CurrentPor-Equ Factor Movements'!C248+'CurrentPor-Equ Factor Movements'!H248)/100)+103/POWER(1+('CurrentPor-Equ Factor Movements'!D248+'CurrentPor-Equ Factor Movements'!H248)/100,2))*100</f>
        <v>9601.2395558122898</v>
      </c>
      <c r="E248">
        <f>(3/(1+('CurrentPor-Equ Factor Movements'!C248+'CurrentPor-Equ Factor Movements'!I248)/100)+103/POWER(1+('CurrentPor-Equ Factor Movements'!D248+'CurrentPor-Equ Factor Movements'!I248)/100,2))*100</f>
        <v>9581.4547115644182</v>
      </c>
      <c r="F248">
        <f>Portfolio!B$5*'CurrentPor-Equ Factor Movements'!E248</f>
        <v>51897.307200881951</v>
      </c>
      <c r="G248">
        <f>Portfolio!B$6*'CurrentPor-Equ Factor Movements'!F248</f>
        <v>3756.3342582756513</v>
      </c>
      <c r="H248">
        <f>Portfolio!B$7*'CurrentPor-Equ Factor Movements'!J248</f>
        <v>2148.0998964419859</v>
      </c>
      <c r="I248">
        <f t="shared" si="6"/>
        <v>96306.988758653475</v>
      </c>
      <c r="J248">
        <f t="shared" si="7"/>
        <v>-464.8628049151157</v>
      </c>
    </row>
    <row r="249" spans="1:10">
      <c r="A249" s="1">
        <v>45818</v>
      </c>
      <c r="B249">
        <f>(3/(1+('CurrentPor-Equ Factor Movements'!C249)/100)+103/POWER(1+('CurrentPor-Equ Factor Movements'!D249)/100,2))*100</f>
        <v>9707.5857774288397</v>
      </c>
      <c r="C249">
        <f>(3/(1+('CurrentPor-Equ Factor Movements'!C249+'CurrentPor-Equ Factor Movements'!G249)/100)+103/POWER(1+('CurrentPor-Equ Factor Movements'!D249+'CurrentPor-Equ Factor Movements'!G249)/100,2))*100</f>
        <v>9614.9673582483465</v>
      </c>
      <c r="D249">
        <f>(3/(1+('CurrentPor-Equ Factor Movements'!C249+'CurrentPor-Equ Factor Movements'!H249)/100)+103/POWER(1+('CurrentPor-Equ Factor Movements'!D249+'CurrentPor-Equ Factor Movements'!H249)/100,2))*100</f>
        <v>9601.2395558122898</v>
      </c>
      <c r="E249">
        <f>(3/(1+('CurrentPor-Equ Factor Movements'!C249+'CurrentPor-Equ Factor Movements'!I249)/100)+103/POWER(1+('CurrentPor-Equ Factor Movements'!D249+'CurrentPor-Equ Factor Movements'!I249)/100,2))*100</f>
        <v>9581.4547115644182</v>
      </c>
      <c r="F249">
        <f>Portfolio!B$5*'CurrentPor-Equ Factor Movements'!E249</f>
        <v>52023.322780911345</v>
      </c>
      <c r="G249">
        <f>Portfolio!B$6*'CurrentPor-Equ Factor Movements'!F249</f>
        <v>3958.4806114897956</v>
      </c>
      <c r="H249">
        <f>Portfolio!B$7*'CurrentPor-Equ Factor Movements'!J249</f>
        <v>2148.0998964419859</v>
      </c>
      <c r="I249">
        <f t="shared" si="6"/>
        <v>96635.150691897012</v>
      </c>
      <c r="J249">
        <f t="shared" si="7"/>
        <v>-236.05505912510853</v>
      </c>
    </row>
    <row r="250" spans="1:10">
      <c r="A250" s="1">
        <v>45819</v>
      </c>
      <c r="B250">
        <f>(3/(1+('CurrentPor-Equ Factor Movements'!C250)/100)+103/POWER(1+('CurrentPor-Equ Factor Movements'!D250)/100,2))*100</f>
        <v>9707.5857774288397</v>
      </c>
      <c r="C250">
        <f>(3/(1+('CurrentPor-Equ Factor Movements'!C250+'CurrentPor-Equ Factor Movements'!G250)/100)+103/POWER(1+('CurrentPor-Equ Factor Movements'!D250+'CurrentPor-Equ Factor Movements'!G250)/100,2))*100</f>
        <v>9614.9673582483465</v>
      </c>
      <c r="D250">
        <f>(3/(1+('CurrentPor-Equ Factor Movements'!C250+'CurrentPor-Equ Factor Movements'!H250)/100)+103/POWER(1+('CurrentPor-Equ Factor Movements'!D250+'CurrentPor-Equ Factor Movements'!H250)/100,2))*100</f>
        <v>9601.2395558122898</v>
      </c>
      <c r="E250">
        <f>(3/(1+('CurrentPor-Equ Factor Movements'!C250+'CurrentPor-Equ Factor Movements'!I250)/100)+103/POWER(1+('CurrentPor-Equ Factor Movements'!D250+'CurrentPor-Equ Factor Movements'!I250)/100,2))*100</f>
        <v>9581.4547115644182</v>
      </c>
      <c r="F250">
        <f>Portfolio!B$5*'CurrentPor-Equ Factor Movements'!E250</f>
        <v>51717.469611028959</v>
      </c>
      <c r="G250">
        <f>Portfolio!B$6*'CurrentPor-Equ Factor Movements'!F250</f>
        <v>4073.2808208243059</v>
      </c>
      <c r="H250">
        <f>Portfolio!B$7*'CurrentPor-Equ Factor Movements'!J250</f>
        <v>2148.0998964419859</v>
      </c>
      <c r="I250">
        <f t="shared" si="6"/>
        <v>96444.097731349146</v>
      </c>
      <c r="J250">
        <f t="shared" si="7"/>
        <v>-217.14664551708847</v>
      </c>
    </row>
    <row r="251" spans="1:10">
      <c r="A251" s="1">
        <v>45820</v>
      </c>
      <c r="B251">
        <f>(3/(1+('CurrentPor-Equ Factor Movements'!C251)/100)+103/POWER(1+('CurrentPor-Equ Factor Movements'!D251)/100,2))*100</f>
        <v>9707.5857774288397</v>
      </c>
      <c r="C251">
        <f>(3/(1+('CurrentPor-Equ Factor Movements'!C251+'CurrentPor-Equ Factor Movements'!G251)/100)+103/POWER(1+('CurrentPor-Equ Factor Movements'!D251+'CurrentPor-Equ Factor Movements'!G251)/100,2))*100</f>
        <v>9614.9673582483465</v>
      </c>
      <c r="D251">
        <f>(3/(1+('CurrentPor-Equ Factor Movements'!C251+'CurrentPor-Equ Factor Movements'!H251)/100)+103/POWER(1+('CurrentPor-Equ Factor Movements'!D251+'CurrentPor-Equ Factor Movements'!H251)/100,2))*100</f>
        <v>9601.2395558122898</v>
      </c>
      <c r="E251">
        <f>(3/(1+('CurrentPor-Equ Factor Movements'!C251+'CurrentPor-Equ Factor Movements'!I251)/100)+103/POWER(1+('CurrentPor-Equ Factor Movements'!D251+'CurrentPor-Equ Factor Movements'!I251)/100,2))*100</f>
        <v>9581.4547115644182</v>
      </c>
      <c r="F251">
        <f>Portfolio!B$5*'CurrentPor-Equ Factor Movements'!E251</f>
        <v>51965.053876971753</v>
      </c>
      <c r="G251">
        <f>Portfolio!B$6*'CurrentPor-Equ Factor Movements'!F251</f>
        <v>3802.7323137726426</v>
      </c>
      <c r="H251">
        <f>Portfolio!B$7*'CurrentPor-Equ Factor Movements'!J251</f>
        <v>2148.0998964419859</v>
      </c>
      <c r="I251">
        <f t="shared" si="6"/>
        <v>96421.133490240289</v>
      </c>
      <c r="J251">
        <f t="shared" si="7"/>
        <v>-77.373644718070864</v>
      </c>
    </row>
    <row r="252" spans="1:10">
      <c r="A252" s="1">
        <v>45821</v>
      </c>
      <c r="B252">
        <f>(3/(1+('CurrentPor-Equ Factor Movements'!C252)/100)+103/POWER(1+('CurrentPor-Equ Factor Movements'!D252)/100,2))*100</f>
        <v>9707.5857774288397</v>
      </c>
      <c r="C252">
        <f>(3/(1+('CurrentPor-Equ Factor Movements'!C252+'CurrentPor-Equ Factor Movements'!G252)/100)+103/POWER(1+('CurrentPor-Equ Factor Movements'!D252+'CurrentPor-Equ Factor Movements'!G252)/100,2))*100</f>
        <v>9614.9673582483465</v>
      </c>
      <c r="D252">
        <f>(3/(1+('CurrentPor-Equ Factor Movements'!C252+'CurrentPor-Equ Factor Movements'!H252)/100)+103/POWER(1+('CurrentPor-Equ Factor Movements'!D252+'CurrentPor-Equ Factor Movements'!H252)/100,2))*100</f>
        <v>9601.2395558122898</v>
      </c>
      <c r="E252">
        <f>(3/(1+('CurrentPor-Equ Factor Movements'!C252+'CurrentPor-Equ Factor Movements'!I252)/100)+103/POWER(1+('CurrentPor-Equ Factor Movements'!D252+'CurrentPor-Equ Factor Movements'!I252)/100,2))*100</f>
        <v>9581.4547115644182</v>
      </c>
      <c r="F252">
        <f>Portfolio!B$5*'CurrentPor-Equ Factor Movements'!E252</f>
        <v>51899.841319387982</v>
      </c>
      <c r="G252">
        <f>Portfolio!B$6*'CurrentPor-Equ Factor Movements'!F252</f>
        <v>4116.8082186377005</v>
      </c>
      <c r="H252">
        <f>Portfolio!B$7*'CurrentPor-Equ Factor Movements'!J252</f>
        <v>2148.0998964419859</v>
      </c>
      <c r="I252">
        <f t="shared" ref="I252:I263" si="8">SUM(B252:H252)</f>
        <v>96669.996837521554</v>
      </c>
      <c r="J252">
        <f t="shared" ref="J252:J263" si="9">I252-I242</f>
        <v>99.362315887599834</v>
      </c>
    </row>
    <row r="253" spans="1:10">
      <c r="A253" s="1">
        <v>45824</v>
      </c>
      <c r="B253">
        <f>(3/(1+('CurrentPor-Equ Factor Movements'!C253)/100)+103/POWER(1+('CurrentPor-Equ Factor Movements'!D253)/100,2))*100</f>
        <v>9707.5857774288397</v>
      </c>
      <c r="C253">
        <f>(3/(1+('CurrentPor-Equ Factor Movements'!C253+'CurrentPor-Equ Factor Movements'!G253)/100)+103/POWER(1+('CurrentPor-Equ Factor Movements'!D253+'CurrentPor-Equ Factor Movements'!G253)/100,2))*100</f>
        <v>9614.9673582483465</v>
      </c>
      <c r="D253">
        <f>(3/(1+('CurrentPor-Equ Factor Movements'!C253+'CurrentPor-Equ Factor Movements'!H253)/100)+103/POWER(1+('CurrentPor-Equ Factor Movements'!D253+'CurrentPor-Equ Factor Movements'!H253)/100,2))*100</f>
        <v>9601.2395558122898</v>
      </c>
      <c r="E253">
        <f>(3/(1+('CurrentPor-Equ Factor Movements'!C253+'CurrentPor-Equ Factor Movements'!I253)/100)+103/POWER(1+('CurrentPor-Equ Factor Movements'!D253+'CurrentPor-Equ Factor Movements'!I253)/100,2))*100</f>
        <v>9581.4547115644182</v>
      </c>
      <c r="F253">
        <f>Portfolio!B$5*'CurrentPor-Equ Factor Movements'!E253</f>
        <v>51763.903403193115</v>
      </c>
      <c r="G253">
        <f>Portfolio!B$6*'CurrentPor-Equ Factor Movements'!F253</f>
        <v>3840.3634612233409</v>
      </c>
      <c r="H253">
        <f>Portfolio!B$7*'CurrentPor-Equ Factor Movements'!J253</f>
        <v>2148.0998964419859</v>
      </c>
      <c r="I253">
        <f t="shared" si="8"/>
        <v>96257.614163912338</v>
      </c>
      <c r="J253">
        <f t="shared" si="9"/>
        <v>-336.95098848374619</v>
      </c>
    </row>
    <row r="254" spans="1:10">
      <c r="A254" s="1">
        <v>45825</v>
      </c>
      <c r="B254">
        <f>(3/(1+('CurrentPor-Equ Factor Movements'!C254)/100)+103/POWER(1+('CurrentPor-Equ Factor Movements'!D254)/100,2))*100</f>
        <v>9707.5857774288397</v>
      </c>
      <c r="C254">
        <f>(3/(1+('CurrentPor-Equ Factor Movements'!C254+'CurrentPor-Equ Factor Movements'!G254)/100)+103/POWER(1+('CurrentPor-Equ Factor Movements'!D254+'CurrentPor-Equ Factor Movements'!G254)/100,2))*100</f>
        <v>9614.9673582483465</v>
      </c>
      <c r="D254">
        <f>(3/(1+('CurrentPor-Equ Factor Movements'!C254+'CurrentPor-Equ Factor Movements'!H254)/100)+103/POWER(1+('CurrentPor-Equ Factor Movements'!D254+'CurrentPor-Equ Factor Movements'!H254)/100,2))*100</f>
        <v>9601.2395558122898</v>
      </c>
      <c r="E254">
        <f>(3/(1+('CurrentPor-Equ Factor Movements'!C254+'CurrentPor-Equ Factor Movements'!I254)/100)+103/POWER(1+('CurrentPor-Equ Factor Movements'!D254+'CurrentPor-Equ Factor Movements'!I254)/100,2))*100</f>
        <v>9581.4547115644182</v>
      </c>
      <c r="F254">
        <f>Portfolio!B$5*'CurrentPor-Equ Factor Movements'!E254</f>
        <v>52126.999907373669</v>
      </c>
      <c r="G254">
        <f>Portfolio!B$6*'CurrentPor-Equ Factor Movements'!F254</f>
        <v>4105.0700994210056</v>
      </c>
      <c r="H254">
        <f>Portfolio!B$7*'CurrentPor-Equ Factor Movements'!J254</f>
        <v>2148.0998964419859</v>
      </c>
      <c r="I254">
        <f t="shared" si="8"/>
        <v>96885.417306290561</v>
      </c>
      <c r="J254">
        <f t="shared" si="9"/>
        <v>110.92743917086045</v>
      </c>
    </row>
    <row r="255" spans="1:10">
      <c r="A255" s="1">
        <v>45826</v>
      </c>
      <c r="B255">
        <f>(3/(1+('CurrentPor-Equ Factor Movements'!C255)/100)+103/POWER(1+('CurrentPor-Equ Factor Movements'!D255)/100,2))*100</f>
        <v>9707.5857774288397</v>
      </c>
      <c r="C255">
        <f>(3/(1+('CurrentPor-Equ Factor Movements'!C255+'CurrentPor-Equ Factor Movements'!G255)/100)+103/POWER(1+('CurrentPor-Equ Factor Movements'!D255+'CurrentPor-Equ Factor Movements'!G255)/100,2))*100</f>
        <v>9614.9673582483465</v>
      </c>
      <c r="D255">
        <f>(3/(1+('CurrentPor-Equ Factor Movements'!C255+'CurrentPor-Equ Factor Movements'!H255)/100)+103/POWER(1+('CurrentPor-Equ Factor Movements'!D255+'CurrentPor-Equ Factor Movements'!H255)/100,2))*100</f>
        <v>9601.2395558122898</v>
      </c>
      <c r="E255">
        <f>(3/(1+('CurrentPor-Equ Factor Movements'!C255+'CurrentPor-Equ Factor Movements'!I255)/100)+103/POWER(1+('CurrentPor-Equ Factor Movements'!D255+'CurrentPor-Equ Factor Movements'!I255)/100,2))*100</f>
        <v>9581.4547115644182</v>
      </c>
      <c r="F255">
        <f>Portfolio!B$5*'CurrentPor-Equ Factor Movements'!E255</f>
        <v>51754.250721749529</v>
      </c>
      <c r="G255">
        <f>Portfolio!B$6*'CurrentPor-Equ Factor Movements'!F255</f>
        <v>4347.1016281971451</v>
      </c>
      <c r="H255">
        <f>Portfolio!B$7*'CurrentPor-Equ Factor Movements'!J255</f>
        <v>2148.0998964419859</v>
      </c>
      <c r="I255">
        <f t="shared" si="8"/>
        <v>96754.69964944254</v>
      </c>
      <c r="J255">
        <f t="shared" si="9"/>
        <v>-363.46727392887988</v>
      </c>
    </row>
    <row r="256" spans="1:10">
      <c r="A256" s="1">
        <v>45827</v>
      </c>
      <c r="B256">
        <f>(3/(1+('CurrentPor-Equ Factor Movements'!C256)/100)+103/POWER(1+('CurrentPor-Equ Factor Movements'!D256)/100,2))*100</f>
        <v>9707.5857774288397</v>
      </c>
      <c r="C256">
        <f>(3/(1+('CurrentPor-Equ Factor Movements'!C256+'CurrentPor-Equ Factor Movements'!G256)/100)+103/POWER(1+('CurrentPor-Equ Factor Movements'!D256+'CurrentPor-Equ Factor Movements'!G256)/100,2))*100</f>
        <v>9614.9673582483465</v>
      </c>
      <c r="D256">
        <f>(3/(1+('CurrentPor-Equ Factor Movements'!C256+'CurrentPor-Equ Factor Movements'!H256)/100)+103/POWER(1+('CurrentPor-Equ Factor Movements'!D256+'CurrentPor-Equ Factor Movements'!H256)/100,2))*100</f>
        <v>9601.2395558122898</v>
      </c>
      <c r="E256">
        <f>(3/(1+('CurrentPor-Equ Factor Movements'!C256+'CurrentPor-Equ Factor Movements'!I256)/100)+103/POWER(1+('CurrentPor-Equ Factor Movements'!D256+'CurrentPor-Equ Factor Movements'!I256)/100,2))*100</f>
        <v>9581.4547115644182</v>
      </c>
      <c r="F256">
        <f>Portfolio!B$5*'CurrentPor-Equ Factor Movements'!E256</f>
        <v>52215.271714227005</v>
      </c>
      <c r="G256">
        <f>Portfolio!B$6*'CurrentPor-Equ Factor Movements'!F256</f>
        <v>3733.2223013641915</v>
      </c>
      <c r="H256">
        <f>Portfolio!B$7*'CurrentPor-Equ Factor Movements'!J256</f>
        <v>2148.0998964419859</v>
      </c>
      <c r="I256">
        <f t="shared" si="8"/>
        <v>96601.841315087077</v>
      </c>
      <c r="J256">
        <f t="shared" si="9"/>
        <v>-185.11316373784211</v>
      </c>
    </row>
    <row r="257" spans="1:10">
      <c r="A257" s="1">
        <v>45828</v>
      </c>
      <c r="B257">
        <f>(3/(1+('CurrentPor-Equ Factor Movements'!C257)/100)+103/POWER(1+('CurrentPor-Equ Factor Movements'!D257)/100,2))*100</f>
        <v>9707.5857774288397</v>
      </c>
      <c r="C257">
        <f>(3/(1+('CurrentPor-Equ Factor Movements'!C257+'CurrentPor-Equ Factor Movements'!G257)/100)+103/POWER(1+('CurrentPor-Equ Factor Movements'!D257+'CurrentPor-Equ Factor Movements'!G257)/100,2))*100</f>
        <v>9614.9673582483465</v>
      </c>
      <c r="D257">
        <f>(3/(1+('CurrentPor-Equ Factor Movements'!C257+'CurrentPor-Equ Factor Movements'!H257)/100)+103/POWER(1+('CurrentPor-Equ Factor Movements'!D257+'CurrentPor-Equ Factor Movements'!H257)/100,2))*100</f>
        <v>9601.2395558122898</v>
      </c>
      <c r="E257">
        <f>(3/(1+('CurrentPor-Equ Factor Movements'!C257+'CurrentPor-Equ Factor Movements'!I257)/100)+103/POWER(1+('CurrentPor-Equ Factor Movements'!D257+'CurrentPor-Equ Factor Movements'!I257)/100,2))*100</f>
        <v>9581.4547115644182</v>
      </c>
      <c r="F257">
        <f>Portfolio!B$5*'CurrentPor-Equ Factor Movements'!E257</f>
        <v>51735.469825482054</v>
      </c>
      <c r="G257">
        <f>Portfolio!B$6*'CurrentPor-Equ Factor Movements'!F257</f>
        <v>4195.8283829086768</v>
      </c>
      <c r="H257">
        <f>Portfolio!B$7*'CurrentPor-Equ Factor Movements'!J257</f>
        <v>2148.0998964419859</v>
      </c>
      <c r="I257">
        <f t="shared" si="8"/>
        <v>96584.645507886598</v>
      </c>
      <c r="J257">
        <f t="shared" si="9"/>
        <v>99.806598815295729</v>
      </c>
    </row>
    <row r="258" spans="1:10">
      <c r="A258" s="1">
        <v>45831</v>
      </c>
      <c r="B258">
        <f>(3/(1+('CurrentPor-Equ Factor Movements'!C258)/100)+103/POWER(1+('CurrentPor-Equ Factor Movements'!D258)/100,2))*100</f>
        <v>9707.5857774288397</v>
      </c>
      <c r="C258">
        <f>(3/(1+('CurrentPor-Equ Factor Movements'!C258+'CurrentPor-Equ Factor Movements'!G258)/100)+103/POWER(1+('CurrentPor-Equ Factor Movements'!D258+'CurrentPor-Equ Factor Movements'!G258)/100,2))*100</f>
        <v>9614.9673582483465</v>
      </c>
      <c r="D258">
        <f>(3/(1+('CurrentPor-Equ Factor Movements'!C258+'CurrentPor-Equ Factor Movements'!H258)/100)+103/POWER(1+('CurrentPor-Equ Factor Movements'!D258+'CurrentPor-Equ Factor Movements'!H258)/100,2))*100</f>
        <v>9601.2395558122898</v>
      </c>
      <c r="E258">
        <f>(3/(1+('CurrentPor-Equ Factor Movements'!C258+'CurrentPor-Equ Factor Movements'!I258)/100)+103/POWER(1+('CurrentPor-Equ Factor Movements'!D258+'CurrentPor-Equ Factor Movements'!I258)/100,2))*100</f>
        <v>9581.4547115644182</v>
      </c>
      <c r="F258">
        <f>Portfolio!B$5*'CurrentPor-Equ Factor Movements'!E258</f>
        <v>52186.289343637211</v>
      </c>
      <c r="G258">
        <f>Portfolio!B$6*'CurrentPor-Equ Factor Movements'!F258</f>
        <v>3783.6871177524854</v>
      </c>
      <c r="H258">
        <f>Portfolio!B$7*'CurrentPor-Equ Factor Movements'!J258</f>
        <v>2148.0998964419859</v>
      </c>
      <c r="I258">
        <f t="shared" si="8"/>
        <v>96623.323760885571</v>
      </c>
      <c r="J258">
        <f t="shared" si="9"/>
        <v>316.33500223209558</v>
      </c>
    </row>
    <row r="259" spans="1:10">
      <c r="A259" s="1">
        <v>45832</v>
      </c>
      <c r="B259">
        <f>(3/(1+('CurrentPor-Equ Factor Movements'!C259)/100)+103/POWER(1+('CurrentPor-Equ Factor Movements'!D259)/100,2))*100</f>
        <v>9707.5857774288397</v>
      </c>
      <c r="C259">
        <f>(3/(1+('CurrentPor-Equ Factor Movements'!C259+'CurrentPor-Equ Factor Movements'!G259)/100)+103/POWER(1+('CurrentPor-Equ Factor Movements'!D259+'CurrentPor-Equ Factor Movements'!G259)/100,2))*100</f>
        <v>9614.9673582483465</v>
      </c>
      <c r="D259">
        <f>(3/(1+('CurrentPor-Equ Factor Movements'!C259+'CurrentPor-Equ Factor Movements'!H259)/100)+103/POWER(1+('CurrentPor-Equ Factor Movements'!D259+'CurrentPor-Equ Factor Movements'!H259)/100,2))*100</f>
        <v>9601.2395558122898</v>
      </c>
      <c r="E259">
        <f>(3/(1+('CurrentPor-Equ Factor Movements'!C259+'CurrentPor-Equ Factor Movements'!I259)/100)+103/POWER(1+('CurrentPor-Equ Factor Movements'!D259+'CurrentPor-Equ Factor Movements'!I259)/100,2))*100</f>
        <v>9581.4547115644182</v>
      </c>
      <c r="F259">
        <f>Portfolio!B$5*'CurrentPor-Equ Factor Movements'!E259</f>
        <v>52195.363356873931</v>
      </c>
      <c r="G259">
        <f>Portfolio!B$6*'CurrentPor-Equ Factor Movements'!F259</f>
        <v>4165.2045224598132</v>
      </c>
      <c r="H259">
        <f>Portfolio!B$7*'CurrentPor-Equ Factor Movements'!J259</f>
        <v>2148.0998964419859</v>
      </c>
      <c r="I259">
        <f t="shared" si="8"/>
        <v>97013.915178829629</v>
      </c>
      <c r="J259">
        <f t="shared" si="9"/>
        <v>378.76448693261773</v>
      </c>
    </row>
    <row r="260" spans="1:10">
      <c r="A260" s="1">
        <v>45833</v>
      </c>
      <c r="B260">
        <f>(3/(1+('CurrentPor-Equ Factor Movements'!C260)/100)+103/POWER(1+('CurrentPor-Equ Factor Movements'!D260)/100,2))*100</f>
        <v>9707.5857774288397</v>
      </c>
      <c r="C260">
        <f>(3/(1+('CurrentPor-Equ Factor Movements'!C260+'CurrentPor-Equ Factor Movements'!G260)/100)+103/POWER(1+('CurrentPor-Equ Factor Movements'!D260+'CurrentPor-Equ Factor Movements'!G260)/100,2))*100</f>
        <v>9614.9673582483465</v>
      </c>
      <c r="D260">
        <f>(3/(1+('CurrentPor-Equ Factor Movements'!C260+'CurrentPor-Equ Factor Movements'!H260)/100)+103/POWER(1+('CurrentPor-Equ Factor Movements'!D260+'CurrentPor-Equ Factor Movements'!H260)/100,2))*100</f>
        <v>9601.2395558122898</v>
      </c>
      <c r="E260">
        <f>(3/(1+('CurrentPor-Equ Factor Movements'!C260+'CurrentPor-Equ Factor Movements'!I260)/100)+103/POWER(1+('CurrentPor-Equ Factor Movements'!D260+'CurrentPor-Equ Factor Movements'!I260)/100,2))*100</f>
        <v>9581.4547115644182</v>
      </c>
      <c r="F260">
        <f>Portfolio!B$5*'CurrentPor-Equ Factor Movements'!E260</f>
        <v>51906.353689441268</v>
      </c>
      <c r="G260">
        <f>Portfolio!B$6*'CurrentPor-Equ Factor Movements'!F260</f>
        <v>4214.808511242617</v>
      </c>
      <c r="H260">
        <f>Portfolio!B$7*'CurrentPor-Equ Factor Movements'!J260</f>
        <v>2148.0998964419859</v>
      </c>
      <c r="I260">
        <f t="shared" si="8"/>
        <v>96774.509500179774</v>
      </c>
      <c r="J260">
        <f t="shared" si="9"/>
        <v>330.41176883062872</v>
      </c>
    </row>
    <row r="261" spans="1:10">
      <c r="A261" s="1">
        <v>45834</v>
      </c>
      <c r="B261">
        <f>(3/(1+('CurrentPor-Equ Factor Movements'!C261)/100)+103/POWER(1+('CurrentPor-Equ Factor Movements'!D261)/100,2))*100</f>
        <v>9707.5857774288397</v>
      </c>
      <c r="C261">
        <f>(3/(1+('CurrentPor-Equ Factor Movements'!C261+'CurrentPor-Equ Factor Movements'!G261)/100)+103/POWER(1+('CurrentPor-Equ Factor Movements'!D261+'CurrentPor-Equ Factor Movements'!G261)/100,2))*100</f>
        <v>9614.9673582483465</v>
      </c>
      <c r="D261">
        <f>(3/(1+('CurrentPor-Equ Factor Movements'!C261+'CurrentPor-Equ Factor Movements'!H261)/100)+103/POWER(1+('CurrentPor-Equ Factor Movements'!D261+'CurrentPor-Equ Factor Movements'!H261)/100,2))*100</f>
        <v>9601.2395558122898</v>
      </c>
      <c r="E261">
        <f>(3/(1+('CurrentPor-Equ Factor Movements'!C261+'CurrentPor-Equ Factor Movements'!I261)/100)+103/POWER(1+('CurrentPor-Equ Factor Movements'!D261+'CurrentPor-Equ Factor Movements'!I261)/100,2))*100</f>
        <v>9581.4547115644182</v>
      </c>
      <c r="F261">
        <f>Portfolio!B$5*'CurrentPor-Equ Factor Movements'!E261</f>
        <v>52117.700302862169</v>
      </c>
      <c r="G261">
        <f>Portfolio!B$6*'CurrentPor-Equ Factor Movements'!F261</f>
        <v>3968.3341122234951</v>
      </c>
      <c r="H261">
        <f>Portfolio!B$7*'CurrentPor-Equ Factor Movements'!J261</f>
        <v>2148.0998964419859</v>
      </c>
      <c r="I261">
        <f t="shared" si="8"/>
        <v>96739.381714581556</v>
      </c>
      <c r="J261">
        <f t="shared" si="9"/>
        <v>318.2482243412669</v>
      </c>
    </row>
    <row r="262" spans="1:10">
      <c r="A262" s="1">
        <v>45835</v>
      </c>
      <c r="B262">
        <f>(3/(1+('CurrentPor-Equ Factor Movements'!C262)/100)+103/POWER(1+('CurrentPor-Equ Factor Movements'!D262)/100,2))*100</f>
        <v>9707.5857774288397</v>
      </c>
      <c r="C262">
        <f>(3/(1+('CurrentPor-Equ Factor Movements'!C262+'CurrentPor-Equ Factor Movements'!G262)/100)+103/POWER(1+('CurrentPor-Equ Factor Movements'!D262+'CurrentPor-Equ Factor Movements'!G262)/100,2))*100</f>
        <v>9614.9673582483465</v>
      </c>
      <c r="D262">
        <f>(3/(1+('CurrentPor-Equ Factor Movements'!C262+'CurrentPor-Equ Factor Movements'!H262)/100)+103/POWER(1+('CurrentPor-Equ Factor Movements'!D262+'CurrentPor-Equ Factor Movements'!H262)/100,2))*100</f>
        <v>9601.2395558122898</v>
      </c>
      <c r="E262">
        <f>(3/(1+('CurrentPor-Equ Factor Movements'!C262+'CurrentPor-Equ Factor Movements'!I262)/100)+103/POWER(1+('CurrentPor-Equ Factor Movements'!D262+'CurrentPor-Equ Factor Movements'!I262)/100,2))*100</f>
        <v>9581.4547115644182</v>
      </c>
      <c r="F262">
        <f>Portfolio!B$5*'CurrentPor-Equ Factor Movements'!E262</f>
        <v>52185.043522624255</v>
      </c>
      <c r="G262">
        <f>Portfolio!B$6*'CurrentPor-Equ Factor Movements'!F262</f>
        <v>4082.3039413202041</v>
      </c>
      <c r="H262">
        <f>Portfolio!B$7*'CurrentPor-Equ Factor Movements'!J262</f>
        <v>2148.0998964419859</v>
      </c>
      <c r="I262">
        <f t="shared" si="8"/>
        <v>96920.694763440348</v>
      </c>
      <c r="J262">
        <f t="shared" si="9"/>
        <v>250.69792591879377</v>
      </c>
    </row>
    <row r="263" spans="1:10">
      <c r="A263" s="1">
        <v>45838</v>
      </c>
      <c r="B263">
        <f>(3/(1+('CurrentPor-Equ Factor Movements'!C263)/100)+103/POWER(1+('CurrentPor-Equ Factor Movements'!D263)/100,2))*100</f>
        <v>9707.5857774288397</v>
      </c>
      <c r="C263">
        <f>(3/(1+('CurrentPor-Equ Factor Movements'!C263+'CurrentPor-Equ Factor Movements'!G263)/100)+103/POWER(1+('CurrentPor-Equ Factor Movements'!D263+'CurrentPor-Equ Factor Movements'!G263)/100,2))*100</f>
        <v>9614.9673582483465</v>
      </c>
      <c r="D263">
        <f>(3/(1+('CurrentPor-Equ Factor Movements'!C263+'CurrentPor-Equ Factor Movements'!H263)/100)+103/POWER(1+('CurrentPor-Equ Factor Movements'!D263+'CurrentPor-Equ Factor Movements'!H263)/100,2))*100</f>
        <v>9601.2395558122898</v>
      </c>
      <c r="E263">
        <f>(3/(1+('CurrentPor-Equ Factor Movements'!C263+'CurrentPor-Equ Factor Movements'!I263)/100)+103/POWER(1+('CurrentPor-Equ Factor Movements'!D263+'CurrentPor-Equ Factor Movements'!I263)/100,2))*100</f>
        <v>9581.4547115644182</v>
      </c>
      <c r="F263">
        <f>Portfolio!B$5*'CurrentPor-Equ Factor Movements'!E263</f>
        <v>51928.942580272756</v>
      </c>
      <c r="G263">
        <f>Portfolio!B$6*'CurrentPor-Equ Factor Movements'!F263</f>
        <v>4155.4980710459158</v>
      </c>
      <c r="H263">
        <f>Portfolio!B$7*'CurrentPor-Equ Factor Movements'!J263</f>
        <v>2148.0998964419859</v>
      </c>
      <c r="I263">
        <f t="shared" si="8"/>
        <v>96737.787950814556</v>
      </c>
      <c r="J263">
        <f t="shared" si="9"/>
        <v>480.17378690221813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CurrentPor-Equ Factor Movements</vt:lpstr>
      <vt:lpstr>Portfolio</vt:lpstr>
      <vt:lpstr>ES, Equity factor movement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2025-11-07T19:05:05Z</dcterms:modified>
</cp:coreProperties>
</file>