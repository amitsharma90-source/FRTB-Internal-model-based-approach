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s\Desktop\All quant workshop\Market Risk\FRTB-IMA,modellable risk factors\IMCCCi\Equity\"/>
    </mc:Choice>
  </mc:AlternateContent>
  <xr:revisionPtr revIDLastSave="0" documentId="13_ncr:1_{D2488FA7-68D7-4AC2-AA13-BBF6B98AC571}" xr6:coauthVersionLast="47" xr6:coauthVersionMax="47" xr10:uidLastSave="{00000000-0000-0000-0000-000000000000}"/>
  <bookViews>
    <workbookView xWindow="-110" yWindow="-110" windowWidth="19420" windowHeight="10300" tabRatio="928" activeTab="3" xr2:uid="{DC1F76F4-8BE6-409E-AD1E-84625C47D90D}"/>
  </bookViews>
  <sheets>
    <sheet name="CurrentPor-Equ Factor Movements" sheetId="4" r:id="rId1"/>
    <sheet name="Portfolio" sheetId="5" r:id="rId2"/>
    <sheet name="ES, Equity factor movement" sheetId="7" r:id="rId3"/>
    <sheet name="NMRF" sheetId="2" r:id="rId4"/>
    <sheet name="formulae" sheetId="3" r:id="rId5"/>
  </sheets>
  <definedNames>
    <definedName name="_xlnm._FilterDatabase" localSheetId="0" hidden="1">'CurrentPor-Equ Factor Movements'!$A$3:$J$263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90" i="7" l="1"/>
  <c r="H193" i="7"/>
  <c r="H194" i="7"/>
  <c r="H195" i="7"/>
  <c r="H206" i="7"/>
  <c r="H209" i="7"/>
  <c r="H210" i="7"/>
  <c r="H211" i="7"/>
  <c r="H222" i="7"/>
  <c r="H225" i="7"/>
  <c r="H226" i="7"/>
  <c r="H227" i="7"/>
  <c r="H238" i="7"/>
  <c r="H240" i="7"/>
  <c r="H241" i="7"/>
  <c r="H242" i="7"/>
  <c r="H254" i="7"/>
  <c r="H256" i="7"/>
  <c r="H257" i="7"/>
  <c r="H258" i="7"/>
  <c r="H259" i="7"/>
  <c r="L5" i="4"/>
  <c r="M5" i="4"/>
  <c r="N5" i="4"/>
  <c r="O5" i="4"/>
  <c r="P5" i="4"/>
  <c r="Q5" i="4"/>
  <c r="K5" i="4"/>
  <c r="L3" i="4"/>
  <c r="M3" i="4"/>
  <c r="N3" i="4"/>
  <c r="O3" i="4"/>
  <c r="P3" i="4"/>
  <c r="Q3" i="4"/>
  <c r="K3" i="4"/>
  <c r="B188" i="7"/>
  <c r="C188" i="7"/>
  <c r="D188" i="7"/>
  <c r="B189" i="7"/>
  <c r="C189" i="7"/>
  <c r="D189" i="7"/>
  <c r="B190" i="7"/>
  <c r="C190" i="7"/>
  <c r="D190" i="7"/>
  <c r="B191" i="7"/>
  <c r="C191" i="7"/>
  <c r="D191" i="7"/>
  <c r="B192" i="7"/>
  <c r="C192" i="7"/>
  <c r="D192" i="7"/>
  <c r="B193" i="7"/>
  <c r="C193" i="7"/>
  <c r="D193" i="7"/>
  <c r="B194" i="7"/>
  <c r="C194" i="7"/>
  <c r="D194" i="7"/>
  <c r="B195" i="7"/>
  <c r="C195" i="7"/>
  <c r="D195" i="7"/>
  <c r="B196" i="7"/>
  <c r="C196" i="7"/>
  <c r="D196" i="7"/>
  <c r="B197" i="7"/>
  <c r="C197" i="7"/>
  <c r="D197" i="7"/>
  <c r="B198" i="7"/>
  <c r="C198" i="7"/>
  <c r="D198" i="7"/>
  <c r="B199" i="7"/>
  <c r="C199" i="7"/>
  <c r="D199" i="7"/>
  <c r="B200" i="7"/>
  <c r="C200" i="7"/>
  <c r="D200" i="7"/>
  <c r="B201" i="7"/>
  <c r="C201" i="7"/>
  <c r="D201" i="7"/>
  <c r="B202" i="7"/>
  <c r="C202" i="7"/>
  <c r="D202" i="7"/>
  <c r="B203" i="7"/>
  <c r="C203" i="7"/>
  <c r="D203" i="7"/>
  <c r="B204" i="7"/>
  <c r="C204" i="7"/>
  <c r="D204" i="7"/>
  <c r="B205" i="7"/>
  <c r="C205" i="7"/>
  <c r="D205" i="7"/>
  <c r="B206" i="7"/>
  <c r="C206" i="7"/>
  <c r="D206" i="7"/>
  <c r="B207" i="7"/>
  <c r="C207" i="7"/>
  <c r="D207" i="7"/>
  <c r="B208" i="7"/>
  <c r="C208" i="7"/>
  <c r="D208" i="7"/>
  <c r="B209" i="7"/>
  <c r="C209" i="7"/>
  <c r="D209" i="7"/>
  <c r="B210" i="7"/>
  <c r="C210" i="7"/>
  <c r="D210" i="7"/>
  <c r="B211" i="7"/>
  <c r="C211" i="7"/>
  <c r="D211" i="7"/>
  <c r="B212" i="7"/>
  <c r="C212" i="7"/>
  <c r="D212" i="7"/>
  <c r="B213" i="7"/>
  <c r="C213" i="7"/>
  <c r="D213" i="7"/>
  <c r="B214" i="7"/>
  <c r="C214" i="7"/>
  <c r="D214" i="7"/>
  <c r="B215" i="7"/>
  <c r="C215" i="7"/>
  <c r="D215" i="7"/>
  <c r="B216" i="7"/>
  <c r="C216" i="7"/>
  <c r="D216" i="7"/>
  <c r="B217" i="7"/>
  <c r="C217" i="7"/>
  <c r="D217" i="7"/>
  <c r="B218" i="7"/>
  <c r="C218" i="7"/>
  <c r="D218" i="7"/>
  <c r="B219" i="7"/>
  <c r="C219" i="7"/>
  <c r="D219" i="7"/>
  <c r="B220" i="7"/>
  <c r="C220" i="7"/>
  <c r="D220" i="7"/>
  <c r="B221" i="7"/>
  <c r="C221" i="7"/>
  <c r="D221" i="7"/>
  <c r="B222" i="7"/>
  <c r="C222" i="7"/>
  <c r="D222" i="7"/>
  <c r="B223" i="7"/>
  <c r="C223" i="7"/>
  <c r="D223" i="7"/>
  <c r="B224" i="7"/>
  <c r="C224" i="7"/>
  <c r="D224" i="7"/>
  <c r="B225" i="7"/>
  <c r="C225" i="7"/>
  <c r="D225" i="7"/>
  <c r="B226" i="7"/>
  <c r="C226" i="7"/>
  <c r="D226" i="7"/>
  <c r="B227" i="7"/>
  <c r="C227" i="7"/>
  <c r="D227" i="7"/>
  <c r="B228" i="7"/>
  <c r="C228" i="7"/>
  <c r="D228" i="7"/>
  <c r="B229" i="7"/>
  <c r="C229" i="7"/>
  <c r="D229" i="7"/>
  <c r="B230" i="7"/>
  <c r="C230" i="7"/>
  <c r="D230" i="7"/>
  <c r="B231" i="7"/>
  <c r="C231" i="7"/>
  <c r="D231" i="7"/>
  <c r="B232" i="7"/>
  <c r="C232" i="7"/>
  <c r="D232" i="7"/>
  <c r="B233" i="7"/>
  <c r="C233" i="7"/>
  <c r="D233" i="7"/>
  <c r="B234" i="7"/>
  <c r="C234" i="7"/>
  <c r="D234" i="7"/>
  <c r="B235" i="7"/>
  <c r="C235" i="7"/>
  <c r="D235" i="7"/>
  <c r="B236" i="7"/>
  <c r="C236" i="7"/>
  <c r="D236" i="7"/>
  <c r="B237" i="7"/>
  <c r="C237" i="7"/>
  <c r="D237" i="7"/>
  <c r="B238" i="7"/>
  <c r="C238" i="7"/>
  <c r="D238" i="7"/>
  <c r="B239" i="7"/>
  <c r="C239" i="7"/>
  <c r="D239" i="7"/>
  <c r="B240" i="7"/>
  <c r="C240" i="7"/>
  <c r="D240" i="7"/>
  <c r="B241" i="7"/>
  <c r="C241" i="7"/>
  <c r="D241" i="7"/>
  <c r="B242" i="7"/>
  <c r="C242" i="7"/>
  <c r="D242" i="7"/>
  <c r="B243" i="7"/>
  <c r="C243" i="7"/>
  <c r="D243" i="7"/>
  <c r="B244" i="7"/>
  <c r="C244" i="7"/>
  <c r="D244" i="7"/>
  <c r="B245" i="7"/>
  <c r="C245" i="7"/>
  <c r="D245" i="7"/>
  <c r="B246" i="7"/>
  <c r="C246" i="7"/>
  <c r="D246" i="7"/>
  <c r="B247" i="7"/>
  <c r="C247" i="7"/>
  <c r="D247" i="7"/>
  <c r="B248" i="7"/>
  <c r="C248" i="7"/>
  <c r="D248" i="7"/>
  <c r="B249" i="7"/>
  <c r="C249" i="7"/>
  <c r="D249" i="7"/>
  <c r="B250" i="7"/>
  <c r="C250" i="7"/>
  <c r="D250" i="7"/>
  <c r="B251" i="7"/>
  <c r="C251" i="7"/>
  <c r="D251" i="7"/>
  <c r="B252" i="7"/>
  <c r="C252" i="7"/>
  <c r="D252" i="7"/>
  <c r="B253" i="7"/>
  <c r="C253" i="7"/>
  <c r="D253" i="7"/>
  <c r="B254" i="7"/>
  <c r="C254" i="7"/>
  <c r="D254" i="7"/>
  <c r="B255" i="7"/>
  <c r="C255" i="7"/>
  <c r="D255" i="7"/>
  <c r="B256" i="7"/>
  <c r="C256" i="7"/>
  <c r="D256" i="7"/>
  <c r="B257" i="7"/>
  <c r="C257" i="7"/>
  <c r="D257" i="7"/>
  <c r="B258" i="7"/>
  <c r="C258" i="7"/>
  <c r="D258" i="7"/>
  <c r="B259" i="7"/>
  <c r="C259" i="7"/>
  <c r="D259" i="7"/>
  <c r="B260" i="7"/>
  <c r="C260" i="7"/>
  <c r="D260" i="7"/>
  <c r="B261" i="7"/>
  <c r="C261" i="7"/>
  <c r="D261" i="7"/>
  <c r="B262" i="7"/>
  <c r="C262" i="7"/>
  <c r="D262" i="7"/>
  <c r="B263" i="7"/>
  <c r="C263" i="7"/>
  <c r="D263" i="7"/>
  <c r="F188" i="7"/>
  <c r="G188" i="7"/>
  <c r="H188" i="7"/>
  <c r="F189" i="7"/>
  <c r="G189" i="7"/>
  <c r="H189" i="7"/>
  <c r="F190" i="7"/>
  <c r="G190" i="7"/>
  <c r="F191" i="7"/>
  <c r="G191" i="7"/>
  <c r="H191" i="7"/>
  <c r="F192" i="7"/>
  <c r="G192" i="7"/>
  <c r="H192" i="7"/>
  <c r="F193" i="7"/>
  <c r="G193" i="7"/>
  <c r="F194" i="7"/>
  <c r="G194" i="7"/>
  <c r="F195" i="7"/>
  <c r="G195" i="7"/>
  <c r="F196" i="7"/>
  <c r="G196" i="7"/>
  <c r="H196" i="7"/>
  <c r="F197" i="7"/>
  <c r="G197" i="7"/>
  <c r="H197" i="7"/>
  <c r="F198" i="7"/>
  <c r="G198" i="7"/>
  <c r="H198" i="7"/>
  <c r="F199" i="7"/>
  <c r="G199" i="7"/>
  <c r="H199" i="7"/>
  <c r="F200" i="7"/>
  <c r="G200" i="7"/>
  <c r="H200" i="7"/>
  <c r="F201" i="7"/>
  <c r="G201" i="7"/>
  <c r="H201" i="7"/>
  <c r="F202" i="7"/>
  <c r="G202" i="7"/>
  <c r="H202" i="7"/>
  <c r="F203" i="7"/>
  <c r="G203" i="7"/>
  <c r="H203" i="7"/>
  <c r="F204" i="7"/>
  <c r="G204" i="7"/>
  <c r="H204" i="7"/>
  <c r="F205" i="7"/>
  <c r="G205" i="7"/>
  <c r="H205" i="7"/>
  <c r="F206" i="7"/>
  <c r="G206" i="7"/>
  <c r="F207" i="7"/>
  <c r="G207" i="7"/>
  <c r="H207" i="7"/>
  <c r="F208" i="7"/>
  <c r="G208" i="7"/>
  <c r="H208" i="7"/>
  <c r="F209" i="7"/>
  <c r="G209" i="7"/>
  <c r="F210" i="7"/>
  <c r="G210" i="7"/>
  <c r="F211" i="7"/>
  <c r="G211" i="7"/>
  <c r="F212" i="7"/>
  <c r="G212" i="7"/>
  <c r="H212" i="7"/>
  <c r="F213" i="7"/>
  <c r="G213" i="7"/>
  <c r="H213" i="7"/>
  <c r="F214" i="7"/>
  <c r="G214" i="7"/>
  <c r="H214" i="7"/>
  <c r="F215" i="7"/>
  <c r="G215" i="7"/>
  <c r="H215" i="7"/>
  <c r="F216" i="7"/>
  <c r="G216" i="7"/>
  <c r="H216" i="7"/>
  <c r="F217" i="7"/>
  <c r="G217" i="7"/>
  <c r="H217" i="7"/>
  <c r="F218" i="7"/>
  <c r="G218" i="7"/>
  <c r="H218" i="7"/>
  <c r="F219" i="7"/>
  <c r="G219" i="7"/>
  <c r="H219" i="7"/>
  <c r="F220" i="7"/>
  <c r="G220" i="7"/>
  <c r="H220" i="7"/>
  <c r="F221" i="7"/>
  <c r="G221" i="7"/>
  <c r="H221" i="7"/>
  <c r="F222" i="7"/>
  <c r="G222" i="7"/>
  <c r="F223" i="7"/>
  <c r="G223" i="7"/>
  <c r="H223" i="7"/>
  <c r="F224" i="7"/>
  <c r="G224" i="7"/>
  <c r="H224" i="7"/>
  <c r="F225" i="7"/>
  <c r="G225" i="7"/>
  <c r="F226" i="7"/>
  <c r="G226" i="7"/>
  <c r="F227" i="7"/>
  <c r="G227" i="7"/>
  <c r="F228" i="7"/>
  <c r="G228" i="7"/>
  <c r="H228" i="7"/>
  <c r="F229" i="7"/>
  <c r="G229" i="7"/>
  <c r="H229" i="7"/>
  <c r="F230" i="7"/>
  <c r="G230" i="7"/>
  <c r="H230" i="7"/>
  <c r="F231" i="7"/>
  <c r="G231" i="7"/>
  <c r="H231" i="7"/>
  <c r="F232" i="7"/>
  <c r="G232" i="7"/>
  <c r="H232" i="7"/>
  <c r="F233" i="7"/>
  <c r="G233" i="7"/>
  <c r="H233" i="7"/>
  <c r="F234" i="7"/>
  <c r="G234" i="7"/>
  <c r="H234" i="7"/>
  <c r="F235" i="7"/>
  <c r="G235" i="7"/>
  <c r="H235" i="7"/>
  <c r="F236" i="7"/>
  <c r="G236" i="7"/>
  <c r="H236" i="7"/>
  <c r="F237" i="7"/>
  <c r="G237" i="7"/>
  <c r="H237" i="7"/>
  <c r="F238" i="7"/>
  <c r="G238" i="7"/>
  <c r="F239" i="7"/>
  <c r="G239" i="7"/>
  <c r="H239" i="7"/>
  <c r="F240" i="7"/>
  <c r="G240" i="7"/>
  <c r="F241" i="7"/>
  <c r="G241" i="7"/>
  <c r="F242" i="7"/>
  <c r="G242" i="7"/>
  <c r="F243" i="7"/>
  <c r="G243" i="7"/>
  <c r="H243" i="7"/>
  <c r="F244" i="7"/>
  <c r="G244" i="7"/>
  <c r="H244" i="7"/>
  <c r="F245" i="7"/>
  <c r="G245" i="7"/>
  <c r="H245" i="7"/>
  <c r="F246" i="7"/>
  <c r="G246" i="7"/>
  <c r="H246" i="7"/>
  <c r="F247" i="7"/>
  <c r="G247" i="7"/>
  <c r="H247" i="7"/>
  <c r="F248" i="7"/>
  <c r="G248" i="7"/>
  <c r="H248" i="7"/>
  <c r="F249" i="7"/>
  <c r="G249" i="7"/>
  <c r="H249" i="7"/>
  <c r="F250" i="7"/>
  <c r="G250" i="7"/>
  <c r="H250" i="7"/>
  <c r="F251" i="7"/>
  <c r="G251" i="7"/>
  <c r="H251" i="7"/>
  <c r="F252" i="7"/>
  <c r="G252" i="7"/>
  <c r="H252" i="7"/>
  <c r="F253" i="7"/>
  <c r="G253" i="7"/>
  <c r="H253" i="7"/>
  <c r="F254" i="7"/>
  <c r="G254" i="7"/>
  <c r="F255" i="7"/>
  <c r="G255" i="7"/>
  <c r="H255" i="7"/>
  <c r="F256" i="7"/>
  <c r="G256" i="7"/>
  <c r="F257" i="7"/>
  <c r="G257" i="7"/>
  <c r="F258" i="7"/>
  <c r="G258" i="7"/>
  <c r="F259" i="7"/>
  <c r="G259" i="7"/>
  <c r="F260" i="7"/>
  <c r="G260" i="7"/>
  <c r="H260" i="7"/>
  <c r="F261" i="7"/>
  <c r="G261" i="7"/>
  <c r="H261" i="7"/>
  <c r="F262" i="7"/>
  <c r="G262" i="7"/>
  <c r="H262" i="7"/>
  <c r="F263" i="7"/>
  <c r="G263" i="7"/>
  <c r="H263" i="7"/>
  <c r="E188" i="7"/>
  <c r="E189" i="7"/>
  <c r="E190" i="7"/>
  <c r="E191" i="7"/>
  <c r="E192" i="7"/>
  <c r="E193" i="7"/>
  <c r="E194" i="7"/>
  <c r="E195" i="7"/>
  <c r="E196" i="7"/>
  <c r="E197" i="7"/>
  <c r="E198" i="7"/>
  <c r="E199" i="7"/>
  <c r="E200" i="7"/>
  <c r="E201" i="7"/>
  <c r="E202" i="7"/>
  <c r="E203" i="7"/>
  <c r="E204" i="7"/>
  <c r="E205" i="7"/>
  <c r="E206" i="7"/>
  <c r="E207" i="7"/>
  <c r="E208" i="7"/>
  <c r="E209" i="7"/>
  <c r="E210" i="7"/>
  <c r="E211" i="7"/>
  <c r="E212" i="7"/>
  <c r="E213" i="7"/>
  <c r="E214" i="7"/>
  <c r="E215" i="7"/>
  <c r="E216" i="7"/>
  <c r="E217" i="7"/>
  <c r="E218" i="7"/>
  <c r="E219" i="7"/>
  <c r="E220" i="7"/>
  <c r="E221" i="7"/>
  <c r="E222" i="7"/>
  <c r="E223" i="7"/>
  <c r="E224" i="7"/>
  <c r="E225" i="7"/>
  <c r="E226" i="7"/>
  <c r="E227" i="7"/>
  <c r="E228" i="7"/>
  <c r="E229" i="7"/>
  <c r="E230" i="7"/>
  <c r="E231" i="7"/>
  <c r="E232" i="7"/>
  <c r="E233" i="7"/>
  <c r="I233" i="7" s="1"/>
  <c r="E234" i="7"/>
  <c r="E235" i="7"/>
  <c r="E236" i="7"/>
  <c r="E237" i="7"/>
  <c r="E238" i="7"/>
  <c r="E239" i="7"/>
  <c r="E240" i="7"/>
  <c r="E241" i="7"/>
  <c r="E242" i="7"/>
  <c r="E243" i="7"/>
  <c r="E244" i="7"/>
  <c r="E245" i="7"/>
  <c r="E246" i="7"/>
  <c r="E247" i="7"/>
  <c r="E248" i="7"/>
  <c r="E249" i="7"/>
  <c r="E250" i="7"/>
  <c r="E251" i="7"/>
  <c r="E252" i="7"/>
  <c r="E253" i="7"/>
  <c r="E254" i="7"/>
  <c r="E255" i="7"/>
  <c r="E256" i="7"/>
  <c r="E257" i="7"/>
  <c r="E258" i="7"/>
  <c r="E259" i="7"/>
  <c r="E260" i="7"/>
  <c r="E261" i="7"/>
  <c r="E262" i="7"/>
  <c r="E263" i="7"/>
  <c r="I236" i="7" l="1"/>
  <c r="I204" i="7"/>
  <c r="I231" i="7"/>
  <c r="I199" i="7"/>
  <c r="I252" i="7"/>
  <c r="I212" i="7"/>
  <c r="I217" i="7"/>
  <c r="I207" i="7"/>
  <c r="I253" i="7"/>
  <c r="I201" i="7"/>
  <c r="I215" i="7"/>
  <c r="I237" i="7"/>
  <c r="I263" i="7"/>
  <c r="I247" i="7"/>
  <c r="I196" i="7"/>
  <c r="I227" i="7"/>
  <c r="I211" i="7"/>
  <c r="I262" i="7"/>
  <c r="I223" i="7"/>
  <c r="J233" i="7" s="1"/>
  <c r="I251" i="7"/>
  <c r="I219" i="7"/>
  <c r="I190" i="7"/>
  <c r="I234" i="7"/>
  <c r="I250" i="7"/>
  <c r="I218" i="7"/>
  <c r="I260" i="7"/>
  <c r="J260" i="7" s="1"/>
  <c r="I249" i="7"/>
  <c r="I222" i="7"/>
  <c r="R5" i="4"/>
  <c r="R3" i="4"/>
  <c r="I230" i="7"/>
  <c r="I244" i="7"/>
  <c r="I261" i="7"/>
  <c r="I257" i="7"/>
  <c r="I241" i="7"/>
  <c r="I225" i="7"/>
  <c r="I209" i="7"/>
  <c r="I193" i="7"/>
  <c r="I255" i="7"/>
  <c r="I239" i="7"/>
  <c r="I254" i="7"/>
  <c r="I238" i="7"/>
  <c r="I206" i="7"/>
  <c r="I229" i="7"/>
  <c r="I228" i="7"/>
  <c r="I235" i="7"/>
  <c r="I203" i="7"/>
  <c r="I202" i="7"/>
  <c r="I192" i="7"/>
  <c r="I248" i="7"/>
  <c r="I205" i="7"/>
  <c r="I226" i="7"/>
  <c r="I213" i="7"/>
  <c r="I256" i="7"/>
  <c r="I243" i="7"/>
  <c r="J243" i="7" s="1"/>
  <c r="I200" i="7"/>
  <c r="I191" i="7"/>
  <c r="I208" i="7"/>
  <c r="I195" i="7"/>
  <c r="I246" i="7"/>
  <c r="J246" i="7" s="1"/>
  <c r="I242" i="7"/>
  <c r="J252" i="7" s="1"/>
  <c r="I221" i="7"/>
  <c r="I220" i="7"/>
  <c r="I259" i="7"/>
  <c r="I216" i="7"/>
  <c r="I198" i="7"/>
  <c r="I194" i="7"/>
  <c r="I224" i="7"/>
  <c r="I258" i="7"/>
  <c r="I245" i="7"/>
  <c r="I189" i="7"/>
  <c r="J199" i="7" s="1"/>
  <c r="I232" i="7"/>
  <c r="I188" i="7"/>
  <c r="I214" i="7"/>
  <c r="J214" i="7" s="1"/>
  <c r="I210" i="7"/>
  <c r="I197" i="7"/>
  <c r="I240" i="7"/>
  <c r="J227" i="7" l="1"/>
  <c r="J201" i="7"/>
  <c r="J217" i="7"/>
  <c r="J263" i="7"/>
  <c r="J222" i="7"/>
  <c r="J207" i="7"/>
  <c r="J212" i="7"/>
  <c r="J262" i="7"/>
  <c r="J211" i="7"/>
  <c r="J247" i="7"/>
  <c r="J237" i="7"/>
  <c r="J250" i="7"/>
  <c r="J219" i="7"/>
  <c r="J225" i="7"/>
  <c r="J198" i="7"/>
  <c r="J205" i="7"/>
  <c r="J257" i="7"/>
  <c r="J253" i="7"/>
  <c r="J221" i="7"/>
  <c r="J251" i="7"/>
  <c r="J249" i="7"/>
  <c r="J209" i="7"/>
  <c r="J208" i="7"/>
  <c r="J203" i="7"/>
  <c r="J235" i="7"/>
  <c r="J200" i="7"/>
  <c r="J228" i="7"/>
  <c r="J244" i="7"/>
  <c r="J229" i="7"/>
  <c r="J206" i="7"/>
  <c r="J240" i="7"/>
  <c r="J248" i="7"/>
  <c r="J238" i="7"/>
  <c r="J202" i="7"/>
  <c r="J254" i="7"/>
  <c r="J216" i="7"/>
  <c r="J259" i="7"/>
  <c r="J210" i="7"/>
  <c r="J230" i="7"/>
  <c r="J213" i="7"/>
  <c r="J218" i="7"/>
  <c r="J232" i="7"/>
  <c r="J261" i="7"/>
  <c r="J239" i="7"/>
  <c r="J245" i="7"/>
  <c r="J241" i="7"/>
  <c r="J231" i="7"/>
  <c r="J242" i="7"/>
  <c r="J224" i="7"/>
  <c r="J226" i="7"/>
  <c r="J220" i="7"/>
  <c r="J223" i="7"/>
  <c r="J255" i="7"/>
  <c r="J236" i="7"/>
  <c r="J215" i="7"/>
  <c r="J258" i="7"/>
  <c r="J234" i="7"/>
  <c r="J256" i="7"/>
  <c r="J204" i="7"/>
  <c r="F9" i="5" l="1"/>
  <c r="F8" i="5"/>
  <c r="F6" i="5"/>
  <c r="F7" i="5"/>
  <c r="F5" i="5"/>
  <c r="F3" i="5"/>
  <c r="F4" i="5"/>
  <c r="F2" i="5"/>
  <c r="G4" i="7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101" i="7"/>
  <c r="G102" i="7"/>
  <c r="G103" i="7"/>
  <c r="G104" i="7"/>
  <c r="G105" i="7"/>
  <c r="G106" i="7"/>
  <c r="G107" i="7"/>
  <c r="G108" i="7"/>
  <c r="G109" i="7"/>
  <c r="G110" i="7"/>
  <c r="G111" i="7"/>
  <c r="G112" i="7"/>
  <c r="G113" i="7"/>
  <c r="G114" i="7"/>
  <c r="G115" i="7"/>
  <c r="G116" i="7"/>
  <c r="G117" i="7"/>
  <c r="G118" i="7"/>
  <c r="G119" i="7"/>
  <c r="G120" i="7"/>
  <c r="G121" i="7"/>
  <c r="G122" i="7"/>
  <c r="G123" i="7"/>
  <c r="G124" i="7"/>
  <c r="G125" i="7"/>
  <c r="G126" i="7"/>
  <c r="G127" i="7"/>
  <c r="G128" i="7"/>
  <c r="G129" i="7"/>
  <c r="G130" i="7"/>
  <c r="G131" i="7"/>
  <c r="G132" i="7"/>
  <c r="G133" i="7"/>
  <c r="G134" i="7"/>
  <c r="G135" i="7"/>
  <c r="G136" i="7"/>
  <c r="G137" i="7"/>
  <c r="G138" i="7"/>
  <c r="G139" i="7"/>
  <c r="G140" i="7"/>
  <c r="G141" i="7"/>
  <c r="G142" i="7"/>
  <c r="G143" i="7"/>
  <c r="G144" i="7"/>
  <c r="G145" i="7"/>
  <c r="G146" i="7"/>
  <c r="G147" i="7"/>
  <c r="G148" i="7"/>
  <c r="G149" i="7"/>
  <c r="G150" i="7"/>
  <c r="G151" i="7"/>
  <c r="G152" i="7"/>
  <c r="G153" i="7"/>
  <c r="G154" i="7"/>
  <c r="G155" i="7"/>
  <c r="G156" i="7"/>
  <c r="G157" i="7"/>
  <c r="G158" i="7"/>
  <c r="G159" i="7"/>
  <c r="G160" i="7"/>
  <c r="G161" i="7"/>
  <c r="G162" i="7"/>
  <c r="G163" i="7"/>
  <c r="G164" i="7"/>
  <c r="G165" i="7"/>
  <c r="G166" i="7"/>
  <c r="G167" i="7"/>
  <c r="G168" i="7"/>
  <c r="G169" i="7"/>
  <c r="G170" i="7"/>
  <c r="G171" i="7"/>
  <c r="G172" i="7"/>
  <c r="G173" i="7"/>
  <c r="G174" i="7"/>
  <c r="G175" i="7"/>
  <c r="G176" i="7"/>
  <c r="G177" i="7"/>
  <c r="G178" i="7"/>
  <c r="G179" i="7"/>
  <c r="G180" i="7"/>
  <c r="G181" i="7"/>
  <c r="G182" i="7"/>
  <c r="G183" i="7"/>
  <c r="G184" i="7"/>
  <c r="G185" i="7"/>
  <c r="G186" i="7"/>
  <c r="G187" i="7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62" i="7"/>
  <c r="E63" i="7"/>
  <c r="E64" i="7"/>
  <c r="E65" i="7"/>
  <c r="E66" i="7"/>
  <c r="E67" i="7"/>
  <c r="E68" i="7"/>
  <c r="E69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E92" i="7"/>
  <c r="E93" i="7"/>
  <c r="E94" i="7"/>
  <c r="E95" i="7"/>
  <c r="E96" i="7"/>
  <c r="E97" i="7"/>
  <c r="E98" i="7"/>
  <c r="E99" i="7"/>
  <c r="E100" i="7"/>
  <c r="E101" i="7"/>
  <c r="E102" i="7"/>
  <c r="E103" i="7"/>
  <c r="E104" i="7"/>
  <c r="E105" i="7"/>
  <c r="E106" i="7"/>
  <c r="E107" i="7"/>
  <c r="E108" i="7"/>
  <c r="E109" i="7"/>
  <c r="E110" i="7"/>
  <c r="E111" i="7"/>
  <c r="E112" i="7"/>
  <c r="E113" i="7"/>
  <c r="E114" i="7"/>
  <c r="E115" i="7"/>
  <c r="E116" i="7"/>
  <c r="E117" i="7"/>
  <c r="E118" i="7"/>
  <c r="E119" i="7"/>
  <c r="E120" i="7"/>
  <c r="E121" i="7"/>
  <c r="E122" i="7"/>
  <c r="E123" i="7"/>
  <c r="E124" i="7"/>
  <c r="E125" i="7"/>
  <c r="E126" i="7"/>
  <c r="E127" i="7"/>
  <c r="E128" i="7"/>
  <c r="E129" i="7"/>
  <c r="E130" i="7"/>
  <c r="E131" i="7"/>
  <c r="E132" i="7"/>
  <c r="E133" i="7"/>
  <c r="E134" i="7"/>
  <c r="E135" i="7"/>
  <c r="E136" i="7"/>
  <c r="E137" i="7"/>
  <c r="E138" i="7"/>
  <c r="E139" i="7"/>
  <c r="E140" i="7"/>
  <c r="E141" i="7"/>
  <c r="E142" i="7"/>
  <c r="E143" i="7"/>
  <c r="E144" i="7"/>
  <c r="E145" i="7"/>
  <c r="E146" i="7"/>
  <c r="E147" i="7"/>
  <c r="E148" i="7"/>
  <c r="E149" i="7"/>
  <c r="E150" i="7"/>
  <c r="E151" i="7"/>
  <c r="E152" i="7"/>
  <c r="E153" i="7"/>
  <c r="E154" i="7"/>
  <c r="E155" i="7"/>
  <c r="E156" i="7"/>
  <c r="E157" i="7"/>
  <c r="E158" i="7"/>
  <c r="E159" i="7"/>
  <c r="E160" i="7"/>
  <c r="E161" i="7"/>
  <c r="E162" i="7"/>
  <c r="E163" i="7"/>
  <c r="E164" i="7"/>
  <c r="E165" i="7"/>
  <c r="E166" i="7"/>
  <c r="E167" i="7"/>
  <c r="E168" i="7"/>
  <c r="E169" i="7"/>
  <c r="E170" i="7"/>
  <c r="E171" i="7"/>
  <c r="E172" i="7"/>
  <c r="E173" i="7"/>
  <c r="E174" i="7"/>
  <c r="E175" i="7"/>
  <c r="E176" i="7"/>
  <c r="E177" i="7"/>
  <c r="E178" i="7"/>
  <c r="E179" i="7"/>
  <c r="E180" i="7"/>
  <c r="E181" i="7"/>
  <c r="E182" i="7"/>
  <c r="E183" i="7"/>
  <c r="E184" i="7"/>
  <c r="E185" i="7"/>
  <c r="E186" i="7"/>
  <c r="E187" i="7"/>
  <c r="E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151" i="7"/>
  <c r="H152" i="7"/>
  <c r="H153" i="7"/>
  <c r="H154" i="7"/>
  <c r="H155" i="7"/>
  <c r="H156" i="7"/>
  <c r="H157" i="7"/>
  <c r="H158" i="7"/>
  <c r="H159" i="7"/>
  <c r="H160" i="7"/>
  <c r="H161" i="7"/>
  <c r="H162" i="7"/>
  <c r="H163" i="7"/>
  <c r="H164" i="7"/>
  <c r="H165" i="7"/>
  <c r="H166" i="7"/>
  <c r="H167" i="7"/>
  <c r="H168" i="7"/>
  <c r="H169" i="7"/>
  <c r="H170" i="7"/>
  <c r="H171" i="7"/>
  <c r="H172" i="7"/>
  <c r="H173" i="7"/>
  <c r="H174" i="7"/>
  <c r="H175" i="7"/>
  <c r="H176" i="7"/>
  <c r="H177" i="7"/>
  <c r="H178" i="7"/>
  <c r="H179" i="7"/>
  <c r="H180" i="7"/>
  <c r="H181" i="7"/>
  <c r="H182" i="7"/>
  <c r="H183" i="7"/>
  <c r="H184" i="7"/>
  <c r="H185" i="7"/>
  <c r="H186" i="7"/>
  <c r="H187" i="7"/>
  <c r="H3" i="7"/>
  <c r="G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56" i="7"/>
  <c r="F57" i="7"/>
  <c r="F58" i="7"/>
  <c r="F59" i="7"/>
  <c r="F60" i="7"/>
  <c r="F61" i="7"/>
  <c r="F62" i="7"/>
  <c r="F63" i="7"/>
  <c r="F64" i="7"/>
  <c r="F65" i="7"/>
  <c r="F66" i="7"/>
  <c r="F67" i="7"/>
  <c r="F68" i="7"/>
  <c r="F69" i="7"/>
  <c r="F70" i="7"/>
  <c r="F71" i="7"/>
  <c r="F72" i="7"/>
  <c r="F73" i="7"/>
  <c r="F74" i="7"/>
  <c r="F75" i="7"/>
  <c r="F76" i="7"/>
  <c r="F77" i="7"/>
  <c r="F78" i="7"/>
  <c r="F79" i="7"/>
  <c r="F80" i="7"/>
  <c r="F81" i="7"/>
  <c r="F82" i="7"/>
  <c r="F83" i="7"/>
  <c r="F84" i="7"/>
  <c r="F85" i="7"/>
  <c r="F86" i="7"/>
  <c r="F87" i="7"/>
  <c r="F88" i="7"/>
  <c r="F89" i="7"/>
  <c r="F90" i="7"/>
  <c r="F91" i="7"/>
  <c r="F92" i="7"/>
  <c r="F93" i="7"/>
  <c r="F94" i="7"/>
  <c r="F95" i="7"/>
  <c r="F96" i="7"/>
  <c r="F97" i="7"/>
  <c r="F98" i="7"/>
  <c r="F99" i="7"/>
  <c r="F100" i="7"/>
  <c r="F101" i="7"/>
  <c r="F102" i="7"/>
  <c r="F103" i="7"/>
  <c r="F104" i="7"/>
  <c r="F105" i="7"/>
  <c r="F106" i="7"/>
  <c r="F107" i="7"/>
  <c r="F108" i="7"/>
  <c r="F109" i="7"/>
  <c r="F110" i="7"/>
  <c r="F111" i="7"/>
  <c r="F112" i="7"/>
  <c r="F113" i="7"/>
  <c r="F114" i="7"/>
  <c r="F115" i="7"/>
  <c r="F116" i="7"/>
  <c r="F117" i="7"/>
  <c r="F118" i="7"/>
  <c r="F119" i="7"/>
  <c r="F120" i="7"/>
  <c r="F121" i="7"/>
  <c r="F122" i="7"/>
  <c r="F123" i="7"/>
  <c r="F124" i="7"/>
  <c r="F125" i="7"/>
  <c r="F126" i="7"/>
  <c r="F127" i="7"/>
  <c r="F128" i="7"/>
  <c r="F129" i="7"/>
  <c r="F130" i="7"/>
  <c r="F131" i="7"/>
  <c r="F132" i="7"/>
  <c r="F133" i="7"/>
  <c r="F134" i="7"/>
  <c r="F135" i="7"/>
  <c r="F136" i="7"/>
  <c r="F137" i="7"/>
  <c r="F138" i="7"/>
  <c r="F139" i="7"/>
  <c r="F140" i="7"/>
  <c r="F141" i="7"/>
  <c r="F142" i="7"/>
  <c r="F143" i="7"/>
  <c r="F144" i="7"/>
  <c r="F145" i="7"/>
  <c r="F146" i="7"/>
  <c r="F147" i="7"/>
  <c r="F148" i="7"/>
  <c r="F149" i="7"/>
  <c r="F150" i="7"/>
  <c r="F151" i="7"/>
  <c r="F152" i="7"/>
  <c r="F153" i="7"/>
  <c r="F154" i="7"/>
  <c r="F155" i="7"/>
  <c r="F156" i="7"/>
  <c r="F157" i="7"/>
  <c r="F158" i="7"/>
  <c r="F159" i="7"/>
  <c r="F160" i="7"/>
  <c r="F161" i="7"/>
  <c r="F162" i="7"/>
  <c r="F163" i="7"/>
  <c r="F164" i="7"/>
  <c r="F165" i="7"/>
  <c r="F166" i="7"/>
  <c r="F167" i="7"/>
  <c r="F168" i="7"/>
  <c r="F169" i="7"/>
  <c r="F170" i="7"/>
  <c r="F171" i="7"/>
  <c r="F172" i="7"/>
  <c r="F173" i="7"/>
  <c r="F174" i="7"/>
  <c r="F175" i="7"/>
  <c r="F176" i="7"/>
  <c r="F177" i="7"/>
  <c r="F178" i="7"/>
  <c r="F179" i="7"/>
  <c r="F180" i="7"/>
  <c r="F181" i="7"/>
  <c r="F182" i="7"/>
  <c r="F183" i="7"/>
  <c r="F184" i="7"/>
  <c r="F185" i="7"/>
  <c r="F186" i="7"/>
  <c r="F187" i="7"/>
  <c r="F3" i="7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91" i="7"/>
  <c r="D92" i="7"/>
  <c r="D93" i="7"/>
  <c r="D94" i="7"/>
  <c r="D95" i="7"/>
  <c r="D96" i="7"/>
  <c r="D97" i="7"/>
  <c r="D98" i="7"/>
  <c r="D99" i="7"/>
  <c r="D100" i="7"/>
  <c r="D101" i="7"/>
  <c r="D102" i="7"/>
  <c r="D103" i="7"/>
  <c r="D104" i="7"/>
  <c r="D105" i="7"/>
  <c r="D106" i="7"/>
  <c r="D107" i="7"/>
  <c r="D108" i="7"/>
  <c r="D109" i="7"/>
  <c r="D110" i="7"/>
  <c r="D111" i="7"/>
  <c r="D112" i="7"/>
  <c r="D113" i="7"/>
  <c r="D114" i="7"/>
  <c r="D115" i="7"/>
  <c r="D116" i="7"/>
  <c r="D117" i="7"/>
  <c r="D118" i="7"/>
  <c r="D119" i="7"/>
  <c r="D120" i="7"/>
  <c r="D121" i="7"/>
  <c r="D122" i="7"/>
  <c r="D123" i="7"/>
  <c r="D124" i="7"/>
  <c r="D125" i="7"/>
  <c r="D126" i="7"/>
  <c r="D127" i="7"/>
  <c r="D128" i="7"/>
  <c r="D129" i="7"/>
  <c r="D130" i="7"/>
  <c r="D131" i="7"/>
  <c r="D132" i="7"/>
  <c r="D133" i="7"/>
  <c r="D134" i="7"/>
  <c r="D135" i="7"/>
  <c r="D136" i="7"/>
  <c r="D137" i="7"/>
  <c r="D138" i="7"/>
  <c r="D139" i="7"/>
  <c r="D140" i="7"/>
  <c r="D141" i="7"/>
  <c r="D142" i="7"/>
  <c r="D143" i="7"/>
  <c r="D144" i="7"/>
  <c r="D145" i="7"/>
  <c r="D146" i="7"/>
  <c r="D147" i="7"/>
  <c r="D148" i="7"/>
  <c r="D149" i="7"/>
  <c r="D150" i="7"/>
  <c r="D151" i="7"/>
  <c r="D152" i="7"/>
  <c r="D153" i="7"/>
  <c r="D154" i="7"/>
  <c r="D155" i="7"/>
  <c r="D156" i="7"/>
  <c r="D157" i="7"/>
  <c r="D158" i="7"/>
  <c r="D159" i="7"/>
  <c r="D160" i="7"/>
  <c r="D161" i="7"/>
  <c r="D162" i="7"/>
  <c r="D163" i="7"/>
  <c r="D164" i="7"/>
  <c r="D165" i="7"/>
  <c r="D166" i="7"/>
  <c r="D167" i="7"/>
  <c r="D168" i="7"/>
  <c r="D169" i="7"/>
  <c r="D170" i="7"/>
  <c r="D171" i="7"/>
  <c r="D172" i="7"/>
  <c r="D173" i="7"/>
  <c r="D174" i="7"/>
  <c r="D175" i="7"/>
  <c r="D176" i="7"/>
  <c r="D177" i="7"/>
  <c r="D178" i="7"/>
  <c r="D179" i="7"/>
  <c r="D180" i="7"/>
  <c r="D181" i="7"/>
  <c r="D182" i="7"/>
  <c r="D183" i="7"/>
  <c r="D184" i="7"/>
  <c r="D185" i="7"/>
  <c r="D186" i="7"/>
  <c r="D187" i="7"/>
  <c r="D3" i="7"/>
  <c r="B4" i="7"/>
  <c r="B5" i="7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41" i="7"/>
  <c r="B42" i="7"/>
  <c r="B43" i="7"/>
  <c r="B44" i="7"/>
  <c r="B45" i="7"/>
  <c r="B46" i="7"/>
  <c r="B47" i="7"/>
  <c r="B48" i="7"/>
  <c r="B49" i="7"/>
  <c r="B50" i="7"/>
  <c r="B51" i="7"/>
  <c r="B52" i="7"/>
  <c r="B53" i="7"/>
  <c r="B54" i="7"/>
  <c r="B55" i="7"/>
  <c r="B56" i="7"/>
  <c r="B57" i="7"/>
  <c r="B58" i="7"/>
  <c r="B59" i="7"/>
  <c r="B60" i="7"/>
  <c r="B61" i="7"/>
  <c r="B62" i="7"/>
  <c r="B63" i="7"/>
  <c r="B64" i="7"/>
  <c r="B65" i="7"/>
  <c r="B66" i="7"/>
  <c r="B67" i="7"/>
  <c r="B68" i="7"/>
  <c r="B69" i="7"/>
  <c r="B70" i="7"/>
  <c r="B71" i="7"/>
  <c r="B72" i="7"/>
  <c r="B73" i="7"/>
  <c r="B74" i="7"/>
  <c r="B75" i="7"/>
  <c r="B76" i="7"/>
  <c r="B77" i="7"/>
  <c r="B78" i="7"/>
  <c r="B79" i="7"/>
  <c r="B80" i="7"/>
  <c r="B81" i="7"/>
  <c r="B82" i="7"/>
  <c r="B83" i="7"/>
  <c r="B84" i="7"/>
  <c r="B85" i="7"/>
  <c r="B86" i="7"/>
  <c r="B87" i="7"/>
  <c r="B88" i="7"/>
  <c r="B89" i="7"/>
  <c r="B90" i="7"/>
  <c r="B91" i="7"/>
  <c r="B92" i="7"/>
  <c r="B93" i="7"/>
  <c r="B94" i="7"/>
  <c r="B95" i="7"/>
  <c r="B96" i="7"/>
  <c r="B97" i="7"/>
  <c r="B98" i="7"/>
  <c r="B99" i="7"/>
  <c r="B100" i="7"/>
  <c r="B101" i="7"/>
  <c r="B102" i="7"/>
  <c r="B103" i="7"/>
  <c r="B104" i="7"/>
  <c r="B105" i="7"/>
  <c r="B106" i="7"/>
  <c r="B107" i="7"/>
  <c r="B108" i="7"/>
  <c r="B109" i="7"/>
  <c r="B110" i="7"/>
  <c r="B111" i="7"/>
  <c r="B112" i="7"/>
  <c r="B113" i="7"/>
  <c r="B114" i="7"/>
  <c r="B115" i="7"/>
  <c r="B116" i="7"/>
  <c r="B117" i="7"/>
  <c r="B118" i="7"/>
  <c r="B119" i="7"/>
  <c r="B120" i="7"/>
  <c r="B121" i="7"/>
  <c r="B122" i="7"/>
  <c r="B123" i="7"/>
  <c r="B124" i="7"/>
  <c r="B125" i="7"/>
  <c r="B126" i="7"/>
  <c r="B127" i="7"/>
  <c r="B128" i="7"/>
  <c r="B129" i="7"/>
  <c r="B130" i="7"/>
  <c r="B131" i="7"/>
  <c r="B132" i="7"/>
  <c r="B133" i="7"/>
  <c r="B134" i="7"/>
  <c r="B135" i="7"/>
  <c r="B136" i="7"/>
  <c r="B137" i="7"/>
  <c r="B138" i="7"/>
  <c r="B139" i="7"/>
  <c r="B140" i="7"/>
  <c r="B141" i="7"/>
  <c r="B142" i="7"/>
  <c r="B143" i="7"/>
  <c r="B144" i="7"/>
  <c r="B145" i="7"/>
  <c r="B146" i="7"/>
  <c r="B147" i="7"/>
  <c r="B148" i="7"/>
  <c r="B149" i="7"/>
  <c r="B150" i="7"/>
  <c r="B151" i="7"/>
  <c r="B152" i="7"/>
  <c r="B153" i="7"/>
  <c r="B154" i="7"/>
  <c r="B155" i="7"/>
  <c r="B156" i="7"/>
  <c r="B157" i="7"/>
  <c r="B158" i="7"/>
  <c r="B159" i="7"/>
  <c r="B160" i="7"/>
  <c r="B161" i="7"/>
  <c r="B162" i="7"/>
  <c r="B163" i="7"/>
  <c r="B164" i="7"/>
  <c r="B165" i="7"/>
  <c r="B166" i="7"/>
  <c r="B167" i="7"/>
  <c r="B168" i="7"/>
  <c r="B169" i="7"/>
  <c r="B170" i="7"/>
  <c r="B171" i="7"/>
  <c r="B172" i="7"/>
  <c r="B173" i="7"/>
  <c r="B174" i="7"/>
  <c r="B175" i="7"/>
  <c r="B176" i="7"/>
  <c r="B177" i="7"/>
  <c r="B178" i="7"/>
  <c r="B179" i="7"/>
  <c r="B180" i="7"/>
  <c r="B181" i="7"/>
  <c r="B182" i="7"/>
  <c r="B183" i="7"/>
  <c r="B184" i="7"/>
  <c r="B185" i="7"/>
  <c r="B186" i="7"/>
  <c r="B187" i="7"/>
  <c r="B3" i="7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89" i="7"/>
  <c r="C90" i="7"/>
  <c r="C91" i="7"/>
  <c r="C92" i="7"/>
  <c r="C93" i="7"/>
  <c r="C94" i="7"/>
  <c r="C95" i="7"/>
  <c r="C96" i="7"/>
  <c r="C97" i="7"/>
  <c r="C98" i="7"/>
  <c r="C99" i="7"/>
  <c r="C100" i="7"/>
  <c r="C101" i="7"/>
  <c r="C102" i="7"/>
  <c r="C103" i="7"/>
  <c r="C104" i="7"/>
  <c r="C105" i="7"/>
  <c r="C106" i="7"/>
  <c r="C107" i="7"/>
  <c r="C108" i="7"/>
  <c r="C109" i="7"/>
  <c r="C110" i="7"/>
  <c r="C111" i="7"/>
  <c r="C112" i="7"/>
  <c r="C113" i="7"/>
  <c r="C114" i="7"/>
  <c r="C115" i="7"/>
  <c r="C116" i="7"/>
  <c r="C117" i="7"/>
  <c r="C118" i="7"/>
  <c r="C119" i="7"/>
  <c r="C120" i="7"/>
  <c r="C121" i="7"/>
  <c r="C122" i="7"/>
  <c r="C123" i="7"/>
  <c r="C124" i="7"/>
  <c r="C125" i="7"/>
  <c r="C126" i="7"/>
  <c r="C127" i="7"/>
  <c r="C128" i="7"/>
  <c r="C129" i="7"/>
  <c r="C130" i="7"/>
  <c r="C131" i="7"/>
  <c r="C132" i="7"/>
  <c r="C133" i="7"/>
  <c r="C134" i="7"/>
  <c r="C135" i="7"/>
  <c r="C136" i="7"/>
  <c r="C137" i="7"/>
  <c r="C138" i="7"/>
  <c r="C139" i="7"/>
  <c r="C140" i="7"/>
  <c r="C141" i="7"/>
  <c r="C142" i="7"/>
  <c r="C143" i="7"/>
  <c r="C144" i="7"/>
  <c r="C145" i="7"/>
  <c r="C146" i="7"/>
  <c r="C147" i="7"/>
  <c r="C148" i="7"/>
  <c r="C149" i="7"/>
  <c r="C150" i="7"/>
  <c r="C151" i="7"/>
  <c r="C152" i="7"/>
  <c r="C153" i="7"/>
  <c r="C154" i="7"/>
  <c r="C155" i="7"/>
  <c r="C156" i="7"/>
  <c r="C157" i="7"/>
  <c r="C158" i="7"/>
  <c r="C159" i="7"/>
  <c r="C160" i="7"/>
  <c r="C161" i="7"/>
  <c r="C162" i="7"/>
  <c r="C163" i="7"/>
  <c r="C164" i="7"/>
  <c r="C165" i="7"/>
  <c r="C166" i="7"/>
  <c r="C167" i="7"/>
  <c r="C168" i="7"/>
  <c r="C169" i="7"/>
  <c r="C170" i="7"/>
  <c r="C171" i="7"/>
  <c r="C172" i="7"/>
  <c r="C173" i="7"/>
  <c r="C174" i="7"/>
  <c r="C175" i="7"/>
  <c r="C176" i="7"/>
  <c r="C177" i="7"/>
  <c r="C178" i="7"/>
  <c r="C179" i="7"/>
  <c r="C180" i="7"/>
  <c r="C181" i="7"/>
  <c r="C182" i="7"/>
  <c r="C183" i="7"/>
  <c r="C184" i="7"/>
  <c r="C185" i="7"/>
  <c r="C186" i="7"/>
  <c r="C187" i="7"/>
  <c r="C3" i="7"/>
  <c r="I115" i="7" l="1"/>
  <c r="I56" i="7"/>
  <c r="I179" i="7"/>
  <c r="J189" i="7" s="1"/>
  <c r="I163" i="7"/>
  <c r="I147" i="7"/>
  <c r="I131" i="7"/>
  <c r="I99" i="7"/>
  <c r="I67" i="7"/>
  <c r="I51" i="7"/>
  <c r="I35" i="7"/>
  <c r="I19" i="7"/>
  <c r="I130" i="7"/>
  <c r="I177" i="7"/>
  <c r="I161" i="7"/>
  <c r="I145" i="7"/>
  <c r="I129" i="7"/>
  <c r="I113" i="7"/>
  <c r="I97" i="7"/>
  <c r="I81" i="7"/>
  <c r="I187" i="7"/>
  <c r="J197" i="7" s="1"/>
  <c r="I171" i="7"/>
  <c r="I155" i="7"/>
  <c r="I139" i="7"/>
  <c r="I123" i="7"/>
  <c r="I107" i="7"/>
  <c r="I91" i="7"/>
  <c r="I75" i="7"/>
  <c r="I59" i="7"/>
  <c r="I43" i="7"/>
  <c r="I27" i="7"/>
  <c r="I11" i="7"/>
  <c r="I185" i="7"/>
  <c r="J195" i="7" s="1"/>
  <c r="I169" i="7"/>
  <c r="I153" i="7"/>
  <c r="I137" i="7"/>
  <c r="I121" i="7"/>
  <c r="I105" i="7"/>
  <c r="I89" i="7"/>
  <c r="I73" i="7"/>
  <c r="I57" i="7"/>
  <c r="I41" i="7"/>
  <c r="I25" i="7"/>
  <c r="I9" i="7"/>
  <c r="I83" i="7"/>
  <c r="I174" i="7"/>
  <c r="I158" i="7"/>
  <c r="I142" i="7"/>
  <c r="I126" i="7"/>
  <c r="I110" i="7"/>
  <c r="I94" i="7"/>
  <c r="I78" i="7"/>
  <c r="I62" i="7"/>
  <c r="I46" i="7"/>
  <c r="I30" i="7"/>
  <c r="I14" i="7"/>
  <c r="I162" i="7"/>
  <c r="I173" i="7"/>
  <c r="I157" i="7"/>
  <c r="I141" i="7"/>
  <c r="I125" i="7"/>
  <c r="I109" i="7"/>
  <c r="I93" i="7"/>
  <c r="I77" i="7"/>
  <c r="I61" i="7"/>
  <c r="I45" i="7"/>
  <c r="I29" i="7"/>
  <c r="I13" i="7"/>
  <c r="I178" i="7"/>
  <c r="J188" i="7" s="1"/>
  <c r="I3" i="7"/>
  <c r="I172" i="7"/>
  <c r="I156" i="7"/>
  <c r="I140" i="7"/>
  <c r="I124" i="7"/>
  <c r="I108" i="7"/>
  <c r="I92" i="7"/>
  <c r="I76" i="7"/>
  <c r="I60" i="7"/>
  <c r="I44" i="7"/>
  <c r="I28" i="7"/>
  <c r="I12" i="7"/>
  <c r="I186" i="7"/>
  <c r="J196" i="7" s="1"/>
  <c r="I170" i="7"/>
  <c r="I154" i="7"/>
  <c r="I138" i="7"/>
  <c r="I122" i="7"/>
  <c r="I106" i="7"/>
  <c r="I90" i="7"/>
  <c r="I74" i="7"/>
  <c r="I58" i="7"/>
  <c r="I42" i="7"/>
  <c r="I26" i="7"/>
  <c r="I10" i="7"/>
  <c r="I40" i="7"/>
  <c r="I24" i="7"/>
  <c r="I8" i="7"/>
  <c r="I152" i="7"/>
  <c r="I120" i="7"/>
  <c r="J120" i="7" s="1"/>
  <c r="I72" i="7"/>
  <c r="I183" i="7"/>
  <c r="J193" i="7" s="1"/>
  <c r="I167" i="7"/>
  <c r="I151" i="7"/>
  <c r="I135" i="7"/>
  <c r="I119" i="7"/>
  <c r="I103" i="7"/>
  <c r="I87" i="7"/>
  <c r="I71" i="7"/>
  <c r="I55" i="7"/>
  <c r="I39" i="7"/>
  <c r="I23" i="7"/>
  <c r="I7" i="7"/>
  <c r="I168" i="7"/>
  <c r="I136" i="7"/>
  <c r="I88" i="7"/>
  <c r="I182" i="7"/>
  <c r="J192" i="7" s="1"/>
  <c r="I166" i="7"/>
  <c r="I150" i="7"/>
  <c r="I134" i="7"/>
  <c r="I118" i="7"/>
  <c r="I102" i="7"/>
  <c r="I86" i="7"/>
  <c r="I70" i="7"/>
  <c r="I54" i="7"/>
  <c r="I38" i="7"/>
  <c r="I22" i="7"/>
  <c r="I6" i="7"/>
  <c r="I181" i="7"/>
  <c r="J191" i="7" s="1"/>
  <c r="I165" i="7"/>
  <c r="I149" i="7"/>
  <c r="I133" i="7"/>
  <c r="I117" i="7"/>
  <c r="I101" i="7"/>
  <c r="I85" i="7"/>
  <c r="I69" i="7"/>
  <c r="I53" i="7"/>
  <c r="I37" i="7"/>
  <c r="I21" i="7"/>
  <c r="I5" i="7"/>
  <c r="I184" i="7"/>
  <c r="J194" i="7" s="1"/>
  <c r="I104" i="7"/>
  <c r="I180" i="7"/>
  <c r="J190" i="7" s="1"/>
  <c r="I164" i="7"/>
  <c r="I148" i="7"/>
  <c r="I132" i="7"/>
  <c r="I116" i="7"/>
  <c r="I100" i="7"/>
  <c r="I84" i="7"/>
  <c r="I68" i="7"/>
  <c r="I52" i="7"/>
  <c r="I36" i="7"/>
  <c r="I20" i="7"/>
  <c r="I4" i="7"/>
  <c r="I114" i="7"/>
  <c r="I98" i="7"/>
  <c r="I82" i="7"/>
  <c r="I66" i="7"/>
  <c r="I50" i="7"/>
  <c r="I34" i="7"/>
  <c r="I18" i="7"/>
  <c r="I65" i="7"/>
  <c r="I49" i="7"/>
  <c r="I33" i="7"/>
  <c r="I17" i="7"/>
  <c r="I176" i="7"/>
  <c r="I160" i="7"/>
  <c r="I144" i="7"/>
  <c r="I128" i="7"/>
  <c r="I112" i="7"/>
  <c r="I96" i="7"/>
  <c r="I80" i="7"/>
  <c r="I64" i="7"/>
  <c r="I48" i="7"/>
  <c r="I32" i="7"/>
  <c r="I16" i="7"/>
  <c r="I146" i="7"/>
  <c r="I175" i="7"/>
  <c r="I159" i="7"/>
  <c r="I143" i="7"/>
  <c r="I127" i="7"/>
  <c r="I111" i="7"/>
  <c r="I95" i="7"/>
  <c r="I79" i="7"/>
  <c r="I63" i="7"/>
  <c r="I47" i="7"/>
  <c r="I31" i="7"/>
  <c r="I15" i="7"/>
  <c r="J143" i="7" l="1"/>
  <c r="J47" i="7"/>
  <c r="J183" i="7"/>
  <c r="J182" i="7"/>
  <c r="J113" i="7"/>
  <c r="J116" i="7"/>
  <c r="J31" i="7"/>
  <c r="J66" i="7"/>
  <c r="J104" i="7"/>
  <c r="J125" i="7"/>
  <c r="J83" i="7"/>
  <c r="J59" i="7"/>
  <c r="J159" i="7"/>
  <c r="J55" i="7"/>
  <c r="J115" i="7"/>
  <c r="J163" i="7"/>
  <c r="J179" i="7"/>
  <c r="J181" i="7"/>
  <c r="J77" i="7"/>
  <c r="J145" i="7"/>
  <c r="J105" i="7"/>
  <c r="J42" i="7"/>
  <c r="J43" i="7"/>
  <c r="J141" i="7"/>
  <c r="J107" i="7"/>
  <c r="J100" i="7"/>
  <c r="J132" i="7"/>
  <c r="J165" i="7"/>
  <c r="J109" i="7"/>
  <c r="J157" i="7"/>
  <c r="J123" i="7"/>
  <c r="J146" i="7"/>
  <c r="J93" i="7"/>
  <c r="J27" i="7"/>
  <c r="J177" i="7"/>
  <c r="J91" i="7"/>
  <c r="J75" i="7"/>
  <c r="J144" i="7"/>
  <c r="J68" i="7"/>
  <c r="J84" i="7"/>
  <c r="J117" i="7"/>
  <c r="J26" i="7"/>
  <c r="J19" i="7"/>
  <c r="J99" i="7"/>
  <c r="J69" i="7"/>
  <c r="J101" i="7"/>
  <c r="J150" i="7"/>
  <c r="J167" i="7"/>
  <c r="J138" i="7"/>
  <c r="J166" i="7"/>
  <c r="J175" i="7"/>
  <c r="J32" i="7"/>
  <c r="J185" i="7"/>
  <c r="J23" i="7"/>
  <c r="J54" i="7"/>
  <c r="J81" i="7"/>
  <c r="J35" i="7"/>
  <c r="J114" i="7"/>
  <c r="J21" i="7"/>
  <c r="J70" i="7"/>
  <c r="J87" i="7"/>
  <c r="J58" i="7"/>
  <c r="J173" i="7"/>
  <c r="J41" i="7"/>
  <c r="J158" i="7"/>
  <c r="J121" i="7"/>
  <c r="J160" i="7"/>
  <c r="J37" i="7"/>
  <c r="J86" i="7"/>
  <c r="J74" i="7"/>
  <c r="J162" i="7"/>
  <c r="J137" i="7"/>
  <c r="J176" i="7"/>
  <c r="J63" i="7"/>
  <c r="J102" i="7"/>
  <c r="J90" i="7"/>
  <c r="J73" i="7"/>
  <c r="J36" i="7"/>
  <c r="J118" i="7"/>
  <c r="J131" i="7"/>
  <c r="J57" i="7"/>
  <c r="J52" i="7"/>
  <c r="J85" i="7"/>
  <c r="J134" i="7"/>
  <c r="J147" i="7"/>
  <c r="J103" i="7"/>
  <c r="J133" i="7"/>
  <c r="J33" i="7"/>
  <c r="J149" i="7"/>
  <c r="J129" i="7"/>
  <c r="J20" i="7"/>
  <c r="J97" i="7"/>
  <c r="J135" i="7"/>
  <c r="J140" i="7"/>
  <c r="J161" i="7"/>
  <c r="J51" i="7"/>
  <c r="J80" i="7"/>
  <c r="J119" i="7"/>
  <c r="J67" i="7"/>
  <c r="J14" i="7"/>
  <c r="J139" i="7"/>
  <c r="J53" i="7"/>
  <c r="J25" i="7"/>
  <c r="J168" i="7"/>
  <c r="J154" i="7"/>
  <c r="J178" i="7"/>
  <c r="J30" i="7"/>
  <c r="J155" i="7"/>
  <c r="J152" i="7"/>
  <c r="J170" i="7"/>
  <c r="J46" i="7"/>
  <c r="J171" i="7"/>
  <c r="J50" i="7"/>
  <c r="J180" i="7"/>
  <c r="J16" i="7"/>
  <c r="J186" i="7"/>
  <c r="J13" i="7"/>
  <c r="J62" i="7"/>
  <c r="J187" i="7"/>
  <c r="J71" i="7"/>
  <c r="J151" i="7"/>
  <c r="J106" i="7"/>
  <c r="J22" i="7"/>
  <c r="J29" i="7"/>
  <c r="J79" i="7"/>
  <c r="J122" i="7"/>
  <c r="J82" i="7"/>
  <c r="J184" i="7"/>
  <c r="J48" i="7"/>
  <c r="J18" i="7"/>
  <c r="J28" i="7"/>
  <c r="J45" i="7"/>
  <c r="J111" i="7"/>
  <c r="J95" i="7"/>
  <c r="J128" i="7"/>
  <c r="J98" i="7"/>
  <c r="J15" i="7"/>
  <c r="J39" i="7"/>
  <c r="J44" i="7"/>
  <c r="J61" i="7"/>
  <c r="J96" i="7"/>
  <c r="J169" i="7"/>
  <c r="J89" i="7"/>
  <c r="J112" i="7"/>
  <c r="J153" i="7"/>
  <c r="J148" i="7"/>
  <c r="J56" i="7"/>
  <c r="J60" i="7"/>
  <c r="J78" i="7"/>
  <c r="J24" i="7"/>
  <c r="J164" i="7"/>
  <c r="J76" i="7"/>
  <c r="J94" i="7"/>
  <c r="J127" i="7"/>
  <c r="J17" i="7"/>
  <c r="J92" i="7"/>
  <c r="J110" i="7"/>
  <c r="J40" i="7"/>
  <c r="J38" i="7"/>
  <c r="J108" i="7"/>
  <c r="J126" i="7"/>
  <c r="J49" i="7"/>
  <c r="J124" i="7"/>
  <c r="J142" i="7"/>
  <c r="J130" i="7"/>
  <c r="J65" i="7"/>
  <c r="J88" i="7"/>
  <c r="J156" i="7"/>
  <c r="J174" i="7"/>
  <c r="J64" i="7"/>
  <c r="J136" i="7"/>
  <c r="J172" i="7"/>
  <c r="J34" i="7"/>
  <c r="J72" i="7"/>
  <c r="K3" i="7" l="1"/>
  <c r="L3" i="7" s="1"/>
  <c r="O2" i="5" s="1"/>
  <c r="P2" i="5" s="1"/>
  <c r="Q2" i="5" s="1"/>
  <c r="Q3" i="5" l="1"/>
</calcChain>
</file>

<file path=xl/sharedStrings.xml><?xml version="1.0" encoding="utf-8"?>
<sst xmlns="http://schemas.openxmlformats.org/spreadsheetml/2006/main" count="90" uniqueCount="75">
  <si>
    <t>DATE</t>
  </si>
  <si>
    <t>1Y_Treasury</t>
  </si>
  <si>
    <t>2Y_Treasury</t>
  </si>
  <si>
    <t>8. 🔋 Lithium / Rare Earth Commodity Futures</t>
  </si>
  <si>
    <t>The Risk Factor:</t>
  </si>
  <si>
    <r>
      <t>Lithium carbonate</t>
    </r>
    <r>
      <rPr>
        <sz val="11"/>
        <color theme="1"/>
        <rFont val="Aptos Narrow"/>
        <family val="2"/>
        <scheme val="minor"/>
      </rPr>
      <t xml:space="preserve"> futures</t>
    </r>
  </si>
  <si>
    <r>
      <t>Cobalt</t>
    </r>
    <r>
      <rPr>
        <sz val="11"/>
        <color theme="1"/>
        <rFont val="Aptos Narrow"/>
        <family val="2"/>
        <scheme val="minor"/>
      </rPr>
      <t xml:space="preserve"> or </t>
    </r>
    <r>
      <rPr>
        <b/>
        <sz val="11"/>
        <color theme="1"/>
        <rFont val="Aptos Narrow"/>
        <family val="2"/>
        <scheme val="minor"/>
      </rPr>
      <t>rare earth element</t>
    </r>
    <r>
      <rPr>
        <sz val="11"/>
        <color theme="1"/>
        <rFont val="Aptos Narrow"/>
        <family val="2"/>
        <scheme val="minor"/>
      </rPr>
      <t xml:space="preserve"> derivatives</t>
    </r>
  </si>
  <si>
    <t>Why NMRF in 2007:</t>
  </si>
  <si>
    <t>❌ No lithium futures (demand was minimal - pre-EV boom)</t>
  </si>
  <si>
    <t>❌ Rare earths traded OTC only</t>
  </si>
  <si>
    <t>❌ China monopoly = no transparent pricing</t>
  </si>
  <si>
    <t>❌ No derivatives exchanges</t>
  </si>
  <si>
    <t>Today:</t>
  </si>
  <si>
    <t>✅ CME lithium futures launched (2021)</t>
  </si>
  <si>
    <t>✅ LME cobalt futures exist</t>
  </si>
  <si>
    <t>✅ But often NMRF:</t>
  </si>
  <si>
    <t>Only 2-3 years of data (lithium)</t>
  </si>
  <si>
    <t>Extreme price manipulation concerns</t>
  </si>
  <si>
    <t>Concentration risk (few producers)</t>
  </si>
  <si>
    <t>9. 🌐 Sovereign CDS for Frontier Markets</t>
  </si>
  <si>
    <r>
      <t>CDS spreads</t>
    </r>
    <r>
      <rPr>
        <sz val="11"/>
        <color theme="1"/>
        <rFont val="Aptos Narrow"/>
        <family val="2"/>
        <scheme val="minor"/>
      </rPr>
      <t xml:space="preserve"> for countries like </t>
    </r>
    <r>
      <rPr>
        <b/>
        <sz val="11"/>
        <color theme="1"/>
        <rFont val="Aptos Narrow"/>
        <family val="2"/>
        <scheme val="minor"/>
      </rPr>
      <t>Nigeria, Kenya, Bangladesh</t>
    </r>
  </si>
  <si>
    <t>⚠️ EM CDS existed but limited to major EMs (Brazil, Russia, Turkey)</t>
  </si>
  <si>
    <r>
      <t xml:space="preserve">❌ </t>
    </r>
    <r>
      <rPr>
        <b/>
        <sz val="11"/>
        <color theme="1"/>
        <rFont val="Aptos Narrow"/>
        <family val="2"/>
        <scheme val="minor"/>
      </rPr>
      <t>Frontier markets:</t>
    </r>
    <r>
      <rPr>
        <sz val="11"/>
        <color theme="1"/>
        <rFont val="Aptos Narrow"/>
        <family val="2"/>
        <scheme val="minor"/>
      </rPr>
      <t xml:space="preserve"> No CDS market at all</t>
    </r>
  </si>
  <si>
    <t>❌ Illiquid sovereign bonds = no spread derivatives</t>
  </si>
  <si>
    <t>❌ Post-2008, some markets developed</t>
  </si>
  <si>
    <t>Carbon credits</t>
  </si>
  <si>
    <t>ESG/Green Bond Spreads</t>
  </si>
  <si>
    <t>MSFT price</t>
  </si>
  <si>
    <t>Intel price</t>
  </si>
  <si>
    <t>NORM.INV(RAND(), 38, 5)</t>
  </si>
  <si>
    <t>Coupon</t>
  </si>
  <si>
    <t>FILTER(A2, WEEKDAY(A2, 2) &lt;= 5)</t>
  </si>
  <si>
    <t>Credit Spread: Corporate(HY)</t>
  </si>
  <si>
    <t>Credit spread: sovereign (high yield, or HY)</t>
  </si>
  <si>
    <t>Credit spread: sovereign (investment grade, or IG)</t>
  </si>
  <si>
    <t>Carbon Credits</t>
  </si>
  <si>
    <t>Treasury bonds</t>
  </si>
  <si>
    <t>Holding</t>
  </si>
  <si>
    <t>Quantity</t>
  </si>
  <si>
    <t>Notional</t>
  </si>
  <si>
    <t>Sovereign Bonds IG</t>
  </si>
  <si>
    <t>Sovereign Bonds HY</t>
  </si>
  <si>
    <t>Price</t>
  </si>
  <si>
    <t>MSFT stocks</t>
  </si>
  <si>
    <t>Intel Stock</t>
  </si>
  <si>
    <t>Treasury Bonds IG valuation</t>
  </si>
  <si>
    <t>Credit spread: Sovereign Bonds IG valuation</t>
  </si>
  <si>
    <t>MSFT</t>
  </si>
  <si>
    <t>Intel</t>
  </si>
  <si>
    <t>carbon credits</t>
  </si>
  <si>
    <t>Portfolio value</t>
  </si>
  <si>
    <t>10 day PnL</t>
  </si>
  <si>
    <t>ES</t>
  </si>
  <si>
    <t>VaR</t>
  </si>
  <si>
    <t>Credit Spread:Corporate HY</t>
  </si>
  <si>
    <t>Credit Spread Corporate HY</t>
  </si>
  <si>
    <t>ES, Q(pi,1)</t>
  </si>
  <si>
    <t>LH  = 10</t>
  </si>
  <si>
    <t>LH  = 20</t>
  </si>
  <si>
    <t>LH  = 40</t>
  </si>
  <si>
    <t>LH  = 60</t>
  </si>
  <si>
    <t>Absolute ES</t>
  </si>
  <si>
    <t>Calculated value</t>
  </si>
  <si>
    <t>LH</t>
  </si>
  <si>
    <r>
      <t>ES</t>
    </r>
    <r>
      <rPr>
        <vertAlign val="subscript"/>
        <sz val="14"/>
        <color theme="1"/>
        <rFont val="Aptos Narrow"/>
        <family val="2"/>
        <scheme val="minor"/>
      </rPr>
      <t>F,C</t>
    </r>
  </si>
  <si>
    <t>Total</t>
  </si>
  <si>
    <t>T</t>
  </si>
  <si>
    <r>
      <t>ES</t>
    </r>
    <r>
      <rPr>
        <vertAlign val="subscript"/>
        <sz val="11"/>
        <color theme="1"/>
        <rFont val="Aptos Narrow"/>
        <family val="2"/>
        <scheme val="minor"/>
      </rPr>
      <t>T</t>
    </r>
    <r>
      <rPr>
        <sz val="11"/>
        <color theme="1"/>
        <rFont val="Aptos Narrow"/>
        <family val="2"/>
        <scheme val="minor"/>
      </rPr>
      <t>(P)</t>
    </r>
  </si>
  <si>
    <t>LH=10</t>
  </si>
  <si>
    <t>LH=10, 20</t>
  </si>
  <si>
    <t>LH=10, 40</t>
  </si>
  <si>
    <t>LH=10, 60</t>
  </si>
  <si>
    <t>LH=20</t>
  </si>
  <si>
    <t>Standard deviation of factors</t>
  </si>
  <si>
    <t>Standard deviation/Average%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</si>
</sst>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000000000"/>
    <numFmt numFmtId="165" formatCode="0.0000%"/>
  </numFmts>
  <fonts count="2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b/>
      <sz val="9"/>
      <color rgb="FF0A0A0A"/>
      <name val="Courier New"/>
      <family val="3"/>
    </font>
    <font>
      <sz val="10"/>
      <color rgb="FF0A0A0A"/>
      <name val="Arial Unicode MS"/>
    </font>
    <font>
      <sz val="8"/>
      <name val="Aptos Narrow"/>
      <family val="2"/>
      <scheme val="minor"/>
    </font>
    <font>
      <vertAlign val="subscript"/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vertAlign val="subscript"/>
      <sz val="14"/>
      <color theme="1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">
    <xf numFmtId="0" fontId="0" fillId="0" borderId="0" xfId="0"/>
    <xf numFmtId="14" fontId="0" fillId="0" borderId="0" xfId="0" applyNumberFormat="1"/>
    <xf numFmtId="0" fontId="18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6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0" fillId="0" borderId="0" xfId="0" applyAlignment="1">
      <alignment wrapText="1"/>
    </xf>
    <xf numFmtId="0" fontId="20" fillId="0" borderId="0" xfId="0" applyFont="1"/>
    <xf numFmtId="0" fontId="21" fillId="0" borderId="0" xfId="0" applyFont="1" applyAlignment="1">
      <alignment vertical="center"/>
    </xf>
    <xf numFmtId="43" fontId="0" fillId="0" borderId="0" xfId="42" applyFont="1"/>
    <xf numFmtId="0" fontId="24" fillId="0" borderId="0" xfId="0" applyFont="1"/>
    <xf numFmtId="43" fontId="0" fillId="33" borderId="0" xfId="0" applyNumberFormat="1" applyFill="1"/>
    <xf numFmtId="14" fontId="0" fillId="34" borderId="0" xfId="0" applyNumberFormat="1" applyFill="1"/>
    <xf numFmtId="0" fontId="0" fillId="34" borderId="0" xfId="0" applyFill="1"/>
    <xf numFmtId="164" fontId="0" fillId="34" borderId="0" xfId="0" applyNumberFormat="1" applyFill="1"/>
    <xf numFmtId="165" fontId="0" fillId="0" borderId="0" xfId="43" applyNumberFormat="1" applyFont="1"/>
    <xf numFmtId="0" fontId="0" fillId="0" borderId="0" xfId="0" applyAlignment="1">
      <alignment horizontal="center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 cent" xfId="43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11</xdr:row>
      <xdr:rowOff>0</xdr:rowOff>
    </xdr:from>
    <xdr:to>
      <xdr:col>11</xdr:col>
      <xdr:colOff>286125</xdr:colOff>
      <xdr:row>32</xdr:row>
      <xdr:rowOff>63702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A989512-043E-A50A-52C3-EFAB8120AB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25650"/>
          <a:ext cx="7296525" cy="39308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81105-A324-4D8E-BCD3-D819580EE136}">
  <dimension ref="A1:R263"/>
  <sheetViews>
    <sheetView workbookViewId="0">
      <selection activeCell="E3" sqref="E3:F263"/>
    </sheetView>
  </sheetViews>
  <sheetFormatPr defaultColWidth="14.36328125" defaultRowHeight="14.5"/>
  <cols>
    <col min="2" max="2" width="10.453125" style="1" customWidth="1"/>
    <col min="3" max="3" width="12.08984375" customWidth="1"/>
    <col min="4" max="4" width="18.81640625" customWidth="1"/>
    <col min="5" max="5" width="15.7265625" customWidth="1"/>
    <col min="7" max="7" width="17.453125" customWidth="1"/>
    <col min="8" max="8" width="16.6328125" customWidth="1"/>
    <col min="9" max="9" width="17.453125" customWidth="1"/>
    <col min="10" max="10" width="18.7265625" customWidth="1"/>
  </cols>
  <sheetData>
    <row r="1" spans="1:18">
      <c r="C1" s="17" t="s">
        <v>57</v>
      </c>
      <c r="D1" s="17"/>
      <c r="E1" s="17"/>
      <c r="F1" s="17"/>
      <c r="G1" t="s">
        <v>58</v>
      </c>
      <c r="H1" t="s">
        <v>59</v>
      </c>
      <c r="I1" t="s">
        <v>60</v>
      </c>
      <c r="J1" t="s">
        <v>58</v>
      </c>
      <c r="K1" s="17" t="s">
        <v>73</v>
      </c>
      <c r="L1" s="17"/>
      <c r="M1" s="17"/>
      <c r="N1" s="17"/>
      <c r="O1" s="17"/>
      <c r="P1" s="17"/>
      <c r="Q1" s="17"/>
      <c r="R1" s="17"/>
    </row>
    <row r="2" spans="1:18" ht="69" customHeight="1">
      <c r="A2" t="s">
        <v>0</v>
      </c>
      <c r="C2" t="s">
        <v>1</v>
      </c>
      <c r="D2" t="s">
        <v>2</v>
      </c>
      <c r="E2" t="s">
        <v>27</v>
      </c>
      <c r="F2" t="s">
        <v>28</v>
      </c>
      <c r="G2" s="7" t="s">
        <v>34</v>
      </c>
      <c r="H2" s="7" t="s">
        <v>33</v>
      </c>
      <c r="I2" s="7" t="s">
        <v>32</v>
      </c>
      <c r="J2" t="s">
        <v>35</v>
      </c>
      <c r="K2" t="s">
        <v>1</v>
      </c>
      <c r="L2" t="s">
        <v>2</v>
      </c>
      <c r="M2" t="s">
        <v>27</v>
      </c>
      <c r="N2" t="s">
        <v>28</v>
      </c>
      <c r="O2" s="7" t="s">
        <v>34</v>
      </c>
      <c r="P2" s="7" t="s">
        <v>33</v>
      </c>
      <c r="Q2" s="7" t="s">
        <v>32</v>
      </c>
      <c r="R2" t="s">
        <v>35</v>
      </c>
    </row>
    <row r="3" spans="1:18">
      <c r="A3" s="1">
        <v>45474</v>
      </c>
      <c r="B3" s="1">
        <v>45474</v>
      </c>
      <c r="C3">
        <v>4.2673966662970146</v>
      </c>
      <c r="D3">
        <v>4.5673966662970145</v>
      </c>
      <c r="E3">
        <v>530.06710240945392</v>
      </c>
      <c r="F3">
        <v>38.486313274164083</v>
      </c>
      <c r="G3">
        <v>0.51</v>
      </c>
      <c r="H3">
        <v>0.58622522308595848</v>
      </c>
      <c r="I3">
        <v>0.69637380533808979</v>
      </c>
      <c r="J3">
        <v>21.480998964419861</v>
      </c>
      <c r="K3">
        <f>_xlfn.STDEV.P(C3:C263)</f>
        <v>2.6645352591003757E-15</v>
      </c>
      <c r="L3">
        <f t="shared" ref="L3:R3" si="0">_xlfn.STDEV.P(D3:D263)</f>
        <v>6.2172489379008766E-15</v>
      </c>
      <c r="M3">
        <f t="shared" si="0"/>
        <v>9.9207533701797779</v>
      </c>
      <c r="N3">
        <f t="shared" si="0"/>
        <v>1.8919904209837566</v>
      </c>
      <c r="O3">
        <f t="shared" si="0"/>
        <v>1.7763568394002505E-15</v>
      </c>
      <c r="P3">
        <f t="shared" si="0"/>
        <v>1.8873791418627661E-15</v>
      </c>
      <c r="Q3">
        <f t="shared" si="0"/>
        <v>3.6637359812630166E-15</v>
      </c>
      <c r="R3">
        <f t="shared" si="0"/>
        <v>6.7501559897209518E-14</v>
      </c>
    </row>
    <row r="4" spans="1:18">
      <c r="A4" s="1">
        <v>45475</v>
      </c>
      <c r="B4" s="1">
        <v>45475</v>
      </c>
      <c r="C4">
        <v>4.2673966662970146</v>
      </c>
      <c r="D4">
        <v>4.5673966662970145</v>
      </c>
      <c r="E4">
        <v>522.82800367758841</v>
      </c>
      <c r="F4">
        <v>35.525855533449466</v>
      </c>
      <c r="G4">
        <v>0.51</v>
      </c>
      <c r="H4">
        <v>0.58622522308595848</v>
      </c>
      <c r="I4">
        <v>0.69637380533808979</v>
      </c>
      <c r="J4">
        <v>21.480998964419861</v>
      </c>
      <c r="K4" s="17" t="s">
        <v>74</v>
      </c>
      <c r="L4" s="17"/>
      <c r="M4" s="17"/>
      <c r="N4" s="17"/>
      <c r="O4" s="17"/>
      <c r="P4" s="17"/>
      <c r="Q4" s="17"/>
      <c r="R4" s="17"/>
    </row>
    <row r="5" spans="1:18">
      <c r="A5" s="1">
        <v>45476</v>
      </c>
      <c r="B5" s="1">
        <v>45476</v>
      </c>
      <c r="C5">
        <v>4.2673966662970146</v>
      </c>
      <c r="D5">
        <v>4.5673966662970145</v>
      </c>
      <c r="E5">
        <v>510.11849651987478</v>
      </c>
      <c r="F5">
        <v>36.378867997537618</v>
      </c>
      <c r="G5">
        <v>0.51</v>
      </c>
      <c r="H5">
        <v>0.58622522308595848</v>
      </c>
      <c r="I5">
        <v>0.69637380533808979</v>
      </c>
      <c r="J5">
        <v>21.480998964419861</v>
      </c>
      <c r="K5" s="16">
        <f>_xlfn.STDEV.P(C3:C263)/AVERAGE(C3:C263)</f>
        <v>6.2439362155955722E-16</v>
      </c>
      <c r="L5" s="16">
        <f t="shared" ref="L5:R5" si="1">_xlfn.STDEV.P(D3:D263)/AVERAGE(D3:D263)</f>
        <v>1.3612237762877462E-15</v>
      </c>
      <c r="M5" s="16">
        <f t="shared" si="1"/>
        <v>1.9026416436064637E-2</v>
      </c>
      <c r="N5" s="16">
        <f t="shared" si="1"/>
        <v>5.3110693109051421E-2</v>
      </c>
      <c r="O5" s="16">
        <f t="shared" si="1"/>
        <v>3.4830526262749885E-15</v>
      </c>
      <c r="P5" s="16">
        <f t="shared" si="1"/>
        <v>3.2195461190280665E-15</v>
      </c>
      <c r="Q5" s="16">
        <f t="shared" si="1"/>
        <v>5.2611628311956544E-15</v>
      </c>
      <c r="R5" s="16">
        <f t="shared" si="1"/>
        <v>3.1423845794609358E-15</v>
      </c>
    </row>
    <row r="6" spans="1:18">
      <c r="A6" s="1">
        <v>45477</v>
      </c>
      <c r="B6" s="1">
        <v>45477</v>
      </c>
      <c r="C6">
        <v>4.2673966662970146</v>
      </c>
      <c r="D6">
        <v>4.5673966662970145</v>
      </c>
      <c r="E6">
        <v>516.68968050493095</v>
      </c>
      <c r="F6">
        <v>36.138275735084527</v>
      </c>
      <c r="G6">
        <v>0.51</v>
      </c>
      <c r="H6">
        <v>0.58622522308595848</v>
      </c>
      <c r="I6">
        <v>0.69637380533808979</v>
      </c>
      <c r="J6">
        <v>21.480998964419861</v>
      </c>
    </row>
    <row r="7" spans="1:18">
      <c r="A7" s="1">
        <v>45478</v>
      </c>
      <c r="B7" s="1">
        <v>45478</v>
      </c>
      <c r="C7">
        <v>4.2673966662970146</v>
      </c>
      <c r="D7">
        <v>4.5673966662970145</v>
      </c>
      <c r="E7">
        <v>511.90515501946436</v>
      </c>
      <c r="F7">
        <v>35.611753551103661</v>
      </c>
      <c r="G7">
        <v>0.51</v>
      </c>
      <c r="H7">
        <v>0.58622522308595848</v>
      </c>
      <c r="I7">
        <v>0.69637380533808979</v>
      </c>
      <c r="J7">
        <v>21.480998964419861</v>
      </c>
    </row>
    <row r="8" spans="1:18">
      <c r="A8" s="1">
        <v>45481</v>
      </c>
      <c r="B8" s="1">
        <v>45481</v>
      </c>
      <c r="C8">
        <v>4.2673966662970146</v>
      </c>
      <c r="D8">
        <v>4.5673966662970145</v>
      </c>
      <c r="E8">
        <v>513.45231464911365</v>
      </c>
      <c r="F8">
        <v>37.709248469977197</v>
      </c>
      <c r="G8">
        <v>0.51</v>
      </c>
      <c r="H8">
        <v>0.58622522308595848</v>
      </c>
      <c r="I8">
        <v>0.69637380533808979</v>
      </c>
      <c r="J8">
        <v>21.480998964419861</v>
      </c>
    </row>
    <row r="9" spans="1:18">
      <c r="A9" s="1">
        <v>45482</v>
      </c>
      <c r="B9" s="1">
        <v>45482</v>
      </c>
      <c r="C9">
        <v>4.2673966662970146</v>
      </c>
      <c r="D9">
        <v>4.5673966662970145</v>
      </c>
      <c r="E9">
        <v>519.33854022642618</v>
      </c>
      <c r="F9">
        <v>36.256977751499669</v>
      </c>
      <c r="G9">
        <v>0.51</v>
      </c>
      <c r="H9">
        <v>0.58622522308595848</v>
      </c>
      <c r="I9">
        <v>0.69637380533808979</v>
      </c>
      <c r="J9">
        <v>21.480998964419861</v>
      </c>
    </row>
    <row r="10" spans="1:18">
      <c r="A10" s="1">
        <v>45483</v>
      </c>
      <c r="B10" s="1">
        <v>45483</v>
      </c>
      <c r="C10">
        <v>4.2673966662970146</v>
      </c>
      <c r="D10">
        <v>4.5673966662970145</v>
      </c>
      <c r="E10">
        <v>515.82191972998794</v>
      </c>
      <c r="F10">
        <v>35.112746324286967</v>
      </c>
      <c r="G10">
        <v>0.51</v>
      </c>
      <c r="H10">
        <v>0.58622522308595848</v>
      </c>
      <c r="I10">
        <v>0.69637380533808979</v>
      </c>
      <c r="J10">
        <v>21.480998964419861</v>
      </c>
    </row>
    <row r="11" spans="1:18">
      <c r="A11" s="1">
        <v>45484</v>
      </c>
      <c r="B11" s="1">
        <v>45484</v>
      </c>
      <c r="C11">
        <v>4.2673966662970146</v>
      </c>
      <c r="D11">
        <v>4.5673966662970145</v>
      </c>
      <c r="E11">
        <v>529.18294628763749</v>
      </c>
      <c r="F11">
        <v>35.866392214103513</v>
      </c>
      <c r="G11">
        <v>0.51</v>
      </c>
      <c r="H11">
        <v>0.58622522308595848</v>
      </c>
      <c r="I11">
        <v>0.69637380533808979</v>
      </c>
      <c r="J11">
        <v>21.480998964419861</v>
      </c>
    </row>
    <row r="12" spans="1:18">
      <c r="A12" s="1">
        <v>45485</v>
      </c>
      <c r="B12" s="1">
        <v>45485</v>
      </c>
      <c r="C12">
        <v>4.2673966662970146</v>
      </c>
      <c r="D12">
        <v>4.5673966662970145</v>
      </c>
      <c r="E12">
        <v>528.7717561498846</v>
      </c>
      <c r="F12">
        <v>34.840449833649842</v>
      </c>
      <c r="G12">
        <v>0.51</v>
      </c>
      <c r="H12">
        <v>0.58622522308595848</v>
      </c>
      <c r="I12">
        <v>0.69637380533808979</v>
      </c>
      <c r="J12">
        <v>21.480998964419861</v>
      </c>
    </row>
    <row r="13" spans="1:18">
      <c r="A13" s="1">
        <v>45488</v>
      </c>
      <c r="B13" s="1">
        <v>45488</v>
      </c>
      <c r="C13">
        <v>4.2673966662970146</v>
      </c>
      <c r="D13">
        <v>4.5673966662970145</v>
      </c>
      <c r="E13">
        <v>509.46564220321653</v>
      </c>
      <c r="F13">
        <v>38.812221022818335</v>
      </c>
      <c r="G13">
        <v>0.51</v>
      </c>
      <c r="H13">
        <v>0.58622522308595848</v>
      </c>
      <c r="I13">
        <v>0.69637380533808979</v>
      </c>
      <c r="J13">
        <v>21.480998964419861</v>
      </c>
    </row>
    <row r="14" spans="1:18">
      <c r="A14" s="1">
        <v>45489</v>
      </c>
      <c r="B14" s="1">
        <v>45489</v>
      </c>
      <c r="C14">
        <v>4.2673966662970146</v>
      </c>
      <c r="D14">
        <v>4.5673966662970145</v>
      </c>
      <c r="E14">
        <v>544.08626392776182</v>
      </c>
      <c r="F14">
        <v>36.566971116933892</v>
      </c>
      <c r="G14">
        <v>0.51</v>
      </c>
      <c r="H14">
        <v>0.58622522308595848</v>
      </c>
      <c r="I14">
        <v>0.69637380533808979</v>
      </c>
      <c r="J14">
        <v>21.480998964419861</v>
      </c>
    </row>
    <row r="15" spans="1:18">
      <c r="A15" s="1">
        <v>45490</v>
      </c>
      <c r="B15" s="1">
        <v>45490</v>
      </c>
      <c r="C15">
        <v>4.2673966662970146</v>
      </c>
      <c r="D15">
        <v>4.5673966662970145</v>
      </c>
      <c r="E15">
        <v>539.48766051215932</v>
      </c>
      <c r="F15">
        <v>33.921064986889213</v>
      </c>
      <c r="G15">
        <v>0.51</v>
      </c>
      <c r="H15">
        <v>0.58622522308595848</v>
      </c>
      <c r="I15">
        <v>0.69637380533808979</v>
      </c>
      <c r="J15">
        <v>21.480998964419861</v>
      </c>
    </row>
    <row r="16" spans="1:18">
      <c r="A16" s="1">
        <v>45491</v>
      </c>
      <c r="B16" s="1">
        <v>45491</v>
      </c>
      <c r="C16">
        <v>4.2673966662970146</v>
      </c>
      <c r="D16">
        <v>4.5673966662970145</v>
      </c>
      <c r="E16">
        <v>526.47210168309402</v>
      </c>
      <c r="F16">
        <v>38.706259864512511</v>
      </c>
      <c r="G16">
        <v>0.51</v>
      </c>
      <c r="H16">
        <v>0.58622522308595848</v>
      </c>
      <c r="I16">
        <v>0.69637380533808979</v>
      </c>
      <c r="J16">
        <v>21.480998964419861</v>
      </c>
    </row>
    <row r="17" spans="1:10">
      <c r="A17" s="1">
        <v>45492</v>
      </c>
      <c r="B17" s="1">
        <v>45492</v>
      </c>
      <c r="C17">
        <v>4.2673966662970146</v>
      </c>
      <c r="D17">
        <v>4.5673966662970145</v>
      </c>
      <c r="E17">
        <v>520.06071289457861</v>
      </c>
      <c r="F17">
        <v>36.498394129436889</v>
      </c>
      <c r="G17">
        <v>0.51</v>
      </c>
      <c r="H17">
        <v>0.58622522308595848</v>
      </c>
      <c r="I17">
        <v>0.69637380533808979</v>
      </c>
      <c r="J17">
        <v>21.480998964419861</v>
      </c>
    </row>
    <row r="18" spans="1:10">
      <c r="A18" s="1">
        <v>45495</v>
      </c>
      <c r="B18" s="1">
        <v>45495</v>
      </c>
      <c r="C18">
        <v>4.2673966662970146</v>
      </c>
      <c r="D18">
        <v>4.5673966662970145</v>
      </c>
      <c r="E18">
        <v>521.9567672888254</v>
      </c>
      <c r="F18">
        <v>35.046739376390832</v>
      </c>
      <c r="G18">
        <v>0.51</v>
      </c>
      <c r="H18">
        <v>0.58622522308595848</v>
      </c>
      <c r="I18">
        <v>0.69637380533808979</v>
      </c>
      <c r="J18">
        <v>21.480998964419861</v>
      </c>
    </row>
    <row r="19" spans="1:10">
      <c r="A19" s="1">
        <v>45496</v>
      </c>
      <c r="B19" s="1">
        <v>45496</v>
      </c>
      <c r="C19">
        <v>4.2673966662970146</v>
      </c>
      <c r="D19">
        <v>4.5673966662970145</v>
      </c>
      <c r="E19">
        <v>523.57378087324673</v>
      </c>
      <c r="F19">
        <v>37.036453570394855</v>
      </c>
      <c r="G19">
        <v>0.51</v>
      </c>
      <c r="H19">
        <v>0.58622522308595848</v>
      </c>
      <c r="I19">
        <v>0.69637380533808979</v>
      </c>
      <c r="J19">
        <v>21.480998964419861</v>
      </c>
    </row>
    <row r="20" spans="1:10">
      <c r="A20" s="1">
        <v>45497</v>
      </c>
      <c r="B20" s="1">
        <v>45497</v>
      </c>
      <c r="C20">
        <v>4.2673966662970146</v>
      </c>
      <c r="D20">
        <v>4.5673966662970145</v>
      </c>
      <c r="E20">
        <v>519.42921215497142</v>
      </c>
      <c r="F20">
        <v>33.472185914688595</v>
      </c>
      <c r="G20">
        <v>0.51</v>
      </c>
      <c r="H20">
        <v>0.58622522308595848</v>
      </c>
      <c r="I20">
        <v>0.69637380533808979</v>
      </c>
      <c r="J20">
        <v>21.480998964419861</v>
      </c>
    </row>
    <row r="21" spans="1:10">
      <c r="A21" s="1">
        <v>45498</v>
      </c>
      <c r="B21" s="1">
        <v>45498</v>
      </c>
      <c r="C21">
        <v>4.2673966662970146</v>
      </c>
      <c r="D21">
        <v>4.5673966662970145</v>
      </c>
      <c r="E21">
        <v>534.6100388932349</v>
      </c>
      <c r="F21">
        <v>36.681116720145369</v>
      </c>
      <c r="G21">
        <v>0.51</v>
      </c>
      <c r="H21">
        <v>0.58622522308595848</v>
      </c>
      <c r="I21">
        <v>0.69637380533808979</v>
      </c>
      <c r="J21">
        <v>21.480998964419861</v>
      </c>
    </row>
    <row r="22" spans="1:10">
      <c r="A22" s="1">
        <v>45499</v>
      </c>
      <c r="B22" s="1">
        <v>45499</v>
      </c>
      <c r="C22">
        <v>4.2673966662970146</v>
      </c>
      <c r="D22">
        <v>4.5673966662970145</v>
      </c>
      <c r="E22">
        <v>523.96808143775911</v>
      </c>
      <c r="F22">
        <v>35.078559509999771</v>
      </c>
      <c r="G22">
        <v>0.51</v>
      </c>
      <c r="H22">
        <v>0.58622522308595848</v>
      </c>
      <c r="I22">
        <v>0.69637380533808979</v>
      </c>
      <c r="J22">
        <v>21.480998964419861</v>
      </c>
    </row>
    <row r="23" spans="1:10">
      <c r="A23" s="1">
        <v>45502</v>
      </c>
      <c r="B23" s="1">
        <v>45502</v>
      </c>
      <c r="C23">
        <v>4.2673966662970146</v>
      </c>
      <c r="D23">
        <v>4.5673966662970145</v>
      </c>
      <c r="E23">
        <v>514.93500370123991</v>
      </c>
      <c r="F23">
        <v>34.683565700839701</v>
      </c>
      <c r="G23">
        <v>0.51</v>
      </c>
      <c r="H23">
        <v>0.58622522308595848</v>
      </c>
      <c r="I23">
        <v>0.69637380533808979</v>
      </c>
      <c r="J23">
        <v>21.480998964419861</v>
      </c>
    </row>
    <row r="24" spans="1:10">
      <c r="A24" s="1">
        <v>45503</v>
      </c>
      <c r="B24" s="1">
        <v>45503</v>
      </c>
      <c r="C24">
        <v>4.2673966662970146</v>
      </c>
      <c r="D24">
        <v>4.5673966662970145</v>
      </c>
      <c r="E24">
        <v>517.37828023041425</v>
      </c>
      <c r="F24">
        <v>36.697268945337463</v>
      </c>
      <c r="G24">
        <v>0.51</v>
      </c>
      <c r="H24">
        <v>0.58622522308595848</v>
      </c>
      <c r="I24">
        <v>0.69637380533808979</v>
      </c>
      <c r="J24">
        <v>21.480998964419861</v>
      </c>
    </row>
    <row r="25" spans="1:10">
      <c r="A25" s="1">
        <v>45504</v>
      </c>
      <c r="B25" s="1">
        <v>45504</v>
      </c>
      <c r="C25">
        <v>4.2673966662970146</v>
      </c>
      <c r="D25">
        <v>4.5673966662970145</v>
      </c>
      <c r="E25">
        <v>529.3542029700601</v>
      </c>
      <c r="F25">
        <v>35.357722761455612</v>
      </c>
      <c r="G25">
        <v>0.51</v>
      </c>
      <c r="H25">
        <v>0.58622522308595848</v>
      </c>
      <c r="I25">
        <v>0.69637380533808979</v>
      </c>
      <c r="J25">
        <v>21.480998964419861</v>
      </c>
    </row>
    <row r="26" spans="1:10">
      <c r="A26" s="1">
        <v>45505</v>
      </c>
      <c r="B26" s="1">
        <v>45505</v>
      </c>
      <c r="C26">
        <v>4.2673966662970146</v>
      </c>
      <c r="D26">
        <v>4.5673966662970145</v>
      </c>
      <c r="E26">
        <v>510.78987651258888</v>
      </c>
      <c r="F26">
        <v>34.208132480182599</v>
      </c>
      <c r="G26">
        <v>0.51</v>
      </c>
      <c r="H26">
        <v>0.58622522308595848</v>
      </c>
      <c r="I26">
        <v>0.69637380533808979</v>
      </c>
      <c r="J26">
        <v>21.480998964419861</v>
      </c>
    </row>
    <row r="27" spans="1:10">
      <c r="A27" s="1">
        <v>45506</v>
      </c>
      <c r="B27" s="1">
        <v>45506</v>
      </c>
      <c r="C27">
        <v>4.2673966662970146</v>
      </c>
      <c r="D27">
        <v>4.5673966662970145</v>
      </c>
      <c r="E27">
        <v>530.94745862151194</v>
      </c>
      <c r="F27">
        <v>35.601389290231204</v>
      </c>
      <c r="G27">
        <v>0.51</v>
      </c>
      <c r="H27">
        <v>0.58622522308595848</v>
      </c>
      <c r="I27">
        <v>0.69637380533808979</v>
      </c>
      <c r="J27">
        <v>21.480998964419861</v>
      </c>
    </row>
    <row r="28" spans="1:10">
      <c r="A28" s="1">
        <v>45509</v>
      </c>
      <c r="B28" s="1">
        <v>45509</v>
      </c>
      <c r="C28">
        <v>4.2673966662970146</v>
      </c>
      <c r="D28">
        <v>4.5673966662970145</v>
      </c>
      <c r="E28">
        <v>533.06791892536637</v>
      </c>
      <c r="F28">
        <v>31.314446936067924</v>
      </c>
      <c r="G28">
        <v>0.51</v>
      </c>
      <c r="H28">
        <v>0.58622522308595848</v>
      </c>
      <c r="I28">
        <v>0.69637380533808979</v>
      </c>
      <c r="J28">
        <v>21.480998964419861</v>
      </c>
    </row>
    <row r="29" spans="1:10">
      <c r="A29" s="1">
        <v>45510</v>
      </c>
      <c r="B29" s="1">
        <v>45510</v>
      </c>
      <c r="C29">
        <v>4.2673966662970146</v>
      </c>
      <c r="D29">
        <v>4.5673966662970145</v>
      </c>
      <c r="E29">
        <v>499.45735904042186</v>
      </c>
      <c r="F29">
        <v>38.365307324004185</v>
      </c>
      <c r="G29">
        <v>0.51</v>
      </c>
      <c r="H29">
        <v>0.58622522308595848</v>
      </c>
      <c r="I29">
        <v>0.69637380533808979</v>
      </c>
      <c r="J29">
        <v>21.480998964419861</v>
      </c>
    </row>
    <row r="30" spans="1:10">
      <c r="A30" s="1">
        <v>45511</v>
      </c>
      <c r="B30" s="1">
        <v>45511</v>
      </c>
      <c r="C30">
        <v>4.2673966662970146</v>
      </c>
      <c r="D30">
        <v>4.5673966662970145</v>
      </c>
      <c r="E30">
        <v>523.9256328170128</v>
      </c>
      <c r="F30">
        <v>34.816254407783994</v>
      </c>
      <c r="G30">
        <v>0.51</v>
      </c>
      <c r="H30">
        <v>0.58622522308595848</v>
      </c>
      <c r="I30">
        <v>0.69637380533808979</v>
      </c>
      <c r="J30">
        <v>21.480998964419861</v>
      </c>
    </row>
    <row r="31" spans="1:10">
      <c r="A31" s="1">
        <v>45512</v>
      </c>
      <c r="B31" s="1">
        <v>45512</v>
      </c>
      <c r="C31">
        <v>4.2673966662970146</v>
      </c>
      <c r="D31">
        <v>4.5673966662970145</v>
      </c>
      <c r="E31">
        <v>531.01840122166482</v>
      </c>
      <c r="F31">
        <v>34.222641875438129</v>
      </c>
      <c r="G31">
        <v>0.51</v>
      </c>
      <c r="H31">
        <v>0.58622522308595848</v>
      </c>
      <c r="I31">
        <v>0.69637380533808979</v>
      </c>
      <c r="J31">
        <v>21.480998964419861</v>
      </c>
    </row>
    <row r="32" spans="1:10">
      <c r="A32" s="1">
        <v>45513</v>
      </c>
      <c r="B32" s="1">
        <v>45513</v>
      </c>
      <c r="C32">
        <v>4.2673966662970146</v>
      </c>
      <c r="D32">
        <v>4.5673966662970145</v>
      </c>
      <c r="E32">
        <v>526.02515449995292</v>
      </c>
      <c r="F32">
        <v>38.452867746852995</v>
      </c>
      <c r="G32">
        <v>0.51</v>
      </c>
      <c r="H32">
        <v>0.58622522308595848</v>
      </c>
      <c r="I32">
        <v>0.69637380533808979</v>
      </c>
      <c r="J32">
        <v>21.480998964419861</v>
      </c>
    </row>
    <row r="33" spans="1:10">
      <c r="A33" s="1">
        <v>45516</v>
      </c>
      <c r="B33" s="1">
        <v>45516</v>
      </c>
      <c r="C33">
        <v>4.2673966662970146</v>
      </c>
      <c r="D33">
        <v>4.5673966662970145</v>
      </c>
      <c r="E33">
        <v>499.52569486946891</v>
      </c>
      <c r="F33">
        <v>36.229981049777955</v>
      </c>
      <c r="G33">
        <v>0.51</v>
      </c>
      <c r="H33">
        <v>0.58622522308595848</v>
      </c>
      <c r="I33">
        <v>0.69637380533808979</v>
      </c>
      <c r="J33">
        <v>21.480998964419861</v>
      </c>
    </row>
    <row r="34" spans="1:10">
      <c r="A34" s="1">
        <v>45517</v>
      </c>
      <c r="B34" s="1">
        <v>45517</v>
      </c>
      <c r="C34">
        <v>4.2673966662970146</v>
      </c>
      <c r="D34">
        <v>4.5673966662970145</v>
      </c>
      <c r="E34">
        <v>505.1780641119791</v>
      </c>
      <c r="F34">
        <v>35.909641182489132</v>
      </c>
      <c r="G34">
        <v>0.51</v>
      </c>
      <c r="H34">
        <v>0.58622522308595848</v>
      </c>
      <c r="I34">
        <v>0.69637380533808979</v>
      </c>
      <c r="J34">
        <v>21.480998964419861</v>
      </c>
    </row>
    <row r="35" spans="1:10">
      <c r="A35" s="1">
        <v>45518</v>
      </c>
      <c r="B35" s="1">
        <v>45518</v>
      </c>
      <c r="C35">
        <v>4.2673966662970146</v>
      </c>
      <c r="D35">
        <v>4.5673966662970145</v>
      </c>
      <c r="E35">
        <v>515.14974087683117</v>
      </c>
      <c r="F35">
        <v>36.390149752933596</v>
      </c>
      <c r="G35">
        <v>0.51</v>
      </c>
      <c r="H35">
        <v>0.58622522308595848</v>
      </c>
      <c r="I35">
        <v>0.69637380533808979</v>
      </c>
      <c r="J35">
        <v>21.480998964419861</v>
      </c>
    </row>
    <row r="36" spans="1:10">
      <c r="A36" s="1">
        <v>45519</v>
      </c>
      <c r="B36" s="1">
        <v>45519</v>
      </c>
      <c r="C36">
        <v>4.2673966662970146</v>
      </c>
      <c r="D36">
        <v>4.5673966662970145</v>
      </c>
      <c r="E36">
        <v>522.06786315914087</v>
      </c>
      <c r="F36">
        <v>34.478503638314578</v>
      </c>
      <c r="G36">
        <v>0.51</v>
      </c>
      <c r="H36">
        <v>0.58622522308595848</v>
      </c>
      <c r="I36">
        <v>0.69637380533808979</v>
      </c>
      <c r="J36">
        <v>21.480998964419861</v>
      </c>
    </row>
    <row r="37" spans="1:10">
      <c r="A37" s="1">
        <v>45520</v>
      </c>
      <c r="B37" s="1">
        <v>45520</v>
      </c>
      <c r="C37">
        <v>4.2673966662970146</v>
      </c>
      <c r="D37">
        <v>4.5673966662970145</v>
      </c>
      <c r="E37">
        <v>512.85629695383204</v>
      </c>
      <c r="F37">
        <v>37.195599132284237</v>
      </c>
      <c r="G37">
        <v>0.51</v>
      </c>
      <c r="H37">
        <v>0.58622522308595848</v>
      </c>
      <c r="I37">
        <v>0.69637380533808979</v>
      </c>
      <c r="J37">
        <v>21.480998964419861</v>
      </c>
    </row>
    <row r="38" spans="1:10">
      <c r="A38" s="1">
        <v>45523</v>
      </c>
      <c r="B38" s="1">
        <v>45523</v>
      </c>
      <c r="C38">
        <v>4.2673966662970146</v>
      </c>
      <c r="D38">
        <v>4.5673966662970145</v>
      </c>
      <c r="E38">
        <v>527.20089650478133</v>
      </c>
      <c r="F38">
        <v>37.278982664368968</v>
      </c>
      <c r="G38">
        <v>0.51</v>
      </c>
      <c r="H38">
        <v>0.58622522308595848</v>
      </c>
      <c r="I38">
        <v>0.69637380533808979</v>
      </c>
      <c r="J38">
        <v>21.480998964419861</v>
      </c>
    </row>
    <row r="39" spans="1:10">
      <c r="A39" s="1">
        <v>45524</v>
      </c>
      <c r="B39" s="1">
        <v>45524</v>
      </c>
      <c r="C39">
        <v>4.2673966662970146</v>
      </c>
      <c r="D39">
        <v>4.5673966662970145</v>
      </c>
      <c r="E39">
        <v>512.32057717349232</v>
      </c>
      <c r="F39">
        <v>31.942457283626972</v>
      </c>
      <c r="G39">
        <v>0.51</v>
      </c>
      <c r="H39">
        <v>0.58622522308595848</v>
      </c>
      <c r="I39">
        <v>0.69637380533808979</v>
      </c>
      <c r="J39">
        <v>21.480998964419861</v>
      </c>
    </row>
    <row r="40" spans="1:10">
      <c r="A40" s="1">
        <v>45525</v>
      </c>
      <c r="B40" s="1">
        <v>45525</v>
      </c>
      <c r="C40">
        <v>4.2673966662970146</v>
      </c>
      <c r="D40">
        <v>4.5673966662970145</v>
      </c>
      <c r="E40">
        <v>513.66240442529954</v>
      </c>
      <c r="F40">
        <v>35.112381376347827</v>
      </c>
      <c r="G40">
        <v>0.51</v>
      </c>
      <c r="H40">
        <v>0.58622522308595848</v>
      </c>
      <c r="I40">
        <v>0.69637380533808979</v>
      </c>
      <c r="J40">
        <v>21.480998964419861</v>
      </c>
    </row>
    <row r="41" spans="1:10">
      <c r="A41" s="1">
        <v>45526</v>
      </c>
      <c r="B41" s="1">
        <v>45526</v>
      </c>
      <c r="C41">
        <v>4.2673966662970146</v>
      </c>
      <c r="D41">
        <v>4.5673966662970145</v>
      </c>
      <c r="E41">
        <v>544.20297966907231</v>
      </c>
      <c r="F41">
        <v>34.739391252530915</v>
      </c>
      <c r="G41">
        <v>0.51</v>
      </c>
      <c r="H41">
        <v>0.58622522308595848</v>
      </c>
      <c r="I41">
        <v>0.69637380533808979</v>
      </c>
      <c r="J41">
        <v>21.480998964419861</v>
      </c>
    </row>
    <row r="42" spans="1:10">
      <c r="A42" s="1">
        <v>45527</v>
      </c>
      <c r="B42" s="1">
        <v>45527</v>
      </c>
      <c r="C42">
        <v>4.2673966662970146</v>
      </c>
      <c r="D42">
        <v>4.5673966662970145</v>
      </c>
      <c r="E42">
        <v>529.13518037104029</v>
      </c>
      <c r="F42">
        <v>34.262221509155111</v>
      </c>
      <c r="G42">
        <v>0.51</v>
      </c>
      <c r="H42">
        <v>0.58622522308595848</v>
      </c>
      <c r="I42">
        <v>0.69637380533808979</v>
      </c>
      <c r="J42">
        <v>21.480998964419861</v>
      </c>
    </row>
    <row r="43" spans="1:10">
      <c r="A43" s="1">
        <v>45530</v>
      </c>
      <c r="B43" s="1">
        <v>45530</v>
      </c>
      <c r="C43">
        <v>4.2673966662970146</v>
      </c>
      <c r="D43">
        <v>4.5673966662970145</v>
      </c>
      <c r="E43">
        <v>499.95819038488486</v>
      </c>
      <c r="F43">
        <v>34.191303298671237</v>
      </c>
      <c r="G43">
        <v>0.51</v>
      </c>
      <c r="H43">
        <v>0.58622522308595848</v>
      </c>
      <c r="I43">
        <v>0.69637380533808979</v>
      </c>
      <c r="J43">
        <v>21.480998964419861</v>
      </c>
    </row>
    <row r="44" spans="1:10">
      <c r="A44" s="1">
        <v>45531</v>
      </c>
      <c r="B44" s="1">
        <v>45531</v>
      </c>
      <c r="C44">
        <v>4.2673966662970146</v>
      </c>
      <c r="D44">
        <v>4.5673966662970145</v>
      </c>
      <c r="E44">
        <v>515.78900527026155</v>
      </c>
      <c r="F44">
        <v>37.416746321614063</v>
      </c>
      <c r="G44">
        <v>0.51</v>
      </c>
      <c r="H44">
        <v>0.58622522308595848</v>
      </c>
      <c r="I44">
        <v>0.69637380533808979</v>
      </c>
      <c r="J44">
        <v>21.480998964419861</v>
      </c>
    </row>
    <row r="45" spans="1:10">
      <c r="A45" s="1">
        <v>45532</v>
      </c>
      <c r="B45" s="1">
        <v>45532</v>
      </c>
      <c r="C45">
        <v>4.2673966662970146</v>
      </c>
      <c r="D45">
        <v>4.5673966662970145</v>
      </c>
      <c r="E45">
        <v>527.30945996103469</v>
      </c>
      <c r="F45">
        <v>37.755530031945533</v>
      </c>
      <c r="G45">
        <v>0.51</v>
      </c>
      <c r="H45">
        <v>0.58622522308595848</v>
      </c>
      <c r="I45">
        <v>0.69637380533808979</v>
      </c>
      <c r="J45">
        <v>21.480998964419861</v>
      </c>
    </row>
    <row r="46" spans="1:10">
      <c r="A46" s="1">
        <v>45533</v>
      </c>
      <c r="B46" s="1">
        <v>45533</v>
      </c>
      <c r="C46">
        <v>4.2673966662970146</v>
      </c>
      <c r="D46">
        <v>4.5673966662970145</v>
      </c>
      <c r="E46">
        <v>543.07256661379324</v>
      </c>
      <c r="F46">
        <v>34.767280111536692</v>
      </c>
      <c r="G46">
        <v>0.51</v>
      </c>
      <c r="H46">
        <v>0.58622522308595848</v>
      </c>
      <c r="I46">
        <v>0.69637380533808979</v>
      </c>
      <c r="J46">
        <v>21.480998964419861</v>
      </c>
    </row>
    <row r="47" spans="1:10">
      <c r="A47" s="1">
        <v>45534</v>
      </c>
      <c r="B47" s="1">
        <v>45534</v>
      </c>
      <c r="C47">
        <v>4.2673966662970146</v>
      </c>
      <c r="D47">
        <v>4.5673966662970145</v>
      </c>
      <c r="E47">
        <v>531.31195362666358</v>
      </c>
      <c r="F47">
        <v>35.626539359468339</v>
      </c>
      <c r="G47">
        <v>0.51</v>
      </c>
      <c r="H47">
        <v>0.58622522308595848</v>
      </c>
      <c r="I47">
        <v>0.69637380533808979</v>
      </c>
      <c r="J47">
        <v>21.480998964419861</v>
      </c>
    </row>
    <row r="48" spans="1:10">
      <c r="A48" s="1">
        <v>45537</v>
      </c>
      <c r="B48" s="1">
        <v>45537</v>
      </c>
      <c r="C48">
        <v>4.2673966662970146</v>
      </c>
      <c r="D48">
        <v>4.5673966662970145</v>
      </c>
      <c r="E48">
        <v>535.16816357682649</v>
      </c>
      <c r="F48">
        <v>34.908946698382429</v>
      </c>
      <c r="G48">
        <v>0.51</v>
      </c>
      <c r="H48">
        <v>0.58622522308595848</v>
      </c>
      <c r="I48">
        <v>0.69637380533808979</v>
      </c>
      <c r="J48">
        <v>21.480998964419861</v>
      </c>
    </row>
    <row r="49" spans="1:10">
      <c r="A49" s="1">
        <v>45538</v>
      </c>
      <c r="B49" s="1">
        <v>45538</v>
      </c>
      <c r="C49">
        <v>4.2673966662970146</v>
      </c>
      <c r="D49">
        <v>4.5673966662970145</v>
      </c>
      <c r="E49">
        <v>513.70713223692462</v>
      </c>
      <c r="F49">
        <v>33.540917124953268</v>
      </c>
      <c r="G49">
        <v>0.51</v>
      </c>
      <c r="H49">
        <v>0.58622522308595848</v>
      </c>
      <c r="I49">
        <v>0.69637380533808979</v>
      </c>
      <c r="J49">
        <v>21.480998964419861</v>
      </c>
    </row>
    <row r="50" spans="1:10">
      <c r="A50" s="1">
        <v>45539</v>
      </c>
      <c r="B50" s="1">
        <v>45539</v>
      </c>
      <c r="C50">
        <v>4.2673966662970146</v>
      </c>
      <c r="D50">
        <v>4.5673966662970145</v>
      </c>
      <c r="E50">
        <v>511.75308218747261</v>
      </c>
      <c r="F50">
        <v>37.410727081650307</v>
      </c>
      <c r="G50">
        <v>0.51</v>
      </c>
      <c r="H50">
        <v>0.58622522308595848</v>
      </c>
      <c r="I50">
        <v>0.69637380533808979</v>
      </c>
      <c r="J50">
        <v>21.480998964419861</v>
      </c>
    </row>
    <row r="51" spans="1:10">
      <c r="A51" s="1">
        <v>45540</v>
      </c>
      <c r="B51" s="1">
        <v>45540</v>
      </c>
      <c r="C51">
        <v>4.2673966662970146</v>
      </c>
      <c r="D51">
        <v>4.5673966662970145</v>
      </c>
      <c r="E51">
        <v>522.70656857082884</v>
      </c>
      <c r="F51">
        <v>36.395857410505563</v>
      </c>
      <c r="G51">
        <v>0.51</v>
      </c>
      <c r="H51">
        <v>0.58622522308595848</v>
      </c>
      <c r="I51">
        <v>0.69637380533808979</v>
      </c>
      <c r="J51">
        <v>21.480998964419861</v>
      </c>
    </row>
    <row r="52" spans="1:10">
      <c r="A52" s="1">
        <v>45541</v>
      </c>
      <c r="B52" s="1">
        <v>45541</v>
      </c>
      <c r="C52">
        <v>4.2673966662970146</v>
      </c>
      <c r="D52">
        <v>4.5673966662970145</v>
      </c>
      <c r="E52">
        <v>532.188131066653</v>
      </c>
      <c r="F52">
        <v>36.507951964224453</v>
      </c>
      <c r="G52">
        <v>0.51</v>
      </c>
      <c r="H52">
        <v>0.58622522308595848</v>
      </c>
      <c r="I52">
        <v>0.69637380533808979</v>
      </c>
      <c r="J52">
        <v>21.480998964419861</v>
      </c>
    </row>
    <row r="53" spans="1:10">
      <c r="A53" s="1">
        <v>45544</v>
      </c>
      <c r="B53" s="1">
        <v>45544</v>
      </c>
      <c r="C53">
        <v>4.2673966662970146</v>
      </c>
      <c r="D53">
        <v>4.5673966662970145</v>
      </c>
      <c r="E53">
        <v>517.3116455854497</v>
      </c>
      <c r="F53">
        <v>37.431692692754503</v>
      </c>
      <c r="G53">
        <v>0.51</v>
      </c>
      <c r="H53">
        <v>0.58622522308595848</v>
      </c>
      <c r="I53">
        <v>0.69637380533808979</v>
      </c>
      <c r="J53">
        <v>21.480998964419861</v>
      </c>
    </row>
    <row r="54" spans="1:10">
      <c r="A54" s="1">
        <v>45545</v>
      </c>
      <c r="B54" s="1">
        <v>45545</v>
      </c>
      <c r="C54">
        <v>4.2673966662970146</v>
      </c>
      <c r="D54">
        <v>4.5673966662970145</v>
      </c>
      <c r="E54">
        <v>497.37124106053943</v>
      </c>
      <c r="F54">
        <v>37.503844178929498</v>
      </c>
      <c r="G54">
        <v>0.51</v>
      </c>
      <c r="H54">
        <v>0.58622522308595848</v>
      </c>
      <c r="I54">
        <v>0.69637380533808979</v>
      </c>
      <c r="J54">
        <v>21.480998964419861</v>
      </c>
    </row>
    <row r="55" spans="1:10">
      <c r="A55" s="1">
        <v>45546</v>
      </c>
      <c r="B55" s="1">
        <v>45546</v>
      </c>
      <c r="C55">
        <v>4.2673966662970146</v>
      </c>
      <c r="D55">
        <v>4.5673966662970145</v>
      </c>
      <c r="E55">
        <v>527.47091092554547</v>
      </c>
      <c r="F55">
        <v>35.373299071793276</v>
      </c>
      <c r="G55">
        <v>0.51</v>
      </c>
      <c r="H55">
        <v>0.58622522308595848</v>
      </c>
      <c r="I55">
        <v>0.69637380533808979</v>
      </c>
      <c r="J55">
        <v>21.480998964419861</v>
      </c>
    </row>
    <row r="56" spans="1:10">
      <c r="A56" s="1">
        <v>45547</v>
      </c>
      <c r="B56" s="1">
        <v>45547</v>
      </c>
      <c r="C56">
        <v>4.2673966662970146</v>
      </c>
      <c r="D56">
        <v>4.5673966662970145</v>
      </c>
      <c r="E56">
        <v>513.34508315746712</v>
      </c>
      <c r="F56">
        <v>35.204769721896938</v>
      </c>
      <c r="G56">
        <v>0.51</v>
      </c>
      <c r="H56">
        <v>0.58622522308595848</v>
      </c>
      <c r="I56">
        <v>0.69637380533808979</v>
      </c>
      <c r="J56">
        <v>21.480998964419861</v>
      </c>
    </row>
    <row r="57" spans="1:10">
      <c r="A57" s="1">
        <v>45548</v>
      </c>
      <c r="B57" s="1">
        <v>45548</v>
      </c>
      <c r="C57">
        <v>4.2673966662970146</v>
      </c>
      <c r="D57">
        <v>4.5673966662970145</v>
      </c>
      <c r="E57">
        <v>520.74367749715975</v>
      </c>
      <c r="F57">
        <v>36.087773065868703</v>
      </c>
      <c r="G57">
        <v>0.51</v>
      </c>
      <c r="H57">
        <v>0.58622522308595848</v>
      </c>
      <c r="I57">
        <v>0.69637380533808979</v>
      </c>
      <c r="J57">
        <v>21.480998964419861</v>
      </c>
    </row>
    <row r="58" spans="1:10">
      <c r="A58" s="1">
        <v>45551</v>
      </c>
      <c r="B58" s="1">
        <v>45551</v>
      </c>
      <c r="C58">
        <v>4.2673966662970146</v>
      </c>
      <c r="D58">
        <v>4.5673966662970145</v>
      </c>
      <c r="E58">
        <v>523.13096162455111</v>
      </c>
      <c r="F58">
        <v>35.007736653853563</v>
      </c>
      <c r="G58">
        <v>0.51</v>
      </c>
      <c r="H58">
        <v>0.58622522308595848</v>
      </c>
      <c r="I58">
        <v>0.69637380533808979</v>
      </c>
      <c r="J58">
        <v>21.480998964419861</v>
      </c>
    </row>
    <row r="59" spans="1:10">
      <c r="A59" s="1">
        <v>45552</v>
      </c>
      <c r="B59" s="1">
        <v>45552</v>
      </c>
      <c r="C59">
        <v>4.2673966662970146</v>
      </c>
      <c r="D59">
        <v>4.5673966662970145</v>
      </c>
      <c r="E59">
        <v>527.31384931180708</v>
      </c>
      <c r="F59">
        <v>36.507903824806966</v>
      </c>
      <c r="G59">
        <v>0.51</v>
      </c>
      <c r="H59">
        <v>0.58622522308595848</v>
      </c>
      <c r="I59">
        <v>0.69637380533808979</v>
      </c>
      <c r="J59">
        <v>21.480998964419861</v>
      </c>
    </row>
    <row r="60" spans="1:10">
      <c r="A60" s="1">
        <v>45553</v>
      </c>
      <c r="B60" s="1">
        <v>45553</v>
      </c>
      <c r="C60">
        <v>4.2673966662970146</v>
      </c>
      <c r="D60">
        <v>4.5673966662970145</v>
      </c>
      <c r="E60">
        <v>512.96135942059118</v>
      </c>
      <c r="F60">
        <v>34.674962341486889</v>
      </c>
      <c r="G60">
        <v>0.51</v>
      </c>
      <c r="H60">
        <v>0.58622522308595848</v>
      </c>
      <c r="I60">
        <v>0.69637380533808979</v>
      </c>
      <c r="J60">
        <v>21.480998964419861</v>
      </c>
    </row>
    <row r="61" spans="1:10">
      <c r="A61" s="1">
        <v>45554</v>
      </c>
      <c r="B61" s="1">
        <v>45554</v>
      </c>
      <c r="C61">
        <v>4.2673966662970146</v>
      </c>
      <c r="D61">
        <v>4.5673966662970145</v>
      </c>
      <c r="E61">
        <v>523.15118662818793</v>
      </c>
      <c r="F61">
        <v>36.869108188255858</v>
      </c>
      <c r="G61">
        <v>0.51</v>
      </c>
      <c r="H61">
        <v>0.58622522308595848</v>
      </c>
      <c r="I61">
        <v>0.69637380533808979</v>
      </c>
      <c r="J61">
        <v>21.480998964419861</v>
      </c>
    </row>
    <row r="62" spans="1:10">
      <c r="A62" s="1">
        <v>45555</v>
      </c>
      <c r="B62" s="1">
        <v>45555</v>
      </c>
      <c r="C62">
        <v>4.2673966662970146</v>
      </c>
      <c r="D62">
        <v>4.5673966662970145</v>
      </c>
      <c r="E62">
        <v>537.88559293176934</v>
      </c>
      <c r="F62">
        <v>37.462433338710198</v>
      </c>
      <c r="G62">
        <v>0.51</v>
      </c>
      <c r="H62">
        <v>0.58622522308595848</v>
      </c>
      <c r="I62">
        <v>0.69637380533808979</v>
      </c>
      <c r="J62">
        <v>21.480998964419861</v>
      </c>
    </row>
    <row r="63" spans="1:10">
      <c r="A63" s="1">
        <v>45558</v>
      </c>
      <c r="B63" s="1">
        <v>45558</v>
      </c>
      <c r="C63">
        <v>4.2673966662970146</v>
      </c>
      <c r="D63">
        <v>4.5673966662970145</v>
      </c>
      <c r="E63">
        <v>532.2472706547685</v>
      </c>
      <c r="F63">
        <v>34.369551203292218</v>
      </c>
      <c r="G63">
        <v>0.51</v>
      </c>
      <c r="H63">
        <v>0.58622522308595848</v>
      </c>
      <c r="I63">
        <v>0.69637380533808979</v>
      </c>
      <c r="J63">
        <v>21.480998964419861</v>
      </c>
    </row>
    <row r="64" spans="1:10">
      <c r="A64" s="1">
        <v>45559</v>
      </c>
      <c r="B64" s="1">
        <v>45559</v>
      </c>
      <c r="C64">
        <v>4.2673966662970146</v>
      </c>
      <c r="D64">
        <v>4.5673966662970145</v>
      </c>
      <c r="E64">
        <v>522.04348060472546</v>
      </c>
      <c r="F64">
        <v>36.056053697585789</v>
      </c>
      <c r="G64">
        <v>0.51</v>
      </c>
      <c r="H64">
        <v>0.58622522308595848</v>
      </c>
      <c r="I64">
        <v>0.69637380533808979</v>
      </c>
      <c r="J64">
        <v>21.480998964419861</v>
      </c>
    </row>
    <row r="65" spans="1:10">
      <c r="A65" s="1">
        <v>45560</v>
      </c>
      <c r="B65" s="1">
        <v>45560</v>
      </c>
      <c r="C65">
        <v>4.2673966662970146</v>
      </c>
      <c r="D65">
        <v>4.5673966662970145</v>
      </c>
      <c r="E65">
        <v>520.09199299431816</v>
      </c>
      <c r="F65">
        <v>36.542902715825278</v>
      </c>
      <c r="G65">
        <v>0.51</v>
      </c>
      <c r="H65">
        <v>0.58622522308595848</v>
      </c>
      <c r="I65">
        <v>0.69637380533808979</v>
      </c>
      <c r="J65">
        <v>21.480998964419861</v>
      </c>
    </row>
    <row r="66" spans="1:10">
      <c r="A66" s="1">
        <v>45561</v>
      </c>
      <c r="B66" s="1">
        <v>45561</v>
      </c>
      <c r="C66">
        <v>4.2673966662970146</v>
      </c>
      <c r="D66">
        <v>4.5673966662970145</v>
      </c>
      <c r="E66">
        <v>540.12883892343245</v>
      </c>
      <c r="F66">
        <v>31.639460356579985</v>
      </c>
      <c r="G66">
        <v>0.51</v>
      </c>
      <c r="H66">
        <v>0.58622522308595848</v>
      </c>
      <c r="I66">
        <v>0.69637380533808979</v>
      </c>
      <c r="J66">
        <v>21.480998964419861</v>
      </c>
    </row>
    <row r="67" spans="1:10">
      <c r="A67" s="1">
        <v>45562</v>
      </c>
      <c r="B67" s="1">
        <v>45562</v>
      </c>
      <c r="C67">
        <v>4.2673966662970146</v>
      </c>
      <c r="D67">
        <v>4.5673966662970145</v>
      </c>
      <c r="E67">
        <v>536.2664893358143</v>
      </c>
      <c r="F67">
        <v>37.977390000372033</v>
      </c>
      <c r="G67">
        <v>0.51</v>
      </c>
      <c r="H67">
        <v>0.58622522308595848</v>
      </c>
      <c r="I67">
        <v>0.69637380533808979</v>
      </c>
      <c r="J67">
        <v>21.480998964419861</v>
      </c>
    </row>
    <row r="68" spans="1:10">
      <c r="A68" s="1">
        <v>45565</v>
      </c>
      <c r="B68" s="1">
        <v>45565</v>
      </c>
      <c r="C68">
        <v>4.2673966662970146</v>
      </c>
      <c r="D68">
        <v>4.5673966662970145</v>
      </c>
      <c r="E68">
        <v>518.09408162026887</v>
      </c>
      <c r="F68">
        <v>38.871389157128235</v>
      </c>
      <c r="G68">
        <v>0.51</v>
      </c>
      <c r="H68">
        <v>0.58622522308595848</v>
      </c>
      <c r="I68">
        <v>0.69637380533808979</v>
      </c>
      <c r="J68">
        <v>21.480998964419861</v>
      </c>
    </row>
    <row r="69" spans="1:10">
      <c r="A69" s="1">
        <v>45566</v>
      </c>
      <c r="B69" s="1">
        <v>45566</v>
      </c>
      <c r="C69">
        <v>4.2673966662970146</v>
      </c>
      <c r="D69">
        <v>4.5673966662970145</v>
      </c>
      <c r="E69">
        <v>521.06811410363935</v>
      </c>
      <c r="F69">
        <v>38.177538871691119</v>
      </c>
      <c r="G69">
        <v>0.51</v>
      </c>
      <c r="H69">
        <v>0.58622522308595848</v>
      </c>
      <c r="I69">
        <v>0.69637380533808979</v>
      </c>
      <c r="J69">
        <v>21.480998964419861</v>
      </c>
    </row>
    <row r="70" spans="1:10">
      <c r="A70" s="1">
        <v>45567</v>
      </c>
      <c r="B70" s="1">
        <v>45567</v>
      </c>
      <c r="C70">
        <v>4.2673966662970146</v>
      </c>
      <c r="D70">
        <v>4.5673966662970145</v>
      </c>
      <c r="E70">
        <v>519.63760474574099</v>
      </c>
      <c r="F70">
        <v>36.619308886075032</v>
      </c>
      <c r="G70">
        <v>0.51</v>
      </c>
      <c r="H70">
        <v>0.58622522308595848</v>
      </c>
      <c r="I70">
        <v>0.69637380533808979</v>
      </c>
      <c r="J70">
        <v>21.480998964419861</v>
      </c>
    </row>
    <row r="71" spans="1:10">
      <c r="A71" s="1">
        <v>45568</v>
      </c>
      <c r="B71" s="1">
        <v>45568</v>
      </c>
      <c r="C71">
        <v>4.2673966662970146</v>
      </c>
      <c r="D71">
        <v>4.5673966662970145</v>
      </c>
      <c r="E71">
        <v>505.17360342139176</v>
      </c>
      <c r="F71">
        <v>34.214608536746645</v>
      </c>
      <c r="G71">
        <v>0.51</v>
      </c>
      <c r="H71">
        <v>0.58622522308595848</v>
      </c>
      <c r="I71">
        <v>0.69637380533808979</v>
      </c>
      <c r="J71">
        <v>21.480998964419861</v>
      </c>
    </row>
    <row r="72" spans="1:10">
      <c r="A72" s="1">
        <v>45569</v>
      </c>
      <c r="B72" s="1">
        <v>45569</v>
      </c>
      <c r="C72">
        <v>4.2673966662970146</v>
      </c>
      <c r="D72">
        <v>4.5673966662970145</v>
      </c>
      <c r="E72">
        <v>507.72189019385485</v>
      </c>
      <c r="F72">
        <v>35.22310243127037</v>
      </c>
      <c r="G72">
        <v>0.51</v>
      </c>
      <c r="H72">
        <v>0.58622522308595848</v>
      </c>
      <c r="I72">
        <v>0.69637380533808979</v>
      </c>
      <c r="J72">
        <v>21.480998964419861</v>
      </c>
    </row>
    <row r="73" spans="1:10">
      <c r="A73" s="1">
        <v>45572</v>
      </c>
      <c r="B73" s="1">
        <v>45572</v>
      </c>
      <c r="C73">
        <v>4.2673966662970146</v>
      </c>
      <c r="D73">
        <v>4.5673966662970145</v>
      </c>
      <c r="E73">
        <v>517.31698614699565</v>
      </c>
      <c r="F73">
        <v>36.026182457142042</v>
      </c>
      <c r="G73">
        <v>0.51</v>
      </c>
      <c r="H73">
        <v>0.58622522308595848</v>
      </c>
      <c r="I73">
        <v>0.69637380533808979</v>
      </c>
      <c r="J73">
        <v>21.480998964419861</v>
      </c>
    </row>
    <row r="74" spans="1:10">
      <c r="A74" s="1">
        <v>45573</v>
      </c>
      <c r="B74" s="1">
        <v>45573</v>
      </c>
      <c r="C74">
        <v>4.2673966662970146</v>
      </c>
      <c r="D74">
        <v>4.5673966662970145</v>
      </c>
      <c r="E74">
        <v>525.43073217534254</v>
      </c>
      <c r="F74">
        <v>37.234504262236491</v>
      </c>
      <c r="G74">
        <v>0.51</v>
      </c>
      <c r="H74">
        <v>0.58622522308595848</v>
      </c>
      <c r="I74">
        <v>0.69637380533808979</v>
      </c>
      <c r="J74">
        <v>21.480998964419861</v>
      </c>
    </row>
    <row r="75" spans="1:10">
      <c r="A75" s="1">
        <v>45574</v>
      </c>
      <c r="B75" s="1">
        <v>45574</v>
      </c>
      <c r="C75">
        <v>4.2673966662970146</v>
      </c>
      <c r="D75">
        <v>4.5673966662970145</v>
      </c>
      <c r="E75">
        <v>530.58644878684322</v>
      </c>
      <c r="F75">
        <v>38.593047701854488</v>
      </c>
      <c r="G75">
        <v>0.51</v>
      </c>
      <c r="H75">
        <v>0.58622522308595848</v>
      </c>
      <c r="I75">
        <v>0.69637380533808979</v>
      </c>
      <c r="J75">
        <v>21.480998964419861</v>
      </c>
    </row>
    <row r="76" spans="1:10">
      <c r="A76" s="1">
        <v>45575</v>
      </c>
      <c r="B76" s="1">
        <v>45575</v>
      </c>
      <c r="C76">
        <v>4.2673966662970146</v>
      </c>
      <c r="D76">
        <v>4.5673966662970145</v>
      </c>
      <c r="E76">
        <v>526.84773178507248</v>
      </c>
      <c r="F76">
        <v>34.409934910960267</v>
      </c>
      <c r="G76">
        <v>0.51</v>
      </c>
      <c r="H76">
        <v>0.58622522308595848</v>
      </c>
      <c r="I76">
        <v>0.69637380533808979</v>
      </c>
      <c r="J76">
        <v>21.480998964419861</v>
      </c>
    </row>
    <row r="77" spans="1:10">
      <c r="A77" s="1">
        <v>45576</v>
      </c>
      <c r="B77" s="1">
        <v>45576</v>
      </c>
      <c r="C77">
        <v>4.2673966662970146</v>
      </c>
      <c r="D77">
        <v>4.5673966662970145</v>
      </c>
      <c r="E77">
        <v>537.28883621502587</v>
      </c>
      <c r="F77">
        <v>35.67763258727706</v>
      </c>
      <c r="G77">
        <v>0.51</v>
      </c>
      <c r="H77">
        <v>0.58622522308595848</v>
      </c>
      <c r="I77">
        <v>0.69637380533808979</v>
      </c>
      <c r="J77">
        <v>21.480998964419861</v>
      </c>
    </row>
    <row r="78" spans="1:10">
      <c r="A78" s="1">
        <v>45579</v>
      </c>
      <c r="B78" s="1">
        <v>45579</v>
      </c>
      <c r="C78">
        <v>4.2673966662970146</v>
      </c>
      <c r="D78">
        <v>4.5673966662970145</v>
      </c>
      <c r="E78">
        <v>510.95755783295709</v>
      </c>
      <c r="F78">
        <v>36.361235403707774</v>
      </c>
      <c r="G78">
        <v>0.51</v>
      </c>
      <c r="H78">
        <v>0.58622522308595848</v>
      </c>
      <c r="I78">
        <v>0.69637380533808979</v>
      </c>
      <c r="J78">
        <v>21.480998964419861</v>
      </c>
    </row>
    <row r="79" spans="1:10">
      <c r="A79" s="1">
        <v>45580</v>
      </c>
      <c r="B79" s="1">
        <v>45580</v>
      </c>
      <c r="C79">
        <v>4.2673966662970146</v>
      </c>
      <c r="D79">
        <v>4.5673966662970145</v>
      </c>
      <c r="E79">
        <v>524.42784001604173</v>
      </c>
      <c r="F79">
        <v>34.51844114678088</v>
      </c>
      <c r="G79">
        <v>0.51</v>
      </c>
      <c r="H79">
        <v>0.58622522308595848</v>
      </c>
      <c r="I79">
        <v>0.69637380533808979</v>
      </c>
      <c r="J79">
        <v>21.480998964419861</v>
      </c>
    </row>
    <row r="80" spans="1:10">
      <c r="A80" s="1">
        <v>45581</v>
      </c>
      <c r="B80" s="1">
        <v>45581</v>
      </c>
      <c r="C80">
        <v>4.2673966662970146</v>
      </c>
      <c r="D80">
        <v>4.5673966662970145</v>
      </c>
      <c r="E80">
        <v>513.24489245494237</v>
      </c>
      <c r="F80">
        <v>32.964519277322864</v>
      </c>
      <c r="G80">
        <v>0.51</v>
      </c>
      <c r="H80">
        <v>0.58622522308595848</v>
      </c>
      <c r="I80">
        <v>0.69637380533808979</v>
      </c>
      <c r="J80">
        <v>21.480998964419861</v>
      </c>
    </row>
    <row r="81" spans="1:10">
      <c r="A81" s="1">
        <v>45582</v>
      </c>
      <c r="B81" s="1">
        <v>45582</v>
      </c>
      <c r="C81">
        <v>4.2673966662970146</v>
      </c>
      <c r="D81">
        <v>4.5673966662970145</v>
      </c>
      <c r="E81">
        <v>510.54982754314813</v>
      </c>
      <c r="F81">
        <v>38.843388877012586</v>
      </c>
      <c r="G81">
        <v>0.51</v>
      </c>
      <c r="H81">
        <v>0.58622522308595848</v>
      </c>
      <c r="I81">
        <v>0.69637380533808979</v>
      </c>
      <c r="J81">
        <v>21.480998964419861</v>
      </c>
    </row>
    <row r="82" spans="1:10">
      <c r="A82" s="1">
        <v>45583</v>
      </c>
      <c r="B82" s="1">
        <v>45583</v>
      </c>
      <c r="C82">
        <v>4.2673966662970146</v>
      </c>
      <c r="D82">
        <v>4.5673966662970145</v>
      </c>
      <c r="E82">
        <v>500.65524021553216</v>
      </c>
      <c r="F82">
        <v>36.197863612777248</v>
      </c>
      <c r="G82">
        <v>0.51</v>
      </c>
      <c r="H82">
        <v>0.58622522308595848</v>
      </c>
      <c r="I82">
        <v>0.69637380533808979</v>
      </c>
      <c r="J82">
        <v>21.480998964419861</v>
      </c>
    </row>
    <row r="83" spans="1:10">
      <c r="A83" s="1">
        <v>45586</v>
      </c>
      <c r="B83" s="1">
        <v>45586</v>
      </c>
      <c r="C83">
        <v>4.2673966662970146</v>
      </c>
      <c r="D83">
        <v>4.5673966662970145</v>
      </c>
      <c r="E83">
        <v>526.30764188086027</v>
      </c>
      <c r="F83">
        <v>31.903766033590831</v>
      </c>
      <c r="G83">
        <v>0.51</v>
      </c>
      <c r="H83">
        <v>0.58622522308595848</v>
      </c>
      <c r="I83">
        <v>0.69637380533808979</v>
      </c>
      <c r="J83">
        <v>21.480998964419861</v>
      </c>
    </row>
    <row r="84" spans="1:10">
      <c r="A84" s="1">
        <v>45587</v>
      </c>
      <c r="B84" s="1">
        <v>45587</v>
      </c>
      <c r="C84">
        <v>4.2673966662970146</v>
      </c>
      <c r="D84">
        <v>4.5673966662970145</v>
      </c>
      <c r="E84">
        <v>503.27772887100986</v>
      </c>
      <c r="F84">
        <v>34.700299074557918</v>
      </c>
      <c r="G84">
        <v>0.51</v>
      </c>
      <c r="H84">
        <v>0.58622522308595848</v>
      </c>
      <c r="I84">
        <v>0.69637380533808979</v>
      </c>
      <c r="J84">
        <v>21.480998964419861</v>
      </c>
    </row>
    <row r="85" spans="1:10">
      <c r="A85" s="1">
        <v>45588</v>
      </c>
      <c r="B85" s="1">
        <v>45588</v>
      </c>
      <c r="C85">
        <v>4.2673966662970146</v>
      </c>
      <c r="D85">
        <v>4.5673966662970145</v>
      </c>
      <c r="E85">
        <v>524.50718710051979</v>
      </c>
      <c r="F85">
        <v>36.785113066407</v>
      </c>
      <c r="G85">
        <v>0.51</v>
      </c>
      <c r="H85">
        <v>0.58622522308595848</v>
      </c>
      <c r="I85">
        <v>0.69637380533808979</v>
      </c>
      <c r="J85">
        <v>21.480998964419861</v>
      </c>
    </row>
    <row r="86" spans="1:10">
      <c r="A86" s="1">
        <v>45589</v>
      </c>
      <c r="B86" s="1">
        <v>45589</v>
      </c>
      <c r="C86">
        <v>4.2673966662970146</v>
      </c>
      <c r="D86">
        <v>4.5673966662970145</v>
      </c>
      <c r="E86">
        <v>515.36175151013708</v>
      </c>
      <c r="F86">
        <v>32.663660020704327</v>
      </c>
      <c r="G86">
        <v>0.51</v>
      </c>
      <c r="H86">
        <v>0.58622522308595848</v>
      </c>
      <c r="I86">
        <v>0.69637380533808979</v>
      </c>
      <c r="J86">
        <v>21.480998964419861</v>
      </c>
    </row>
    <row r="87" spans="1:10">
      <c r="A87" s="1">
        <v>45590</v>
      </c>
      <c r="B87" s="1">
        <v>45590</v>
      </c>
      <c r="C87">
        <v>4.2673966662970146</v>
      </c>
      <c r="D87">
        <v>4.5673966662970145</v>
      </c>
      <c r="E87">
        <v>517.14969430926703</v>
      </c>
      <c r="F87">
        <v>33.753214450807342</v>
      </c>
      <c r="G87">
        <v>0.51</v>
      </c>
      <c r="H87">
        <v>0.58622522308595848</v>
      </c>
      <c r="I87">
        <v>0.69637380533808979</v>
      </c>
      <c r="J87">
        <v>21.480998964419861</v>
      </c>
    </row>
    <row r="88" spans="1:10">
      <c r="A88" s="1">
        <v>45593</v>
      </c>
      <c r="B88" s="1">
        <v>45593</v>
      </c>
      <c r="C88">
        <v>4.2673966662970146</v>
      </c>
      <c r="D88">
        <v>4.5673966662970145</v>
      </c>
      <c r="E88">
        <v>520.48882112331125</v>
      </c>
      <c r="F88">
        <v>35.576750546470514</v>
      </c>
      <c r="G88">
        <v>0.51</v>
      </c>
      <c r="H88">
        <v>0.58622522308595848</v>
      </c>
      <c r="I88">
        <v>0.69637380533808979</v>
      </c>
      <c r="J88">
        <v>21.480998964419861</v>
      </c>
    </row>
    <row r="89" spans="1:10">
      <c r="A89" s="1">
        <v>45594</v>
      </c>
      <c r="B89" s="1">
        <v>45594</v>
      </c>
      <c r="C89">
        <v>4.2673966662970146</v>
      </c>
      <c r="D89">
        <v>4.5673966662970145</v>
      </c>
      <c r="E89">
        <v>514.41442644072208</v>
      </c>
      <c r="F89">
        <v>35.935791902463038</v>
      </c>
      <c r="G89">
        <v>0.51</v>
      </c>
      <c r="H89">
        <v>0.58622522308595848</v>
      </c>
      <c r="I89">
        <v>0.69637380533808979</v>
      </c>
      <c r="J89">
        <v>21.480998964419861</v>
      </c>
    </row>
    <row r="90" spans="1:10">
      <c r="A90" s="1">
        <v>45595</v>
      </c>
      <c r="B90" s="1">
        <v>45595</v>
      </c>
      <c r="C90">
        <v>4.2673966662970146</v>
      </c>
      <c r="D90">
        <v>4.5673966662970145</v>
      </c>
      <c r="E90">
        <v>521.35320758712373</v>
      </c>
      <c r="F90">
        <v>39.852168698482494</v>
      </c>
      <c r="G90">
        <v>0.51</v>
      </c>
      <c r="H90">
        <v>0.58622522308595848</v>
      </c>
      <c r="I90">
        <v>0.69637380533808979</v>
      </c>
      <c r="J90">
        <v>21.480998964419861</v>
      </c>
    </row>
    <row r="91" spans="1:10">
      <c r="A91" s="1">
        <v>45596</v>
      </c>
      <c r="B91" s="1">
        <v>45596</v>
      </c>
      <c r="C91">
        <v>4.2673966662970146</v>
      </c>
      <c r="D91">
        <v>4.5673966662970145</v>
      </c>
      <c r="E91">
        <v>525.47126336773511</v>
      </c>
      <c r="F91">
        <v>33.369281534794361</v>
      </c>
      <c r="G91">
        <v>0.51</v>
      </c>
      <c r="H91">
        <v>0.58622522308595848</v>
      </c>
      <c r="I91">
        <v>0.69637380533808979</v>
      </c>
      <c r="J91">
        <v>21.480998964419861</v>
      </c>
    </row>
    <row r="92" spans="1:10">
      <c r="A92" s="1">
        <v>45597</v>
      </c>
      <c r="B92" s="1">
        <v>45597</v>
      </c>
      <c r="C92">
        <v>4.2673966662970146</v>
      </c>
      <c r="D92">
        <v>4.5673966662970145</v>
      </c>
      <c r="E92">
        <v>524.92422847234855</v>
      </c>
      <c r="F92">
        <v>37.288061425361455</v>
      </c>
      <c r="G92">
        <v>0.51</v>
      </c>
      <c r="H92">
        <v>0.58622522308595848</v>
      </c>
      <c r="I92">
        <v>0.69637380533808979</v>
      </c>
      <c r="J92">
        <v>21.480998964419861</v>
      </c>
    </row>
    <row r="93" spans="1:10">
      <c r="A93" s="1">
        <v>45600</v>
      </c>
      <c r="B93" s="1">
        <v>45600</v>
      </c>
      <c r="C93">
        <v>4.2673966662970146</v>
      </c>
      <c r="D93">
        <v>4.5673966662970145</v>
      </c>
      <c r="E93">
        <v>522.20713424205326</v>
      </c>
      <c r="F93">
        <v>31.650322904748691</v>
      </c>
      <c r="G93">
        <v>0.51</v>
      </c>
      <c r="H93">
        <v>0.58622522308595848</v>
      </c>
      <c r="I93">
        <v>0.69637380533808979</v>
      </c>
      <c r="J93">
        <v>21.480998964419861</v>
      </c>
    </row>
    <row r="94" spans="1:10">
      <c r="A94" s="1">
        <v>45601</v>
      </c>
      <c r="B94" s="1">
        <v>45601</v>
      </c>
      <c r="C94">
        <v>4.2673966662970146</v>
      </c>
      <c r="D94">
        <v>4.5673966662970145</v>
      </c>
      <c r="E94">
        <v>515.64888691324416</v>
      </c>
      <c r="F94">
        <v>36.620235715193715</v>
      </c>
      <c r="G94">
        <v>0.51</v>
      </c>
      <c r="H94">
        <v>0.58622522308595848</v>
      </c>
      <c r="I94">
        <v>0.69637380533808979</v>
      </c>
      <c r="J94">
        <v>21.480998964419861</v>
      </c>
    </row>
    <row r="95" spans="1:10">
      <c r="A95" s="1">
        <v>45602</v>
      </c>
      <c r="B95" s="1">
        <v>45602</v>
      </c>
      <c r="C95">
        <v>4.2673966662970146</v>
      </c>
      <c r="D95">
        <v>4.5673966662970145</v>
      </c>
      <c r="E95">
        <v>536.10897363457173</v>
      </c>
      <c r="F95">
        <v>36.937532840536861</v>
      </c>
      <c r="G95">
        <v>0.51</v>
      </c>
      <c r="H95">
        <v>0.58622522308595848</v>
      </c>
      <c r="I95">
        <v>0.69637380533808979</v>
      </c>
      <c r="J95">
        <v>21.480998964419861</v>
      </c>
    </row>
    <row r="96" spans="1:10">
      <c r="A96" s="1">
        <v>45603</v>
      </c>
      <c r="B96" s="1">
        <v>45603</v>
      </c>
      <c r="C96">
        <v>4.2673966662970146</v>
      </c>
      <c r="D96">
        <v>4.5673966662970145</v>
      </c>
      <c r="E96">
        <v>517.28006995164219</v>
      </c>
      <c r="F96">
        <v>35.88745871101618</v>
      </c>
      <c r="G96">
        <v>0.51</v>
      </c>
      <c r="H96">
        <v>0.58622522308595848</v>
      </c>
      <c r="I96">
        <v>0.69637380533808979</v>
      </c>
      <c r="J96">
        <v>21.480998964419861</v>
      </c>
    </row>
    <row r="97" spans="1:10">
      <c r="A97" s="1">
        <v>45604</v>
      </c>
      <c r="B97" s="1">
        <v>45604</v>
      </c>
      <c r="C97">
        <v>4.2673966662970146</v>
      </c>
      <c r="D97">
        <v>4.5673966662970145</v>
      </c>
      <c r="E97">
        <v>528.99225924456107</v>
      </c>
      <c r="F97">
        <v>35.4569154449905</v>
      </c>
      <c r="G97">
        <v>0.51</v>
      </c>
      <c r="H97">
        <v>0.58622522308595848</v>
      </c>
      <c r="I97">
        <v>0.69637380533808979</v>
      </c>
      <c r="J97">
        <v>21.480998964419861</v>
      </c>
    </row>
    <row r="98" spans="1:10">
      <c r="A98" s="1">
        <v>45607</v>
      </c>
      <c r="B98" s="1">
        <v>45607</v>
      </c>
      <c r="C98">
        <v>4.2673966662970146</v>
      </c>
      <c r="D98">
        <v>4.5673966662970145</v>
      </c>
      <c r="E98">
        <v>517.42304384379247</v>
      </c>
      <c r="F98">
        <v>37.518331065102508</v>
      </c>
      <c r="G98">
        <v>0.51</v>
      </c>
      <c r="H98">
        <v>0.58622522308595848</v>
      </c>
      <c r="I98">
        <v>0.69637380533808979</v>
      </c>
      <c r="J98">
        <v>21.480998964419861</v>
      </c>
    </row>
    <row r="99" spans="1:10">
      <c r="A99" s="1">
        <v>45608</v>
      </c>
      <c r="B99" s="1">
        <v>45608</v>
      </c>
      <c r="C99">
        <v>4.2673966662970146</v>
      </c>
      <c r="D99">
        <v>4.5673966662970145</v>
      </c>
      <c r="E99">
        <v>529.04843127843753</v>
      </c>
      <c r="F99">
        <v>34.582564281722448</v>
      </c>
      <c r="G99">
        <v>0.51</v>
      </c>
      <c r="H99">
        <v>0.58622522308595848</v>
      </c>
      <c r="I99">
        <v>0.69637380533808979</v>
      </c>
      <c r="J99">
        <v>21.480998964419861</v>
      </c>
    </row>
    <row r="100" spans="1:10">
      <c r="A100" s="1">
        <v>45609</v>
      </c>
      <c r="B100" s="1">
        <v>45609</v>
      </c>
      <c r="C100">
        <v>4.2673966662970146</v>
      </c>
      <c r="D100">
        <v>4.5673966662970145</v>
      </c>
      <c r="E100">
        <v>531.81967408169714</v>
      </c>
      <c r="F100">
        <v>35.781815410833232</v>
      </c>
      <c r="G100">
        <v>0.51</v>
      </c>
      <c r="H100">
        <v>0.58622522308595848</v>
      </c>
      <c r="I100">
        <v>0.69637380533808979</v>
      </c>
      <c r="J100">
        <v>21.480998964419861</v>
      </c>
    </row>
    <row r="101" spans="1:10">
      <c r="A101" s="1">
        <v>45610</v>
      </c>
      <c r="B101" s="1">
        <v>45610</v>
      </c>
      <c r="C101">
        <v>4.2673966662970146</v>
      </c>
      <c r="D101">
        <v>4.5673966662970145</v>
      </c>
      <c r="E101">
        <v>533.5889314917589</v>
      </c>
      <c r="F101">
        <v>33.048725447314801</v>
      </c>
      <c r="G101">
        <v>0.51</v>
      </c>
      <c r="H101">
        <v>0.58622522308595848</v>
      </c>
      <c r="I101">
        <v>0.69637380533808979</v>
      </c>
      <c r="J101">
        <v>21.480998964419861</v>
      </c>
    </row>
    <row r="102" spans="1:10">
      <c r="A102" s="1">
        <v>45611</v>
      </c>
      <c r="B102" s="1">
        <v>45611</v>
      </c>
      <c r="C102">
        <v>4.2673966662970146</v>
      </c>
      <c r="D102">
        <v>4.5673966662970145</v>
      </c>
      <c r="E102">
        <v>526.73029310842708</v>
      </c>
      <c r="F102">
        <v>32.437144607131579</v>
      </c>
      <c r="G102">
        <v>0.51</v>
      </c>
      <c r="H102">
        <v>0.58622522308595848</v>
      </c>
      <c r="I102">
        <v>0.69637380533808979</v>
      </c>
      <c r="J102">
        <v>21.480998964419861</v>
      </c>
    </row>
    <row r="103" spans="1:10">
      <c r="A103" s="1">
        <v>45614</v>
      </c>
      <c r="B103" s="1">
        <v>45614</v>
      </c>
      <c r="C103">
        <v>4.2673966662970146</v>
      </c>
      <c r="D103">
        <v>4.5673966662970145</v>
      </c>
      <c r="E103">
        <v>523.40289081823187</v>
      </c>
      <c r="F103">
        <v>36.01280346098423</v>
      </c>
      <c r="G103">
        <v>0.51</v>
      </c>
      <c r="H103">
        <v>0.58622522308595848</v>
      </c>
      <c r="I103">
        <v>0.69637380533808979</v>
      </c>
      <c r="J103">
        <v>21.480998964419861</v>
      </c>
    </row>
    <row r="104" spans="1:10">
      <c r="A104" s="1">
        <v>45615</v>
      </c>
      <c r="B104" s="1">
        <v>45615</v>
      </c>
      <c r="C104">
        <v>4.2673966662970146</v>
      </c>
      <c r="D104">
        <v>4.5673966662970145</v>
      </c>
      <c r="E104">
        <v>518.93351635077624</v>
      </c>
      <c r="F104">
        <v>35.871119803578878</v>
      </c>
      <c r="G104">
        <v>0.51</v>
      </c>
      <c r="H104">
        <v>0.58622522308595848</v>
      </c>
      <c r="I104">
        <v>0.69637380533808979</v>
      </c>
      <c r="J104">
        <v>21.480998964419861</v>
      </c>
    </row>
    <row r="105" spans="1:10">
      <c r="A105" s="1">
        <v>45616</v>
      </c>
      <c r="B105" s="1">
        <v>45616</v>
      </c>
      <c r="C105">
        <v>4.2673966662970146</v>
      </c>
      <c r="D105">
        <v>4.5673966662970145</v>
      </c>
      <c r="E105">
        <v>507.81466802024062</v>
      </c>
      <c r="F105">
        <v>37.77879319883673</v>
      </c>
      <c r="G105">
        <v>0.51</v>
      </c>
      <c r="H105">
        <v>0.58622522308595848</v>
      </c>
      <c r="I105">
        <v>0.69637380533808979</v>
      </c>
      <c r="J105">
        <v>21.480998964419861</v>
      </c>
    </row>
    <row r="106" spans="1:10">
      <c r="A106" s="1">
        <v>45617</v>
      </c>
      <c r="B106" s="1">
        <v>45617</v>
      </c>
      <c r="C106">
        <v>4.2673966662970146</v>
      </c>
      <c r="D106">
        <v>4.5673966662970145</v>
      </c>
      <c r="E106">
        <v>524.46018700972547</v>
      </c>
      <c r="F106">
        <v>32.114757632959723</v>
      </c>
      <c r="G106">
        <v>0.51</v>
      </c>
      <c r="H106">
        <v>0.58622522308595848</v>
      </c>
      <c r="I106">
        <v>0.69637380533808979</v>
      </c>
      <c r="J106">
        <v>21.480998964419861</v>
      </c>
    </row>
    <row r="107" spans="1:10">
      <c r="A107" s="1">
        <v>45618</v>
      </c>
      <c r="B107" s="1">
        <v>45618</v>
      </c>
      <c r="C107">
        <v>4.2673966662970146</v>
      </c>
      <c r="D107">
        <v>4.5673966662970145</v>
      </c>
      <c r="E107">
        <v>511.0350049060815</v>
      </c>
      <c r="F107">
        <v>32.990193735683377</v>
      </c>
      <c r="G107">
        <v>0.51</v>
      </c>
      <c r="H107">
        <v>0.58622522308595848</v>
      </c>
      <c r="I107">
        <v>0.69637380533808979</v>
      </c>
      <c r="J107">
        <v>21.480998964419861</v>
      </c>
    </row>
    <row r="108" spans="1:10">
      <c r="A108" s="1">
        <v>45621</v>
      </c>
      <c r="B108" s="1">
        <v>45621</v>
      </c>
      <c r="C108">
        <v>4.2673966662970146</v>
      </c>
      <c r="D108">
        <v>4.5673966662970145</v>
      </c>
      <c r="E108">
        <v>512.82183548062983</v>
      </c>
      <c r="F108">
        <v>38.919572057281215</v>
      </c>
      <c r="G108">
        <v>0.51</v>
      </c>
      <c r="H108">
        <v>0.58622522308595848</v>
      </c>
      <c r="I108">
        <v>0.69637380533808979</v>
      </c>
      <c r="J108">
        <v>21.480998964419861</v>
      </c>
    </row>
    <row r="109" spans="1:10">
      <c r="A109" s="1">
        <v>45622</v>
      </c>
      <c r="B109" s="1">
        <v>45622</v>
      </c>
      <c r="C109">
        <v>4.2673966662970146</v>
      </c>
      <c r="D109">
        <v>4.5673966662970145</v>
      </c>
      <c r="E109">
        <v>508.17742911314099</v>
      </c>
      <c r="F109">
        <v>33.570522570556591</v>
      </c>
      <c r="G109">
        <v>0.51</v>
      </c>
      <c r="H109">
        <v>0.58622522308595848</v>
      </c>
      <c r="I109">
        <v>0.69637380533808979</v>
      </c>
      <c r="J109">
        <v>21.480998964419861</v>
      </c>
    </row>
    <row r="110" spans="1:10">
      <c r="A110" s="1">
        <v>45623</v>
      </c>
      <c r="B110" s="1">
        <v>45623</v>
      </c>
      <c r="C110">
        <v>4.2673966662970146</v>
      </c>
      <c r="D110">
        <v>4.5673966662970145</v>
      </c>
      <c r="E110">
        <v>531.98906518296087</v>
      </c>
      <c r="F110">
        <v>33.701149075922331</v>
      </c>
      <c r="G110">
        <v>0.51</v>
      </c>
      <c r="H110">
        <v>0.58622522308595848</v>
      </c>
      <c r="I110">
        <v>0.69637380533808979</v>
      </c>
      <c r="J110">
        <v>21.480998964419861</v>
      </c>
    </row>
    <row r="111" spans="1:10">
      <c r="A111" s="1">
        <v>45624</v>
      </c>
      <c r="B111" s="1">
        <v>45624</v>
      </c>
      <c r="C111">
        <v>4.2673966662970146</v>
      </c>
      <c r="D111">
        <v>4.5673966662970145</v>
      </c>
      <c r="E111">
        <v>515.93919471522906</v>
      </c>
      <c r="F111">
        <v>35.893820498689188</v>
      </c>
      <c r="G111">
        <v>0.51</v>
      </c>
      <c r="H111">
        <v>0.58622522308595848</v>
      </c>
      <c r="I111">
        <v>0.69637380533808979</v>
      </c>
      <c r="J111">
        <v>21.480998964419861</v>
      </c>
    </row>
    <row r="112" spans="1:10">
      <c r="A112" s="1">
        <v>45625</v>
      </c>
      <c r="B112" s="1">
        <v>45625</v>
      </c>
      <c r="C112">
        <v>4.2673966662970146</v>
      </c>
      <c r="D112">
        <v>4.5673966662970145</v>
      </c>
      <c r="E112">
        <v>515.10657395515636</v>
      </c>
      <c r="F112">
        <v>37.261775851271153</v>
      </c>
      <c r="G112">
        <v>0.51</v>
      </c>
      <c r="H112">
        <v>0.58622522308595848</v>
      </c>
      <c r="I112">
        <v>0.69637380533808979</v>
      </c>
      <c r="J112">
        <v>21.480998964419861</v>
      </c>
    </row>
    <row r="113" spans="1:10">
      <c r="A113" s="1">
        <v>45628</v>
      </c>
      <c r="B113" s="1">
        <v>45628</v>
      </c>
      <c r="C113">
        <v>4.2673966662970146</v>
      </c>
      <c r="D113">
        <v>4.5673966662970145</v>
      </c>
      <c r="E113">
        <v>533.54353468270938</v>
      </c>
      <c r="F113">
        <v>33.419755958445421</v>
      </c>
      <c r="G113">
        <v>0.51</v>
      </c>
      <c r="H113">
        <v>0.58622522308595848</v>
      </c>
      <c r="I113">
        <v>0.69637380533808979</v>
      </c>
      <c r="J113">
        <v>21.480998964419861</v>
      </c>
    </row>
    <row r="114" spans="1:10">
      <c r="A114" s="1">
        <v>45629</v>
      </c>
      <c r="B114" s="1">
        <v>45629</v>
      </c>
      <c r="C114">
        <v>4.2673966662970146</v>
      </c>
      <c r="D114">
        <v>4.5673966662970145</v>
      </c>
      <c r="E114">
        <v>531.607670131281</v>
      </c>
      <c r="F114">
        <v>36.093931049142718</v>
      </c>
      <c r="G114">
        <v>0.51</v>
      </c>
      <c r="H114">
        <v>0.58622522308595848</v>
      </c>
      <c r="I114">
        <v>0.69637380533808979</v>
      </c>
      <c r="J114">
        <v>21.480998964419861</v>
      </c>
    </row>
    <row r="115" spans="1:10">
      <c r="A115" s="1">
        <v>45630</v>
      </c>
      <c r="B115" s="1">
        <v>45630</v>
      </c>
      <c r="C115">
        <v>4.2673966662970146</v>
      </c>
      <c r="D115">
        <v>4.5673966662970145</v>
      </c>
      <c r="E115">
        <v>505.89790012212694</v>
      </c>
      <c r="F115">
        <v>34.513344281579769</v>
      </c>
      <c r="G115">
        <v>0.51</v>
      </c>
      <c r="H115">
        <v>0.58622522308595848</v>
      </c>
      <c r="I115">
        <v>0.69637380533808979</v>
      </c>
      <c r="J115">
        <v>21.480998964419861</v>
      </c>
    </row>
    <row r="116" spans="1:10">
      <c r="A116" s="1">
        <v>45631</v>
      </c>
      <c r="B116" s="1">
        <v>45631</v>
      </c>
      <c r="C116">
        <v>4.2673966662970146</v>
      </c>
      <c r="D116">
        <v>4.5673966662970145</v>
      </c>
      <c r="E116">
        <v>529.79953538933034</v>
      </c>
      <c r="F116">
        <v>35.19107127360914</v>
      </c>
      <c r="G116">
        <v>0.51</v>
      </c>
      <c r="H116">
        <v>0.58622522308595848</v>
      </c>
      <c r="I116">
        <v>0.69637380533808979</v>
      </c>
      <c r="J116">
        <v>21.480998964419861</v>
      </c>
    </row>
    <row r="117" spans="1:10">
      <c r="A117" s="1">
        <v>45632</v>
      </c>
      <c r="B117" s="1">
        <v>45632</v>
      </c>
      <c r="C117">
        <v>4.2673966662970146</v>
      </c>
      <c r="D117">
        <v>4.5673966662970145</v>
      </c>
      <c r="E117">
        <v>528.61607532171593</v>
      </c>
      <c r="F117">
        <v>35.267902627929885</v>
      </c>
      <c r="G117">
        <v>0.51</v>
      </c>
      <c r="H117">
        <v>0.58622522308595848</v>
      </c>
      <c r="I117">
        <v>0.69637380533808979</v>
      </c>
      <c r="J117">
        <v>21.480998964419861</v>
      </c>
    </row>
    <row r="118" spans="1:10">
      <c r="A118" s="1">
        <v>45635</v>
      </c>
      <c r="B118" s="1">
        <v>45635</v>
      </c>
      <c r="C118">
        <v>4.2673966662970146</v>
      </c>
      <c r="D118">
        <v>4.5673966662970145</v>
      </c>
      <c r="E118">
        <v>523.08314422068872</v>
      </c>
      <c r="F118">
        <v>35.17528247415661</v>
      </c>
      <c r="G118">
        <v>0.51</v>
      </c>
      <c r="H118">
        <v>0.58622522308595848</v>
      </c>
      <c r="I118">
        <v>0.69637380533808979</v>
      </c>
      <c r="J118">
        <v>21.480998964419861</v>
      </c>
    </row>
    <row r="119" spans="1:10">
      <c r="A119" s="1">
        <v>45636</v>
      </c>
      <c r="B119" s="1">
        <v>45636</v>
      </c>
      <c r="C119">
        <v>4.2673966662970146</v>
      </c>
      <c r="D119">
        <v>4.5673966662970145</v>
      </c>
      <c r="E119">
        <v>525.33299531242415</v>
      </c>
      <c r="F119">
        <v>34.845973906945552</v>
      </c>
      <c r="G119">
        <v>0.51</v>
      </c>
      <c r="H119">
        <v>0.58622522308595848</v>
      </c>
      <c r="I119">
        <v>0.69637380533808979</v>
      </c>
      <c r="J119">
        <v>21.480998964419861</v>
      </c>
    </row>
    <row r="120" spans="1:10">
      <c r="A120" s="1">
        <v>45637</v>
      </c>
      <c r="B120" s="1">
        <v>45637</v>
      </c>
      <c r="C120">
        <v>4.2673966662970146</v>
      </c>
      <c r="D120">
        <v>4.5673966662970145</v>
      </c>
      <c r="E120">
        <v>520.52135173370175</v>
      </c>
      <c r="F120">
        <v>35.675213765333758</v>
      </c>
      <c r="G120">
        <v>0.51</v>
      </c>
      <c r="H120">
        <v>0.58622522308595848</v>
      </c>
      <c r="I120">
        <v>0.69637380533808979</v>
      </c>
      <c r="J120">
        <v>21.480998964419861</v>
      </c>
    </row>
    <row r="121" spans="1:10">
      <c r="A121" s="1">
        <v>45638</v>
      </c>
      <c r="B121" s="1">
        <v>45638</v>
      </c>
      <c r="C121">
        <v>4.2673966662970146</v>
      </c>
      <c r="D121">
        <v>4.5673966662970145</v>
      </c>
      <c r="E121">
        <v>528.18845357052157</v>
      </c>
      <c r="F121">
        <v>36.350682089155711</v>
      </c>
      <c r="G121">
        <v>0.51</v>
      </c>
      <c r="H121">
        <v>0.58622522308595848</v>
      </c>
      <c r="I121">
        <v>0.69637380533808979</v>
      </c>
      <c r="J121">
        <v>21.480998964419861</v>
      </c>
    </row>
    <row r="122" spans="1:10">
      <c r="A122" s="1">
        <v>45639</v>
      </c>
      <c r="B122" s="1">
        <v>45639</v>
      </c>
      <c r="C122">
        <v>4.2673966662970146</v>
      </c>
      <c r="D122">
        <v>4.5673966662970145</v>
      </c>
      <c r="E122">
        <v>543.23214577777662</v>
      </c>
      <c r="F122">
        <v>32.946771757570353</v>
      </c>
      <c r="G122">
        <v>0.51</v>
      </c>
      <c r="H122">
        <v>0.58622522308595848</v>
      </c>
      <c r="I122">
        <v>0.69637380533808979</v>
      </c>
      <c r="J122">
        <v>21.480998964419861</v>
      </c>
    </row>
    <row r="123" spans="1:10">
      <c r="A123" s="1">
        <v>45642</v>
      </c>
      <c r="B123" s="1">
        <v>45642</v>
      </c>
      <c r="C123">
        <v>4.2673966662970146</v>
      </c>
      <c r="D123">
        <v>4.5673966662970145</v>
      </c>
      <c r="E123">
        <v>513.82869071503205</v>
      </c>
      <c r="F123">
        <v>35.940659924730177</v>
      </c>
      <c r="G123">
        <v>0.51</v>
      </c>
      <c r="H123">
        <v>0.58622522308595848</v>
      </c>
      <c r="I123">
        <v>0.69637380533808979</v>
      </c>
      <c r="J123">
        <v>21.480998964419861</v>
      </c>
    </row>
    <row r="124" spans="1:10">
      <c r="A124" s="1">
        <v>45643</v>
      </c>
      <c r="B124" s="1">
        <v>45643</v>
      </c>
      <c r="C124">
        <v>4.2673966662970146</v>
      </c>
      <c r="D124">
        <v>4.5673966662970145</v>
      </c>
      <c r="E124">
        <v>522.77241819357653</v>
      </c>
      <c r="F124">
        <v>38.576572890703076</v>
      </c>
      <c r="G124">
        <v>0.51</v>
      </c>
      <c r="H124">
        <v>0.58622522308595848</v>
      </c>
      <c r="I124">
        <v>0.69637380533808979</v>
      </c>
      <c r="J124">
        <v>21.480998964419861</v>
      </c>
    </row>
    <row r="125" spans="1:10">
      <c r="A125" s="1">
        <v>45644</v>
      </c>
      <c r="B125" s="1">
        <v>45644</v>
      </c>
      <c r="C125">
        <v>4.2673966662970146</v>
      </c>
      <c r="D125">
        <v>4.5673966662970145</v>
      </c>
      <c r="E125">
        <v>532.51643351919734</v>
      </c>
      <c r="F125">
        <v>33.577844065040765</v>
      </c>
      <c r="G125">
        <v>0.51</v>
      </c>
      <c r="H125">
        <v>0.58622522308595848</v>
      </c>
      <c r="I125">
        <v>0.69637380533808979</v>
      </c>
      <c r="J125">
        <v>21.480998964419861</v>
      </c>
    </row>
    <row r="126" spans="1:10">
      <c r="A126" s="1">
        <v>45645</v>
      </c>
      <c r="B126" s="1">
        <v>45645</v>
      </c>
      <c r="C126">
        <v>4.2673966662970146</v>
      </c>
      <c r="D126">
        <v>4.5673966662970145</v>
      </c>
      <c r="E126">
        <v>520.62189714518422</v>
      </c>
      <c r="F126">
        <v>34.273819863802274</v>
      </c>
      <c r="G126">
        <v>0.51</v>
      </c>
      <c r="H126">
        <v>0.58622522308595848</v>
      </c>
      <c r="I126">
        <v>0.69637380533808979</v>
      </c>
      <c r="J126">
        <v>21.480998964419861</v>
      </c>
    </row>
    <row r="127" spans="1:10">
      <c r="A127" s="1">
        <v>45646</v>
      </c>
      <c r="B127" s="1">
        <v>45646</v>
      </c>
      <c r="C127">
        <v>4.2673966662970146</v>
      </c>
      <c r="D127">
        <v>4.5673966662970145</v>
      </c>
      <c r="E127">
        <v>526.20599485945434</v>
      </c>
      <c r="F127">
        <v>35.04117491915305</v>
      </c>
      <c r="G127">
        <v>0.51</v>
      </c>
      <c r="H127">
        <v>0.58622522308595848</v>
      </c>
      <c r="I127">
        <v>0.69637380533808979</v>
      </c>
      <c r="J127">
        <v>21.480998964419861</v>
      </c>
    </row>
    <row r="128" spans="1:10">
      <c r="A128" s="1">
        <v>45649</v>
      </c>
      <c r="B128" s="1">
        <v>45649</v>
      </c>
      <c r="C128">
        <v>4.2673966662970146</v>
      </c>
      <c r="D128">
        <v>4.5673966662970145</v>
      </c>
      <c r="E128">
        <v>517.04493262395727</v>
      </c>
      <c r="F128">
        <v>38.780175946295344</v>
      </c>
      <c r="G128">
        <v>0.51</v>
      </c>
      <c r="H128">
        <v>0.58622522308595848</v>
      </c>
      <c r="I128">
        <v>0.69637380533808979</v>
      </c>
      <c r="J128">
        <v>21.480998964419861</v>
      </c>
    </row>
    <row r="129" spans="1:10">
      <c r="A129" s="1">
        <v>45650</v>
      </c>
      <c r="B129" s="1">
        <v>45650</v>
      </c>
      <c r="C129">
        <v>4.2673966662970146</v>
      </c>
      <c r="D129">
        <v>4.5673966662970145</v>
      </c>
      <c r="E129">
        <v>525.64383161138835</v>
      </c>
      <c r="F129">
        <v>32.768439329408231</v>
      </c>
      <c r="G129">
        <v>0.51</v>
      </c>
      <c r="H129">
        <v>0.58622522308595848</v>
      </c>
      <c r="I129">
        <v>0.69637380533808979</v>
      </c>
      <c r="J129">
        <v>21.480998964419861</v>
      </c>
    </row>
    <row r="130" spans="1:10">
      <c r="A130" s="1">
        <v>45651</v>
      </c>
      <c r="B130" s="1">
        <v>45651</v>
      </c>
      <c r="C130">
        <v>4.2673966662970146</v>
      </c>
      <c r="D130">
        <v>4.5673966662970145</v>
      </c>
      <c r="E130">
        <v>527.12274850635845</v>
      </c>
      <c r="F130">
        <v>35.076887703840278</v>
      </c>
      <c r="G130">
        <v>0.51</v>
      </c>
      <c r="H130">
        <v>0.58622522308595848</v>
      </c>
      <c r="I130">
        <v>0.69637380533808979</v>
      </c>
      <c r="J130">
        <v>21.480998964419861</v>
      </c>
    </row>
    <row r="131" spans="1:10">
      <c r="A131" s="1">
        <v>45652</v>
      </c>
      <c r="B131" s="1">
        <v>45652</v>
      </c>
      <c r="C131">
        <v>4.2673966662970146</v>
      </c>
      <c r="D131">
        <v>4.5673966662970145</v>
      </c>
      <c r="E131">
        <v>524.67140023830802</v>
      </c>
      <c r="F131">
        <v>37.269325583002299</v>
      </c>
      <c r="G131">
        <v>0.51</v>
      </c>
      <c r="H131">
        <v>0.58622522308595848</v>
      </c>
      <c r="I131">
        <v>0.69637380533808979</v>
      </c>
      <c r="J131">
        <v>21.480998964419861</v>
      </c>
    </row>
    <row r="132" spans="1:10">
      <c r="A132" s="1">
        <v>45653</v>
      </c>
      <c r="B132" s="1">
        <v>45653</v>
      </c>
      <c r="C132">
        <v>4.2673966662970146</v>
      </c>
      <c r="D132">
        <v>4.5673966662970145</v>
      </c>
      <c r="E132">
        <v>538.11054275070501</v>
      </c>
      <c r="F132">
        <v>37.556834648507568</v>
      </c>
      <c r="G132">
        <v>0.51</v>
      </c>
      <c r="H132">
        <v>0.58622522308595848</v>
      </c>
      <c r="I132">
        <v>0.69637380533808979</v>
      </c>
      <c r="J132">
        <v>21.480998964419861</v>
      </c>
    </row>
    <row r="133" spans="1:10">
      <c r="A133" s="1">
        <v>45656</v>
      </c>
      <c r="B133" s="1">
        <v>45656</v>
      </c>
      <c r="C133">
        <v>4.2673966662970146</v>
      </c>
      <c r="D133">
        <v>4.5673966662970145</v>
      </c>
      <c r="E133">
        <v>517.5858067903855</v>
      </c>
      <c r="F133">
        <v>37.216915567990753</v>
      </c>
      <c r="G133">
        <v>0.51</v>
      </c>
      <c r="H133">
        <v>0.58622522308595848</v>
      </c>
      <c r="I133">
        <v>0.69637380533808979</v>
      </c>
      <c r="J133">
        <v>21.480998964419861</v>
      </c>
    </row>
    <row r="134" spans="1:10">
      <c r="A134" s="1">
        <v>45657</v>
      </c>
      <c r="B134" s="1">
        <v>45657</v>
      </c>
      <c r="C134">
        <v>4.2673966662970146</v>
      </c>
      <c r="D134">
        <v>4.5673966662970145</v>
      </c>
      <c r="E134">
        <v>521.26552072319168</v>
      </c>
      <c r="F134">
        <v>35.095293562251562</v>
      </c>
      <c r="G134">
        <v>0.51</v>
      </c>
      <c r="H134">
        <v>0.58622522308595848</v>
      </c>
      <c r="I134">
        <v>0.69637380533808979</v>
      </c>
      <c r="J134">
        <v>21.480998964419861</v>
      </c>
    </row>
    <row r="135" spans="1:10">
      <c r="A135" s="1">
        <v>45658</v>
      </c>
      <c r="B135" s="1">
        <v>45658</v>
      </c>
      <c r="C135">
        <v>4.2673966662970146</v>
      </c>
      <c r="D135">
        <v>4.5673966662970145</v>
      </c>
      <c r="E135">
        <v>516.54045636690978</v>
      </c>
      <c r="F135">
        <v>33.493286657754147</v>
      </c>
      <c r="G135">
        <v>0.51</v>
      </c>
      <c r="H135">
        <v>0.58622522308595848</v>
      </c>
      <c r="I135">
        <v>0.69637380533808979</v>
      </c>
      <c r="J135">
        <v>21.480998964419861</v>
      </c>
    </row>
    <row r="136" spans="1:10">
      <c r="A136" s="1">
        <v>45659</v>
      </c>
      <c r="B136" s="1">
        <v>45659</v>
      </c>
      <c r="C136">
        <v>4.2673966662970146</v>
      </c>
      <c r="D136">
        <v>4.5673966662970145</v>
      </c>
      <c r="E136">
        <v>523.69561273494821</v>
      </c>
      <c r="F136">
        <v>34.439675066131365</v>
      </c>
      <c r="G136">
        <v>0.51</v>
      </c>
      <c r="H136">
        <v>0.58622522308595848</v>
      </c>
      <c r="I136">
        <v>0.69637380533808979</v>
      </c>
      <c r="J136">
        <v>21.480998964419861</v>
      </c>
    </row>
    <row r="137" spans="1:10">
      <c r="A137" s="1">
        <v>45660</v>
      </c>
      <c r="B137" s="1">
        <v>45660</v>
      </c>
      <c r="C137">
        <v>4.2673966662970146</v>
      </c>
      <c r="D137">
        <v>4.5673966662970145</v>
      </c>
      <c r="E137">
        <v>519.44142404343108</v>
      </c>
      <c r="F137">
        <v>37.957151253170558</v>
      </c>
      <c r="G137">
        <v>0.51</v>
      </c>
      <c r="H137">
        <v>0.58622522308595848</v>
      </c>
      <c r="I137">
        <v>0.69637380533808979</v>
      </c>
      <c r="J137">
        <v>21.480998964419861</v>
      </c>
    </row>
    <row r="138" spans="1:10">
      <c r="A138" s="1">
        <v>45663</v>
      </c>
      <c r="B138" s="1">
        <v>45663</v>
      </c>
      <c r="C138">
        <v>4.2673966662970146</v>
      </c>
      <c r="D138">
        <v>4.5673966662970145</v>
      </c>
      <c r="E138">
        <v>510.28619561554069</v>
      </c>
      <c r="F138">
        <v>34.897902281938983</v>
      </c>
      <c r="G138">
        <v>0.51</v>
      </c>
      <c r="H138">
        <v>0.58622522308595848</v>
      </c>
      <c r="I138">
        <v>0.69637380533808979</v>
      </c>
      <c r="J138">
        <v>21.480998964419861</v>
      </c>
    </row>
    <row r="139" spans="1:10">
      <c r="A139" s="1">
        <v>45664</v>
      </c>
      <c r="B139" s="1">
        <v>45664</v>
      </c>
      <c r="C139">
        <v>4.2673966662970146</v>
      </c>
      <c r="D139">
        <v>4.5673966662970145</v>
      </c>
      <c r="E139">
        <v>518.4540314993551</v>
      </c>
      <c r="F139">
        <v>32.861107183401785</v>
      </c>
      <c r="G139">
        <v>0.51</v>
      </c>
      <c r="H139">
        <v>0.58622522308595848</v>
      </c>
      <c r="I139">
        <v>0.69637380533808979</v>
      </c>
      <c r="J139">
        <v>21.480998964419861</v>
      </c>
    </row>
    <row r="140" spans="1:10">
      <c r="A140" s="1">
        <v>45665</v>
      </c>
      <c r="B140" s="1">
        <v>45665</v>
      </c>
      <c r="C140">
        <v>4.2673966662970146</v>
      </c>
      <c r="D140">
        <v>4.5673966662970145</v>
      </c>
      <c r="E140">
        <v>523.34793657173645</v>
      </c>
      <c r="F140">
        <v>36.202205933651641</v>
      </c>
      <c r="G140">
        <v>0.51</v>
      </c>
      <c r="H140">
        <v>0.58622522308595848</v>
      </c>
      <c r="I140">
        <v>0.69637380533808979</v>
      </c>
      <c r="J140">
        <v>21.480998964419861</v>
      </c>
    </row>
    <row r="141" spans="1:10">
      <c r="A141" s="1">
        <v>45666</v>
      </c>
      <c r="B141" s="1">
        <v>45666</v>
      </c>
      <c r="C141">
        <v>4.2673966662970146</v>
      </c>
      <c r="D141">
        <v>4.5673966662970145</v>
      </c>
      <c r="E141">
        <v>514.24723628728339</v>
      </c>
      <c r="F141">
        <v>36.347420132057856</v>
      </c>
      <c r="G141">
        <v>0.51</v>
      </c>
      <c r="H141">
        <v>0.58622522308595848</v>
      </c>
      <c r="I141">
        <v>0.69637380533808979</v>
      </c>
      <c r="J141">
        <v>21.480998964419861</v>
      </c>
    </row>
    <row r="142" spans="1:10">
      <c r="A142" s="1">
        <v>45667</v>
      </c>
      <c r="B142" s="1">
        <v>45667</v>
      </c>
      <c r="C142">
        <v>4.2673966662970146</v>
      </c>
      <c r="D142">
        <v>4.5673966662970145</v>
      </c>
      <c r="E142">
        <v>528.86146886242477</v>
      </c>
      <c r="F142">
        <v>39.890964537386168</v>
      </c>
      <c r="G142">
        <v>0.51</v>
      </c>
      <c r="H142">
        <v>0.58622522308595848</v>
      </c>
      <c r="I142">
        <v>0.69637380533808979</v>
      </c>
      <c r="J142">
        <v>21.480998964419861</v>
      </c>
    </row>
    <row r="143" spans="1:10">
      <c r="A143" s="1">
        <v>45670</v>
      </c>
      <c r="B143" s="1">
        <v>45670</v>
      </c>
      <c r="C143">
        <v>4.2673966662970146</v>
      </c>
      <c r="D143">
        <v>4.5673966662970145</v>
      </c>
      <c r="E143">
        <v>530.39885736250221</v>
      </c>
      <c r="F143">
        <v>32.718551169294209</v>
      </c>
      <c r="G143">
        <v>0.51</v>
      </c>
      <c r="H143">
        <v>0.58622522308595848</v>
      </c>
      <c r="I143">
        <v>0.69637380533808979</v>
      </c>
      <c r="J143">
        <v>21.480998964419861</v>
      </c>
    </row>
    <row r="144" spans="1:10">
      <c r="A144" s="1">
        <v>45671</v>
      </c>
      <c r="B144" s="1">
        <v>45671</v>
      </c>
      <c r="C144">
        <v>4.2673966662970146</v>
      </c>
      <c r="D144">
        <v>4.5673966662970145</v>
      </c>
      <c r="E144">
        <v>522.81325494931127</v>
      </c>
      <c r="F144">
        <v>34.721626413004543</v>
      </c>
      <c r="G144">
        <v>0.51</v>
      </c>
      <c r="H144">
        <v>0.58622522308595848</v>
      </c>
      <c r="I144">
        <v>0.69637380533808979</v>
      </c>
      <c r="J144">
        <v>21.480998964419861</v>
      </c>
    </row>
    <row r="145" spans="1:10">
      <c r="A145" s="1">
        <v>45672</v>
      </c>
      <c r="B145" s="1">
        <v>45672</v>
      </c>
      <c r="C145">
        <v>4.2673966662970146</v>
      </c>
      <c r="D145">
        <v>4.5673966662970145</v>
      </c>
      <c r="E145">
        <v>506.20241306032915</v>
      </c>
      <c r="F145">
        <v>34.716461772188239</v>
      </c>
      <c r="G145">
        <v>0.51</v>
      </c>
      <c r="H145">
        <v>0.58622522308595848</v>
      </c>
      <c r="I145">
        <v>0.69637380533808979</v>
      </c>
      <c r="J145">
        <v>21.480998964419861</v>
      </c>
    </row>
    <row r="146" spans="1:10">
      <c r="A146" s="1">
        <v>45673</v>
      </c>
      <c r="B146" s="1">
        <v>45673</v>
      </c>
      <c r="C146">
        <v>4.2673966662970146</v>
      </c>
      <c r="D146">
        <v>4.5673966662970145</v>
      </c>
      <c r="E146">
        <v>518.36473836978178</v>
      </c>
      <c r="F146">
        <v>34.214297788486782</v>
      </c>
      <c r="G146">
        <v>0.51</v>
      </c>
      <c r="H146">
        <v>0.58622522308595848</v>
      </c>
      <c r="I146">
        <v>0.69637380533808979</v>
      </c>
      <c r="J146">
        <v>21.480998964419861</v>
      </c>
    </row>
    <row r="147" spans="1:10">
      <c r="A147" s="1">
        <v>45674</v>
      </c>
      <c r="B147" s="1">
        <v>45674</v>
      </c>
      <c r="C147">
        <v>4.2673966662970146</v>
      </c>
      <c r="D147">
        <v>4.5673966662970145</v>
      </c>
      <c r="E147">
        <v>531.11959882784538</v>
      </c>
      <c r="F147">
        <v>35.225444999570527</v>
      </c>
      <c r="G147">
        <v>0.51</v>
      </c>
      <c r="H147">
        <v>0.58622522308595848</v>
      </c>
      <c r="I147">
        <v>0.69637380533808979</v>
      </c>
      <c r="J147">
        <v>21.480998964419861</v>
      </c>
    </row>
    <row r="148" spans="1:10">
      <c r="A148" s="1">
        <v>45677</v>
      </c>
      <c r="B148" s="1">
        <v>45677</v>
      </c>
      <c r="C148">
        <v>4.2673966662970146</v>
      </c>
      <c r="D148">
        <v>4.5673966662970145</v>
      </c>
      <c r="E148">
        <v>507.90459843945132</v>
      </c>
      <c r="F148">
        <v>36.521021968672294</v>
      </c>
      <c r="G148">
        <v>0.51</v>
      </c>
      <c r="H148">
        <v>0.58622522308595848</v>
      </c>
      <c r="I148">
        <v>0.69637380533808979</v>
      </c>
      <c r="J148">
        <v>21.480998964419861</v>
      </c>
    </row>
    <row r="149" spans="1:10">
      <c r="A149" s="1">
        <v>45678</v>
      </c>
      <c r="B149" s="1">
        <v>45678</v>
      </c>
      <c r="C149">
        <v>4.2673966662970146</v>
      </c>
      <c r="D149">
        <v>4.5673966662970145</v>
      </c>
      <c r="E149">
        <v>534.13986765334812</v>
      </c>
      <c r="F149">
        <v>34.340170015008056</v>
      </c>
      <c r="G149">
        <v>0.51</v>
      </c>
      <c r="H149">
        <v>0.58622522308595848</v>
      </c>
      <c r="I149">
        <v>0.69637380533808979</v>
      </c>
      <c r="J149">
        <v>21.480998964419861</v>
      </c>
    </row>
    <row r="150" spans="1:10">
      <c r="A150" s="1">
        <v>45679</v>
      </c>
      <c r="B150" s="1">
        <v>45679</v>
      </c>
      <c r="C150">
        <v>4.2673966662970146</v>
      </c>
      <c r="D150">
        <v>4.5673966662970145</v>
      </c>
      <c r="E150">
        <v>540.99092632343104</v>
      </c>
      <c r="F150">
        <v>39.762808167664062</v>
      </c>
      <c r="G150">
        <v>0.51</v>
      </c>
      <c r="H150">
        <v>0.58622522308595848</v>
      </c>
      <c r="I150">
        <v>0.69637380533808979</v>
      </c>
      <c r="J150">
        <v>21.480998964419861</v>
      </c>
    </row>
    <row r="151" spans="1:10">
      <c r="A151" s="1">
        <v>45680</v>
      </c>
      <c r="B151" s="1">
        <v>45680</v>
      </c>
      <c r="C151">
        <v>4.2673966662970146</v>
      </c>
      <c r="D151">
        <v>4.5673966662970145</v>
      </c>
      <c r="E151">
        <v>516.30147517450678</v>
      </c>
      <c r="F151">
        <v>33.959484427970821</v>
      </c>
      <c r="G151">
        <v>0.51</v>
      </c>
      <c r="H151">
        <v>0.58622522308595848</v>
      </c>
      <c r="I151">
        <v>0.69637380533808979</v>
      </c>
      <c r="J151">
        <v>21.480998964419861</v>
      </c>
    </row>
    <row r="152" spans="1:10">
      <c r="A152" s="1">
        <v>45681</v>
      </c>
      <c r="B152" s="1">
        <v>45681</v>
      </c>
      <c r="C152">
        <v>4.2673966662970146</v>
      </c>
      <c r="D152">
        <v>4.5673966662970145</v>
      </c>
      <c r="E152">
        <v>516.73900148400696</v>
      </c>
      <c r="F152">
        <v>32.023620274019201</v>
      </c>
      <c r="G152">
        <v>0.51</v>
      </c>
      <c r="H152">
        <v>0.58622522308595848</v>
      </c>
      <c r="I152">
        <v>0.69637380533808979</v>
      </c>
      <c r="J152">
        <v>21.480998964419861</v>
      </c>
    </row>
    <row r="153" spans="1:10">
      <c r="A153" s="1">
        <v>45684</v>
      </c>
      <c r="B153" s="1">
        <v>45684</v>
      </c>
      <c r="C153">
        <v>4.2673966662970146</v>
      </c>
      <c r="D153">
        <v>4.5673966662970145</v>
      </c>
      <c r="E153">
        <v>503.90881094879722</v>
      </c>
      <c r="F153">
        <v>37.448310000730558</v>
      </c>
      <c r="G153">
        <v>0.51</v>
      </c>
      <c r="H153">
        <v>0.58622522308595848</v>
      </c>
      <c r="I153">
        <v>0.69637380533808979</v>
      </c>
      <c r="J153">
        <v>21.480998964419861</v>
      </c>
    </row>
    <row r="154" spans="1:10">
      <c r="A154" s="1">
        <v>45685</v>
      </c>
      <c r="B154" s="1">
        <v>45685</v>
      </c>
      <c r="C154">
        <v>4.2673966662970146</v>
      </c>
      <c r="D154">
        <v>4.5673966662970145</v>
      </c>
      <c r="E154">
        <v>545.30580764472745</v>
      </c>
      <c r="F154">
        <v>34.164433245785148</v>
      </c>
      <c r="G154">
        <v>0.51</v>
      </c>
      <c r="H154">
        <v>0.58622522308595848</v>
      </c>
      <c r="I154">
        <v>0.69637380533808979</v>
      </c>
      <c r="J154">
        <v>21.480998964419861</v>
      </c>
    </row>
    <row r="155" spans="1:10">
      <c r="A155" s="1">
        <v>45686</v>
      </c>
      <c r="B155" s="1">
        <v>45686</v>
      </c>
      <c r="C155">
        <v>4.2673966662970146</v>
      </c>
      <c r="D155">
        <v>4.5673966662970145</v>
      </c>
      <c r="E155">
        <v>536.11572233325523</v>
      </c>
      <c r="F155">
        <v>35.181471680361661</v>
      </c>
      <c r="G155">
        <v>0.51</v>
      </c>
      <c r="H155">
        <v>0.58622522308595848</v>
      </c>
      <c r="I155">
        <v>0.69637380533808979</v>
      </c>
      <c r="J155">
        <v>21.480998964419861</v>
      </c>
    </row>
    <row r="156" spans="1:10">
      <c r="A156" s="1">
        <v>45687</v>
      </c>
      <c r="B156" s="1">
        <v>45687</v>
      </c>
      <c r="C156">
        <v>4.2673966662970146</v>
      </c>
      <c r="D156">
        <v>4.5673966662970145</v>
      </c>
      <c r="E156">
        <v>524.75618270323673</v>
      </c>
      <c r="F156">
        <v>33.367796601167861</v>
      </c>
      <c r="G156">
        <v>0.51</v>
      </c>
      <c r="H156">
        <v>0.58622522308595848</v>
      </c>
      <c r="I156">
        <v>0.69637380533808979</v>
      </c>
      <c r="J156">
        <v>21.480998964419861</v>
      </c>
    </row>
    <row r="157" spans="1:10">
      <c r="A157" s="1">
        <v>45688</v>
      </c>
      <c r="B157" s="1">
        <v>45688</v>
      </c>
      <c r="C157">
        <v>4.2673966662970146</v>
      </c>
      <c r="D157">
        <v>4.5673966662970145</v>
      </c>
      <c r="E157">
        <v>536.73084361203792</v>
      </c>
      <c r="F157">
        <v>35.012359482275606</v>
      </c>
      <c r="G157">
        <v>0.51</v>
      </c>
      <c r="H157">
        <v>0.58622522308595848</v>
      </c>
      <c r="I157">
        <v>0.69637380533808979</v>
      </c>
      <c r="J157">
        <v>21.480998964419861</v>
      </c>
    </row>
    <row r="158" spans="1:10">
      <c r="A158" s="1">
        <v>45691</v>
      </c>
      <c r="B158" s="1">
        <v>45691</v>
      </c>
      <c r="C158">
        <v>4.2673966662970146</v>
      </c>
      <c r="D158">
        <v>4.5673966662970145</v>
      </c>
      <c r="E158">
        <v>515.87793338591268</v>
      </c>
      <c r="F158">
        <v>32.969702165665964</v>
      </c>
      <c r="G158">
        <v>0.51</v>
      </c>
      <c r="H158">
        <v>0.58622522308595848</v>
      </c>
      <c r="I158">
        <v>0.69637380533808979</v>
      </c>
      <c r="J158">
        <v>21.480998964419861</v>
      </c>
    </row>
    <row r="159" spans="1:10">
      <c r="A159" s="1">
        <v>45692</v>
      </c>
      <c r="B159" s="1">
        <v>45692</v>
      </c>
      <c r="C159">
        <v>4.2673966662970146</v>
      </c>
      <c r="D159">
        <v>4.5673966662970145</v>
      </c>
      <c r="E159">
        <v>495.79332388271968</v>
      </c>
      <c r="F159">
        <v>33.131017476716004</v>
      </c>
      <c r="G159">
        <v>0.51</v>
      </c>
      <c r="H159">
        <v>0.58622522308595848</v>
      </c>
      <c r="I159">
        <v>0.69637380533808979</v>
      </c>
      <c r="J159">
        <v>21.480998964419861</v>
      </c>
    </row>
    <row r="160" spans="1:10">
      <c r="A160" s="1">
        <v>45693</v>
      </c>
      <c r="B160" s="1">
        <v>45693</v>
      </c>
      <c r="C160">
        <v>4.2673966662970146</v>
      </c>
      <c r="D160">
        <v>4.5673966662970145</v>
      </c>
      <c r="E160">
        <v>517.34818760542021</v>
      </c>
      <c r="F160">
        <v>38.34859130961992</v>
      </c>
      <c r="G160">
        <v>0.51</v>
      </c>
      <c r="H160">
        <v>0.58622522308595848</v>
      </c>
      <c r="I160">
        <v>0.69637380533808979</v>
      </c>
      <c r="J160">
        <v>21.480998964419861</v>
      </c>
    </row>
    <row r="161" spans="1:10">
      <c r="A161" s="1">
        <v>45694</v>
      </c>
      <c r="B161" s="1">
        <v>45694</v>
      </c>
      <c r="C161">
        <v>4.2673966662970146</v>
      </c>
      <c r="D161">
        <v>4.5673966662970145</v>
      </c>
      <c r="E161">
        <v>519.82832683678259</v>
      </c>
      <c r="F161">
        <v>37.848519451827087</v>
      </c>
      <c r="G161">
        <v>0.51</v>
      </c>
      <c r="H161">
        <v>0.58622522308595848</v>
      </c>
      <c r="I161">
        <v>0.69637380533808979</v>
      </c>
      <c r="J161">
        <v>21.480998964419861</v>
      </c>
    </row>
    <row r="162" spans="1:10">
      <c r="A162" s="1">
        <v>45695</v>
      </c>
      <c r="B162" s="1">
        <v>45695</v>
      </c>
      <c r="C162">
        <v>4.2673966662970146</v>
      </c>
      <c r="D162">
        <v>4.5673966662970145</v>
      </c>
      <c r="E162">
        <v>527.93234418997474</v>
      </c>
      <c r="F162">
        <v>35.935767657503177</v>
      </c>
      <c r="G162">
        <v>0.51</v>
      </c>
      <c r="H162">
        <v>0.58622522308595848</v>
      </c>
      <c r="I162">
        <v>0.69637380533808979</v>
      </c>
      <c r="J162">
        <v>21.480998964419861</v>
      </c>
    </row>
    <row r="163" spans="1:10">
      <c r="A163" s="1">
        <v>45698</v>
      </c>
      <c r="B163" s="1">
        <v>45698</v>
      </c>
      <c r="C163">
        <v>4.2673966662970146</v>
      </c>
      <c r="D163">
        <v>4.5673966662970145</v>
      </c>
      <c r="E163">
        <v>531.98258323259608</v>
      </c>
      <c r="F163">
        <v>38.230993581670297</v>
      </c>
      <c r="G163">
        <v>0.51</v>
      </c>
      <c r="H163">
        <v>0.58622522308595848</v>
      </c>
      <c r="I163">
        <v>0.69637380533808979</v>
      </c>
      <c r="J163">
        <v>21.480998964419861</v>
      </c>
    </row>
    <row r="164" spans="1:10">
      <c r="A164" s="1">
        <v>45699</v>
      </c>
      <c r="B164" s="1">
        <v>45699</v>
      </c>
      <c r="C164">
        <v>4.2673966662970146</v>
      </c>
      <c r="D164">
        <v>4.5673966662970145</v>
      </c>
      <c r="E164">
        <v>519.65862296457271</v>
      </c>
      <c r="F164">
        <v>34.511958784987506</v>
      </c>
      <c r="G164">
        <v>0.51</v>
      </c>
      <c r="H164">
        <v>0.58622522308595848</v>
      </c>
      <c r="I164">
        <v>0.69637380533808979</v>
      </c>
      <c r="J164">
        <v>21.480998964419861</v>
      </c>
    </row>
    <row r="165" spans="1:10">
      <c r="A165" s="1">
        <v>45700</v>
      </c>
      <c r="B165" s="1">
        <v>45700</v>
      </c>
      <c r="C165">
        <v>4.2673966662970146</v>
      </c>
      <c r="D165">
        <v>4.5673966662970145</v>
      </c>
      <c r="E165">
        <v>509.72602800413631</v>
      </c>
      <c r="F165">
        <v>33.95232438053344</v>
      </c>
      <c r="G165">
        <v>0.51</v>
      </c>
      <c r="H165">
        <v>0.58622522308595848</v>
      </c>
      <c r="I165">
        <v>0.69637380533808979</v>
      </c>
      <c r="J165">
        <v>21.480998964419861</v>
      </c>
    </row>
    <row r="166" spans="1:10">
      <c r="A166" s="1">
        <v>45701</v>
      </c>
      <c r="B166" s="1">
        <v>45701</v>
      </c>
      <c r="C166">
        <v>4.2673966662970146</v>
      </c>
      <c r="D166">
        <v>4.5673966662970145</v>
      </c>
      <c r="E166">
        <v>537.58144975026539</v>
      </c>
      <c r="F166">
        <v>34.288839239571587</v>
      </c>
      <c r="G166">
        <v>0.51</v>
      </c>
      <c r="H166">
        <v>0.58622522308595848</v>
      </c>
      <c r="I166">
        <v>0.69637380533808979</v>
      </c>
      <c r="J166">
        <v>21.480998964419861</v>
      </c>
    </row>
    <row r="167" spans="1:10">
      <c r="A167" s="1">
        <v>45702</v>
      </c>
      <c r="B167" s="1">
        <v>45702</v>
      </c>
      <c r="C167">
        <v>4.2673966662970146</v>
      </c>
      <c r="D167">
        <v>4.5673966662970145</v>
      </c>
      <c r="E167">
        <v>518.31343141273396</v>
      </c>
      <c r="F167">
        <v>34.059250618439187</v>
      </c>
      <c r="G167">
        <v>0.51</v>
      </c>
      <c r="H167">
        <v>0.58622522308595848</v>
      </c>
      <c r="I167">
        <v>0.69637380533808979</v>
      </c>
      <c r="J167">
        <v>21.480998964419861</v>
      </c>
    </row>
    <row r="168" spans="1:10">
      <c r="A168" s="1">
        <v>45705</v>
      </c>
      <c r="B168" s="1">
        <v>45705</v>
      </c>
      <c r="C168">
        <v>4.2673966662970146</v>
      </c>
      <c r="D168">
        <v>4.5673966662970145</v>
      </c>
      <c r="E168">
        <v>527.36396744591377</v>
      </c>
      <c r="F168">
        <v>39.065581478786065</v>
      </c>
      <c r="G168">
        <v>0.51</v>
      </c>
      <c r="H168">
        <v>0.58622522308595848</v>
      </c>
      <c r="I168">
        <v>0.69637380533808979</v>
      </c>
      <c r="J168">
        <v>21.480998964419861</v>
      </c>
    </row>
    <row r="169" spans="1:10">
      <c r="A169" s="1">
        <v>45706</v>
      </c>
      <c r="B169" s="1">
        <v>45706</v>
      </c>
      <c r="C169">
        <v>4.2673966662970146</v>
      </c>
      <c r="D169">
        <v>4.5673966662970145</v>
      </c>
      <c r="E169">
        <v>514.322079314137</v>
      </c>
      <c r="F169">
        <v>35.130006480099802</v>
      </c>
      <c r="G169">
        <v>0.51</v>
      </c>
      <c r="H169">
        <v>0.58622522308595848</v>
      </c>
      <c r="I169">
        <v>0.69637380533808979</v>
      </c>
      <c r="J169">
        <v>21.480998964419861</v>
      </c>
    </row>
    <row r="170" spans="1:10">
      <c r="A170" s="1">
        <v>45707</v>
      </c>
      <c r="B170" s="1">
        <v>45707</v>
      </c>
      <c r="C170">
        <v>4.2673966662970146</v>
      </c>
      <c r="D170">
        <v>4.5673966662970145</v>
      </c>
      <c r="E170">
        <v>524.06262222914813</v>
      </c>
      <c r="F170">
        <v>35.979927854888281</v>
      </c>
      <c r="G170">
        <v>0.51</v>
      </c>
      <c r="H170">
        <v>0.58622522308595848</v>
      </c>
      <c r="I170">
        <v>0.69637380533808979</v>
      </c>
      <c r="J170">
        <v>21.480998964419861</v>
      </c>
    </row>
    <row r="171" spans="1:10">
      <c r="A171" s="1">
        <v>45708</v>
      </c>
      <c r="B171" s="1">
        <v>45708</v>
      </c>
      <c r="C171">
        <v>4.2673966662970146</v>
      </c>
      <c r="D171">
        <v>4.5673966662970145</v>
      </c>
      <c r="E171">
        <v>516.83112392060627</v>
      </c>
      <c r="F171">
        <v>35.176130020773556</v>
      </c>
      <c r="G171">
        <v>0.51</v>
      </c>
      <c r="H171">
        <v>0.58622522308595848</v>
      </c>
      <c r="I171">
        <v>0.69637380533808979</v>
      </c>
      <c r="J171">
        <v>21.480998964419861</v>
      </c>
    </row>
    <row r="172" spans="1:10">
      <c r="A172" s="1">
        <v>45709</v>
      </c>
      <c r="B172" s="1">
        <v>45709</v>
      </c>
      <c r="C172">
        <v>4.2673966662970146</v>
      </c>
      <c r="D172">
        <v>4.5673966662970145</v>
      </c>
      <c r="E172">
        <v>514.06051468238218</v>
      </c>
      <c r="F172">
        <v>36.194072590527902</v>
      </c>
      <c r="G172">
        <v>0.51</v>
      </c>
      <c r="H172">
        <v>0.58622522308595848</v>
      </c>
      <c r="I172">
        <v>0.69637380533808979</v>
      </c>
      <c r="J172">
        <v>21.480998964419861</v>
      </c>
    </row>
    <row r="173" spans="1:10">
      <c r="A173" s="1">
        <v>45712</v>
      </c>
      <c r="B173" s="1">
        <v>45712</v>
      </c>
      <c r="C173">
        <v>4.2673966662970146</v>
      </c>
      <c r="D173">
        <v>4.5673966662970145</v>
      </c>
      <c r="E173">
        <v>510.46309785474693</v>
      </c>
      <c r="F173">
        <v>39.860044459219218</v>
      </c>
      <c r="G173">
        <v>0.51</v>
      </c>
      <c r="H173">
        <v>0.58622522308595848</v>
      </c>
      <c r="I173">
        <v>0.69637380533808979</v>
      </c>
      <c r="J173">
        <v>21.480998964419861</v>
      </c>
    </row>
    <row r="174" spans="1:10">
      <c r="A174" s="1">
        <v>45713</v>
      </c>
      <c r="B174" s="1">
        <v>45713</v>
      </c>
      <c r="C174">
        <v>4.2673966662970146</v>
      </c>
      <c r="D174">
        <v>4.5673966662970145</v>
      </c>
      <c r="E174">
        <v>511.54436985009977</v>
      </c>
      <c r="F174">
        <v>38.16101938897382</v>
      </c>
      <c r="G174">
        <v>0.51</v>
      </c>
      <c r="H174">
        <v>0.58622522308595848</v>
      </c>
      <c r="I174">
        <v>0.69637380533808979</v>
      </c>
      <c r="J174">
        <v>21.480998964419861</v>
      </c>
    </row>
    <row r="175" spans="1:10">
      <c r="A175" s="1">
        <v>45714</v>
      </c>
      <c r="B175" s="1">
        <v>45714</v>
      </c>
      <c r="C175">
        <v>4.2673966662970146</v>
      </c>
      <c r="D175">
        <v>4.5673966662970145</v>
      </c>
      <c r="E175">
        <v>511.70652813227287</v>
      </c>
      <c r="F175">
        <v>37.379015368071379</v>
      </c>
      <c r="G175">
        <v>0.51</v>
      </c>
      <c r="H175">
        <v>0.58622522308595848</v>
      </c>
      <c r="I175">
        <v>0.69637380533808979</v>
      </c>
      <c r="J175">
        <v>21.480998964419861</v>
      </c>
    </row>
    <row r="176" spans="1:10">
      <c r="A176" s="1">
        <v>45715</v>
      </c>
      <c r="B176" s="1">
        <v>45715</v>
      </c>
      <c r="C176">
        <v>4.2673966662970146</v>
      </c>
      <c r="D176">
        <v>4.5673966662970145</v>
      </c>
      <c r="E176">
        <v>507.24544366406678</v>
      </c>
      <c r="F176">
        <v>33.590319764945697</v>
      </c>
      <c r="G176">
        <v>0.51</v>
      </c>
      <c r="H176">
        <v>0.58622522308595848</v>
      </c>
      <c r="I176">
        <v>0.69637380533808979</v>
      </c>
      <c r="J176">
        <v>21.480998964419861</v>
      </c>
    </row>
    <row r="177" spans="1:11">
      <c r="A177" s="1">
        <v>45716</v>
      </c>
      <c r="B177" s="1">
        <v>45716</v>
      </c>
      <c r="C177">
        <v>4.2673966662970146</v>
      </c>
      <c r="D177">
        <v>4.5673966662970145</v>
      </c>
      <c r="E177">
        <v>513.12695548508407</v>
      </c>
      <c r="F177">
        <v>34.498015697821089</v>
      </c>
      <c r="G177">
        <v>0.51</v>
      </c>
      <c r="H177">
        <v>0.58622522308595848</v>
      </c>
      <c r="I177">
        <v>0.69637380533808979</v>
      </c>
      <c r="J177">
        <v>21.480998964419861</v>
      </c>
    </row>
    <row r="178" spans="1:11">
      <c r="A178" s="1">
        <v>45719</v>
      </c>
      <c r="B178" s="1">
        <v>45719</v>
      </c>
      <c r="C178">
        <v>4.2673966662970146</v>
      </c>
      <c r="D178">
        <v>4.5673966662970145</v>
      </c>
      <c r="E178">
        <v>523.65181712388971</v>
      </c>
      <c r="F178">
        <v>36.208160854171147</v>
      </c>
      <c r="G178">
        <v>0.51</v>
      </c>
      <c r="H178">
        <v>0.58622522308595848</v>
      </c>
      <c r="I178">
        <v>0.69637380533808979</v>
      </c>
      <c r="J178">
        <v>21.480998964419861</v>
      </c>
    </row>
    <row r="179" spans="1:11">
      <c r="A179" s="1">
        <v>45720</v>
      </c>
      <c r="B179" s="1">
        <v>45720</v>
      </c>
      <c r="C179">
        <v>4.2673966662970146</v>
      </c>
      <c r="D179">
        <v>4.5673966662970145</v>
      </c>
      <c r="E179">
        <v>519.1751932135254</v>
      </c>
      <c r="F179">
        <v>36.978421649939541</v>
      </c>
      <c r="G179">
        <v>0.51</v>
      </c>
      <c r="H179">
        <v>0.58622522308595848</v>
      </c>
      <c r="I179">
        <v>0.69637380533808979</v>
      </c>
      <c r="J179">
        <v>21.480998964419861</v>
      </c>
    </row>
    <row r="180" spans="1:11">
      <c r="A180" s="1">
        <v>45721</v>
      </c>
      <c r="B180" s="1">
        <v>45721</v>
      </c>
      <c r="C180">
        <v>4.2673966662970146</v>
      </c>
      <c r="D180">
        <v>4.5673966662970145</v>
      </c>
      <c r="E180">
        <v>514.49295302121857</v>
      </c>
      <c r="F180">
        <v>36.693047915786352</v>
      </c>
      <c r="G180">
        <v>0.51</v>
      </c>
      <c r="H180">
        <v>0.58622522308595848</v>
      </c>
      <c r="I180">
        <v>0.69637380533808979</v>
      </c>
      <c r="J180">
        <v>21.480998964419861</v>
      </c>
    </row>
    <row r="181" spans="1:11">
      <c r="A181" s="1">
        <v>45722</v>
      </c>
      <c r="B181" s="1">
        <v>45722</v>
      </c>
      <c r="C181">
        <v>4.2673966662970146</v>
      </c>
      <c r="D181">
        <v>4.5673966662970145</v>
      </c>
      <c r="E181">
        <v>509.12466387679143</v>
      </c>
      <c r="F181">
        <v>32.155593126723538</v>
      </c>
      <c r="G181">
        <v>0.51</v>
      </c>
      <c r="H181">
        <v>0.58622522308595848</v>
      </c>
      <c r="I181">
        <v>0.69637380533808979</v>
      </c>
      <c r="J181">
        <v>21.480998964419861</v>
      </c>
    </row>
    <row r="182" spans="1:11">
      <c r="A182" s="1">
        <v>45723</v>
      </c>
      <c r="B182" s="1">
        <v>45723</v>
      </c>
      <c r="C182">
        <v>4.2673966662970146</v>
      </c>
      <c r="D182">
        <v>4.5673966662970145</v>
      </c>
      <c r="E182">
        <v>502.99200264726016</v>
      </c>
      <c r="F182">
        <v>39.7145284563803</v>
      </c>
      <c r="G182">
        <v>0.51</v>
      </c>
      <c r="H182">
        <v>0.58622522308595848</v>
      </c>
      <c r="I182">
        <v>0.69637380533808979</v>
      </c>
      <c r="J182">
        <v>21.480998964419861</v>
      </c>
    </row>
    <row r="183" spans="1:11">
      <c r="A183" s="1">
        <v>45726</v>
      </c>
      <c r="B183" s="1">
        <v>45726</v>
      </c>
      <c r="C183">
        <v>4.2673966662970146</v>
      </c>
      <c r="D183">
        <v>4.5673966662970145</v>
      </c>
      <c r="E183">
        <v>509.13316886314317</v>
      </c>
      <c r="F183">
        <v>35.314146706171236</v>
      </c>
      <c r="G183">
        <v>0.51</v>
      </c>
      <c r="H183">
        <v>0.58622522308595848</v>
      </c>
      <c r="I183">
        <v>0.69637380533808979</v>
      </c>
      <c r="J183">
        <v>21.480998964419861</v>
      </c>
    </row>
    <row r="184" spans="1:11">
      <c r="A184" s="1">
        <v>45727</v>
      </c>
      <c r="B184" s="1">
        <v>45727</v>
      </c>
      <c r="C184">
        <v>4.2673966662970146</v>
      </c>
      <c r="D184">
        <v>4.5673966662970145</v>
      </c>
      <c r="E184">
        <v>530.46207768668467</v>
      </c>
      <c r="F184">
        <v>37.963829903163003</v>
      </c>
      <c r="G184">
        <v>0.51</v>
      </c>
      <c r="H184">
        <v>0.58622522308595848</v>
      </c>
      <c r="I184">
        <v>0.69637380533808979</v>
      </c>
      <c r="J184">
        <v>21.480998964419861</v>
      </c>
    </row>
    <row r="185" spans="1:11">
      <c r="A185" s="1">
        <v>45728</v>
      </c>
      <c r="B185" s="1">
        <v>45728</v>
      </c>
      <c r="C185">
        <v>4.2673966662970146</v>
      </c>
      <c r="D185">
        <v>4.5673966662970145</v>
      </c>
      <c r="E185">
        <v>518.40788233569822</v>
      </c>
      <c r="F185">
        <v>32.379407561083887</v>
      </c>
      <c r="G185">
        <v>0.51</v>
      </c>
      <c r="H185">
        <v>0.58622522308595848</v>
      </c>
      <c r="I185">
        <v>0.69637380533808979</v>
      </c>
      <c r="J185">
        <v>21.480998964419861</v>
      </c>
    </row>
    <row r="186" spans="1:11">
      <c r="A186" s="1">
        <v>45729</v>
      </c>
      <c r="B186" s="1">
        <v>45729</v>
      </c>
      <c r="C186">
        <v>4.2673966662970146</v>
      </c>
      <c r="D186">
        <v>4.5673966662970145</v>
      </c>
      <c r="E186">
        <v>522.36266567983762</v>
      </c>
      <c r="F186">
        <v>34.540685292992571</v>
      </c>
      <c r="G186">
        <v>0.51</v>
      </c>
      <c r="H186">
        <v>0.58622522308595848</v>
      </c>
      <c r="I186">
        <v>0.69637380533808979</v>
      </c>
      <c r="J186">
        <v>21.480998964419861</v>
      </c>
    </row>
    <row r="187" spans="1:11">
      <c r="A187" s="1">
        <v>45730</v>
      </c>
      <c r="B187" s="1">
        <v>45730</v>
      </c>
      <c r="C187">
        <v>4.2673966662970146</v>
      </c>
      <c r="D187">
        <v>4.5673966662970145</v>
      </c>
      <c r="E187">
        <v>529.26826278901319</v>
      </c>
      <c r="F187">
        <v>34.72449496355209</v>
      </c>
      <c r="G187">
        <v>0.51</v>
      </c>
      <c r="H187">
        <v>0.58622522308595848</v>
      </c>
      <c r="I187">
        <v>0.69637380533808979</v>
      </c>
      <c r="J187">
        <v>21.480998964419861</v>
      </c>
    </row>
    <row r="188" spans="1:11" s="14" customFormat="1">
      <c r="A188" s="13">
        <v>45733</v>
      </c>
      <c r="B188" s="13">
        <v>45733</v>
      </c>
      <c r="C188">
        <v>4.2673966662970146</v>
      </c>
      <c r="D188">
        <v>4.5673966662970145</v>
      </c>
      <c r="E188">
        <v>512.39261297240228</v>
      </c>
      <c r="F188">
        <v>33.492036556155206</v>
      </c>
      <c r="G188">
        <v>0.51</v>
      </c>
      <c r="H188">
        <v>0.58622522308595848</v>
      </c>
      <c r="I188">
        <v>0.69637380533808979</v>
      </c>
      <c r="J188">
        <v>21.480998964419861</v>
      </c>
      <c r="K188" s="15"/>
    </row>
    <row r="189" spans="1:11">
      <c r="A189" s="1">
        <v>45734</v>
      </c>
      <c r="B189" s="1">
        <v>45734</v>
      </c>
      <c r="C189">
        <v>4.2673966662970146</v>
      </c>
      <c r="D189">
        <v>4.5673966662970145</v>
      </c>
      <c r="E189">
        <v>522.25865191007108</v>
      </c>
      <c r="F189">
        <v>35.393466391393346</v>
      </c>
      <c r="G189">
        <v>0.51</v>
      </c>
      <c r="H189">
        <v>0.58622522308595848</v>
      </c>
      <c r="I189">
        <v>0.69637380533808979</v>
      </c>
      <c r="J189">
        <v>21.480998964419861</v>
      </c>
    </row>
    <row r="190" spans="1:11">
      <c r="A190" s="1">
        <v>45735</v>
      </c>
      <c r="B190" s="1">
        <v>45735</v>
      </c>
      <c r="C190">
        <v>4.2673966662970146</v>
      </c>
      <c r="D190">
        <v>4.5673966662970145</v>
      </c>
      <c r="E190">
        <v>507.04775611306849</v>
      </c>
      <c r="F190">
        <v>38.478770007794445</v>
      </c>
      <c r="G190">
        <v>0.51</v>
      </c>
      <c r="H190">
        <v>0.58622522308595848</v>
      </c>
      <c r="I190">
        <v>0.69637380533808979</v>
      </c>
      <c r="J190">
        <v>21.480998964419861</v>
      </c>
    </row>
    <row r="191" spans="1:11">
      <c r="A191" s="1">
        <v>45736</v>
      </c>
      <c r="B191" s="1">
        <v>45736</v>
      </c>
      <c r="C191">
        <v>4.2673966662970146</v>
      </c>
      <c r="D191">
        <v>4.5673966662970145</v>
      </c>
      <c r="E191">
        <v>521.89776593263161</v>
      </c>
      <c r="F191">
        <v>36.398303372185623</v>
      </c>
      <c r="G191">
        <v>0.51</v>
      </c>
      <c r="H191">
        <v>0.58622522308595848</v>
      </c>
      <c r="I191">
        <v>0.69637380533808979</v>
      </c>
      <c r="J191">
        <v>21.480998964419861</v>
      </c>
    </row>
    <row r="192" spans="1:11">
      <c r="A192" s="1">
        <v>45737</v>
      </c>
      <c r="B192" s="1">
        <v>45737</v>
      </c>
      <c r="C192">
        <v>4.2673966662970146</v>
      </c>
      <c r="D192">
        <v>4.5673966662970145</v>
      </c>
      <c r="E192">
        <v>526.51824011130861</v>
      </c>
      <c r="F192">
        <v>34.738574332202226</v>
      </c>
      <c r="G192">
        <v>0.51</v>
      </c>
      <c r="H192">
        <v>0.58622522308595848</v>
      </c>
      <c r="I192">
        <v>0.69637380533808979</v>
      </c>
      <c r="J192">
        <v>21.480998964419861</v>
      </c>
    </row>
    <row r="193" spans="1:10">
      <c r="A193" s="1">
        <v>45740</v>
      </c>
      <c r="B193" s="1">
        <v>45740</v>
      </c>
      <c r="C193">
        <v>4.2673966662970146</v>
      </c>
      <c r="D193">
        <v>4.5673966662970145</v>
      </c>
      <c r="E193">
        <v>520.71016051074946</v>
      </c>
      <c r="F193">
        <v>39.171788248001597</v>
      </c>
      <c r="G193">
        <v>0.51</v>
      </c>
      <c r="H193">
        <v>0.58622522308595848</v>
      </c>
      <c r="I193">
        <v>0.69637380533808979</v>
      </c>
      <c r="J193">
        <v>21.480998964419861</v>
      </c>
    </row>
    <row r="194" spans="1:10">
      <c r="A194" s="1">
        <v>45741</v>
      </c>
      <c r="B194" s="1">
        <v>45741</v>
      </c>
      <c r="C194">
        <v>4.2673966662970146</v>
      </c>
      <c r="D194">
        <v>4.5673966662970145</v>
      </c>
      <c r="E194">
        <v>508.80832041082294</v>
      </c>
      <c r="F194">
        <v>35.307745844169986</v>
      </c>
      <c r="G194">
        <v>0.51</v>
      </c>
      <c r="H194">
        <v>0.58622522308595848</v>
      </c>
      <c r="I194">
        <v>0.69637380533808979</v>
      </c>
      <c r="J194">
        <v>21.480998964419861</v>
      </c>
    </row>
    <row r="195" spans="1:10">
      <c r="A195" s="1">
        <v>45742</v>
      </c>
      <c r="B195" s="1">
        <v>45742</v>
      </c>
      <c r="C195">
        <v>4.2673966662970146</v>
      </c>
      <c r="D195">
        <v>4.5673966662970145</v>
      </c>
      <c r="E195">
        <v>533.38335931249992</v>
      </c>
      <c r="F195">
        <v>36.337836490290357</v>
      </c>
      <c r="G195">
        <v>0.51</v>
      </c>
      <c r="H195">
        <v>0.58622522308595848</v>
      </c>
      <c r="I195">
        <v>0.69637380533808979</v>
      </c>
      <c r="J195">
        <v>21.480998964419861</v>
      </c>
    </row>
    <row r="196" spans="1:10">
      <c r="A196" s="1">
        <v>45743</v>
      </c>
      <c r="B196" s="1">
        <v>45743</v>
      </c>
      <c r="C196">
        <v>4.2673966662970146</v>
      </c>
      <c r="D196">
        <v>4.5673966662970145</v>
      </c>
      <c r="E196">
        <v>549.14499976988316</v>
      </c>
      <c r="F196">
        <v>36.124268940419746</v>
      </c>
      <c r="G196">
        <v>0.51</v>
      </c>
      <c r="H196">
        <v>0.58622522308595848</v>
      </c>
      <c r="I196">
        <v>0.69637380533808979</v>
      </c>
      <c r="J196">
        <v>21.480998964419861</v>
      </c>
    </row>
    <row r="197" spans="1:10">
      <c r="A197" s="1">
        <v>45744</v>
      </c>
      <c r="B197" s="1">
        <v>45744</v>
      </c>
      <c r="C197">
        <v>4.2673966662970146</v>
      </c>
      <c r="D197">
        <v>4.5673966662970145</v>
      </c>
      <c r="E197">
        <v>525.99490869016279</v>
      </c>
      <c r="F197">
        <v>36.6097864972688</v>
      </c>
      <c r="G197">
        <v>0.51</v>
      </c>
      <c r="H197">
        <v>0.58622522308595848</v>
      </c>
      <c r="I197">
        <v>0.69637380533808979</v>
      </c>
      <c r="J197">
        <v>21.480998964419861</v>
      </c>
    </row>
    <row r="198" spans="1:10">
      <c r="A198" s="1">
        <v>45747</v>
      </c>
      <c r="B198" s="1">
        <v>45747</v>
      </c>
      <c r="C198">
        <v>4.2673966662970146</v>
      </c>
      <c r="D198">
        <v>4.5673966662970145</v>
      </c>
      <c r="E198">
        <v>521.15353877402958</v>
      </c>
      <c r="F198">
        <v>34.977685292253675</v>
      </c>
      <c r="G198">
        <v>0.51</v>
      </c>
      <c r="H198">
        <v>0.58622522308595848</v>
      </c>
      <c r="I198">
        <v>0.69637380533808979</v>
      </c>
      <c r="J198">
        <v>21.480998964419861</v>
      </c>
    </row>
    <row r="199" spans="1:10">
      <c r="A199" s="1">
        <v>45748</v>
      </c>
      <c r="B199" s="1">
        <v>45748</v>
      </c>
      <c r="C199">
        <v>4.2673966662970146</v>
      </c>
      <c r="D199">
        <v>4.5673966662970145</v>
      </c>
      <c r="E199">
        <v>525.71865080765076</v>
      </c>
      <c r="F199">
        <v>36.980382955224485</v>
      </c>
      <c r="G199">
        <v>0.51</v>
      </c>
      <c r="H199">
        <v>0.58622522308595848</v>
      </c>
      <c r="I199">
        <v>0.69637380533808979</v>
      </c>
      <c r="J199">
        <v>21.480998964419861</v>
      </c>
    </row>
    <row r="200" spans="1:10">
      <c r="A200" s="1">
        <v>45749</v>
      </c>
      <c r="B200" s="1">
        <v>45749</v>
      </c>
      <c r="C200">
        <v>4.2673966662970146</v>
      </c>
      <c r="D200">
        <v>4.5673966662970145</v>
      </c>
      <c r="E200">
        <v>532.83797525902992</v>
      </c>
      <c r="F200">
        <v>34.618517726441468</v>
      </c>
      <c r="G200">
        <v>0.51</v>
      </c>
      <c r="H200">
        <v>0.58622522308595848</v>
      </c>
      <c r="I200">
        <v>0.69637380533808979</v>
      </c>
      <c r="J200">
        <v>21.480998964419861</v>
      </c>
    </row>
    <row r="201" spans="1:10">
      <c r="A201" s="1">
        <v>45750</v>
      </c>
      <c r="B201" s="1">
        <v>45750</v>
      </c>
      <c r="C201">
        <v>4.2673966662970146</v>
      </c>
      <c r="D201">
        <v>4.5673966662970145</v>
      </c>
      <c r="E201">
        <v>515.19324914566778</v>
      </c>
      <c r="F201">
        <v>38.041490444841592</v>
      </c>
      <c r="G201">
        <v>0.51</v>
      </c>
      <c r="H201">
        <v>0.58622522308595848</v>
      </c>
      <c r="I201">
        <v>0.69637380533808979</v>
      </c>
      <c r="J201">
        <v>21.480998964419861</v>
      </c>
    </row>
    <row r="202" spans="1:10">
      <c r="A202" s="1">
        <v>45751</v>
      </c>
      <c r="B202" s="1">
        <v>45751</v>
      </c>
      <c r="C202">
        <v>4.2673966662970146</v>
      </c>
      <c r="D202">
        <v>4.5673966662970145</v>
      </c>
      <c r="E202">
        <v>524.09748755055227</v>
      </c>
      <c r="F202">
        <v>35.400880392310896</v>
      </c>
      <c r="G202">
        <v>0.51</v>
      </c>
      <c r="H202">
        <v>0.58622522308595848</v>
      </c>
      <c r="I202">
        <v>0.69637380533808979</v>
      </c>
      <c r="J202">
        <v>21.480998964419861</v>
      </c>
    </row>
    <row r="203" spans="1:10">
      <c r="A203" s="1">
        <v>45754</v>
      </c>
      <c r="B203" s="1">
        <v>45754</v>
      </c>
      <c r="C203">
        <v>4.2673966662970146</v>
      </c>
      <c r="D203">
        <v>4.5673966662970145</v>
      </c>
      <c r="E203">
        <v>528.09191676322575</v>
      </c>
      <c r="F203">
        <v>33.511689596209081</v>
      </c>
      <c r="G203">
        <v>0.51</v>
      </c>
      <c r="H203">
        <v>0.58622522308595848</v>
      </c>
      <c r="I203">
        <v>0.69637380533808979</v>
      </c>
      <c r="J203">
        <v>21.480998964419861</v>
      </c>
    </row>
    <row r="204" spans="1:10">
      <c r="A204" s="1">
        <v>45755</v>
      </c>
      <c r="B204" s="1">
        <v>45755</v>
      </c>
      <c r="C204">
        <v>4.2673966662970146</v>
      </c>
      <c r="D204">
        <v>4.5673966662970145</v>
      </c>
      <c r="E204">
        <v>520.52542977436303</v>
      </c>
      <c r="F204">
        <v>32.620985990084414</v>
      </c>
      <c r="G204">
        <v>0.51</v>
      </c>
      <c r="H204">
        <v>0.58622522308595848</v>
      </c>
      <c r="I204">
        <v>0.69637380533808979</v>
      </c>
      <c r="J204">
        <v>21.480998964419861</v>
      </c>
    </row>
    <row r="205" spans="1:10">
      <c r="A205" s="1">
        <v>45756</v>
      </c>
      <c r="B205" s="1">
        <v>45756</v>
      </c>
      <c r="C205">
        <v>4.2673966662970146</v>
      </c>
      <c r="D205">
        <v>4.5673966662970145</v>
      </c>
      <c r="E205">
        <v>519.17575879539504</v>
      </c>
      <c r="F205">
        <v>37.048073624756967</v>
      </c>
      <c r="G205">
        <v>0.51</v>
      </c>
      <c r="H205">
        <v>0.58622522308595848</v>
      </c>
      <c r="I205">
        <v>0.69637380533808979</v>
      </c>
      <c r="J205">
        <v>21.480998964419861</v>
      </c>
    </row>
    <row r="206" spans="1:10">
      <c r="A206" s="1">
        <v>45757</v>
      </c>
      <c r="B206" s="1">
        <v>45757</v>
      </c>
      <c r="C206">
        <v>4.2673966662970146</v>
      </c>
      <c r="D206">
        <v>4.5673966662970145</v>
      </c>
      <c r="E206">
        <v>521.57928831292975</v>
      </c>
      <c r="F206">
        <v>34.847038880047741</v>
      </c>
      <c r="G206">
        <v>0.51</v>
      </c>
      <c r="H206">
        <v>0.58622522308595848</v>
      </c>
      <c r="I206">
        <v>0.69637380533808979</v>
      </c>
      <c r="J206">
        <v>21.480998964419861</v>
      </c>
    </row>
    <row r="207" spans="1:10">
      <c r="A207" s="1">
        <v>45758</v>
      </c>
      <c r="B207" s="1">
        <v>45758</v>
      </c>
      <c r="C207">
        <v>4.2673966662970146</v>
      </c>
      <c r="D207">
        <v>4.5673966662970145</v>
      </c>
      <c r="E207">
        <v>522.11860567682777</v>
      </c>
      <c r="F207">
        <v>34.718488659418121</v>
      </c>
      <c r="G207">
        <v>0.51</v>
      </c>
      <c r="H207">
        <v>0.58622522308595848</v>
      </c>
      <c r="I207">
        <v>0.69637380533808979</v>
      </c>
      <c r="J207">
        <v>21.480998964419861</v>
      </c>
    </row>
    <row r="208" spans="1:10">
      <c r="A208" s="1">
        <v>45761</v>
      </c>
      <c r="B208" s="1">
        <v>45761</v>
      </c>
      <c r="C208">
        <v>4.2673966662970146</v>
      </c>
      <c r="D208">
        <v>4.5673966662970145</v>
      </c>
      <c r="E208">
        <v>523.5661879710467</v>
      </c>
      <c r="F208">
        <v>35.321669939894157</v>
      </c>
      <c r="G208">
        <v>0.51</v>
      </c>
      <c r="H208">
        <v>0.58622522308595848</v>
      </c>
      <c r="I208">
        <v>0.69637380533808979</v>
      </c>
      <c r="J208">
        <v>21.480998964419861</v>
      </c>
    </row>
    <row r="209" spans="1:10">
      <c r="A209" s="1">
        <v>45762</v>
      </c>
      <c r="B209" s="1">
        <v>45762</v>
      </c>
      <c r="C209">
        <v>4.2673966662970146</v>
      </c>
      <c r="D209">
        <v>4.5673966662970145</v>
      </c>
      <c r="E209">
        <v>537.66691117541563</v>
      </c>
      <c r="F209">
        <v>37.721248149849053</v>
      </c>
      <c r="G209">
        <v>0.51</v>
      </c>
      <c r="H209">
        <v>0.58622522308595848</v>
      </c>
      <c r="I209">
        <v>0.69637380533808979</v>
      </c>
      <c r="J209">
        <v>21.480998964419861</v>
      </c>
    </row>
    <row r="210" spans="1:10">
      <c r="A210" s="1">
        <v>45763</v>
      </c>
      <c r="B210" s="1">
        <v>45763</v>
      </c>
      <c r="C210">
        <v>4.2673966662970146</v>
      </c>
      <c r="D210">
        <v>4.5673966662970145</v>
      </c>
      <c r="E210">
        <v>531.06036017623956</v>
      </c>
      <c r="F210">
        <v>34.876494742465702</v>
      </c>
      <c r="G210">
        <v>0.51</v>
      </c>
      <c r="H210">
        <v>0.58622522308595848</v>
      </c>
      <c r="I210">
        <v>0.69637380533808979</v>
      </c>
      <c r="J210">
        <v>21.480998964419861</v>
      </c>
    </row>
    <row r="211" spans="1:10">
      <c r="A211" s="1">
        <v>45764</v>
      </c>
      <c r="B211" s="1">
        <v>45764</v>
      </c>
      <c r="C211">
        <v>4.2673966662970146</v>
      </c>
      <c r="D211">
        <v>4.5673966662970145</v>
      </c>
      <c r="E211">
        <v>521.31260603348426</v>
      </c>
      <c r="F211">
        <v>36.097243010481961</v>
      </c>
      <c r="G211">
        <v>0.51</v>
      </c>
      <c r="H211">
        <v>0.58622522308595848</v>
      </c>
      <c r="I211">
        <v>0.69637380533808979</v>
      </c>
      <c r="J211">
        <v>21.480998964419861</v>
      </c>
    </row>
    <row r="212" spans="1:10">
      <c r="A212" s="1">
        <v>45765</v>
      </c>
      <c r="B212" s="1">
        <v>45765</v>
      </c>
      <c r="C212">
        <v>4.2673966662970146</v>
      </c>
      <c r="D212">
        <v>4.5673966662970145</v>
      </c>
      <c r="E212">
        <v>523.64136731795929</v>
      </c>
      <c r="F212">
        <v>35.805545440006917</v>
      </c>
      <c r="G212">
        <v>0.51</v>
      </c>
      <c r="H212">
        <v>0.58622522308595848</v>
      </c>
      <c r="I212">
        <v>0.69637380533808979</v>
      </c>
      <c r="J212">
        <v>21.480998964419861</v>
      </c>
    </row>
    <row r="213" spans="1:10">
      <c r="A213" s="1">
        <v>45768</v>
      </c>
      <c r="B213" s="1">
        <v>45768</v>
      </c>
      <c r="C213">
        <v>4.2673966662970146</v>
      </c>
      <c r="D213">
        <v>4.5673966662970145</v>
      </c>
      <c r="E213">
        <v>526.72889503143404</v>
      </c>
      <c r="F213">
        <v>34.23038227003957</v>
      </c>
      <c r="G213">
        <v>0.51</v>
      </c>
      <c r="H213">
        <v>0.58622522308595848</v>
      </c>
      <c r="I213">
        <v>0.69637380533808979</v>
      </c>
      <c r="J213">
        <v>21.480998964419861</v>
      </c>
    </row>
    <row r="214" spans="1:10">
      <c r="A214" s="1">
        <v>45769</v>
      </c>
      <c r="B214" s="1">
        <v>45769</v>
      </c>
      <c r="C214">
        <v>4.2673966662970146</v>
      </c>
      <c r="D214">
        <v>4.5673966662970145</v>
      </c>
      <c r="E214">
        <v>518.9606532896363</v>
      </c>
      <c r="F214">
        <v>37.848131036832882</v>
      </c>
      <c r="G214">
        <v>0.51</v>
      </c>
      <c r="H214">
        <v>0.58622522308595848</v>
      </c>
      <c r="I214">
        <v>0.69637380533808979</v>
      </c>
      <c r="J214">
        <v>21.480998964419861</v>
      </c>
    </row>
    <row r="215" spans="1:10">
      <c r="A215" s="1">
        <v>45770</v>
      </c>
      <c r="B215" s="1">
        <v>45770</v>
      </c>
      <c r="C215">
        <v>4.2673966662970146</v>
      </c>
      <c r="D215">
        <v>4.5673966662970145</v>
      </c>
      <c r="E215">
        <v>528.78747280627192</v>
      </c>
      <c r="F215">
        <v>34.914190137650138</v>
      </c>
      <c r="G215">
        <v>0.51</v>
      </c>
      <c r="H215">
        <v>0.58622522308595848</v>
      </c>
      <c r="I215">
        <v>0.69637380533808979</v>
      </c>
      <c r="J215">
        <v>21.480998964419861</v>
      </c>
    </row>
    <row r="216" spans="1:10">
      <c r="A216" s="1">
        <v>45771</v>
      </c>
      <c r="B216" s="1">
        <v>45771</v>
      </c>
      <c r="C216">
        <v>4.2673966662970146</v>
      </c>
      <c r="D216">
        <v>4.5673966662970145</v>
      </c>
      <c r="E216">
        <v>515.87837049325731</v>
      </c>
      <c r="F216">
        <v>35.375276717338849</v>
      </c>
      <c r="G216">
        <v>0.51</v>
      </c>
      <c r="H216">
        <v>0.58622522308595848</v>
      </c>
      <c r="I216">
        <v>0.69637380533808979</v>
      </c>
      <c r="J216">
        <v>21.480998964419861</v>
      </c>
    </row>
    <row r="217" spans="1:10">
      <c r="A217" s="1">
        <v>45772</v>
      </c>
      <c r="B217" s="1">
        <v>45772</v>
      </c>
      <c r="C217">
        <v>4.2673966662970146</v>
      </c>
      <c r="D217">
        <v>4.5673966662970145</v>
      </c>
      <c r="E217">
        <v>524.47437386184333</v>
      </c>
      <c r="F217">
        <v>38.234599474338921</v>
      </c>
      <c r="G217">
        <v>0.51</v>
      </c>
      <c r="H217">
        <v>0.58622522308595848</v>
      </c>
      <c r="I217">
        <v>0.69637380533808979</v>
      </c>
      <c r="J217">
        <v>21.480998964419861</v>
      </c>
    </row>
    <row r="218" spans="1:10">
      <c r="A218" s="1">
        <v>45775</v>
      </c>
      <c r="B218" s="1">
        <v>45775</v>
      </c>
      <c r="C218">
        <v>4.2673966662970146</v>
      </c>
      <c r="D218">
        <v>4.5673966662970145</v>
      </c>
      <c r="E218">
        <v>503.89018260904174</v>
      </c>
      <c r="F218">
        <v>37.794419363289151</v>
      </c>
      <c r="G218">
        <v>0.51</v>
      </c>
      <c r="H218">
        <v>0.58622522308595848</v>
      </c>
      <c r="I218">
        <v>0.69637380533808979</v>
      </c>
      <c r="J218">
        <v>21.480998964419861</v>
      </c>
    </row>
    <row r="219" spans="1:10">
      <c r="A219" s="1">
        <v>45776</v>
      </c>
      <c r="B219" s="1">
        <v>45776</v>
      </c>
      <c r="C219">
        <v>4.2673966662970146</v>
      </c>
      <c r="D219">
        <v>4.5673966662970145</v>
      </c>
      <c r="E219">
        <v>502.68828825766343</v>
      </c>
      <c r="F219">
        <v>37.538134133981544</v>
      </c>
      <c r="G219">
        <v>0.51</v>
      </c>
      <c r="H219">
        <v>0.58622522308595848</v>
      </c>
      <c r="I219">
        <v>0.69637380533808979</v>
      </c>
      <c r="J219">
        <v>21.480998964419861</v>
      </c>
    </row>
    <row r="220" spans="1:10">
      <c r="A220" s="1">
        <v>45777</v>
      </c>
      <c r="B220" s="1">
        <v>45777</v>
      </c>
      <c r="C220">
        <v>4.2673966662970146</v>
      </c>
      <c r="D220">
        <v>4.5673966662970145</v>
      </c>
      <c r="E220">
        <v>513.25951689200724</v>
      </c>
      <c r="F220">
        <v>34.958516488511947</v>
      </c>
      <c r="G220">
        <v>0.51</v>
      </c>
      <c r="H220">
        <v>0.58622522308595848</v>
      </c>
      <c r="I220">
        <v>0.69637380533808979</v>
      </c>
      <c r="J220">
        <v>21.480998964419861</v>
      </c>
    </row>
    <row r="221" spans="1:10">
      <c r="A221" s="1">
        <v>45778</v>
      </c>
      <c r="B221" s="1">
        <v>45778</v>
      </c>
      <c r="C221">
        <v>4.2673966662970146</v>
      </c>
      <c r="D221">
        <v>4.5673966662970145</v>
      </c>
      <c r="E221">
        <v>524.83013367950025</v>
      </c>
      <c r="F221">
        <v>35.985065586280982</v>
      </c>
      <c r="G221">
        <v>0.51</v>
      </c>
      <c r="H221">
        <v>0.58622522308595848</v>
      </c>
      <c r="I221">
        <v>0.69637380533808979</v>
      </c>
      <c r="J221">
        <v>21.480998964419861</v>
      </c>
    </row>
    <row r="222" spans="1:10">
      <c r="A222" s="1">
        <v>45779</v>
      </c>
      <c r="B222" s="1">
        <v>45779</v>
      </c>
      <c r="C222">
        <v>4.2673966662970146</v>
      </c>
      <c r="D222">
        <v>4.5673966662970145</v>
      </c>
      <c r="E222">
        <v>520.04423787100404</v>
      </c>
      <c r="F222">
        <v>32.804295049330172</v>
      </c>
      <c r="G222">
        <v>0.51</v>
      </c>
      <c r="H222">
        <v>0.58622522308595848</v>
      </c>
      <c r="I222">
        <v>0.69637380533808979</v>
      </c>
      <c r="J222">
        <v>21.480998964419861</v>
      </c>
    </row>
    <row r="223" spans="1:10">
      <c r="A223" s="1">
        <v>45782</v>
      </c>
      <c r="B223" s="1">
        <v>45782</v>
      </c>
      <c r="C223">
        <v>4.2673966662970146</v>
      </c>
      <c r="D223">
        <v>4.5673966662970145</v>
      </c>
      <c r="E223">
        <v>504.21485581735027</v>
      </c>
      <c r="F223">
        <v>29.479404886603756</v>
      </c>
      <c r="G223">
        <v>0.51</v>
      </c>
      <c r="H223">
        <v>0.58622522308595848</v>
      </c>
      <c r="I223">
        <v>0.69637380533808979</v>
      </c>
      <c r="J223">
        <v>21.480998964419861</v>
      </c>
    </row>
    <row r="224" spans="1:10">
      <c r="A224" s="1">
        <v>45783</v>
      </c>
      <c r="B224" s="1">
        <v>45783</v>
      </c>
      <c r="C224">
        <v>4.2673966662970146</v>
      </c>
      <c r="D224">
        <v>4.5673966662970145</v>
      </c>
      <c r="E224">
        <v>512.0954125334639</v>
      </c>
      <c r="F224">
        <v>32.364065055926055</v>
      </c>
      <c r="G224">
        <v>0.51</v>
      </c>
      <c r="H224">
        <v>0.58622522308595848</v>
      </c>
      <c r="I224">
        <v>0.69637380533808979</v>
      </c>
      <c r="J224">
        <v>21.480998964419861</v>
      </c>
    </row>
    <row r="225" spans="1:10">
      <c r="A225" s="1">
        <v>45784</v>
      </c>
      <c r="B225" s="1">
        <v>45784</v>
      </c>
      <c r="C225">
        <v>4.2673966662970146</v>
      </c>
      <c r="D225">
        <v>4.5673966662970145</v>
      </c>
      <c r="E225">
        <v>510.58061431085463</v>
      </c>
      <c r="F225">
        <v>36.903494129336003</v>
      </c>
      <c r="G225">
        <v>0.51</v>
      </c>
      <c r="H225">
        <v>0.58622522308595848</v>
      </c>
      <c r="I225">
        <v>0.69637380533808979</v>
      </c>
      <c r="J225">
        <v>21.480998964419861</v>
      </c>
    </row>
    <row r="226" spans="1:10">
      <c r="A226" s="1">
        <v>45785</v>
      </c>
      <c r="B226" s="1">
        <v>45785</v>
      </c>
      <c r="C226">
        <v>4.2673966662970146</v>
      </c>
      <c r="D226">
        <v>4.5673966662970145</v>
      </c>
      <c r="E226">
        <v>528.46740663545972</v>
      </c>
      <c r="F226">
        <v>37.516643990649854</v>
      </c>
      <c r="G226">
        <v>0.51</v>
      </c>
      <c r="H226">
        <v>0.58622522308595848</v>
      </c>
      <c r="I226">
        <v>0.69637380533808979</v>
      </c>
      <c r="J226">
        <v>21.480998964419861</v>
      </c>
    </row>
    <row r="227" spans="1:10">
      <c r="A227" s="1">
        <v>45786</v>
      </c>
      <c r="B227" s="1">
        <v>45786</v>
      </c>
      <c r="C227">
        <v>4.2673966662970146</v>
      </c>
      <c r="D227">
        <v>4.5673966662970145</v>
      </c>
      <c r="E227">
        <v>503.47547786283184</v>
      </c>
      <c r="F227">
        <v>38.399887603973184</v>
      </c>
      <c r="G227">
        <v>0.51</v>
      </c>
      <c r="H227">
        <v>0.58622522308595848</v>
      </c>
      <c r="I227">
        <v>0.69637380533808979</v>
      </c>
      <c r="J227">
        <v>21.480998964419861</v>
      </c>
    </row>
    <row r="228" spans="1:10">
      <c r="A228" s="1">
        <v>45789</v>
      </c>
      <c r="B228" s="1">
        <v>45789</v>
      </c>
      <c r="C228">
        <v>4.2673966662970146</v>
      </c>
      <c r="D228">
        <v>4.5673966662970145</v>
      </c>
      <c r="E228">
        <v>515.01725191078071</v>
      </c>
      <c r="F228">
        <v>34.790589743194225</v>
      </c>
      <c r="G228">
        <v>0.51</v>
      </c>
      <c r="H228">
        <v>0.58622522308595848</v>
      </c>
      <c r="I228">
        <v>0.69637380533808979</v>
      </c>
      <c r="J228">
        <v>21.480998964419861</v>
      </c>
    </row>
    <row r="229" spans="1:10">
      <c r="A229" s="1">
        <v>45790</v>
      </c>
      <c r="B229" s="1">
        <v>45790</v>
      </c>
      <c r="C229">
        <v>4.2673966662970146</v>
      </c>
      <c r="D229">
        <v>4.5673966662970145</v>
      </c>
      <c r="E229">
        <v>531.89120342549916</v>
      </c>
      <c r="F229">
        <v>33.062982884434824</v>
      </c>
      <c r="G229">
        <v>0.51</v>
      </c>
      <c r="H229">
        <v>0.58622522308595848</v>
      </c>
      <c r="I229">
        <v>0.69637380533808979</v>
      </c>
      <c r="J229">
        <v>21.480998964419861</v>
      </c>
    </row>
    <row r="230" spans="1:10">
      <c r="A230" s="1">
        <v>45791</v>
      </c>
      <c r="B230" s="1">
        <v>45791</v>
      </c>
      <c r="C230">
        <v>4.2673966662970146</v>
      </c>
      <c r="D230">
        <v>4.5673966662970145</v>
      </c>
      <c r="E230">
        <v>531.25821464958074</v>
      </c>
      <c r="F230">
        <v>31.181188656280217</v>
      </c>
      <c r="G230">
        <v>0.51</v>
      </c>
      <c r="H230">
        <v>0.58622522308595848</v>
      </c>
      <c r="I230">
        <v>0.69637380533808979</v>
      </c>
      <c r="J230">
        <v>21.480998964419861</v>
      </c>
    </row>
    <row r="231" spans="1:10">
      <c r="A231" s="1">
        <v>45792</v>
      </c>
      <c r="B231" s="1">
        <v>45792</v>
      </c>
      <c r="C231">
        <v>4.2673966662970146</v>
      </c>
      <c r="D231">
        <v>4.5673966662970145</v>
      </c>
      <c r="E231">
        <v>519.2054727309112</v>
      </c>
      <c r="F231">
        <v>35.685685150328148</v>
      </c>
      <c r="G231">
        <v>0.51</v>
      </c>
      <c r="H231">
        <v>0.58622522308595848</v>
      </c>
      <c r="I231">
        <v>0.69637380533808979</v>
      </c>
      <c r="J231">
        <v>21.480998964419861</v>
      </c>
    </row>
    <row r="232" spans="1:10">
      <c r="A232" s="1">
        <v>45793</v>
      </c>
      <c r="B232" s="1">
        <v>45793</v>
      </c>
      <c r="C232">
        <v>4.2673966662970146</v>
      </c>
      <c r="D232">
        <v>4.5673966662970145</v>
      </c>
      <c r="E232">
        <v>529.87911292912167</v>
      </c>
      <c r="F232">
        <v>39.361406325290467</v>
      </c>
      <c r="G232">
        <v>0.51</v>
      </c>
      <c r="H232">
        <v>0.58622522308595848</v>
      </c>
      <c r="I232">
        <v>0.69637380533808979</v>
      </c>
      <c r="J232">
        <v>21.480998964419861</v>
      </c>
    </row>
    <row r="233" spans="1:10">
      <c r="A233" s="1">
        <v>45796</v>
      </c>
      <c r="B233" s="1">
        <v>45796</v>
      </c>
      <c r="C233">
        <v>4.2673966662970146</v>
      </c>
      <c r="D233">
        <v>4.5673966662970145</v>
      </c>
      <c r="E233">
        <v>511.91047816198397</v>
      </c>
      <c r="F233">
        <v>35.347135243958355</v>
      </c>
      <c r="G233">
        <v>0.51</v>
      </c>
      <c r="H233">
        <v>0.58622522308595848</v>
      </c>
      <c r="I233">
        <v>0.69637380533808979</v>
      </c>
      <c r="J233">
        <v>21.480998964419861</v>
      </c>
    </row>
    <row r="234" spans="1:10">
      <c r="A234" s="1">
        <v>45797</v>
      </c>
      <c r="B234" s="1">
        <v>45797</v>
      </c>
      <c r="C234">
        <v>4.2673966662970146</v>
      </c>
      <c r="D234">
        <v>4.5673966662970145</v>
      </c>
      <c r="E234">
        <v>522.44356745874813</v>
      </c>
      <c r="F234">
        <v>33.771405846790543</v>
      </c>
      <c r="G234">
        <v>0.51</v>
      </c>
      <c r="H234">
        <v>0.58622522308595848</v>
      </c>
      <c r="I234">
        <v>0.69637380533808979</v>
      </c>
      <c r="J234">
        <v>21.480998964419861</v>
      </c>
    </row>
    <row r="235" spans="1:10">
      <c r="A235" s="1">
        <v>45798</v>
      </c>
      <c r="B235" s="1">
        <v>45798</v>
      </c>
      <c r="C235">
        <v>4.2673966662970146</v>
      </c>
      <c r="D235">
        <v>4.5673966662970145</v>
      </c>
      <c r="E235">
        <v>535.84391412537207</v>
      </c>
      <c r="F235">
        <v>38.172608937488185</v>
      </c>
      <c r="G235">
        <v>0.51</v>
      </c>
      <c r="H235">
        <v>0.58622522308595848</v>
      </c>
      <c r="I235">
        <v>0.69637380533808979</v>
      </c>
      <c r="J235">
        <v>21.480998964419861</v>
      </c>
    </row>
    <row r="236" spans="1:10">
      <c r="A236" s="1">
        <v>45799</v>
      </c>
      <c r="B236" s="1">
        <v>45799</v>
      </c>
      <c r="C236">
        <v>4.2673966662970146</v>
      </c>
      <c r="D236">
        <v>4.5673966662970145</v>
      </c>
      <c r="E236">
        <v>532.67962866541552</v>
      </c>
      <c r="F236">
        <v>35.384784382337159</v>
      </c>
      <c r="G236">
        <v>0.51</v>
      </c>
      <c r="H236">
        <v>0.58622522308595848</v>
      </c>
      <c r="I236">
        <v>0.69637380533808979</v>
      </c>
      <c r="J236">
        <v>21.480998964419861</v>
      </c>
    </row>
    <row r="237" spans="1:10">
      <c r="A237" s="1">
        <v>45800</v>
      </c>
      <c r="B237" s="1">
        <v>45800</v>
      </c>
      <c r="C237">
        <v>4.2673966662970146</v>
      </c>
      <c r="D237">
        <v>4.5673966662970145</v>
      </c>
      <c r="E237">
        <v>505.22248773326794</v>
      </c>
      <c r="F237">
        <v>35.640367621654818</v>
      </c>
      <c r="G237">
        <v>0.51</v>
      </c>
      <c r="H237">
        <v>0.58622522308595848</v>
      </c>
      <c r="I237">
        <v>0.69637380533808979</v>
      </c>
      <c r="J237">
        <v>21.480998964419861</v>
      </c>
    </row>
    <row r="238" spans="1:10">
      <c r="A238" s="1">
        <v>45803</v>
      </c>
      <c r="B238" s="1">
        <v>45803</v>
      </c>
      <c r="C238">
        <v>4.2673966662970146</v>
      </c>
      <c r="D238">
        <v>4.5673966662970145</v>
      </c>
      <c r="E238">
        <v>520.8770217815154</v>
      </c>
      <c r="F238">
        <v>35.657267305973221</v>
      </c>
      <c r="G238">
        <v>0.51</v>
      </c>
      <c r="H238">
        <v>0.58622522308595848</v>
      </c>
      <c r="I238">
        <v>0.69637380533808979</v>
      </c>
      <c r="J238">
        <v>21.480998964419861</v>
      </c>
    </row>
    <row r="239" spans="1:10">
      <c r="A239" s="1">
        <v>45804</v>
      </c>
      <c r="B239" s="1">
        <v>45804</v>
      </c>
      <c r="C239">
        <v>4.2673966662970146</v>
      </c>
      <c r="D239">
        <v>4.5673966662970145</v>
      </c>
      <c r="E239">
        <v>524.87627920148179</v>
      </c>
      <c r="F239">
        <v>37.480584525308821</v>
      </c>
      <c r="G239">
        <v>0.51</v>
      </c>
      <c r="H239">
        <v>0.58622522308595848</v>
      </c>
      <c r="I239">
        <v>0.69637380533808979</v>
      </c>
      <c r="J239">
        <v>21.480998964419861</v>
      </c>
    </row>
    <row r="240" spans="1:10">
      <c r="A240" s="1">
        <v>45805</v>
      </c>
      <c r="B240" s="1">
        <v>45805</v>
      </c>
      <c r="C240">
        <v>4.2673966662970146</v>
      </c>
      <c r="D240">
        <v>4.5673966662970145</v>
      </c>
      <c r="E240">
        <v>509.61649928550867</v>
      </c>
      <c r="F240">
        <v>33.866611355859838</v>
      </c>
      <c r="G240">
        <v>0.51</v>
      </c>
      <c r="H240">
        <v>0.58622522308595848</v>
      </c>
      <c r="I240">
        <v>0.69637380533808979</v>
      </c>
      <c r="J240">
        <v>21.480998964419861</v>
      </c>
    </row>
    <row r="241" spans="1:10">
      <c r="A241" s="1">
        <v>45806</v>
      </c>
      <c r="B241" s="1">
        <v>45806</v>
      </c>
      <c r="C241">
        <v>4.2673966662970146</v>
      </c>
      <c r="D241">
        <v>4.5673966662970145</v>
      </c>
      <c r="E241">
        <v>535.77976508236236</v>
      </c>
      <c r="F241">
        <v>33.689848371381366</v>
      </c>
      <c r="G241">
        <v>0.51</v>
      </c>
      <c r="H241">
        <v>0.58622522308595848</v>
      </c>
      <c r="I241">
        <v>0.69637380533808979</v>
      </c>
      <c r="J241">
        <v>21.480998964419861</v>
      </c>
    </row>
    <row r="242" spans="1:10">
      <c r="A242" s="1">
        <v>45807</v>
      </c>
      <c r="B242" s="1">
        <v>45807</v>
      </c>
      <c r="C242">
        <v>4.2673966662970146</v>
      </c>
      <c r="D242">
        <v>4.5673966662970145</v>
      </c>
      <c r="E242">
        <v>526.18917830537544</v>
      </c>
      <c r="F242">
        <v>35.852255124951171</v>
      </c>
      <c r="G242">
        <v>0.51</v>
      </c>
      <c r="H242">
        <v>0.58622522308595848</v>
      </c>
      <c r="I242">
        <v>0.69637380533808979</v>
      </c>
      <c r="J242">
        <v>21.480998964419861</v>
      </c>
    </row>
    <row r="243" spans="1:10">
      <c r="A243" s="1">
        <v>45810</v>
      </c>
      <c r="B243" s="1">
        <v>45810</v>
      </c>
      <c r="C243">
        <v>4.2673966662970146</v>
      </c>
      <c r="D243">
        <v>4.5673966662970145</v>
      </c>
      <c r="E243">
        <v>520.77320588875932</v>
      </c>
      <c r="F243">
        <v>33.551001444953997</v>
      </c>
      <c r="G243">
        <v>0.51</v>
      </c>
      <c r="H243">
        <v>0.58622522308595848</v>
      </c>
      <c r="I243">
        <v>0.69637380533808979</v>
      </c>
      <c r="J243">
        <v>21.480998964419861</v>
      </c>
    </row>
    <row r="244" spans="1:10">
      <c r="A244" s="1">
        <v>45811</v>
      </c>
      <c r="B244" s="1">
        <v>45811</v>
      </c>
      <c r="C244">
        <v>4.2673966662970146</v>
      </c>
      <c r="D244">
        <v>4.5673966662970145</v>
      </c>
      <c r="E244">
        <v>513.37310115066987</v>
      </c>
      <c r="F244">
        <v>37.762227167409705</v>
      </c>
      <c r="G244">
        <v>0.51</v>
      </c>
      <c r="H244">
        <v>0.58622522308595848</v>
      </c>
      <c r="I244">
        <v>0.69637380533808979</v>
      </c>
      <c r="J244">
        <v>21.480998964419861</v>
      </c>
    </row>
    <row r="245" spans="1:10">
      <c r="A245" s="1">
        <v>45812</v>
      </c>
      <c r="B245" s="1">
        <v>45812</v>
      </c>
      <c r="C245">
        <v>4.2673966662970146</v>
      </c>
      <c r="D245">
        <v>4.5673966662970145</v>
      </c>
      <c r="E245">
        <v>519.00452355689083</v>
      </c>
      <c r="F245">
        <v>35.642670504517604</v>
      </c>
      <c r="G245">
        <v>0.51</v>
      </c>
      <c r="H245">
        <v>0.58622522308595848</v>
      </c>
      <c r="I245">
        <v>0.69637380533808979</v>
      </c>
      <c r="J245">
        <v>21.480998964419861</v>
      </c>
    </row>
    <row r="246" spans="1:10">
      <c r="A246" s="1">
        <v>45813</v>
      </c>
      <c r="B246" s="1">
        <v>45813</v>
      </c>
      <c r="C246">
        <v>4.2673966662970146</v>
      </c>
      <c r="D246">
        <v>4.5673966662970145</v>
      </c>
      <c r="E246">
        <v>524.37954965039557</v>
      </c>
      <c r="F246">
        <v>34.09020163698959</v>
      </c>
      <c r="G246">
        <v>0.51</v>
      </c>
      <c r="H246">
        <v>0.58622522308595848</v>
      </c>
      <c r="I246">
        <v>0.69637380533808979</v>
      </c>
      <c r="J246">
        <v>21.480998964419861</v>
      </c>
    </row>
    <row r="247" spans="1:10">
      <c r="A247" s="1">
        <v>45814</v>
      </c>
      <c r="B247" s="1">
        <v>45814</v>
      </c>
      <c r="C247">
        <v>4.2673966662970146</v>
      </c>
      <c r="D247">
        <v>4.5673966662970145</v>
      </c>
      <c r="E247">
        <v>527.24277687075869</v>
      </c>
      <c r="F247">
        <v>34.426791358723243</v>
      </c>
      <c r="G247">
        <v>0.51</v>
      </c>
      <c r="H247">
        <v>0.58622522308595848</v>
      </c>
      <c r="I247">
        <v>0.69637380533808979</v>
      </c>
      <c r="J247">
        <v>21.480998964419861</v>
      </c>
    </row>
    <row r="248" spans="1:10">
      <c r="A248" s="1">
        <v>45817</v>
      </c>
      <c r="B248" s="1">
        <v>45817</v>
      </c>
      <c r="C248">
        <v>4.2673966662970146</v>
      </c>
      <c r="D248">
        <v>4.5673966662970145</v>
      </c>
      <c r="E248">
        <v>506.15451840392063</v>
      </c>
      <c r="F248">
        <v>36.454221946500361</v>
      </c>
      <c r="G248">
        <v>0.51</v>
      </c>
      <c r="H248">
        <v>0.58622522308595848</v>
      </c>
      <c r="I248">
        <v>0.69637380533808979</v>
      </c>
      <c r="J248">
        <v>21.480998964419861</v>
      </c>
    </row>
    <row r="249" spans="1:10">
      <c r="A249" s="1">
        <v>45818</v>
      </c>
      <c r="B249" s="1">
        <v>45818</v>
      </c>
      <c r="C249">
        <v>4.2673966662970146</v>
      </c>
      <c r="D249">
        <v>4.5673966662970145</v>
      </c>
      <c r="E249">
        <v>508.40001166109448</v>
      </c>
      <c r="F249">
        <v>36.647119332857223</v>
      </c>
      <c r="G249">
        <v>0.51</v>
      </c>
      <c r="H249">
        <v>0.58622522308595848</v>
      </c>
      <c r="I249">
        <v>0.69637380533808979</v>
      </c>
      <c r="J249">
        <v>21.480998964419861</v>
      </c>
    </row>
    <row r="250" spans="1:10">
      <c r="A250" s="1">
        <v>45819</v>
      </c>
      <c r="B250" s="1">
        <v>45819</v>
      </c>
      <c r="C250">
        <v>4.2673966662970146</v>
      </c>
      <c r="D250">
        <v>4.5673966662970145</v>
      </c>
      <c r="E250">
        <v>516.76870505655813</v>
      </c>
      <c r="F250">
        <v>34.034026625362237</v>
      </c>
      <c r="G250">
        <v>0.51</v>
      </c>
      <c r="H250">
        <v>0.58622522308595848</v>
      </c>
      <c r="I250">
        <v>0.69637380533808979</v>
      </c>
      <c r="J250">
        <v>21.480998964419861</v>
      </c>
    </row>
    <row r="251" spans="1:10">
      <c r="A251" s="1">
        <v>45820</v>
      </c>
      <c r="B251" s="1">
        <v>45820</v>
      </c>
      <c r="C251">
        <v>4.2673966662970146</v>
      </c>
      <c r="D251">
        <v>4.5673966662970145</v>
      </c>
      <c r="E251">
        <v>541.37463763131188</v>
      </c>
      <c r="F251">
        <v>35.422873228499355</v>
      </c>
      <c r="G251">
        <v>0.51</v>
      </c>
      <c r="H251">
        <v>0.58622522308595848</v>
      </c>
      <c r="I251">
        <v>0.69637380533808979</v>
      </c>
      <c r="J251">
        <v>21.480998964419861</v>
      </c>
    </row>
    <row r="252" spans="1:10">
      <c r="A252" s="1">
        <v>45821</v>
      </c>
      <c r="B252" s="1">
        <v>45821</v>
      </c>
      <c r="C252">
        <v>4.2673966662970146</v>
      </c>
      <c r="D252">
        <v>4.5673966662970145</v>
      </c>
      <c r="E252">
        <v>523.74892620618709</v>
      </c>
      <c r="F252">
        <v>35.461425622630287</v>
      </c>
      <c r="G252">
        <v>0.51</v>
      </c>
      <c r="H252">
        <v>0.58622522308595848</v>
      </c>
      <c r="I252">
        <v>0.69637380533808979</v>
      </c>
      <c r="J252">
        <v>21.480998964419861</v>
      </c>
    </row>
    <row r="253" spans="1:10">
      <c r="A253" s="1">
        <v>45824</v>
      </c>
      <c r="B253" s="1">
        <v>45824</v>
      </c>
      <c r="C253">
        <v>4.2673966662970146</v>
      </c>
      <c r="D253">
        <v>4.5673966662970145</v>
      </c>
      <c r="E253">
        <v>526.02622347384647</v>
      </c>
      <c r="F253">
        <v>32.176457104334965</v>
      </c>
      <c r="G253">
        <v>0.51</v>
      </c>
      <c r="H253">
        <v>0.58622522308595848</v>
      </c>
      <c r="I253">
        <v>0.69637380533808979</v>
      </c>
      <c r="J253">
        <v>21.480998964419861</v>
      </c>
    </row>
    <row r="254" spans="1:10">
      <c r="A254" s="1">
        <v>45825</v>
      </c>
      <c r="B254" s="1">
        <v>45825</v>
      </c>
      <c r="C254">
        <v>4.2673966662970146</v>
      </c>
      <c r="D254">
        <v>4.5673966662970145</v>
      </c>
      <c r="E254">
        <v>502.61992570595123</v>
      </c>
      <c r="F254">
        <v>36.766152659619792</v>
      </c>
      <c r="G254">
        <v>0.51</v>
      </c>
      <c r="H254">
        <v>0.58622522308595848</v>
      </c>
      <c r="I254">
        <v>0.69637380533808979</v>
      </c>
      <c r="J254">
        <v>21.480998964419861</v>
      </c>
    </row>
    <row r="255" spans="1:10">
      <c r="A255" s="1">
        <v>45826</v>
      </c>
      <c r="B255" s="1">
        <v>45826</v>
      </c>
      <c r="C255">
        <v>4.2673966662970146</v>
      </c>
      <c r="D255">
        <v>4.5673966662970145</v>
      </c>
      <c r="E255">
        <v>529.38209962628594</v>
      </c>
      <c r="F255">
        <v>34.850554946667295</v>
      </c>
      <c r="G255">
        <v>0.51</v>
      </c>
      <c r="H255">
        <v>0.58622522308595848</v>
      </c>
      <c r="I255">
        <v>0.69637380533808979</v>
      </c>
      <c r="J255">
        <v>21.480998964419861</v>
      </c>
    </row>
    <row r="256" spans="1:10">
      <c r="A256" s="1">
        <v>45827</v>
      </c>
      <c r="B256" s="1">
        <v>45827</v>
      </c>
      <c r="C256">
        <v>4.2673966662970146</v>
      </c>
      <c r="D256">
        <v>4.5673966662970145</v>
      </c>
      <c r="E256">
        <v>530.44420181609382</v>
      </c>
      <c r="F256">
        <v>37.554142477725229</v>
      </c>
      <c r="G256">
        <v>0.51</v>
      </c>
      <c r="H256">
        <v>0.58622522308595848</v>
      </c>
      <c r="I256">
        <v>0.69637380533808979</v>
      </c>
      <c r="J256">
        <v>21.480998964419861</v>
      </c>
    </row>
    <row r="257" spans="1:10">
      <c r="A257" s="1">
        <v>45828</v>
      </c>
      <c r="B257" s="1">
        <v>45828</v>
      </c>
      <c r="C257">
        <v>4.2673966662970146</v>
      </c>
      <c r="D257">
        <v>4.5673966662970145</v>
      </c>
      <c r="E257">
        <v>519.44951810213342</v>
      </c>
      <c r="F257">
        <v>33.304553471741045</v>
      </c>
      <c r="G257">
        <v>0.51</v>
      </c>
      <c r="H257">
        <v>0.58622522308595848</v>
      </c>
      <c r="I257">
        <v>0.69637380533808979</v>
      </c>
      <c r="J257">
        <v>21.480998964419861</v>
      </c>
    </row>
    <row r="258" spans="1:10">
      <c r="A258" s="1">
        <v>45831</v>
      </c>
      <c r="B258" s="1">
        <v>45831</v>
      </c>
      <c r="C258">
        <v>4.2673966662970146</v>
      </c>
      <c r="D258">
        <v>4.5673966662970145</v>
      </c>
      <c r="E258">
        <v>523.605589829834</v>
      </c>
      <c r="F258">
        <v>38.895566472245527</v>
      </c>
      <c r="G258">
        <v>0.51</v>
      </c>
      <c r="H258">
        <v>0.58622522308595848</v>
      </c>
      <c r="I258">
        <v>0.69637380533808979</v>
      </c>
      <c r="J258">
        <v>21.480998964419861</v>
      </c>
    </row>
    <row r="259" spans="1:10">
      <c r="A259" s="1">
        <v>45832</v>
      </c>
      <c r="B259" s="1">
        <v>45832</v>
      </c>
      <c r="C259">
        <v>4.2673966662970146</v>
      </c>
      <c r="D259">
        <v>4.5673966662970145</v>
      </c>
      <c r="E259">
        <v>528.55979127075955</v>
      </c>
      <c r="F259">
        <v>33.919461429325189</v>
      </c>
      <c r="G259">
        <v>0.51</v>
      </c>
      <c r="H259">
        <v>0.58622522308595848</v>
      </c>
      <c r="I259">
        <v>0.69637380533808979</v>
      </c>
      <c r="J259">
        <v>21.480998964419861</v>
      </c>
    </row>
    <row r="260" spans="1:10">
      <c r="A260" s="1">
        <v>45833</v>
      </c>
      <c r="B260" s="1">
        <v>45833</v>
      </c>
      <c r="C260">
        <v>4.2673966662970146</v>
      </c>
      <c r="D260">
        <v>4.5673966662970145</v>
      </c>
      <c r="E260">
        <v>525.36718951068679</v>
      </c>
      <c r="F260">
        <v>38.485861775591921</v>
      </c>
      <c r="G260">
        <v>0.51</v>
      </c>
      <c r="H260">
        <v>0.58622522308595848</v>
      </c>
      <c r="I260">
        <v>0.69637380533808979</v>
      </c>
      <c r="J260">
        <v>21.480998964419861</v>
      </c>
    </row>
    <row r="261" spans="1:10">
      <c r="A261" s="1">
        <v>45834</v>
      </c>
      <c r="B261" s="1">
        <v>45834</v>
      </c>
      <c r="C261">
        <v>4.2673966662970146</v>
      </c>
      <c r="D261">
        <v>4.5673966662970145</v>
      </c>
      <c r="E261">
        <v>533.19125715192445</v>
      </c>
      <c r="F261">
        <v>36.899199461143745</v>
      </c>
      <c r="G261">
        <v>0.51</v>
      </c>
      <c r="H261">
        <v>0.58622522308595848</v>
      </c>
      <c r="I261">
        <v>0.69637380533808979</v>
      </c>
      <c r="J261">
        <v>21.480998964419861</v>
      </c>
    </row>
    <row r="262" spans="1:10">
      <c r="A262" s="1">
        <v>45835</v>
      </c>
      <c r="B262" s="1">
        <v>45835</v>
      </c>
      <c r="C262">
        <v>4.2673966662970146</v>
      </c>
      <c r="D262">
        <v>4.5673966662970145</v>
      </c>
      <c r="E262">
        <v>530.57190950356187</v>
      </c>
      <c r="F262">
        <v>34.175484378602498</v>
      </c>
      <c r="G262">
        <v>0.51</v>
      </c>
      <c r="H262">
        <v>0.58622522308595848</v>
      </c>
      <c r="I262">
        <v>0.69637380533808979</v>
      </c>
      <c r="J262">
        <v>21.480998964419861</v>
      </c>
    </row>
    <row r="263" spans="1:10">
      <c r="A263" s="1">
        <v>45838</v>
      </c>
      <c r="B263" s="1">
        <v>45838</v>
      </c>
      <c r="C263">
        <v>4.2673966662970146</v>
      </c>
      <c r="D263">
        <v>4.5673966662970145</v>
      </c>
      <c r="E263">
        <v>510.79331963359488</v>
      </c>
      <c r="F263">
        <v>36.152700771613233</v>
      </c>
      <c r="G263">
        <v>0.51</v>
      </c>
      <c r="H263">
        <v>0.58622522308595848</v>
      </c>
      <c r="I263">
        <v>0.69637380533808979</v>
      </c>
      <c r="J263">
        <v>21.480998964419861</v>
      </c>
    </row>
  </sheetData>
  <mergeCells count="3">
    <mergeCell ref="C1:F1"/>
    <mergeCell ref="K1:R1"/>
    <mergeCell ref="K4:R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08AE0-CA6B-4E3E-92D1-315BC7639D76}">
  <dimension ref="A1:Q9"/>
  <sheetViews>
    <sheetView workbookViewId="0">
      <selection activeCell="Q12" sqref="Q12"/>
    </sheetView>
  </sheetViews>
  <sheetFormatPr defaultRowHeight="14.5"/>
  <cols>
    <col min="1" max="1" width="13.08984375" bestFit="1" customWidth="1"/>
    <col min="16" max="16" width="11.1796875" customWidth="1"/>
    <col min="17" max="17" width="12.6328125" customWidth="1"/>
  </cols>
  <sheetData>
    <row r="1" spans="1:17">
      <c r="A1" t="s">
        <v>37</v>
      </c>
      <c r="B1" t="s">
        <v>38</v>
      </c>
      <c r="C1" t="s">
        <v>30</v>
      </c>
      <c r="D1" t="s">
        <v>39</v>
      </c>
      <c r="E1" t="s">
        <v>42</v>
      </c>
      <c r="F1" t="s">
        <v>65</v>
      </c>
      <c r="J1" t="s">
        <v>66</v>
      </c>
      <c r="N1" t="s">
        <v>63</v>
      </c>
      <c r="O1" t="s">
        <v>52</v>
      </c>
      <c r="P1" t="s">
        <v>61</v>
      </c>
      <c r="Q1" t="s">
        <v>62</v>
      </c>
    </row>
    <row r="2" spans="1:17" ht="16.5">
      <c r="A2" t="s">
        <v>36</v>
      </c>
      <c r="B2">
        <v>100</v>
      </c>
      <c r="C2">
        <v>3</v>
      </c>
      <c r="D2">
        <v>100</v>
      </c>
      <c r="F2">
        <f>B2*D2</f>
        <v>10000</v>
      </c>
      <c r="J2">
        <v>10</v>
      </c>
      <c r="M2" t="s">
        <v>67</v>
      </c>
      <c r="N2">
        <v>10</v>
      </c>
      <c r="O2">
        <f>'ES, Equity factor movement'!L3</f>
        <v>-3198.6681348708248</v>
      </c>
      <c r="P2">
        <f>ABS(O2)</f>
        <v>3198.6681348708248</v>
      </c>
      <c r="Q2" s="10">
        <f>P2*P2</f>
        <v>10231477.837038001</v>
      </c>
    </row>
    <row r="3" spans="1:17" ht="20.5">
      <c r="A3" t="s">
        <v>41</v>
      </c>
      <c r="B3">
        <v>100</v>
      </c>
      <c r="C3">
        <v>3</v>
      </c>
      <c r="D3">
        <v>100</v>
      </c>
      <c r="F3">
        <f t="shared" ref="F3:F4" si="0">B3*D3</f>
        <v>10000</v>
      </c>
      <c r="P3" s="11" t="s">
        <v>64</v>
      </c>
      <c r="Q3" s="12">
        <f>SQRT(SUM(Q2:Q2))</f>
        <v>3198.6681348708248</v>
      </c>
    </row>
    <row r="4" spans="1:17">
      <c r="A4" t="s">
        <v>40</v>
      </c>
      <c r="B4">
        <v>100</v>
      </c>
      <c r="C4">
        <v>3</v>
      </c>
      <c r="D4">
        <v>100</v>
      </c>
      <c r="F4">
        <f t="shared" si="0"/>
        <v>10000</v>
      </c>
    </row>
    <row r="5" spans="1:17">
      <c r="A5" t="s">
        <v>43</v>
      </c>
      <c r="B5">
        <v>100</v>
      </c>
      <c r="E5">
        <v>500</v>
      </c>
      <c r="F5">
        <f>B5*E5</f>
        <v>50000</v>
      </c>
    </row>
    <row r="6" spans="1:17">
      <c r="A6" t="s">
        <v>44</v>
      </c>
      <c r="B6">
        <v>100</v>
      </c>
      <c r="E6">
        <v>36</v>
      </c>
      <c r="F6">
        <f t="shared" ref="F6:F7" si="1">B6*E6</f>
        <v>3600</v>
      </c>
    </row>
    <row r="7" spans="1:17">
      <c r="A7" t="s">
        <v>25</v>
      </c>
      <c r="B7">
        <v>100</v>
      </c>
      <c r="E7">
        <v>20</v>
      </c>
      <c r="F7">
        <f t="shared" si="1"/>
        <v>2000</v>
      </c>
    </row>
    <row r="8" spans="1:17">
      <c r="A8" t="s">
        <v>55</v>
      </c>
      <c r="B8">
        <v>100</v>
      </c>
      <c r="C8">
        <v>3</v>
      </c>
      <c r="D8">
        <v>100</v>
      </c>
      <c r="F8">
        <f>B8*D8</f>
        <v>10000</v>
      </c>
    </row>
    <row r="9" spans="1:17">
      <c r="F9">
        <f>SUM(F2:F8)</f>
        <v>95600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85BA3-9776-4831-9E2C-7512B0C766B7}">
  <dimension ref="A1:L263"/>
  <sheetViews>
    <sheetView topLeftCell="C1" workbookViewId="0">
      <selection activeCell="G14" sqref="G14"/>
    </sheetView>
  </sheetViews>
  <sheetFormatPr defaultRowHeight="14.5"/>
  <cols>
    <col min="1" max="1" width="13.6328125" customWidth="1"/>
    <col min="2" max="2" width="26.08984375" customWidth="1"/>
    <col min="3" max="3" width="30.6328125" customWidth="1"/>
    <col min="4" max="4" width="21.54296875" customWidth="1"/>
    <col min="5" max="5" width="17.26953125" customWidth="1"/>
    <col min="6" max="6" width="15.36328125" customWidth="1"/>
    <col min="7" max="7" width="12.90625" customWidth="1"/>
    <col min="8" max="8" width="14.36328125" customWidth="1"/>
    <col min="9" max="9" width="12.453125" customWidth="1"/>
  </cols>
  <sheetData>
    <row r="1" spans="1:12">
      <c r="B1" t="s">
        <v>68</v>
      </c>
      <c r="C1" t="s">
        <v>69</v>
      </c>
      <c r="D1" t="s">
        <v>70</v>
      </c>
      <c r="E1" t="s">
        <v>71</v>
      </c>
      <c r="F1" t="s">
        <v>68</v>
      </c>
      <c r="G1" t="s">
        <v>68</v>
      </c>
      <c r="H1" t="s">
        <v>72</v>
      </c>
    </row>
    <row r="2" spans="1:12">
      <c r="B2" t="s">
        <v>45</v>
      </c>
      <c r="C2" t="s">
        <v>46</v>
      </c>
      <c r="D2" t="s">
        <v>33</v>
      </c>
      <c r="E2" t="s">
        <v>54</v>
      </c>
      <c r="F2" t="s">
        <v>47</v>
      </c>
      <c r="G2" t="s">
        <v>48</v>
      </c>
      <c r="H2" t="s">
        <v>49</v>
      </c>
      <c r="I2" t="s">
        <v>50</v>
      </c>
      <c r="J2" t="s">
        <v>51</v>
      </c>
      <c r="K2" t="s">
        <v>53</v>
      </c>
      <c r="L2" s="9" t="s">
        <v>56</v>
      </c>
    </row>
    <row r="3" spans="1:12">
      <c r="A3" s="1">
        <v>45474</v>
      </c>
      <c r="B3">
        <f>(3/(1+('CurrentPor-Equ Factor Movements'!C3)/100)+103/POWER(1+('CurrentPor-Equ Factor Movements'!D3)/100,2))*100</f>
        <v>9707.5857774288397</v>
      </c>
      <c r="C3">
        <f>(3/(1+('CurrentPor-Equ Factor Movements'!C3+'CurrentPor-Equ Factor Movements'!G3)/100)+103/POWER(1+('CurrentPor-Equ Factor Movements'!D3+'CurrentPor-Equ Factor Movements'!G3)/100,2))*100</f>
        <v>9614.9673582483465</v>
      </c>
      <c r="D3">
        <f>(3/(1+('CurrentPor-Equ Factor Movements'!C3+'CurrentPor-Equ Factor Movements'!H3)/100)+103/POWER(1+('CurrentPor-Equ Factor Movements'!D3+'CurrentPor-Equ Factor Movements'!H3)/100,2))*100</f>
        <v>9601.2395558122898</v>
      </c>
      <c r="E3">
        <f>(3/(1+('CurrentPor-Equ Factor Movements'!C3+'CurrentPor-Equ Factor Movements'!I3)/100)+103/POWER(1+('CurrentPor-Equ Factor Movements'!D3+'CurrentPor-Equ Factor Movements'!I3)/100,2))*100</f>
        <v>9581.4547115644182</v>
      </c>
      <c r="F3">
        <f>Portfolio!B$5*'CurrentPor-Equ Factor Movements'!E3</f>
        <v>53006.710240945395</v>
      </c>
      <c r="G3">
        <f>Portfolio!B$6*'CurrentPor-Equ Factor Movements'!F3</f>
        <v>3848.6313274164081</v>
      </c>
      <c r="H3">
        <f>Portfolio!B$7*'CurrentPor-Equ Factor Movements'!J3</f>
        <v>2148.0998964419859</v>
      </c>
      <c r="I3">
        <f>SUM(B3:H3)</f>
        <v>97508.68886785768</v>
      </c>
      <c r="K3" s="8">
        <f>_xlfn.PERCENTILE.INC(J13:J263, 0.025)</f>
        <v>-2757.7392535718245</v>
      </c>
      <c r="L3">
        <f>AVERAGEIF(J13:J263, "&lt;="&amp;K3,J13:J263)</f>
        <v>-3198.6681348708248</v>
      </c>
    </row>
    <row r="4" spans="1:12">
      <c r="A4" s="1">
        <v>45475</v>
      </c>
      <c r="B4">
        <f>(3/(1+('CurrentPor-Equ Factor Movements'!C4)/100)+103/POWER(1+('CurrentPor-Equ Factor Movements'!D4)/100,2))*100</f>
        <v>9707.5857774288397</v>
      </c>
      <c r="C4">
        <f>(3/(1+('CurrentPor-Equ Factor Movements'!C4+'CurrentPor-Equ Factor Movements'!G4)/100)+103/POWER(1+('CurrentPor-Equ Factor Movements'!D4+'CurrentPor-Equ Factor Movements'!G4)/100,2))*100</f>
        <v>9614.9673582483465</v>
      </c>
      <c r="D4">
        <f>(3/(1+('CurrentPor-Equ Factor Movements'!C4+'CurrentPor-Equ Factor Movements'!H4)/100)+103/POWER(1+('CurrentPor-Equ Factor Movements'!D4+'CurrentPor-Equ Factor Movements'!H4)/100,2))*100</f>
        <v>9601.2395558122898</v>
      </c>
      <c r="E4">
        <f>(3/(1+('CurrentPor-Equ Factor Movements'!C4+'CurrentPor-Equ Factor Movements'!I4)/100)+103/POWER(1+('CurrentPor-Equ Factor Movements'!D4+'CurrentPor-Equ Factor Movements'!I4)/100,2))*100</f>
        <v>9581.4547115644182</v>
      </c>
      <c r="F4">
        <f>Portfolio!B$5*'CurrentPor-Equ Factor Movements'!E4</f>
        <v>52282.800367758842</v>
      </c>
      <c r="G4">
        <f>Portfolio!B$6*'CurrentPor-Equ Factor Movements'!F4</f>
        <v>3552.5855533449467</v>
      </c>
      <c r="H4">
        <f>Portfolio!B$7*'CurrentPor-Equ Factor Movements'!J4</f>
        <v>2148.0998964419859</v>
      </c>
      <c r="I4">
        <f t="shared" ref="I4:I67" si="0">SUM(B4:H4)</f>
        <v>96488.733220599664</v>
      </c>
    </row>
    <row r="5" spans="1:12">
      <c r="A5" s="1">
        <v>45476</v>
      </c>
      <c r="B5">
        <f>(3/(1+('CurrentPor-Equ Factor Movements'!C5)/100)+103/POWER(1+('CurrentPor-Equ Factor Movements'!D5)/100,2))*100</f>
        <v>9707.5857774288397</v>
      </c>
      <c r="C5">
        <f>(3/(1+('CurrentPor-Equ Factor Movements'!C5+'CurrentPor-Equ Factor Movements'!G5)/100)+103/POWER(1+('CurrentPor-Equ Factor Movements'!D5+'CurrentPor-Equ Factor Movements'!G5)/100,2))*100</f>
        <v>9614.9673582483465</v>
      </c>
      <c r="D5">
        <f>(3/(1+('CurrentPor-Equ Factor Movements'!C5+'CurrentPor-Equ Factor Movements'!H5)/100)+103/POWER(1+('CurrentPor-Equ Factor Movements'!D5+'CurrentPor-Equ Factor Movements'!H5)/100,2))*100</f>
        <v>9601.2395558122898</v>
      </c>
      <c r="E5">
        <f>(3/(1+('CurrentPor-Equ Factor Movements'!C5+'CurrentPor-Equ Factor Movements'!I5)/100)+103/POWER(1+('CurrentPor-Equ Factor Movements'!D5+'CurrentPor-Equ Factor Movements'!I5)/100,2))*100</f>
        <v>9581.4547115644182</v>
      </c>
      <c r="F5">
        <f>Portfolio!B$5*'CurrentPor-Equ Factor Movements'!E5</f>
        <v>51011.849651987475</v>
      </c>
      <c r="G5">
        <f>Portfolio!B$6*'CurrentPor-Equ Factor Movements'!F5</f>
        <v>3637.8867997537618</v>
      </c>
      <c r="H5">
        <f>Portfolio!B$7*'CurrentPor-Equ Factor Movements'!J5</f>
        <v>2148.0998964419859</v>
      </c>
      <c r="I5">
        <f t="shared" si="0"/>
        <v>95303.083751237122</v>
      </c>
    </row>
    <row r="6" spans="1:12">
      <c r="A6" s="1">
        <v>45477</v>
      </c>
      <c r="B6">
        <f>(3/(1+('CurrentPor-Equ Factor Movements'!C6)/100)+103/POWER(1+('CurrentPor-Equ Factor Movements'!D6)/100,2))*100</f>
        <v>9707.5857774288397</v>
      </c>
      <c r="C6">
        <f>(3/(1+('CurrentPor-Equ Factor Movements'!C6+'CurrentPor-Equ Factor Movements'!G6)/100)+103/POWER(1+('CurrentPor-Equ Factor Movements'!D6+'CurrentPor-Equ Factor Movements'!G6)/100,2))*100</f>
        <v>9614.9673582483465</v>
      </c>
      <c r="D6">
        <f>(3/(1+('CurrentPor-Equ Factor Movements'!C6+'CurrentPor-Equ Factor Movements'!H6)/100)+103/POWER(1+('CurrentPor-Equ Factor Movements'!D6+'CurrentPor-Equ Factor Movements'!H6)/100,2))*100</f>
        <v>9601.2395558122898</v>
      </c>
      <c r="E6">
        <f>(3/(1+('CurrentPor-Equ Factor Movements'!C6+'CurrentPor-Equ Factor Movements'!I6)/100)+103/POWER(1+('CurrentPor-Equ Factor Movements'!D6+'CurrentPor-Equ Factor Movements'!I6)/100,2))*100</f>
        <v>9581.4547115644182</v>
      </c>
      <c r="F6">
        <f>Portfolio!B$5*'CurrentPor-Equ Factor Movements'!E6</f>
        <v>51668.968050493095</v>
      </c>
      <c r="G6">
        <f>Portfolio!B$6*'CurrentPor-Equ Factor Movements'!F6</f>
        <v>3613.8275735084526</v>
      </c>
      <c r="H6">
        <f>Portfolio!B$7*'CurrentPor-Equ Factor Movements'!J6</f>
        <v>2148.0998964419859</v>
      </c>
      <c r="I6">
        <f t="shared" si="0"/>
        <v>95936.14292349742</v>
      </c>
    </row>
    <row r="7" spans="1:12">
      <c r="A7" s="1">
        <v>45478</v>
      </c>
      <c r="B7">
        <f>(3/(1+('CurrentPor-Equ Factor Movements'!C7)/100)+103/POWER(1+('CurrentPor-Equ Factor Movements'!D7)/100,2))*100</f>
        <v>9707.5857774288397</v>
      </c>
      <c r="C7">
        <f>(3/(1+('CurrentPor-Equ Factor Movements'!C7+'CurrentPor-Equ Factor Movements'!G7)/100)+103/POWER(1+('CurrentPor-Equ Factor Movements'!D7+'CurrentPor-Equ Factor Movements'!G7)/100,2))*100</f>
        <v>9614.9673582483465</v>
      </c>
      <c r="D7">
        <f>(3/(1+('CurrentPor-Equ Factor Movements'!C7+'CurrentPor-Equ Factor Movements'!H7)/100)+103/POWER(1+('CurrentPor-Equ Factor Movements'!D7+'CurrentPor-Equ Factor Movements'!H7)/100,2))*100</f>
        <v>9601.2395558122898</v>
      </c>
      <c r="E7">
        <f>(3/(1+('CurrentPor-Equ Factor Movements'!C7+'CurrentPor-Equ Factor Movements'!I7)/100)+103/POWER(1+('CurrentPor-Equ Factor Movements'!D7+'CurrentPor-Equ Factor Movements'!I7)/100,2))*100</f>
        <v>9581.4547115644182</v>
      </c>
      <c r="F7">
        <f>Portfolio!B$5*'CurrentPor-Equ Factor Movements'!E7</f>
        <v>51190.515501946436</v>
      </c>
      <c r="G7">
        <f>Portfolio!B$6*'CurrentPor-Equ Factor Movements'!F7</f>
        <v>3561.1753551103661</v>
      </c>
      <c r="H7">
        <f>Portfolio!B$7*'CurrentPor-Equ Factor Movements'!J7</f>
        <v>2148.0998964419859</v>
      </c>
      <c r="I7">
        <f t="shared" si="0"/>
        <v>95405.038156552677</v>
      </c>
    </row>
    <row r="8" spans="1:12">
      <c r="A8" s="1">
        <v>45481</v>
      </c>
      <c r="B8">
        <f>(3/(1+('CurrentPor-Equ Factor Movements'!C8)/100)+103/POWER(1+('CurrentPor-Equ Factor Movements'!D8)/100,2))*100</f>
        <v>9707.5857774288397</v>
      </c>
      <c r="C8">
        <f>(3/(1+('CurrentPor-Equ Factor Movements'!C8+'CurrentPor-Equ Factor Movements'!G8)/100)+103/POWER(1+('CurrentPor-Equ Factor Movements'!D8+'CurrentPor-Equ Factor Movements'!G8)/100,2))*100</f>
        <v>9614.9673582483465</v>
      </c>
      <c r="D8">
        <f>(3/(1+('CurrentPor-Equ Factor Movements'!C8+'CurrentPor-Equ Factor Movements'!H8)/100)+103/POWER(1+('CurrentPor-Equ Factor Movements'!D8+'CurrentPor-Equ Factor Movements'!H8)/100,2))*100</f>
        <v>9601.2395558122898</v>
      </c>
      <c r="E8">
        <f>(3/(1+('CurrentPor-Equ Factor Movements'!C8+'CurrentPor-Equ Factor Movements'!I8)/100)+103/POWER(1+('CurrentPor-Equ Factor Movements'!D8+'CurrentPor-Equ Factor Movements'!I8)/100,2))*100</f>
        <v>9581.4547115644182</v>
      </c>
      <c r="F8">
        <f>Portfolio!B$5*'CurrentPor-Equ Factor Movements'!E8</f>
        <v>51345.231464911361</v>
      </c>
      <c r="G8">
        <f>Portfolio!B$6*'CurrentPor-Equ Factor Movements'!F8</f>
        <v>3770.9248469977197</v>
      </c>
      <c r="H8">
        <f>Portfolio!B$7*'CurrentPor-Equ Factor Movements'!J8</f>
        <v>2148.0998964419859</v>
      </c>
      <c r="I8">
        <f t="shared" si="0"/>
        <v>95769.503611404958</v>
      </c>
    </row>
    <row r="9" spans="1:12">
      <c r="A9" s="1">
        <v>45482</v>
      </c>
      <c r="B9">
        <f>(3/(1+('CurrentPor-Equ Factor Movements'!C9)/100)+103/POWER(1+('CurrentPor-Equ Factor Movements'!D9)/100,2))*100</f>
        <v>9707.5857774288397</v>
      </c>
      <c r="C9">
        <f>(3/(1+('CurrentPor-Equ Factor Movements'!C9+'CurrentPor-Equ Factor Movements'!G9)/100)+103/POWER(1+('CurrentPor-Equ Factor Movements'!D9+'CurrentPor-Equ Factor Movements'!G9)/100,2))*100</f>
        <v>9614.9673582483465</v>
      </c>
      <c r="D9">
        <f>(3/(1+('CurrentPor-Equ Factor Movements'!C9+'CurrentPor-Equ Factor Movements'!H9)/100)+103/POWER(1+('CurrentPor-Equ Factor Movements'!D9+'CurrentPor-Equ Factor Movements'!H9)/100,2))*100</f>
        <v>9601.2395558122898</v>
      </c>
      <c r="E9">
        <f>(3/(1+('CurrentPor-Equ Factor Movements'!C9+'CurrentPor-Equ Factor Movements'!I9)/100)+103/POWER(1+('CurrentPor-Equ Factor Movements'!D9+'CurrentPor-Equ Factor Movements'!I9)/100,2))*100</f>
        <v>9581.4547115644182</v>
      </c>
      <c r="F9">
        <f>Portfolio!B$5*'CurrentPor-Equ Factor Movements'!E9</f>
        <v>51933.854022642619</v>
      </c>
      <c r="G9">
        <f>Portfolio!B$6*'CurrentPor-Equ Factor Movements'!F9</f>
        <v>3625.6977751499667</v>
      </c>
      <c r="H9">
        <f>Portfolio!B$7*'CurrentPor-Equ Factor Movements'!J9</f>
        <v>2148.0998964419859</v>
      </c>
      <c r="I9">
        <f t="shared" si="0"/>
        <v>96212.899097288464</v>
      </c>
    </row>
    <row r="10" spans="1:12">
      <c r="A10" s="1">
        <v>45483</v>
      </c>
      <c r="B10">
        <f>(3/(1+('CurrentPor-Equ Factor Movements'!C10)/100)+103/POWER(1+('CurrentPor-Equ Factor Movements'!D10)/100,2))*100</f>
        <v>9707.5857774288397</v>
      </c>
      <c r="C10">
        <f>(3/(1+('CurrentPor-Equ Factor Movements'!C10+'CurrentPor-Equ Factor Movements'!G10)/100)+103/POWER(1+('CurrentPor-Equ Factor Movements'!D10+'CurrentPor-Equ Factor Movements'!G10)/100,2))*100</f>
        <v>9614.9673582483465</v>
      </c>
      <c r="D10">
        <f>(3/(1+('CurrentPor-Equ Factor Movements'!C10+'CurrentPor-Equ Factor Movements'!H10)/100)+103/POWER(1+('CurrentPor-Equ Factor Movements'!D10+'CurrentPor-Equ Factor Movements'!H10)/100,2))*100</f>
        <v>9601.2395558122898</v>
      </c>
      <c r="E10">
        <f>(3/(1+('CurrentPor-Equ Factor Movements'!C10+'CurrentPor-Equ Factor Movements'!I10)/100)+103/POWER(1+('CurrentPor-Equ Factor Movements'!D10+'CurrentPor-Equ Factor Movements'!I10)/100,2))*100</f>
        <v>9581.4547115644182</v>
      </c>
      <c r="F10">
        <f>Portfolio!B$5*'CurrentPor-Equ Factor Movements'!E10</f>
        <v>51582.191972998793</v>
      </c>
      <c r="G10">
        <f>Portfolio!B$6*'CurrentPor-Equ Factor Movements'!F10</f>
        <v>3511.2746324286968</v>
      </c>
      <c r="H10">
        <f>Portfolio!B$7*'CurrentPor-Equ Factor Movements'!J10</f>
        <v>2148.0998964419859</v>
      </c>
      <c r="I10">
        <f t="shared" si="0"/>
        <v>95746.813904923372</v>
      </c>
    </row>
    <row r="11" spans="1:12">
      <c r="A11" s="1">
        <v>45484</v>
      </c>
      <c r="B11">
        <f>(3/(1+('CurrentPor-Equ Factor Movements'!C11)/100)+103/POWER(1+('CurrentPor-Equ Factor Movements'!D11)/100,2))*100</f>
        <v>9707.5857774288397</v>
      </c>
      <c r="C11">
        <f>(3/(1+('CurrentPor-Equ Factor Movements'!C11+'CurrentPor-Equ Factor Movements'!G11)/100)+103/POWER(1+('CurrentPor-Equ Factor Movements'!D11+'CurrentPor-Equ Factor Movements'!G11)/100,2))*100</f>
        <v>9614.9673582483465</v>
      </c>
      <c r="D11">
        <f>(3/(1+('CurrentPor-Equ Factor Movements'!C11+'CurrentPor-Equ Factor Movements'!H11)/100)+103/POWER(1+('CurrentPor-Equ Factor Movements'!D11+'CurrentPor-Equ Factor Movements'!H11)/100,2))*100</f>
        <v>9601.2395558122898</v>
      </c>
      <c r="E11">
        <f>(3/(1+('CurrentPor-Equ Factor Movements'!C11+'CurrentPor-Equ Factor Movements'!I11)/100)+103/POWER(1+('CurrentPor-Equ Factor Movements'!D11+'CurrentPor-Equ Factor Movements'!I11)/100,2))*100</f>
        <v>9581.4547115644182</v>
      </c>
      <c r="F11">
        <f>Portfolio!B$5*'CurrentPor-Equ Factor Movements'!E11</f>
        <v>52918.294628763746</v>
      </c>
      <c r="G11">
        <f>Portfolio!B$6*'CurrentPor-Equ Factor Movements'!F11</f>
        <v>3586.6392214103512</v>
      </c>
      <c r="H11">
        <f>Portfolio!B$7*'CurrentPor-Equ Factor Movements'!J11</f>
        <v>2148.0998964419859</v>
      </c>
      <c r="I11">
        <f t="shared" si="0"/>
        <v>97158.281149669972</v>
      </c>
    </row>
    <row r="12" spans="1:12">
      <c r="A12" s="1">
        <v>45485</v>
      </c>
      <c r="B12">
        <f>(3/(1+('CurrentPor-Equ Factor Movements'!C12)/100)+103/POWER(1+('CurrentPor-Equ Factor Movements'!D12)/100,2))*100</f>
        <v>9707.5857774288397</v>
      </c>
      <c r="C12">
        <f>(3/(1+('CurrentPor-Equ Factor Movements'!C12+'CurrentPor-Equ Factor Movements'!G12)/100)+103/POWER(1+('CurrentPor-Equ Factor Movements'!D12+'CurrentPor-Equ Factor Movements'!G12)/100,2))*100</f>
        <v>9614.9673582483465</v>
      </c>
      <c r="D12">
        <f>(3/(1+('CurrentPor-Equ Factor Movements'!C12+'CurrentPor-Equ Factor Movements'!H12)/100)+103/POWER(1+('CurrentPor-Equ Factor Movements'!D12+'CurrentPor-Equ Factor Movements'!H12)/100,2))*100</f>
        <v>9601.2395558122898</v>
      </c>
      <c r="E12">
        <f>(3/(1+('CurrentPor-Equ Factor Movements'!C12+'CurrentPor-Equ Factor Movements'!I12)/100)+103/POWER(1+('CurrentPor-Equ Factor Movements'!D12+'CurrentPor-Equ Factor Movements'!I12)/100,2))*100</f>
        <v>9581.4547115644182</v>
      </c>
      <c r="F12">
        <f>Portfolio!B$5*'CurrentPor-Equ Factor Movements'!E12</f>
        <v>52877.17561498846</v>
      </c>
      <c r="G12">
        <f>Portfolio!B$6*'CurrentPor-Equ Factor Movements'!F12</f>
        <v>3484.0449833649841</v>
      </c>
      <c r="H12">
        <f>Portfolio!B$7*'CurrentPor-Equ Factor Movements'!J12</f>
        <v>2148.0998964419859</v>
      </c>
      <c r="I12">
        <f t="shared" si="0"/>
        <v>97014.567897849323</v>
      </c>
    </row>
    <row r="13" spans="1:12">
      <c r="A13" s="1">
        <v>45488</v>
      </c>
      <c r="B13">
        <f>(3/(1+('CurrentPor-Equ Factor Movements'!C13)/100)+103/POWER(1+('CurrentPor-Equ Factor Movements'!D13)/100,2))*100</f>
        <v>9707.5857774288397</v>
      </c>
      <c r="C13">
        <f>(3/(1+('CurrentPor-Equ Factor Movements'!C13+'CurrentPor-Equ Factor Movements'!G13)/100)+103/POWER(1+('CurrentPor-Equ Factor Movements'!D13+'CurrentPor-Equ Factor Movements'!G13)/100,2))*100</f>
        <v>9614.9673582483465</v>
      </c>
      <c r="D13">
        <f>(3/(1+('CurrentPor-Equ Factor Movements'!C13+'CurrentPor-Equ Factor Movements'!H13)/100)+103/POWER(1+('CurrentPor-Equ Factor Movements'!D13+'CurrentPor-Equ Factor Movements'!H13)/100,2))*100</f>
        <v>9601.2395558122898</v>
      </c>
      <c r="E13">
        <f>(3/(1+('CurrentPor-Equ Factor Movements'!C13+'CurrentPor-Equ Factor Movements'!I13)/100)+103/POWER(1+('CurrentPor-Equ Factor Movements'!D13+'CurrentPor-Equ Factor Movements'!I13)/100,2))*100</f>
        <v>9581.4547115644182</v>
      </c>
      <c r="F13">
        <f>Portfolio!B$5*'CurrentPor-Equ Factor Movements'!E13</f>
        <v>50946.564220321656</v>
      </c>
      <c r="G13">
        <f>Portfolio!B$6*'CurrentPor-Equ Factor Movements'!F13</f>
        <v>3881.2221022818335</v>
      </c>
      <c r="H13">
        <f>Portfolio!B$7*'CurrentPor-Equ Factor Movements'!J13</f>
        <v>2148.0998964419859</v>
      </c>
      <c r="I13">
        <f t="shared" si="0"/>
        <v>95481.133622099354</v>
      </c>
      <c r="J13">
        <f>I13-I3</f>
        <v>-2027.5552457583253</v>
      </c>
    </row>
    <row r="14" spans="1:12">
      <c r="A14" s="1">
        <v>45489</v>
      </c>
      <c r="B14">
        <f>(3/(1+('CurrentPor-Equ Factor Movements'!C14)/100)+103/POWER(1+('CurrentPor-Equ Factor Movements'!D14)/100,2))*100</f>
        <v>9707.5857774288397</v>
      </c>
      <c r="C14">
        <f>(3/(1+('CurrentPor-Equ Factor Movements'!C14+'CurrentPor-Equ Factor Movements'!G14)/100)+103/POWER(1+('CurrentPor-Equ Factor Movements'!D14+'CurrentPor-Equ Factor Movements'!G14)/100,2))*100</f>
        <v>9614.9673582483465</v>
      </c>
      <c r="D14">
        <f>(3/(1+('CurrentPor-Equ Factor Movements'!C14+'CurrentPor-Equ Factor Movements'!H14)/100)+103/POWER(1+('CurrentPor-Equ Factor Movements'!D14+'CurrentPor-Equ Factor Movements'!H14)/100,2))*100</f>
        <v>9601.2395558122898</v>
      </c>
      <c r="E14">
        <f>(3/(1+('CurrentPor-Equ Factor Movements'!C14+'CurrentPor-Equ Factor Movements'!I14)/100)+103/POWER(1+('CurrentPor-Equ Factor Movements'!D14+'CurrentPor-Equ Factor Movements'!I14)/100,2))*100</f>
        <v>9581.4547115644182</v>
      </c>
      <c r="F14">
        <f>Portfolio!B$5*'CurrentPor-Equ Factor Movements'!E14</f>
        <v>54408.626392776183</v>
      </c>
      <c r="G14">
        <f>Portfolio!B$6*'CurrentPor-Equ Factor Movements'!F14</f>
        <v>3656.6971116933892</v>
      </c>
      <c r="H14">
        <f>Portfolio!B$7*'CurrentPor-Equ Factor Movements'!J14</f>
        <v>2148.0998964419859</v>
      </c>
      <c r="I14">
        <f t="shared" si="0"/>
        <v>98718.670803965448</v>
      </c>
      <c r="J14">
        <f t="shared" ref="J14:J77" si="1">I14-I4</f>
        <v>2229.9375833657832</v>
      </c>
    </row>
    <row r="15" spans="1:12">
      <c r="A15" s="1">
        <v>45490</v>
      </c>
      <c r="B15">
        <f>(3/(1+('CurrentPor-Equ Factor Movements'!C15)/100)+103/POWER(1+('CurrentPor-Equ Factor Movements'!D15)/100,2))*100</f>
        <v>9707.5857774288397</v>
      </c>
      <c r="C15">
        <f>(3/(1+('CurrentPor-Equ Factor Movements'!C15+'CurrentPor-Equ Factor Movements'!G15)/100)+103/POWER(1+('CurrentPor-Equ Factor Movements'!D15+'CurrentPor-Equ Factor Movements'!G15)/100,2))*100</f>
        <v>9614.9673582483465</v>
      </c>
      <c r="D15">
        <f>(3/(1+('CurrentPor-Equ Factor Movements'!C15+'CurrentPor-Equ Factor Movements'!H15)/100)+103/POWER(1+('CurrentPor-Equ Factor Movements'!D15+'CurrentPor-Equ Factor Movements'!H15)/100,2))*100</f>
        <v>9601.2395558122898</v>
      </c>
      <c r="E15">
        <f>(3/(1+('CurrentPor-Equ Factor Movements'!C15+'CurrentPor-Equ Factor Movements'!I15)/100)+103/POWER(1+('CurrentPor-Equ Factor Movements'!D15+'CurrentPor-Equ Factor Movements'!I15)/100,2))*100</f>
        <v>9581.4547115644182</v>
      </c>
      <c r="F15">
        <f>Portfolio!B$5*'CurrentPor-Equ Factor Movements'!E15</f>
        <v>53948.766051215935</v>
      </c>
      <c r="G15">
        <f>Portfolio!B$6*'CurrentPor-Equ Factor Movements'!F15</f>
        <v>3392.1064986889214</v>
      </c>
      <c r="H15">
        <f>Portfolio!B$7*'CurrentPor-Equ Factor Movements'!J15</f>
        <v>2148.0998964419859</v>
      </c>
      <c r="I15">
        <f t="shared" si="0"/>
        <v>97994.219849400732</v>
      </c>
      <c r="J15">
        <f t="shared" si="1"/>
        <v>2691.1360981636099</v>
      </c>
    </row>
    <row r="16" spans="1:12">
      <c r="A16" s="1">
        <v>45491</v>
      </c>
      <c r="B16">
        <f>(3/(1+('CurrentPor-Equ Factor Movements'!C16)/100)+103/POWER(1+('CurrentPor-Equ Factor Movements'!D16)/100,2))*100</f>
        <v>9707.5857774288397</v>
      </c>
      <c r="C16">
        <f>(3/(1+('CurrentPor-Equ Factor Movements'!C16+'CurrentPor-Equ Factor Movements'!G16)/100)+103/POWER(1+('CurrentPor-Equ Factor Movements'!D16+'CurrentPor-Equ Factor Movements'!G16)/100,2))*100</f>
        <v>9614.9673582483465</v>
      </c>
      <c r="D16">
        <f>(3/(1+('CurrentPor-Equ Factor Movements'!C16+'CurrentPor-Equ Factor Movements'!H16)/100)+103/POWER(1+('CurrentPor-Equ Factor Movements'!D16+'CurrentPor-Equ Factor Movements'!H16)/100,2))*100</f>
        <v>9601.2395558122898</v>
      </c>
      <c r="E16">
        <f>(3/(1+('CurrentPor-Equ Factor Movements'!C16+'CurrentPor-Equ Factor Movements'!I16)/100)+103/POWER(1+('CurrentPor-Equ Factor Movements'!D16+'CurrentPor-Equ Factor Movements'!I16)/100,2))*100</f>
        <v>9581.4547115644182</v>
      </c>
      <c r="F16">
        <f>Portfolio!B$5*'CurrentPor-Equ Factor Movements'!E16</f>
        <v>52647.210168309401</v>
      </c>
      <c r="G16">
        <f>Portfolio!B$6*'CurrentPor-Equ Factor Movements'!F16</f>
        <v>3870.6259864512513</v>
      </c>
      <c r="H16">
        <f>Portfolio!B$7*'CurrentPor-Equ Factor Movements'!J16</f>
        <v>2148.0998964419859</v>
      </c>
      <c r="I16">
        <f t="shared" si="0"/>
        <v>97171.183454256534</v>
      </c>
      <c r="J16">
        <f t="shared" si="1"/>
        <v>1235.0405307591136</v>
      </c>
    </row>
    <row r="17" spans="1:10">
      <c r="A17" s="1">
        <v>45492</v>
      </c>
      <c r="B17">
        <f>(3/(1+('CurrentPor-Equ Factor Movements'!C17)/100)+103/POWER(1+('CurrentPor-Equ Factor Movements'!D17)/100,2))*100</f>
        <v>9707.5857774288397</v>
      </c>
      <c r="C17">
        <f>(3/(1+('CurrentPor-Equ Factor Movements'!C17+'CurrentPor-Equ Factor Movements'!G17)/100)+103/POWER(1+('CurrentPor-Equ Factor Movements'!D17+'CurrentPor-Equ Factor Movements'!G17)/100,2))*100</f>
        <v>9614.9673582483465</v>
      </c>
      <c r="D17">
        <f>(3/(1+('CurrentPor-Equ Factor Movements'!C17+'CurrentPor-Equ Factor Movements'!H17)/100)+103/POWER(1+('CurrentPor-Equ Factor Movements'!D17+'CurrentPor-Equ Factor Movements'!H17)/100,2))*100</f>
        <v>9601.2395558122898</v>
      </c>
      <c r="E17">
        <f>(3/(1+('CurrentPor-Equ Factor Movements'!C17+'CurrentPor-Equ Factor Movements'!I17)/100)+103/POWER(1+('CurrentPor-Equ Factor Movements'!D17+'CurrentPor-Equ Factor Movements'!I17)/100,2))*100</f>
        <v>9581.4547115644182</v>
      </c>
      <c r="F17">
        <f>Portfolio!B$5*'CurrentPor-Equ Factor Movements'!E17</f>
        <v>52006.071289457861</v>
      </c>
      <c r="G17">
        <f>Portfolio!B$6*'CurrentPor-Equ Factor Movements'!F17</f>
        <v>3649.8394129436888</v>
      </c>
      <c r="H17">
        <f>Portfolio!B$7*'CurrentPor-Equ Factor Movements'!J17</f>
        <v>2148.0998964419859</v>
      </c>
      <c r="I17">
        <f t="shared" si="0"/>
        <v>96309.25800189744</v>
      </c>
      <c r="J17">
        <f t="shared" si="1"/>
        <v>904.2198453447636</v>
      </c>
    </row>
    <row r="18" spans="1:10">
      <c r="A18" s="1">
        <v>45495</v>
      </c>
      <c r="B18">
        <f>(3/(1+('CurrentPor-Equ Factor Movements'!C18)/100)+103/POWER(1+('CurrentPor-Equ Factor Movements'!D18)/100,2))*100</f>
        <v>9707.5857774288397</v>
      </c>
      <c r="C18">
        <f>(3/(1+('CurrentPor-Equ Factor Movements'!C18+'CurrentPor-Equ Factor Movements'!G18)/100)+103/POWER(1+('CurrentPor-Equ Factor Movements'!D18+'CurrentPor-Equ Factor Movements'!G18)/100,2))*100</f>
        <v>9614.9673582483465</v>
      </c>
      <c r="D18">
        <f>(3/(1+('CurrentPor-Equ Factor Movements'!C18+'CurrentPor-Equ Factor Movements'!H18)/100)+103/POWER(1+('CurrentPor-Equ Factor Movements'!D18+'CurrentPor-Equ Factor Movements'!H18)/100,2))*100</f>
        <v>9601.2395558122898</v>
      </c>
      <c r="E18">
        <f>(3/(1+('CurrentPor-Equ Factor Movements'!C18+'CurrentPor-Equ Factor Movements'!I18)/100)+103/POWER(1+('CurrentPor-Equ Factor Movements'!D18+'CurrentPor-Equ Factor Movements'!I18)/100,2))*100</f>
        <v>9581.4547115644182</v>
      </c>
      <c r="F18">
        <f>Portfolio!B$5*'CurrentPor-Equ Factor Movements'!E18</f>
        <v>52195.676728882543</v>
      </c>
      <c r="G18">
        <f>Portfolio!B$6*'CurrentPor-Equ Factor Movements'!F18</f>
        <v>3504.6739376390833</v>
      </c>
      <c r="H18">
        <f>Portfolio!B$7*'CurrentPor-Equ Factor Movements'!J18</f>
        <v>2148.0998964419859</v>
      </c>
      <c r="I18">
        <f t="shared" si="0"/>
        <v>96353.697966017513</v>
      </c>
      <c r="J18">
        <f t="shared" si="1"/>
        <v>584.19435461255489</v>
      </c>
    </row>
    <row r="19" spans="1:10">
      <c r="A19" s="1">
        <v>45496</v>
      </c>
      <c r="B19">
        <f>(3/(1+('CurrentPor-Equ Factor Movements'!C19)/100)+103/POWER(1+('CurrentPor-Equ Factor Movements'!D19)/100,2))*100</f>
        <v>9707.5857774288397</v>
      </c>
      <c r="C19">
        <f>(3/(1+('CurrentPor-Equ Factor Movements'!C19+'CurrentPor-Equ Factor Movements'!G19)/100)+103/POWER(1+('CurrentPor-Equ Factor Movements'!D19+'CurrentPor-Equ Factor Movements'!G19)/100,2))*100</f>
        <v>9614.9673582483465</v>
      </c>
      <c r="D19">
        <f>(3/(1+('CurrentPor-Equ Factor Movements'!C19+'CurrentPor-Equ Factor Movements'!H19)/100)+103/POWER(1+('CurrentPor-Equ Factor Movements'!D19+'CurrentPor-Equ Factor Movements'!H19)/100,2))*100</f>
        <v>9601.2395558122898</v>
      </c>
      <c r="E19">
        <f>(3/(1+('CurrentPor-Equ Factor Movements'!C19+'CurrentPor-Equ Factor Movements'!I19)/100)+103/POWER(1+('CurrentPor-Equ Factor Movements'!D19+'CurrentPor-Equ Factor Movements'!I19)/100,2))*100</f>
        <v>9581.4547115644182</v>
      </c>
      <c r="F19">
        <f>Portfolio!B$5*'CurrentPor-Equ Factor Movements'!E19</f>
        <v>52357.378087324672</v>
      </c>
      <c r="G19">
        <f>Portfolio!B$6*'CurrentPor-Equ Factor Movements'!F19</f>
        <v>3703.6453570394856</v>
      </c>
      <c r="H19">
        <f>Portfolio!B$7*'CurrentPor-Equ Factor Movements'!J19</f>
        <v>2148.0998964419859</v>
      </c>
      <c r="I19">
        <f t="shared" si="0"/>
        <v>96714.370743860025</v>
      </c>
      <c r="J19">
        <f t="shared" si="1"/>
        <v>501.471646571561</v>
      </c>
    </row>
    <row r="20" spans="1:10">
      <c r="A20" s="1">
        <v>45497</v>
      </c>
      <c r="B20">
        <f>(3/(1+('CurrentPor-Equ Factor Movements'!C20)/100)+103/POWER(1+('CurrentPor-Equ Factor Movements'!D20)/100,2))*100</f>
        <v>9707.5857774288397</v>
      </c>
      <c r="C20">
        <f>(3/(1+('CurrentPor-Equ Factor Movements'!C20+'CurrentPor-Equ Factor Movements'!G20)/100)+103/POWER(1+('CurrentPor-Equ Factor Movements'!D20+'CurrentPor-Equ Factor Movements'!G20)/100,2))*100</f>
        <v>9614.9673582483465</v>
      </c>
      <c r="D20">
        <f>(3/(1+('CurrentPor-Equ Factor Movements'!C20+'CurrentPor-Equ Factor Movements'!H20)/100)+103/POWER(1+('CurrentPor-Equ Factor Movements'!D20+'CurrentPor-Equ Factor Movements'!H20)/100,2))*100</f>
        <v>9601.2395558122898</v>
      </c>
      <c r="E20">
        <f>(3/(1+('CurrentPor-Equ Factor Movements'!C20+'CurrentPor-Equ Factor Movements'!I20)/100)+103/POWER(1+('CurrentPor-Equ Factor Movements'!D20+'CurrentPor-Equ Factor Movements'!I20)/100,2))*100</f>
        <v>9581.4547115644182</v>
      </c>
      <c r="F20">
        <f>Portfolio!B$5*'CurrentPor-Equ Factor Movements'!E20</f>
        <v>51942.921215497139</v>
      </c>
      <c r="G20">
        <f>Portfolio!B$6*'CurrentPor-Equ Factor Movements'!F20</f>
        <v>3347.2185914688594</v>
      </c>
      <c r="H20">
        <f>Portfolio!B$7*'CurrentPor-Equ Factor Movements'!J20</f>
        <v>2148.0998964419859</v>
      </c>
      <c r="I20">
        <f t="shared" si="0"/>
        <v>95943.487106461878</v>
      </c>
      <c r="J20">
        <f t="shared" si="1"/>
        <v>196.67320153850596</v>
      </c>
    </row>
    <row r="21" spans="1:10">
      <c r="A21" s="1">
        <v>45498</v>
      </c>
      <c r="B21">
        <f>(3/(1+('CurrentPor-Equ Factor Movements'!C21)/100)+103/POWER(1+('CurrentPor-Equ Factor Movements'!D21)/100,2))*100</f>
        <v>9707.5857774288397</v>
      </c>
      <c r="C21">
        <f>(3/(1+('CurrentPor-Equ Factor Movements'!C21+'CurrentPor-Equ Factor Movements'!G21)/100)+103/POWER(1+('CurrentPor-Equ Factor Movements'!D21+'CurrentPor-Equ Factor Movements'!G21)/100,2))*100</f>
        <v>9614.9673582483465</v>
      </c>
      <c r="D21">
        <f>(3/(1+('CurrentPor-Equ Factor Movements'!C21+'CurrentPor-Equ Factor Movements'!H21)/100)+103/POWER(1+('CurrentPor-Equ Factor Movements'!D21+'CurrentPor-Equ Factor Movements'!H21)/100,2))*100</f>
        <v>9601.2395558122898</v>
      </c>
      <c r="E21">
        <f>(3/(1+('CurrentPor-Equ Factor Movements'!C21+'CurrentPor-Equ Factor Movements'!I21)/100)+103/POWER(1+('CurrentPor-Equ Factor Movements'!D21+'CurrentPor-Equ Factor Movements'!I21)/100,2))*100</f>
        <v>9581.4547115644182</v>
      </c>
      <c r="F21">
        <f>Portfolio!B$5*'CurrentPor-Equ Factor Movements'!E21</f>
        <v>53461.003889323489</v>
      </c>
      <c r="G21">
        <f>Portfolio!B$6*'CurrentPor-Equ Factor Movements'!F21</f>
        <v>3668.1116720145369</v>
      </c>
      <c r="H21">
        <f>Portfolio!B$7*'CurrentPor-Equ Factor Movements'!J21</f>
        <v>2148.0998964419859</v>
      </c>
      <c r="I21">
        <f t="shared" si="0"/>
        <v>97782.462860833912</v>
      </c>
      <c r="J21">
        <f t="shared" si="1"/>
        <v>624.18171116393933</v>
      </c>
    </row>
    <row r="22" spans="1:10">
      <c r="A22" s="1">
        <v>45499</v>
      </c>
      <c r="B22">
        <f>(3/(1+('CurrentPor-Equ Factor Movements'!C22)/100)+103/POWER(1+('CurrentPor-Equ Factor Movements'!D22)/100,2))*100</f>
        <v>9707.5857774288397</v>
      </c>
      <c r="C22">
        <f>(3/(1+('CurrentPor-Equ Factor Movements'!C22+'CurrentPor-Equ Factor Movements'!G22)/100)+103/POWER(1+('CurrentPor-Equ Factor Movements'!D22+'CurrentPor-Equ Factor Movements'!G22)/100,2))*100</f>
        <v>9614.9673582483465</v>
      </c>
      <c r="D22">
        <f>(3/(1+('CurrentPor-Equ Factor Movements'!C22+'CurrentPor-Equ Factor Movements'!H22)/100)+103/POWER(1+('CurrentPor-Equ Factor Movements'!D22+'CurrentPor-Equ Factor Movements'!H22)/100,2))*100</f>
        <v>9601.2395558122898</v>
      </c>
      <c r="E22">
        <f>(3/(1+('CurrentPor-Equ Factor Movements'!C22+'CurrentPor-Equ Factor Movements'!I22)/100)+103/POWER(1+('CurrentPor-Equ Factor Movements'!D22+'CurrentPor-Equ Factor Movements'!I22)/100,2))*100</f>
        <v>9581.4547115644182</v>
      </c>
      <c r="F22">
        <f>Portfolio!B$5*'CurrentPor-Equ Factor Movements'!E22</f>
        <v>52396.80814377591</v>
      </c>
      <c r="G22">
        <f>Portfolio!B$6*'CurrentPor-Equ Factor Movements'!F22</f>
        <v>3507.8559509999773</v>
      </c>
      <c r="H22">
        <f>Portfolio!B$7*'CurrentPor-Equ Factor Movements'!J22</f>
        <v>2148.0998964419859</v>
      </c>
      <c r="I22">
        <f t="shared" si="0"/>
        <v>96558.011394271758</v>
      </c>
      <c r="J22">
        <f t="shared" si="1"/>
        <v>-456.55650357756531</v>
      </c>
    </row>
    <row r="23" spans="1:10">
      <c r="A23" s="1">
        <v>45502</v>
      </c>
      <c r="B23">
        <f>(3/(1+('CurrentPor-Equ Factor Movements'!C23)/100)+103/POWER(1+('CurrentPor-Equ Factor Movements'!D23)/100,2))*100</f>
        <v>9707.5857774288397</v>
      </c>
      <c r="C23">
        <f>(3/(1+('CurrentPor-Equ Factor Movements'!C23+'CurrentPor-Equ Factor Movements'!G23)/100)+103/POWER(1+('CurrentPor-Equ Factor Movements'!D23+'CurrentPor-Equ Factor Movements'!G23)/100,2))*100</f>
        <v>9614.9673582483465</v>
      </c>
      <c r="D23">
        <f>(3/(1+('CurrentPor-Equ Factor Movements'!C23+'CurrentPor-Equ Factor Movements'!H23)/100)+103/POWER(1+('CurrentPor-Equ Factor Movements'!D23+'CurrentPor-Equ Factor Movements'!H23)/100,2))*100</f>
        <v>9601.2395558122898</v>
      </c>
      <c r="E23">
        <f>(3/(1+('CurrentPor-Equ Factor Movements'!C23+'CurrentPor-Equ Factor Movements'!I23)/100)+103/POWER(1+('CurrentPor-Equ Factor Movements'!D23+'CurrentPor-Equ Factor Movements'!I23)/100,2))*100</f>
        <v>9581.4547115644182</v>
      </c>
      <c r="F23">
        <f>Portfolio!B$5*'CurrentPor-Equ Factor Movements'!E23</f>
        <v>51493.500370123991</v>
      </c>
      <c r="G23">
        <f>Portfolio!B$6*'CurrentPor-Equ Factor Movements'!F23</f>
        <v>3468.3565700839699</v>
      </c>
      <c r="H23">
        <f>Portfolio!B$7*'CurrentPor-Equ Factor Movements'!J23</f>
        <v>2148.0998964419859</v>
      </c>
      <c r="I23">
        <f t="shared" si="0"/>
        <v>95615.204239703846</v>
      </c>
      <c r="J23">
        <f t="shared" si="1"/>
        <v>134.07061760449142</v>
      </c>
    </row>
    <row r="24" spans="1:10">
      <c r="A24" s="1">
        <v>45503</v>
      </c>
      <c r="B24">
        <f>(3/(1+('CurrentPor-Equ Factor Movements'!C24)/100)+103/POWER(1+('CurrentPor-Equ Factor Movements'!D24)/100,2))*100</f>
        <v>9707.5857774288397</v>
      </c>
      <c r="C24">
        <f>(3/(1+('CurrentPor-Equ Factor Movements'!C24+'CurrentPor-Equ Factor Movements'!G24)/100)+103/POWER(1+('CurrentPor-Equ Factor Movements'!D24+'CurrentPor-Equ Factor Movements'!G24)/100,2))*100</f>
        <v>9614.9673582483465</v>
      </c>
      <c r="D24">
        <f>(3/(1+('CurrentPor-Equ Factor Movements'!C24+'CurrentPor-Equ Factor Movements'!H24)/100)+103/POWER(1+('CurrentPor-Equ Factor Movements'!D24+'CurrentPor-Equ Factor Movements'!H24)/100,2))*100</f>
        <v>9601.2395558122898</v>
      </c>
      <c r="E24">
        <f>(3/(1+('CurrentPor-Equ Factor Movements'!C24+'CurrentPor-Equ Factor Movements'!I24)/100)+103/POWER(1+('CurrentPor-Equ Factor Movements'!D24+'CurrentPor-Equ Factor Movements'!I24)/100,2))*100</f>
        <v>9581.4547115644182</v>
      </c>
      <c r="F24">
        <f>Portfolio!B$5*'CurrentPor-Equ Factor Movements'!E24</f>
        <v>51737.828023041424</v>
      </c>
      <c r="G24">
        <f>Portfolio!B$6*'CurrentPor-Equ Factor Movements'!F24</f>
        <v>3669.7268945337464</v>
      </c>
      <c r="H24">
        <f>Portfolio!B$7*'CurrentPor-Equ Factor Movements'!J24</f>
        <v>2148.0998964419859</v>
      </c>
      <c r="I24">
        <f t="shared" si="0"/>
        <v>96060.902217071038</v>
      </c>
      <c r="J24">
        <f t="shared" si="1"/>
        <v>-2657.76858689441</v>
      </c>
    </row>
    <row r="25" spans="1:10">
      <c r="A25" s="1">
        <v>45504</v>
      </c>
      <c r="B25">
        <f>(3/(1+('CurrentPor-Equ Factor Movements'!C25)/100)+103/POWER(1+('CurrentPor-Equ Factor Movements'!D25)/100,2))*100</f>
        <v>9707.5857774288397</v>
      </c>
      <c r="C25">
        <f>(3/(1+('CurrentPor-Equ Factor Movements'!C25+'CurrentPor-Equ Factor Movements'!G25)/100)+103/POWER(1+('CurrentPor-Equ Factor Movements'!D25+'CurrentPor-Equ Factor Movements'!G25)/100,2))*100</f>
        <v>9614.9673582483465</v>
      </c>
      <c r="D25">
        <f>(3/(1+('CurrentPor-Equ Factor Movements'!C25+'CurrentPor-Equ Factor Movements'!H25)/100)+103/POWER(1+('CurrentPor-Equ Factor Movements'!D25+'CurrentPor-Equ Factor Movements'!H25)/100,2))*100</f>
        <v>9601.2395558122898</v>
      </c>
      <c r="E25">
        <f>(3/(1+('CurrentPor-Equ Factor Movements'!C25+'CurrentPor-Equ Factor Movements'!I25)/100)+103/POWER(1+('CurrentPor-Equ Factor Movements'!D25+'CurrentPor-Equ Factor Movements'!I25)/100,2))*100</f>
        <v>9581.4547115644182</v>
      </c>
      <c r="F25">
        <f>Portfolio!B$5*'CurrentPor-Equ Factor Movements'!E25</f>
        <v>52935.420297006007</v>
      </c>
      <c r="G25">
        <f>Portfolio!B$6*'CurrentPor-Equ Factor Movements'!F25</f>
        <v>3535.7722761455611</v>
      </c>
      <c r="H25">
        <f>Portfolio!B$7*'CurrentPor-Equ Factor Movements'!J25</f>
        <v>2148.0998964419859</v>
      </c>
      <c r="I25">
        <f t="shared" si="0"/>
        <v>97124.539872647452</v>
      </c>
      <c r="J25">
        <f t="shared" si="1"/>
        <v>-869.67997675327933</v>
      </c>
    </row>
    <row r="26" spans="1:10">
      <c r="A26" s="1">
        <v>45505</v>
      </c>
      <c r="B26">
        <f>(3/(1+('CurrentPor-Equ Factor Movements'!C26)/100)+103/POWER(1+('CurrentPor-Equ Factor Movements'!D26)/100,2))*100</f>
        <v>9707.5857774288397</v>
      </c>
      <c r="C26">
        <f>(3/(1+('CurrentPor-Equ Factor Movements'!C26+'CurrentPor-Equ Factor Movements'!G26)/100)+103/POWER(1+('CurrentPor-Equ Factor Movements'!D26+'CurrentPor-Equ Factor Movements'!G26)/100,2))*100</f>
        <v>9614.9673582483465</v>
      </c>
      <c r="D26">
        <f>(3/(1+('CurrentPor-Equ Factor Movements'!C26+'CurrentPor-Equ Factor Movements'!H26)/100)+103/POWER(1+('CurrentPor-Equ Factor Movements'!D26+'CurrentPor-Equ Factor Movements'!H26)/100,2))*100</f>
        <v>9601.2395558122898</v>
      </c>
      <c r="E26">
        <f>(3/(1+('CurrentPor-Equ Factor Movements'!C26+'CurrentPor-Equ Factor Movements'!I26)/100)+103/POWER(1+('CurrentPor-Equ Factor Movements'!D26+'CurrentPor-Equ Factor Movements'!I26)/100,2))*100</f>
        <v>9581.4547115644182</v>
      </c>
      <c r="F26">
        <f>Portfolio!B$5*'CurrentPor-Equ Factor Movements'!E26</f>
        <v>51078.987651258889</v>
      </c>
      <c r="G26">
        <f>Portfolio!B$6*'CurrentPor-Equ Factor Movements'!F26</f>
        <v>3420.8132480182599</v>
      </c>
      <c r="H26">
        <f>Portfolio!B$7*'CurrentPor-Equ Factor Movements'!J26</f>
        <v>2148.0998964419859</v>
      </c>
      <c r="I26">
        <f t="shared" si="0"/>
        <v>95153.148198773022</v>
      </c>
      <c r="J26">
        <f t="shared" si="1"/>
        <v>-2018.0352554835117</v>
      </c>
    </row>
    <row r="27" spans="1:10">
      <c r="A27" s="1">
        <v>45506</v>
      </c>
      <c r="B27">
        <f>(3/(1+('CurrentPor-Equ Factor Movements'!C27)/100)+103/POWER(1+('CurrentPor-Equ Factor Movements'!D27)/100,2))*100</f>
        <v>9707.5857774288397</v>
      </c>
      <c r="C27">
        <f>(3/(1+('CurrentPor-Equ Factor Movements'!C27+'CurrentPor-Equ Factor Movements'!G27)/100)+103/POWER(1+('CurrentPor-Equ Factor Movements'!D27+'CurrentPor-Equ Factor Movements'!G27)/100,2))*100</f>
        <v>9614.9673582483465</v>
      </c>
      <c r="D27">
        <f>(3/(1+('CurrentPor-Equ Factor Movements'!C27+'CurrentPor-Equ Factor Movements'!H27)/100)+103/POWER(1+('CurrentPor-Equ Factor Movements'!D27+'CurrentPor-Equ Factor Movements'!H27)/100,2))*100</f>
        <v>9601.2395558122898</v>
      </c>
      <c r="E27">
        <f>(3/(1+('CurrentPor-Equ Factor Movements'!C27+'CurrentPor-Equ Factor Movements'!I27)/100)+103/POWER(1+('CurrentPor-Equ Factor Movements'!D27+'CurrentPor-Equ Factor Movements'!I27)/100,2))*100</f>
        <v>9581.4547115644182</v>
      </c>
      <c r="F27">
        <f>Portfolio!B$5*'CurrentPor-Equ Factor Movements'!E27</f>
        <v>53094.745862151191</v>
      </c>
      <c r="G27">
        <f>Portfolio!B$6*'CurrentPor-Equ Factor Movements'!F27</f>
        <v>3560.1389290231205</v>
      </c>
      <c r="H27">
        <f>Portfolio!B$7*'CurrentPor-Equ Factor Movements'!J27</f>
        <v>2148.0998964419859</v>
      </c>
      <c r="I27">
        <f t="shared" si="0"/>
        <v>97308.232090670193</v>
      </c>
      <c r="J27">
        <f t="shared" si="1"/>
        <v>998.97408877275302</v>
      </c>
    </row>
    <row r="28" spans="1:10">
      <c r="A28" s="1">
        <v>45509</v>
      </c>
      <c r="B28">
        <f>(3/(1+('CurrentPor-Equ Factor Movements'!C28)/100)+103/POWER(1+('CurrentPor-Equ Factor Movements'!D28)/100,2))*100</f>
        <v>9707.5857774288397</v>
      </c>
      <c r="C28">
        <f>(3/(1+('CurrentPor-Equ Factor Movements'!C28+'CurrentPor-Equ Factor Movements'!G28)/100)+103/POWER(1+('CurrentPor-Equ Factor Movements'!D28+'CurrentPor-Equ Factor Movements'!G28)/100,2))*100</f>
        <v>9614.9673582483465</v>
      </c>
      <c r="D28">
        <f>(3/(1+('CurrentPor-Equ Factor Movements'!C28+'CurrentPor-Equ Factor Movements'!H28)/100)+103/POWER(1+('CurrentPor-Equ Factor Movements'!D28+'CurrentPor-Equ Factor Movements'!H28)/100,2))*100</f>
        <v>9601.2395558122898</v>
      </c>
      <c r="E28">
        <f>(3/(1+('CurrentPor-Equ Factor Movements'!C28+'CurrentPor-Equ Factor Movements'!I28)/100)+103/POWER(1+('CurrentPor-Equ Factor Movements'!D28+'CurrentPor-Equ Factor Movements'!I28)/100,2))*100</f>
        <v>9581.4547115644182</v>
      </c>
      <c r="F28">
        <f>Portfolio!B$5*'CurrentPor-Equ Factor Movements'!E28</f>
        <v>53306.791892536639</v>
      </c>
      <c r="G28">
        <f>Portfolio!B$6*'CurrentPor-Equ Factor Movements'!F28</f>
        <v>3131.4446936067925</v>
      </c>
      <c r="H28">
        <f>Portfolio!B$7*'CurrentPor-Equ Factor Movements'!J28</f>
        <v>2148.0998964419859</v>
      </c>
      <c r="I28">
        <f t="shared" si="0"/>
        <v>97091.583885639324</v>
      </c>
      <c r="J28">
        <f t="shared" si="1"/>
        <v>737.8859196218109</v>
      </c>
    </row>
    <row r="29" spans="1:10">
      <c r="A29" s="1">
        <v>45510</v>
      </c>
      <c r="B29">
        <f>(3/(1+('CurrentPor-Equ Factor Movements'!C29)/100)+103/POWER(1+('CurrentPor-Equ Factor Movements'!D29)/100,2))*100</f>
        <v>9707.5857774288397</v>
      </c>
      <c r="C29">
        <f>(3/(1+('CurrentPor-Equ Factor Movements'!C29+'CurrentPor-Equ Factor Movements'!G29)/100)+103/POWER(1+('CurrentPor-Equ Factor Movements'!D29+'CurrentPor-Equ Factor Movements'!G29)/100,2))*100</f>
        <v>9614.9673582483465</v>
      </c>
      <c r="D29">
        <f>(3/(1+('CurrentPor-Equ Factor Movements'!C29+'CurrentPor-Equ Factor Movements'!H29)/100)+103/POWER(1+('CurrentPor-Equ Factor Movements'!D29+'CurrentPor-Equ Factor Movements'!H29)/100,2))*100</f>
        <v>9601.2395558122898</v>
      </c>
      <c r="E29">
        <f>(3/(1+('CurrentPor-Equ Factor Movements'!C29+'CurrentPor-Equ Factor Movements'!I29)/100)+103/POWER(1+('CurrentPor-Equ Factor Movements'!D29+'CurrentPor-Equ Factor Movements'!I29)/100,2))*100</f>
        <v>9581.4547115644182</v>
      </c>
      <c r="F29">
        <f>Portfolio!B$5*'CurrentPor-Equ Factor Movements'!E29</f>
        <v>49945.735904042187</v>
      </c>
      <c r="G29">
        <f>Portfolio!B$6*'CurrentPor-Equ Factor Movements'!F29</f>
        <v>3836.5307324004184</v>
      </c>
      <c r="H29">
        <f>Portfolio!B$7*'CurrentPor-Equ Factor Movements'!J29</f>
        <v>2148.0998964419859</v>
      </c>
      <c r="I29">
        <f t="shared" si="0"/>
        <v>94435.613935938498</v>
      </c>
      <c r="J29">
        <f t="shared" si="1"/>
        <v>-2278.7568079215271</v>
      </c>
    </row>
    <row r="30" spans="1:10">
      <c r="A30" s="1">
        <v>45511</v>
      </c>
      <c r="B30">
        <f>(3/(1+('CurrentPor-Equ Factor Movements'!C30)/100)+103/POWER(1+('CurrentPor-Equ Factor Movements'!D30)/100,2))*100</f>
        <v>9707.5857774288397</v>
      </c>
      <c r="C30">
        <f>(3/(1+('CurrentPor-Equ Factor Movements'!C30+'CurrentPor-Equ Factor Movements'!G30)/100)+103/POWER(1+('CurrentPor-Equ Factor Movements'!D30+'CurrentPor-Equ Factor Movements'!G30)/100,2))*100</f>
        <v>9614.9673582483465</v>
      </c>
      <c r="D30">
        <f>(3/(1+('CurrentPor-Equ Factor Movements'!C30+'CurrentPor-Equ Factor Movements'!H30)/100)+103/POWER(1+('CurrentPor-Equ Factor Movements'!D30+'CurrentPor-Equ Factor Movements'!H30)/100,2))*100</f>
        <v>9601.2395558122898</v>
      </c>
      <c r="E30">
        <f>(3/(1+('CurrentPor-Equ Factor Movements'!C30+'CurrentPor-Equ Factor Movements'!I30)/100)+103/POWER(1+('CurrentPor-Equ Factor Movements'!D30+'CurrentPor-Equ Factor Movements'!I30)/100,2))*100</f>
        <v>9581.4547115644182</v>
      </c>
      <c r="F30">
        <f>Portfolio!B$5*'CurrentPor-Equ Factor Movements'!E30</f>
        <v>52392.563281701281</v>
      </c>
      <c r="G30">
        <f>Portfolio!B$6*'CurrentPor-Equ Factor Movements'!F30</f>
        <v>3481.6254407783995</v>
      </c>
      <c r="H30">
        <f>Portfolio!B$7*'CurrentPor-Equ Factor Movements'!J30</f>
        <v>2148.0998964419859</v>
      </c>
      <c r="I30">
        <f t="shared" si="0"/>
        <v>96527.536021975568</v>
      </c>
      <c r="J30">
        <f t="shared" si="1"/>
        <v>584.04891551368928</v>
      </c>
    </row>
    <row r="31" spans="1:10">
      <c r="A31" s="1">
        <v>45512</v>
      </c>
      <c r="B31">
        <f>(3/(1+('CurrentPor-Equ Factor Movements'!C31)/100)+103/POWER(1+('CurrentPor-Equ Factor Movements'!D31)/100,2))*100</f>
        <v>9707.5857774288397</v>
      </c>
      <c r="C31">
        <f>(3/(1+('CurrentPor-Equ Factor Movements'!C31+'CurrentPor-Equ Factor Movements'!G31)/100)+103/POWER(1+('CurrentPor-Equ Factor Movements'!D31+'CurrentPor-Equ Factor Movements'!G31)/100,2))*100</f>
        <v>9614.9673582483465</v>
      </c>
      <c r="D31">
        <f>(3/(1+('CurrentPor-Equ Factor Movements'!C31+'CurrentPor-Equ Factor Movements'!H31)/100)+103/POWER(1+('CurrentPor-Equ Factor Movements'!D31+'CurrentPor-Equ Factor Movements'!H31)/100,2))*100</f>
        <v>9601.2395558122898</v>
      </c>
      <c r="E31">
        <f>(3/(1+('CurrentPor-Equ Factor Movements'!C31+'CurrentPor-Equ Factor Movements'!I31)/100)+103/POWER(1+('CurrentPor-Equ Factor Movements'!D31+'CurrentPor-Equ Factor Movements'!I31)/100,2))*100</f>
        <v>9581.4547115644182</v>
      </c>
      <c r="F31">
        <f>Portfolio!B$5*'CurrentPor-Equ Factor Movements'!E31</f>
        <v>53101.840122166483</v>
      </c>
      <c r="G31">
        <f>Portfolio!B$6*'CurrentPor-Equ Factor Movements'!F31</f>
        <v>3422.264187543813</v>
      </c>
      <c r="H31">
        <f>Portfolio!B$7*'CurrentPor-Equ Factor Movements'!J31</f>
        <v>2148.0998964419859</v>
      </c>
      <c r="I31">
        <f t="shared" si="0"/>
        <v>97177.451609206182</v>
      </c>
      <c r="J31">
        <f t="shared" si="1"/>
        <v>-605.01125162772951</v>
      </c>
    </row>
    <row r="32" spans="1:10">
      <c r="A32" s="1">
        <v>45513</v>
      </c>
      <c r="B32">
        <f>(3/(1+('CurrentPor-Equ Factor Movements'!C32)/100)+103/POWER(1+('CurrentPor-Equ Factor Movements'!D32)/100,2))*100</f>
        <v>9707.5857774288397</v>
      </c>
      <c r="C32">
        <f>(3/(1+('CurrentPor-Equ Factor Movements'!C32+'CurrentPor-Equ Factor Movements'!G32)/100)+103/POWER(1+('CurrentPor-Equ Factor Movements'!D32+'CurrentPor-Equ Factor Movements'!G32)/100,2))*100</f>
        <v>9614.9673582483465</v>
      </c>
      <c r="D32">
        <f>(3/(1+('CurrentPor-Equ Factor Movements'!C32+'CurrentPor-Equ Factor Movements'!H32)/100)+103/POWER(1+('CurrentPor-Equ Factor Movements'!D32+'CurrentPor-Equ Factor Movements'!H32)/100,2))*100</f>
        <v>9601.2395558122898</v>
      </c>
      <c r="E32">
        <f>(3/(1+('CurrentPor-Equ Factor Movements'!C32+'CurrentPor-Equ Factor Movements'!I32)/100)+103/POWER(1+('CurrentPor-Equ Factor Movements'!D32+'CurrentPor-Equ Factor Movements'!I32)/100,2))*100</f>
        <v>9581.4547115644182</v>
      </c>
      <c r="F32">
        <f>Portfolio!B$5*'CurrentPor-Equ Factor Movements'!E32</f>
        <v>52602.515449995291</v>
      </c>
      <c r="G32">
        <f>Portfolio!B$6*'CurrentPor-Equ Factor Movements'!F32</f>
        <v>3845.2867746852994</v>
      </c>
      <c r="H32">
        <f>Portfolio!B$7*'CurrentPor-Equ Factor Movements'!J32</f>
        <v>2148.0998964419859</v>
      </c>
      <c r="I32">
        <f t="shared" si="0"/>
        <v>97101.149524176464</v>
      </c>
      <c r="J32">
        <f t="shared" si="1"/>
        <v>543.13812990470615</v>
      </c>
    </row>
    <row r="33" spans="1:10">
      <c r="A33" s="1">
        <v>45516</v>
      </c>
      <c r="B33">
        <f>(3/(1+('CurrentPor-Equ Factor Movements'!C33)/100)+103/POWER(1+('CurrentPor-Equ Factor Movements'!D33)/100,2))*100</f>
        <v>9707.5857774288397</v>
      </c>
      <c r="C33">
        <f>(3/(1+('CurrentPor-Equ Factor Movements'!C33+'CurrentPor-Equ Factor Movements'!G33)/100)+103/POWER(1+('CurrentPor-Equ Factor Movements'!D33+'CurrentPor-Equ Factor Movements'!G33)/100,2))*100</f>
        <v>9614.9673582483465</v>
      </c>
      <c r="D33">
        <f>(3/(1+('CurrentPor-Equ Factor Movements'!C33+'CurrentPor-Equ Factor Movements'!H33)/100)+103/POWER(1+('CurrentPor-Equ Factor Movements'!D33+'CurrentPor-Equ Factor Movements'!H33)/100,2))*100</f>
        <v>9601.2395558122898</v>
      </c>
      <c r="E33">
        <f>(3/(1+('CurrentPor-Equ Factor Movements'!C33+'CurrentPor-Equ Factor Movements'!I33)/100)+103/POWER(1+('CurrentPor-Equ Factor Movements'!D33+'CurrentPor-Equ Factor Movements'!I33)/100,2))*100</f>
        <v>9581.4547115644182</v>
      </c>
      <c r="F33">
        <f>Portfolio!B$5*'CurrentPor-Equ Factor Movements'!E33</f>
        <v>49952.569486946893</v>
      </c>
      <c r="G33">
        <f>Portfolio!B$6*'CurrentPor-Equ Factor Movements'!F33</f>
        <v>3622.9981049777953</v>
      </c>
      <c r="H33">
        <f>Portfolio!B$7*'CurrentPor-Equ Factor Movements'!J33</f>
        <v>2148.0998964419859</v>
      </c>
      <c r="I33">
        <f t="shared" si="0"/>
        <v>94228.914891420573</v>
      </c>
      <c r="J33">
        <f t="shared" si="1"/>
        <v>-1386.2893482832733</v>
      </c>
    </row>
    <row r="34" spans="1:10">
      <c r="A34" s="1">
        <v>45517</v>
      </c>
      <c r="B34">
        <f>(3/(1+('CurrentPor-Equ Factor Movements'!C34)/100)+103/POWER(1+('CurrentPor-Equ Factor Movements'!D34)/100,2))*100</f>
        <v>9707.5857774288397</v>
      </c>
      <c r="C34">
        <f>(3/(1+('CurrentPor-Equ Factor Movements'!C34+'CurrentPor-Equ Factor Movements'!G34)/100)+103/POWER(1+('CurrentPor-Equ Factor Movements'!D34+'CurrentPor-Equ Factor Movements'!G34)/100,2))*100</f>
        <v>9614.9673582483465</v>
      </c>
      <c r="D34">
        <f>(3/(1+('CurrentPor-Equ Factor Movements'!C34+'CurrentPor-Equ Factor Movements'!H34)/100)+103/POWER(1+('CurrentPor-Equ Factor Movements'!D34+'CurrentPor-Equ Factor Movements'!H34)/100,2))*100</f>
        <v>9601.2395558122898</v>
      </c>
      <c r="E34">
        <f>(3/(1+('CurrentPor-Equ Factor Movements'!C34+'CurrentPor-Equ Factor Movements'!I34)/100)+103/POWER(1+('CurrentPor-Equ Factor Movements'!D34+'CurrentPor-Equ Factor Movements'!I34)/100,2))*100</f>
        <v>9581.4547115644182</v>
      </c>
      <c r="F34">
        <f>Portfolio!B$5*'CurrentPor-Equ Factor Movements'!E34</f>
        <v>50517.806411197911</v>
      </c>
      <c r="G34">
        <f>Portfolio!B$6*'CurrentPor-Equ Factor Movements'!F34</f>
        <v>3590.9641182489131</v>
      </c>
      <c r="H34">
        <f>Portfolio!B$7*'CurrentPor-Equ Factor Movements'!J34</f>
        <v>2148.0998964419859</v>
      </c>
      <c r="I34">
        <f t="shared" si="0"/>
        <v>94762.117828942704</v>
      </c>
      <c r="J34">
        <f t="shared" si="1"/>
        <v>-1298.7843881283334</v>
      </c>
    </row>
    <row r="35" spans="1:10">
      <c r="A35" s="1">
        <v>45518</v>
      </c>
      <c r="B35">
        <f>(3/(1+('CurrentPor-Equ Factor Movements'!C35)/100)+103/POWER(1+('CurrentPor-Equ Factor Movements'!D35)/100,2))*100</f>
        <v>9707.5857774288397</v>
      </c>
      <c r="C35">
        <f>(3/(1+('CurrentPor-Equ Factor Movements'!C35+'CurrentPor-Equ Factor Movements'!G35)/100)+103/POWER(1+('CurrentPor-Equ Factor Movements'!D35+'CurrentPor-Equ Factor Movements'!G35)/100,2))*100</f>
        <v>9614.9673582483465</v>
      </c>
      <c r="D35">
        <f>(3/(1+('CurrentPor-Equ Factor Movements'!C35+'CurrentPor-Equ Factor Movements'!H35)/100)+103/POWER(1+('CurrentPor-Equ Factor Movements'!D35+'CurrentPor-Equ Factor Movements'!H35)/100,2))*100</f>
        <v>9601.2395558122898</v>
      </c>
      <c r="E35">
        <f>(3/(1+('CurrentPor-Equ Factor Movements'!C35+'CurrentPor-Equ Factor Movements'!I35)/100)+103/POWER(1+('CurrentPor-Equ Factor Movements'!D35+'CurrentPor-Equ Factor Movements'!I35)/100,2))*100</f>
        <v>9581.4547115644182</v>
      </c>
      <c r="F35">
        <f>Portfolio!B$5*'CurrentPor-Equ Factor Movements'!E35</f>
        <v>51514.97408768312</v>
      </c>
      <c r="G35">
        <f>Portfolio!B$6*'CurrentPor-Equ Factor Movements'!F35</f>
        <v>3639.0149752933594</v>
      </c>
      <c r="H35">
        <f>Portfolio!B$7*'CurrentPor-Equ Factor Movements'!J35</f>
        <v>2148.0998964419859</v>
      </c>
      <c r="I35">
        <f t="shared" si="0"/>
        <v>95807.336362472372</v>
      </c>
      <c r="J35">
        <f t="shared" si="1"/>
        <v>-1317.2035101750807</v>
      </c>
    </row>
    <row r="36" spans="1:10">
      <c r="A36" s="1">
        <v>45519</v>
      </c>
      <c r="B36">
        <f>(3/(1+('CurrentPor-Equ Factor Movements'!C36)/100)+103/POWER(1+('CurrentPor-Equ Factor Movements'!D36)/100,2))*100</f>
        <v>9707.5857774288397</v>
      </c>
      <c r="C36">
        <f>(3/(1+('CurrentPor-Equ Factor Movements'!C36+'CurrentPor-Equ Factor Movements'!G36)/100)+103/POWER(1+('CurrentPor-Equ Factor Movements'!D36+'CurrentPor-Equ Factor Movements'!G36)/100,2))*100</f>
        <v>9614.9673582483465</v>
      </c>
      <c r="D36">
        <f>(3/(1+('CurrentPor-Equ Factor Movements'!C36+'CurrentPor-Equ Factor Movements'!H36)/100)+103/POWER(1+('CurrentPor-Equ Factor Movements'!D36+'CurrentPor-Equ Factor Movements'!H36)/100,2))*100</f>
        <v>9601.2395558122898</v>
      </c>
      <c r="E36">
        <f>(3/(1+('CurrentPor-Equ Factor Movements'!C36+'CurrentPor-Equ Factor Movements'!I36)/100)+103/POWER(1+('CurrentPor-Equ Factor Movements'!D36+'CurrentPor-Equ Factor Movements'!I36)/100,2))*100</f>
        <v>9581.4547115644182</v>
      </c>
      <c r="F36">
        <f>Portfolio!B$5*'CurrentPor-Equ Factor Movements'!E36</f>
        <v>52206.786315914083</v>
      </c>
      <c r="G36">
        <f>Portfolio!B$6*'CurrentPor-Equ Factor Movements'!F36</f>
        <v>3447.8503638314578</v>
      </c>
      <c r="H36">
        <f>Portfolio!B$7*'CurrentPor-Equ Factor Movements'!J36</f>
        <v>2148.0998964419859</v>
      </c>
      <c r="I36">
        <f t="shared" si="0"/>
        <v>96307.983979241428</v>
      </c>
      <c r="J36">
        <f t="shared" si="1"/>
        <v>1154.8357804684056</v>
      </c>
    </row>
    <row r="37" spans="1:10">
      <c r="A37" s="1">
        <v>45520</v>
      </c>
      <c r="B37">
        <f>(3/(1+('CurrentPor-Equ Factor Movements'!C37)/100)+103/POWER(1+('CurrentPor-Equ Factor Movements'!D37)/100,2))*100</f>
        <v>9707.5857774288397</v>
      </c>
      <c r="C37">
        <f>(3/(1+('CurrentPor-Equ Factor Movements'!C37+'CurrentPor-Equ Factor Movements'!G37)/100)+103/POWER(1+('CurrentPor-Equ Factor Movements'!D37+'CurrentPor-Equ Factor Movements'!G37)/100,2))*100</f>
        <v>9614.9673582483465</v>
      </c>
      <c r="D37">
        <f>(3/(1+('CurrentPor-Equ Factor Movements'!C37+'CurrentPor-Equ Factor Movements'!H37)/100)+103/POWER(1+('CurrentPor-Equ Factor Movements'!D37+'CurrentPor-Equ Factor Movements'!H37)/100,2))*100</f>
        <v>9601.2395558122898</v>
      </c>
      <c r="E37">
        <f>(3/(1+('CurrentPor-Equ Factor Movements'!C37+'CurrentPor-Equ Factor Movements'!I37)/100)+103/POWER(1+('CurrentPor-Equ Factor Movements'!D37+'CurrentPor-Equ Factor Movements'!I37)/100,2))*100</f>
        <v>9581.4547115644182</v>
      </c>
      <c r="F37">
        <f>Portfolio!B$5*'CurrentPor-Equ Factor Movements'!E37</f>
        <v>51285.629695383206</v>
      </c>
      <c r="G37">
        <f>Portfolio!B$6*'CurrentPor-Equ Factor Movements'!F37</f>
        <v>3719.5599132284237</v>
      </c>
      <c r="H37">
        <f>Portfolio!B$7*'CurrentPor-Equ Factor Movements'!J37</f>
        <v>2148.0998964419859</v>
      </c>
      <c r="I37">
        <f t="shared" si="0"/>
        <v>95658.536908107519</v>
      </c>
      <c r="J37">
        <f t="shared" si="1"/>
        <v>-1649.6951825626747</v>
      </c>
    </row>
    <row r="38" spans="1:10">
      <c r="A38" s="1">
        <v>45523</v>
      </c>
      <c r="B38">
        <f>(3/(1+('CurrentPor-Equ Factor Movements'!C38)/100)+103/POWER(1+('CurrentPor-Equ Factor Movements'!D38)/100,2))*100</f>
        <v>9707.5857774288397</v>
      </c>
      <c r="C38">
        <f>(3/(1+('CurrentPor-Equ Factor Movements'!C38+'CurrentPor-Equ Factor Movements'!G38)/100)+103/POWER(1+('CurrentPor-Equ Factor Movements'!D38+'CurrentPor-Equ Factor Movements'!G38)/100,2))*100</f>
        <v>9614.9673582483465</v>
      </c>
      <c r="D38">
        <f>(3/(1+('CurrentPor-Equ Factor Movements'!C38+'CurrentPor-Equ Factor Movements'!H38)/100)+103/POWER(1+('CurrentPor-Equ Factor Movements'!D38+'CurrentPor-Equ Factor Movements'!H38)/100,2))*100</f>
        <v>9601.2395558122898</v>
      </c>
      <c r="E38">
        <f>(3/(1+('CurrentPor-Equ Factor Movements'!C38+'CurrentPor-Equ Factor Movements'!I38)/100)+103/POWER(1+('CurrentPor-Equ Factor Movements'!D38+'CurrentPor-Equ Factor Movements'!I38)/100,2))*100</f>
        <v>9581.4547115644182</v>
      </c>
      <c r="F38">
        <f>Portfolio!B$5*'CurrentPor-Equ Factor Movements'!E38</f>
        <v>52720.089650478134</v>
      </c>
      <c r="G38">
        <f>Portfolio!B$6*'CurrentPor-Equ Factor Movements'!F38</f>
        <v>3727.8982664368968</v>
      </c>
      <c r="H38">
        <f>Portfolio!B$7*'CurrentPor-Equ Factor Movements'!J38</f>
        <v>2148.0998964419859</v>
      </c>
      <c r="I38">
        <f t="shared" si="0"/>
        <v>97101.335216410909</v>
      </c>
      <c r="J38">
        <f t="shared" si="1"/>
        <v>9.7513307715853443</v>
      </c>
    </row>
    <row r="39" spans="1:10">
      <c r="A39" s="1">
        <v>45524</v>
      </c>
      <c r="B39">
        <f>(3/(1+('CurrentPor-Equ Factor Movements'!C39)/100)+103/POWER(1+('CurrentPor-Equ Factor Movements'!D39)/100,2))*100</f>
        <v>9707.5857774288397</v>
      </c>
      <c r="C39">
        <f>(3/(1+('CurrentPor-Equ Factor Movements'!C39+'CurrentPor-Equ Factor Movements'!G39)/100)+103/POWER(1+('CurrentPor-Equ Factor Movements'!D39+'CurrentPor-Equ Factor Movements'!G39)/100,2))*100</f>
        <v>9614.9673582483465</v>
      </c>
      <c r="D39">
        <f>(3/(1+('CurrentPor-Equ Factor Movements'!C39+'CurrentPor-Equ Factor Movements'!H39)/100)+103/POWER(1+('CurrentPor-Equ Factor Movements'!D39+'CurrentPor-Equ Factor Movements'!H39)/100,2))*100</f>
        <v>9601.2395558122898</v>
      </c>
      <c r="E39">
        <f>(3/(1+('CurrentPor-Equ Factor Movements'!C39+'CurrentPor-Equ Factor Movements'!I39)/100)+103/POWER(1+('CurrentPor-Equ Factor Movements'!D39+'CurrentPor-Equ Factor Movements'!I39)/100,2))*100</f>
        <v>9581.4547115644182</v>
      </c>
      <c r="F39">
        <f>Portfolio!B$5*'CurrentPor-Equ Factor Movements'!E39</f>
        <v>51232.057717349235</v>
      </c>
      <c r="G39">
        <f>Portfolio!B$6*'CurrentPor-Equ Factor Movements'!F39</f>
        <v>3194.2457283626973</v>
      </c>
      <c r="H39">
        <f>Portfolio!B$7*'CurrentPor-Equ Factor Movements'!J39</f>
        <v>2148.0998964419859</v>
      </c>
      <c r="I39">
        <f t="shared" si="0"/>
        <v>95079.650745207808</v>
      </c>
      <c r="J39">
        <f t="shared" si="1"/>
        <v>644.03680926930974</v>
      </c>
    </row>
    <row r="40" spans="1:10">
      <c r="A40" s="1">
        <v>45525</v>
      </c>
      <c r="B40">
        <f>(3/(1+('CurrentPor-Equ Factor Movements'!C40)/100)+103/POWER(1+('CurrentPor-Equ Factor Movements'!D40)/100,2))*100</f>
        <v>9707.5857774288397</v>
      </c>
      <c r="C40">
        <f>(3/(1+('CurrentPor-Equ Factor Movements'!C40+'CurrentPor-Equ Factor Movements'!G40)/100)+103/POWER(1+('CurrentPor-Equ Factor Movements'!D40+'CurrentPor-Equ Factor Movements'!G40)/100,2))*100</f>
        <v>9614.9673582483465</v>
      </c>
      <c r="D40">
        <f>(3/(1+('CurrentPor-Equ Factor Movements'!C40+'CurrentPor-Equ Factor Movements'!H40)/100)+103/POWER(1+('CurrentPor-Equ Factor Movements'!D40+'CurrentPor-Equ Factor Movements'!H40)/100,2))*100</f>
        <v>9601.2395558122898</v>
      </c>
      <c r="E40">
        <f>(3/(1+('CurrentPor-Equ Factor Movements'!C40+'CurrentPor-Equ Factor Movements'!I40)/100)+103/POWER(1+('CurrentPor-Equ Factor Movements'!D40+'CurrentPor-Equ Factor Movements'!I40)/100,2))*100</f>
        <v>9581.4547115644182</v>
      </c>
      <c r="F40">
        <f>Portfolio!B$5*'CurrentPor-Equ Factor Movements'!E40</f>
        <v>51366.240442529954</v>
      </c>
      <c r="G40">
        <f>Portfolio!B$6*'CurrentPor-Equ Factor Movements'!F40</f>
        <v>3511.2381376347826</v>
      </c>
      <c r="H40">
        <f>Portfolio!B$7*'CurrentPor-Equ Factor Movements'!J40</f>
        <v>2148.0998964419859</v>
      </c>
      <c r="I40">
        <f t="shared" si="0"/>
        <v>95530.82587966061</v>
      </c>
      <c r="J40">
        <f t="shared" si="1"/>
        <v>-996.71014231495792</v>
      </c>
    </row>
    <row r="41" spans="1:10">
      <c r="A41" s="1">
        <v>45526</v>
      </c>
      <c r="B41">
        <f>(3/(1+('CurrentPor-Equ Factor Movements'!C41)/100)+103/POWER(1+('CurrentPor-Equ Factor Movements'!D41)/100,2))*100</f>
        <v>9707.5857774288397</v>
      </c>
      <c r="C41">
        <f>(3/(1+('CurrentPor-Equ Factor Movements'!C41+'CurrentPor-Equ Factor Movements'!G41)/100)+103/POWER(1+('CurrentPor-Equ Factor Movements'!D41+'CurrentPor-Equ Factor Movements'!G41)/100,2))*100</f>
        <v>9614.9673582483465</v>
      </c>
      <c r="D41">
        <f>(3/(1+('CurrentPor-Equ Factor Movements'!C41+'CurrentPor-Equ Factor Movements'!H41)/100)+103/POWER(1+('CurrentPor-Equ Factor Movements'!D41+'CurrentPor-Equ Factor Movements'!H41)/100,2))*100</f>
        <v>9601.2395558122898</v>
      </c>
      <c r="E41">
        <f>(3/(1+('CurrentPor-Equ Factor Movements'!C41+'CurrentPor-Equ Factor Movements'!I41)/100)+103/POWER(1+('CurrentPor-Equ Factor Movements'!D41+'CurrentPor-Equ Factor Movements'!I41)/100,2))*100</f>
        <v>9581.4547115644182</v>
      </c>
      <c r="F41">
        <f>Portfolio!B$5*'CurrentPor-Equ Factor Movements'!E41</f>
        <v>54420.29796690723</v>
      </c>
      <c r="G41">
        <f>Portfolio!B$6*'CurrentPor-Equ Factor Movements'!F41</f>
        <v>3473.9391252530913</v>
      </c>
      <c r="H41">
        <f>Portfolio!B$7*'CurrentPor-Equ Factor Movements'!J41</f>
        <v>2148.0998964419859</v>
      </c>
      <c r="I41">
        <f t="shared" si="0"/>
        <v>98547.584391656201</v>
      </c>
      <c r="J41">
        <f t="shared" si="1"/>
        <v>1370.1327824500186</v>
      </c>
    </row>
    <row r="42" spans="1:10">
      <c r="A42" s="1">
        <v>45527</v>
      </c>
      <c r="B42">
        <f>(3/(1+('CurrentPor-Equ Factor Movements'!C42)/100)+103/POWER(1+('CurrentPor-Equ Factor Movements'!D42)/100,2))*100</f>
        <v>9707.5857774288397</v>
      </c>
      <c r="C42">
        <f>(3/(1+('CurrentPor-Equ Factor Movements'!C42+'CurrentPor-Equ Factor Movements'!G42)/100)+103/POWER(1+('CurrentPor-Equ Factor Movements'!D42+'CurrentPor-Equ Factor Movements'!G42)/100,2))*100</f>
        <v>9614.9673582483465</v>
      </c>
      <c r="D42">
        <f>(3/(1+('CurrentPor-Equ Factor Movements'!C42+'CurrentPor-Equ Factor Movements'!H42)/100)+103/POWER(1+('CurrentPor-Equ Factor Movements'!D42+'CurrentPor-Equ Factor Movements'!H42)/100,2))*100</f>
        <v>9601.2395558122898</v>
      </c>
      <c r="E42">
        <f>(3/(1+('CurrentPor-Equ Factor Movements'!C42+'CurrentPor-Equ Factor Movements'!I42)/100)+103/POWER(1+('CurrentPor-Equ Factor Movements'!D42+'CurrentPor-Equ Factor Movements'!I42)/100,2))*100</f>
        <v>9581.4547115644182</v>
      </c>
      <c r="F42">
        <f>Portfolio!B$5*'CurrentPor-Equ Factor Movements'!E42</f>
        <v>52913.518037104026</v>
      </c>
      <c r="G42">
        <f>Portfolio!B$6*'CurrentPor-Equ Factor Movements'!F42</f>
        <v>3426.2221509155111</v>
      </c>
      <c r="H42">
        <f>Portfolio!B$7*'CurrentPor-Equ Factor Movements'!J42</f>
        <v>2148.0998964419859</v>
      </c>
      <c r="I42">
        <f t="shared" si="0"/>
        <v>96993.087487515411</v>
      </c>
      <c r="J42">
        <f t="shared" si="1"/>
        <v>-108.06203666105284</v>
      </c>
    </row>
    <row r="43" spans="1:10">
      <c r="A43" s="1">
        <v>45530</v>
      </c>
      <c r="B43">
        <f>(3/(1+('CurrentPor-Equ Factor Movements'!C43)/100)+103/POWER(1+('CurrentPor-Equ Factor Movements'!D43)/100,2))*100</f>
        <v>9707.5857774288397</v>
      </c>
      <c r="C43">
        <f>(3/(1+('CurrentPor-Equ Factor Movements'!C43+'CurrentPor-Equ Factor Movements'!G43)/100)+103/POWER(1+('CurrentPor-Equ Factor Movements'!D43+'CurrentPor-Equ Factor Movements'!G43)/100,2))*100</f>
        <v>9614.9673582483465</v>
      </c>
      <c r="D43">
        <f>(3/(1+('CurrentPor-Equ Factor Movements'!C43+'CurrentPor-Equ Factor Movements'!H43)/100)+103/POWER(1+('CurrentPor-Equ Factor Movements'!D43+'CurrentPor-Equ Factor Movements'!H43)/100,2))*100</f>
        <v>9601.2395558122898</v>
      </c>
      <c r="E43">
        <f>(3/(1+('CurrentPor-Equ Factor Movements'!C43+'CurrentPor-Equ Factor Movements'!I43)/100)+103/POWER(1+('CurrentPor-Equ Factor Movements'!D43+'CurrentPor-Equ Factor Movements'!I43)/100,2))*100</f>
        <v>9581.4547115644182</v>
      </c>
      <c r="F43">
        <f>Portfolio!B$5*'CurrentPor-Equ Factor Movements'!E43</f>
        <v>49995.819038488487</v>
      </c>
      <c r="G43">
        <f>Portfolio!B$6*'CurrentPor-Equ Factor Movements'!F43</f>
        <v>3419.1303298671237</v>
      </c>
      <c r="H43">
        <f>Portfolio!B$7*'CurrentPor-Equ Factor Movements'!J43</f>
        <v>2148.0998964419859</v>
      </c>
      <c r="I43">
        <f t="shared" si="0"/>
        <v>94068.296667851493</v>
      </c>
      <c r="J43">
        <f t="shared" si="1"/>
        <v>-160.61822356907942</v>
      </c>
    </row>
    <row r="44" spans="1:10">
      <c r="A44" s="1">
        <v>45531</v>
      </c>
      <c r="B44">
        <f>(3/(1+('CurrentPor-Equ Factor Movements'!C44)/100)+103/POWER(1+('CurrentPor-Equ Factor Movements'!D44)/100,2))*100</f>
        <v>9707.5857774288397</v>
      </c>
      <c r="C44">
        <f>(3/(1+('CurrentPor-Equ Factor Movements'!C44+'CurrentPor-Equ Factor Movements'!G44)/100)+103/POWER(1+('CurrentPor-Equ Factor Movements'!D44+'CurrentPor-Equ Factor Movements'!G44)/100,2))*100</f>
        <v>9614.9673582483465</v>
      </c>
      <c r="D44">
        <f>(3/(1+('CurrentPor-Equ Factor Movements'!C44+'CurrentPor-Equ Factor Movements'!H44)/100)+103/POWER(1+('CurrentPor-Equ Factor Movements'!D44+'CurrentPor-Equ Factor Movements'!H44)/100,2))*100</f>
        <v>9601.2395558122898</v>
      </c>
      <c r="E44">
        <f>(3/(1+('CurrentPor-Equ Factor Movements'!C44+'CurrentPor-Equ Factor Movements'!I44)/100)+103/POWER(1+('CurrentPor-Equ Factor Movements'!D44+'CurrentPor-Equ Factor Movements'!I44)/100,2))*100</f>
        <v>9581.4547115644182</v>
      </c>
      <c r="F44">
        <f>Portfolio!B$5*'CurrentPor-Equ Factor Movements'!E44</f>
        <v>51578.900527026155</v>
      </c>
      <c r="G44">
        <f>Portfolio!B$6*'CurrentPor-Equ Factor Movements'!F44</f>
        <v>3741.6746321614064</v>
      </c>
      <c r="H44">
        <f>Portfolio!B$7*'CurrentPor-Equ Factor Movements'!J44</f>
        <v>2148.0998964419859</v>
      </c>
      <c r="I44">
        <f t="shared" si="0"/>
        <v>95973.922458683432</v>
      </c>
      <c r="J44">
        <f t="shared" si="1"/>
        <v>1211.8046297407273</v>
      </c>
    </row>
    <row r="45" spans="1:10">
      <c r="A45" s="1">
        <v>45532</v>
      </c>
      <c r="B45">
        <f>(3/(1+('CurrentPor-Equ Factor Movements'!C45)/100)+103/POWER(1+('CurrentPor-Equ Factor Movements'!D45)/100,2))*100</f>
        <v>9707.5857774288397</v>
      </c>
      <c r="C45">
        <f>(3/(1+('CurrentPor-Equ Factor Movements'!C45+'CurrentPor-Equ Factor Movements'!G45)/100)+103/POWER(1+('CurrentPor-Equ Factor Movements'!D45+'CurrentPor-Equ Factor Movements'!G45)/100,2))*100</f>
        <v>9614.9673582483465</v>
      </c>
      <c r="D45">
        <f>(3/(1+('CurrentPor-Equ Factor Movements'!C45+'CurrentPor-Equ Factor Movements'!H45)/100)+103/POWER(1+('CurrentPor-Equ Factor Movements'!D45+'CurrentPor-Equ Factor Movements'!H45)/100,2))*100</f>
        <v>9601.2395558122898</v>
      </c>
      <c r="E45">
        <f>(3/(1+('CurrentPor-Equ Factor Movements'!C45+'CurrentPor-Equ Factor Movements'!I45)/100)+103/POWER(1+('CurrentPor-Equ Factor Movements'!D45+'CurrentPor-Equ Factor Movements'!I45)/100,2))*100</f>
        <v>9581.4547115644182</v>
      </c>
      <c r="F45">
        <f>Portfolio!B$5*'CurrentPor-Equ Factor Movements'!E45</f>
        <v>52730.945996103466</v>
      </c>
      <c r="G45">
        <f>Portfolio!B$6*'CurrentPor-Equ Factor Movements'!F45</f>
        <v>3775.5530031945532</v>
      </c>
      <c r="H45">
        <f>Portfolio!B$7*'CurrentPor-Equ Factor Movements'!J45</f>
        <v>2148.0998964419859</v>
      </c>
      <c r="I45">
        <f t="shared" si="0"/>
        <v>97159.846298793898</v>
      </c>
      <c r="J45">
        <f t="shared" si="1"/>
        <v>1352.5099363215268</v>
      </c>
    </row>
    <row r="46" spans="1:10">
      <c r="A46" s="1">
        <v>45533</v>
      </c>
      <c r="B46">
        <f>(3/(1+('CurrentPor-Equ Factor Movements'!C46)/100)+103/POWER(1+('CurrentPor-Equ Factor Movements'!D46)/100,2))*100</f>
        <v>9707.5857774288397</v>
      </c>
      <c r="C46">
        <f>(3/(1+('CurrentPor-Equ Factor Movements'!C46+'CurrentPor-Equ Factor Movements'!G46)/100)+103/POWER(1+('CurrentPor-Equ Factor Movements'!D46+'CurrentPor-Equ Factor Movements'!G46)/100,2))*100</f>
        <v>9614.9673582483465</v>
      </c>
      <c r="D46">
        <f>(3/(1+('CurrentPor-Equ Factor Movements'!C46+'CurrentPor-Equ Factor Movements'!H46)/100)+103/POWER(1+('CurrentPor-Equ Factor Movements'!D46+'CurrentPor-Equ Factor Movements'!H46)/100,2))*100</f>
        <v>9601.2395558122898</v>
      </c>
      <c r="E46">
        <f>(3/(1+('CurrentPor-Equ Factor Movements'!C46+'CurrentPor-Equ Factor Movements'!I46)/100)+103/POWER(1+('CurrentPor-Equ Factor Movements'!D46+'CurrentPor-Equ Factor Movements'!I46)/100,2))*100</f>
        <v>9581.4547115644182</v>
      </c>
      <c r="F46">
        <f>Portfolio!B$5*'CurrentPor-Equ Factor Movements'!E46</f>
        <v>54307.256661379324</v>
      </c>
      <c r="G46">
        <f>Portfolio!B$6*'CurrentPor-Equ Factor Movements'!F46</f>
        <v>3476.7280111536693</v>
      </c>
      <c r="H46">
        <f>Portfolio!B$7*'CurrentPor-Equ Factor Movements'!J46</f>
        <v>2148.0998964419859</v>
      </c>
      <c r="I46">
        <f t="shared" si="0"/>
        <v>98437.331972028871</v>
      </c>
      <c r="J46">
        <f t="shared" si="1"/>
        <v>2129.3479927874432</v>
      </c>
    </row>
    <row r="47" spans="1:10">
      <c r="A47" s="1">
        <v>45534</v>
      </c>
      <c r="B47">
        <f>(3/(1+('CurrentPor-Equ Factor Movements'!C47)/100)+103/POWER(1+('CurrentPor-Equ Factor Movements'!D47)/100,2))*100</f>
        <v>9707.5857774288397</v>
      </c>
      <c r="C47">
        <f>(3/(1+('CurrentPor-Equ Factor Movements'!C47+'CurrentPor-Equ Factor Movements'!G47)/100)+103/POWER(1+('CurrentPor-Equ Factor Movements'!D47+'CurrentPor-Equ Factor Movements'!G47)/100,2))*100</f>
        <v>9614.9673582483465</v>
      </c>
      <c r="D47">
        <f>(3/(1+('CurrentPor-Equ Factor Movements'!C47+'CurrentPor-Equ Factor Movements'!H47)/100)+103/POWER(1+('CurrentPor-Equ Factor Movements'!D47+'CurrentPor-Equ Factor Movements'!H47)/100,2))*100</f>
        <v>9601.2395558122898</v>
      </c>
      <c r="E47">
        <f>(3/(1+('CurrentPor-Equ Factor Movements'!C47+'CurrentPor-Equ Factor Movements'!I47)/100)+103/POWER(1+('CurrentPor-Equ Factor Movements'!D47+'CurrentPor-Equ Factor Movements'!I47)/100,2))*100</f>
        <v>9581.4547115644182</v>
      </c>
      <c r="F47">
        <f>Portfolio!B$5*'CurrentPor-Equ Factor Movements'!E47</f>
        <v>53131.19536266636</v>
      </c>
      <c r="G47">
        <f>Portfolio!B$6*'CurrentPor-Equ Factor Movements'!F47</f>
        <v>3562.6539359468338</v>
      </c>
      <c r="H47">
        <f>Portfolio!B$7*'CurrentPor-Equ Factor Movements'!J47</f>
        <v>2148.0998964419859</v>
      </c>
      <c r="I47">
        <f t="shared" si="0"/>
        <v>97347.196598109062</v>
      </c>
      <c r="J47">
        <f t="shared" si="1"/>
        <v>1688.6596900015429</v>
      </c>
    </row>
    <row r="48" spans="1:10">
      <c r="A48" s="1">
        <v>45537</v>
      </c>
      <c r="B48">
        <f>(3/(1+('CurrentPor-Equ Factor Movements'!C48)/100)+103/POWER(1+('CurrentPor-Equ Factor Movements'!D48)/100,2))*100</f>
        <v>9707.5857774288397</v>
      </c>
      <c r="C48">
        <f>(3/(1+('CurrentPor-Equ Factor Movements'!C48+'CurrentPor-Equ Factor Movements'!G48)/100)+103/POWER(1+('CurrentPor-Equ Factor Movements'!D48+'CurrentPor-Equ Factor Movements'!G48)/100,2))*100</f>
        <v>9614.9673582483465</v>
      </c>
      <c r="D48">
        <f>(3/(1+('CurrentPor-Equ Factor Movements'!C48+'CurrentPor-Equ Factor Movements'!H48)/100)+103/POWER(1+('CurrentPor-Equ Factor Movements'!D48+'CurrentPor-Equ Factor Movements'!H48)/100,2))*100</f>
        <v>9601.2395558122898</v>
      </c>
      <c r="E48">
        <f>(3/(1+('CurrentPor-Equ Factor Movements'!C48+'CurrentPor-Equ Factor Movements'!I48)/100)+103/POWER(1+('CurrentPor-Equ Factor Movements'!D48+'CurrentPor-Equ Factor Movements'!I48)/100,2))*100</f>
        <v>9581.4547115644182</v>
      </c>
      <c r="F48">
        <f>Portfolio!B$5*'CurrentPor-Equ Factor Movements'!E48</f>
        <v>53516.816357682648</v>
      </c>
      <c r="G48">
        <f>Portfolio!B$6*'CurrentPor-Equ Factor Movements'!F48</f>
        <v>3490.8946698382429</v>
      </c>
      <c r="H48">
        <f>Portfolio!B$7*'CurrentPor-Equ Factor Movements'!J48</f>
        <v>2148.0998964419859</v>
      </c>
      <c r="I48">
        <f t="shared" si="0"/>
        <v>97661.058327016784</v>
      </c>
      <c r="J48">
        <f t="shared" si="1"/>
        <v>559.72311060587526</v>
      </c>
    </row>
    <row r="49" spans="1:10">
      <c r="A49" s="1">
        <v>45538</v>
      </c>
      <c r="B49">
        <f>(3/(1+('CurrentPor-Equ Factor Movements'!C49)/100)+103/POWER(1+('CurrentPor-Equ Factor Movements'!D49)/100,2))*100</f>
        <v>9707.5857774288397</v>
      </c>
      <c r="C49">
        <f>(3/(1+('CurrentPor-Equ Factor Movements'!C49+'CurrentPor-Equ Factor Movements'!G49)/100)+103/POWER(1+('CurrentPor-Equ Factor Movements'!D49+'CurrentPor-Equ Factor Movements'!G49)/100,2))*100</f>
        <v>9614.9673582483465</v>
      </c>
      <c r="D49">
        <f>(3/(1+('CurrentPor-Equ Factor Movements'!C49+'CurrentPor-Equ Factor Movements'!H49)/100)+103/POWER(1+('CurrentPor-Equ Factor Movements'!D49+'CurrentPor-Equ Factor Movements'!H49)/100,2))*100</f>
        <v>9601.2395558122898</v>
      </c>
      <c r="E49">
        <f>(3/(1+('CurrentPor-Equ Factor Movements'!C49+'CurrentPor-Equ Factor Movements'!I49)/100)+103/POWER(1+('CurrentPor-Equ Factor Movements'!D49+'CurrentPor-Equ Factor Movements'!I49)/100,2))*100</f>
        <v>9581.4547115644182</v>
      </c>
      <c r="F49">
        <f>Portfolio!B$5*'CurrentPor-Equ Factor Movements'!E49</f>
        <v>51370.713223692459</v>
      </c>
      <c r="G49">
        <f>Portfolio!B$6*'CurrentPor-Equ Factor Movements'!F49</f>
        <v>3354.0917124953266</v>
      </c>
      <c r="H49">
        <f>Portfolio!B$7*'CurrentPor-Equ Factor Movements'!J49</f>
        <v>2148.0998964419859</v>
      </c>
      <c r="I49">
        <f t="shared" si="0"/>
        <v>95378.152235683665</v>
      </c>
      <c r="J49">
        <f t="shared" si="1"/>
        <v>298.50149047585728</v>
      </c>
    </row>
    <row r="50" spans="1:10">
      <c r="A50" s="1">
        <v>45539</v>
      </c>
      <c r="B50">
        <f>(3/(1+('CurrentPor-Equ Factor Movements'!C50)/100)+103/POWER(1+('CurrentPor-Equ Factor Movements'!D50)/100,2))*100</f>
        <v>9707.5857774288397</v>
      </c>
      <c r="C50">
        <f>(3/(1+('CurrentPor-Equ Factor Movements'!C50+'CurrentPor-Equ Factor Movements'!G50)/100)+103/POWER(1+('CurrentPor-Equ Factor Movements'!D50+'CurrentPor-Equ Factor Movements'!G50)/100,2))*100</f>
        <v>9614.9673582483465</v>
      </c>
      <c r="D50">
        <f>(3/(1+('CurrentPor-Equ Factor Movements'!C50+'CurrentPor-Equ Factor Movements'!H50)/100)+103/POWER(1+('CurrentPor-Equ Factor Movements'!D50+'CurrentPor-Equ Factor Movements'!H50)/100,2))*100</f>
        <v>9601.2395558122898</v>
      </c>
      <c r="E50">
        <f>(3/(1+('CurrentPor-Equ Factor Movements'!C50+'CurrentPor-Equ Factor Movements'!I50)/100)+103/POWER(1+('CurrentPor-Equ Factor Movements'!D50+'CurrentPor-Equ Factor Movements'!I50)/100,2))*100</f>
        <v>9581.4547115644182</v>
      </c>
      <c r="F50">
        <f>Portfolio!B$5*'CurrentPor-Equ Factor Movements'!E50</f>
        <v>51175.308218747261</v>
      </c>
      <c r="G50">
        <f>Portfolio!B$6*'CurrentPor-Equ Factor Movements'!F50</f>
        <v>3741.0727081650307</v>
      </c>
      <c r="H50">
        <f>Portfolio!B$7*'CurrentPor-Equ Factor Movements'!J50</f>
        <v>2148.0998964419859</v>
      </c>
      <c r="I50">
        <f t="shared" si="0"/>
        <v>95569.728226408159</v>
      </c>
      <c r="J50">
        <f t="shared" si="1"/>
        <v>38.902346747549018</v>
      </c>
    </row>
    <row r="51" spans="1:10">
      <c r="A51" s="1">
        <v>45540</v>
      </c>
      <c r="B51">
        <f>(3/(1+('CurrentPor-Equ Factor Movements'!C51)/100)+103/POWER(1+('CurrentPor-Equ Factor Movements'!D51)/100,2))*100</f>
        <v>9707.5857774288397</v>
      </c>
      <c r="C51">
        <f>(3/(1+('CurrentPor-Equ Factor Movements'!C51+'CurrentPor-Equ Factor Movements'!G51)/100)+103/POWER(1+('CurrentPor-Equ Factor Movements'!D51+'CurrentPor-Equ Factor Movements'!G51)/100,2))*100</f>
        <v>9614.9673582483465</v>
      </c>
      <c r="D51">
        <f>(3/(1+('CurrentPor-Equ Factor Movements'!C51+'CurrentPor-Equ Factor Movements'!H51)/100)+103/POWER(1+('CurrentPor-Equ Factor Movements'!D51+'CurrentPor-Equ Factor Movements'!H51)/100,2))*100</f>
        <v>9601.2395558122898</v>
      </c>
      <c r="E51">
        <f>(3/(1+('CurrentPor-Equ Factor Movements'!C51+'CurrentPor-Equ Factor Movements'!I51)/100)+103/POWER(1+('CurrentPor-Equ Factor Movements'!D51+'CurrentPor-Equ Factor Movements'!I51)/100,2))*100</f>
        <v>9581.4547115644182</v>
      </c>
      <c r="F51">
        <f>Portfolio!B$5*'CurrentPor-Equ Factor Movements'!E51</f>
        <v>52270.656857082882</v>
      </c>
      <c r="G51">
        <f>Portfolio!B$6*'CurrentPor-Equ Factor Movements'!F51</f>
        <v>3639.5857410505564</v>
      </c>
      <c r="H51">
        <f>Portfolio!B$7*'CurrentPor-Equ Factor Movements'!J51</f>
        <v>2148.0998964419859</v>
      </c>
      <c r="I51">
        <f t="shared" si="0"/>
        <v>96563.58989762931</v>
      </c>
      <c r="J51">
        <f t="shared" si="1"/>
        <v>-1983.9944940268906</v>
      </c>
    </row>
    <row r="52" spans="1:10">
      <c r="A52" s="1">
        <v>45541</v>
      </c>
      <c r="B52">
        <f>(3/(1+('CurrentPor-Equ Factor Movements'!C52)/100)+103/POWER(1+('CurrentPor-Equ Factor Movements'!D52)/100,2))*100</f>
        <v>9707.5857774288397</v>
      </c>
      <c r="C52">
        <f>(3/(1+('CurrentPor-Equ Factor Movements'!C52+'CurrentPor-Equ Factor Movements'!G52)/100)+103/POWER(1+('CurrentPor-Equ Factor Movements'!D52+'CurrentPor-Equ Factor Movements'!G52)/100,2))*100</f>
        <v>9614.9673582483465</v>
      </c>
      <c r="D52">
        <f>(3/(1+('CurrentPor-Equ Factor Movements'!C52+'CurrentPor-Equ Factor Movements'!H52)/100)+103/POWER(1+('CurrentPor-Equ Factor Movements'!D52+'CurrentPor-Equ Factor Movements'!H52)/100,2))*100</f>
        <v>9601.2395558122898</v>
      </c>
      <c r="E52">
        <f>(3/(1+('CurrentPor-Equ Factor Movements'!C52+'CurrentPor-Equ Factor Movements'!I52)/100)+103/POWER(1+('CurrentPor-Equ Factor Movements'!D52+'CurrentPor-Equ Factor Movements'!I52)/100,2))*100</f>
        <v>9581.4547115644182</v>
      </c>
      <c r="F52">
        <f>Portfolio!B$5*'CurrentPor-Equ Factor Movements'!E52</f>
        <v>53218.8131066653</v>
      </c>
      <c r="G52">
        <f>Portfolio!B$6*'CurrentPor-Equ Factor Movements'!F52</f>
        <v>3650.7951964224453</v>
      </c>
      <c r="H52">
        <f>Portfolio!B$7*'CurrentPor-Equ Factor Movements'!J52</f>
        <v>2148.0998964419859</v>
      </c>
      <c r="I52">
        <f t="shared" si="0"/>
        <v>97522.955602583621</v>
      </c>
      <c r="J52">
        <f t="shared" si="1"/>
        <v>529.86811506820959</v>
      </c>
    </row>
    <row r="53" spans="1:10">
      <c r="A53" s="1">
        <v>45544</v>
      </c>
      <c r="B53">
        <f>(3/(1+('CurrentPor-Equ Factor Movements'!C53)/100)+103/POWER(1+('CurrentPor-Equ Factor Movements'!D53)/100,2))*100</f>
        <v>9707.5857774288397</v>
      </c>
      <c r="C53">
        <f>(3/(1+('CurrentPor-Equ Factor Movements'!C53+'CurrentPor-Equ Factor Movements'!G53)/100)+103/POWER(1+('CurrentPor-Equ Factor Movements'!D53+'CurrentPor-Equ Factor Movements'!G53)/100,2))*100</f>
        <v>9614.9673582483465</v>
      </c>
      <c r="D53">
        <f>(3/(1+('CurrentPor-Equ Factor Movements'!C53+'CurrentPor-Equ Factor Movements'!H53)/100)+103/POWER(1+('CurrentPor-Equ Factor Movements'!D53+'CurrentPor-Equ Factor Movements'!H53)/100,2))*100</f>
        <v>9601.2395558122898</v>
      </c>
      <c r="E53">
        <f>(3/(1+('CurrentPor-Equ Factor Movements'!C53+'CurrentPor-Equ Factor Movements'!I53)/100)+103/POWER(1+('CurrentPor-Equ Factor Movements'!D53+'CurrentPor-Equ Factor Movements'!I53)/100,2))*100</f>
        <v>9581.4547115644182</v>
      </c>
      <c r="F53">
        <f>Portfolio!B$5*'CurrentPor-Equ Factor Movements'!E53</f>
        <v>51731.164558544973</v>
      </c>
      <c r="G53">
        <f>Portfolio!B$6*'CurrentPor-Equ Factor Movements'!F53</f>
        <v>3743.1692692754505</v>
      </c>
      <c r="H53">
        <f>Portfolio!B$7*'CurrentPor-Equ Factor Movements'!J53</f>
        <v>2148.0998964419859</v>
      </c>
      <c r="I53">
        <f t="shared" si="0"/>
        <v>96127.681127316304</v>
      </c>
      <c r="J53">
        <f t="shared" si="1"/>
        <v>2059.3844594648108</v>
      </c>
    </row>
    <row r="54" spans="1:10">
      <c r="A54" s="1">
        <v>45545</v>
      </c>
      <c r="B54">
        <f>(3/(1+('CurrentPor-Equ Factor Movements'!C54)/100)+103/POWER(1+('CurrentPor-Equ Factor Movements'!D54)/100,2))*100</f>
        <v>9707.5857774288397</v>
      </c>
      <c r="C54">
        <f>(3/(1+('CurrentPor-Equ Factor Movements'!C54+'CurrentPor-Equ Factor Movements'!G54)/100)+103/POWER(1+('CurrentPor-Equ Factor Movements'!D54+'CurrentPor-Equ Factor Movements'!G54)/100,2))*100</f>
        <v>9614.9673582483465</v>
      </c>
      <c r="D54">
        <f>(3/(1+('CurrentPor-Equ Factor Movements'!C54+'CurrentPor-Equ Factor Movements'!H54)/100)+103/POWER(1+('CurrentPor-Equ Factor Movements'!D54+'CurrentPor-Equ Factor Movements'!H54)/100,2))*100</f>
        <v>9601.2395558122898</v>
      </c>
      <c r="E54">
        <f>(3/(1+('CurrentPor-Equ Factor Movements'!C54+'CurrentPor-Equ Factor Movements'!I54)/100)+103/POWER(1+('CurrentPor-Equ Factor Movements'!D54+'CurrentPor-Equ Factor Movements'!I54)/100,2))*100</f>
        <v>9581.4547115644182</v>
      </c>
      <c r="F54">
        <f>Portfolio!B$5*'CurrentPor-Equ Factor Movements'!E54</f>
        <v>49737.124106053947</v>
      </c>
      <c r="G54">
        <f>Portfolio!B$6*'CurrentPor-Equ Factor Movements'!F54</f>
        <v>3750.3844178929498</v>
      </c>
      <c r="H54">
        <f>Portfolio!B$7*'CurrentPor-Equ Factor Movements'!J54</f>
        <v>2148.0998964419859</v>
      </c>
      <c r="I54">
        <f t="shared" si="0"/>
        <v>94140.855823442776</v>
      </c>
      <c r="J54">
        <f t="shared" si="1"/>
        <v>-1833.0666352406552</v>
      </c>
    </row>
    <row r="55" spans="1:10">
      <c r="A55" s="1">
        <v>45546</v>
      </c>
      <c r="B55">
        <f>(3/(1+('CurrentPor-Equ Factor Movements'!C55)/100)+103/POWER(1+('CurrentPor-Equ Factor Movements'!D55)/100,2))*100</f>
        <v>9707.5857774288397</v>
      </c>
      <c r="C55">
        <f>(3/(1+('CurrentPor-Equ Factor Movements'!C55+'CurrentPor-Equ Factor Movements'!G55)/100)+103/POWER(1+('CurrentPor-Equ Factor Movements'!D55+'CurrentPor-Equ Factor Movements'!G55)/100,2))*100</f>
        <v>9614.9673582483465</v>
      </c>
      <c r="D55">
        <f>(3/(1+('CurrentPor-Equ Factor Movements'!C55+'CurrentPor-Equ Factor Movements'!H55)/100)+103/POWER(1+('CurrentPor-Equ Factor Movements'!D55+'CurrentPor-Equ Factor Movements'!H55)/100,2))*100</f>
        <v>9601.2395558122898</v>
      </c>
      <c r="E55">
        <f>(3/(1+('CurrentPor-Equ Factor Movements'!C55+'CurrentPor-Equ Factor Movements'!I55)/100)+103/POWER(1+('CurrentPor-Equ Factor Movements'!D55+'CurrentPor-Equ Factor Movements'!I55)/100,2))*100</f>
        <v>9581.4547115644182</v>
      </c>
      <c r="F55">
        <f>Portfolio!B$5*'CurrentPor-Equ Factor Movements'!E55</f>
        <v>52747.091092554547</v>
      </c>
      <c r="G55">
        <f>Portfolio!B$6*'CurrentPor-Equ Factor Movements'!F55</f>
        <v>3537.3299071793276</v>
      </c>
      <c r="H55">
        <f>Portfolio!B$7*'CurrentPor-Equ Factor Movements'!J55</f>
        <v>2148.0998964419859</v>
      </c>
      <c r="I55">
        <f t="shared" si="0"/>
        <v>96937.768299229763</v>
      </c>
      <c r="J55">
        <f t="shared" si="1"/>
        <v>-222.0779995641351</v>
      </c>
    </row>
    <row r="56" spans="1:10">
      <c r="A56" s="1">
        <v>45547</v>
      </c>
      <c r="B56">
        <f>(3/(1+('CurrentPor-Equ Factor Movements'!C56)/100)+103/POWER(1+('CurrentPor-Equ Factor Movements'!D56)/100,2))*100</f>
        <v>9707.5857774288397</v>
      </c>
      <c r="C56">
        <f>(3/(1+('CurrentPor-Equ Factor Movements'!C56+'CurrentPor-Equ Factor Movements'!G56)/100)+103/POWER(1+('CurrentPor-Equ Factor Movements'!D56+'CurrentPor-Equ Factor Movements'!G56)/100,2))*100</f>
        <v>9614.9673582483465</v>
      </c>
      <c r="D56">
        <f>(3/(1+('CurrentPor-Equ Factor Movements'!C56+'CurrentPor-Equ Factor Movements'!H56)/100)+103/POWER(1+('CurrentPor-Equ Factor Movements'!D56+'CurrentPor-Equ Factor Movements'!H56)/100,2))*100</f>
        <v>9601.2395558122898</v>
      </c>
      <c r="E56">
        <f>(3/(1+('CurrentPor-Equ Factor Movements'!C56+'CurrentPor-Equ Factor Movements'!I56)/100)+103/POWER(1+('CurrentPor-Equ Factor Movements'!D56+'CurrentPor-Equ Factor Movements'!I56)/100,2))*100</f>
        <v>9581.4547115644182</v>
      </c>
      <c r="F56">
        <f>Portfolio!B$5*'CurrentPor-Equ Factor Movements'!E56</f>
        <v>51334.508315746709</v>
      </c>
      <c r="G56">
        <f>Portfolio!B$6*'CurrentPor-Equ Factor Movements'!F56</f>
        <v>3520.4769721896937</v>
      </c>
      <c r="H56">
        <f>Portfolio!B$7*'CurrentPor-Equ Factor Movements'!J56</f>
        <v>2148.0998964419859</v>
      </c>
      <c r="I56">
        <f t="shared" si="0"/>
        <v>95508.332587432276</v>
      </c>
      <c r="J56">
        <f t="shared" si="1"/>
        <v>-2928.9993845965946</v>
      </c>
    </row>
    <row r="57" spans="1:10">
      <c r="A57" s="1">
        <v>45548</v>
      </c>
      <c r="B57">
        <f>(3/(1+('CurrentPor-Equ Factor Movements'!C57)/100)+103/POWER(1+('CurrentPor-Equ Factor Movements'!D57)/100,2))*100</f>
        <v>9707.5857774288397</v>
      </c>
      <c r="C57">
        <f>(3/(1+('CurrentPor-Equ Factor Movements'!C57+'CurrentPor-Equ Factor Movements'!G57)/100)+103/POWER(1+('CurrentPor-Equ Factor Movements'!D57+'CurrentPor-Equ Factor Movements'!G57)/100,2))*100</f>
        <v>9614.9673582483465</v>
      </c>
      <c r="D57">
        <f>(3/(1+('CurrentPor-Equ Factor Movements'!C57+'CurrentPor-Equ Factor Movements'!H57)/100)+103/POWER(1+('CurrentPor-Equ Factor Movements'!D57+'CurrentPor-Equ Factor Movements'!H57)/100,2))*100</f>
        <v>9601.2395558122898</v>
      </c>
      <c r="E57">
        <f>(3/(1+('CurrentPor-Equ Factor Movements'!C57+'CurrentPor-Equ Factor Movements'!I57)/100)+103/POWER(1+('CurrentPor-Equ Factor Movements'!D57+'CurrentPor-Equ Factor Movements'!I57)/100,2))*100</f>
        <v>9581.4547115644182</v>
      </c>
      <c r="F57">
        <f>Portfolio!B$5*'CurrentPor-Equ Factor Movements'!E57</f>
        <v>52074.367749715973</v>
      </c>
      <c r="G57">
        <f>Portfolio!B$6*'CurrentPor-Equ Factor Movements'!F57</f>
        <v>3608.7773065868705</v>
      </c>
      <c r="H57">
        <f>Portfolio!B$7*'CurrentPor-Equ Factor Movements'!J57</f>
        <v>2148.0998964419859</v>
      </c>
      <c r="I57">
        <f t="shared" si="0"/>
        <v>96336.49235579872</v>
      </c>
      <c r="J57">
        <f t="shared" si="1"/>
        <v>-1010.7042423103412</v>
      </c>
    </row>
    <row r="58" spans="1:10">
      <c r="A58" s="1">
        <v>45551</v>
      </c>
      <c r="B58">
        <f>(3/(1+('CurrentPor-Equ Factor Movements'!C58)/100)+103/POWER(1+('CurrentPor-Equ Factor Movements'!D58)/100,2))*100</f>
        <v>9707.5857774288397</v>
      </c>
      <c r="C58">
        <f>(3/(1+('CurrentPor-Equ Factor Movements'!C58+'CurrentPor-Equ Factor Movements'!G58)/100)+103/POWER(1+('CurrentPor-Equ Factor Movements'!D58+'CurrentPor-Equ Factor Movements'!G58)/100,2))*100</f>
        <v>9614.9673582483465</v>
      </c>
      <c r="D58">
        <f>(3/(1+('CurrentPor-Equ Factor Movements'!C58+'CurrentPor-Equ Factor Movements'!H58)/100)+103/POWER(1+('CurrentPor-Equ Factor Movements'!D58+'CurrentPor-Equ Factor Movements'!H58)/100,2))*100</f>
        <v>9601.2395558122898</v>
      </c>
      <c r="E58">
        <f>(3/(1+('CurrentPor-Equ Factor Movements'!C58+'CurrentPor-Equ Factor Movements'!I58)/100)+103/POWER(1+('CurrentPor-Equ Factor Movements'!D58+'CurrentPor-Equ Factor Movements'!I58)/100,2))*100</f>
        <v>9581.4547115644182</v>
      </c>
      <c r="F58">
        <f>Portfolio!B$5*'CurrentPor-Equ Factor Movements'!E58</f>
        <v>52313.096162455113</v>
      </c>
      <c r="G58">
        <f>Portfolio!B$6*'CurrentPor-Equ Factor Movements'!F58</f>
        <v>3500.7736653853563</v>
      </c>
      <c r="H58">
        <f>Portfolio!B$7*'CurrentPor-Equ Factor Movements'!J58</f>
        <v>2148.0998964419859</v>
      </c>
      <c r="I58">
        <f t="shared" si="0"/>
        <v>96467.217127336349</v>
      </c>
      <c r="J58">
        <f t="shared" si="1"/>
        <v>-1193.8411996804352</v>
      </c>
    </row>
    <row r="59" spans="1:10">
      <c r="A59" s="1">
        <v>45552</v>
      </c>
      <c r="B59">
        <f>(3/(1+('CurrentPor-Equ Factor Movements'!C59)/100)+103/POWER(1+('CurrentPor-Equ Factor Movements'!D59)/100,2))*100</f>
        <v>9707.5857774288397</v>
      </c>
      <c r="C59">
        <f>(3/(1+('CurrentPor-Equ Factor Movements'!C59+'CurrentPor-Equ Factor Movements'!G59)/100)+103/POWER(1+('CurrentPor-Equ Factor Movements'!D59+'CurrentPor-Equ Factor Movements'!G59)/100,2))*100</f>
        <v>9614.9673582483465</v>
      </c>
      <c r="D59">
        <f>(3/(1+('CurrentPor-Equ Factor Movements'!C59+'CurrentPor-Equ Factor Movements'!H59)/100)+103/POWER(1+('CurrentPor-Equ Factor Movements'!D59+'CurrentPor-Equ Factor Movements'!H59)/100,2))*100</f>
        <v>9601.2395558122898</v>
      </c>
      <c r="E59">
        <f>(3/(1+('CurrentPor-Equ Factor Movements'!C59+'CurrentPor-Equ Factor Movements'!I59)/100)+103/POWER(1+('CurrentPor-Equ Factor Movements'!D59+'CurrentPor-Equ Factor Movements'!I59)/100,2))*100</f>
        <v>9581.4547115644182</v>
      </c>
      <c r="F59">
        <f>Portfolio!B$5*'CurrentPor-Equ Factor Movements'!E59</f>
        <v>52731.384931180706</v>
      </c>
      <c r="G59">
        <f>Portfolio!B$6*'CurrentPor-Equ Factor Movements'!F59</f>
        <v>3650.7903824806967</v>
      </c>
      <c r="H59">
        <f>Portfolio!B$7*'CurrentPor-Equ Factor Movements'!J59</f>
        <v>2148.0998964419859</v>
      </c>
      <c r="I59">
        <f t="shared" si="0"/>
        <v>97035.522613157285</v>
      </c>
      <c r="J59">
        <f t="shared" si="1"/>
        <v>1657.3703774736205</v>
      </c>
    </row>
    <row r="60" spans="1:10">
      <c r="A60" s="1">
        <v>45553</v>
      </c>
      <c r="B60">
        <f>(3/(1+('CurrentPor-Equ Factor Movements'!C60)/100)+103/POWER(1+('CurrentPor-Equ Factor Movements'!D60)/100,2))*100</f>
        <v>9707.5857774288397</v>
      </c>
      <c r="C60">
        <f>(3/(1+('CurrentPor-Equ Factor Movements'!C60+'CurrentPor-Equ Factor Movements'!G60)/100)+103/POWER(1+('CurrentPor-Equ Factor Movements'!D60+'CurrentPor-Equ Factor Movements'!G60)/100,2))*100</f>
        <v>9614.9673582483465</v>
      </c>
      <c r="D60">
        <f>(3/(1+('CurrentPor-Equ Factor Movements'!C60+'CurrentPor-Equ Factor Movements'!H60)/100)+103/POWER(1+('CurrentPor-Equ Factor Movements'!D60+'CurrentPor-Equ Factor Movements'!H60)/100,2))*100</f>
        <v>9601.2395558122898</v>
      </c>
      <c r="E60">
        <f>(3/(1+('CurrentPor-Equ Factor Movements'!C60+'CurrentPor-Equ Factor Movements'!I60)/100)+103/POWER(1+('CurrentPor-Equ Factor Movements'!D60+'CurrentPor-Equ Factor Movements'!I60)/100,2))*100</f>
        <v>9581.4547115644182</v>
      </c>
      <c r="F60">
        <f>Portfolio!B$5*'CurrentPor-Equ Factor Movements'!E60</f>
        <v>51296.135942059118</v>
      </c>
      <c r="G60">
        <f>Portfolio!B$6*'CurrentPor-Equ Factor Movements'!F60</f>
        <v>3467.4962341486889</v>
      </c>
      <c r="H60">
        <f>Portfolio!B$7*'CurrentPor-Equ Factor Movements'!J60</f>
        <v>2148.0998964419859</v>
      </c>
      <c r="I60">
        <f t="shared" si="0"/>
        <v>95416.979475703687</v>
      </c>
      <c r="J60">
        <f t="shared" si="1"/>
        <v>-152.7487507044716</v>
      </c>
    </row>
    <row r="61" spans="1:10">
      <c r="A61" s="1">
        <v>45554</v>
      </c>
      <c r="B61">
        <f>(3/(1+('CurrentPor-Equ Factor Movements'!C61)/100)+103/POWER(1+('CurrentPor-Equ Factor Movements'!D61)/100,2))*100</f>
        <v>9707.5857774288397</v>
      </c>
      <c r="C61">
        <f>(3/(1+('CurrentPor-Equ Factor Movements'!C61+'CurrentPor-Equ Factor Movements'!G61)/100)+103/POWER(1+('CurrentPor-Equ Factor Movements'!D61+'CurrentPor-Equ Factor Movements'!G61)/100,2))*100</f>
        <v>9614.9673582483465</v>
      </c>
      <c r="D61">
        <f>(3/(1+('CurrentPor-Equ Factor Movements'!C61+'CurrentPor-Equ Factor Movements'!H61)/100)+103/POWER(1+('CurrentPor-Equ Factor Movements'!D61+'CurrentPor-Equ Factor Movements'!H61)/100,2))*100</f>
        <v>9601.2395558122898</v>
      </c>
      <c r="E61">
        <f>(3/(1+('CurrentPor-Equ Factor Movements'!C61+'CurrentPor-Equ Factor Movements'!I61)/100)+103/POWER(1+('CurrentPor-Equ Factor Movements'!D61+'CurrentPor-Equ Factor Movements'!I61)/100,2))*100</f>
        <v>9581.4547115644182</v>
      </c>
      <c r="F61">
        <f>Portfolio!B$5*'CurrentPor-Equ Factor Movements'!E61</f>
        <v>52315.118662818793</v>
      </c>
      <c r="G61">
        <f>Portfolio!B$6*'CurrentPor-Equ Factor Movements'!F61</f>
        <v>3686.9108188255859</v>
      </c>
      <c r="H61">
        <f>Portfolio!B$7*'CurrentPor-Equ Factor Movements'!J61</f>
        <v>2148.0998964419859</v>
      </c>
      <c r="I61">
        <f t="shared" si="0"/>
        <v>96655.376781140265</v>
      </c>
      <c r="J61">
        <f t="shared" si="1"/>
        <v>91.786883510954794</v>
      </c>
    </row>
    <row r="62" spans="1:10">
      <c r="A62" s="1">
        <v>45555</v>
      </c>
      <c r="B62">
        <f>(3/(1+('CurrentPor-Equ Factor Movements'!C62)/100)+103/POWER(1+('CurrentPor-Equ Factor Movements'!D62)/100,2))*100</f>
        <v>9707.5857774288397</v>
      </c>
      <c r="C62">
        <f>(3/(1+('CurrentPor-Equ Factor Movements'!C62+'CurrentPor-Equ Factor Movements'!G62)/100)+103/POWER(1+('CurrentPor-Equ Factor Movements'!D62+'CurrentPor-Equ Factor Movements'!G62)/100,2))*100</f>
        <v>9614.9673582483465</v>
      </c>
      <c r="D62">
        <f>(3/(1+('CurrentPor-Equ Factor Movements'!C62+'CurrentPor-Equ Factor Movements'!H62)/100)+103/POWER(1+('CurrentPor-Equ Factor Movements'!D62+'CurrentPor-Equ Factor Movements'!H62)/100,2))*100</f>
        <v>9601.2395558122898</v>
      </c>
      <c r="E62">
        <f>(3/(1+('CurrentPor-Equ Factor Movements'!C62+'CurrentPor-Equ Factor Movements'!I62)/100)+103/POWER(1+('CurrentPor-Equ Factor Movements'!D62+'CurrentPor-Equ Factor Movements'!I62)/100,2))*100</f>
        <v>9581.4547115644182</v>
      </c>
      <c r="F62">
        <f>Portfolio!B$5*'CurrentPor-Equ Factor Movements'!E62</f>
        <v>53788.559293176935</v>
      </c>
      <c r="G62">
        <f>Portfolio!B$6*'CurrentPor-Equ Factor Movements'!F62</f>
        <v>3746.2433338710198</v>
      </c>
      <c r="H62">
        <f>Portfolio!B$7*'CurrentPor-Equ Factor Movements'!J62</f>
        <v>2148.0998964419859</v>
      </c>
      <c r="I62">
        <f t="shared" si="0"/>
        <v>98188.149926543847</v>
      </c>
      <c r="J62">
        <f t="shared" si="1"/>
        <v>665.19432396022603</v>
      </c>
    </row>
    <row r="63" spans="1:10">
      <c r="A63" s="1">
        <v>45558</v>
      </c>
      <c r="B63">
        <f>(3/(1+('CurrentPor-Equ Factor Movements'!C63)/100)+103/POWER(1+('CurrentPor-Equ Factor Movements'!D63)/100,2))*100</f>
        <v>9707.5857774288397</v>
      </c>
      <c r="C63">
        <f>(3/(1+('CurrentPor-Equ Factor Movements'!C63+'CurrentPor-Equ Factor Movements'!G63)/100)+103/POWER(1+('CurrentPor-Equ Factor Movements'!D63+'CurrentPor-Equ Factor Movements'!G63)/100,2))*100</f>
        <v>9614.9673582483465</v>
      </c>
      <c r="D63">
        <f>(3/(1+('CurrentPor-Equ Factor Movements'!C63+'CurrentPor-Equ Factor Movements'!H63)/100)+103/POWER(1+('CurrentPor-Equ Factor Movements'!D63+'CurrentPor-Equ Factor Movements'!H63)/100,2))*100</f>
        <v>9601.2395558122898</v>
      </c>
      <c r="E63">
        <f>(3/(1+('CurrentPor-Equ Factor Movements'!C63+'CurrentPor-Equ Factor Movements'!I63)/100)+103/POWER(1+('CurrentPor-Equ Factor Movements'!D63+'CurrentPor-Equ Factor Movements'!I63)/100,2))*100</f>
        <v>9581.4547115644182</v>
      </c>
      <c r="F63">
        <f>Portfolio!B$5*'CurrentPor-Equ Factor Movements'!E63</f>
        <v>53224.727065476851</v>
      </c>
      <c r="G63">
        <f>Portfolio!B$6*'CurrentPor-Equ Factor Movements'!F63</f>
        <v>3436.9551203292217</v>
      </c>
      <c r="H63">
        <f>Portfolio!B$7*'CurrentPor-Equ Factor Movements'!J63</f>
        <v>2148.0998964419859</v>
      </c>
      <c r="I63">
        <f t="shared" si="0"/>
        <v>97315.029485301944</v>
      </c>
      <c r="J63">
        <f t="shared" si="1"/>
        <v>1187.3483579856402</v>
      </c>
    </row>
    <row r="64" spans="1:10">
      <c r="A64" s="1">
        <v>45559</v>
      </c>
      <c r="B64">
        <f>(3/(1+('CurrentPor-Equ Factor Movements'!C64)/100)+103/POWER(1+('CurrentPor-Equ Factor Movements'!D64)/100,2))*100</f>
        <v>9707.5857774288397</v>
      </c>
      <c r="C64">
        <f>(3/(1+('CurrentPor-Equ Factor Movements'!C64+'CurrentPor-Equ Factor Movements'!G64)/100)+103/POWER(1+('CurrentPor-Equ Factor Movements'!D64+'CurrentPor-Equ Factor Movements'!G64)/100,2))*100</f>
        <v>9614.9673582483465</v>
      </c>
      <c r="D64">
        <f>(3/(1+('CurrentPor-Equ Factor Movements'!C64+'CurrentPor-Equ Factor Movements'!H64)/100)+103/POWER(1+('CurrentPor-Equ Factor Movements'!D64+'CurrentPor-Equ Factor Movements'!H64)/100,2))*100</f>
        <v>9601.2395558122898</v>
      </c>
      <c r="E64">
        <f>(3/(1+('CurrentPor-Equ Factor Movements'!C64+'CurrentPor-Equ Factor Movements'!I64)/100)+103/POWER(1+('CurrentPor-Equ Factor Movements'!D64+'CurrentPor-Equ Factor Movements'!I64)/100,2))*100</f>
        <v>9581.4547115644182</v>
      </c>
      <c r="F64">
        <f>Portfolio!B$5*'CurrentPor-Equ Factor Movements'!E64</f>
        <v>52204.348060472548</v>
      </c>
      <c r="G64">
        <f>Portfolio!B$6*'CurrentPor-Equ Factor Movements'!F64</f>
        <v>3605.6053697585789</v>
      </c>
      <c r="H64">
        <f>Portfolio!B$7*'CurrentPor-Equ Factor Movements'!J64</f>
        <v>2148.0998964419859</v>
      </c>
      <c r="I64">
        <f t="shared" si="0"/>
        <v>96463.300729726994</v>
      </c>
      <c r="J64">
        <f t="shared" si="1"/>
        <v>2322.4449062842177</v>
      </c>
    </row>
    <row r="65" spans="1:10">
      <c r="A65" s="1">
        <v>45560</v>
      </c>
      <c r="B65">
        <f>(3/(1+('CurrentPor-Equ Factor Movements'!C65)/100)+103/POWER(1+('CurrentPor-Equ Factor Movements'!D65)/100,2))*100</f>
        <v>9707.5857774288397</v>
      </c>
      <c r="C65">
        <f>(3/(1+('CurrentPor-Equ Factor Movements'!C65+'CurrentPor-Equ Factor Movements'!G65)/100)+103/POWER(1+('CurrentPor-Equ Factor Movements'!D65+'CurrentPor-Equ Factor Movements'!G65)/100,2))*100</f>
        <v>9614.9673582483465</v>
      </c>
      <c r="D65">
        <f>(3/(1+('CurrentPor-Equ Factor Movements'!C65+'CurrentPor-Equ Factor Movements'!H65)/100)+103/POWER(1+('CurrentPor-Equ Factor Movements'!D65+'CurrentPor-Equ Factor Movements'!H65)/100,2))*100</f>
        <v>9601.2395558122898</v>
      </c>
      <c r="E65">
        <f>(3/(1+('CurrentPor-Equ Factor Movements'!C65+'CurrentPor-Equ Factor Movements'!I65)/100)+103/POWER(1+('CurrentPor-Equ Factor Movements'!D65+'CurrentPor-Equ Factor Movements'!I65)/100,2))*100</f>
        <v>9581.4547115644182</v>
      </c>
      <c r="F65">
        <f>Portfolio!B$5*'CurrentPor-Equ Factor Movements'!E65</f>
        <v>52009.199299431813</v>
      </c>
      <c r="G65">
        <f>Portfolio!B$6*'CurrentPor-Equ Factor Movements'!F65</f>
        <v>3654.2902715825276</v>
      </c>
      <c r="H65">
        <f>Portfolio!B$7*'CurrentPor-Equ Factor Movements'!J65</f>
        <v>2148.0998964419859</v>
      </c>
      <c r="I65">
        <f t="shared" si="0"/>
        <v>96316.836870510218</v>
      </c>
      <c r="J65">
        <f t="shared" si="1"/>
        <v>-620.93142871954478</v>
      </c>
    </row>
    <row r="66" spans="1:10">
      <c r="A66" s="1">
        <v>45561</v>
      </c>
      <c r="B66">
        <f>(3/(1+('CurrentPor-Equ Factor Movements'!C66)/100)+103/POWER(1+('CurrentPor-Equ Factor Movements'!D66)/100,2))*100</f>
        <v>9707.5857774288397</v>
      </c>
      <c r="C66">
        <f>(3/(1+('CurrentPor-Equ Factor Movements'!C66+'CurrentPor-Equ Factor Movements'!G66)/100)+103/POWER(1+('CurrentPor-Equ Factor Movements'!D66+'CurrentPor-Equ Factor Movements'!G66)/100,2))*100</f>
        <v>9614.9673582483465</v>
      </c>
      <c r="D66">
        <f>(3/(1+('CurrentPor-Equ Factor Movements'!C66+'CurrentPor-Equ Factor Movements'!H66)/100)+103/POWER(1+('CurrentPor-Equ Factor Movements'!D66+'CurrentPor-Equ Factor Movements'!H66)/100,2))*100</f>
        <v>9601.2395558122898</v>
      </c>
      <c r="E66">
        <f>(3/(1+('CurrentPor-Equ Factor Movements'!C66+'CurrentPor-Equ Factor Movements'!I66)/100)+103/POWER(1+('CurrentPor-Equ Factor Movements'!D66+'CurrentPor-Equ Factor Movements'!I66)/100,2))*100</f>
        <v>9581.4547115644182</v>
      </c>
      <c r="F66">
        <f>Portfolio!B$5*'CurrentPor-Equ Factor Movements'!E66</f>
        <v>54012.883892343249</v>
      </c>
      <c r="G66">
        <f>Portfolio!B$6*'CurrentPor-Equ Factor Movements'!F66</f>
        <v>3163.9460356579984</v>
      </c>
      <c r="H66">
        <f>Portfolio!B$7*'CurrentPor-Equ Factor Movements'!J66</f>
        <v>2148.0998964419859</v>
      </c>
      <c r="I66">
        <f t="shared" si="0"/>
        <v>97830.17722749713</v>
      </c>
      <c r="J66">
        <f t="shared" si="1"/>
        <v>2321.8446400648536</v>
      </c>
    </row>
    <row r="67" spans="1:10">
      <c r="A67" s="1">
        <v>45562</v>
      </c>
      <c r="B67">
        <f>(3/(1+('CurrentPor-Equ Factor Movements'!C67)/100)+103/POWER(1+('CurrentPor-Equ Factor Movements'!D67)/100,2))*100</f>
        <v>9707.5857774288397</v>
      </c>
      <c r="C67">
        <f>(3/(1+('CurrentPor-Equ Factor Movements'!C67+'CurrentPor-Equ Factor Movements'!G67)/100)+103/POWER(1+('CurrentPor-Equ Factor Movements'!D67+'CurrentPor-Equ Factor Movements'!G67)/100,2))*100</f>
        <v>9614.9673582483465</v>
      </c>
      <c r="D67">
        <f>(3/(1+('CurrentPor-Equ Factor Movements'!C67+'CurrentPor-Equ Factor Movements'!H67)/100)+103/POWER(1+('CurrentPor-Equ Factor Movements'!D67+'CurrentPor-Equ Factor Movements'!H67)/100,2))*100</f>
        <v>9601.2395558122898</v>
      </c>
      <c r="E67">
        <f>(3/(1+('CurrentPor-Equ Factor Movements'!C67+'CurrentPor-Equ Factor Movements'!I67)/100)+103/POWER(1+('CurrentPor-Equ Factor Movements'!D67+'CurrentPor-Equ Factor Movements'!I67)/100,2))*100</f>
        <v>9581.4547115644182</v>
      </c>
      <c r="F67">
        <f>Portfolio!B$5*'CurrentPor-Equ Factor Movements'!E67</f>
        <v>53626.648933581433</v>
      </c>
      <c r="G67">
        <f>Portfolio!B$6*'CurrentPor-Equ Factor Movements'!F67</f>
        <v>3797.7390000372034</v>
      </c>
      <c r="H67">
        <f>Portfolio!B$7*'CurrentPor-Equ Factor Movements'!J67</f>
        <v>2148.0998964419859</v>
      </c>
      <c r="I67">
        <f t="shared" si="0"/>
        <v>98077.735233114523</v>
      </c>
      <c r="J67">
        <f t="shared" si="1"/>
        <v>1741.2428773158026</v>
      </c>
    </row>
    <row r="68" spans="1:10">
      <c r="A68" s="1">
        <v>45565</v>
      </c>
      <c r="B68">
        <f>(3/(1+('CurrentPor-Equ Factor Movements'!C68)/100)+103/POWER(1+('CurrentPor-Equ Factor Movements'!D68)/100,2))*100</f>
        <v>9707.5857774288397</v>
      </c>
      <c r="C68">
        <f>(3/(1+('CurrentPor-Equ Factor Movements'!C68+'CurrentPor-Equ Factor Movements'!G68)/100)+103/POWER(1+('CurrentPor-Equ Factor Movements'!D68+'CurrentPor-Equ Factor Movements'!G68)/100,2))*100</f>
        <v>9614.9673582483465</v>
      </c>
      <c r="D68">
        <f>(3/(1+('CurrentPor-Equ Factor Movements'!C68+'CurrentPor-Equ Factor Movements'!H68)/100)+103/POWER(1+('CurrentPor-Equ Factor Movements'!D68+'CurrentPor-Equ Factor Movements'!H68)/100,2))*100</f>
        <v>9601.2395558122898</v>
      </c>
      <c r="E68">
        <f>(3/(1+('CurrentPor-Equ Factor Movements'!C68+'CurrentPor-Equ Factor Movements'!I68)/100)+103/POWER(1+('CurrentPor-Equ Factor Movements'!D68+'CurrentPor-Equ Factor Movements'!I68)/100,2))*100</f>
        <v>9581.4547115644182</v>
      </c>
      <c r="F68">
        <f>Portfolio!B$5*'CurrentPor-Equ Factor Movements'!E68</f>
        <v>51809.408162026884</v>
      </c>
      <c r="G68">
        <f>Portfolio!B$6*'CurrentPor-Equ Factor Movements'!F68</f>
        <v>3887.1389157128233</v>
      </c>
      <c r="H68">
        <f>Portfolio!B$7*'CurrentPor-Equ Factor Movements'!J68</f>
        <v>2148.0998964419859</v>
      </c>
      <c r="I68">
        <f t="shared" ref="I68:I131" si="2">SUM(B68:H68)</f>
        <v>96349.8943772356</v>
      </c>
      <c r="J68">
        <f t="shared" si="1"/>
        <v>-117.32275010074954</v>
      </c>
    </row>
    <row r="69" spans="1:10">
      <c r="A69" s="1">
        <v>45566</v>
      </c>
      <c r="B69">
        <f>(3/(1+('CurrentPor-Equ Factor Movements'!C69)/100)+103/POWER(1+('CurrentPor-Equ Factor Movements'!D69)/100,2))*100</f>
        <v>9707.5857774288397</v>
      </c>
      <c r="C69">
        <f>(3/(1+('CurrentPor-Equ Factor Movements'!C69+'CurrentPor-Equ Factor Movements'!G69)/100)+103/POWER(1+('CurrentPor-Equ Factor Movements'!D69+'CurrentPor-Equ Factor Movements'!G69)/100,2))*100</f>
        <v>9614.9673582483465</v>
      </c>
      <c r="D69">
        <f>(3/(1+('CurrentPor-Equ Factor Movements'!C69+'CurrentPor-Equ Factor Movements'!H69)/100)+103/POWER(1+('CurrentPor-Equ Factor Movements'!D69+'CurrentPor-Equ Factor Movements'!H69)/100,2))*100</f>
        <v>9601.2395558122898</v>
      </c>
      <c r="E69">
        <f>(3/(1+('CurrentPor-Equ Factor Movements'!C69+'CurrentPor-Equ Factor Movements'!I69)/100)+103/POWER(1+('CurrentPor-Equ Factor Movements'!D69+'CurrentPor-Equ Factor Movements'!I69)/100,2))*100</f>
        <v>9581.4547115644182</v>
      </c>
      <c r="F69">
        <f>Portfolio!B$5*'CurrentPor-Equ Factor Movements'!E69</f>
        <v>52106.811410363938</v>
      </c>
      <c r="G69">
        <f>Portfolio!B$6*'CurrentPor-Equ Factor Movements'!F69</f>
        <v>3817.7538871691117</v>
      </c>
      <c r="H69">
        <f>Portfolio!B$7*'CurrentPor-Equ Factor Movements'!J69</f>
        <v>2148.0998964419859</v>
      </c>
      <c r="I69">
        <f t="shared" si="2"/>
        <v>96577.912597028917</v>
      </c>
      <c r="J69">
        <f t="shared" si="1"/>
        <v>-457.61001612836844</v>
      </c>
    </row>
    <row r="70" spans="1:10">
      <c r="A70" s="1">
        <v>45567</v>
      </c>
      <c r="B70">
        <f>(3/(1+('CurrentPor-Equ Factor Movements'!C70)/100)+103/POWER(1+('CurrentPor-Equ Factor Movements'!D70)/100,2))*100</f>
        <v>9707.5857774288397</v>
      </c>
      <c r="C70">
        <f>(3/(1+('CurrentPor-Equ Factor Movements'!C70+'CurrentPor-Equ Factor Movements'!G70)/100)+103/POWER(1+('CurrentPor-Equ Factor Movements'!D70+'CurrentPor-Equ Factor Movements'!G70)/100,2))*100</f>
        <v>9614.9673582483465</v>
      </c>
      <c r="D70">
        <f>(3/(1+('CurrentPor-Equ Factor Movements'!C70+'CurrentPor-Equ Factor Movements'!H70)/100)+103/POWER(1+('CurrentPor-Equ Factor Movements'!D70+'CurrentPor-Equ Factor Movements'!H70)/100,2))*100</f>
        <v>9601.2395558122898</v>
      </c>
      <c r="E70">
        <f>(3/(1+('CurrentPor-Equ Factor Movements'!C70+'CurrentPor-Equ Factor Movements'!I70)/100)+103/POWER(1+('CurrentPor-Equ Factor Movements'!D70+'CurrentPor-Equ Factor Movements'!I70)/100,2))*100</f>
        <v>9581.4547115644182</v>
      </c>
      <c r="F70">
        <f>Portfolio!B$5*'CurrentPor-Equ Factor Movements'!E70</f>
        <v>51963.760474574097</v>
      </c>
      <c r="G70">
        <f>Portfolio!B$6*'CurrentPor-Equ Factor Movements'!F70</f>
        <v>3661.9308886075032</v>
      </c>
      <c r="H70">
        <f>Portfolio!B$7*'CurrentPor-Equ Factor Movements'!J70</f>
        <v>2148.0998964419859</v>
      </c>
      <c r="I70">
        <f t="shared" si="2"/>
        <v>96279.038662677485</v>
      </c>
      <c r="J70">
        <f t="shared" si="1"/>
        <v>862.05918697379821</v>
      </c>
    </row>
    <row r="71" spans="1:10">
      <c r="A71" s="1">
        <v>45568</v>
      </c>
      <c r="B71">
        <f>(3/(1+('CurrentPor-Equ Factor Movements'!C71)/100)+103/POWER(1+('CurrentPor-Equ Factor Movements'!D71)/100,2))*100</f>
        <v>9707.5857774288397</v>
      </c>
      <c r="C71">
        <f>(3/(1+('CurrentPor-Equ Factor Movements'!C71+'CurrentPor-Equ Factor Movements'!G71)/100)+103/POWER(1+('CurrentPor-Equ Factor Movements'!D71+'CurrentPor-Equ Factor Movements'!G71)/100,2))*100</f>
        <v>9614.9673582483465</v>
      </c>
      <c r="D71">
        <f>(3/(1+('CurrentPor-Equ Factor Movements'!C71+'CurrentPor-Equ Factor Movements'!H71)/100)+103/POWER(1+('CurrentPor-Equ Factor Movements'!D71+'CurrentPor-Equ Factor Movements'!H71)/100,2))*100</f>
        <v>9601.2395558122898</v>
      </c>
      <c r="E71">
        <f>(3/(1+('CurrentPor-Equ Factor Movements'!C71+'CurrentPor-Equ Factor Movements'!I71)/100)+103/POWER(1+('CurrentPor-Equ Factor Movements'!D71+'CurrentPor-Equ Factor Movements'!I71)/100,2))*100</f>
        <v>9581.4547115644182</v>
      </c>
      <c r="F71">
        <f>Portfolio!B$5*'CurrentPor-Equ Factor Movements'!E71</f>
        <v>50517.360342139174</v>
      </c>
      <c r="G71">
        <f>Portfolio!B$6*'CurrentPor-Equ Factor Movements'!F71</f>
        <v>3421.4608536746646</v>
      </c>
      <c r="H71">
        <f>Portfolio!B$7*'CurrentPor-Equ Factor Movements'!J71</f>
        <v>2148.0998964419859</v>
      </c>
      <c r="I71">
        <f t="shared" si="2"/>
        <v>94592.168495309714</v>
      </c>
      <c r="J71">
        <f t="shared" si="1"/>
        <v>-2063.2082858305512</v>
      </c>
    </row>
    <row r="72" spans="1:10">
      <c r="A72" s="1">
        <v>45569</v>
      </c>
      <c r="B72">
        <f>(3/(1+('CurrentPor-Equ Factor Movements'!C72)/100)+103/POWER(1+('CurrentPor-Equ Factor Movements'!D72)/100,2))*100</f>
        <v>9707.5857774288397</v>
      </c>
      <c r="C72">
        <f>(3/(1+('CurrentPor-Equ Factor Movements'!C72+'CurrentPor-Equ Factor Movements'!G72)/100)+103/POWER(1+('CurrentPor-Equ Factor Movements'!D72+'CurrentPor-Equ Factor Movements'!G72)/100,2))*100</f>
        <v>9614.9673582483465</v>
      </c>
      <c r="D72">
        <f>(3/(1+('CurrentPor-Equ Factor Movements'!C72+'CurrentPor-Equ Factor Movements'!H72)/100)+103/POWER(1+('CurrentPor-Equ Factor Movements'!D72+'CurrentPor-Equ Factor Movements'!H72)/100,2))*100</f>
        <v>9601.2395558122898</v>
      </c>
      <c r="E72">
        <f>(3/(1+('CurrentPor-Equ Factor Movements'!C72+'CurrentPor-Equ Factor Movements'!I72)/100)+103/POWER(1+('CurrentPor-Equ Factor Movements'!D72+'CurrentPor-Equ Factor Movements'!I72)/100,2))*100</f>
        <v>9581.4547115644182</v>
      </c>
      <c r="F72">
        <f>Portfolio!B$5*'CurrentPor-Equ Factor Movements'!E72</f>
        <v>50772.189019385485</v>
      </c>
      <c r="G72">
        <f>Portfolio!B$6*'CurrentPor-Equ Factor Movements'!F72</f>
        <v>3522.3102431270368</v>
      </c>
      <c r="H72">
        <f>Portfolio!B$7*'CurrentPor-Equ Factor Movements'!J72</f>
        <v>2148.0998964419859</v>
      </c>
      <c r="I72">
        <f t="shared" si="2"/>
        <v>94947.846562008403</v>
      </c>
      <c r="J72">
        <f t="shared" si="1"/>
        <v>-3240.3033645354444</v>
      </c>
    </row>
    <row r="73" spans="1:10">
      <c r="A73" s="1">
        <v>45572</v>
      </c>
      <c r="B73">
        <f>(3/(1+('CurrentPor-Equ Factor Movements'!C73)/100)+103/POWER(1+('CurrentPor-Equ Factor Movements'!D73)/100,2))*100</f>
        <v>9707.5857774288397</v>
      </c>
      <c r="C73">
        <f>(3/(1+('CurrentPor-Equ Factor Movements'!C73+'CurrentPor-Equ Factor Movements'!G73)/100)+103/POWER(1+('CurrentPor-Equ Factor Movements'!D73+'CurrentPor-Equ Factor Movements'!G73)/100,2))*100</f>
        <v>9614.9673582483465</v>
      </c>
      <c r="D73">
        <f>(3/(1+('CurrentPor-Equ Factor Movements'!C73+'CurrentPor-Equ Factor Movements'!H73)/100)+103/POWER(1+('CurrentPor-Equ Factor Movements'!D73+'CurrentPor-Equ Factor Movements'!H73)/100,2))*100</f>
        <v>9601.2395558122898</v>
      </c>
      <c r="E73">
        <f>(3/(1+('CurrentPor-Equ Factor Movements'!C73+'CurrentPor-Equ Factor Movements'!I73)/100)+103/POWER(1+('CurrentPor-Equ Factor Movements'!D73+'CurrentPor-Equ Factor Movements'!I73)/100,2))*100</f>
        <v>9581.4547115644182</v>
      </c>
      <c r="F73">
        <f>Portfolio!B$5*'CurrentPor-Equ Factor Movements'!E73</f>
        <v>51731.698614699562</v>
      </c>
      <c r="G73">
        <f>Portfolio!B$6*'CurrentPor-Equ Factor Movements'!F73</f>
        <v>3602.618245714204</v>
      </c>
      <c r="H73">
        <f>Portfolio!B$7*'CurrentPor-Equ Factor Movements'!J73</f>
        <v>2148.0998964419859</v>
      </c>
      <c r="I73">
        <f t="shared" si="2"/>
        <v>95987.664159909633</v>
      </c>
      <c r="J73">
        <f t="shared" si="1"/>
        <v>-1327.3653253923112</v>
      </c>
    </row>
    <row r="74" spans="1:10">
      <c r="A74" s="1">
        <v>45573</v>
      </c>
      <c r="B74">
        <f>(3/(1+('CurrentPor-Equ Factor Movements'!C74)/100)+103/POWER(1+('CurrentPor-Equ Factor Movements'!D74)/100,2))*100</f>
        <v>9707.5857774288397</v>
      </c>
      <c r="C74">
        <f>(3/(1+('CurrentPor-Equ Factor Movements'!C74+'CurrentPor-Equ Factor Movements'!G74)/100)+103/POWER(1+('CurrentPor-Equ Factor Movements'!D74+'CurrentPor-Equ Factor Movements'!G74)/100,2))*100</f>
        <v>9614.9673582483465</v>
      </c>
      <c r="D74">
        <f>(3/(1+('CurrentPor-Equ Factor Movements'!C74+'CurrentPor-Equ Factor Movements'!H74)/100)+103/POWER(1+('CurrentPor-Equ Factor Movements'!D74+'CurrentPor-Equ Factor Movements'!H74)/100,2))*100</f>
        <v>9601.2395558122898</v>
      </c>
      <c r="E74">
        <f>(3/(1+('CurrentPor-Equ Factor Movements'!C74+'CurrentPor-Equ Factor Movements'!I74)/100)+103/POWER(1+('CurrentPor-Equ Factor Movements'!D74+'CurrentPor-Equ Factor Movements'!I74)/100,2))*100</f>
        <v>9581.4547115644182</v>
      </c>
      <c r="F74">
        <f>Portfolio!B$5*'CurrentPor-Equ Factor Movements'!E74</f>
        <v>52543.073217534256</v>
      </c>
      <c r="G74">
        <f>Portfolio!B$6*'CurrentPor-Equ Factor Movements'!F74</f>
        <v>3723.4504262236492</v>
      </c>
      <c r="H74">
        <f>Portfolio!B$7*'CurrentPor-Equ Factor Movements'!J74</f>
        <v>2148.0998964419859</v>
      </c>
      <c r="I74">
        <f t="shared" si="2"/>
        <v>96919.870943253773</v>
      </c>
      <c r="J74">
        <f t="shared" si="1"/>
        <v>456.57021352677839</v>
      </c>
    </row>
    <row r="75" spans="1:10">
      <c r="A75" s="1">
        <v>45574</v>
      </c>
      <c r="B75">
        <f>(3/(1+('CurrentPor-Equ Factor Movements'!C75)/100)+103/POWER(1+('CurrentPor-Equ Factor Movements'!D75)/100,2))*100</f>
        <v>9707.5857774288397</v>
      </c>
      <c r="C75">
        <f>(3/(1+('CurrentPor-Equ Factor Movements'!C75+'CurrentPor-Equ Factor Movements'!G75)/100)+103/POWER(1+('CurrentPor-Equ Factor Movements'!D75+'CurrentPor-Equ Factor Movements'!G75)/100,2))*100</f>
        <v>9614.9673582483465</v>
      </c>
      <c r="D75">
        <f>(3/(1+('CurrentPor-Equ Factor Movements'!C75+'CurrentPor-Equ Factor Movements'!H75)/100)+103/POWER(1+('CurrentPor-Equ Factor Movements'!D75+'CurrentPor-Equ Factor Movements'!H75)/100,2))*100</f>
        <v>9601.2395558122898</v>
      </c>
      <c r="E75">
        <f>(3/(1+('CurrentPor-Equ Factor Movements'!C75+'CurrentPor-Equ Factor Movements'!I75)/100)+103/POWER(1+('CurrentPor-Equ Factor Movements'!D75+'CurrentPor-Equ Factor Movements'!I75)/100,2))*100</f>
        <v>9581.4547115644182</v>
      </c>
      <c r="F75">
        <f>Portfolio!B$5*'CurrentPor-Equ Factor Movements'!E75</f>
        <v>53058.644878684325</v>
      </c>
      <c r="G75">
        <f>Portfolio!B$6*'CurrentPor-Equ Factor Movements'!F75</f>
        <v>3859.3047701854489</v>
      </c>
      <c r="H75">
        <f>Portfolio!B$7*'CurrentPor-Equ Factor Movements'!J75</f>
        <v>2148.0998964419859</v>
      </c>
      <c r="I75">
        <f t="shared" si="2"/>
        <v>97571.296948365663</v>
      </c>
      <c r="J75">
        <f t="shared" si="1"/>
        <v>1254.460077855445</v>
      </c>
    </row>
    <row r="76" spans="1:10">
      <c r="A76" s="1">
        <v>45575</v>
      </c>
      <c r="B76">
        <f>(3/(1+('CurrentPor-Equ Factor Movements'!C76)/100)+103/POWER(1+('CurrentPor-Equ Factor Movements'!D76)/100,2))*100</f>
        <v>9707.5857774288397</v>
      </c>
      <c r="C76">
        <f>(3/(1+('CurrentPor-Equ Factor Movements'!C76+'CurrentPor-Equ Factor Movements'!G76)/100)+103/POWER(1+('CurrentPor-Equ Factor Movements'!D76+'CurrentPor-Equ Factor Movements'!G76)/100,2))*100</f>
        <v>9614.9673582483465</v>
      </c>
      <c r="D76">
        <f>(3/(1+('CurrentPor-Equ Factor Movements'!C76+'CurrentPor-Equ Factor Movements'!H76)/100)+103/POWER(1+('CurrentPor-Equ Factor Movements'!D76+'CurrentPor-Equ Factor Movements'!H76)/100,2))*100</f>
        <v>9601.2395558122898</v>
      </c>
      <c r="E76">
        <f>(3/(1+('CurrentPor-Equ Factor Movements'!C76+'CurrentPor-Equ Factor Movements'!I76)/100)+103/POWER(1+('CurrentPor-Equ Factor Movements'!D76+'CurrentPor-Equ Factor Movements'!I76)/100,2))*100</f>
        <v>9581.4547115644182</v>
      </c>
      <c r="F76">
        <f>Portfolio!B$5*'CurrentPor-Equ Factor Movements'!E76</f>
        <v>52684.773178507246</v>
      </c>
      <c r="G76">
        <f>Portfolio!B$6*'CurrentPor-Equ Factor Movements'!F76</f>
        <v>3440.9934910960269</v>
      </c>
      <c r="H76">
        <f>Portfolio!B$7*'CurrentPor-Equ Factor Movements'!J76</f>
        <v>2148.0998964419859</v>
      </c>
      <c r="I76">
        <f t="shared" si="2"/>
        <v>96779.113969099155</v>
      </c>
      <c r="J76">
        <f t="shared" si="1"/>
        <v>-1051.063258397975</v>
      </c>
    </row>
    <row r="77" spans="1:10">
      <c r="A77" s="1">
        <v>45576</v>
      </c>
      <c r="B77">
        <f>(3/(1+('CurrentPor-Equ Factor Movements'!C77)/100)+103/POWER(1+('CurrentPor-Equ Factor Movements'!D77)/100,2))*100</f>
        <v>9707.5857774288397</v>
      </c>
      <c r="C77">
        <f>(3/(1+('CurrentPor-Equ Factor Movements'!C77+'CurrentPor-Equ Factor Movements'!G77)/100)+103/POWER(1+('CurrentPor-Equ Factor Movements'!D77+'CurrentPor-Equ Factor Movements'!G77)/100,2))*100</f>
        <v>9614.9673582483465</v>
      </c>
      <c r="D77">
        <f>(3/(1+('CurrentPor-Equ Factor Movements'!C77+'CurrentPor-Equ Factor Movements'!H77)/100)+103/POWER(1+('CurrentPor-Equ Factor Movements'!D77+'CurrentPor-Equ Factor Movements'!H77)/100,2))*100</f>
        <v>9601.2395558122898</v>
      </c>
      <c r="E77">
        <f>(3/(1+('CurrentPor-Equ Factor Movements'!C77+'CurrentPor-Equ Factor Movements'!I77)/100)+103/POWER(1+('CurrentPor-Equ Factor Movements'!D77+'CurrentPor-Equ Factor Movements'!I77)/100,2))*100</f>
        <v>9581.4547115644182</v>
      </c>
      <c r="F77">
        <f>Portfolio!B$5*'CurrentPor-Equ Factor Movements'!E77</f>
        <v>53728.883621502588</v>
      </c>
      <c r="G77">
        <f>Portfolio!B$6*'CurrentPor-Equ Factor Movements'!F77</f>
        <v>3567.7632587277058</v>
      </c>
      <c r="H77">
        <f>Portfolio!B$7*'CurrentPor-Equ Factor Movements'!J77</f>
        <v>2148.0998964419859</v>
      </c>
      <c r="I77">
        <f t="shared" si="2"/>
        <v>97949.994179726171</v>
      </c>
      <c r="J77">
        <f t="shared" si="1"/>
        <v>-127.74105338835216</v>
      </c>
    </row>
    <row r="78" spans="1:10">
      <c r="A78" s="1">
        <v>45579</v>
      </c>
      <c r="B78">
        <f>(3/(1+('CurrentPor-Equ Factor Movements'!C78)/100)+103/POWER(1+('CurrentPor-Equ Factor Movements'!D78)/100,2))*100</f>
        <v>9707.5857774288397</v>
      </c>
      <c r="C78">
        <f>(3/(1+('CurrentPor-Equ Factor Movements'!C78+'CurrentPor-Equ Factor Movements'!G78)/100)+103/POWER(1+('CurrentPor-Equ Factor Movements'!D78+'CurrentPor-Equ Factor Movements'!G78)/100,2))*100</f>
        <v>9614.9673582483465</v>
      </c>
      <c r="D78">
        <f>(3/(1+('CurrentPor-Equ Factor Movements'!C78+'CurrentPor-Equ Factor Movements'!H78)/100)+103/POWER(1+('CurrentPor-Equ Factor Movements'!D78+'CurrentPor-Equ Factor Movements'!H78)/100,2))*100</f>
        <v>9601.2395558122898</v>
      </c>
      <c r="E78">
        <f>(3/(1+('CurrentPor-Equ Factor Movements'!C78+'CurrentPor-Equ Factor Movements'!I78)/100)+103/POWER(1+('CurrentPor-Equ Factor Movements'!D78+'CurrentPor-Equ Factor Movements'!I78)/100,2))*100</f>
        <v>9581.4547115644182</v>
      </c>
      <c r="F78">
        <f>Portfolio!B$5*'CurrentPor-Equ Factor Movements'!E78</f>
        <v>51095.75578329571</v>
      </c>
      <c r="G78">
        <f>Portfolio!B$6*'CurrentPor-Equ Factor Movements'!F78</f>
        <v>3636.1235403707774</v>
      </c>
      <c r="H78">
        <f>Portfolio!B$7*'CurrentPor-Equ Factor Movements'!J78</f>
        <v>2148.0998964419859</v>
      </c>
      <c r="I78">
        <f t="shared" si="2"/>
        <v>95385.22662316238</v>
      </c>
      <c r="J78">
        <f t="shared" ref="J78:J141" si="3">I78-I68</f>
        <v>-964.66775407321984</v>
      </c>
    </row>
    <row r="79" spans="1:10">
      <c r="A79" s="1">
        <v>45580</v>
      </c>
      <c r="B79">
        <f>(3/(1+('CurrentPor-Equ Factor Movements'!C79)/100)+103/POWER(1+('CurrentPor-Equ Factor Movements'!D79)/100,2))*100</f>
        <v>9707.5857774288397</v>
      </c>
      <c r="C79">
        <f>(3/(1+('CurrentPor-Equ Factor Movements'!C79+'CurrentPor-Equ Factor Movements'!G79)/100)+103/POWER(1+('CurrentPor-Equ Factor Movements'!D79+'CurrentPor-Equ Factor Movements'!G79)/100,2))*100</f>
        <v>9614.9673582483465</v>
      </c>
      <c r="D79">
        <f>(3/(1+('CurrentPor-Equ Factor Movements'!C79+'CurrentPor-Equ Factor Movements'!H79)/100)+103/POWER(1+('CurrentPor-Equ Factor Movements'!D79+'CurrentPor-Equ Factor Movements'!H79)/100,2))*100</f>
        <v>9601.2395558122898</v>
      </c>
      <c r="E79">
        <f>(3/(1+('CurrentPor-Equ Factor Movements'!C79+'CurrentPor-Equ Factor Movements'!I79)/100)+103/POWER(1+('CurrentPor-Equ Factor Movements'!D79+'CurrentPor-Equ Factor Movements'!I79)/100,2))*100</f>
        <v>9581.4547115644182</v>
      </c>
      <c r="F79">
        <f>Portfolio!B$5*'CurrentPor-Equ Factor Movements'!E79</f>
        <v>52442.784001604174</v>
      </c>
      <c r="G79">
        <f>Portfolio!B$6*'CurrentPor-Equ Factor Movements'!F79</f>
        <v>3451.8441146780879</v>
      </c>
      <c r="H79">
        <f>Portfolio!B$7*'CurrentPor-Equ Factor Movements'!J79</f>
        <v>2148.0998964419859</v>
      </c>
      <c r="I79">
        <f t="shared" si="2"/>
        <v>96547.975415778143</v>
      </c>
      <c r="J79">
        <f t="shared" si="3"/>
        <v>-29.937181250774302</v>
      </c>
    </row>
    <row r="80" spans="1:10">
      <c r="A80" s="1">
        <v>45581</v>
      </c>
      <c r="B80">
        <f>(3/(1+('CurrentPor-Equ Factor Movements'!C80)/100)+103/POWER(1+('CurrentPor-Equ Factor Movements'!D80)/100,2))*100</f>
        <v>9707.5857774288397</v>
      </c>
      <c r="C80">
        <f>(3/(1+('CurrentPor-Equ Factor Movements'!C80+'CurrentPor-Equ Factor Movements'!G80)/100)+103/POWER(1+('CurrentPor-Equ Factor Movements'!D80+'CurrentPor-Equ Factor Movements'!G80)/100,2))*100</f>
        <v>9614.9673582483465</v>
      </c>
      <c r="D80">
        <f>(3/(1+('CurrentPor-Equ Factor Movements'!C80+'CurrentPor-Equ Factor Movements'!H80)/100)+103/POWER(1+('CurrentPor-Equ Factor Movements'!D80+'CurrentPor-Equ Factor Movements'!H80)/100,2))*100</f>
        <v>9601.2395558122898</v>
      </c>
      <c r="E80">
        <f>(3/(1+('CurrentPor-Equ Factor Movements'!C80+'CurrentPor-Equ Factor Movements'!I80)/100)+103/POWER(1+('CurrentPor-Equ Factor Movements'!D80+'CurrentPor-Equ Factor Movements'!I80)/100,2))*100</f>
        <v>9581.4547115644182</v>
      </c>
      <c r="F80">
        <f>Portfolio!B$5*'CurrentPor-Equ Factor Movements'!E80</f>
        <v>51324.489245494238</v>
      </c>
      <c r="G80">
        <f>Portfolio!B$6*'CurrentPor-Equ Factor Movements'!F80</f>
        <v>3296.4519277322865</v>
      </c>
      <c r="H80">
        <f>Portfolio!B$7*'CurrentPor-Equ Factor Movements'!J80</f>
        <v>2148.0998964419859</v>
      </c>
      <c r="I80">
        <f t="shared" si="2"/>
        <v>95274.288472722401</v>
      </c>
      <c r="J80">
        <f t="shared" si="3"/>
        <v>-1004.7501899550844</v>
      </c>
    </row>
    <row r="81" spans="1:10">
      <c r="A81" s="1">
        <v>45582</v>
      </c>
      <c r="B81">
        <f>(3/(1+('CurrentPor-Equ Factor Movements'!C81)/100)+103/POWER(1+('CurrentPor-Equ Factor Movements'!D81)/100,2))*100</f>
        <v>9707.5857774288397</v>
      </c>
      <c r="C81">
        <f>(3/(1+('CurrentPor-Equ Factor Movements'!C81+'CurrentPor-Equ Factor Movements'!G81)/100)+103/POWER(1+('CurrentPor-Equ Factor Movements'!D81+'CurrentPor-Equ Factor Movements'!G81)/100,2))*100</f>
        <v>9614.9673582483465</v>
      </c>
      <c r="D81">
        <f>(3/(1+('CurrentPor-Equ Factor Movements'!C81+'CurrentPor-Equ Factor Movements'!H81)/100)+103/POWER(1+('CurrentPor-Equ Factor Movements'!D81+'CurrentPor-Equ Factor Movements'!H81)/100,2))*100</f>
        <v>9601.2395558122898</v>
      </c>
      <c r="E81">
        <f>(3/(1+('CurrentPor-Equ Factor Movements'!C81+'CurrentPor-Equ Factor Movements'!I81)/100)+103/POWER(1+('CurrentPor-Equ Factor Movements'!D81+'CurrentPor-Equ Factor Movements'!I81)/100,2))*100</f>
        <v>9581.4547115644182</v>
      </c>
      <c r="F81">
        <f>Portfolio!B$5*'CurrentPor-Equ Factor Movements'!E81</f>
        <v>51054.982754314813</v>
      </c>
      <c r="G81">
        <f>Portfolio!B$6*'CurrentPor-Equ Factor Movements'!F81</f>
        <v>3884.3388877012585</v>
      </c>
      <c r="H81">
        <f>Portfolio!B$7*'CurrentPor-Equ Factor Movements'!J81</f>
        <v>2148.0998964419859</v>
      </c>
      <c r="I81">
        <f t="shared" si="2"/>
        <v>95592.668941511947</v>
      </c>
      <c r="J81">
        <f t="shared" si="3"/>
        <v>1000.5004462022334</v>
      </c>
    </row>
    <row r="82" spans="1:10">
      <c r="A82" s="1">
        <v>45583</v>
      </c>
      <c r="B82">
        <f>(3/(1+('CurrentPor-Equ Factor Movements'!C82)/100)+103/POWER(1+('CurrentPor-Equ Factor Movements'!D82)/100,2))*100</f>
        <v>9707.5857774288397</v>
      </c>
      <c r="C82">
        <f>(3/(1+('CurrentPor-Equ Factor Movements'!C82+'CurrentPor-Equ Factor Movements'!G82)/100)+103/POWER(1+('CurrentPor-Equ Factor Movements'!D82+'CurrentPor-Equ Factor Movements'!G82)/100,2))*100</f>
        <v>9614.9673582483465</v>
      </c>
      <c r="D82">
        <f>(3/(1+('CurrentPor-Equ Factor Movements'!C82+'CurrentPor-Equ Factor Movements'!H82)/100)+103/POWER(1+('CurrentPor-Equ Factor Movements'!D82+'CurrentPor-Equ Factor Movements'!H82)/100,2))*100</f>
        <v>9601.2395558122898</v>
      </c>
      <c r="E82">
        <f>(3/(1+('CurrentPor-Equ Factor Movements'!C82+'CurrentPor-Equ Factor Movements'!I82)/100)+103/POWER(1+('CurrentPor-Equ Factor Movements'!D82+'CurrentPor-Equ Factor Movements'!I82)/100,2))*100</f>
        <v>9581.4547115644182</v>
      </c>
      <c r="F82">
        <f>Portfolio!B$5*'CurrentPor-Equ Factor Movements'!E82</f>
        <v>50065.524021553218</v>
      </c>
      <c r="G82">
        <f>Portfolio!B$6*'CurrentPor-Equ Factor Movements'!F82</f>
        <v>3619.7863612777246</v>
      </c>
      <c r="H82">
        <f>Portfolio!B$7*'CurrentPor-Equ Factor Movements'!J82</f>
        <v>2148.0998964419859</v>
      </c>
      <c r="I82">
        <f t="shared" si="2"/>
        <v>94338.657682326826</v>
      </c>
      <c r="J82">
        <f t="shared" si="3"/>
        <v>-609.18887968157651</v>
      </c>
    </row>
    <row r="83" spans="1:10">
      <c r="A83" s="1">
        <v>45586</v>
      </c>
      <c r="B83">
        <f>(3/(1+('CurrentPor-Equ Factor Movements'!C83)/100)+103/POWER(1+('CurrentPor-Equ Factor Movements'!D83)/100,2))*100</f>
        <v>9707.5857774288397</v>
      </c>
      <c r="C83">
        <f>(3/(1+('CurrentPor-Equ Factor Movements'!C83+'CurrentPor-Equ Factor Movements'!G83)/100)+103/POWER(1+('CurrentPor-Equ Factor Movements'!D83+'CurrentPor-Equ Factor Movements'!G83)/100,2))*100</f>
        <v>9614.9673582483465</v>
      </c>
      <c r="D83">
        <f>(3/(1+('CurrentPor-Equ Factor Movements'!C83+'CurrentPor-Equ Factor Movements'!H83)/100)+103/POWER(1+('CurrentPor-Equ Factor Movements'!D83+'CurrentPor-Equ Factor Movements'!H83)/100,2))*100</f>
        <v>9601.2395558122898</v>
      </c>
      <c r="E83">
        <f>(3/(1+('CurrentPor-Equ Factor Movements'!C83+'CurrentPor-Equ Factor Movements'!I83)/100)+103/POWER(1+('CurrentPor-Equ Factor Movements'!D83+'CurrentPor-Equ Factor Movements'!I83)/100,2))*100</f>
        <v>9581.4547115644182</v>
      </c>
      <c r="F83">
        <f>Portfolio!B$5*'CurrentPor-Equ Factor Movements'!E83</f>
        <v>52630.764188086025</v>
      </c>
      <c r="G83">
        <f>Portfolio!B$6*'CurrentPor-Equ Factor Movements'!F83</f>
        <v>3190.3766033590832</v>
      </c>
      <c r="H83">
        <f>Portfolio!B$7*'CurrentPor-Equ Factor Movements'!J83</f>
        <v>2148.0998964419859</v>
      </c>
      <c r="I83">
        <f t="shared" si="2"/>
        <v>96474.488090940984</v>
      </c>
      <c r="J83">
        <f t="shared" si="3"/>
        <v>486.82393103135109</v>
      </c>
    </row>
    <row r="84" spans="1:10">
      <c r="A84" s="1">
        <v>45587</v>
      </c>
      <c r="B84">
        <f>(3/(1+('CurrentPor-Equ Factor Movements'!C84)/100)+103/POWER(1+('CurrentPor-Equ Factor Movements'!D84)/100,2))*100</f>
        <v>9707.5857774288397</v>
      </c>
      <c r="C84">
        <f>(3/(1+('CurrentPor-Equ Factor Movements'!C84+'CurrentPor-Equ Factor Movements'!G84)/100)+103/POWER(1+('CurrentPor-Equ Factor Movements'!D84+'CurrentPor-Equ Factor Movements'!G84)/100,2))*100</f>
        <v>9614.9673582483465</v>
      </c>
      <c r="D84">
        <f>(3/(1+('CurrentPor-Equ Factor Movements'!C84+'CurrentPor-Equ Factor Movements'!H84)/100)+103/POWER(1+('CurrentPor-Equ Factor Movements'!D84+'CurrentPor-Equ Factor Movements'!H84)/100,2))*100</f>
        <v>9601.2395558122898</v>
      </c>
      <c r="E84">
        <f>(3/(1+('CurrentPor-Equ Factor Movements'!C84+'CurrentPor-Equ Factor Movements'!I84)/100)+103/POWER(1+('CurrentPor-Equ Factor Movements'!D84+'CurrentPor-Equ Factor Movements'!I84)/100,2))*100</f>
        <v>9581.4547115644182</v>
      </c>
      <c r="F84">
        <f>Portfolio!B$5*'CurrentPor-Equ Factor Movements'!E84</f>
        <v>50327.772887100982</v>
      </c>
      <c r="G84">
        <f>Portfolio!B$6*'CurrentPor-Equ Factor Movements'!F84</f>
        <v>3470.029907455792</v>
      </c>
      <c r="H84">
        <f>Portfolio!B$7*'CurrentPor-Equ Factor Movements'!J84</f>
        <v>2148.0998964419859</v>
      </c>
      <c r="I84">
        <f t="shared" si="2"/>
        <v>94451.15009405266</v>
      </c>
      <c r="J84">
        <f t="shared" si="3"/>
        <v>-2468.7208492011123</v>
      </c>
    </row>
    <row r="85" spans="1:10">
      <c r="A85" s="1">
        <v>45588</v>
      </c>
      <c r="B85">
        <f>(3/(1+('CurrentPor-Equ Factor Movements'!C85)/100)+103/POWER(1+('CurrentPor-Equ Factor Movements'!D85)/100,2))*100</f>
        <v>9707.5857774288397</v>
      </c>
      <c r="C85">
        <f>(3/(1+('CurrentPor-Equ Factor Movements'!C85+'CurrentPor-Equ Factor Movements'!G85)/100)+103/POWER(1+('CurrentPor-Equ Factor Movements'!D85+'CurrentPor-Equ Factor Movements'!G85)/100,2))*100</f>
        <v>9614.9673582483465</v>
      </c>
      <c r="D85">
        <f>(3/(1+('CurrentPor-Equ Factor Movements'!C85+'CurrentPor-Equ Factor Movements'!H85)/100)+103/POWER(1+('CurrentPor-Equ Factor Movements'!D85+'CurrentPor-Equ Factor Movements'!H85)/100,2))*100</f>
        <v>9601.2395558122898</v>
      </c>
      <c r="E85">
        <f>(3/(1+('CurrentPor-Equ Factor Movements'!C85+'CurrentPor-Equ Factor Movements'!I85)/100)+103/POWER(1+('CurrentPor-Equ Factor Movements'!D85+'CurrentPor-Equ Factor Movements'!I85)/100,2))*100</f>
        <v>9581.4547115644182</v>
      </c>
      <c r="F85">
        <f>Portfolio!B$5*'CurrentPor-Equ Factor Movements'!E85</f>
        <v>52450.71871005198</v>
      </c>
      <c r="G85">
        <f>Portfolio!B$6*'CurrentPor-Equ Factor Movements'!F85</f>
        <v>3678.5113066406998</v>
      </c>
      <c r="H85">
        <f>Portfolio!B$7*'CurrentPor-Equ Factor Movements'!J85</f>
        <v>2148.0998964419859</v>
      </c>
      <c r="I85">
        <f t="shared" si="2"/>
        <v>96782.577316188574</v>
      </c>
      <c r="J85">
        <f t="shared" si="3"/>
        <v>-788.71963217708981</v>
      </c>
    </row>
    <row r="86" spans="1:10">
      <c r="A86" s="1">
        <v>45589</v>
      </c>
      <c r="B86">
        <f>(3/(1+('CurrentPor-Equ Factor Movements'!C86)/100)+103/POWER(1+('CurrentPor-Equ Factor Movements'!D86)/100,2))*100</f>
        <v>9707.5857774288397</v>
      </c>
      <c r="C86">
        <f>(3/(1+('CurrentPor-Equ Factor Movements'!C86+'CurrentPor-Equ Factor Movements'!G86)/100)+103/POWER(1+('CurrentPor-Equ Factor Movements'!D86+'CurrentPor-Equ Factor Movements'!G86)/100,2))*100</f>
        <v>9614.9673582483465</v>
      </c>
      <c r="D86">
        <f>(3/(1+('CurrentPor-Equ Factor Movements'!C86+'CurrentPor-Equ Factor Movements'!H86)/100)+103/POWER(1+('CurrentPor-Equ Factor Movements'!D86+'CurrentPor-Equ Factor Movements'!H86)/100,2))*100</f>
        <v>9601.2395558122898</v>
      </c>
      <c r="E86">
        <f>(3/(1+('CurrentPor-Equ Factor Movements'!C86+'CurrentPor-Equ Factor Movements'!I86)/100)+103/POWER(1+('CurrentPor-Equ Factor Movements'!D86+'CurrentPor-Equ Factor Movements'!I86)/100,2))*100</f>
        <v>9581.4547115644182</v>
      </c>
      <c r="F86">
        <f>Portfolio!B$5*'CurrentPor-Equ Factor Movements'!E86</f>
        <v>51536.175151013711</v>
      </c>
      <c r="G86">
        <f>Portfolio!B$6*'CurrentPor-Equ Factor Movements'!F86</f>
        <v>3266.3660020704328</v>
      </c>
      <c r="H86">
        <f>Portfolio!B$7*'CurrentPor-Equ Factor Movements'!J86</f>
        <v>2148.0998964419859</v>
      </c>
      <c r="I86">
        <f t="shared" si="2"/>
        <v>95455.888452580009</v>
      </c>
      <c r="J86">
        <f t="shared" si="3"/>
        <v>-1323.2255165191455</v>
      </c>
    </row>
    <row r="87" spans="1:10">
      <c r="A87" s="1">
        <v>45590</v>
      </c>
      <c r="B87">
        <f>(3/(1+('CurrentPor-Equ Factor Movements'!C87)/100)+103/POWER(1+('CurrentPor-Equ Factor Movements'!D87)/100,2))*100</f>
        <v>9707.5857774288397</v>
      </c>
      <c r="C87">
        <f>(3/(1+('CurrentPor-Equ Factor Movements'!C87+'CurrentPor-Equ Factor Movements'!G87)/100)+103/POWER(1+('CurrentPor-Equ Factor Movements'!D87+'CurrentPor-Equ Factor Movements'!G87)/100,2))*100</f>
        <v>9614.9673582483465</v>
      </c>
      <c r="D87">
        <f>(3/(1+('CurrentPor-Equ Factor Movements'!C87+'CurrentPor-Equ Factor Movements'!H87)/100)+103/POWER(1+('CurrentPor-Equ Factor Movements'!D87+'CurrentPor-Equ Factor Movements'!H87)/100,2))*100</f>
        <v>9601.2395558122898</v>
      </c>
      <c r="E87">
        <f>(3/(1+('CurrentPor-Equ Factor Movements'!C87+'CurrentPor-Equ Factor Movements'!I87)/100)+103/POWER(1+('CurrentPor-Equ Factor Movements'!D87+'CurrentPor-Equ Factor Movements'!I87)/100,2))*100</f>
        <v>9581.4547115644182</v>
      </c>
      <c r="F87">
        <f>Portfolio!B$5*'CurrentPor-Equ Factor Movements'!E87</f>
        <v>51714.969430926707</v>
      </c>
      <c r="G87">
        <f>Portfolio!B$6*'CurrentPor-Equ Factor Movements'!F87</f>
        <v>3375.3214450807341</v>
      </c>
      <c r="H87">
        <f>Portfolio!B$7*'CurrentPor-Equ Factor Movements'!J87</f>
        <v>2148.0998964419859</v>
      </c>
      <c r="I87">
        <f t="shared" si="2"/>
        <v>95743.638175503322</v>
      </c>
      <c r="J87">
        <f t="shared" si="3"/>
        <v>-2206.3560042228492</v>
      </c>
    </row>
    <row r="88" spans="1:10">
      <c r="A88" s="1">
        <v>45593</v>
      </c>
      <c r="B88">
        <f>(3/(1+('CurrentPor-Equ Factor Movements'!C88)/100)+103/POWER(1+('CurrentPor-Equ Factor Movements'!D88)/100,2))*100</f>
        <v>9707.5857774288397</v>
      </c>
      <c r="C88">
        <f>(3/(1+('CurrentPor-Equ Factor Movements'!C88+'CurrentPor-Equ Factor Movements'!G88)/100)+103/POWER(1+('CurrentPor-Equ Factor Movements'!D88+'CurrentPor-Equ Factor Movements'!G88)/100,2))*100</f>
        <v>9614.9673582483465</v>
      </c>
      <c r="D88">
        <f>(3/(1+('CurrentPor-Equ Factor Movements'!C88+'CurrentPor-Equ Factor Movements'!H88)/100)+103/POWER(1+('CurrentPor-Equ Factor Movements'!D88+'CurrentPor-Equ Factor Movements'!H88)/100,2))*100</f>
        <v>9601.2395558122898</v>
      </c>
      <c r="E88">
        <f>(3/(1+('CurrentPor-Equ Factor Movements'!C88+'CurrentPor-Equ Factor Movements'!I88)/100)+103/POWER(1+('CurrentPor-Equ Factor Movements'!D88+'CurrentPor-Equ Factor Movements'!I88)/100,2))*100</f>
        <v>9581.4547115644182</v>
      </c>
      <c r="F88">
        <f>Portfolio!B$5*'CurrentPor-Equ Factor Movements'!E88</f>
        <v>52048.882112331128</v>
      </c>
      <c r="G88">
        <f>Portfolio!B$6*'CurrentPor-Equ Factor Movements'!F88</f>
        <v>3557.6750546470512</v>
      </c>
      <c r="H88">
        <f>Portfolio!B$7*'CurrentPor-Equ Factor Movements'!J88</f>
        <v>2148.0998964419859</v>
      </c>
      <c r="I88">
        <f t="shared" si="2"/>
        <v>96259.904466474065</v>
      </c>
      <c r="J88">
        <f t="shared" si="3"/>
        <v>874.67784331168514</v>
      </c>
    </row>
    <row r="89" spans="1:10">
      <c r="A89" s="1">
        <v>45594</v>
      </c>
      <c r="B89">
        <f>(3/(1+('CurrentPor-Equ Factor Movements'!C89)/100)+103/POWER(1+('CurrentPor-Equ Factor Movements'!D89)/100,2))*100</f>
        <v>9707.5857774288397</v>
      </c>
      <c r="C89">
        <f>(3/(1+('CurrentPor-Equ Factor Movements'!C89+'CurrentPor-Equ Factor Movements'!G89)/100)+103/POWER(1+('CurrentPor-Equ Factor Movements'!D89+'CurrentPor-Equ Factor Movements'!G89)/100,2))*100</f>
        <v>9614.9673582483465</v>
      </c>
      <c r="D89">
        <f>(3/(1+('CurrentPor-Equ Factor Movements'!C89+'CurrentPor-Equ Factor Movements'!H89)/100)+103/POWER(1+('CurrentPor-Equ Factor Movements'!D89+'CurrentPor-Equ Factor Movements'!H89)/100,2))*100</f>
        <v>9601.2395558122898</v>
      </c>
      <c r="E89">
        <f>(3/(1+('CurrentPor-Equ Factor Movements'!C89+'CurrentPor-Equ Factor Movements'!I89)/100)+103/POWER(1+('CurrentPor-Equ Factor Movements'!D89+'CurrentPor-Equ Factor Movements'!I89)/100,2))*100</f>
        <v>9581.4547115644182</v>
      </c>
      <c r="F89">
        <f>Portfolio!B$5*'CurrentPor-Equ Factor Movements'!E89</f>
        <v>51441.442644072209</v>
      </c>
      <c r="G89">
        <f>Portfolio!B$6*'CurrentPor-Equ Factor Movements'!F89</f>
        <v>3593.5791902463038</v>
      </c>
      <c r="H89">
        <f>Portfolio!B$7*'CurrentPor-Equ Factor Movements'!J89</f>
        <v>2148.0998964419859</v>
      </c>
      <c r="I89">
        <f t="shared" si="2"/>
        <v>95688.369133814398</v>
      </c>
      <c r="J89">
        <f t="shared" si="3"/>
        <v>-859.60628196374455</v>
      </c>
    </row>
    <row r="90" spans="1:10">
      <c r="A90" s="1">
        <v>45595</v>
      </c>
      <c r="B90">
        <f>(3/(1+('CurrentPor-Equ Factor Movements'!C90)/100)+103/POWER(1+('CurrentPor-Equ Factor Movements'!D90)/100,2))*100</f>
        <v>9707.5857774288397</v>
      </c>
      <c r="C90">
        <f>(3/(1+('CurrentPor-Equ Factor Movements'!C90+'CurrentPor-Equ Factor Movements'!G90)/100)+103/POWER(1+('CurrentPor-Equ Factor Movements'!D90+'CurrentPor-Equ Factor Movements'!G90)/100,2))*100</f>
        <v>9614.9673582483465</v>
      </c>
      <c r="D90">
        <f>(3/(1+('CurrentPor-Equ Factor Movements'!C90+'CurrentPor-Equ Factor Movements'!H90)/100)+103/POWER(1+('CurrentPor-Equ Factor Movements'!D90+'CurrentPor-Equ Factor Movements'!H90)/100,2))*100</f>
        <v>9601.2395558122898</v>
      </c>
      <c r="E90">
        <f>(3/(1+('CurrentPor-Equ Factor Movements'!C90+'CurrentPor-Equ Factor Movements'!I90)/100)+103/POWER(1+('CurrentPor-Equ Factor Movements'!D90+'CurrentPor-Equ Factor Movements'!I90)/100,2))*100</f>
        <v>9581.4547115644182</v>
      </c>
      <c r="F90">
        <f>Portfolio!B$5*'CurrentPor-Equ Factor Movements'!E90</f>
        <v>52135.320758712376</v>
      </c>
      <c r="G90">
        <f>Portfolio!B$6*'CurrentPor-Equ Factor Movements'!F90</f>
        <v>3985.2168698482492</v>
      </c>
      <c r="H90">
        <f>Portfolio!B$7*'CurrentPor-Equ Factor Movements'!J90</f>
        <v>2148.0998964419859</v>
      </c>
      <c r="I90">
        <f t="shared" si="2"/>
        <v>96773.884928056519</v>
      </c>
      <c r="J90">
        <f t="shared" si="3"/>
        <v>1499.5964553341182</v>
      </c>
    </row>
    <row r="91" spans="1:10">
      <c r="A91" s="1">
        <v>45596</v>
      </c>
      <c r="B91">
        <f>(3/(1+('CurrentPor-Equ Factor Movements'!C91)/100)+103/POWER(1+('CurrentPor-Equ Factor Movements'!D91)/100,2))*100</f>
        <v>9707.5857774288397</v>
      </c>
      <c r="C91">
        <f>(3/(1+('CurrentPor-Equ Factor Movements'!C91+'CurrentPor-Equ Factor Movements'!G91)/100)+103/POWER(1+('CurrentPor-Equ Factor Movements'!D91+'CurrentPor-Equ Factor Movements'!G91)/100,2))*100</f>
        <v>9614.9673582483465</v>
      </c>
      <c r="D91">
        <f>(3/(1+('CurrentPor-Equ Factor Movements'!C91+'CurrentPor-Equ Factor Movements'!H91)/100)+103/POWER(1+('CurrentPor-Equ Factor Movements'!D91+'CurrentPor-Equ Factor Movements'!H91)/100,2))*100</f>
        <v>9601.2395558122898</v>
      </c>
      <c r="E91">
        <f>(3/(1+('CurrentPor-Equ Factor Movements'!C91+'CurrentPor-Equ Factor Movements'!I91)/100)+103/POWER(1+('CurrentPor-Equ Factor Movements'!D91+'CurrentPor-Equ Factor Movements'!I91)/100,2))*100</f>
        <v>9581.4547115644182</v>
      </c>
      <c r="F91">
        <f>Portfolio!B$5*'CurrentPor-Equ Factor Movements'!E91</f>
        <v>52547.126336773508</v>
      </c>
      <c r="G91">
        <f>Portfolio!B$6*'CurrentPor-Equ Factor Movements'!F91</f>
        <v>3336.9281534794359</v>
      </c>
      <c r="H91">
        <f>Portfolio!B$7*'CurrentPor-Equ Factor Movements'!J91</f>
        <v>2148.0998964419859</v>
      </c>
      <c r="I91">
        <f t="shared" si="2"/>
        <v>96537.401789748823</v>
      </c>
      <c r="J91">
        <f t="shared" si="3"/>
        <v>944.73284823687572</v>
      </c>
    </row>
    <row r="92" spans="1:10">
      <c r="A92" s="1">
        <v>45597</v>
      </c>
      <c r="B92">
        <f>(3/(1+('CurrentPor-Equ Factor Movements'!C92)/100)+103/POWER(1+('CurrentPor-Equ Factor Movements'!D92)/100,2))*100</f>
        <v>9707.5857774288397</v>
      </c>
      <c r="C92">
        <f>(3/(1+('CurrentPor-Equ Factor Movements'!C92+'CurrentPor-Equ Factor Movements'!G92)/100)+103/POWER(1+('CurrentPor-Equ Factor Movements'!D92+'CurrentPor-Equ Factor Movements'!G92)/100,2))*100</f>
        <v>9614.9673582483465</v>
      </c>
      <c r="D92">
        <f>(3/(1+('CurrentPor-Equ Factor Movements'!C92+'CurrentPor-Equ Factor Movements'!H92)/100)+103/POWER(1+('CurrentPor-Equ Factor Movements'!D92+'CurrentPor-Equ Factor Movements'!H92)/100,2))*100</f>
        <v>9601.2395558122898</v>
      </c>
      <c r="E92">
        <f>(3/(1+('CurrentPor-Equ Factor Movements'!C92+'CurrentPor-Equ Factor Movements'!I92)/100)+103/POWER(1+('CurrentPor-Equ Factor Movements'!D92+'CurrentPor-Equ Factor Movements'!I92)/100,2))*100</f>
        <v>9581.4547115644182</v>
      </c>
      <c r="F92">
        <f>Portfolio!B$5*'CurrentPor-Equ Factor Movements'!E92</f>
        <v>52492.422847234855</v>
      </c>
      <c r="G92">
        <f>Portfolio!B$6*'CurrentPor-Equ Factor Movements'!F92</f>
        <v>3728.8061425361457</v>
      </c>
      <c r="H92">
        <f>Portfolio!B$7*'CurrentPor-Equ Factor Movements'!J92</f>
        <v>2148.0998964419859</v>
      </c>
      <c r="I92">
        <f t="shared" si="2"/>
        <v>96874.576289266886</v>
      </c>
      <c r="J92">
        <f t="shared" si="3"/>
        <v>2535.9186069400603</v>
      </c>
    </row>
    <row r="93" spans="1:10">
      <c r="A93" s="1">
        <v>45600</v>
      </c>
      <c r="B93">
        <f>(3/(1+('CurrentPor-Equ Factor Movements'!C93)/100)+103/POWER(1+('CurrentPor-Equ Factor Movements'!D93)/100,2))*100</f>
        <v>9707.5857774288397</v>
      </c>
      <c r="C93">
        <f>(3/(1+('CurrentPor-Equ Factor Movements'!C93+'CurrentPor-Equ Factor Movements'!G93)/100)+103/POWER(1+('CurrentPor-Equ Factor Movements'!D93+'CurrentPor-Equ Factor Movements'!G93)/100,2))*100</f>
        <v>9614.9673582483465</v>
      </c>
      <c r="D93">
        <f>(3/(1+('CurrentPor-Equ Factor Movements'!C93+'CurrentPor-Equ Factor Movements'!H93)/100)+103/POWER(1+('CurrentPor-Equ Factor Movements'!D93+'CurrentPor-Equ Factor Movements'!H93)/100,2))*100</f>
        <v>9601.2395558122898</v>
      </c>
      <c r="E93">
        <f>(3/(1+('CurrentPor-Equ Factor Movements'!C93+'CurrentPor-Equ Factor Movements'!I93)/100)+103/POWER(1+('CurrentPor-Equ Factor Movements'!D93+'CurrentPor-Equ Factor Movements'!I93)/100,2))*100</f>
        <v>9581.4547115644182</v>
      </c>
      <c r="F93">
        <f>Portfolio!B$5*'CurrentPor-Equ Factor Movements'!E93</f>
        <v>52220.713424205329</v>
      </c>
      <c r="G93">
        <f>Portfolio!B$6*'CurrentPor-Equ Factor Movements'!F93</f>
        <v>3165.0322904748691</v>
      </c>
      <c r="H93">
        <f>Portfolio!B$7*'CurrentPor-Equ Factor Movements'!J93</f>
        <v>2148.0998964419859</v>
      </c>
      <c r="I93">
        <f t="shared" si="2"/>
        <v>96039.093014176091</v>
      </c>
      <c r="J93">
        <f t="shared" si="3"/>
        <v>-435.39507676489302</v>
      </c>
    </row>
    <row r="94" spans="1:10">
      <c r="A94" s="1">
        <v>45601</v>
      </c>
      <c r="B94">
        <f>(3/(1+('CurrentPor-Equ Factor Movements'!C94)/100)+103/POWER(1+('CurrentPor-Equ Factor Movements'!D94)/100,2))*100</f>
        <v>9707.5857774288397</v>
      </c>
      <c r="C94">
        <f>(3/(1+('CurrentPor-Equ Factor Movements'!C94+'CurrentPor-Equ Factor Movements'!G94)/100)+103/POWER(1+('CurrentPor-Equ Factor Movements'!D94+'CurrentPor-Equ Factor Movements'!G94)/100,2))*100</f>
        <v>9614.9673582483465</v>
      </c>
      <c r="D94">
        <f>(3/(1+('CurrentPor-Equ Factor Movements'!C94+'CurrentPor-Equ Factor Movements'!H94)/100)+103/POWER(1+('CurrentPor-Equ Factor Movements'!D94+'CurrentPor-Equ Factor Movements'!H94)/100,2))*100</f>
        <v>9601.2395558122898</v>
      </c>
      <c r="E94">
        <f>(3/(1+('CurrentPor-Equ Factor Movements'!C94+'CurrentPor-Equ Factor Movements'!I94)/100)+103/POWER(1+('CurrentPor-Equ Factor Movements'!D94+'CurrentPor-Equ Factor Movements'!I94)/100,2))*100</f>
        <v>9581.4547115644182</v>
      </c>
      <c r="F94">
        <f>Portfolio!B$5*'CurrentPor-Equ Factor Movements'!E94</f>
        <v>51564.888691324413</v>
      </c>
      <c r="G94">
        <f>Portfolio!B$6*'CurrentPor-Equ Factor Movements'!F94</f>
        <v>3662.0235715193717</v>
      </c>
      <c r="H94">
        <f>Portfolio!B$7*'CurrentPor-Equ Factor Movements'!J94</f>
        <v>2148.0998964419859</v>
      </c>
      <c r="I94">
        <f t="shared" si="2"/>
        <v>95880.259562339663</v>
      </c>
      <c r="J94">
        <f t="shared" si="3"/>
        <v>1429.1094682870025</v>
      </c>
    </row>
    <row r="95" spans="1:10">
      <c r="A95" s="1">
        <v>45602</v>
      </c>
      <c r="B95">
        <f>(3/(1+('CurrentPor-Equ Factor Movements'!C95)/100)+103/POWER(1+('CurrentPor-Equ Factor Movements'!D95)/100,2))*100</f>
        <v>9707.5857774288397</v>
      </c>
      <c r="C95">
        <f>(3/(1+('CurrentPor-Equ Factor Movements'!C95+'CurrentPor-Equ Factor Movements'!G95)/100)+103/POWER(1+('CurrentPor-Equ Factor Movements'!D95+'CurrentPor-Equ Factor Movements'!G95)/100,2))*100</f>
        <v>9614.9673582483465</v>
      </c>
      <c r="D95">
        <f>(3/(1+('CurrentPor-Equ Factor Movements'!C95+'CurrentPor-Equ Factor Movements'!H95)/100)+103/POWER(1+('CurrentPor-Equ Factor Movements'!D95+'CurrentPor-Equ Factor Movements'!H95)/100,2))*100</f>
        <v>9601.2395558122898</v>
      </c>
      <c r="E95">
        <f>(3/(1+('CurrentPor-Equ Factor Movements'!C95+'CurrentPor-Equ Factor Movements'!I95)/100)+103/POWER(1+('CurrentPor-Equ Factor Movements'!D95+'CurrentPor-Equ Factor Movements'!I95)/100,2))*100</f>
        <v>9581.4547115644182</v>
      </c>
      <c r="F95">
        <f>Portfolio!B$5*'CurrentPor-Equ Factor Movements'!E95</f>
        <v>53610.897363457174</v>
      </c>
      <c r="G95">
        <f>Portfolio!B$6*'CurrentPor-Equ Factor Movements'!F95</f>
        <v>3693.753284053686</v>
      </c>
      <c r="H95">
        <f>Portfolio!B$7*'CurrentPor-Equ Factor Movements'!J95</f>
        <v>2148.0998964419859</v>
      </c>
      <c r="I95">
        <f t="shared" si="2"/>
        <v>97957.997947006748</v>
      </c>
      <c r="J95">
        <f t="shared" si="3"/>
        <v>1175.4206308181747</v>
      </c>
    </row>
    <row r="96" spans="1:10">
      <c r="A96" s="1">
        <v>45603</v>
      </c>
      <c r="B96">
        <f>(3/(1+('CurrentPor-Equ Factor Movements'!C96)/100)+103/POWER(1+('CurrentPor-Equ Factor Movements'!D96)/100,2))*100</f>
        <v>9707.5857774288397</v>
      </c>
      <c r="C96">
        <f>(3/(1+('CurrentPor-Equ Factor Movements'!C96+'CurrentPor-Equ Factor Movements'!G96)/100)+103/POWER(1+('CurrentPor-Equ Factor Movements'!D96+'CurrentPor-Equ Factor Movements'!G96)/100,2))*100</f>
        <v>9614.9673582483465</v>
      </c>
      <c r="D96">
        <f>(3/(1+('CurrentPor-Equ Factor Movements'!C96+'CurrentPor-Equ Factor Movements'!H96)/100)+103/POWER(1+('CurrentPor-Equ Factor Movements'!D96+'CurrentPor-Equ Factor Movements'!H96)/100,2))*100</f>
        <v>9601.2395558122898</v>
      </c>
      <c r="E96">
        <f>(3/(1+('CurrentPor-Equ Factor Movements'!C96+'CurrentPor-Equ Factor Movements'!I96)/100)+103/POWER(1+('CurrentPor-Equ Factor Movements'!D96+'CurrentPor-Equ Factor Movements'!I96)/100,2))*100</f>
        <v>9581.4547115644182</v>
      </c>
      <c r="F96">
        <f>Portfolio!B$5*'CurrentPor-Equ Factor Movements'!E96</f>
        <v>51728.006995164222</v>
      </c>
      <c r="G96">
        <f>Portfolio!B$6*'CurrentPor-Equ Factor Movements'!F96</f>
        <v>3588.7458711016179</v>
      </c>
      <c r="H96">
        <f>Portfolio!B$7*'CurrentPor-Equ Factor Movements'!J96</f>
        <v>2148.0998964419859</v>
      </c>
      <c r="I96">
        <f t="shared" si="2"/>
        <v>95970.100165761731</v>
      </c>
      <c r="J96">
        <f t="shared" si="3"/>
        <v>514.21171318172128</v>
      </c>
    </row>
    <row r="97" spans="1:10">
      <c r="A97" s="1">
        <v>45604</v>
      </c>
      <c r="B97">
        <f>(3/(1+('CurrentPor-Equ Factor Movements'!C97)/100)+103/POWER(1+('CurrentPor-Equ Factor Movements'!D97)/100,2))*100</f>
        <v>9707.5857774288397</v>
      </c>
      <c r="C97">
        <f>(3/(1+('CurrentPor-Equ Factor Movements'!C97+'CurrentPor-Equ Factor Movements'!G97)/100)+103/POWER(1+('CurrentPor-Equ Factor Movements'!D97+'CurrentPor-Equ Factor Movements'!G97)/100,2))*100</f>
        <v>9614.9673582483465</v>
      </c>
      <c r="D97">
        <f>(3/(1+('CurrentPor-Equ Factor Movements'!C97+'CurrentPor-Equ Factor Movements'!H97)/100)+103/POWER(1+('CurrentPor-Equ Factor Movements'!D97+'CurrentPor-Equ Factor Movements'!H97)/100,2))*100</f>
        <v>9601.2395558122898</v>
      </c>
      <c r="E97">
        <f>(3/(1+('CurrentPor-Equ Factor Movements'!C97+'CurrentPor-Equ Factor Movements'!I97)/100)+103/POWER(1+('CurrentPor-Equ Factor Movements'!D97+'CurrentPor-Equ Factor Movements'!I97)/100,2))*100</f>
        <v>9581.4547115644182</v>
      </c>
      <c r="F97">
        <f>Portfolio!B$5*'CurrentPor-Equ Factor Movements'!E97</f>
        <v>52899.225924456106</v>
      </c>
      <c r="G97">
        <f>Portfolio!B$6*'CurrentPor-Equ Factor Movements'!F97</f>
        <v>3545.69154449905</v>
      </c>
      <c r="H97">
        <f>Portfolio!B$7*'CurrentPor-Equ Factor Movements'!J97</f>
        <v>2148.0998964419859</v>
      </c>
      <c r="I97">
        <f t="shared" si="2"/>
        <v>97098.26476845103</v>
      </c>
      <c r="J97">
        <f t="shared" si="3"/>
        <v>1354.6265929477086</v>
      </c>
    </row>
    <row r="98" spans="1:10">
      <c r="A98" s="1">
        <v>45607</v>
      </c>
      <c r="B98">
        <f>(3/(1+('CurrentPor-Equ Factor Movements'!C98)/100)+103/POWER(1+('CurrentPor-Equ Factor Movements'!D98)/100,2))*100</f>
        <v>9707.5857774288397</v>
      </c>
      <c r="C98">
        <f>(3/(1+('CurrentPor-Equ Factor Movements'!C98+'CurrentPor-Equ Factor Movements'!G98)/100)+103/POWER(1+('CurrentPor-Equ Factor Movements'!D98+'CurrentPor-Equ Factor Movements'!G98)/100,2))*100</f>
        <v>9614.9673582483465</v>
      </c>
      <c r="D98">
        <f>(3/(1+('CurrentPor-Equ Factor Movements'!C98+'CurrentPor-Equ Factor Movements'!H98)/100)+103/POWER(1+('CurrentPor-Equ Factor Movements'!D98+'CurrentPor-Equ Factor Movements'!H98)/100,2))*100</f>
        <v>9601.2395558122898</v>
      </c>
      <c r="E98">
        <f>(3/(1+('CurrentPor-Equ Factor Movements'!C98+'CurrentPor-Equ Factor Movements'!I98)/100)+103/POWER(1+('CurrentPor-Equ Factor Movements'!D98+'CurrentPor-Equ Factor Movements'!I98)/100,2))*100</f>
        <v>9581.4547115644182</v>
      </c>
      <c r="F98">
        <f>Portfolio!B$5*'CurrentPor-Equ Factor Movements'!E98</f>
        <v>51742.304384379247</v>
      </c>
      <c r="G98">
        <f>Portfolio!B$6*'CurrentPor-Equ Factor Movements'!F98</f>
        <v>3751.8331065102507</v>
      </c>
      <c r="H98">
        <f>Portfolio!B$7*'CurrentPor-Equ Factor Movements'!J98</f>
        <v>2148.0998964419859</v>
      </c>
      <c r="I98">
        <f t="shared" si="2"/>
        <v>96147.484790385381</v>
      </c>
      <c r="J98">
        <f t="shared" si="3"/>
        <v>-112.41967608868435</v>
      </c>
    </row>
    <row r="99" spans="1:10">
      <c r="A99" s="1">
        <v>45608</v>
      </c>
      <c r="B99">
        <f>(3/(1+('CurrentPor-Equ Factor Movements'!C99)/100)+103/POWER(1+('CurrentPor-Equ Factor Movements'!D99)/100,2))*100</f>
        <v>9707.5857774288397</v>
      </c>
      <c r="C99">
        <f>(3/(1+('CurrentPor-Equ Factor Movements'!C99+'CurrentPor-Equ Factor Movements'!G99)/100)+103/POWER(1+('CurrentPor-Equ Factor Movements'!D99+'CurrentPor-Equ Factor Movements'!G99)/100,2))*100</f>
        <v>9614.9673582483465</v>
      </c>
      <c r="D99">
        <f>(3/(1+('CurrentPor-Equ Factor Movements'!C99+'CurrentPor-Equ Factor Movements'!H99)/100)+103/POWER(1+('CurrentPor-Equ Factor Movements'!D99+'CurrentPor-Equ Factor Movements'!H99)/100,2))*100</f>
        <v>9601.2395558122898</v>
      </c>
      <c r="E99">
        <f>(3/(1+('CurrentPor-Equ Factor Movements'!C99+'CurrentPor-Equ Factor Movements'!I99)/100)+103/POWER(1+('CurrentPor-Equ Factor Movements'!D99+'CurrentPor-Equ Factor Movements'!I99)/100,2))*100</f>
        <v>9581.4547115644182</v>
      </c>
      <c r="F99">
        <f>Portfolio!B$5*'CurrentPor-Equ Factor Movements'!E99</f>
        <v>52904.843127843757</v>
      </c>
      <c r="G99">
        <f>Portfolio!B$6*'CurrentPor-Equ Factor Movements'!F99</f>
        <v>3458.2564281722448</v>
      </c>
      <c r="H99">
        <f>Portfolio!B$7*'CurrentPor-Equ Factor Movements'!J99</f>
        <v>2148.0998964419859</v>
      </c>
      <c r="I99">
        <f t="shared" si="2"/>
        <v>97016.44685551188</v>
      </c>
      <c r="J99">
        <f t="shared" si="3"/>
        <v>1328.077721697482</v>
      </c>
    </row>
    <row r="100" spans="1:10">
      <c r="A100" s="1">
        <v>45609</v>
      </c>
      <c r="B100">
        <f>(3/(1+('CurrentPor-Equ Factor Movements'!C100)/100)+103/POWER(1+('CurrentPor-Equ Factor Movements'!D100)/100,2))*100</f>
        <v>9707.5857774288397</v>
      </c>
      <c r="C100">
        <f>(3/(1+('CurrentPor-Equ Factor Movements'!C100+'CurrentPor-Equ Factor Movements'!G100)/100)+103/POWER(1+('CurrentPor-Equ Factor Movements'!D100+'CurrentPor-Equ Factor Movements'!G100)/100,2))*100</f>
        <v>9614.9673582483465</v>
      </c>
      <c r="D100">
        <f>(3/(1+('CurrentPor-Equ Factor Movements'!C100+'CurrentPor-Equ Factor Movements'!H100)/100)+103/POWER(1+('CurrentPor-Equ Factor Movements'!D100+'CurrentPor-Equ Factor Movements'!H100)/100,2))*100</f>
        <v>9601.2395558122898</v>
      </c>
      <c r="E100">
        <f>(3/(1+('CurrentPor-Equ Factor Movements'!C100+'CurrentPor-Equ Factor Movements'!I100)/100)+103/POWER(1+('CurrentPor-Equ Factor Movements'!D100+'CurrentPor-Equ Factor Movements'!I100)/100,2))*100</f>
        <v>9581.4547115644182</v>
      </c>
      <c r="F100">
        <f>Portfolio!B$5*'CurrentPor-Equ Factor Movements'!E100</f>
        <v>53181.967408169716</v>
      </c>
      <c r="G100">
        <f>Portfolio!B$6*'CurrentPor-Equ Factor Movements'!F100</f>
        <v>3578.1815410833233</v>
      </c>
      <c r="H100">
        <f>Portfolio!B$7*'CurrentPor-Equ Factor Movements'!J100</f>
        <v>2148.0998964419859</v>
      </c>
      <c r="I100">
        <f t="shared" si="2"/>
        <v>97413.496248748925</v>
      </c>
      <c r="J100">
        <f t="shared" si="3"/>
        <v>639.61132069240557</v>
      </c>
    </row>
    <row r="101" spans="1:10">
      <c r="A101" s="1">
        <v>45610</v>
      </c>
      <c r="B101">
        <f>(3/(1+('CurrentPor-Equ Factor Movements'!C101)/100)+103/POWER(1+('CurrentPor-Equ Factor Movements'!D101)/100,2))*100</f>
        <v>9707.5857774288397</v>
      </c>
      <c r="C101">
        <f>(3/(1+('CurrentPor-Equ Factor Movements'!C101+'CurrentPor-Equ Factor Movements'!G101)/100)+103/POWER(1+('CurrentPor-Equ Factor Movements'!D101+'CurrentPor-Equ Factor Movements'!G101)/100,2))*100</f>
        <v>9614.9673582483465</v>
      </c>
      <c r="D101">
        <f>(3/(1+('CurrentPor-Equ Factor Movements'!C101+'CurrentPor-Equ Factor Movements'!H101)/100)+103/POWER(1+('CurrentPor-Equ Factor Movements'!D101+'CurrentPor-Equ Factor Movements'!H101)/100,2))*100</f>
        <v>9601.2395558122898</v>
      </c>
      <c r="E101">
        <f>(3/(1+('CurrentPor-Equ Factor Movements'!C101+'CurrentPor-Equ Factor Movements'!I101)/100)+103/POWER(1+('CurrentPor-Equ Factor Movements'!D101+'CurrentPor-Equ Factor Movements'!I101)/100,2))*100</f>
        <v>9581.4547115644182</v>
      </c>
      <c r="F101">
        <f>Portfolio!B$5*'CurrentPor-Equ Factor Movements'!E101</f>
        <v>53358.893149175892</v>
      </c>
      <c r="G101">
        <f>Portfolio!B$6*'CurrentPor-Equ Factor Movements'!F101</f>
        <v>3304.87254473148</v>
      </c>
      <c r="H101">
        <f>Portfolio!B$7*'CurrentPor-Equ Factor Movements'!J101</f>
        <v>2148.0998964419859</v>
      </c>
      <c r="I101">
        <f t="shared" si="2"/>
        <v>97317.112993403251</v>
      </c>
      <c r="J101">
        <f t="shared" si="3"/>
        <v>779.71120365442766</v>
      </c>
    </row>
    <row r="102" spans="1:10">
      <c r="A102" s="1">
        <v>45611</v>
      </c>
      <c r="B102">
        <f>(3/(1+('CurrentPor-Equ Factor Movements'!C102)/100)+103/POWER(1+('CurrentPor-Equ Factor Movements'!D102)/100,2))*100</f>
        <v>9707.5857774288397</v>
      </c>
      <c r="C102">
        <f>(3/(1+('CurrentPor-Equ Factor Movements'!C102+'CurrentPor-Equ Factor Movements'!G102)/100)+103/POWER(1+('CurrentPor-Equ Factor Movements'!D102+'CurrentPor-Equ Factor Movements'!G102)/100,2))*100</f>
        <v>9614.9673582483465</v>
      </c>
      <c r="D102">
        <f>(3/(1+('CurrentPor-Equ Factor Movements'!C102+'CurrentPor-Equ Factor Movements'!H102)/100)+103/POWER(1+('CurrentPor-Equ Factor Movements'!D102+'CurrentPor-Equ Factor Movements'!H102)/100,2))*100</f>
        <v>9601.2395558122898</v>
      </c>
      <c r="E102">
        <f>(3/(1+('CurrentPor-Equ Factor Movements'!C102+'CurrentPor-Equ Factor Movements'!I102)/100)+103/POWER(1+('CurrentPor-Equ Factor Movements'!D102+'CurrentPor-Equ Factor Movements'!I102)/100,2))*100</f>
        <v>9581.4547115644182</v>
      </c>
      <c r="F102">
        <f>Portfolio!B$5*'CurrentPor-Equ Factor Movements'!E102</f>
        <v>52673.029310842707</v>
      </c>
      <c r="G102">
        <f>Portfolio!B$6*'CurrentPor-Equ Factor Movements'!F102</f>
        <v>3243.7144607131577</v>
      </c>
      <c r="H102">
        <f>Portfolio!B$7*'CurrentPor-Equ Factor Movements'!J102</f>
        <v>2148.0998964419859</v>
      </c>
      <c r="I102">
        <f t="shared" si="2"/>
        <v>96570.091071051749</v>
      </c>
      <c r="J102">
        <f t="shared" si="3"/>
        <v>-304.48521821513714</v>
      </c>
    </row>
    <row r="103" spans="1:10">
      <c r="A103" s="1">
        <v>45614</v>
      </c>
      <c r="B103">
        <f>(3/(1+('CurrentPor-Equ Factor Movements'!C103)/100)+103/POWER(1+('CurrentPor-Equ Factor Movements'!D103)/100,2))*100</f>
        <v>9707.5857774288397</v>
      </c>
      <c r="C103">
        <f>(3/(1+('CurrentPor-Equ Factor Movements'!C103+'CurrentPor-Equ Factor Movements'!G103)/100)+103/POWER(1+('CurrentPor-Equ Factor Movements'!D103+'CurrentPor-Equ Factor Movements'!G103)/100,2))*100</f>
        <v>9614.9673582483465</v>
      </c>
      <c r="D103">
        <f>(3/(1+('CurrentPor-Equ Factor Movements'!C103+'CurrentPor-Equ Factor Movements'!H103)/100)+103/POWER(1+('CurrentPor-Equ Factor Movements'!D103+'CurrentPor-Equ Factor Movements'!H103)/100,2))*100</f>
        <v>9601.2395558122898</v>
      </c>
      <c r="E103">
        <f>(3/(1+('CurrentPor-Equ Factor Movements'!C103+'CurrentPor-Equ Factor Movements'!I103)/100)+103/POWER(1+('CurrentPor-Equ Factor Movements'!D103+'CurrentPor-Equ Factor Movements'!I103)/100,2))*100</f>
        <v>9581.4547115644182</v>
      </c>
      <c r="F103">
        <f>Portfolio!B$5*'CurrentPor-Equ Factor Movements'!E103</f>
        <v>52340.28908182319</v>
      </c>
      <c r="G103">
        <f>Portfolio!B$6*'CurrentPor-Equ Factor Movements'!F103</f>
        <v>3601.2803460984233</v>
      </c>
      <c r="H103">
        <f>Portfolio!B$7*'CurrentPor-Equ Factor Movements'!J103</f>
        <v>2148.0998964419859</v>
      </c>
      <c r="I103">
        <f t="shared" si="2"/>
        <v>96594.916727417498</v>
      </c>
      <c r="J103">
        <f t="shared" si="3"/>
        <v>555.82371324140695</v>
      </c>
    </row>
    <row r="104" spans="1:10">
      <c r="A104" s="1">
        <v>45615</v>
      </c>
      <c r="B104">
        <f>(3/(1+('CurrentPor-Equ Factor Movements'!C104)/100)+103/POWER(1+('CurrentPor-Equ Factor Movements'!D104)/100,2))*100</f>
        <v>9707.5857774288397</v>
      </c>
      <c r="C104">
        <f>(3/(1+('CurrentPor-Equ Factor Movements'!C104+'CurrentPor-Equ Factor Movements'!G104)/100)+103/POWER(1+('CurrentPor-Equ Factor Movements'!D104+'CurrentPor-Equ Factor Movements'!G104)/100,2))*100</f>
        <v>9614.9673582483465</v>
      </c>
      <c r="D104">
        <f>(3/(1+('CurrentPor-Equ Factor Movements'!C104+'CurrentPor-Equ Factor Movements'!H104)/100)+103/POWER(1+('CurrentPor-Equ Factor Movements'!D104+'CurrentPor-Equ Factor Movements'!H104)/100,2))*100</f>
        <v>9601.2395558122898</v>
      </c>
      <c r="E104">
        <f>(3/(1+('CurrentPor-Equ Factor Movements'!C104+'CurrentPor-Equ Factor Movements'!I104)/100)+103/POWER(1+('CurrentPor-Equ Factor Movements'!D104+'CurrentPor-Equ Factor Movements'!I104)/100,2))*100</f>
        <v>9581.4547115644182</v>
      </c>
      <c r="F104">
        <f>Portfolio!B$5*'CurrentPor-Equ Factor Movements'!E104</f>
        <v>51893.351635077626</v>
      </c>
      <c r="G104">
        <f>Portfolio!B$6*'CurrentPor-Equ Factor Movements'!F104</f>
        <v>3587.1119803578877</v>
      </c>
      <c r="H104">
        <f>Portfolio!B$7*'CurrentPor-Equ Factor Movements'!J104</f>
        <v>2148.0998964419859</v>
      </c>
      <c r="I104">
        <f t="shared" si="2"/>
        <v>96133.810914931397</v>
      </c>
      <c r="J104">
        <f t="shared" si="3"/>
        <v>253.55135259173403</v>
      </c>
    </row>
    <row r="105" spans="1:10">
      <c r="A105" s="1">
        <v>45616</v>
      </c>
      <c r="B105">
        <f>(3/(1+('CurrentPor-Equ Factor Movements'!C105)/100)+103/POWER(1+('CurrentPor-Equ Factor Movements'!D105)/100,2))*100</f>
        <v>9707.5857774288397</v>
      </c>
      <c r="C105">
        <f>(3/(1+('CurrentPor-Equ Factor Movements'!C105+'CurrentPor-Equ Factor Movements'!G105)/100)+103/POWER(1+('CurrentPor-Equ Factor Movements'!D105+'CurrentPor-Equ Factor Movements'!G105)/100,2))*100</f>
        <v>9614.9673582483465</v>
      </c>
      <c r="D105">
        <f>(3/(1+('CurrentPor-Equ Factor Movements'!C105+'CurrentPor-Equ Factor Movements'!H105)/100)+103/POWER(1+('CurrentPor-Equ Factor Movements'!D105+'CurrentPor-Equ Factor Movements'!H105)/100,2))*100</f>
        <v>9601.2395558122898</v>
      </c>
      <c r="E105">
        <f>(3/(1+('CurrentPor-Equ Factor Movements'!C105+'CurrentPor-Equ Factor Movements'!I105)/100)+103/POWER(1+('CurrentPor-Equ Factor Movements'!D105+'CurrentPor-Equ Factor Movements'!I105)/100,2))*100</f>
        <v>9581.4547115644182</v>
      </c>
      <c r="F105">
        <f>Portfolio!B$5*'CurrentPor-Equ Factor Movements'!E105</f>
        <v>50781.466802024064</v>
      </c>
      <c r="G105">
        <f>Portfolio!B$6*'CurrentPor-Equ Factor Movements'!F105</f>
        <v>3777.8793198836729</v>
      </c>
      <c r="H105">
        <f>Portfolio!B$7*'CurrentPor-Equ Factor Movements'!J105</f>
        <v>2148.0998964419859</v>
      </c>
      <c r="I105">
        <f t="shared" si="2"/>
        <v>95212.69342140363</v>
      </c>
      <c r="J105">
        <f t="shared" si="3"/>
        <v>-2745.3045256031182</v>
      </c>
    </row>
    <row r="106" spans="1:10">
      <c r="A106" s="1">
        <v>45617</v>
      </c>
      <c r="B106">
        <f>(3/(1+('CurrentPor-Equ Factor Movements'!C106)/100)+103/POWER(1+('CurrentPor-Equ Factor Movements'!D106)/100,2))*100</f>
        <v>9707.5857774288397</v>
      </c>
      <c r="C106">
        <f>(3/(1+('CurrentPor-Equ Factor Movements'!C106+'CurrentPor-Equ Factor Movements'!G106)/100)+103/POWER(1+('CurrentPor-Equ Factor Movements'!D106+'CurrentPor-Equ Factor Movements'!G106)/100,2))*100</f>
        <v>9614.9673582483465</v>
      </c>
      <c r="D106">
        <f>(3/(1+('CurrentPor-Equ Factor Movements'!C106+'CurrentPor-Equ Factor Movements'!H106)/100)+103/POWER(1+('CurrentPor-Equ Factor Movements'!D106+'CurrentPor-Equ Factor Movements'!H106)/100,2))*100</f>
        <v>9601.2395558122898</v>
      </c>
      <c r="E106">
        <f>(3/(1+('CurrentPor-Equ Factor Movements'!C106+'CurrentPor-Equ Factor Movements'!I106)/100)+103/POWER(1+('CurrentPor-Equ Factor Movements'!D106+'CurrentPor-Equ Factor Movements'!I106)/100,2))*100</f>
        <v>9581.4547115644182</v>
      </c>
      <c r="F106">
        <f>Portfolio!B$5*'CurrentPor-Equ Factor Movements'!E106</f>
        <v>52446.018700972549</v>
      </c>
      <c r="G106">
        <f>Portfolio!B$6*'CurrentPor-Equ Factor Movements'!F106</f>
        <v>3211.4757632959722</v>
      </c>
      <c r="H106">
        <f>Portfolio!B$7*'CurrentPor-Equ Factor Movements'!J106</f>
        <v>2148.0998964419859</v>
      </c>
      <c r="I106">
        <f t="shared" si="2"/>
        <v>96310.841763764387</v>
      </c>
      <c r="J106">
        <f t="shared" si="3"/>
        <v>340.74159800265625</v>
      </c>
    </row>
    <row r="107" spans="1:10">
      <c r="A107" s="1">
        <v>45618</v>
      </c>
      <c r="B107">
        <f>(3/(1+('CurrentPor-Equ Factor Movements'!C107)/100)+103/POWER(1+('CurrentPor-Equ Factor Movements'!D107)/100,2))*100</f>
        <v>9707.5857774288397</v>
      </c>
      <c r="C107">
        <f>(3/(1+('CurrentPor-Equ Factor Movements'!C107+'CurrentPor-Equ Factor Movements'!G107)/100)+103/POWER(1+('CurrentPor-Equ Factor Movements'!D107+'CurrentPor-Equ Factor Movements'!G107)/100,2))*100</f>
        <v>9614.9673582483465</v>
      </c>
      <c r="D107">
        <f>(3/(1+('CurrentPor-Equ Factor Movements'!C107+'CurrentPor-Equ Factor Movements'!H107)/100)+103/POWER(1+('CurrentPor-Equ Factor Movements'!D107+'CurrentPor-Equ Factor Movements'!H107)/100,2))*100</f>
        <v>9601.2395558122898</v>
      </c>
      <c r="E107">
        <f>(3/(1+('CurrentPor-Equ Factor Movements'!C107+'CurrentPor-Equ Factor Movements'!I107)/100)+103/POWER(1+('CurrentPor-Equ Factor Movements'!D107+'CurrentPor-Equ Factor Movements'!I107)/100,2))*100</f>
        <v>9581.4547115644182</v>
      </c>
      <c r="F107">
        <f>Portfolio!B$5*'CurrentPor-Equ Factor Movements'!E107</f>
        <v>51103.500490608152</v>
      </c>
      <c r="G107">
        <f>Portfolio!B$6*'CurrentPor-Equ Factor Movements'!F107</f>
        <v>3299.0193735683379</v>
      </c>
      <c r="H107">
        <f>Portfolio!B$7*'CurrentPor-Equ Factor Movements'!J107</f>
        <v>2148.0998964419859</v>
      </c>
      <c r="I107">
        <f t="shared" si="2"/>
        <v>95055.867163672374</v>
      </c>
      <c r="J107">
        <f t="shared" si="3"/>
        <v>-2042.3976047786564</v>
      </c>
    </row>
    <row r="108" spans="1:10">
      <c r="A108" s="1">
        <v>45621</v>
      </c>
      <c r="B108">
        <f>(3/(1+('CurrentPor-Equ Factor Movements'!C108)/100)+103/POWER(1+('CurrentPor-Equ Factor Movements'!D108)/100,2))*100</f>
        <v>9707.5857774288397</v>
      </c>
      <c r="C108">
        <f>(3/(1+('CurrentPor-Equ Factor Movements'!C108+'CurrentPor-Equ Factor Movements'!G108)/100)+103/POWER(1+('CurrentPor-Equ Factor Movements'!D108+'CurrentPor-Equ Factor Movements'!G108)/100,2))*100</f>
        <v>9614.9673582483465</v>
      </c>
      <c r="D108">
        <f>(3/(1+('CurrentPor-Equ Factor Movements'!C108+'CurrentPor-Equ Factor Movements'!H108)/100)+103/POWER(1+('CurrentPor-Equ Factor Movements'!D108+'CurrentPor-Equ Factor Movements'!H108)/100,2))*100</f>
        <v>9601.2395558122898</v>
      </c>
      <c r="E108">
        <f>(3/(1+('CurrentPor-Equ Factor Movements'!C108+'CurrentPor-Equ Factor Movements'!I108)/100)+103/POWER(1+('CurrentPor-Equ Factor Movements'!D108+'CurrentPor-Equ Factor Movements'!I108)/100,2))*100</f>
        <v>9581.4547115644182</v>
      </c>
      <c r="F108">
        <f>Portfolio!B$5*'CurrentPor-Equ Factor Movements'!E108</f>
        <v>51282.183548062982</v>
      </c>
      <c r="G108">
        <f>Portfolio!B$6*'CurrentPor-Equ Factor Movements'!F108</f>
        <v>3891.9572057281216</v>
      </c>
      <c r="H108">
        <f>Portfolio!B$7*'CurrentPor-Equ Factor Movements'!J108</f>
        <v>2148.0998964419859</v>
      </c>
      <c r="I108">
        <f t="shared" si="2"/>
        <v>95827.488053286972</v>
      </c>
      <c r="J108">
        <f t="shared" si="3"/>
        <v>-319.99673709840863</v>
      </c>
    </row>
    <row r="109" spans="1:10">
      <c r="A109" s="1">
        <v>45622</v>
      </c>
      <c r="B109">
        <f>(3/(1+('CurrentPor-Equ Factor Movements'!C109)/100)+103/POWER(1+('CurrentPor-Equ Factor Movements'!D109)/100,2))*100</f>
        <v>9707.5857774288397</v>
      </c>
      <c r="C109">
        <f>(3/(1+('CurrentPor-Equ Factor Movements'!C109+'CurrentPor-Equ Factor Movements'!G109)/100)+103/POWER(1+('CurrentPor-Equ Factor Movements'!D109+'CurrentPor-Equ Factor Movements'!G109)/100,2))*100</f>
        <v>9614.9673582483465</v>
      </c>
      <c r="D109">
        <f>(3/(1+('CurrentPor-Equ Factor Movements'!C109+'CurrentPor-Equ Factor Movements'!H109)/100)+103/POWER(1+('CurrentPor-Equ Factor Movements'!D109+'CurrentPor-Equ Factor Movements'!H109)/100,2))*100</f>
        <v>9601.2395558122898</v>
      </c>
      <c r="E109">
        <f>(3/(1+('CurrentPor-Equ Factor Movements'!C109+'CurrentPor-Equ Factor Movements'!I109)/100)+103/POWER(1+('CurrentPor-Equ Factor Movements'!D109+'CurrentPor-Equ Factor Movements'!I109)/100,2))*100</f>
        <v>9581.4547115644182</v>
      </c>
      <c r="F109">
        <f>Portfolio!B$5*'CurrentPor-Equ Factor Movements'!E109</f>
        <v>50817.742911314097</v>
      </c>
      <c r="G109">
        <f>Portfolio!B$6*'CurrentPor-Equ Factor Movements'!F109</f>
        <v>3357.0522570556591</v>
      </c>
      <c r="H109">
        <f>Portfolio!B$7*'CurrentPor-Equ Factor Movements'!J109</f>
        <v>2148.0998964419859</v>
      </c>
      <c r="I109">
        <f t="shared" si="2"/>
        <v>94828.142467865633</v>
      </c>
      <c r="J109">
        <f t="shared" si="3"/>
        <v>-2188.3043876462471</v>
      </c>
    </row>
    <row r="110" spans="1:10">
      <c r="A110" s="1">
        <v>45623</v>
      </c>
      <c r="B110">
        <f>(3/(1+('CurrentPor-Equ Factor Movements'!C110)/100)+103/POWER(1+('CurrentPor-Equ Factor Movements'!D110)/100,2))*100</f>
        <v>9707.5857774288397</v>
      </c>
      <c r="C110">
        <f>(3/(1+('CurrentPor-Equ Factor Movements'!C110+'CurrentPor-Equ Factor Movements'!G110)/100)+103/POWER(1+('CurrentPor-Equ Factor Movements'!D110+'CurrentPor-Equ Factor Movements'!G110)/100,2))*100</f>
        <v>9614.9673582483465</v>
      </c>
      <c r="D110">
        <f>(3/(1+('CurrentPor-Equ Factor Movements'!C110+'CurrentPor-Equ Factor Movements'!H110)/100)+103/POWER(1+('CurrentPor-Equ Factor Movements'!D110+'CurrentPor-Equ Factor Movements'!H110)/100,2))*100</f>
        <v>9601.2395558122898</v>
      </c>
      <c r="E110">
        <f>(3/(1+('CurrentPor-Equ Factor Movements'!C110+'CurrentPor-Equ Factor Movements'!I110)/100)+103/POWER(1+('CurrentPor-Equ Factor Movements'!D110+'CurrentPor-Equ Factor Movements'!I110)/100,2))*100</f>
        <v>9581.4547115644182</v>
      </c>
      <c r="F110">
        <f>Portfolio!B$5*'CurrentPor-Equ Factor Movements'!E110</f>
        <v>53198.906518296084</v>
      </c>
      <c r="G110">
        <f>Portfolio!B$6*'CurrentPor-Equ Factor Movements'!F110</f>
        <v>3370.1149075922331</v>
      </c>
      <c r="H110">
        <f>Portfolio!B$7*'CurrentPor-Equ Factor Movements'!J110</f>
        <v>2148.0998964419859</v>
      </c>
      <c r="I110">
        <f t="shared" si="2"/>
        <v>97222.368725384193</v>
      </c>
      <c r="J110">
        <f t="shared" si="3"/>
        <v>-191.12752336473204</v>
      </c>
    </row>
    <row r="111" spans="1:10">
      <c r="A111" s="1">
        <v>45624</v>
      </c>
      <c r="B111">
        <f>(3/(1+('CurrentPor-Equ Factor Movements'!C111)/100)+103/POWER(1+('CurrentPor-Equ Factor Movements'!D111)/100,2))*100</f>
        <v>9707.5857774288397</v>
      </c>
      <c r="C111">
        <f>(3/(1+('CurrentPor-Equ Factor Movements'!C111+'CurrentPor-Equ Factor Movements'!G111)/100)+103/POWER(1+('CurrentPor-Equ Factor Movements'!D111+'CurrentPor-Equ Factor Movements'!G111)/100,2))*100</f>
        <v>9614.9673582483465</v>
      </c>
      <c r="D111">
        <f>(3/(1+('CurrentPor-Equ Factor Movements'!C111+'CurrentPor-Equ Factor Movements'!H111)/100)+103/POWER(1+('CurrentPor-Equ Factor Movements'!D111+'CurrentPor-Equ Factor Movements'!H111)/100,2))*100</f>
        <v>9601.2395558122898</v>
      </c>
      <c r="E111">
        <f>(3/(1+('CurrentPor-Equ Factor Movements'!C111+'CurrentPor-Equ Factor Movements'!I111)/100)+103/POWER(1+('CurrentPor-Equ Factor Movements'!D111+'CurrentPor-Equ Factor Movements'!I111)/100,2))*100</f>
        <v>9581.4547115644182</v>
      </c>
      <c r="F111">
        <f>Portfolio!B$5*'CurrentPor-Equ Factor Movements'!E111</f>
        <v>51593.91947152291</v>
      </c>
      <c r="G111">
        <f>Portfolio!B$6*'CurrentPor-Equ Factor Movements'!F111</f>
        <v>3589.3820498689188</v>
      </c>
      <c r="H111">
        <f>Portfolio!B$7*'CurrentPor-Equ Factor Movements'!J111</f>
        <v>2148.0998964419859</v>
      </c>
      <c r="I111">
        <f t="shared" si="2"/>
        <v>95836.648820887698</v>
      </c>
      <c r="J111">
        <f t="shared" si="3"/>
        <v>-1480.4641725155525</v>
      </c>
    </row>
    <row r="112" spans="1:10">
      <c r="A112" s="1">
        <v>45625</v>
      </c>
      <c r="B112">
        <f>(3/(1+('CurrentPor-Equ Factor Movements'!C112)/100)+103/POWER(1+('CurrentPor-Equ Factor Movements'!D112)/100,2))*100</f>
        <v>9707.5857774288397</v>
      </c>
      <c r="C112">
        <f>(3/(1+('CurrentPor-Equ Factor Movements'!C112+'CurrentPor-Equ Factor Movements'!G112)/100)+103/POWER(1+('CurrentPor-Equ Factor Movements'!D112+'CurrentPor-Equ Factor Movements'!G112)/100,2))*100</f>
        <v>9614.9673582483465</v>
      </c>
      <c r="D112">
        <f>(3/(1+('CurrentPor-Equ Factor Movements'!C112+'CurrentPor-Equ Factor Movements'!H112)/100)+103/POWER(1+('CurrentPor-Equ Factor Movements'!D112+'CurrentPor-Equ Factor Movements'!H112)/100,2))*100</f>
        <v>9601.2395558122898</v>
      </c>
      <c r="E112">
        <f>(3/(1+('CurrentPor-Equ Factor Movements'!C112+'CurrentPor-Equ Factor Movements'!I112)/100)+103/POWER(1+('CurrentPor-Equ Factor Movements'!D112+'CurrentPor-Equ Factor Movements'!I112)/100,2))*100</f>
        <v>9581.4547115644182</v>
      </c>
      <c r="F112">
        <f>Portfolio!B$5*'CurrentPor-Equ Factor Movements'!E112</f>
        <v>51510.657395515635</v>
      </c>
      <c r="G112">
        <f>Portfolio!B$6*'CurrentPor-Equ Factor Movements'!F112</f>
        <v>3726.1775851271154</v>
      </c>
      <c r="H112">
        <f>Portfolio!B$7*'CurrentPor-Equ Factor Movements'!J112</f>
        <v>2148.0998964419859</v>
      </c>
      <c r="I112">
        <f t="shared" si="2"/>
        <v>95890.18228013863</v>
      </c>
      <c r="J112">
        <f t="shared" si="3"/>
        <v>-679.90879091311945</v>
      </c>
    </row>
    <row r="113" spans="1:10">
      <c r="A113" s="1">
        <v>45628</v>
      </c>
      <c r="B113">
        <f>(3/(1+('CurrentPor-Equ Factor Movements'!C113)/100)+103/POWER(1+('CurrentPor-Equ Factor Movements'!D113)/100,2))*100</f>
        <v>9707.5857774288397</v>
      </c>
      <c r="C113">
        <f>(3/(1+('CurrentPor-Equ Factor Movements'!C113+'CurrentPor-Equ Factor Movements'!G113)/100)+103/POWER(1+('CurrentPor-Equ Factor Movements'!D113+'CurrentPor-Equ Factor Movements'!G113)/100,2))*100</f>
        <v>9614.9673582483465</v>
      </c>
      <c r="D113">
        <f>(3/(1+('CurrentPor-Equ Factor Movements'!C113+'CurrentPor-Equ Factor Movements'!H113)/100)+103/POWER(1+('CurrentPor-Equ Factor Movements'!D113+'CurrentPor-Equ Factor Movements'!H113)/100,2))*100</f>
        <v>9601.2395558122898</v>
      </c>
      <c r="E113">
        <f>(3/(1+('CurrentPor-Equ Factor Movements'!C113+'CurrentPor-Equ Factor Movements'!I113)/100)+103/POWER(1+('CurrentPor-Equ Factor Movements'!D113+'CurrentPor-Equ Factor Movements'!I113)/100,2))*100</f>
        <v>9581.4547115644182</v>
      </c>
      <c r="F113">
        <f>Portfolio!B$5*'CurrentPor-Equ Factor Movements'!E113</f>
        <v>53354.353468270936</v>
      </c>
      <c r="G113">
        <f>Portfolio!B$6*'CurrentPor-Equ Factor Movements'!F113</f>
        <v>3341.9755958445421</v>
      </c>
      <c r="H113">
        <f>Portfolio!B$7*'CurrentPor-Equ Factor Movements'!J113</f>
        <v>2148.0998964419859</v>
      </c>
      <c r="I113">
        <f t="shared" si="2"/>
        <v>97349.676363611361</v>
      </c>
      <c r="J113">
        <f t="shared" si="3"/>
        <v>754.75963619386312</v>
      </c>
    </row>
    <row r="114" spans="1:10">
      <c r="A114" s="1">
        <v>45629</v>
      </c>
      <c r="B114">
        <f>(3/(1+('CurrentPor-Equ Factor Movements'!C114)/100)+103/POWER(1+('CurrentPor-Equ Factor Movements'!D114)/100,2))*100</f>
        <v>9707.5857774288397</v>
      </c>
      <c r="C114">
        <f>(3/(1+('CurrentPor-Equ Factor Movements'!C114+'CurrentPor-Equ Factor Movements'!G114)/100)+103/POWER(1+('CurrentPor-Equ Factor Movements'!D114+'CurrentPor-Equ Factor Movements'!G114)/100,2))*100</f>
        <v>9614.9673582483465</v>
      </c>
      <c r="D114">
        <f>(3/(1+('CurrentPor-Equ Factor Movements'!C114+'CurrentPor-Equ Factor Movements'!H114)/100)+103/POWER(1+('CurrentPor-Equ Factor Movements'!D114+'CurrentPor-Equ Factor Movements'!H114)/100,2))*100</f>
        <v>9601.2395558122898</v>
      </c>
      <c r="E114">
        <f>(3/(1+('CurrentPor-Equ Factor Movements'!C114+'CurrentPor-Equ Factor Movements'!I114)/100)+103/POWER(1+('CurrentPor-Equ Factor Movements'!D114+'CurrentPor-Equ Factor Movements'!I114)/100,2))*100</f>
        <v>9581.4547115644182</v>
      </c>
      <c r="F114">
        <f>Portfolio!B$5*'CurrentPor-Equ Factor Movements'!E114</f>
        <v>53160.767013128097</v>
      </c>
      <c r="G114">
        <f>Portfolio!B$6*'CurrentPor-Equ Factor Movements'!F114</f>
        <v>3609.3931049142716</v>
      </c>
      <c r="H114">
        <f>Portfolio!B$7*'CurrentPor-Equ Factor Movements'!J114</f>
        <v>2148.0998964419859</v>
      </c>
      <c r="I114">
        <f t="shared" si="2"/>
        <v>97423.507417538247</v>
      </c>
      <c r="J114">
        <f t="shared" si="3"/>
        <v>1289.6965026068501</v>
      </c>
    </row>
    <row r="115" spans="1:10">
      <c r="A115" s="1">
        <v>45630</v>
      </c>
      <c r="B115">
        <f>(3/(1+('CurrentPor-Equ Factor Movements'!C115)/100)+103/POWER(1+('CurrentPor-Equ Factor Movements'!D115)/100,2))*100</f>
        <v>9707.5857774288397</v>
      </c>
      <c r="C115">
        <f>(3/(1+('CurrentPor-Equ Factor Movements'!C115+'CurrentPor-Equ Factor Movements'!G115)/100)+103/POWER(1+('CurrentPor-Equ Factor Movements'!D115+'CurrentPor-Equ Factor Movements'!G115)/100,2))*100</f>
        <v>9614.9673582483465</v>
      </c>
      <c r="D115">
        <f>(3/(1+('CurrentPor-Equ Factor Movements'!C115+'CurrentPor-Equ Factor Movements'!H115)/100)+103/POWER(1+('CurrentPor-Equ Factor Movements'!D115+'CurrentPor-Equ Factor Movements'!H115)/100,2))*100</f>
        <v>9601.2395558122898</v>
      </c>
      <c r="E115">
        <f>(3/(1+('CurrentPor-Equ Factor Movements'!C115+'CurrentPor-Equ Factor Movements'!I115)/100)+103/POWER(1+('CurrentPor-Equ Factor Movements'!D115+'CurrentPor-Equ Factor Movements'!I115)/100,2))*100</f>
        <v>9581.4547115644182</v>
      </c>
      <c r="F115">
        <f>Portfolio!B$5*'CurrentPor-Equ Factor Movements'!E115</f>
        <v>50589.790012212696</v>
      </c>
      <c r="G115">
        <f>Portfolio!B$6*'CurrentPor-Equ Factor Movements'!F115</f>
        <v>3451.3344281579771</v>
      </c>
      <c r="H115">
        <f>Portfolio!B$7*'CurrentPor-Equ Factor Movements'!J115</f>
        <v>2148.0998964419859</v>
      </c>
      <c r="I115">
        <f t="shared" si="2"/>
        <v>94694.471739866553</v>
      </c>
      <c r="J115">
        <f t="shared" si="3"/>
        <v>-518.22168153707753</v>
      </c>
    </row>
    <row r="116" spans="1:10">
      <c r="A116" s="1">
        <v>45631</v>
      </c>
      <c r="B116">
        <f>(3/(1+('CurrentPor-Equ Factor Movements'!C116)/100)+103/POWER(1+('CurrentPor-Equ Factor Movements'!D116)/100,2))*100</f>
        <v>9707.5857774288397</v>
      </c>
      <c r="C116">
        <f>(3/(1+('CurrentPor-Equ Factor Movements'!C116+'CurrentPor-Equ Factor Movements'!G116)/100)+103/POWER(1+('CurrentPor-Equ Factor Movements'!D116+'CurrentPor-Equ Factor Movements'!G116)/100,2))*100</f>
        <v>9614.9673582483465</v>
      </c>
      <c r="D116">
        <f>(3/(1+('CurrentPor-Equ Factor Movements'!C116+'CurrentPor-Equ Factor Movements'!H116)/100)+103/POWER(1+('CurrentPor-Equ Factor Movements'!D116+'CurrentPor-Equ Factor Movements'!H116)/100,2))*100</f>
        <v>9601.2395558122898</v>
      </c>
      <c r="E116">
        <f>(3/(1+('CurrentPor-Equ Factor Movements'!C116+'CurrentPor-Equ Factor Movements'!I116)/100)+103/POWER(1+('CurrentPor-Equ Factor Movements'!D116+'CurrentPor-Equ Factor Movements'!I116)/100,2))*100</f>
        <v>9581.4547115644182</v>
      </c>
      <c r="F116">
        <f>Portfolio!B$5*'CurrentPor-Equ Factor Movements'!E116</f>
        <v>52979.953538933034</v>
      </c>
      <c r="G116">
        <f>Portfolio!B$6*'CurrentPor-Equ Factor Movements'!F116</f>
        <v>3519.1071273609141</v>
      </c>
      <c r="H116">
        <f>Portfolio!B$7*'CurrentPor-Equ Factor Movements'!J116</f>
        <v>2148.0998964419859</v>
      </c>
      <c r="I116">
        <f t="shared" si="2"/>
        <v>97152.407965789826</v>
      </c>
      <c r="J116">
        <f t="shared" si="3"/>
        <v>841.56620202543854</v>
      </c>
    </row>
    <row r="117" spans="1:10">
      <c r="A117" s="1">
        <v>45632</v>
      </c>
      <c r="B117">
        <f>(3/(1+('CurrentPor-Equ Factor Movements'!C117)/100)+103/POWER(1+('CurrentPor-Equ Factor Movements'!D117)/100,2))*100</f>
        <v>9707.5857774288397</v>
      </c>
      <c r="C117">
        <f>(3/(1+('CurrentPor-Equ Factor Movements'!C117+'CurrentPor-Equ Factor Movements'!G117)/100)+103/POWER(1+('CurrentPor-Equ Factor Movements'!D117+'CurrentPor-Equ Factor Movements'!G117)/100,2))*100</f>
        <v>9614.9673582483465</v>
      </c>
      <c r="D117">
        <f>(3/(1+('CurrentPor-Equ Factor Movements'!C117+'CurrentPor-Equ Factor Movements'!H117)/100)+103/POWER(1+('CurrentPor-Equ Factor Movements'!D117+'CurrentPor-Equ Factor Movements'!H117)/100,2))*100</f>
        <v>9601.2395558122898</v>
      </c>
      <c r="E117">
        <f>(3/(1+('CurrentPor-Equ Factor Movements'!C117+'CurrentPor-Equ Factor Movements'!I117)/100)+103/POWER(1+('CurrentPor-Equ Factor Movements'!D117+'CurrentPor-Equ Factor Movements'!I117)/100,2))*100</f>
        <v>9581.4547115644182</v>
      </c>
      <c r="F117">
        <f>Portfolio!B$5*'CurrentPor-Equ Factor Movements'!E117</f>
        <v>52861.607532171591</v>
      </c>
      <c r="G117">
        <f>Portfolio!B$6*'CurrentPor-Equ Factor Movements'!F117</f>
        <v>3526.7902627929884</v>
      </c>
      <c r="H117">
        <f>Portfolio!B$7*'CurrentPor-Equ Factor Movements'!J117</f>
        <v>2148.0998964419859</v>
      </c>
      <c r="I117">
        <f t="shared" si="2"/>
        <v>97041.74509446045</v>
      </c>
      <c r="J117">
        <f t="shared" si="3"/>
        <v>1985.8779307880759</v>
      </c>
    </row>
    <row r="118" spans="1:10">
      <c r="A118" s="1">
        <v>45635</v>
      </c>
      <c r="B118">
        <f>(3/(1+('CurrentPor-Equ Factor Movements'!C118)/100)+103/POWER(1+('CurrentPor-Equ Factor Movements'!D118)/100,2))*100</f>
        <v>9707.5857774288397</v>
      </c>
      <c r="C118">
        <f>(3/(1+('CurrentPor-Equ Factor Movements'!C118+'CurrentPor-Equ Factor Movements'!G118)/100)+103/POWER(1+('CurrentPor-Equ Factor Movements'!D118+'CurrentPor-Equ Factor Movements'!G118)/100,2))*100</f>
        <v>9614.9673582483465</v>
      </c>
      <c r="D118">
        <f>(3/(1+('CurrentPor-Equ Factor Movements'!C118+'CurrentPor-Equ Factor Movements'!H118)/100)+103/POWER(1+('CurrentPor-Equ Factor Movements'!D118+'CurrentPor-Equ Factor Movements'!H118)/100,2))*100</f>
        <v>9601.2395558122898</v>
      </c>
      <c r="E118">
        <f>(3/(1+('CurrentPor-Equ Factor Movements'!C118+'CurrentPor-Equ Factor Movements'!I118)/100)+103/POWER(1+('CurrentPor-Equ Factor Movements'!D118+'CurrentPor-Equ Factor Movements'!I118)/100,2))*100</f>
        <v>9581.4547115644182</v>
      </c>
      <c r="F118">
        <f>Portfolio!B$5*'CurrentPor-Equ Factor Movements'!E118</f>
        <v>52308.31442206887</v>
      </c>
      <c r="G118">
        <f>Portfolio!B$6*'CurrentPor-Equ Factor Movements'!F118</f>
        <v>3517.5282474156611</v>
      </c>
      <c r="H118">
        <f>Portfolio!B$7*'CurrentPor-Equ Factor Movements'!J118</f>
        <v>2148.0998964419859</v>
      </c>
      <c r="I118">
        <f t="shared" si="2"/>
        <v>96479.189968980412</v>
      </c>
      <c r="J118">
        <f t="shared" si="3"/>
        <v>651.70191569344024</v>
      </c>
    </row>
    <row r="119" spans="1:10">
      <c r="A119" s="1">
        <v>45636</v>
      </c>
      <c r="B119">
        <f>(3/(1+('CurrentPor-Equ Factor Movements'!C119)/100)+103/POWER(1+('CurrentPor-Equ Factor Movements'!D119)/100,2))*100</f>
        <v>9707.5857774288397</v>
      </c>
      <c r="C119">
        <f>(3/(1+('CurrentPor-Equ Factor Movements'!C119+'CurrentPor-Equ Factor Movements'!G119)/100)+103/POWER(1+('CurrentPor-Equ Factor Movements'!D119+'CurrentPor-Equ Factor Movements'!G119)/100,2))*100</f>
        <v>9614.9673582483465</v>
      </c>
      <c r="D119">
        <f>(3/(1+('CurrentPor-Equ Factor Movements'!C119+'CurrentPor-Equ Factor Movements'!H119)/100)+103/POWER(1+('CurrentPor-Equ Factor Movements'!D119+'CurrentPor-Equ Factor Movements'!H119)/100,2))*100</f>
        <v>9601.2395558122898</v>
      </c>
      <c r="E119">
        <f>(3/(1+('CurrentPor-Equ Factor Movements'!C119+'CurrentPor-Equ Factor Movements'!I119)/100)+103/POWER(1+('CurrentPor-Equ Factor Movements'!D119+'CurrentPor-Equ Factor Movements'!I119)/100,2))*100</f>
        <v>9581.4547115644182</v>
      </c>
      <c r="F119">
        <f>Portfolio!B$5*'CurrentPor-Equ Factor Movements'!E119</f>
        <v>52533.299531242417</v>
      </c>
      <c r="G119">
        <f>Portfolio!B$6*'CurrentPor-Equ Factor Movements'!F119</f>
        <v>3484.5973906945551</v>
      </c>
      <c r="H119">
        <f>Portfolio!B$7*'CurrentPor-Equ Factor Movements'!J119</f>
        <v>2148.0998964419859</v>
      </c>
      <c r="I119">
        <f t="shared" si="2"/>
        <v>96671.244221432862</v>
      </c>
      <c r="J119">
        <f t="shared" si="3"/>
        <v>1843.101753567229</v>
      </c>
    </row>
    <row r="120" spans="1:10">
      <c r="A120" s="1">
        <v>45637</v>
      </c>
      <c r="B120">
        <f>(3/(1+('CurrentPor-Equ Factor Movements'!C120)/100)+103/POWER(1+('CurrentPor-Equ Factor Movements'!D120)/100,2))*100</f>
        <v>9707.5857774288397</v>
      </c>
      <c r="C120">
        <f>(3/(1+('CurrentPor-Equ Factor Movements'!C120+'CurrentPor-Equ Factor Movements'!G120)/100)+103/POWER(1+('CurrentPor-Equ Factor Movements'!D120+'CurrentPor-Equ Factor Movements'!G120)/100,2))*100</f>
        <v>9614.9673582483465</v>
      </c>
      <c r="D120">
        <f>(3/(1+('CurrentPor-Equ Factor Movements'!C120+'CurrentPor-Equ Factor Movements'!H120)/100)+103/POWER(1+('CurrentPor-Equ Factor Movements'!D120+'CurrentPor-Equ Factor Movements'!H120)/100,2))*100</f>
        <v>9601.2395558122898</v>
      </c>
      <c r="E120">
        <f>(3/(1+('CurrentPor-Equ Factor Movements'!C120+'CurrentPor-Equ Factor Movements'!I120)/100)+103/POWER(1+('CurrentPor-Equ Factor Movements'!D120+'CurrentPor-Equ Factor Movements'!I120)/100,2))*100</f>
        <v>9581.4547115644182</v>
      </c>
      <c r="F120">
        <f>Portfolio!B$5*'CurrentPor-Equ Factor Movements'!E120</f>
        <v>52052.135173370174</v>
      </c>
      <c r="G120">
        <f>Portfolio!B$6*'CurrentPor-Equ Factor Movements'!F120</f>
        <v>3567.521376533376</v>
      </c>
      <c r="H120">
        <f>Portfolio!B$7*'CurrentPor-Equ Factor Movements'!J120</f>
        <v>2148.0998964419859</v>
      </c>
      <c r="I120">
        <f t="shared" si="2"/>
        <v>96273.003849399436</v>
      </c>
      <c r="J120">
        <f t="shared" si="3"/>
        <v>-949.36487598475651</v>
      </c>
    </row>
    <row r="121" spans="1:10">
      <c r="A121" s="1">
        <v>45638</v>
      </c>
      <c r="B121">
        <f>(3/(1+('CurrentPor-Equ Factor Movements'!C121)/100)+103/POWER(1+('CurrentPor-Equ Factor Movements'!D121)/100,2))*100</f>
        <v>9707.5857774288397</v>
      </c>
      <c r="C121">
        <f>(3/(1+('CurrentPor-Equ Factor Movements'!C121+'CurrentPor-Equ Factor Movements'!G121)/100)+103/POWER(1+('CurrentPor-Equ Factor Movements'!D121+'CurrentPor-Equ Factor Movements'!G121)/100,2))*100</f>
        <v>9614.9673582483465</v>
      </c>
      <c r="D121">
        <f>(3/(1+('CurrentPor-Equ Factor Movements'!C121+'CurrentPor-Equ Factor Movements'!H121)/100)+103/POWER(1+('CurrentPor-Equ Factor Movements'!D121+'CurrentPor-Equ Factor Movements'!H121)/100,2))*100</f>
        <v>9601.2395558122898</v>
      </c>
      <c r="E121">
        <f>(3/(1+('CurrentPor-Equ Factor Movements'!C121+'CurrentPor-Equ Factor Movements'!I121)/100)+103/POWER(1+('CurrentPor-Equ Factor Movements'!D121+'CurrentPor-Equ Factor Movements'!I121)/100,2))*100</f>
        <v>9581.4547115644182</v>
      </c>
      <c r="F121">
        <f>Portfolio!B$5*'CurrentPor-Equ Factor Movements'!E121</f>
        <v>52818.84535705216</v>
      </c>
      <c r="G121">
        <f>Portfolio!B$6*'CurrentPor-Equ Factor Movements'!F121</f>
        <v>3635.0682089155712</v>
      </c>
      <c r="H121">
        <f>Portfolio!B$7*'CurrentPor-Equ Factor Movements'!J121</f>
        <v>2148.0998964419859</v>
      </c>
      <c r="I121">
        <f t="shared" si="2"/>
        <v>97107.260865463613</v>
      </c>
      <c r="J121">
        <f t="shared" si="3"/>
        <v>1270.6120445759152</v>
      </c>
    </row>
    <row r="122" spans="1:10">
      <c r="A122" s="1">
        <v>45639</v>
      </c>
      <c r="B122">
        <f>(3/(1+('CurrentPor-Equ Factor Movements'!C122)/100)+103/POWER(1+('CurrentPor-Equ Factor Movements'!D122)/100,2))*100</f>
        <v>9707.5857774288397</v>
      </c>
      <c r="C122">
        <f>(3/(1+('CurrentPor-Equ Factor Movements'!C122+'CurrentPor-Equ Factor Movements'!G122)/100)+103/POWER(1+('CurrentPor-Equ Factor Movements'!D122+'CurrentPor-Equ Factor Movements'!G122)/100,2))*100</f>
        <v>9614.9673582483465</v>
      </c>
      <c r="D122">
        <f>(3/(1+('CurrentPor-Equ Factor Movements'!C122+'CurrentPor-Equ Factor Movements'!H122)/100)+103/POWER(1+('CurrentPor-Equ Factor Movements'!D122+'CurrentPor-Equ Factor Movements'!H122)/100,2))*100</f>
        <v>9601.2395558122898</v>
      </c>
      <c r="E122">
        <f>(3/(1+('CurrentPor-Equ Factor Movements'!C122+'CurrentPor-Equ Factor Movements'!I122)/100)+103/POWER(1+('CurrentPor-Equ Factor Movements'!D122+'CurrentPor-Equ Factor Movements'!I122)/100,2))*100</f>
        <v>9581.4547115644182</v>
      </c>
      <c r="F122">
        <f>Portfolio!B$5*'CurrentPor-Equ Factor Movements'!E122</f>
        <v>54323.21457777766</v>
      </c>
      <c r="G122">
        <f>Portfolio!B$6*'CurrentPor-Equ Factor Movements'!F122</f>
        <v>3294.6771757570355</v>
      </c>
      <c r="H122">
        <f>Portfolio!B$7*'CurrentPor-Equ Factor Movements'!J122</f>
        <v>2148.0998964419859</v>
      </c>
      <c r="I122">
        <f t="shared" si="2"/>
        <v>98271.239053030571</v>
      </c>
      <c r="J122">
        <f t="shared" si="3"/>
        <v>2381.0567728919414</v>
      </c>
    </row>
    <row r="123" spans="1:10">
      <c r="A123" s="1">
        <v>45642</v>
      </c>
      <c r="B123">
        <f>(3/(1+('CurrentPor-Equ Factor Movements'!C123)/100)+103/POWER(1+('CurrentPor-Equ Factor Movements'!D123)/100,2))*100</f>
        <v>9707.5857774288397</v>
      </c>
      <c r="C123">
        <f>(3/(1+('CurrentPor-Equ Factor Movements'!C123+'CurrentPor-Equ Factor Movements'!G123)/100)+103/POWER(1+('CurrentPor-Equ Factor Movements'!D123+'CurrentPor-Equ Factor Movements'!G123)/100,2))*100</f>
        <v>9614.9673582483465</v>
      </c>
      <c r="D123">
        <f>(3/(1+('CurrentPor-Equ Factor Movements'!C123+'CurrentPor-Equ Factor Movements'!H123)/100)+103/POWER(1+('CurrentPor-Equ Factor Movements'!D123+'CurrentPor-Equ Factor Movements'!H123)/100,2))*100</f>
        <v>9601.2395558122898</v>
      </c>
      <c r="E123">
        <f>(3/(1+('CurrentPor-Equ Factor Movements'!C123+'CurrentPor-Equ Factor Movements'!I123)/100)+103/POWER(1+('CurrentPor-Equ Factor Movements'!D123+'CurrentPor-Equ Factor Movements'!I123)/100,2))*100</f>
        <v>9581.4547115644182</v>
      </c>
      <c r="F123">
        <f>Portfolio!B$5*'CurrentPor-Equ Factor Movements'!E123</f>
        <v>51382.869071503206</v>
      </c>
      <c r="G123">
        <f>Portfolio!B$6*'CurrentPor-Equ Factor Movements'!F123</f>
        <v>3594.0659924730176</v>
      </c>
      <c r="H123">
        <f>Portfolio!B$7*'CurrentPor-Equ Factor Movements'!J123</f>
        <v>2148.0998964419859</v>
      </c>
      <c r="I123">
        <f t="shared" si="2"/>
        <v>95630.282363472099</v>
      </c>
      <c r="J123">
        <f t="shared" si="3"/>
        <v>-1719.3940001392621</v>
      </c>
    </row>
    <row r="124" spans="1:10">
      <c r="A124" s="1">
        <v>45643</v>
      </c>
      <c r="B124">
        <f>(3/(1+('CurrentPor-Equ Factor Movements'!C124)/100)+103/POWER(1+('CurrentPor-Equ Factor Movements'!D124)/100,2))*100</f>
        <v>9707.5857774288397</v>
      </c>
      <c r="C124">
        <f>(3/(1+('CurrentPor-Equ Factor Movements'!C124+'CurrentPor-Equ Factor Movements'!G124)/100)+103/POWER(1+('CurrentPor-Equ Factor Movements'!D124+'CurrentPor-Equ Factor Movements'!G124)/100,2))*100</f>
        <v>9614.9673582483465</v>
      </c>
      <c r="D124">
        <f>(3/(1+('CurrentPor-Equ Factor Movements'!C124+'CurrentPor-Equ Factor Movements'!H124)/100)+103/POWER(1+('CurrentPor-Equ Factor Movements'!D124+'CurrentPor-Equ Factor Movements'!H124)/100,2))*100</f>
        <v>9601.2395558122898</v>
      </c>
      <c r="E124">
        <f>(3/(1+('CurrentPor-Equ Factor Movements'!C124+'CurrentPor-Equ Factor Movements'!I124)/100)+103/POWER(1+('CurrentPor-Equ Factor Movements'!D124+'CurrentPor-Equ Factor Movements'!I124)/100,2))*100</f>
        <v>9581.4547115644182</v>
      </c>
      <c r="F124">
        <f>Portfolio!B$5*'CurrentPor-Equ Factor Movements'!E124</f>
        <v>52277.241819357652</v>
      </c>
      <c r="G124">
        <f>Portfolio!B$6*'CurrentPor-Equ Factor Movements'!F124</f>
        <v>3857.6572890703078</v>
      </c>
      <c r="H124">
        <f>Portfolio!B$7*'CurrentPor-Equ Factor Movements'!J124</f>
        <v>2148.0998964419859</v>
      </c>
      <c r="I124">
        <f t="shared" si="2"/>
        <v>96788.246407923842</v>
      </c>
      <c r="J124">
        <f t="shared" si="3"/>
        <v>-635.26100961440534</v>
      </c>
    </row>
    <row r="125" spans="1:10">
      <c r="A125" s="1">
        <v>45644</v>
      </c>
      <c r="B125">
        <f>(3/(1+('CurrentPor-Equ Factor Movements'!C125)/100)+103/POWER(1+('CurrentPor-Equ Factor Movements'!D125)/100,2))*100</f>
        <v>9707.5857774288397</v>
      </c>
      <c r="C125">
        <f>(3/(1+('CurrentPor-Equ Factor Movements'!C125+'CurrentPor-Equ Factor Movements'!G125)/100)+103/POWER(1+('CurrentPor-Equ Factor Movements'!D125+'CurrentPor-Equ Factor Movements'!G125)/100,2))*100</f>
        <v>9614.9673582483465</v>
      </c>
      <c r="D125">
        <f>(3/(1+('CurrentPor-Equ Factor Movements'!C125+'CurrentPor-Equ Factor Movements'!H125)/100)+103/POWER(1+('CurrentPor-Equ Factor Movements'!D125+'CurrentPor-Equ Factor Movements'!H125)/100,2))*100</f>
        <v>9601.2395558122898</v>
      </c>
      <c r="E125">
        <f>(3/(1+('CurrentPor-Equ Factor Movements'!C125+'CurrentPor-Equ Factor Movements'!I125)/100)+103/POWER(1+('CurrentPor-Equ Factor Movements'!D125+'CurrentPor-Equ Factor Movements'!I125)/100,2))*100</f>
        <v>9581.4547115644182</v>
      </c>
      <c r="F125">
        <f>Portfolio!B$5*'CurrentPor-Equ Factor Movements'!E125</f>
        <v>53251.643351919731</v>
      </c>
      <c r="G125">
        <f>Portfolio!B$6*'CurrentPor-Equ Factor Movements'!F125</f>
        <v>3357.7844065040763</v>
      </c>
      <c r="H125">
        <f>Portfolio!B$7*'CurrentPor-Equ Factor Movements'!J125</f>
        <v>2148.0998964419859</v>
      </c>
      <c r="I125">
        <f t="shared" si="2"/>
        <v>97262.775057919687</v>
      </c>
      <c r="J125">
        <f t="shared" si="3"/>
        <v>2568.3033180531347</v>
      </c>
    </row>
    <row r="126" spans="1:10">
      <c r="A126" s="1">
        <v>45645</v>
      </c>
      <c r="B126">
        <f>(3/(1+('CurrentPor-Equ Factor Movements'!C126)/100)+103/POWER(1+('CurrentPor-Equ Factor Movements'!D126)/100,2))*100</f>
        <v>9707.5857774288397</v>
      </c>
      <c r="C126">
        <f>(3/(1+('CurrentPor-Equ Factor Movements'!C126+'CurrentPor-Equ Factor Movements'!G126)/100)+103/POWER(1+('CurrentPor-Equ Factor Movements'!D126+'CurrentPor-Equ Factor Movements'!G126)/100,2))*100</f>
        <v>9614.9673582483465</v>
      </c>
      <c r="D126">
        <f>(3/(1+('CurrentPor-Equ Factor Movements'!C126+'CurrentPor-Equ Factor Movements'!H126)/100)+103/POWER(1+('CurrentPor-Equ Factor Movements'!D126+'CurrentPor-Equ Factor Movements'!H126)/100,2))*100</f>
        <v>9601.2395558122898</v>
      </c>
      <c r="E126">
        <f>(3/(1+('CurrentPor-Equ Factor Movements'!C126+'CurrentPor-Equ Factor Movements'!I126)/100)+103/POWER(1+('CurrentPor-Equ Factor Movements'!D126+'CurrentPor-Equ Factor Movements'!I126)/100,2))*100</f>
        <v>9581.4547115644182</v>
      </c>
      <c r="F126">
        <f>Portfolio!B$5*'CurrentPor-Equ Factor Movements'!E126</f>
        <v>52062.189714518419</v>
      </c>
      <c r="G126">
        <f>Portfolio!B$6*'CurrentPor-Equ Factor Movements'!F126</f>
        <v>3427.3819863802273</v>
      </c>
      <c r="H126">
        <f>Portfolio!B$7*'CurrentPor-Equ Factor Movements'!J126</f>
        <v>2148.0998964419859</v>
      </c>
      <c r="I126">
        <f t="shared" si="2"/>
        <v>96142.91900039454</v>
      </c>
      <c r="J126">
        <f t="shared" si="3"/>
        <v>-1009.488965395285</v>
      </c>
    </row>
    <row r="127" spans="1:10">
      <c r="A127" s="1">
        <v>45646</v>
      </c>
      <c r="B127">
        <f>(3/(1+('CurrentPor-Equ Factor Movements'!C127)/100)+103/POWER(1+('CurrentPor-Equ Factor Movements'!D127)/100,2))*100</f>
        <v>9707.5857774288397</v>
      </c>
      <c r="C127">
        <f>(3/(1+('CurrentPor-Equ Factor Movements'!C127+'CurrentPor-Equ Factor Movements'!G127)/100)+103/POWER(1+('CurrentPor-Equ Factor Movements'!D127+'CurrentPor-Equ Factor Movements'!G127)/100,2))*100</f>
        <v>9614.9673582483465</v>
      </c>
      <c r="D127">
        <f>(3/(1+('CurrentPor-Equ Factor Movements'!C127+'CurrentPor-Equ Factor Movements'!H127)/100)+103/POWER(1+('CurrentPor-Equ Factor Movements'!D127+'CurrentPor-Equ Factor Movements'!H127)/100,2))*100</f>
        <v>9601.2395558122898</v>
      </c>
      <c r="E127">
        <f>(3/(1+('CurrentPor-Equ Factor Movements'!C127+'CurrentPor-Equ Factor Movements'!I127)/100)+103/POWER(1+('CurrentPor-Equ Factor Movements'!D127+'CurrentPor-Equ Factor Movements'!I127)/100,2))*100</f>
        <v>9581.4547115644182</v>
      </c>
      <c r="F127">
        <f>Portfolio!B$5*'CurrentPor-Equ Factor Movements'!E127</f>
        <v>52620.599485945437</v>
      </c>
      <c r="G127">
        <f>Portfolio!B$6*'CurrentPor-Equ Factor Movements'!F127</f>
        <v>3504.117491915305</v>
      </c>
      <c r="H127">
        <f>Portfolio!B$7*'CurrentPor-Equ Factor Movements'!J127</f>
        <v>2148.0998964419859</v>
      </c>
      <c r="I127">
        <f t="shared" si="2"/>
        <v>96778.064277356621</v>
      </c>
      <c r="J127">
        <f t="shared" si="3"/>
        <v>-263.6808171038283</v>
      </c>
    </row>
    <row r="128" spans="1:10">
      <c r="A128" s="1">
        <v>45649</v>
      </c>
      <c r="B128">
        <f>(3/(1+('CurrentPor-Equ Factor Movements'!C128)/100)+103/POWER(1+('CurrentPor-Equ Factor Movements'!D128)/100,2))*100</f>
        <v>9707.5857774288397</v>
      </c>
      <c r="C128">
        <f>(3/(1+('CurrentPor-Equ Factor Movements'!C128+'CurrentPor-Equ Factor Movements'!G128)/100)+103/POWER(1+('CurrentPor-Equ Factor Movements'!D128+'CurrentPor-Equ Factor Movements'!G128)/100,2))*100</f>
        <v>9614.9673582483465</v>
      </c>
      <c r="D128">
        <f>(3/(1+('CurrentPor-Equ Factor Movements'!C128+'CurrentPor-Equ Factor Movements'!H128)/100)+103/POWER(1+('CurrentPor-Equ Factor Movements'!D128+'CurrentPor-Equ Factor Movements'!H128)/100,2))*100</f>
        <v>9601.2395558122898</v>
      </c>
      <c r="E128">
        <f>(3/(1+('CurrentPor-Equ Factor Movements'!C128+'CurrentPor-Equ Factor Movements'!I128)/100)+103/POWER(1+('CurrentPor-Equ Factor Movements'!D128+'CurrentPor-Equ Factor Movements'!I128)/100,2))*100</f>
        <v>9581.4547115644182</v>
      </c>
      <c r="F128">
        <f>Portfolio!B$5*'CurrentPor-Equ Factor Movements'!E128</f>
        <v>51704.493262395728</v>
      </c>
      <c r="G128">
        <f>Portfolio!B$6*'CurrentPor-Equ Factor Movements'!F128</f>
        <v>3878.0175946295344</v>
      </c>
      <c r="H128">
        <f>Portfolio!B$7*'CurrentPor-Equ Factor Movements'!J128</f>
        <v>2148.0998964419859</v>
      </c>
      <c r="I128">
        <f t="shared" si="2"/>
        <v>96235.858156521135</v>
      </c>
      <c r="J128">
        <f t="shared" si="3"/>
        <v>-243.33181245927699</v>
      </c>
    </row>
    <row r="129" spans="1:10">
      <c r="A129" s="1">
        <v>45650</v>
      </c>
      <c r="B129">
        <f>(3/(1+('CurrentPor-Equ Factor Movements'!C129)/100)+103/POWER(1+('CurrentPor-Equ Factor Movements'!D129)/100,2))*100</f>
        <v>9707.5857774288397</v>
      </c>
      <c r="C129">
        <f>(3/(1+('CurrentPor-Equ Factor Movements'!C129+'CurrentPor-Equ Factor Movements'!G129)/100)+103/POWER(1+('CurrentPor-Equ Factor Movements'!D129+'CurrentPor-Equ Factor Movements'!G129)/100,2))*100</f>
        <v>9614.9673582483465</v>
      </c>
      <c r="D129">
        <f>(3/(1+('CurrentPor-Equ Factor Movements'!C129+'CurrentPor-Equ Factor Movements'!H129)/100)+103/POWER(1+('CurrentPor-Equ Factor Movements'!D129+'CurrentPor-Equ Factor Movements'!H129)/100,2))*100</f>
        <v>9601.2395558122898</v>
      </c>
      <c r="E129">
        <f>(3/(1+('CurrentPor-Equ Factor Movements'!C129+'CurrentPor-Equ Factor Movements'!I129)/100)+103/POWER(1+('CurrentPor-Equ Factor Movements'!D129+'CurrentPor-Equ Factor Movements'!I129)/100,2))*100</f>
        <v>9581.4547115644182</v>
      </c>
      <c r="F129">
        <f>Portfolio!B$5*'CurrentPor-Equ Factor Movements'!E129</f>
        <v>52564.383161138838</v>
      </c>
      <c r="G129">
        <f>Portfolio!B$6*'CurrentPor-Equ Factor Movements'!F129</f>
        <v>3276.8439329408229</v>
      </c>
      <c r="H129">
        <f>Portfolio!B$7*'CurrentPor-Equ Factor Movements'!J129</f>
        <v>2148.0998964419859</v>
      </c>
      <c r="I129">
        <f t="shared" si="2"/>
        <v>96494.574393575545</v>
      </c>
      <c r="J129">
        <f t="shared" si="3"/>
        <v>-176.6698278573167</v>
      </c>
    </row>
    <row r="130" spans="1:10">
      <c r="A130" s="1">
        <v>45651</v>
      </c>
      <c r="B130">
        <f>(3/(1+('CurrentPor-Equ Factor Movements'!C130)/100)+103/POWER(1+('CurrentPor-Equ Factor Movements'!D130)/100,2))*100</f>
        <v>9707.5857774288397</v>
      </c>
      <c r="C130">
        <f>(3/(1+('CurrentPor-Equ Factor Movements'!C130+'CurrentPor-Equ Factor Movements'!G130)/100)+103/POWER(1+('CurrentPor-Equ Factor Movements'!D130+'CurrentPor-Equ Factor Movements'!G130)/100,2))*100</f>
        <v>9614.9673582483465</v>
      </c>
      <c r="D130">
        <f>(3/(1+('CurrentPor-Equ Factor Movements'!C130+'CurrentPor-Equ Factor Movements'!H130)/100)+103/POWER(1+('CurrentPor-Equ Factor Movements'!D130+'CurrentPor-Equ Factor Movements'!H130)/100,2))*100</f>
        <v>9601.2395558122898</v>
      </c>
      <c r="E130">
        <f>(3/(1+('CurrentPor-Equ Factor Movements'!C130+'CurrentPor-Equ Factor Movements'!I130)/100)+103/POWER(1+('CurrentPor-Equ Factor Movements'!D130+'CurrentPor-Equ Factor Movements'!I130)/100,2))*100</f>
        <v>9581.4547115644182</v>
      </c>
      <c r="F130">
        <f>Portfolio!B$5*'CurrentPor-Equ Factor Movements'!E130</f>
        <v>52712.274850635848</v>
      </c>
      <c r="G130">
        <f>Portfolio!B$6*'CurrentPor-Equ Factor Movements'!F130</f>
        <v>3507.688770384028</v>
      </c>
      <c r="H130">
        <f>Portfolio!B$7*'CurrentPor-Equ Factor Movements'!J130</f>
        <v>2148.0998964419859</v>
      </c>
      <c r="I130">
        <f t="shared" si="2"/>
        <v>96873.310920515753</v>
      </c>
      <c r="J130">
        <f t="shared" si="3"/>
        <v>600.30707111631637</v>
      </c>
    </row>
    <row r="131" spans="1:10">
      <c r="A131" s="1">
        <v>45652</v>
      </c>
      <c r="B131">
        <f>(3/(1+('CurrentPor-Equ Factor Movements'!C131)/100)+103/POWER(1+('CurrentPor-Equ Factor Movements'!D131)/100,2))*100</f>
        <v>9707.5857774288397</v>
      </c>
      <c r="C131">
        <f>(3/(1+('CurrentPor-Equ Factor Movements'!C131+'CurrentPor-Equ Factor Movements'!G131)/100)+103/POWER(1+('CurrentPor-Equ Factor Movements'!D131+'CurrentPor-Equ Factor Movements'!G131)/100,2))*100</f>
        <v>9614.9673582483465</v>
      </c>
      <c r="D131">
        <f>(3/(1+('CurrentPor-Equ Factor Movements'!C131+'CurrentPor-Equ Factor Movements'!H131)/100)+103/POWER(1+('CurrentPor-Equ Factor Movements'!D131+'CurrentPor-Equ Factor Movements'!H131)/100,2))*100</f>
        <v>9601.2395558122898</v>
      </c>
      <c r="E131">
        <f>(3/(1+('CurrentPor-Equ Factor Movements'!C131+'CurrentPor-Equ Factor Movements'!I131)/100)+103/POWER(1+('CurrentPor-Equ Factor Movements'!D131+'CurrentPor-Equ Factor Movements'!I131)/100,2))*100</f>
        <v>9581.4547115644182</v>
      </c>
      <c r="F131">
        <f>Portfolio!B$5*'CurrentPor-Equ Factor Movements'!E131</f>
        <v>52467.140023830805</v>
      </c>
      <c r="G131">
        <f>Portfolio!B$6*'CurrentPor-Equ Factor Movements'!F131</f>
        <v>3726.9325583002301</v>
      </c>
      <c r="H131">
        <f>Portfolio!B$7*'CurrentPor-Equ Factor Movements'!J131</f>
        <v>2148.0998964419859</v>
      </c>
      <c r="I131">
        <f t="shared" si="2"/>
        <v>96847.41988162692</v>
      </c>
      <c r="J131">
        <f t="shared" si="3"/>
        <v>-259.84098383669334</v>
      </c>
    </row>
    <row r="132" spans="1:10">
      <c r="A132" s="1">
        <v>45653</v>
      </c>
      <c r="B132">
        <f>(3/(1+('CurrentPor-Equ Factor Movements'!C132)/100)+103/POWER(1+('CurrentPor-Equ Factor Movements'!D132)/100,2))*100</f>
        <v>9707.5857774288397</v>
      </c>
      <c r="C132">
        <f>(3/(1+('CurrentPor-Equ Factor Movements'!C132+'CurrentPor-Equ Factor Movements'!G132)/100)+103/POWER(1+('CurrentPor-Equ Factor Movements'!D132+'CurrentPor-Equ Factor Movements'!G132)/100,2))*100</f>
        <v>9614.9673582483465</v>
      </c>
      <c r="D132">
        <f>(3/(1+('CurrentPor-Equ Factor Movements'!C132+'CurrentPor-Equ Factor Movements'!H132)/100)+103/POWER(1+('CurrentPor-Equ Factor Movements'!D132+'CurrentPor-Equ Factor Movements'!H132)/100,2))*100</f>
        <v>9601.2395558122898</v>
      </c>
      <c r="E132">
        <f>(3/(1+('CurrentPor-Equ Factor Movements'!C132+'CurrentPor-Equ Factor Movements'!I132)/100)+103/POWER(1+('CurrentPor-Equ Factor Movements'!D132+'CurrentPor-Equ Factor Movements'!I132)/100,2))*100</f>
        <v>9581.4547115644182</v>
      </c>
      <c r="F132">
        <f>Portfolio!B$5*'CurrentPor-Equ Factor Movements'!E132</f>
        <v>53811.054275070499</v>
      </c>
      <c r="G132">
        <f>Portfolio!B$6*'CurrentPor-Equ Factor Movements'!F132</f>
        <v>3755.683464850757</v>
      </c>
      <c r="H132">
        <f>Portfolio!B$7*'CurrentPor-Equ Factor Movements'!J132</f>
        <v>2148.0998964419859</v>
      </c>
      <c r="I132">
        <f t="shared" ref="I132:I187" si="4">SUM(B132:H132)</f>
        <v>98220.085039417128</v>
      </c>
      <c r="J132">
        <f t="shared" si="3"/>
        <v>-51.154013613442658</v>
      </c>
    </row>
    <row r="133" spans="1:10">
      <c r="A133" s="1">
        <v>45656</v>
      </c>
      <c r="B133">
        <f>(3/(1+('CurrentPor-Equ Factor Movements'!C133)/100)+103/POWER(1+('CurrentPor-Equ Factor Movements'!D133)/100,2))*100</f>
        <v>9707.5857774288397</v>
      </c>
      <c r="C133">
        <f>(3/(1+('CurrentPor-Equ Factor Movements'!C133+'CurrentPor-Equ Factor Movements'!G133)/100)+103/POWER(1+('CurrentPor-Equ Factor Movements'!D133+'CurrentPor-Equ Factor Movements'!G133)/100,2))*100</f>
        <v>9614.9673582483465</v>
      </c>
      <c r="D133">
        <f>(3/(1+('CurrentPor-Equ Factor Movements'!C133+'CurrentPor-Equ Factor Movements'!H133)/100)+103/POWER(1+('CurrentPor-Equ Factor Movements'!D133+'CurrentPor-Equ Factor Movements'!H133)/100,2))*100</f>
        <v>9601.2395558122898</v>
      </c>
      <c r="E133">
        <f>(3/(1+('CurrentPor-Equ Factor Movements'!C133+'CurrentPor-Equ Factor Movements'!I133)/100)+103/POWER(1+('CurrentPor-Equ Factor Movements'!D133+'CurrentPor-Equ Factor Movements'!I133)/100,2))*100</f>
        <v>9581.4547115644182</v>
      </c>
      <c r="F133">
        <f>Portfolio!B$5*'CurrentPor-Equ Factor Movements'!E133</f>
        <v>51758.580679038554</v>
      </c>
      <c r="G133">
        <f>Portfolio!B$6*'CurrentPor-Equ Factor Movements'!F133</f>
        <v>3721.6915567990754</v>
      </c>
      <c r="H133">
        <f>Portfolio!B$7*'CurrentPor-Equ Factor Movements'!J133</f>
        <v>2148.0998964419859</v>
      </c>
      <c r="I133">
        <f t="shared" si="4"/>
        <v>96133.619535333521</v>
      </c>
      <c r="J133">
        <f t="shared" si="3"/>
        <v>503.33717186142167</v>
      </c>
    </row>
    <row r="134" spans="1:10">
      <c r="A134" s="1">
        <v>45657</v>
      </c>
      <c r="B134">
        <f>(3/(1+('CurrentPor-Equ Factor Movements'!C134)/100)+103/POWER(1+('CurrentPor-Equ Factor Movements'!D134)/100,2))*100</f>
        <v>9707.5857774288397</v>
      </c>
      <c r="C134">
        <f>(3/(1+('CurrentPor-Equ Factor Movements'!C134+'CurrentPor-Equ Factor Movements'!G134)/100)+103/POWER(1+('CurrentPor-Equ Factor Movements'!D134+'CurrentPor-Equ Factor Movements'!G134)/100,2))*100</f>
        <v>9614.9673582483465</v>
      </c>
      <c r="D134">
        <f>(3/(1+('CurrentPor-Equ Factor Movements'!C134+'CurrentPor-Equ Factor Movements'!H134)/100)+103/POWER(1+('CurrentPor-Equ Factor Movements'!D134+'CurrentPor-Equ Factor Movements'!H134)/100,2))*100</f>
        <v>9601.2395558122898</v>
      </c>
      <c r="E134">
        <f>(3/(1+('CurrentPor-Equ Factor Movements'!C134+'CurrentPor-Equ Factor Movements'!I134)/100)+103/POWER(1+('CurrentPor-Equ Factor Movements'!D134+'CurrentPor-Equ Factor Movements'!I134)/100,2))*100</f>
        <v>9581.4547115644182</v>
      </c>
      <c r="F134">
        <f>Portfolio!B$5*'CurrentPor-Equ Factor Movements'!E134</f>
        <v>52126.552072319166</v>
      </c>
      <c r="G134">
        <f>Portfolio!B$6*'CurrentPor-Equ Factor Movements'!F134</f>
        <v>3509.5293562251563</v>
      </c>
      <c r="H134">
        <f>Portfolio!B$7*'CurrentPor-Equ Factor Movements'!J134</f>
        <v>2148.0998964419859</v>
      </c>
      <c r="I134">
        <f t="shared" si="4"/>
        <v>96289.428728040206</v>
      </c>
      <c r="J134">
        <f t="shared" si="3"/>
        <v>-498.81767988363572</v>
      </c>
    </row>
    <row r="135" spans="1:10">
      <c r="A135" s="1">
        <v>45658</v>
      </c>
      <c r="B135">
        <f>(3/(1+('CurrentPor-Equ Factor Movements'!C135)/100)+103/POWER(1+('CurrentPor-Equ Factor Movements'!D135)/100,2))*100</f>
        <v>9707.5857774288397</v>
      </c>
      <c r="C135">
        <f>(3/(1+('CurrentPor-Equ Factor Movements'!C135+'CurrentPor-Equ Factor Movements'!G135)/100)+103/POWER(1+('CurrentPor-Equ Factor Movements'!D135+'CurrentPor-Equ Factor Movements'!G135)/100,2))*100</f>
        <v>9614.9673582483465</v>
      </c>
      <c r="D135">
        <f>(3/(1+('CurrentPor-Equ Factor Movements'!C135+'CurrentPor-Equ Factor Movements'!H135)/100)+103/POWER(1+('CurrentPor-Equ Factor Movements'!D135+'CurrentPor-Equ Factor Movements'!H135)/100,2))*100</f>
        <v>9601.2395558122898</v>
      </c>
      <c r="E135">
        <f>(3/(1+('CurrentPor-Equ Factor Movements'!C135+'CurrentPor-Equ Factor Movements'!I135)/100)+103/POWER(1+('CurrentPor-Equ Factor Movements'!D135+'CurrentPor-Equ Factor Movements'!I135)/100,2))*100</f>
        <v>9581.4547115644182</v>
      </c>
      <c r="F135">
        <f>Portfolio!B$5*'CurrentPor-Equ Factor Movements'!E135</f>
        <v>51654.045636690978</v>
      </c>
      <c r="G135">
        <f>Portfolio!B$6*'CurrentPor-Equ Factor Movements'!F135</f>
        <v>3349.3286657754147</v>
      </c>
      <c r="H135">
        <f>Portfolio!B$7*'CurrentPor-Equ Factor Movements'!J135</f>
        <v>2148.0998964419859</v>
      </c>
      <c r="I135">
        <f t="shared" si="4"/>
        <v>95656.721601962272</v>
      </c>
      <c r="J135">
        <f t="shared" si="3"/>
        <v>-1606.0534559574153</v>
      </c>
    </row>
    <row r="136" spans="1:10">
      <c r="A136" s="1">
        <v>45659</v>
      </c>
      <c r="B136">
        <f>(3/(1+('CurrentPor-Equ Factor Movements'!C136)/100)+103/POWER(1+('CurrentPor-Equ Factor Movements'!D136)/100,2))*100</f>
        <v>9707.5857774288397</v>
      </c>
      <c r="C136">
        <f>(3/(1+('CurrentPor-Equ Factor Movements'!C136+'CurrentPor-Equ Factor Movements'!G136)/100)+103/POWER(1+('CurrentPor-Equ Factor Movements'!D136+'CurrentPor-Equ Factor Movements'!G136)/100,2))*100</f>
        <v>9614.9673582483465</v>
      </c>
      <c r="D136">
        <f>(3/(1+('CurrentPor-Equ Factor Movements'!C136+'CurrentPor-Equ Factor Movements'!H136)/100)+103/POWER(1+('CurrentPor-Equ Factor Movements'!D136+'CurrentPor-Equ Factor Movements'!H136)/100,2))*100</f>
        <v>9601.2395558122898</v>
      </c>
      <c r="E136">
        <f>(3/(1+('CurrentPor-Equ Factor Movements'!C136+'CurrentPor-Equ Factor Movements'!I136)/100)+103/POWER(1+('CurrentPor-Equ Factor Movements'!D136+'CurrentPor-Equ Factor Movements'!I136)/100,2))*100</f>
        <v>9581.4547115644182</v>
      </c>
      <c r="F136">
        <f>Portfolio!B$5*'CurrentPor-Equ Factor Movements'!E136</f>
        <v>52369.561273494823</v>
      </c>
      <c r="G136">
        <f>Portfolio!B$6*'CurrentPor-Equ Factor Movements'!F136</f>
        <v>3443.9675066131363</v>
      </c>
      <c r="H136">
        <f>Portfolio!B$7*'CurrentPor-Equ Factor Movements'!J136</f>
        <v>2148.0998964419859</v>
      </c>
      <c r="I136">
        <f t="shared" si="4"/>
        <v>96466.876079603826</v>
      </c>
      <c r="J136">
        <f t="shared" si="3"/>
        <v>323.95707920928544</v>
      </c>
    </row>
    <row r="137" spans="1:10">
      <c r="A137" s="1">
        <v>45660</v>
      </c>
      <c r="B137">
        <f>(3/(1+('CurrentPor-Equ Factor Movements'!C137)/100)+103/POWER(1+('CurrentPor-Equ Factor Movements'!D137)/100,2))*100</f>
        <v>9707.5857774288397</v>
      </c>
      <c r="C137">
        <f>(3/(1+('CurrentPor-Equ Factor Movements'!C137+'CurrentPor-Equ Factor Movements'!G137)/100)+103/POWER(1+('CurrentPor-Equ Factor Movements'!D137+'CurrentPor-Equ Factor Movements'!G137)/100,2))*100</f>
        <v>9614.9673582483465</v>
      </c>
      <c r="D137">
        <f>(3/(1+('CurrentPor-Equ Factor Movements'!C137+'CurrentPor-Equ Factor Movements'!H137)/100)+103/POWER(1+('CurrentPor-Equ Factor Movements'!D137+'CurrentPor-Equ Factor Movements'!H137)/100,2))*100</f>
        <v>9601.2395558122898</v>
      </c>
      <c r="E137">
        <f>(3/(1+('CurrentPor-Equ Factor Movements'!C137+'CurrentPor-Equ Factor Movements'!I137)/100)+103/POWER(1+('CurrentPor-Equ Factor Movements'!D137+'CurrentPor-Equ Factor Movements'!I137)/100,2))*100</f>
        <v>9581.4547115644182</v>
      </c>
      <c r="F137">
        <f>Portfolio!B$5*'CurrentPor-Equ Factor Movements'!E137</f>
        <v>51944.142404343111</v>
      </c>
      <c r="G137">
        <f>Portfolio!B$6*'CurrentPor-Equ Factor Movements'!F137</f>
        <v>3795.7151253170559</v>
      </c>
      <c r="H137">
        <f>Portfolio!B$7*'CurrentPor-Equ Factor Movements'!J137</f>
        <v>2148.0998964419859</v>
      </c>
      <c r="I137">
        <f t="shared" si="4"/>
        <v>96393.20482915605</v>
      </c>
      <c r="J137">
        <f t="shared" si="3"/>
        <v>-384.85944820057193</v>
      </c>
    </row>
    <row r="138" spans="1:10">
      <c r="A138" s="1">
        <v>45663</v>
      </c>
      <c r="B138">
        <f>(3/(1+('CurrentPor-Equ Factor Movements'!C138)/100)+103/POWER(1+('CurrentPor-Equ Factor Movements'!D138)/100,2))*100</f>
        <v>9707.5857774288397</v>
      </c>
      <c r="C138">
        <f>(3/(1+('CurrentPor-Equ Factor Movements'!C138+'CurrentPor-Equ Factor Movements'!G138)/100)+103/POWER(1+('CurrentPor-Equ Factor Movements'!D138+'CurrentPor-Equ Factor Movements'!G138)/100,2))*100</f>
        <v>9614.9673582483465</v>
      </c>
      <c r="D138">
        <f>(3/(1+('CurrentPor-Equ Factor Movements'!C138+'CurrentPor-Equ Factor Movements'!H138)/100)+103/POWER(1+('CurrentPor-Equ Factor Movements'!D138+'CurrentPor-Equ Factor Movements'!H138)/100,2))*100</f>
        <v>9601.2395558122898</v>
      </c>
      <c r="E138">
        <f>(3/(1+('CurrentPor-Equ Factor Movements'!C138+'CurrentPor-Equ Factor Movements'!I138)/100)+103/POWER(1+('CurrentPor-Equ Factor Movements'!D138+'CurrentPor-Equ Factor Movements'!I138)/100,2))*100</f>
        <v>9581.4547115644182</v>
      </c>
      <c r="F138">
        <f>Portfolio!B$5*'CurrentPor-Equ Factor Movements'!E138</f>
        <v>51028.619561554071</v>
      </c>
      <c r="G138">
        <f>Portfolio!B$6*'CurrentPor-Equ Factor Movements'!F138</f>
        <v>3489.7902281938982</v>
      </c>
      <c r="H138">
        <f>Portfolio!B$7*'CurrentPor-Equ Factor Movements'!J138</f>
        <v>2148.0998964419859</v>
      </c>
      <c r="I138">
        <f t="shared" si="4"/>
        <v>95171.757089243853</v>
      </c>
      <c r="J138">
        <f t="shared" si="3"/>
        <v>-1064.1010672772827</v>
      </c>
    </row>
    <row r="139" spans="1:10">
      <c r="A139" s="1">
        <v>45664</v>
      </c>
      <c r="B139">
        <f>(3/(1+('CurrentPor-Equ Factor Movements'!C139)/100)+103/POWER(1+('CurrentPor-Equ Factor Movements'!D139)/100,2))*100</f>
        <v>9707.5857774288397</v>
      </c>
      <c r="C139">
        <f>(3/(1+('CurrentPor-Equ Factor Movements'!C139+'CurrentPor-Equ Factor Movements'!G139)/100)+103/POWER(1+('CurrentPor-Equ Factor Movements'!D139+'CurrentPor-Equ Factor Movements'!G139)/100,2))*100</f>
        <v>9614.9673582483465</v>
      </c>
      <c r="D139">
        <f>(3/(1+('CurrentPor-Equ Factor Movements'!C139+'CurrentPor-Equ Factor Movements'!H139)/100)+103/POWER(1+('CurrentPor-Equ Factor Movements'!D139+'CurrentPor-Equ Factor Movements'!H139)/100,2))*100</f>
        <v>9601.2395558122898</v>
      </c>
      <c r="E139">
        <f>(3/(1+('CurrentPor-Equ Factor Movements'!C139+'CurrentPor-Equ Factor Movements'!I139)/100)+103/POWER(1+('CurrentPor-Equ Factor Movements'!D139+'CurrentPor-Equ Factor Movements'!I139)/100,2))*100</f>
        <v>9581.4547115644182</v>
      </c>
      <c r="F139">
        <f>Portfolio!B$5*'CurrentPor-Equ Factor Movements'!E139</f>
        <v>51845.403149935511</v>
      </c>
      <c r="G139">
        <f>Portfolio!B$6*'CurrentPor-Equ Factor Movements'!F139</f>
        <v>3286.1107183401787</v>
      </c>
      <c r="H139">
        <f>Portfolio!B$7*'CurrentPor-Equ Factor Movements'!J139</f>
        <v>2148.0998964419859</v>
      </c>
      <c r="I139">
        <f t="shared" si="4"/>
        <v>95784.861167771567</v>
      </c>
      <c r="J139">
        <f t="shared" si="3"/>
        <v>-709.71322580397828</v>
      </c>
    </row>
    <row r="140" spans="1:10">
      <c r="A140" s="1">
        <v>45665</v>
      </c>
      <c r="B140">
        <f>(3/(1+('CurrentPor-Equ Factor Movements'!C140)/100)+103/POWER(1+('CurrentPor-Equ Factor Movements'!D140)/100,2))*100</f>
        <v>9707.5857774288397</v>
      </c>
      <c r="C140">
        <f>(3/(1+('CurrentPor-Equ Factor Movements'!C140+'CurrentPor-Equ Factor Movements'!G140)/100)+103/POWER(1+('CurrentPor-Equ Factor Movements'!D140+'CurrentPor-Equ Factor Movements'!G140)/100,2))*100</f>
        <v>9614.9673582483465</v>
      </c>
      <c r="D140">
        <f>(3/(1+('CurrentPor-Equ Factor Movements'!C140+'CurrentPor-Equ Factor Movements'!H140)/100)+103/POWER(1+('CurrentPor-Equ Factor Movements'!D140+'CurrentPor-Equ Factor Movements'!H140)/100,2))*100</f>
        <v>9601.2395558122898</v>
      </c>
      <c r="E140">
        <f>(3/(1+('CurrentPor-Equ Factor Movements'!C140+'CurrentPor-Equ Factor Movements'!I140)/100)+103/POWER(1+('CurrentPor-Equ Factor Movements'!D140+'CurrentPor-Equ Factor Movements'!I140)/100,2))*100</f>
        <v>9581.4547115644182</v>
      </c>
      <c r="F140">
        <f>Portfolio!B$5*'CurrentPor-Equ Factor Movements'!E140</f>
        <v>52334.793657173643</v>
      </c>
      <c r="G140">
        <f>Portfolio!B$6*'CurrentPor-Equ Factor Movements'!F140</f>
        <v>3620.2205933651639</v>
      </c>
      <c r="H140">
        <f>Portfolio!B$7*'CurrentPor-Equ Factor Movements'!J140</f>
        <v>2148.0998964419859</v>
      </c>
      <c r="I140">
        <f t="shared" si="4"/>
        <v>96608.361550034679</v>
      </c>
      <c r="J140">
        <f t="shared" si="3"/>
        <v>-264.94937048107386</v>
      </c>
    </row>
    <row r="141" spans="1:10">
      <c r="A141" s="1">
        <v>45666</v>
      </c>
      <c r="B141">
        <f>(3/(1+('CurrentPor-Equ Factor Movements'!C141)/100)+103/POWER(1+('CurrentPor-Equ Factor Movements'!D141)/100,2))*100</f>
        <v>9707.5857774288397</v>
      </c>
      <c r="C141">
        <f>(3/(1+('CurrentPor-Equ Factor Movements'!C141+'CurrentPor-Equ Factor Movements'!G141)/100)+103/POWER(1+('CurrentPor-Equ Factor Movements'!D141+'CurrentPor-Equ Factor Movements'!G141)/100,2))*100</f>
        <v>9614.9673582483465</v>
      </c>
      <c r="D141">
        <f>(3/(1+('CurrentPor-Equ Factor Movements'!C141+'CurrentPor-Equ Factor Movements'!H141)/100)+103/POWER(1+('CurrentPor-Equ Factor Movements'!D141+'CurrentPor-Equ Factor Movements'!H141)/100,2))*100</f>
        <v>9601.2395558122898</v>
      </c>
      <c r="E141">
        <f>(3/(1+('CurrentPor-Equ Factor Movements'!C141+'CurrentPor-Equ Factor Movements'!I141)/100)+103/POWER(1+('CurrentPor-Equ Factor Movements'!D141+'CurrentPor-Equ Factor Movements'!I141)/100,2))*100</f>
        <v>9581.4547115644182</v>
      </c>
      <c r="F141">
        <f>Portfolio!B$5*'CurrentPor-Equ Factor Movements'!E141</f>
        <v>51424.723628728338</v>
      </c>
      <c r="G141">
        <f>Portfolio!B$6*'CurrentPor-Equ Factor Movements'!F141</f>
        <v>3634.7420132057855</v>
      </c>
      <c r="H141">
        <f>Portfolio!B$7*'CurrentPor-Equ Factor Movements'!J141</f>
        <v>2148.0998964419859</v>
      </c>
      <c r="I141">
        <f t="shared" si="4"/>
        <v>95712.812941430006</v>
      </c>
      <c r="J141">
        <f t="shared" si="3"/>
        <v>-1134.6069401969144</v>
      </c>
    </row>
    <row r="142" spans="1:10">
      <c r="A142" s="1">
        <v>45667</v>
      </c>
      <c r="B142">
        <f>(3/(1+('CurrentPor-Equ Factor Movements'!C142)/100)+103/POWER(1+('CurrentPor-Equ Factor Movements'!D142)/100,2))*100</f>
        <v>9707.5857774288397</v>
      </c>
      <c r="C142">
        <f>(3/(1+('CurrentPor-Equ Factor Movements'!C142+'CurrentPor-Equ Factor Movements'!G142)/100)+103/POWER(1+('CurrentPor-Equ Factor Movements'!D142+'CurrentPor-Equ Factor Movements'!G142)/100,2))*100</f>
        <v>9614.9673582483465</v>
      </c>
      <c r="D142">
        <f>(3/(1+('CurrentPor-Equ Factor Movements'!C142+'CurrentPor-Equ Factor Movements'!H142)/100)+103/POWER(1+('CurrentPor-Equ Factor Movements'!D142+'CurrentPor-Equ Factor Movements'!H142)/100,2))*100</f>
        <v>9601.2395558122898</v>
      </c>
      <c r="E142">
        <f>(3/(1+('CurrentPor-Equ Factor Movements'!C142+'CurrentPor-Equ Factor Movements'!I142)/100)+103/POWER(1+('CurrentPor-Equ Factor Movements'!D142+'CurrentPor-Equ Factor Movements'!I142)/100,2))*100</f>
        <v>9581.4547115644182</v>
      </c>
      <c r="F142">
        <f>Portfolio!B$5*'CurrentPor-Equ Factor Movements'!E142</f>
        <v>52886.146886242481</v>
      </c>
      <c r="G142">
        <f>Portfolio!B$6*'CurrentPor-Equ Factor Movements'!F142</f>
        <v>3989.0964537386167</v>
      </c>
      <c r="H142">
        <f>Portfolio!B$7*'CurrentPor-Equ Factor Movements'!J142</f>
        <v>2148.0998964419859</v>
      </c>
      <c r="I142">
        <f t="shared" si="4"/>
        <v>97528.590639476985</v>
      </c>
      <c r="J142">
        <f t="shared" ref="J142:J187" si="5">I142-I132</f>
        <v>-691.49439994014392</v>
      </c>
    </row>
    <row r="143" spans="1:10">
      <c r="A143" s="1">
        <v>45670</v>
      </c>
      <c r="B143">
        <f>(3/(1+('CurrentPor-Equ Factor Movements'!C143)/100)+103/POWER(1+('CurrentPor-Equ Factor Movements'!D143)/100,2))*100</f>
        <v>9707.5857774288397</v>
      </c>
      <c r="C143">
        <f>(3/(1+('CurrentPor-Equ Factor Movements'!C143+'CurrentPor-Equ Factor Movements'!G143)/100)+103/POWER(1+('CurrentPor-Equ Factor Movements'!D143+'CurrentPor-Equ Factor Movements'!G143)/100,2))*100</f>
        <v>9614.9673582483465</v>
      </c>
      <c r="D143">
        <f>(3/(1+('CurrentPor-Equ Factor Movements'!C143+'CurrentPor-Equ Factor Movements'!H143)/100)+103/POWER(1+('CurrentPor-Equ Factor Movements'!D143+'CurrentPor-Equ Factor Movements'!H143)/100,2))*100</f>
        <v>9601.2395558122898</v>
      </c>
      <c r="E143">
        <f>(3/(1+('CurrentPor-Equ Factor Movements'!C143+'CurrentPor-Equ Factor Movements'!I143)/100)+103/POWER(1+('CurrentPor-Equ Factor Movements'!D143+'CurrentPor-Equ Factor Movements'!I143)/100,2))*100</f>
        <v>9581.4547115644182</v>
      </c>
      <c r="F143">
        <f>Portfolio!B$5*'CurrentPor-Equ Factor Movements'!E143</f>
        <v>53039.885736250224</v>
      </c>
      <c r="G143">
        <f>Portfolio!B$6*'CurrentPor-Equ Factor Movements'!F143</f>
        <v>3271.855116929421</v>
      </c>
      <c r="H143">
        <f>Portfolio!B$7*'CurrentPor-Equ Factor Movements'!J143</f>
        <v>2148.0998964419859</v>
      </c>
      <c r="I143">
        <f t="shared" si="4"/>
        <v>96965.088152675526</v>
      </c>
      <c r="J143">
        <f t="shared" si="5"/>
        <v>831.46861734200502</v>
      </c>
    </row>
    <row r="144" spans="1:10">
      <c r="A144" s="1">
        <v>45671</v>
      </c>
      <c r="B144">
        <f>(3/(1+('CurrentPor-Equ Factor Movements'!C144)/100)+103/POWER(1+('CurrentPor-Equ Factor Movements'!D144)/100,2))*100</f>
        <v>9707.5857774288397</v>
      </c>
      <c r="C144">
        <f>(3/(1+('CurrentPor-Equ Factor Movements'!C144+'CurrentPor-Equ Factor Movements'!G144)/100)+103/POWER(1+('CurrentPor-Equ Factor Movements'!D144+'CurrentPor-Equ Factor Movements'!G144)/100,2))*100</f>
        <v>9614.9673582483465</v>
      </c>
      <c r="D144">
        <f>(3/(1+('CurrentPor-Equ Factor Movements'!C144+'CurrentPor-Equ Factor Movements'!H144)/100)+103/POWER(1+('CurrentPor-Equ Factor Movements'!D144+'CurrentPor-Equ Factor Movements'!H144)/100,2))*100</f>
        <v>9601.2395558122898</v>
      </c>
      <c r="E144">
        <f>(3/(1+('CurrentPor-Equ Factor Movements'!C144+'CurrentPor-Equ Factor Movements'!I144)/100)+103/POWER(1+('CurrentPor-Equ Factor Movements'!D144+'CurrentPor-Equ Factor Movements'!I144)/100,2))*100</f>
        <v>9581.4547115644182</v>
      </c>
      <c r="F144">
        <f>Portfolio!B$5*'CurrentPor-Equ Factor Movements'!E144</f>
        <v>52281.32549493113</v>
      </c>
      <c r="G144">
        <f>Portfolio!B$6*'CurrentPor-Equ Factor Movements'!F144</f>
        <v>3472.1626413004542</v>
      </c>
      <c r="H144">
        <f>Portfolio!B$7*'CurrentPor-Equ Factor Movements'!J144</f>
        <v>2148.0998964419859</v>
      </c>
      <c r="I144">
        <f t="shared" si="4"/>
        <v>96406.835435727466</v>
      </c>
      <c r="J144">
        <f t="shared" si="5"/>
        <v>117.40670768725977</v>
      </c>
    </row>
    <row r="145" spans="1:10">
      <c r="A145" s="1">
        <v>45672</v>
      </c>
      <c r="B145">
        <f>(3/(1+('CurrentPor-Equ Factor Movements'!C145)/100)+103/POWER(1+('CurrentPor-Equ Factor Movements'!D145)/100,2))*100</f>
        <v>9707.5857774288397</v>
      </c>
      <c r="C145">
        <f>(3/(1+('CurrentPor-Equ Factor Movements'!C145+'CurrentPor-Equ Factor Movements'!G145)/100)+103/POWER(1+('CurrentPor-Equ Factor Movements'!D145+'CurrentPor-Equ Factor Movements'!G145)/100,2))*100</f>
        <v>9614.9673582483465</v>
      </c>
      <c r="D145">
        <f>(3/(1+('CurrentPor-Equ Factor Movements'!C145+'CurrentPor-Equ Factor Movements'!H145)/100)+103/POWER(1+('CurrentPor-Equ Factor Movements'!D145+'CurrentPor-Equ Factor Movements'!H145)/100,2))*100</f>
        <v>9601.2395558122898</v>
      </c>
      <c r="E145">
        <f>(3/(1+('CurrentPor-Equ Factor Movements'!C145+'CurrentPor-Equ Factor Movements'!I145)/100)+103/POWER(1+('CurrentPor-Equ Factor Movements'!D145+'CurrentPor-Equ Factor Movements'!I145)/100,2))*100</f>
        <v>9581.4547115644182</v>
      </c>
      <c r="F145">
        <f>Portfolio!B$5*'CurrentPor-Equ Factor Movements'!E145</f>
        <v>50620.241306032913</v>
      </c>
      <c r="G145">
        <f>Portfolio!B$6*'CurrentPor-Equ Factor Movements'!F145</f>
        <v>3471.6461772188241</v>
      </c>
      <c r="H145">
        <f>Portfolio!B$7*'CurrentPor-Equ Factor Movements'!J145</f>
        <v>2148.0998964419859</v>
      </c>
      <c r="I145">
        <f t="shared" si="4"/>
        <v>94745.234782747619</v>
      </c>
      <c r="J145">
        <f t="shared" si="5"/>
        <v>-911.48681921465322</v>
      </c>
    </row>
    <row r="146" spans="1:10">
      <c r="A146" s="1">
        <v>45673</v>
      </c>
      <c r="B146">
        <f>(3/(1+('CurrentPor-Equ Factor Movements'!C146)/100)+103/POWER(1+('CurrentPor-Equ Factor Movements'!D146)/100,2))*100</f>
        <v>9707.5857774288397</v>
      </c>
      <c r="C146">
        <f>(3/(1+('CurrentPor-Equ Factor Movements'!C146+'CurrentPor-Equ Factor Movements'!G146)/100)+103/POWER(1+('CurrentPor-Equ Factor Movements'!D146+'CurrentPor-Equ Factor Movements'!G146)/100,2))*100</f>
        <v>9614.9673582483465</v>
      </c>
      <c r="D146">
        <f>(3/(1+('CurrentPor-Equ Factor Movements'!C146+'CurrentPor-Equ Factor Movements'!H146)/100)+103/POWER(1+('CurrentPor-Equ Factor Movements'!D146+'CurrentPor-Equ Factor Movements'!H146)/100,2))*100</f>
        <v>9601.2395558122898</v>
      </c>
      <c r="E146">
        <f>(3/(1+('CurrentPor-Equ Factor Movements'!C146+'CurrentPor-Equ Factor Movements'!I146)/100)+103/POWER(1+('CurrentPor-Equ Factor Movements'!D146+'CurrentPor-Equ Factor Movements'!I146)/100,2))*100</f>
        <v>9581.4547115644182</v>
      </c>
      <c r="F146">
        <f>Portfolio!B$5*'CurrentPor-Equ Factor Movements'!E146</f>
        <v>51836.473836978177</v>
      </c>
      <c r="G146">
        <f>Portfolio!B$6*'CurrentPor-Equ Factor Movements'!F146</f>
        <v>3421.4297788486783</v>
      </c>
      <c r="H146">
        <f>Portfolio!B$7*'CurrentPor-Equ Factor Movements'!J146</f>
        <v>2148.0998964419859</v>
      </c>
      <c r="I146">
        <f t="shared" si="4"/>
        <v>95911.250915322729</v>
      </c>
      <c r="J146">
        <f t="shared" si="5"/>
        <v>-555.62516428109666</v>
      </c>
    </row>
    <row r="147" spans="1:10">
      <c r="A147" s="1">
        <v>45674</v>
      </c>
      <c r="B147">
        <f>(3/(1+('CurrentPor-Equ Factor Movements'!C147)/100)+103/POWER(1+('CurrentPor-Equ Factor Movements'!D147)/100,2))*100</f>
        <v>9707.5857774288397</v>
      </c>
      <c r="C147">
        <f>(3/(1+('CurrentPor-Equ Factor Movements'!C147+'CurrentPor-Equ Factor Movements'!G147)/100)+103/POWER(1+('CurrentPor-Equ Factor Movements'!D147+'CurrentPor-Equ Factor Movements'!G147)/100,2))*100</f>
        <v>9614.9673582483465</v>
      </c>
      <c r="D147">
        <f>(3/(1+('CurrentPor-Equ Factor Movements'!C147+'CurrentPor-Equ Factor Movements'!H147)/100)+103/POWER(1+('CurrentPor-Equ Factor Movements'!D147+'CurrentPor-Equ Factor Movements'!H147)/100,2))*100</f>
        <v>9601.2395558122898</v>
      </c>
      <c r="E147">
        <f>(3/(1+('CurrentPor-Equ Factor Movements'!C147+'CurrentPor-Equ Factor Movements'!I147)/100)+103/POWER(1+('CurrentPor-Equ Factor Movements'!D147+'CurrentPor-Equ Factor Movements'!I147)/100,2))*100</f>
        <v>9581.4547115644182</v>
      </c>
      <c r="F147">
        <f>Portfolio!B$5*'CurrentPor-Equ Factor Movements'!E147</f>
        <v>53111.95988278454</v>
      </c>
      <c r="G147">
        <f>Portfolio!B$6*'CurrentPor-Equ Factor Movements'!F147</f>
        <v>3522.5444999570527</v>
      </c>
      <c r="H147">
        <f>Portfolio!B$7*'CurrentPor-Equ Factor Movements'!J147</f>
        <v>2148.0998964419859</v>
      </c>
      <c r="I147">
        <f t="shared" si="4"/>
        <v>97287.851682237466</v>
      </c>
      <c r="J147">
        <f t="shared" si="5"/>
        <v>894.64685308141634</v>
      </c>
    </row>
    <row r="148" spans="1:10">
      <c r="A148" s="1">
        <v>45677</v>
      </c>
      <c r="B148">
        <f>(3/(1+('CurrentPor-Equ Factor Movements'!C148)/100)+103/POWER(1+('CurrentPor-Equ Factor Movements'!D148)/100,2))*100</f>
        <v>9707.5857774288397</v>
      </c>
      <c r="C148">
        <f>(3/(1+('CurrentPor-Equ Factor Movements'!C148+'CurrentPor-Equ Factor Movements'!G148)/100)+103/POWER(1+('CurrentPor-Equ Factor Movements'!D148+'CurrentPor-Equ Factor Movements'!G148)/100,2))*100</f>
        <v>9614.9673582483465</v>
      </c>
      <c r="D148">
        <f>(3/(1+('CurrentPor-Equ Factor Movements'!C148+'CurrentPor-Equ Factor Movements'!H148)/100)+103/POWER(1+('CurrentPor-Equ Factor Movements'!D148+'CurrentPor-Equ Factor Movements'!H148)/100,2))*100</f>
        <v>9601.2395558122898</v>
      </c>
      <c r="E148">
        <f>(3/(1+('CurrentPor-Equ Factor Movements'!C148+'CurrentPor-Equ Factor Movements'!I148)/100)+103/POWER(1+('CurrentPor-Equ Factor Movements'!D148+'CurrentPor-Equ Factor Movements'!I148)/100,2))*100</f>
        <v>9581.4547115644182</v>
      </c>
      <c r="F148">
        <f>Portfolio!B$5*'CurrentPor-Equ Factor Movements'!E148</f>
        <v>50790.459843945129</v>
      </c>
      <c r="G148">
        <f>Portfolio!B$6*'CurrentPor-Equ Factor Movements'!F148</f>
        <v>3652.1021968672294</v>
      </c>
      <c r="H148">
        <f>Portfolio!B$7*'CurrentPor-Equ Factor Movements'!J148</f>
        <v>2148.0998964419859</v>
      </c>
      <c r="I148">
        <f t="shared" si="4"/>
        <v>95095.909340308237</v>
      </c>
      <c r="J148">
        <f t="shared" si="5"/>
        <v>-75.847748935615527</v>
      </c>
    </row>
    <row r="149" spans="1:10">
      <c r="A149" s="1">
        <v>45678</v>
      </c>
      <c r="B149">
        <f>(3/(1+('CurrentPor-Equ Factor Movements'!C149)/100)+103/POWER(1+('CurrentPor-Equ Factor Movements'!D149)/100,2))*100</f>
        <v>9707.5857774288397</v>
      </c>
      <c r="C149">
        <f>(3/(1+('CurrentPor-Equ Factor Movements'!C149+'CurrentPor-Equ Factor Movements'!G149)/100)+103/POWER(1+('CurrentPor-Equ Factor Movements'!D149+'CurrentPor-Equ Factor Movements'!G149)/100,2))*100</f>
        <v>9614.9673582483465</v>
      </c>
      <c r="D149">
        <f>(3/(1+('CurrentPor-Equ Factor Movements'!C149+'CurrentPor-Equ Factor Movements'!H149)/100)+103/POWER(1+('CurrentPor-Equ Factor Movements'!D149+'CurrentPor-Equ Factor Movements'!H149)/100,2))*100</f>
        <v>9601.2395558122898</v>
      </c>
      <c r="E149">
        <f>(3/(1+('CurrentPor-Equ Factor Movements'!C149+'CurrentPor-Equ Factor Movements'!I149)/100)+103/POWER(1+('CurrentPor-Equ Factor Movements'!D149+'CurrentPor-Equ Factor Movements'!I149)/100,2))*100</f>
        <v>9581.4547115644182</v>
      </c>
      <c r="F149">
        <f>Portfolio!B$5*'CurrentPor-Equ Factor Movements'!E149</f>
        <v>53413.986765334812</v>
      </c>
      <c r="G149">
        <f>Portfolio!B$6*'CurrentPor-Equ Factor Movements'!F149</f>
        <v>3434.0170015008057</v>
      </c>
      <c r="H149">
        <f>Portfolio!B$7*'CurrentPor-Equ Factor Movements'!J149</f>
        <v>2148.0998964419859</v>
      </c>
      <c r="I149">
        <f t="shared" si="4"/>
        <v>97501.351066331496</v>
      </c>
      <c r="J149">
        <f t="shared" si="5"/>
        <v>1716.4898985599284</v>
      </c>
    </row>
    <row r="150" spans="1:10">
      <c r="A150" s="1">
        <v>45679</v>
      </c>
      <c r="B150">
        <f>(3/(1+('CurrentPor-Equ Factor Movements'!C150)/100)+103/POWER(1+('CurrentPor-Equ Factor Movements'!D150)/100,2))*100</f>
        <v>9707.5857774288397</v>
      </c>
      <c r="C150">
        <f>(3/(1+('CurrentPor-Equ Factor Movements'!C150+'CurrentPor-Equ Factor Movements'!G150)/100)+103/POWER(1+('CurrentPor-Equ Factor Movements'!D150+'CurrentPor-Equ Factor Movements'!G150)/100,2))*100</f>
        <v>9614.9673582483465</v>
      </c>
      <c r="D150">
        <f>(3/(1+('CurrentPor-Equ Factor Movements'!C150+'CurrentPor-Equ Factor Movements'!H150)/100)+103/POWER(1+('CurrentPor-Equ Factor Movements'!D150+'CurrentPor-Equ Factor Movements'!H150)/100,2))*100</f>
        <v>9601.2395558122898</v>
      </c>
      <c r="E150">
        <f>(3/(1+('CurrentPor-Equ Factor Movements'!C150+'CurrentPor-Equ Factor Movements'!I150)/100)+103/POWER(1+('CurrentPor-Equ Factor Movements'!D150+'CurrentPor-Equ Factor Movements'!I150)/100,2))*100</f>
        <v>9581.4547115644182</v>
      </c>
      <c r="F150">
        <f>Portfolio!B$5*'CurrentPor-Equ Factor Movements'!E150</f>
        <v>54099.092632343105</v>
      </c>
      <c r="G150">
        <f>Portfolio!B$6*'CurrentPor-Equ Factor Movements'!F150</f>
        <v>3976.2808167664061</v>
      </c>
      <c r="H150">
        <f>Portfolio!B$7*'CurrentPor-Equ Factor Movements'!J150</f>
        <v>2148.0998964419859</v>
      </c>
      <c r="I150">
        <f t="shared" si="4"/>
        <v>98728.720748605396</v>
      </c>
      <c r="J150">
        <f t="shared" si="5"/>
        <v>2120.3591985707171</v>
      </c>
    </row>
    <row r="151" spans="1:10">
      <c r="A151" s="1">
        <v>45680</v>
      </c>
      <c r="B151">
        <f>(3/(1+('CurrentPor-Equ Factor Movements'!C151)/100)+103/POWER(1+('CurrentPor-Equ Factor Movements'!D151)/100,2))*100</f>
        <v>9707.5857774288397</v>
      </c>
      <c r="C151">
        <f>(3/(1+('CurrentPor-Equ Factor Movements'!C151+'CurrentPor-Equ Factor Movements'!G151)/100)+103/POWER(1+('CurrentPor-Equ Factor Movements'!D151+'CurrentPor-Equ Factor Movements'!G151)/100,2))*100</f>
        <v>9614.9673582483465</v>
      </c>
      <c r="D151">
        <f>(3/(1+('CurrentPor-Equ Factor Movements'!C151+'CurrentPor-Equ Factor Movements'!H151)/100)+103/POWER(1+('CurrentPor-Equ Factor Movements'!D151+'CurrentPor-Equ Factor Movements'!H151)/100,2))*100</f>
        <v>9601.2395558122898</v>
      </c>
      <c r="E151">
        <f>(3/(1+('CurrentPor-Equ Factor Movements'!C151+'CurrentPor-Equ Factor Movements'!I151)/100)+103/POWER(1+('CurrentPor-Equ Factor Movements'!D151+'CurrentPor-Equ Factor Movements'!I151)/100,2))*100</f>
        <v>9581.4547115644182</v>
      </c>
      <c r="F151">
        <f>Portfolio!B$5*'CurrentPor-Equ Factor Movements'!E151</f>
        <v>51630.147517450678</v>
      </c>
      <c r="G151">
        <f>Portfolio!B$6*'CurrentPor-Equ Factor Movements'!F151</f>
        <v>3395.948442797082</v>
      </c>
      <c r="H151">
        <f>Portfolio!B$7*'CurrentPor-Equ Factor Movements'!J151</f>
        <v>2148.0998964419859</v>
      </c>
      <c r="I151">
        <f t="shared" si="4"/>
        <v>95679.443259743639</v>
      </c>
      <c r="J151">
        <f t="shared" si="5"/>
        <v>-33.369681686366675</v>
      </c>
    </row>
    <row r="152" spans="1:10">
      <c r="A152" s="1">
        <v>45681</v>
      </c>
      <c r="B152">
        <f>(3/(1+('CurrentPor-Equ Factor Movements'!C152)/100)+103/POWER(1+('CurrentPor-Equ Factor Movements'!D152)/100,2))*100</f>
        <v>9707.5857774288397</v>
      </c>
      <c r="C152">
        <f>(3/(1+('CurrentPor-Equ Factor Movements'!C152+'CurrentPor-Equ Factor Movements'!G152)/100)+103/POWER(1+('CurrentPor-Equ Factor Movements'!D152+'CurrentPor-Equ Factor Movements'!G152)/100,2))*100</f>
        <v>9614.9673582483465</v>
      </c>
      <c r="D152">
        <f>(3/(1+('CurrentPor-Equ Factor Movements'!C152+'CurrentPor-Equ Factor Movements'!H152)/100)+103/POWER(1+('CurrentPor-Equ Factor Movements'!D152+'CurrentPor-Equ Factor Movements'!H152)/100,2))*100</f>
        <v>9601.2395558122898</v>
      </c>
      <c r="E152">
        <f>(3/(1+('CurrentPor-Equ Factor Movements'!C152+'CurrentPor-Equ Factor Movements'!I152)/100)+103/POWER(1+('CurrentPor-Equ Factor Movements'!D152+'CurrentPor-Equ Factor Movements'!I152)/100,2))*100</f>
        <v>9581.4547115644182</v>
      </c>
      <c r="F152">
        <f>Portfolio!B$5*'CurrentPor-Equ Factor Movements'!E152</f>
        <v>51673.900148400695</v>
      </c>
      <c r="G152">
        <f>Portfolio!B$6*'CurrentPor-Equ Factor Movements'!F152</f>
        <v>3202.3620274019199</v>
      </c>
      <c r="H152">
        <f>Portfolio!B$7*'CurrentPor-Equ Factor Movements'!J152</f>
        <v>2148.0998964419859</v>
      </c>
      <c r="I152">
        <f t="shared" si="4"/>
        <v>95529.609475298494</v>
      </c>
      <c r="J152">
        <f t="shared" si="5"/>
        <v>-1998.9811641784909</v>
      </c>
    </row>
    <row r="153" spans="1:10">
      <c r="A153" s="1">
        <v>45684</v>
      </c>
      <c r="B153">
        <f>(3/(1+('CurrentPor-Equ Factor Movements'!C153)/100)+103/POWER(1+('CurrentPor-Equ Factor Movements'!D153)/100,2))*100</f>
        <v>9707.5857774288397</v>
      </c>
      <c r="C153">
        <f>(3/(1+('CurrentPor-Equ Factor Movements'!C153+'CurrentPor-Equ Factor Movements'!G153)/100)+103/POWER(1+('CurrentPor-Equ Factor Movements'!D153+'CurrentPor-Equ Factor Movements'!G153)/100,2))*100</f>
        <v>9614.9673582483465</v>
      </c>
      <c r="D153">
        <f>(3/(1+('CurrentPor-Equ Factor Movements'!C153+'CurrentPor-Equ Factor Movements'!H153)/100)+103/POWER(1+('CurrentPor-Equ Factor Movements'!D153+'CurrentPor-Equ Factor Movements'!H153)/100,2))*100</f>
        <v>9601.2395558122898</v>
      </c>
      <c r="E153">
        <f>(3/(1+('CurrentPor-Equ Factor Movements'!C153+'CurrentPor-Equ Factor Movements'!I153)/100)+103/POWER(1+('CurrentPor-Equ Factor Movements'!D153+'CurrentPor-Equ Factor Movements'!I153)/100,2))*100</f>
        <v>9581.4547115644182</v>
      </c>
      <c r="F153">
        <f>Portfolio!B$5*'CurrentPor-Equ Factor Movements'!E153</f>
        <v>50390.881094879725</v>
      </c>
      <c r="G153">
        <f>Portfolio!B$6*'CurrentPor-Equ Factor Movements'!F153</f>
        <v>3744.8310000730557</v>
      </c>
      <c r="H153">
        <f>Portfolio!B$7*'CurrentPor-Equ Factor Movements'!J153</f>
        <v>2148.0998964419859</v>
      </c>
      <c r="I153">
        <f t="shared" si="4"/>
        <v>94789.059394448661</v>
      </c>
      <c r="J153">
        <f t="shared" si="5"/>
        <v>-2176.0287582268647</v>
      </c>
    </row>
    <row r="154" spans="1:10">
      <c r="A154" s="1">
        <v>45685</v>
      </c>
      <c r="B154">
        <f>(3/(1+('CurrentPor-Equ Factor Movements'!C154)/100)+103/POWER(1+('CurrentPor-Equ Factor Movements'!D154)/100,2))*100</f>
        <v>9707.5857774288397</v>
      </c>
      <c r="C154">
        <f>(3/(1+('CurrentPor-Equ Factor Movements'!C154+'CurrentPor-Equ Factor Movements'!G154)/100)+103/POWER(1+('CurrentPor-Equ Factor Movements'!D154+'CurrentPor-Equ Factor Movements'!G154)/100,2))*100</f>
        <v>9614.9673582483465</v>
      </c>
      <c r="D154">
        <f>(3/(1+('CurrentPor-Equ Factor Movements'!C154+'CurrentPor-Equ Factor Movements'!H154)/100)+103/POWER(1+('CurrentPor-Equ Factor Movements'!D154+'CurrentPor-Equ Factor Movements'!H154)/100,2))*100</f>
        <v>9601.2395558122898</v>
      </c>
      <c r="E154">
        <f>(3/(1+('CurrentPor-Equ Factor Movements'!C154+'CurrentPor-Equ Factor Movements'!I154)/100)+103/POWER(1+('CurrentPor-Equ Factor Movements'!D154+'CurrentPor-Equ Factor Movements'!I154)/100,2))*100</f>
        <v>9581.4547115644182</v>
      </c>
      <c r="F154">
        <f>Portfolio!B$5*'CurrentPor-Equ Factor Movements'!E154</f>
        <v>54530.580764472747</v>
      </c>
      <c r="G154">
        <f>Portfolio!B$6*'CurrentPor-Equ Factor Movements'!F154</f>
        <v>3416.4433245785149</v>
      </c>
      <c r="H154">
        <f>Portfolio!B$7*'CurrentPor-Equ Factor Movements'!J154</f>
        <v>2148.0998964419859</v>
      </c>
      <c r="I154">
        <f t="shared" si="4"/>
        <v>98600.371388547137</v>
      </c>
      <c r="J154">
        <f t="shared" si="5"/>
        <v>2193.5359528196714</v>
      </c>
    </row>
    <row r="155" spans="1:10">
      <c r="A155" s="1">
        <v>45686</v>
      </c>
      <c r="B155">
        <f>(3/(1+('CurrentPor-Equ Factor Movements'!C155)/100)+103/POWER(1+('CurrentPor-Equ Factor Movements'!D155)/100,2))*100</f>
        <v>9707.5857774288397</v>
      </c>
      <c r="C155">
        <f>(3/(1+('CurrentPor-Equ Factor Movements'!C155+'CurrentPor-Equ Factor Movements'!G155)/100)+103/POWER(1+('CurrentPor-Equ Factor Movements'!D155+'CurrentPor-Equ Factor Movements'!G155)/100,2))*100</f>
        <v>9614.9673582483465</v>
      </c>
      <c r="D155">
        <f>(3/(1+('CurrentPor-Equ Factor Movements'!C155+'CurrentPor-Equ Factor Movements'!H155)/100)+103/POWER(1+('CurrentPor-Equ Factor Movements'!D155+'CurrentPor-Equ Factor Movements'!H155)/100,2))*100</f>
        <v>9601.2395558122898</v>
      </c>
      <c r="E155">
        <f>(3/(1+('CurrentPor-Equ Factor Movements'!C155+'CurrentPor-Equ Factor Movements'!I155)/100)+103/POWER(1+('CurrentPor-Equ Factor Movements'!D155+'CurrentPor-Equ Factor Movements'!I155)/100,2))*100</f>
        <v>9581.4547115644182</v>
      </c>
      <c r="F155">
        <f>Portfolio!B$5*'CurrentPor-Equ Factor Movements'!E155</f>
        <v>53611.572233325525</v>
      </c>
      <c r="G155">
        <f>Portfolio!B$6*'CurrentPor-Equ Factor Movements'!F155</f>
        <v>3518.147168036166</v>
      </c>
      <c r="H155">
        <f>Portfolio!B$7*'CurrentPor-Equ Factor Movements'!J155</f>
        <v>2148.0998964419859</v>
      </c>
      <c r="I155">
        <f t="shared" si="4"/>
        <v>97783.066700857584</v>
      </c>
      <c r="J155">
        <f t="shared" si="5"/>
        <v>3037.831918109965</v>
      </c>
    </row>
    <row r="156" spans="1:10">
      <c r="A156" s="1">
        <v>45687</v>
      </c>
      <c r="B156">
        <f>(3/(1+('CurrentPor-Equ Factor Movements'!C156)/100)+103/POWER(1+('CurrentPor-Equ Factor Movements'!D156)/100,2))*100</f>
        <v>9707.5857774288397</v>
      </c>
      <c r="C156">
        <f>(3/(1+('CurrentPor-Equ Factor Movements'!C156+'CurrentPor-Equ Factor Movements'!G156)/100)+103/POWER(1+('CurrentPor-Equ Factor Movements'!D156+'CurrentPor-Equ Factor Movements'!G156)/100,2))*100</f>
        <v>9614.9673582483465</v>
      </c>
      <c r="D156">
        <f>(3/(1+('CurrentPor-Equ Factor Movements'!C156+'CurrentPor-Equ Factor Movements'!H156)/100)+103/POWER(1+('CurrentPor-Equ Factor Movements'!D156+'CurrentPor-Equ Factor Movements'!H156)/100,2))*100</f>
        <v>9601.2395558122898</v>
      </c>
      <c r="E156">
        <f>(3/(1+('CurrentPor-Equ Factor Movements'!C156+'CurrentPor-Equ Factor Movements'!I156)/100)+103/POWER(1+('CurrentPor-Equ Factor Movements'!D156+'CurrentPor-Equ Factor Movements'!I156)/100,2))*100</f>
        <v>9581.4547115644182</v>
      </c>
      <c r="F156">
        <f>Portfolio!B$5*'CurrentPor-Equ Factor Movements'!E156</f>
        <v>52475.61827032367</v>
      </c>
      <c r="G156">
        <f>Portfolio!B$6*'CurrentPor-Equ Factor Movements'!F156</f>
        <v>3336.7796601167861</v>
      </c>
      <c r="H156">
        <f>Portfolio!B$7*'CurrentPor-Equ Factor Movements'!J156</f>
        <v>2148.0998964419859</v>
      </c>
      <c r="I156">
        <f t="shared" si="4"/>
        <v>96465.745229936321</v>
      </c>
      <c r="J156">
        <f t="shared" si="5"/>
        <v>554.494314613592</v>
      </c>
    </row>
    <row r="157" spans="1:10">
      <c r="A157" s="1">
        <v>45688</v>
      </c>
      <c r="B157">
        <f>(3/(1+('CurrentPor-Equ Factor Movements'!C157)/100)+103/POWER(1+('CurrentPor-Equ Factor Movements'!D157)/100,2))*100</f>
        <v>9707.5857774288397</v>
      </c>
      <c r="C157">
        <f>(3/(1+('CurrentPor-Equ Factor Movements'!C157+'CurrentPor-Equ Factor Movements'!G157)/100)+103/POWER(1+('CurrentPor-Equ Factor Movements'!D157+'CurrentPor-Equ Factor Movements'!G157)/100,2))*100</f>
        <v>9614.9673582483465</v>
      </c>
      <c r="D157">
        <f>(3/(1+('CurrentPor-Equ Factor Movements'!C157+'CurrentPor-Equ Factor Movements'!H157)/100)+103/POWER(1+('CurrentPor-Equ Factor Movements'!D157+'CurrentPor-Equ Factor Movements'!H157)/100,2))*100</f>
        <v>9601.2395558122898</v>
      </c>
      <c r="E157">
        <f>(3/(1+('CurrentPor-Equ Factor Movements'!C157+'CurrentPor-Equ Factor Movements'!I157)/100)+103/POWER(1+('CurrentPor-Equ Factor Movements'!D157+'CurrentPor-Equ Factor Movements'!I157)/100,2))*100</f>
        <v>9581.4547115644182</v>
      </c>
      <c r="F157">
        <f>Portfolio!B$5*'CurrentPor-Equ Factor Movements'!E157</f>
        <v>53673.084361203793</v>
      </c>
      <c r="G157">
        <f>Portfolio!B$6*'CurrentPor-Equ Factor Movements'!F157</f>
        <v>3501.2359482275606</v>
      </c>
      <c r="H157">
        <f>Portfolio!B$7*'CurrentPor-Equ Factor Movements'!J157</f>
        <v>2148.0998964419859</v>
      </c>
      <c r="I157">
        <f t="shared" si="4"/>
        <v>97827.667608927237</v>
      </c>
      <c r="J157">
        <f t="shared" si="5"/>
        <v>539.815926689771</v>
      </c>
    </row>
    <row r="158" spans="1:10">
      <c r="A158" s="1">
        <v>45691</v>
      </c>
      <c r="B158">
        <f>(3/(1+('CurrentPor-Equ Factor Movements'!C158)/100)+103/POWER(1+('CurrentPor-Equ Factor Movements'!D158)/100,2))*100</f>
        <v>9707.5857774288397</v>
      </c>
      <c r="C158">
        <f>(3/(1+('CurrentPor-Equ Factor Movements'!C158+'CurrentPor-Equ Factor Movements'!G158)/100)+103/POWER(1+('CurrentPor-Equ Factor Movements'!D158+'CurrentPor-Equ Factor Movements'!G158)/100,2))*100</f>
        <v>9614.9673582483465</v>
      </c>
      <c r="D158">
        <f>(3/(1+('CurrentPor-Equ Factor Movements'!C158+'CurrentPor-Equ Factor Movements'!H158)/100)+103/POWER(1+('CurrentPor-Equ Factor Movements'!D158+'CurrentPor-Equ Factor Movements'!H158)/100,2))*100</f>
        <v>9601.2395558122898</v>
      </c>
      <c r="E158">
        <f>(3/(1+('CurrentPor-Equ Factor Movements'!C158+'CurrentPor-Equ Factor Movements'!I158)/100)+103/POWER(1+('CurrentPor-Equ Factor Movements'!D158+'CurrentPor-Equ Factor Movements'!I158)/100,2))*100</f>
        <v>9581.4547115644182</v>
      </c>
      <c r="F158">
        <f>Portfolio!B$5*'CurrentPor-Equ Factor Movements'!E158</f>
        <v>51587.793338591269</v>
      </c>
      <c r="G158">
        <f>Portfolio!B$6*'CurrentPor-Equ Factor Movements'!F158</f>
        <v>3296.9702165665963</v>
      </c>
      <c r="H158">
        <f>Portfolio!B$7*'CurrentPor-Equ Factor Movements'!J158</f>
        <v>2148.0998964419859</v>
      </c>
      <c r="I158">
        <f t="shared" si="4"/>
        <v>95538.110854653743</v>
      </c>
      <c r="J158">
        <f t="shared" si="5"/>
        <v>442.20151434550644</v>
      </c>
    </row>
    <row r="159" spans="1:10">
      <c r="A159" s="1">
        <v>45692</v>
      </c>
      <c r="B159">
        <f>(3/(1+('CurrentPor-Equ Factor Movements'!C159)/100)+103/POWER(1+('CurrentPor-Equ Factor Movements'!D159)/100,2))*100</f>
        <v>9707.5857774288397</v>
      </c>
      <c r="C159">
        <f>(3/(1+('CurrentPor-Equ Factor Movements'!C159+'CurrentPor-Equ Factor Movements'!G159)/100)+103/POWER(1+('CurrentPor-Equ Factor Movements'!D159+'CurrentPor-Equ Factor Movements'!G159)/100,2))*100</f>
        <v>9614.9673582483465</v>
      </c>
      <c r="D159">
        <f>(3/(1+('CurrentPor-Equ Factor Movements'!C159+'CurrentPor-Equ Factor Movements'!H159)/100)+103/POWER(1+('CurrentPor-Equ Factor Movements'!D159+'CurrentPor-Equ Factor Movements'!H159)/100,2))*100</f>
        <v>9601.2395558122898</v>
      </c>
      <c r="E159">
        <f>(3/(1+('CurrentPor-Equ Factor Movements'!C159+'CurrentPor-Equ Factor Movements'!I159)/100)+103/POWER(1+('CurrentPor-Equ Factor Movements'!D159+'CurrentPor-Equ Factor Movements'!I159)/100,2))*100</f>
        <v>9581.4547115644182</v>
      </c>
      <c r="F159">
        <f>Portfolio!B$5*'CurrentPor-Equ Factor Movements'!E159</f>
        <v>49579.332388271971</v>
      </c>
      <c r="G159">
        <f>Portfolio!B$6*'CurrentPor-Equ Factor Movements'!F159</f>
        <v>3313.1017476716002</v>
      </c>
      <c r="H159">
        <f>Portfolio!B$7*'CurrentPor-Equ Factor Movements'!J159</f>
        <v>2148.0998964419859</v>
      </c>
      <c r="I159">
        <f t="shared" si="4"/>
        <v>93545.78143543945</v>
      </c>
      <c r="J159">
        <f t="shared" si="5"/>
        <v>-3955.5696308920451</v>
      </c>
    </row>
    <row r="160" spans="1:10">
      <c r="A160" s="1">
        <v>45693</v>
      </c>
      <c r="B160">
        <f>(3/(1+('CurrentPor-Equ Factor Movements'!C160)/100)+103/POWER(1+('CurrentPor-Equ Factor Movements'!D160)/100,2))*100</f>
        <v>9707.5857774288397</v>
      </c>
      <c r="C160">
        <f>(3/(1+('CurrentPor-Equ Factor Movements'!C160+'CurrentPor-Equ Factor Movements'!G160)/100)+103/POWER(1+('CurrentPor-Equ Factor Movements'!D160+'CurrentPor-Equ Factor Movements'!G160)/100,2))*100</f>
        <v>9614.9673582483465</v>
      </c>
      <c r="D160">
        <f>(3/(1+('CurrentPor-Equ Factor Movements'!C160+'CurrentPor-Equ Factor Movements'!H160)/100)+103/POWER(1+('CurrentPor-Equ Factor Movements'!D160+'CurrentPor-Equ Factor Movements'!H160)/100,2))*100</f>
        <v>9601.2395558122898</v>
      </c>
      <c r="E160">
        <f>(3/(1+('CurrentPor-Equ Factor Movements'!C160+'CurrentPor-Equ Factor Movements'!I160)/100)+103/POWER(1+('CurrentPor-Equ Factor Movements'!D160+'CurrentPor-Equ Factor Movements'!I160)/100,2))*100</f>
        <v>9581.4547115644182</v>
      </c>
      <c r="F160">
        <f>Portfolio!B$5*'CurrentPor-Equ Factor Movements'!E160</f>
        <v>51734.818760542024</v>
      </c>
      <c r="G160">
        <f>Portfolio!B$6*'CurrentPor-Equ Factor Movements'!F160</f>
        <v>3834.8591309619919</v>
      </c>
      <c r="H160">
        <f>Portfolio!B$7*'CurrentPor-Equ Factor Movements'!J160</f>
        <v>2148.0998964419859</v>
      </c>
      <c r="I160">
        <f t="shared" si="4"/>
        <v>96223.025190999891</v>
      </c>
      <c r="J160">
        <f t="shared" si="5"/>
        <v>-2505.6955576055043</v>
      </c>
    </row>
    <row r="161" spans="1:10">
      <c r="A161" s="1">
        <v>45694</v>
      </c>
      <c r="B161">
        <f>(3/(1+('CurrentPor-Equ Factor Movements'!C161)/100)+103/POWER(1+('CurrentPor-Equ Factor Movements'!D161)/100,2))*100</f>
        <v>9707.5857774288397</v>
      </c>
      <c r="C161">
        <f>(3/(1+('CurrentPor-Equ Factor Movements'!C161+'CurrentPor-Equ Factor Movements'!G161)/100)+103/POWER(1+('CurrentPor-Equ Factor Movements'!D161+'CurrentPor-Equ Factor Movements'!G161)/100,2))*100</f>
        <v>9614.9673582483465</v>
      </c>
      <c r="D161">
        <f>(3/(1+('CurrentPor-Equ Factor Movements'!C161+'CurrentPor-Equ Factor Movements'!H161)/100)+103/POWER(1+('CurrentPor-Equ Factor Movements'!D161+'CurrentPor-Equ Factor Movements'!H161)/100,2))*100</f>
        <v>9601.2395558122898</v>
      </c>
      <c r="E161">
        <f>(3/(1+('CurrentPor-Equ Factor Movements'!C161+'CurrentPor-Equ Factor Movements'!I161)/100)+103/POWER(1+('CurrentPor-Equ Factor Movements'!D161+'CurrentPor-Equ Factor Movements'!I161)/100,2))*100</f>
        <v>9581.4547115644182</v>
      </c>
      <c r="F161">
        <f>Portfolio!B$5*'CurrentPor-Equ Factor Movements'!E161</f>
        <v>51982.832683678258</v>
      </c>
      <c r="G161">
        <f>Portfolio!B$6*'CurrentPor-Equ Factor Movements'!F161</f>
        <v>3784.8519451827087</v>
      </c>
      <c r="H161">
        <f>Portfolio!B$7*'CurrentPor-Equ Factor Movements'!J161</f>
        <v>2148.0998964419859</v>
      </c>
      <c r="I161">
        <f t="shared" si="4"/>
        <v>96421.031928356839</v>
      </c>
      <c r="J161">
        <f t="shared" si="5"/>
        <v>741.58866861319984</v>
      </c>
    </row>
    <row r="162" spans="1:10">
      <c r="A162" s="1">
        <v>45695</v>
      </c>
      <c r="B162">
        <f>(3/(1+('CurrentPor-Equ Factor Movements'!C162)/100)+103/POWER(1+('CurrentPor-Equ Factor Movements'!D162)/100,2))*100</f>
        <v>9707.5857774288397</v>
      </c>
      <c r="C162">
        <f>(3/(1+('CurrentPor-Equ Factor Movements'!C162+'CurrentPor-Equ Factor Movements'!G162)/100)+103/POWER(1+('CurrentPor-Equ Factor Movements'!D162+'CurrentPor-Equ Factor Movements'!G162)/100,2))*100</f>
        <v>9614.9673582483465</v>
      </c>
      <c r="D162">
        <f>(3/(1+('CurrentPor-Equ Factor Movements'!C162+'CurrentPor-Equ Factor Movements'!H162)/100)+103/POWER(1+('CurrentPor-Equ Factor Movements'!D162+'CurrentPor-Equ Factor Movements'!H162)/100,2))*100</f>
        <v>9601.2395558122898</v>
      </c>
      <c r="E162">
        <f>(3/(1+('CurrentPor-Equ Factor Movements'!C162+'CurrentPor-Equ Factor Movements'!I162)/100)+103/POWER(1+('CurrentPor-Equ Factor Movements'!D162+'CurrentPor-Equ Factor Movements'!I162)/100,2))*100</f>
        <v>9581.4547115644182</v>
      </c>
      <c r="F162">
        <f>Portfolio!B$5*'CurrentPor-Equ Factor Movements'!E162</f>
        <v>52793.234418997476</v>
      </c>
      <c r="G162">
        <f>Portfolio!B$6*'CurrentPor-Equ Factor Movements'!F162</f>
        <v>3593.5767657503179</v>
      </c>
      <c r="H162">
        <f>Portfolio!B$7*'CurrentPor-Equ Factor Movements'!J162</f>
        <v>2148.0998964419859</v>
      </c>
      <c r="I162">
        <f t="shared" si="4"/>
        <v>97040.158484243671</v>
      </c>
      <c r="J162">
        <f t="shared" si="5"/>
        <v>1510.5490089451778</v>
      </c>
    </row>
    <row r="163" spans="1:10">
      <c r="A163" s="1">
        <v>45698</v>
      </c>
      <c r="B163">
        <f>(3/(1+('CurrentPor-Equ Factor Movements'!C163)/100)+103/POWER(1+('CurrentPor-Equ Factor Movements'!D163)/100,2))*100</f>
        <v>9707.5857774288397</v>
      </c>
      <c r="C163">
        <f>(3/(1+('CurrentPor-Equ Factor Movements'!C163+'CurrentPor-Equ Factor Movements'!G163)/100)+103/POWER(1+('CurrentPor-Equ Factor Movements'!D163+'CurrentPor-Equ Factor Movements'!G163)/100,2))*100</f>
        <v>9614.9673582483465</v>
      </c>
      <c r="D163">
        <f>(3/(1+('CurrentPor-Equ Factor Movements'!C163+'CurrentPor-Equ Factor Movements'!H163)/100)+103/POWER(1+('CurrentPor-Equ Factor Movements'!D163+'CurrentPor-Equ Factor Movements'!H163)/100,2))*100</f>
        <v>9601.2395558122898</v>
      </c>
      <c r="E163">
        <f>(3/(1+('CurrentPor-Equ Factor Movements'!C163+'CurrentPor-Equ Factor Movements'!I163)/100)+103/POWER(1+('CurrentPor-Equ Factor Movements'!D163+'CurrentPor-Equ Factor Movements'!I163)/100,2))*100</f>
        <v>9581.4547115644182</v>
      </c>
      <c r="F163">
        <f>Portfolio!B$5*'CurrentPor-Equ Factor Movements'!E163</f>
        <v>53198.258323259608</v>
      </c>
      <c r="G163">
        <f>Portfolio!B$6*'CurrentPor-Equ Factor Movements'!F163</f>
        <v>3823.0993581670295</v>
      </c>
      <c r="H163">
        <f>Portfolio!B$7*'CurrentPor-Equ Factor Movements'!J163</f>
        <v>2148.0998964419859</v>
      </c>
      <c r="I163">
        <f t="shared" si="4"/>
        <v>97674.704980922528</v>
      </c>
      <c r="J163">
        <f t="shared" si="5"/>
        <v>2885.6455864738673</v>
      </c>
    </row>
    <row r="164" spans="1:10">
      <c r="A164" s="1">
        <v>45699</v>
      </c>
      <c r="B164">
        <f>(3/(1+('CurrentPor-Equ Factor Movements'!C164)/100)+103/POWER(1+('CurrentPor-Equ Factor Movements'!D164)/100,2))*100</f>
        <v>9707.5857774288397</v>
      </c>
      <c r="C164">
        <f>(3/(1+('CurrentPor-Equ Factor Movements'!C164+'CurrentPor-Equ Factor Movements'!G164)/100)+103/POWER(1+('CurrentPor-Equ Factor Movements'!D164+'CurrentPor-Equ Factor Movements'!G164)/100,2))*100</f>
        <v>9614.9673582483465</v>
      </c>
      <c r="D164">
        <f>(3/(1+('CurrentPor-Equ Factor Movements'!C164+'CurrentPor-Equ Factor Movements'!H164)/100)+103/POWER(1+('CurrentPor-Equ Factor Movements'!D164+'CurrentPor-Equ Factor Movements'!H164)/100,2))*100</f>
        <v>9601.2395558122898</v>
      </c>
      <c r="E164">
        <f>(3/(1+('CurrentPor-Equ Factor Movements'!C164+'CurrentPor-Equ Factor Movements'!I164)/100)+103/POWER(1+('CurrentPor-Equ Factor Movements'!D164+'CurrentPor-Equ Factor Movements'!I164)/100,2))*100</f>
        <v>9581.4547115644182</v>
      </c>
      <c r="F164">
        <f>Portfolio!B$5*'CurrentPor-Equ Factor Movements'!E164</f>
        <v>51965.862296457271</v>
      </c>
      <c r="G164">
        <f>Portfolio!B$6*'CurrentPor-Equ Factor Movements'!F164</f>
        <v>3451.1958784987505</v>
      </c>
      <c r="H164">
        <f>Portfolio!B$7*'CurrentPor-Equ Factor Movements'!J164</f>
        <v>2148.0998964419859</v>
      </c>
      <c r="I164">
        <f t="shared" si="4"/>
        <v>96070.405474451909</v>
      </c>
      <c r="J164">
        <f t="shared" si="5"/>
        <v>-2529.9659140952281</v>
      </c>
    </row>
    <row r="165" spans="1:10">
      <c r="A165" s="1">
        <v>45700</v>
      </c>
      <c r="B165">
        <f>(3/(1+('CurrentPor-Equ Factor Movements'!C165)/100)+103/POWER(1+('CurrentPor-Equ Factor Movements'!D165)/100,2))*100</f>
        <v>9707.5857774288397</v>
      </c>
      <c r="C165">
        <f>(3/(1+('CurrentPor-Equ Factor Movements'!C165+'CurrentPor-Equ Factor Movements'!G165)/100)+103/POWER(1+('CurrentPor-Equ Factor Movements'!D165+'CurrentPor-Equ Factor Movements'!G165)/100,2))*100</f>
        <v>9614.9673582483465</v>
      </c>
      <c r="D165">
        <f>(3/(1+('CurrentPor-Equ Factor Movements'!C165+'CurrentPor-Equ Factor Movements'!H165)/100)+103/POWER(1+('CurrentPor-Equ Factor Movements'!D165+'CurrentPor-Equ Factor Movements'!H165)/100,2))*100</f>
        <v>9601.2395558122898</v>
      </c>
      <c r="E165">
        <f>(3/(1+('CurrentPor-Equ Factor Movements'!C165+'CurrentPor-Equ Factor Movements'!I165)/100)+103/POWER(1+('CurrentPor-Equ Factor Movements'!D165+'CurrentPor-Equ Factor Movements'!I165)/100,2))*100</f>
        <v>9581.4547115644182</v>
      </c>
      <c r="F165">
        <f>Portfolio!B$5*'CurrentPor-Equ Factor Movements'!E165</f>
        <v>50972.602800413631</v>
      </c>
      <c r="G165">
        <f>Portfolio!B$6*'CurrentPor-Equ Factor Movements'!F165</f>
        <v>3395.2324380533441</v>
      </c>
      <c r="H165">
        <f>Portfolio!B$7*'CurrentPor-Equ Factor Movements'!J165</f>
        <v>2148.0998964419859</v>
      </c>
      <c r="I165">
        <f t="shared" si="4"/>
        <v>95021.182537962857</v>
      </c>
      <c r="J165">
        <f t="shared" si="5"/>
        <v>-2761.8841628947266</v>
      </c>
    </row>
    <row r="166" spans="1:10">
      <c r="A166" s="1">
        <v>45701</v>
      </c>
      <c r="B166">
        <f>(3/(1+('CurrentPor-Equ Factor Movements'!C166)/100)+103/POWER(1+('CurrentPor-Equ Factor Movements'!D166)/100,2))*100</f>
        <v>9707.5857774288397</v>
      </c>
      <c r="C166">
        <f>(3/(1+('CurrentPor-Equ Factor Movements'!C166+'CurrentPor-Equ Factor Movements'!G166)/100)+103/POWER(1+('CurrentPor-Equ Factor Movements'!D166+'CurrentPor-Equ Factor Movements'!G166)/100,2))*100</f>
        <v>9614.9673582483465</v>
      </c>
      <c r="D166">
        <f>(3/(1+('CurrentPor-Equ Factor Movements'!C166+'CurrentPor-Equ Factor Movements'!H166)/100)+103/POWER(1+('CurrentPor-Equ Factor Movements'!D166+'CurrentPor-Equ Factor Movements'!H166)/100,2))*100</f>
        <v>9601.2395558122898</v>
      </c>
      <c r="E166">
        <f>(3/(1+('CurrentPor-Equ Factor Movements'!C166+'CurrentPor-Equ Factor Movements'!I166)/100)+103/POWER(1+('CurrentPor-Equ Factor Movements'!D166+'CurrentPor-Equ Factor Movements'!I166)/100,2))*100</f>
        <v>9581.4547115644182</v>
      </c>
      <c r="F166">
        <f>Portfolio!B$5*'CurrentPor-Equ Factor Movements'!E166</f>
        <v>53758.144975026538</v>
      </c>
      <c r="G166">
        <f>Portfolio!B$6*'CurrentPor-Equ Factor Movements'!F166</f>
        <v>3428.8839239571589</v>
      </c>
      <c r="H166">
        <f>Portfolio!B$7*'CurrentPor-Equ Factor Movements'!J166</f>
        <v>2148.0998964419859</v>
      </c>
      <c r="I166">
        <f t="shared" si="4"/>
        <v>97840.376198479571</v>
      </c>
      <c r="J166">
        <f t="shared" si="5"/>
        <v>1374.6309685432498</v>
      </c>
    </row>
    <row r="167" spans="1:10">
      <c r="A167" s="1">
        <v>45702</v>
      </c>
      <c r="B167">
        <f>(3/(1+('CurrentPor-Equ Factor Movements'!C167)/100)+103/POWER(1+('CurrentPor-Equ Factor Movements'!D167)/100,2))*100</f>
        <v>9707.5857774288397</v>
      </c>
      <c r="C167">
        <f>(3/(1+('CurrentPor-Equ Factor Movements'!C167+'CurrentPor-Equ Factor Movements'!G167)/100)+103/POWER(1+('CurrentPor-Equ Factor Movements'!D167+'CurrentPor-Equ Factor Movements'!G167)/100,2))*100</f>
        <v>9614.9673582483465</v>
      </c>
      <c r="D167">
        <f>(3/(1+('CurrentPor-Equ Factor Movements'!C167+'CurrentPor-Equ Factor Movements'!H167)/100)+103/POWER(1+('CurrentPor-Equ Factor Movements'!D167+'CurrentPor-Equ Factor Movements'!H167)/100,2))*100</f>
        <v>9601.2395558122898</v>
      </c>
      <c r="E167">
        <f>(3/(1+('CurrentPor-Equ Factor Movements'!C167+'CurrentPor-Equ Factor Movements'!I167)/100)+103/POWER(1+('CurrentPor-Equ Factor Movements'!D167+'CurrentPor-Equ Factor Movements'!I167)/100,2))*100</f>
        <v>9581.4547115644182</v>
      </c>
      <c r="F167">
        <f>Portfolio!B$5*'CurrentPor-Equ Factor Movements'!E167</f>
        <v>51831.343141273399</v>
      </c>
      <c r="G167">
        <f>Portfolio!B$6*'CurrentPor-Equ Factor Movements'!F167</f>
        <v>3405.9250618439187</v>
      </c>
      <c r="H167">
        <f>Portfolio!B$7*'CurrentPor-Equ Factor Movements'!J167</f>
        <v>2148.0998964419859</v>
      </c>
      <c r="I167">
        <f t="shared" si="4"/>
        <v>95890.615502613204</v>
      </c>
      <c r="J167">
        <f t="shared" si="5"/>
        <v>-1937.0521063140332</v>
      </c>
    </row>
    <row r="168" spans="1:10">
      <c r="A168" s="1">
        <v>45705</v>
      </c>
      <c r="B168">
        <f>(3/(1+('CurrentPor-Equ Factor Movements'!C168)/100)+103/POWER(1+('CurrentPor-Equ Factor Movements'!D168)/100,2))*100</f>
        <v>9707.5857774288397</v>
      </c>
      <c r="C168">
        <f>(3/(1+('CurrentPor-Equ Factor Movements'!C168+'CurrentPor-Equ Factor Movements'!G168)/100)+103/POWER(1+('CurrentPor-Equ Factor Movements'!D168+'CurrentPor-Equ Factor Movements'!G168)/100,2))*100</f>
        <v>9614.9673582483465</v>
      </c>
      <c r="D168">
        <f>(3/(1+('CurrentPor-Equ Factor Movements'!C168+'CurrentPor-Equ Factor Movements'!H168)/100)+103/POWER(1+('CurrentPor-Equ Factor Movements'!D168+'CurrentPor-Equ Factor Movements'!H168)/100,2))*100</f>
        <v>9601.2395558122898</v>
      </c>
      <c r="E168">
        <f>(3/(1+('CurrentPor-Equ Factor Movements'!C168+'CurrentPor-Equ Factor Movements'!I168)/100)+103/POWER(1+('CurrentPor-Equ Factor Movements'!D168+'CurrentPor-Equ Factor Movements'!I168)/100,2))*100</f>
        <v>9581.4547115644182</v>
      </c>
      <c r="F168">
        <f>Portfolio!B$5*'CurrentPor-Equ Factor Movements'!E168</f>
        <v>52736.39674459138</v>
      </c>
      <c r="G168">
        <f>Portfolio!B$6*'CurrentPor-Equ Factor Movements'!F168</f>
        <v>3906.5581478786066</v>
      </c>
      <c r="H168">
        <f>Portfolio!B$7*'CurrentPor-Equ Factor Movements'!J168</f>
        <v>2148.0998964419859</v>
      </c>
      <c r="I168">
        <f t="shared" si="4"/>
        <v>97296.302191965864</v>
      </c>
      <c r="J168">
        <f t="shared" si="5"/>
        <v>1758.1913373121206</v>
      </c>
    </row>
    <row r="169" spans="1:10">
      <c r="A169" s="1">
        <v>45706</v>
      </c>
      <c r="B169">
        <f>(3/(1+('CurrentPor-Equ Factor Movements'!C169)/100)+103/POWER(1+('CurrentPor-Equ Factor Movements'!D169)/100,2))*100</f>
        <v>9707.5857774288397</v>
      </c>
      <c r="C169">
        <f>(3/(1+('CurrentPor-Equ Factor Movements'!C169+'CurrentPor-Equ Factor Movements'!G169)/100)+103/POWER(1+('CurrentPor-Equ Factor Movements'!D169+'CurrentPor-Equ Factor Movements'!G169)/100,2))*100</f>
        <v>9614.9673582483465</v>
      </c>
      <c r="D169">
        <f>(3/(1+('CurrentPor-Equ Factor Movements'!C169+'CurrentPor-Equ Factor Movements'!H169)/100)+103/POWER(1+('CurrentPor-Equ Factor Movements'!D169+'CurrentPor-Equ Factor Movements'!H169)/100,2))*100</f>
        <v>9601.2395558122898</v>
      </c>
      <c r="E169">
        <f>(3/(1+('CurrentPor-Equ Factor Movements'!C169+'CurrentPor-Equ Factor Movements'!I169)/100)+103/POWER(1+('CurrentPor-Equ Factor Movements'!D169+'CurrentPor-Equ Factor Movements'!I169)/100,2))*100</f>
        <v>9581.4547115644182</v>
      </c>
      <c r="F169">
        <f>Portfolio!B$5*'CurrentPor-Equ Factor Movements'!E169</f>
        <v>51432.207931413701</v>
      </c>
      <c r="G169">
        <f>Portfolio!B$6*'CurrentPor-Equ Factor Movements'!F169</f>
        <v>3513.0006480099801</v>
      </c>
      <c r="H169">
        <f>Portfolio!B$7*'CurrentPor-Equ Factor Movements'!J169</f>
        <v>2148.0998964419859</v>
      </c>
      <c r="I169">
        <f t="shared" si="4"/>
        <v>95598.555878919564</v>
      </c>
      <c r="J169">
        <f t="shared" si="5"/>
        <v>2052.7744434801134</v>
      </c>
    </row>
    <row r="170" spans="1:10">
      <c r="A170" s="1">
        <v>45707</v>
      </c>
      <c r="B170">
        <f>(3/(1+('CurrentPor-Equ Factor Movements'!C170)/100)+103/POWER(1+('CurrentPor-Equ Factor Movements'!D170)/100,2))*100</f>
        <v>9707.5857774288397</v>
      </c>
      <c r="C170">
        <f>(3/(1+('CurrentPor-Equ Factor Movements'!C170+'CurrentPor-Equ Factor Movements'!G170)/100)+103/POWER(1+('CurrentPor-Equ Factor Movements'!D170+'CurrentPor-Equ Factor Movements'!G170)/100,2))*100</f>
        <v>9614.9673582483465</v>
      </c>
      <c r="D170">
        <f>(3/(1+('CurrentPor-Equ Factor Movements'!C170+'CurrentPor-Equ Factor Movements'!H170)/100)+103/POWER(1+('CurrentPor-Equ Factor Movements'!D170+'CurrentPor-Equ Factor Movements'!H170)/100,2))*100</f>
        <v>9601.2395558122898</v>
      </c>
      <c r="E170">
        <f>(3/(1+('CurrentPor-Equ Factor Movements'!C170+'CurrentPor-Equ Factor Movements'!I170)/100)+103/POWER(1+('CurrentPor-Equ Factor Movements'!D170+'CurrentPor-Equ Factor Movements'!I170)/100,2))*100</f>
        <v>9581.4547115644182</v>
      </c>
      <c r="F170">
        <f>Portfolio!B$5*'CurrentPor-Equ Factor Movements'!E170</f>
        <v>52406.262222914811</v>
      </c>
      <c r="G170">
        <f>Portfolio!B$6*'CurrentPor-Equ Factor Movements'!F170</f>
        <v>3597.9927854888283</v>
      </c>
      <c r="H170">
        <f>Portfolio!B$7*'CurrentPor-Equ Factor Movements'!J170</f>
        <v>2148.0998964419859</v>
      </c>
      <c r="I170">
        <f t="shared" si="4"/>
        <v>96657.602307899506</v>
      </c>
      <c r="J170">
        <f t="shared" si="5"/>
        <v>434.57711689961434</v>
      </c>
    </row>
    <row r="171" spans="1:10">
      <c r="A171" s="1">
        <v>45708</v>
      </c>
      <c r="B171">
        <f>(3/(1+('CurrentPor-Equ Factor Movements'!C171)/100)+103/POWER(1+('CurrentPor-Equ Factor Movements'!D171)/100,2))*100</f>
        <v>9707.5857774288397</v>
      </c>
      <c r="C171">
        <f>(3/(1+('CurrentPor-Equ Factor Movements'!C171+'CurrentPor-Equ Factor Movements'!G171)/100)+103/POWER(1+('CurrentPor-Equ Factor Movements'!D171+'CurrentPor-Equ Factor Movements'!G171)/100,2))*100</f>
        <v>9614.9673582483465</v>
      </c>
      <c r="D171">
        <f>(3/(1+('CurrentPor-Equ Factor Movements'!C171+'CurrentPor-Equ Factor Movements'!H171)/100)+103/POWER(1+('CurrentPor-Equ Factor Movements'!D171+'CurrentPor-Equ Factor Movements'!H171)/100,2))*100</f>
        <v>9601.2395558122898</v>
      </c>
      <c r="E171">
        <f>(3/(1+('CurrentPor-Equ Factor Movements'!C171+'CurrentPor-Equ Factor Movements'!I171)/100)+103/POWER(1+('CurrentPor-Equ Factor Movements'!D171+'CurrentPor-Equ Factor Movements'!I171)/100,2))*100</f>
        <v>9581.4547115644182</v>
      </c>
      <c r="F171">
        <f>Portfolio!B$5*'CurrentPor-Equ Factor Movements'!E171</f>
        <v>51683.112392060626</v>
      </c>
      <c r="G171">
        <f>Portfolio!B$6*'CurrentPor-Equ Factor Movements'!F171</f>
        <v>3517.6130020773558</v>
      </c>
      <c r="H171">
        <f>Portfolio!B$7*'CurrentPor-Equ Factor Movements'!J171</f>
        <v>2148.0998964419859</v>
      </c>
      <c r="I171">
        <f t="shared" si="4"/>
        <v>95854.072693633861</v>
      </c>
      <c r="J171">
        <f t="shared" si="5"/>
        <v>-566.95923472297727</v>
      </c>
    </row>
    <row r="172" spans="1:10">
      <c r="A172" s="1">
        <v>45709</v>
      </c>
      <c r="B172">
        <f>(3/(1+('CurrentPor-Equ Factor Movements'!C172)/100)+103/POWER(1+('CurrentPor-Equ Factor Movements'!D172)/100,2))*100</f>
        <v>9707.5857774288397</v>
      </c>
      <c r="C172">
        <f>(3/(1+('CurrentPor-Equ Factor Movements'!C172+'CurrentPor-Equ Factor Movements'!G172)/100)+103/POWER(1+('CurrentPor-Equ Factor Movements'!D172+'CurrentPor-Equ Factor Movements'!G172)/100,2))*100</f>
        <v>9614.9673582483465</v>
      </c>
      <c r="D172">
        <f>(3/(1+('CurrentPor-Equ Factor Movements'!C172+'CurrentPor-Equ Factor Movements'!H172)/100)+103/POWER(1+('CurrentPor-Equ Factor Movements'!D172+'CurrentPor-Equ Factor Movements'!H172)/100,2))*100</f>
        <v>9601.2395558122898</v>
      </c>
      <c r="E172">
        <f>(3/(1+('CurrentPor-Equ Factor Movements'!C172+'CurrentPor-Equ Factor Movements'!I172)/100)+103/POWER(1+('CurrentPor-Equ Factor Movements'!D172+'CurrentPor-Equ Factor Movements'!I172)/100,2))*100</f>
        <v>9581.4547115644182</v>
      </c>
      <c r="F172">
        <f>Portfolio!B$5*'CurrentPor-Equ Factor Movements'!E172</f>
        <v>51406.05146823822</v>
      </c>
      <c r="G172">
        <f>Portfolio!B$6*'CurrentPor-Equ Factor Movements'!F172</f>
        <v>3619.4072590527903</v>
      </c>
      <c r="H172">
        <f>Portfolio!B$7*'CurrentPor-Equ Factor Movements'!J172</f>
        <v>2148.0998964419859</v>
      </c>
      <c r="I172">
        <f t="shared" si="4"/>
        <v>95678.8060267869</v>
      </c>
      <c r="J172">
        <f t="shared" si="5"/>
        <v>-1361.3524574567709</v>
      </c>
    </row>
    <row r="173" spans="1:10">
      <c r="A173" s="1">
        <v>45712</v>
      </c>
      <c r="B173">
        <f>(3/(1+('CurrentPor-Equ Factor Movements'!C173)/100)+103/POWER(1+('CurrentPor-Equ Factor Movements'!D173)/100,2))*100</f>
        <v>9707.5857774288397</v>
      </c>
      <c r="C173">
        <f>(3/(1+('CurrentPor-Equ Factor Movements'!C173+'CurrentPor-Equ Factor Movements'!G173)/100)+103/POWER(1+('CurrentPor-Equ Factor Movements'!D173+'CurrentPor-Equ Factor Movements'!G173)/100,2))*100</f>
        <v>9614.9673582483465</v>
      </c>
      <c r="D173">
        <f>(3/(1+('CurrentPor-Equ Factor Movements'!C173+'CurrentPor-Equ Factor Movements'!H173)/100)+103/POWER(1+('CurrentPor-Equ Factor Movements'!D173+'CurrentPor-Equ Factor Movements'!H173)/100,2))*100</f>
        <v>9601.2395558122898</v>
      </c>
      <c r="E173">
        <f>(3/(1+('CurrentPor-Equ Factor Movements'!C173+'CurrentPor-Equ Factor Movements'!I173)/100)+103/POWER(1+('CurrentPor-Equ Factor Movements'!D173+'CurrentPor-Equ Factor Movements'!I173)/100,2))*100</f>
        <v>9581.4547115644182</v>
      </c>
      <c r="F173">
        <f>Portfolio!B$5*'CurrentPor-Equ Factor Movements'!E173</f>
        <v>51046.309785474696</v>
      </c>
      <c r="G173">
        <f>Portfolio!B$6*'CurrentPor-Equ Factor Movements'!F173</f>
        <v>3986.0044459219216</v>
      </c>
      <c r="H173">
        <f>Portfolio!B$7*'CurrentPor-Equ Factor Movements'!J173</f>
        <v>2148.0998964419859</v>
      </c>
      <c r="I173">
        <f t="shared" si="4"/>
        <v>95685.661530892496</v>
      </c>
      <c r="J173">
        <f t="shared" si="5"/>
        <v>-1989.0434500300325</v>
      </c>
    </row>
    <row r="174" spans="1:10">
      <c r="A174" s="1">
        <v>45713</v>
      </c>
      <c r="B174">
        <f>(3/(1+('CurrentPor-Equ Factor Movements'!C174)/100)+103/POWER(1+('CurrentPor-Equ Factor Movements'!D174)/100,2))*100</f>
        <v>9707.5857774288397</v>
      </c>
      <c r="C174">
        <f>(3/(1+('CurrentPor-Equ Factor Movements'!C174+'CurrentPor-Equ Factor Movements'!G174)/100)+103/POWER(1+('CurrentPor-Equ Factor Movements'!D174+'CurrentPor-Equ Factor Movements'!G174)/100,2))*100</f>
        <v>9614.9673582483465</v>
      </c>
      <c r="D174">
        <f>(3/(1+('CurrentPor-Equ Factor Movements'!C174+'CurrentPor-Equ Factor Movements'!H174)/100)+103/POWER(1+('CurrentPor-Equ Factor Movements'!D174+'CurrentPor-Equ Factor Movements'!H174)/100,2))*100</f>
        <v>9601.2395558122898</v>
      </c>
      <c r="E174">
        <f>(3/(1+('CurrentPor-Equ Factor Movements'!C174+'CurrentPor-Equ Factor Movements'!I174)/100)+103/POWER(1+('CurrentPor-Equ Factor Movements'!D174+'CurrentPor-Equ Factor Movements'!I174)/100,2))*100</f>
        <v>9581.4547115644182</v>
      </c>
      <c r="F174">
        <f>Portfolio!B$5*'CurrentPor-Equ Factor Movements'!E174</f>
        <v>51154.436985009976</v>
      </c>
      <c r="G174">
        <f>Portfolio!B$6*'CurrentPor-Equ Factor Movements'!F174</f>
        <v>3816.1019388973818</v>
      </c>
      <c r="H174">
        <f>Portfolio!B$7*'CurrentPor-Equ Factor Movements'!J174</f>
        <v>2148.0998964419859</v>
      </c>
      <c r="I174">
        <f t="shared" si="4"/>
        <v>95623.886223403242</v>
      </c>
      <c r="J174">
        <f t="shared" si="5"/>
        <v>-446.51925104866677</v>
      </c>
    </row>
    <row r="175" spans="1:10">
      <c r="A175" s="1">
        <v>45714</v>
      </c>
      <c r="B175">
        <f>(3/(1+('CurrentPor-Equ Factor Movements'!C175)/100)+103/POWER(1+('CurrentPor-Equ Factor Movements'!D175)/100,2))*100</f>
        <v>9707.5857774288397</v>
      </c>
      <c r="C175">
        <f>(3/(1+('CurrentPor-Equ Factor Movements'!C175+'CurrentPor-Equ Factor Movements'!G175)/100)+103/POWER(1+('CurrentPor-Equ Factor Movements'!D175+'CurrentPor-Equ Factor Movements'!G175)/100,2))*100</f>
        <v>9614.9673582483465</v>
      </c>
      <c r="D175">
        <f>(3/(1+('CurrentPor-Equ Factor Movements'!C175+'CurrentPor-Equ Factor Movements'!H175)/100)+103/POWER(1+('CurrentPor-Equ Factor Movements'!D175+'CurrentPor-Equ Factor Movements'!H175)/100,2))*100</f>
        <v>9601.2395558122898</v>
      </c>
      <c r="E175">
        <f>(3/(1+('CurrentPor-Equ Factor Movements'!C175+'CurrentPor-Equ Factor Movements'!I175)/100)+103/POWER(1+('CurrentPor-Equ Factor Movements'!D175+'CurrentPor-Equ Factor Movements'!I175)/100,2))*100</f>
        <v>9581.4547115644182</v>
      </c>
      <c r="F175">
        <f>Portfolio!B$5*'CurrentPor-Equ Factor Movements'!E175</f>
        <v>51170.652813227287</v>
      </c>
      <c r="G175">
        <f>Portfolio!B$6*'CurrentPor-Equ Factor Movements'!F175</f>
        <v>3737.9015368071377</v>
      </c>
      <c r="H175">
        <f>Portfolio!B$7*'CurrentPor-Equ Factor Movements'!J175</f>
        <v>2148.0998964419859</v>
      </c>
      <c r="I175">
        <f t="shared" si="4"/>
        <v>95561.901649530308</v>
      </c>
      <c r="J175">
        <f t="shared" si="5"/>
        <v>540.71911156745045</v>
      </c>
    </row>
    <row r="176" spans="1:10">
      <c r="A176" s="1">
        <v>45715</v>
      </c>
      <c r="B176">
        <f>(3/(1+('CurrentPor-Equ Factor Movements'!C176)/100)+103/POWER(1+('CurrentPor-Equ Factor Movements'!D176)/100,2))*100</f>
        <v>9707.5857774288397</v>
      </c>
      <c r="C176">
        <f>(3/(1+('CurrentPor-Equ Factor Movements'!C176+'CurrentPor-Equ Factor Movements'!G176)/100)+103/POWER(1+('CurrentPor-Equ Factor Movements'!D176+'CurrentPor-Equ Factor Movements'!G176)/100,2))*100</f>
        <v>9614.9673582483465</v>
      </c>
      <c r="D176">
        <f>(3/(1+('CurrentPor-Equ Factor Movements'!C176+'CurrentPor-Equ Factor Movements'!H176)/100)+103/POWER(1+('CurrentPor-Equ Factor Movements'!D176+'CurrentPor-Equ Factor Movements'!H176)/100,2))*100</f>
        <v>9601.2395558122898</v>
      </c>
      <c r="E176">
        <f>(3/(1+('CurrentPor-Equ Factor Movements'!C176+'CurrentPor-Equ Factor Movements'!I176)/100)+103/POWER(1+('CurrentPor-Equ Factor Movements'!D176+'CurrentPor-Equ Factor Movements'!I176)/100,2))*100</f>
        <v>9581.4547115644182</v>
      </c>
      <c r="F176">
        <f>Portfolio!B$5*'CurrentPor-Equ Factor Movements'!E176</f>
        <v>50724.544366406677</v>
      </c>
      <c r="G176">
        <f>Portfolio!B$6*'CurrentPor-Equ Factor Movements'!F176</f>
        <v>3359.0319764945698</v>
      </c>
      <c r="H176">
        <f>Portfolio!B$7*'CurrentPor-Equ Factor Movements'!J176</f>
        <v>2148.0998964419859</v>
      </c>
      <c r="I176">
        <f t="shared" si="4"/>
        <v>94736.923642397131</v>
      </c>
      <c r="J176">
        <f t="shared" si="5"/>
        <v>-3103.4525560824404</v>
      </c>
    </row>
    <row r="177" spans="1:10">
      <c r="A177" s="1">
        <v>45716</v>
      </c>
      <c r="B177">
        <f>(3/(1+('CurrentPor-Equ Factor Movements'!C177)/100)+103/POWER(1+('CurrentPor-Equ Factor Movements'!D177)/100,2))*100</f>
        <v>9707.5857774288397</v>
      </c>
      <c r="C177">
        <f>(3/(1+('CurrentPor-Equ Factor Movements'!C177+'CurrentPor-Equ Factor Movements'!G177)/100)+103/POWER(1+('CurrentPor-Equ Factor Movements'!D177+'CurrentPor-Equ Factor Movements'!G177)/100,2))*100</f>
        <v>9614.9673582483465</v>
      </c>
      <c r="D177">
        <f>(3/(1+('CurrentPor-Equ Factor Movements'!C177+'CurrentPor-Equ Factor Movements'!H177)/100)+103/POWER(1+('CurrentPor-Equ Factor Movements'!D177+'CurrentPor-Equ Factor Movements'!H177)/100,2))*100</f>
        <v>9601.2395558122898</v>
      </c>
      <c r="E177">
        <f>(3/(1+('CurrentPor-Equ Factor Movements'!C177+'CurrentPor-Equ Factor Movements'!I177)/100)+103/POWER(1+('CurrentPor-Equ Factor Movements'!D177+'CurrentPor-Equ Factor Movements'!I177)/100,2))*100</f>
        <v>9581.4547115644182</v>
      </c>
      <c r="F177">
        <f>Portfolio!B$5*'CurrentPor-Equ Factor Movements'!E177</f>
        <v>51312.695548508404</v>
      </c>
      <c r="G177">
        <f>Portfolio!B$6*'CurrentPor-Equ Factor Movements'!F177</f>
        <v>3449.8015697821088</v>
      </c>
      <c r="H177">
        <f>Portfolio!B$7*'CurrentPor-Equ Factor Movements'!J177</f>
        <v>2148.0998964419859</v>
      </c>
      <c r="I177">
        <f t="shared" si="4"/>
        <v>95415.844417786386</v>
      </c>
      <c r="J177">
        <f t="shared" si="5"/>
        <v>-474.77108482681797</v>
      </c>
    </row>
    <row r="178" spans="1:10">
      <c r="A178" s="1">
        <v>45719</v>
      </c>
      <c r="B178">
        <f>(3/(1+('CurrentPor-Equ Factor Movements'!C178)/100)+103/POWER(1+('CurrentPor-Equ Factor Movements'!D178)/100,2))*100</f>
        <v>9707.5857774288397</v>
      </c>
      <c r="C178">
        <f>(3/(1+('CurrentPor-Equ Factor Movements'!C178+'CurrentPor-Equ Factor Movements'!G178)/100)+103/POWER(1+('CurrentPor-Equ Factor Movements'!D178+'CurrentPor-Equ Factor Movements'!G178)/100,2))*100</f>
        <v>9614.9673582483465</v>
      </c>
      <c r="D178">
        <f>(3/(1+('CurrentPor-Equ Factor Movements'!C178+'CurrentPor-Equ Factor Movements'!H178)/100)+103/POWER(1+('CurrentPor-Equ Factor Movements'!D178+'CurrentPor-Equ Factor Movements'!H178)/100,2))*100</f>
        <v>9601.2395558122898</v>
      </c>
      <c r="E178">
        <f>(3/(1+('CurrentPor-Equ Factor Movements'!C178+'CurrentPor-Equ Factor Movements'!I178)/100)+103/POWER(1+('CurrentPor-Equ Factor Movements'!D178+'CurrentPor-Equ Factor Movements'!I178)/100,2))*100</f>
        <v>9581.4547115644182</v>
      </c>
      <c r="F178">
        <f>Portfolio!B$5*'CurrentPor-Equ Factor Movements'!E178</f>
        <v>52365.18171238897</v>
      </c>
      <c r="G178">
        <f>Portfolio!B$6*'CurrentPor-Equ Factor Movements'!F178</f>
        <v>3620.8160854171147</v>
      </c>
      <c r="H178">
        <f>Portfolio!B$7*'CurrentPor-Equ Factor Movements'!J178</f>
        <v>2148.0998964419859</v>
      </c>
      <c r="I178">
        <f t="shared" si="4"/>
        <v>96639.345097301964</v>
      </c>
      <c r="J178">
        <f t="shared" si="5"/>
        <v>-656.95709466389962</v>
      </c>
    </row>
    <row r="179" spans="1:10">
      <c r="A179" s="1">
        <v>45720</v>
      </c>
      <c r="B179">
        <f>(3/(1+('CurrentPor-Equ Factor Movements'!C179)/100)+103/POWER(1+('CurrentPor-Equ Factor Movements'!D179)/100,2))*100</f>
        <v>9707.5857774288397</v>
      </c>
      <c r="C179">
        <f>(3/(1+('CurrentPor-Equ Factor Movements'!C179+'CurrentPor-Equ Factor Movements'!G179)/100)+103/POWER(1+('CurrentPor-Equ Factor Movements'!D179+'CurrentPor-Equ Factor Movements'!G179)/100,2))*100</f>
        <v>9614.9673582483465</v>
      </c>
      <c r="D179">
        <f>(3/(1+('CurrentPor-Equ Factor Movements'!C179+'CurrentPor-Equ Factor Movements'!H179)/100)+103/POWER(1+('CurrentPor-Equ Factor Movements'!D179+'CurrentPor-Equ Factor Movements'!H179)/100,2))*100</f>
        <v>9601.2395558122898</v>
      </c>
      <c r="E179">
        <f>(3/(1+('CurrentPor-Equ Factor Movements'!C179+'CurrentPor-Equ Factor Movements'!I179)/100)+103/POWER(1+('CurrentPor-Equ Factor Movements'!D179+'CurrentPor-Equ Factor Movements'!I179)/100,2))*100</f>
        <v>9581.4547115644182</v>
      </c>
      <c r="F179">
        <f>Portfolio!B$5*'CurrentPor-Equ Factor Movements'!E179</f>
        <v>51917.519321352542</v>
      </c>
      <c r="G179">
        <f>Portfolio!B$6*'CurrentPor-Equ Factor Movements'!F179</f>
        <v>3697.8421649939542</v>
      </c>
      <c r="H179">
        <f>Portfolio!B$7*'CurrentPor-Equ Factor Movements'!J179</f>
        <v>2148.0998964419859</v>
      </c>
      <c r="I179">
        <f t="shared" si="4"/>
        <v>96268.708785842377</v>
      </c>
      <c r="J179">
        <f t="shared" si="5"/>
        <v>670.15290692281269</v>
      </c>
    </row>
    <row r="180" spans="1:10">
      <c r="A180" s="1">
        <v>45721</v>
      </c>
      <c r="B180">
        <f>(3/(1+('CurrentPor-Equ Factor Movements'!C180)/100)+103/POWER(1+('CurrentPor-Equ Factor Movements'!D180)/100,2))*100</f>
        <v>9707.5857774288397</v>
      </c>
      <c r="C180">
        <f>(3/(1+('CurrentPor-Equ Factor Movements'!C180+'CurrentPor-Equ Factor Movements'!G180)/100)+103/POWER(1+('CurrentPor-Equ Factor Movements'!D180+'CurrentPor-Equ Factor Movements'!G180)/100,2))*100</f>
        <v>9614.9673582483465</v>
      </c>
      <c r="D180">
        <f>(3/(1+('CurrentPor-Equ Factor Movements'!C180+'CurrentPor-Equ Factor Movements'!H180)/100)+103/POWER(1+('CurrentPor-Equ Factor Movements'!D180+'CurrentPor-Equ Factor Movements'!H180)/100,2))*100</f>
        <v>9601.2395558122898</v>
      </c>
      <c r="E180">
        <f>(3/(1+('CurrentPor-Equ Factor Movements'!C180+'CurrentPor-Equ Factor Movements'!I180)/100)+103/POWER(1+('CurrentPor-Equ Factor Movements'!D180+'CurrentPor-Equ Factor Movements'!I180)/100,2))*100</f>
        <v>9581.4547115644182</v>
      </c>
      <c r="F180">
        <f>Portfolio!B$5*'CurrentPor-Equ Factor Movements'!E180</f>
        <v>51449.295302121856</v>
      </c>
      <c r="G180">
        <f>Portfolio!B$6*'CurrentPor-Equ Factor Movements'!F180</f>
        <v>3669.3047915786351</v>
      </c>
      <c r="H180">
        <f>Portfolio!B$7*'CurrentPor-Equ Factor Movements'!J180</f>
        <v>2148.0998964419859</v>
      </c>
      <c r="I180">
        <f t="shared" si="4"/>
        <v>95771.947393196373</v>
      </c>
      <c r="J180">
        <f t="shared" si="5"/>
        <v>-885.65491470313282</v>
      </c>
    </row>
    <row r="181" spans="1:10">
      <c r="A181" s="1">
        <v>45722</v>
      </c>
      <c r="B181">
        <f>(3/(1+('CurrentPor-Equ Factor Movements'!C181)/100)+103/POWER(1+('CurrentPor-Equ Factor Movements'!D181)/100,2))*100</f>
        <v>9707.5857774288397</v>
      </c>
      <c r="C181">
        <f>(3/(1+('CurrentPor-Equ Factor Movements'!C181+'CurrentPor-Equ Factor Movements'!G181)/100)+103/POWER(1+('CurrentPor-Equ Factor Movements'!D181+'CurrentPor-Equ Factor Movements'!G181)/100,2))*100</f>
        <v>9614.9673582483465</v>
      </c>
      <c r="D181">
        <f>(3/(1+('CurrentPor-Equ Factor Movements'!C181+'CurrentPor-Equ Factor Movements'!H181)/100)+103/POWER(1+('CurrentPor-Equ Factor Movements'!D181+'CurrentPor-Equ Factor Movements'!H181)/100,2))*100</f>
        <v>9601.2395558122898</v>
      </c>
      <c r="E181">
        <f>(3/(1+('CurrentPor-Equ Factor Movements'!C181+'CurrentPor-Equ Factor Movements'!I181)/100)+103/POWER(1+('CurrentPor-Equ Factor Movements'!D181+'CurrentPor-Equ Factor Movements'!I181)/100,2))*100</f>
        <v>9581.4547115644182</v>
      </c>
      <c r="F181">
        <f>Portfolio!B$5*'CurrentPor-Equ Factor Movements'!E181</f>
        <v>50912.466387679146</v>
      </c>
      <c r="G181">
        <f>Portfolio!B$6*'CurrentPor-Equ Factor Movements'!F181</f>
        <v>3215.5593126723538</v>
      </c>
      <c r="H181">
        <f>Portfolio!B$7*'CurrentPor-Equ Factor Movements'!J181</f>
        <v>2148.0998964419859</v>
      </c>
      <c r="I181">
        <f t="shared" si="4"/>
        <v>94781.372999847386</v>
      </c>
      <c r="J181">
        <f t="shared" si="5"/>
        <v>-1072.6996937864751</v>
      </c>
    </row>
    <row r="182" spans="1:10">
      <c r="A182" s="1">
        <v>45723</v>
      </c>
      <c r="B182">
        <f>(3/(1+('CurrentPor-Equ Factor Movements'!C182)/100)+103/POWER(1+('CurrentPor-Equ Factor Movements'!D182)/100,2))*100</f>
        <v>9707.5857774288397</v>
      </c>
      <c r="C182">
        <f>(3/(1+('CurrentPor-Equ Factor Movements'!C182+'CurrentPor-Equ Factor Movements'!G182)/100)+103/POWER(1+('CurrentPor-Equ Factor Movements'!D182+'CurrentPor-Equ Factor Movements'!G182)/100,2))*100</f>
        <v>9614.9673582483465</v>
      </c>
      <c r="D182">
        <f>(3/(1+('CurrentPor-Equ Factor Movements'!C182+'CurrentPor-Equ Factor Movements'!H182)/100)+103/POWER(1+('CurrentPor-Equ Factor Movements'!D182+'CurrentPor-Equ Factor Movements'!H182)/100,2))*100</f>
        <v>9601.2395558122898</v>
      </c>
      <c r="E182">
        <f>(3/(1+('CurrentPor-Equ Factor Movements'!C182+'CurrentPor-Equ Factor Movements'!I182)/100)+103/POWER(1+('CurrentPor-Equ Factor Movements'!D182+'CurrentPor-Equ Factor Movements'!I182)/100,2))*100</f>
        <v>9581.4547115644182</v>
      </c>
      <c r="F182">
        <f>Portfolio!B$5*'CurrentPor-Equ Factor Movements'!E182</f>
        <v>50299.200264726016</v>
      </c>
      <c r="G182">
        <f>Portfolio!B$6*'CurrentPor-Equ Factor Movements'!F182</f>
        <v>3971.4528456380299</v>
      </c>
      <c r="H182">
        <f>Portfolio!B$7*'CurrentPor-Equ Factor Movements'!J182</f>
        <v>2148.0998964419859</v>
      </c>
      <c r="I182">
        <f t="shared" si="4"/>
        <v>94924.000409859931</v>
      </c>
      <c r="J182">
        <f t="shared" si="5"/>
        <v>-754.80561692696938</v>
      </c>
    </row>
    <row r="183" spans="1:10">
      <c r="A183" s="1">
        <v>45726</v>
      </c>
      <c r="B183">
        <f>(3/(1+('CurrentPor-Equ Factor Movements'!C183)/100)+103/POWER(1+('CurrentPor-Equ Factor Movements'!D183)/100,2))*100</f>
        <v>9707.5857774288397</v>
      </c>
      <c r="C183">
        <f>(3/(1+('CurrentPor-Equ Factor Movements'!C183+'CurrentPor-Equ Factor Movements'!G183)/100)+103/POWER(1+('CurrentPor-Equ Factor Movements'!D183+'CurrentPor-Equ Factor Movements'!G183)/100,2))*100</f>
        <v>9614.9673582483465</v>
      </c>
      <c r="D183">
        <f>(3/(1+('CurrentPor-Equ Factor Movements'!C183+'CurrentPor-Equ Factor Movements'!H183)/100)+103/POWER(1+('CurrentPor-Equ Factor Movements'!D183+'CurrentPor-Equ Factor Movements'!H183)/100,2))*100</f>
        <v>9601.2395558122898</v>
      </c>
      <c r="E183">
        <f>(3/(1+('CurrentPor-Equ Factor Movements'!C183+'CurrentPor-Equ Factor Movements'!I183)/100)+103/POWER(1+('CurrentPor-Equ Factor Movements'!D183+'CurrentPor-Equ Factor Movements'!I183)/100,2))*100</f>
        <v>9581.4547115644182</v>
      </c>
      <c r="F183">
        <f>Portfolio!B$5*'CurrentPor-Equ Factor Movements'!E183</f>
        <v>50913.316886314315</v>
      </c>
      <c r="G183">
        <f>Portfolio!B$6*'CurrentPor-Equ Factor Movements'!F183</f>
        <v>3531.4146706171236</v>
      </c>
      <c r="H183">
        <f>Portfolio!B$7*'CurrentPor-Equ Factor Movements'!J183</f>
        <v>2148.0998964419859</v>
      </c>
      <c r="I183">
        <f t="shared" si="4"/>
        <v>95098.078856427324</v>
      </c>
      <c r="J183">
        <f t="shared" si="5"/>
        <v>-587.58267446517129</v>
      </c>
    </row>
    <row r="184" spans="1:10">
      <c r="A184" s="1">
        <v>45727</v>
      </c>
      <c r="B184">
        <f>(3/(1+('CurrentPor-Equ Factor Movements'!C184)/100)+103/POWER(1+('CurrentPor-Equ Factor Movements'!D184)/100,2))*100</f>
        <v>9707.5857774288397</v>
      </c>
      <c r="C184">
        <f>(3/(1+('CurrentPor-Equ Factor Movements'!C184+'CurrentPor-Equ Factor Movements'!G184)/100)+103/POWER(1+('CurrentPor-Equ Factor Movements'!D184+'CurrentPor-Equ Factor Movements'!G184)/100,2))*100</f>
        <v>9614.9673582483465</v>
      </c>
      <c r="D184">
        <f>(3/(1+('CurrentPor-Equ Factor Movements'!C184+'CurrentPor-Equ Factor Movements'!H184)/100)+103/POWER(1+('CurrentPor-Equ Factor Movements'!D184+'CurrentPor-Equ Factor Movements'!H184)/100,2))*100</f>
        <v>9601.2395558122898</v>
      </c>
      <c r="E184">
        <f>(3/(1+('CurrentPor-Equ Factor Movements'!C184+'CurrentPor-Equ Factor Movements'!I184)/100)+103/POWER(1+('CurrentPor-Equ Factor Movements'!D184+'CurrentPor-Equ Factor Movements'!I184)/100,2))*100</f>
        <v>9581.4547115644182</v>
      </c>
      <c r="F184">
        <f>Portfolio!B$5*'CurrentPor-Equ Factor Movements'!E184</f>
        <v>53046.207768668464</v>
      </c>
      <c r="G184">
        <f>Portfolio!B$6*'CurrentPor-Equ Factor Movements'!F184</f>
        <v>3796.3829903163005</v>
      </c>
      <c r="H184">
        <f>Portfolio!B$7*'CurrentPor-Equ Factor Movements'!J184</f>
        <v>2148.0998964419859</v>
      </c>
      <c r="I184">
        <f t="shared" si="4"/>
        <v>97495.938058480649</v>
      </c>
      <c r="J184">
        <f t="shared" si="5"/>
        <v>1872.0518350774073</v>
      </c>
    </row>
    <row r="185" spans="1:10">
      <c r="A185" s="1">
        <v>45728</v>
      </c>
      <c r="B185">
        <f>(3/(1+('CurrentPor-Equ Factor Movements'!C185)/100)+103/POWER(1+('CurrentPor-Equ Factor Movements'!D185)/100,2))*100</f>
        <v>9707.5857774288397</v>
      </c>
      <c r="C185">
        <f>(3/(1+('CurrentPor-Equ Factor Movements'!C185+'CurrentPor-Equ Factor Movements'!G185)/100)+103/POWER(1+('CurrentPor-Equ Factor Movements'!D185+'CurrentPor-Equ Factor Movements'!G185)/100,2))*100</f>
        <v>9614.9673582483465</v>
      </c>
      <c r="D185">
        <f>(3/(1+('CurrentPor-Equ Factor Movements'!C185+'CurrentPor-Equ Factor Movements'!H185)/100)+103/POWER(1+('CurrentPor-Equ Factor Movements'!D185+'CurrentPor-Equ Factor Movements'!H185)/100,2))*100</f>
        <v>9601.2395558122898</v>
      </c>
      <c r="E185">
        <f>(3/(1+('CurrentPor-Equ Factor Movements'!C185+'CurrentPor-Equ Factor Movements'!I185)/100)+103/POWER(1+('CurrentPor-Equ Factor Movements'!D185+'CurrentPor-Equ Factor Movements'!I185)/100,2))*100</f>
        <v>9581.4547115644182</v>
      </c>
      <c r="F185">
        <f>Portfolio!B$5*'CurrentPor-Equ Factor Movements'!E185</f>
        <v>51840.788233569823</v>
      </c>
      <c r="G185">
        <f>Portfolio!B$6*'CurrentPor-Equ Factor Movements'!F185</f>
        <v>3237.9407561083885</v>
      </c>
      <c r="H185">
        <f>Portfolio!B$7*'CurrentPor-Equ Factor Movements'!J185</f>
        <v>2148.0998964419859</v>
      </c>
      <c r="I185">
        <f t="shared" si="4"/>
        <v>95732.076289174089</v>
      </c>
      <c r="J185">
        <f t="shared" si="5"/>
        <v>170.17463964378112</v>
      </c>
    </row>
    <row r="186" spans="1:10">
      <c r="A186" s="1">
        <v>45729</v>
      </c>
      <c r="B186">
        <f>(3/(1+('CurrentPor-Equ Factor Movements'!C186)/100)+103/POWER(1+('CurrentPor-Equ Factor Movements'!D186)/100,2))*100</f>
        <v>9707.5857774288397</v>
      </c>
      <c r="C186">
        <f>(3/(1+('CurrentPor-Equ Factor Movements'!C186+'CurrentPor-Equ Factor Movements'!G186)/100)+103/POWER(1+('CurrentPor-Equ Factor Movements'!D186+'CurrentPor-Equ Factor Movements'!G186)/100,2))*100</f>
        <v>9614.9673582483465</v>
      </c>
      <c r="D186">
        <f>(3/(1+('CurrentPor-Equ Factor Movements'!C186+'CurrentPor-Equ Factor Movements'!H186)/100)+103/POWER(1+('CurrentPor-Equ Factor Movements'!D186+'CurrentPor-Equ Factor Movements'!H186)/100,2))*100</f>
        <v>9601.2395558122898</v>
      </c>
      <c r="E186">
        <f>(3/(1+('CurrentPor-Equ Factor Movements'!C186+'CurrentPor-Equ Factor Movements'!I186)/100)+103/POWER(1+('CurrentPor-Equ Factor Movements'!D186+'CurrentPor-Equ Factor Movements'!I186)/100,2))*100</f>
        <v>9581.4547115644182</v>
      </c>
      <c r="F186">
        <f>Portfolio!B$5*'CurrentPor-Equ Factor Movements'!E186</f>
        <v>52236.266567983759</v>
      </c>
      <c r="G186">
        <f>Portfolio!B$6*'CurrentPor-Equ Factor Movements'!F186</f>
        <v>3454.0685292992571</v>
      </c>
      <c r="H186">
        <f>Portfolio!B$7*'CurrentPor-Equ Factor Movements'!J186</f>
        <v>2148.0998964419859</v>
      </c>
      <c r="I186">
        <f t="shared" si="4"/>
        <v>96343.682396778895</v>
      </c>
      <c r="J186">
        <f t="shared" si="5"/>
        <v>1606.7587543817644</v>
      </c>
    </row>
    <row r="187" spans="1:10">
      <c r="A187" s="1">
        <v>45730</v>
      </c>
      <c r="B187">
        <f>(3/(1+('CurrentPor-Equ Factor Movements'!C187)/100)+103/POWER(1+('CurrentPor-Equ Factor Movements'!D187)/100,2))*100</f>
        <v>9707.5857774288397</v>
      </c>
      <c r="C187">
        <f>(3/(1+('CurrentPor-Equ Factor Movements'!C187+'CurrentPor-Equ Factor Movements'!G187)/100)+103/POWER(1+('CurrentPor-Equ Factor Movements'!D187+'CurrentPor-Equ Factor Movements'!G187)/100,2))*100</f>
        <v>9614.9673582483465</v>
      </c>
      <c r="D187">
        <f>(3/(1+('CurrentPor-Equ Factor Movements'!C187+'CurrentPor-Equ Factor Movements'!H187)/100)+103/POWER(1+('CurrentPor-Equ Factor Movements'!D187+'CurrentPor-Equ Factor Movements'!H187)/100,2))*100</f>
        <v>9601.2395558122898</v>
      </c>
      <c r="E187">
        <f>(3/(1+('CurrentPor-Equ Factor Movements'!C187+'CurrentPor-Equ Factor Movements'!I187)/100)+103/POWER(1+('CurrentPor-Equ Factor Movements'!D187+'CurrentPor-Equ Factor Movements'!I187)/100,2))*100</f>
        <v>9581.4547115644182</v>
      </c>
      <c r="F187">
        <f>Portfolio!B$5*'CurrentPor-Equ Factor Movements'!E187</f>
        <v>52926.826278901317</v>
      </c>
      <c r="G187">
        <f>Portfolio!B$6*'CurrentPor-Equ Factor Movements'!F187</f>
        <v>3472.4494963552088</v>
      </c>
      <c r="H187">
        <f>Portfolio!B$7*'CurrentPor-Equ Factor Movements'!J187</f>
        <v>2148.0998964419859</v>
      </c>
      <c r="I187">
        <f t="shared" si="4"/>
        <v>97052.62307475241</v>
      </c>
      <c r="J187">
        <f t="shared" si="5"/>
        <v>1636.7786569660238</v>
      </c>
    </row>
    <row r="188" spans="1:10">
      <c r="A188" s="13">
        <v>45733</v>
      </c>
      <c r="B188">
        <f>(3/(1+('CurrentPor-Equ Factor Movements'!C188)/100)+103/POWER(1+('CurrentPor-Equ Factor Movements'!D188)/100,2))*100</f>
        <v>9707.5857774288397</v>
      </c>
      <c r="C188">
        <f>(3/(1+('CurrentPor-Equ Factor Movements'!C188+'CurrentPor-Equ Factor Movements'!G188)/100)+103/POWER(1+('CurrentPor-Equ Factor Movements'!D188+'CurrentPor-Equ Factor Movements'!G188)/100,2))*100</f>
        <v>9614.9673582483465</v>
      </c>
      <c r="D188">
        <f>(3/(1+('CurrentPor-Equ Factor Movements'!C188+'CurrentPor-Equ Factor Movements'!H188)/100)+103/POWER(1+('CurrentPor-Equ Factor Movements'!D188+'CurrentPor-Equ Factor Movements'!H188)/100,2))*100</f>
        <v>9601.2395558122898</v>
      </c>
      <c r="E188">
        <f>(3/(1+('CurrentPor-Equ Factor Movements'!C188+'CurrentPor-Equ Factor Movements'!I188)/100)+103/POWER(1+('CurrentPor-Equ Factor Movements'!D188+'CurrentPor-Equ Factor Movements'!I188)/100,2))*100</f>
        <v>9581.4547115644182</v>
      </c>
      <c r="F188">
        <f>Portfolio!B$5*'CurrentPor-Equ Factor Movements'!E188</f>
        <v>51239.261297240228</v>
      </c>
      <c r="G188">
        <f>Portfolio!B$6*'CurrentPor-Equ Factor Movements'!F188</f>
        <v>3349.2036556155208</v>
      </c>
      <c r="H188">
        <f>Portfolio!B$7*'CurrentPor-Equ Factor Movements'!J188</f>
        <v>2148.0998964419859</v>
      </c>
      <c r="I188">
        <f t="shared" ref="I188:I251" si="6">SUM(B188:H188)</f>
        <v>95241.812252351636</v>
      </c>
      <c r="J188">
        <f t="shared" ref="J188:J251" si="7">I188-I178</f>
        <v>-1397.5328449503286</v>
      </c>
    </row>
    <row r="189" spans="1:10">
      <c r="A189" s="1">
        <v>45734</v>
      </c>
      <c r="B189">
        <f>(3/(1+('CurrentPor-Equ Factor Movements'!C189)/100)+103/POWER(1+('CurrentPor-Equ Factor Movements'!D189)/100,2))*100</f>
        <v>9707.5857774288397</v>
      </c>
      <c r="C189">
        <f>(3/(1+('CurrentPor-Equ Factor Movements'!C189+'CurrentPor-Equ Factor Movements'!G189)/100)+103/POWER(1+('CurrentPor-Equ Factor Movements'!D189+'CurrentPor-Equ Factor Movements'!G189)/100,2))*100</f>
        <v>9614.9673582483465</v>
      </c>
      <c r="D189">
        <f>(3/(1+('CurrentPor-Equ Factor Movements'!C189+'CurrentPor-Equ Factor Movements'!H189)/100)+103/POWER(1+('CurrentPor-Equ Factor Movements'!D189+'CurrentPor-Equ Factor Movements'!H189)/100,2))*100</f>
        <v>9601.2395558122898</v>
      </c>
      <c r="E189">
        <f>(3/(1+('CurrentPor-Equ Factor Movements'!C189+'CurrentPor-Equ Factor Movements'!I189)/100)+103/POWER(1+('CurrentPor-Equ Factor Movements'!D189+'CurrentPor-Equ Factor Movements'!I189)/100,2))*100</f>
        <v>9581.4547115644182</v>
      </c>
      <c r="F189">
        <f>Portfolio!B$5*'CurrentPor-Equ Factor Movements'!E189</f>
        <v>52225.865191007106</v>
      </c>
      <c r="G189">
        <f>Portfolio!B$6*'CurrentPor-Equ Factor Movements'!F189</f>
        <v>3539.3466391393345</v>
      </c>
      <c r="H189">
        <f>Portfolio!B$7*'CurrentPor-Equ Factor Movements'!J189</f>
        <v>2148.0998964419859</v>
      </c>
      <c r="I189">
        <f t="shared" si="6"/>
        <v>96418.559129642323</v>
      </c>
      <c r="J189">
        <f t="shared" si="7"/>
        <v>149.85034379994613</v>
      </c>
    </row>
    <row r="190" spans="1:10">
      <c r="A190" s="1">
        <v>45735</v>
      </c>
      <c r="B190">
        <f>(3/(1+('CurrentPor-Equ Factor Movements'!C190)/100)+103/POWER(1+('CurrentPor-Equ Factor Movements'!D190)/100,2))*100</f>
        <v>9707.5857774288397</v>
      </c>
      <c r="C190">
        <f>(3/(1+('CurrentPor-Equ Factor Movements'!C190+'CurrentPor-Equ Factor Movements'!G190)/100)+103/POWER(1+('CurrentPor-Equ Factor Movements'!D190+'CurrentPor-Equ Factor Movements'!G190)/100,2))*100</f>
        <v>9614.9673582483465</v>
      </c>
      <c r="D190">
        <f>(3/(1+('CurrentPor-Equ Factor Movements'!C190+'CurrentPor-Equ Factor Movements'!H190)/100)+103/POWER(1+('CurrentPor-Equ Factor Movements'!D190+'CurrentPor-Equ Factor Movements'!H190)/100,2))*100</f>
        <v>9601.2395558122898</v>
      </c>
      <c r="E190">
        <f>(3/(1+('CurrentPor-Equ Factor Movements'!C190+'CurrentPor-Equ Factor Movements'!I190)/100)+103/POWER(1+('CurrentPor-Equ Factor Movements'!D190+'CurrentPor-Equ Factor Movements'!I190)/100,2))*100</f>
        <v>9581.4547115644182</v>
      </c>
      <c r="F190">
        <f>Portfolio!B$5*'CurrentPor-Equ Factor Movements'!E190</f>
        <v>50704.775611306846</v>
      </c>
      <c r="G190">
        <f>Portfolio!B$6*'CurrentPor-Equ Factor Movements'!F190</f>
        <v>3847.8770007794446</v>
      </c>
      <c r="H190">
        <f>Portfolio!B$7*'CurrentPor-Equ Factor Movements'!J190</f>
        <v>2148.0998964419859</v>
      </c>
      <c r="I190">
        <f t="shared" si="6"/>
        <v>95205.99991158217</v>
      </c>
      <c r="J190">
        <f t="shared" si="7"/>
        <v>-565.94748161420284</v>
      </c>
    </row>
    <row r="191" spans="1:10">
      <c r="A191" s="1">
        <v>45736</v>
      </c>
      <c r="B191">
        <f>(3/(1+('CurrentPor-Equ Factor Movements'!C191)/100)+103/POWER(1+('CurrentPor-Equ Factor Movements'!D191)/100,2))*100</f>
        <v>9707.5857774288397</v>
      </c>
      <c r="C191">
        <f>(3/(1+('CurrentPor-Equ Factor Movements'!C191+'CurrentPor-Equ Factor Movements'!G191)/100)+103/POWER(1+('CurrentPor-Equ Factor Movements'!D191+'CurrentPor-Equ Factor Movements'!G191)/100,2))*100</f>
        <v>9614.9673582483465</v>
      </c>
      <c r="D191">
        <f>(3/(1+('CurrentPor-Equ Factor Movements'!C191+'CurrentPor-Equ Factor Movements'!H191)/100)+103/POWER(1+('CurrentPor-Equ Factor Movements'!D191+'CurrentPor-Equ Factor Movements'!H191)/100,2))*100</f>
        <v>9601.2395558122898</v>
      </c>
      <c r="E191">
        <f>(3/(1+('CurrentPor-Equ Factor Movements'!C191+'CurrentPor-Equ Factor Movements'!I191)/100)+103/POWER(1+('CurrentPor-Equ Factor Movements'!D191+'CurrentPor-Equ Factor Movements'!I191)/100,2))*100</f>
        <v>9581.4547115644182</v>
      </c>
      <c r="F191">
        <f>Portfolio!B$5*'CurrentPor-Equ Factor Movements'!E191</f>
        <v>52189.776593263159</v>
      </c>
      <c r="G191">
        <f>Portfolio!B$6*'CurrentPor-Equ Factor Movements'!F191</f>
        <v>3639.8303372185624</v>
      </c>
      <c r="H191">
        <f>Portfolio!B$7*'CurrentPor-Equ Factor Movements'!J191</f>
        <v>2148.0998964419859</v>
      </c>
      <c r="I191">
        <f t="shared" si="6"/>
        <v>96482.954229977608</v>
      </c>
      <c r="J191">
        <f t="shared" si="7"/>
        <v>1701.5812301302212</v>
      </c>
    </row>
    <row r="192" spans="1:10">
      <c r="A192" s="1">
        <v>45737</v>
      </c>
      <c r="B192">
        <f>(3/(1+('CurrentPor-Equ Factor Movements'!C192)/100)+103/POWER(1+('CurrentPor-Equ Factor Movements'!D192)/100,2))*100</f>
        <v>9707.5857774288397</v>
      </c>
      <c r="C192">
        <f>(3/(1+('CurrentPor-Equ Factor Movements'!C192+'CurrentPor-Equ Factor Movements'!G192)/100)+103/POWER(1+('CurrentPor-Equ Factor Movements'!D192+'CurrentPor-Equ Factor Movements'!G192)/100,2))*100</f>
        <v>9614.9673582483465</v>
      </c>
      <c r="D192">
        <f>(3/(1+('CurrentPor-Equ Factor Movements'!C192+'CurrentPor-Equ Factor Movements'!H192)/100)+103/POWER(1+('CurrentPor-Equ Factor Movements'!D192+'CurrentPor-Equ Factor Movements'!H192)/100,2))*100</f>
        <v>9601.2395558122898</v>
      </c>
      <c r="E192">
        <f>(3/(1+('CurrentPor-Equ Factor Movements'!C192+'CurrentPor-Equ Factor Movements'!I192)/100)+103/POWER(1+('CurrentPor-Equ Factor Movements'!D192+'CurrentPor-Equ Factor Movements'!I192)/100,2))*100</f>
        <v>9581.4547115644182</v>
      </c>
      <c r="F192">
        <f>Portfolio!B$5*'CurrentPor-Equ Factor Movements'!E192</f>
        <v>52651.824011130862</v>
      </c>
      <c r="G192">
        <f>Portfolio!B$6*'CurrentPor-Equ Factor Movements'!F192</f>
        <v>3473.8574332202224</v>
      </c>
      <c r="H192">
        <f>Portfolio!B$7*'CurrentPor-Equ Factor Movements'!J192</f>
        <v>2148.0998964419859</v>
      </c>
      <c r="I192">
        <f t="shared" si="6"/>
        <v>96779.028743846968</v>
      </c>
      <c r="J192">
        <f t="shared" si="7"/>
        <v>1855.0283339870366</v>
      </c>
    </row>
    <row r="193" spans="1:10">
      <c r="A193" s="1">
        <v>45740</v>
      </c>
      <c r="B193">
        <f>(3/(1+('CurrentPor-Equ Factor Movements'!C193)/100)+103/POWER(1+('CurrentPor-Equ Factor Movements'!D193)/100,2))*100</f>
        <v>9707.5857774288397</v>
      </c>
      <c r="C193">
        <f>(3/(1+('CurrentPor-Equ Factor Movements'!C193+'CurrentPor-Equ Factor Movements'!G193)/100)+103/POWER(1+('CurrentPor-Equ Factor Movements'!D193+'CurrentPor-Equ Factor Movements'!G193)/100,2))*100</f>
        <v>9614.9673582483465</v>
      </c>
      <c r="D193">
        <f>(3/(1+('CurrentPor-Equ Factor Movements'!C193+'CurrentPor-Equ Factor Movements'!H193)/100)+103/POWER(1+('CurrentPor-Equ Factor Movements'!D193+'CurrentPor-Equ Factor Movements'!H193)/100,2))*100</f>
        <v>9601.2395558122898</v>
      </c>
      <c r="E193">
        <f>(3/(1+('CurrentPor-Equ Factor Movements'!C193+'CurrentPor-Equ Factor Movements'!I193)/100)+103/POWER(1+('CurrentPor-Equ Factor Movements'!D193+'CurrentPor-Equ Factor Movements'!I193)/100,2))*100</f>
        <v>9581.4547115644182</v>
      </c>
      <c r="F193">
        <f>Portfolio!B$5*'CurrentPor-Equ Factor Movements'!E193</f>
        <v>52071.016051074948</v>
      </c>
      <c r="G193">
        <f>Portfolio!B$6*'CurrentPor-Equ Factor Movements'!F193</f>
        <v>3917.1788248001599</v>
      </c>
      <c r="H193">
        <f>Portfolio!B$7*'CurrentPor-Equ Factor Movements'!J193</f>
        <v>2148.0998964419859</v>
      </c>
      <c r="I193">
        <f t="shared" si="6"/>
        <v>96641.542175370982</v>
      </c>
      <c r="J193">
        <f t="shared" si="7"/>
        <v>1543.4633189436572</v>
      </c>
    </row>
    <row r="194" spans="1:10">
      <c r="A194" s="1">
        <v>45741</v>
      </c>
      <c r="B194">
        <f>(3/(1+('CurrentPor-Equ Factor Movements'!C194)/100)+103/POWER(1+('CurrentPor-Equ Factor Movements'!D194)/100,2))*100</f>
        <v>9707.5857774288397</v>
      </c>
      <c r="C194">
        <f>(3/(1+('CurrentPor-Equ Factor Movements'!C194+'CurrentPor-Equ Factor Movements'!G194)/100)+103/POWER(1+('CurrentPor-Equ Factor Movements'!D194+'CurrentPor-Equ Factor Movements'!G194)/100,2))*100</f>
        <v>9614.9673582483465</v>
      </c>
      <c r="D194">
        <f>(3/(1+('CurrentPor-Equ Factor Movements'!C194+'CurrentPor-Equ Factor Movements'!H194)/100)+103/POWER(1+('CurrentPor-Equ Factor Movements'!D194+'CurrentPor-Equ Factor Movements'!H194)/100,2))*100</f>
        <v>9601.2395558122898</v>
      </c>
      <c r="E194">
        <f>(3/(1+('CurrentPor-Equ Factor Movements'!C194+'CurrentPor-Equ Factor Movements'!I194)/100)+103/POWER(1+('CurrentPor-Equ Factor Movements'!D194+'CurrentPor-Equ Factor Movements'!I194)/100,2))*100</f>
        <v>9581.4547115644182</v>
      </c>
      <c r="F194">
        <f>Portfolio!B$5*'CurrentPor-Equ Factor Movements'!E194</f>
        <v>50880.832041082293</v>
      </c>
      <c r="G194">
        <f>Portfolio!B$6*'CurrentPor-Equ Factor Movements'!F194</f>
        <v>3530.7745844169986</v>
      </c>
      <c r="H194">
        <f>Portfolio!B$7*'CurrentPor-Equ Factor Movements'!J194</f>
        <v>2148.0998964419859</v>
      </c>
      <c r="I194">
        <f t="shared" si="6"/>
        <v>95064.953924995163</v>
      </c>
      <c r="J194">
        <f t="shared" si="7"/>
        <v>-2430.9841334854864</v>
      </c>
    </row>
    <row r="195" spans="1:10">
      <c r="A195" s="1">
        <v>45742</v>
      </c>
      <c r="B195">
        <f>(3/(1+('CurrentPor-Equ Factor Movements'!C195)/100)+103/POWER(1+('CurrentPor-Equ Factor Movements'!D195)/100,2))*100</f>
        <v>9707.5857774288397</v>
      </c>
      <c r="C195">
        <f>(3/(1+('CurrentPor-Equ Factor Movements'!C195+'CurrentPor-Equ Factor Movements'!G195)/100)+103/POWER(1+('CurrentPor-Equ Factor Movements'!D195+'CurrentPor-Equ Factor Movements'!G195)/100,2))*100</f>
        <v>9614.9673582483465</v>
      </c>
      <c r="D195">
        <f>(3/(1+('CurrentPor-Equ Factor Movements'!C195+'CurrentPor-Equ Factor Movements'!H195)/100)+103/POWER(1+('CurrentPor-Equ Factor Movements'!D195+'CurrentPor-Equ Factor Movements'!H195)/100,2))*100</f>
        <v>9601.2395558122898</v>
      </c>
      <c r="E195">
        <f>(3/(1+('CurrentPor-Equ Factor Movements'!C195+'CurrentPor-Equ Factor Movements'!I195)/100)+103/POWER(1+('CurrentPor-Equ Factor Movements'!D195+'CurrentPor-Equ Factor Movements'!I195)/100,2))*100</f>
        <v>9581.4547115644182</v>
      </c>
      <c r="F195">
        <f>Portfolio!B$5*'CurrentPor-Equ Factor Movements'!E195</f>
        <v>53338.335931249989</v>
      </c>
      <c r="G195">
        <f>Portfolio!B$6*'CurrentPor-Equ Factor Movements'!F195</f>
        <v>3633.7836490290356</v>
      </c>
      <c r="H195">
        <f>Portfolio!B$7*'CurrentPor-Equ Factor Movements'!J195</f>
        <v>2148.0998964419859</v>
      </c>
      <c r="I195">
        <f t="shared" si="6"/>
        <v>97625.466879774904</v>
      </c>
      <c r="J195">
        <f t="shared" si="7"/>
        <v>1893.3905906008149</v>
      </c>
    </row>
    <row r="196" spans="1:10">
      <c r="A196" s="1">
        <v>45743</v>
      </c>
      <c r="B196">
        <f>(3/(1+('CurrentPor-Equ Factor Movements'!C196)/100)+103/POWER(1+('CurrentPor-Equ Factor Movements'!D196)/100,2))*100</f>
        <v>9707.5857774288397</v>
      </c>
      <c r="C196">
        <f>(3/(1+('CurrentPor-Equ Factor Movements'!C196+'CurrentPor-Equ Factor Movements'!G196)/100)+103/POWER(1+('CurrentPor-Equ Factor Movements'!D196+'CurrentPor-Equ Factor Movements'!G196)/100,2))*100</f>
        <v>9614.9673582483465</v>
      </c>
      <c r="D196">
        <f>(3/(1+('CurrentPor-Equ Factor Movements'!C196+'CurrentPor-Equ Factor Movements'!H196)/100)+103/POWER(1+('CurrentPor-Equ Factor Movements'!D196+'CurrentPor-Equ Factor Movements'!H196)/100,2))*100</f>
        <v>9601.2395558122898</v>
      </c>
      <c r="E196">
        <f>(3/(1+('CurrentPor-Equ Factor Movements'!C196+'CurrentPor-Equ Factor Movements'!I196)/100)+103/POWER(1+('CurrentPor-Equ Factor Movements'!D196+'CurrentPor-Equ Factor Movements'!I196)/100,2))*100</f>
        <v>9581.4547115644182</v>
      </c>
      <c r="F196">
        <f>Portfolio!B$5*'CurrentPor-Equ Factor Movements'!E196</f>
        <v>54914.499976988314</v>
      </c>
      <c r="G196">
        <f>Portfolio!B$6*'CurrentPor-Equ Factor Movements'!F196</f>
        <v>3612.4268940419747</v>
      </c>
      <c r="H196">
        <f>Portfolio!B$7*'CurrentPor-Equ Factor Movements'!J196</f>
        <v>2148.0998964419859</v>
      </c>
      <c r="I196">
        <f t="shared" si="6"/>
        <v>99180.274170526172</v>
      </c>
      <c r="J196">
        <f t="shared" si="7"/>
        <v>2836.5917737472773</v>
      </c>
    </row>
    <row r="197" spans="1:10">
      <c r="A197" s="1">
        <v>45744</v>
      </c>
      <c r="B197">
        <f>(3/(1+('CurrentPor-Equ Factor Movements'!C197)/100)+103/POWER(1+('CurrentPor-Equ Factor Movements'!D197)/100,2))*100</f>
        <v>9707.5857774288397</v>
      </c>
      <c r="C197">
        <f>(3/(1+('CurrentPor-Equ Factor Movements'!C197+'CurrentPor-Equ Factor Movements'!G197)/100)+103/POWER(1+('CurrentPor-Equ Factor Movements'!D197+'CurrentPor-Equ Factor Movements'!G197)/100,2))*100</f>
        <v>9614.9673582483465</v>
      </c>
      <c r="D197">
        <f>(3/(1+('CurrentPor-Equ Factor Movements'!C197+'CurrentPor-Equ Factor Movements'!H197)/100)+103/POWER(1+('CurrentPor-Equ Factor Movements'!D197+'CurrentPor-Equ Factor Movements'!H197)/100,2))*100</f>
        <v>9601.2395558122898</v>
      </c>
      <c r="E197">
        <f>(3/(1+('CurrentPor-Equ Factor Movements'!C197+'CurrentPor-Equ Factor Movements'!I197)/100)+103/POWER(1+('CurrentPor-Equ Factor Movements'!D197+'CurrentPor-Equ Factor Movements'!I197)/100,2))*100</f>
        <v>9581.4547115644182</v>
      </c>
      <c r="F197">
        <f>Portfolio!B$5*'CurrentPor-Equ Factor Movements'!E197</f>
        <v>52599.490869016277</v>
      </c>
      <c r="G197">
        <f>Portfolio!B$6*'CurrentPor-Equ Factor Movements'!F197</f>
        <v>3660.9786497268801</v>
      </c>
      <c r="H197">
        <f>Portfolio!B$7*'CurrentPor-Equ Factor Movements'!J197</f>
        <v>2148.0998964419859</v>
      </c>
      <c r="I197">
        <f t="shared" si="6"/>
        <v>96913.816818239036</v>
      </c>
      <c r="J197">
        <f t="shared" si="7"/>
        <v>-138.80625651337323</v>
      </c>
    </row>
    <row r="198" spans="1:10">
      <c r="A198" s="1">
        <v>45747</v>
      </c>
      <c r="B198">
        <f>(3/(1+('CurrentPor-Equ Factor Movements'!C198)/100)+103/POWER(1+('CurrentPor-Equ Factor Movements'!D198)/100,2))*100</f>
        <v>9707.5857774288397</v>
      </c>
      <c r="C198">
        <f>(3/(1+('CurrentPor-Equ Factor Movements'!C198+'CurrentPor-Equ Factor Movements'!G198)/100)+103/POWER(1+('CurrentPor-Equ Factor Movements'!D198+'CurrentPor-Equ Factor Movements'!G198)/100,2))*100</f>
        <v>9614.9673582483465</v>
      </c>
      <c r="D198">
        <f>(3/(1+('CurrentPor-Equ Factor Movements'!C198+'CurrentPor-Equ Factor Movements'!H198)/100)+103/POWER(1+('CurrentPor-Equ Factor Movements'!D198+'CurrentPor-Equ Factor Movements'!H198)/100,2))*100</f>
        <v>9601.2395558122898</v>
      </c>
      <c r="E198">
        <f>(3/(1+('CurrentPor-Equ Factor Movements'!C198+'CurrentPor-Equ Factor Movements'!I198)/100)+103/POWER(1+('CurrentPor-Equ Factor Movements'!D198+'CurrentPor-Equ Factor Movements'!I198)/100,2))*100</f>
        <v>9581.4547115644182</v>
      </c>
      <c r="F198">
        <f>Portfolio!B$5*'CurrentPor-Equ Factor Movements'!E198</f>
        <v>52115.353877402958</v>
      </c>
      <c r="G198">
        <f>Portfolio!B$6*'CurrentPor-Equ Factor Movements'!F198</f>
        <v>3497.7685292253673</v>
      </c>
      <c r="H198">
        <f>Portfolio!B$7*'CurrentPor-Equ Factor Movements'!J198</f>
        <v>2148.0998964419859</v>
      </c>
      <c r="I198">
        <f t="shared" si="6"/>
        <v>96266.469706124204</v>
      </c>
      <c r="J198">
        <f t="shared" si="7"/>
        <v>1024.6574537725683</v>
      </c>
    </row>
    <row r="199" spans="1:10">
      <c r="A199" s="1">
        <v>45748</v>
      </c>
      <c r="B199">
        <f>(3/(1+('CurrentPor-Equ Factor Movements'!C199)/100)+103/POWER(1+('CurrentPor-Equ Factor Movements'!D199)/100,2))*100</f>
        <v>9707.5857774288397</v>
      </c>
      <c r="C199">
        <f>(3/(1+('CurrentPor-Equ Factor Movements'!C199+'CurrentPor-Equ Factor Movements'!G199)/100)+103/POWER(1+('CurrentPor-Equ Factor Movements'!D199+'CurrentPor-Equ Factor Movements'!G199)/100,2))*100</f>
        <v>9614.9673582483465</v>
      </c>
      <c r="D199">
        <f>(3/(1+('CurrentPor-Equ Factor Movements'!C199+'CurrentPor-Equ Factor Movements'!H199)/100)+103/POWER(1+('CurrentPor-Equ Factor Movements'!D199+'CurrentPor-Equ Factor Movements'!H199)/100,2))*100</f>
        <v>9601.2395558122898</v>
      </c>
      <c r="E199">
        <f>(3/(1+('CurrentPor-Equ Factor Movements'!C199+'CurrentPor-Equ Factor Movements'!I199)/100)+103/POWER(1+('CurrentPor-Equ Factor Movements'!D199+'CurrentPor-Equ Factor Movements'!I199)/100,2))*100</f>
        <v>9581.4547115644182</v>
      </c>
      <c r="F199">
        <f>Portfolio!B$5*'CurrentPor-Equ Factor Movements'!E199</f>
        <v>52571.865080765077</v>
      </c>
      <c r="G199">
        <f>Portfolio!B$6*'CurrentPor-Equ Factor Movements'!F199</f>
        <v>3698.0382955224486</v>
      </c>
      <c r="H199">
        <f>Portfolio!B$7*'CurrentPor-Equ Factor Movements'!J199</f>
        <v>2148.0998964419859</v>
      </c>
      <c r="I199">
        <f t="shared" si="6"/>
        <v>96923.250675783405</v>
      </c>
      <c r="J199">
        <f t="shared" si="7"/>
        <v>504.69154614108265</v>
      </c>
    </row>
    <row r="200" spans="1:10">
      <c r="A200" s="1">
        <v>45749</v>
      </c>
      <c r="B200">
        <f>(3/(1+('CurrentPor-Equ Factor Movements'!C200)/100)+103/POWER(1+('CurrentPor-Equ Factor Movements'!D200)/100,2))*100</f>
        <v>9707.5857774288397</v>
      </c>
      <c r="C200">
        <f>(3/(1+('CurrentPor-Equ Factor Movements'!C200+'CurrentPor-Equ Factor Movements'!G200)/100)+103/POWER(1+('CurrentPor-Equ Factor Movements'!D200+'CurrentPor-Equ Factor Movements'!G200)/100,2))*100</f>
        <v>9614.9673582483465</v>
      </c>
      <c r="D200">
        <f>(3/(1+('CurrentPor-Equ Factor Movements'!C200+'CurrentPor-Equ Factor Movements'!H200)/100)+103/POWER(1+('CurrentPor-Equ Factor Movements'!D200+'CurrentPor-Equ Factor Movements'!H200)/100,2))*100</f>
        <v>9601.2395558122898</v>
      </c>
      <c r="E200">
        <f>(3/(1+('CurrentPor-Equ Factor Movements'!C200+'CurrentPor-Equ Factor Movements'!I200)/100)+103/POWER(1+('CurrentPor-Equ Factor Movements'!D200+'CurrentPor-Equ Factor Movements'!I200)/100,2))*100</f>
        <v>9581.4547115644182</v>
      </c>
      <c r="F200">
        <f>Portfolio!B$5*'CurrentPor-Equ Factor Movements'!E200</f>
        <v>53283.797525902992</v>
      </c>
      <c r="G200">
        <f>Portfolio!B$6*'CurrentPor-Equ Factor Movements'!F200</f>
        <v>3461.8517726441469</v>
      </c>
      <c r="H200">
        <f>Portfolio!B$7*'CurrentPor-Equ Factor Movements'!J200</f>
        <v>2148.0998964419859</v>
      </c>
      <c r="I200">
        <f t="shared" si="6"/>
        <v>97398.996598043028</v>
      </c>
      <c r="J200">
        <f t="shared" si="7"/>
        <v>2192.9966864608577</v>
      </c>
    </row>
    <row r="201" spans="1:10">
      <c r="A201" s="1">
        <v>45750</v>
      </c>
      <c r="B201">
        <f>(3/(1+('CurrentPor-Equ Factor Movements'!C201)/100)+103/POWER(1+('CurrentPor-Equ Factor Movements'!D201)/100,2))*100</f>
        <v>9707.5857774288397</v>
      </c>
      <c r="C201">
        <f>(3/(1+('CurrentPor-Equ Factor Movements'!C201+'CurrentPor-Equ Factor Movements'!G201)/100)+103/POWER(1+('CurrentPor-Equ Factor Movements'!D201+'CurrentPor-Equ Factor Movements'!G201)/100,2))*100</f>
        <v>9614.9673582483465</v>
      </c>
      <c r="D201">
        <f>(3/(1+('CurrentPor-Equ Factor Movements'!C201+'CurrentPor-Equ Factor Movements'!H201)/100)+103/POWER(1+('CurrentPor-Equ Factor Movements'!D201+'CurrentPor-Equ Factor Movements'!H201)/100,2))*100</f>
        <v>9601.2395558122898</v>
      </c>
      <c r="E201">
        <f>(3/(1+('CurrentPor-Equ Factor Movements'!C201+'CurrentPor-Equ Factor Movements'!I201)/100)+103/POWER(1+('CurrentPor-Equ Factor Movements'!D201+'CurrentPor-Equ Factor Movements'!I201)/100,2))*100</f>
        <v>9581.4547115644182</v>
      </c>
      <c r="F201">
        <f>Portfolio!B$5*'CurrentPor-Equ Factor Movements'!E201</f>
        <v>51519.32491456678</v>
      </c>
      <c r="G201">
        <f>Portfolio!B$6*'CurrentPor-Equ Factor Movements'!F201</f>
        <v>3804.1490444841593</v>
      </c>
      <c r="H201">
        <f>Portfolio!B$7*'CurrentPor-Equ Factor Movements'!J201</f>
        <v>2148.0998964419859</v>
      </c>
      <c r="I201">
        <f t="shared" si="6"/>
        <v>95976.821258546828</v>
      </c>
      <c r="J201">
        <f t="shared" si="7"/>
        <v>-506.13297143077943</v>
      </c>
    </row>
    <row r="202" spans="1:10">
      <c r="A202" s="1">
        <v>45751</v>
      </c>
      <c r="B202">
        <f>(3/(1+('CurrentPor-Equ Factor Movements'!C202)/100)+103/POWER(1+('CurrentPor-Equ Factor Movements'!D202)/100,2))*100</f>
        <v>9707.5857774288397</v>
      </c>
      <c r="C202">
        <f>(3/(1+('CurrentPor-Equ Factor Movements'!C202+'CurrentPor-Equ Factor Movements'!G202)/100)+103/POWER(1+('CurrentPor-Equ Factor Movements'!D202+'CurrentPor-Equ Factor Movements'!G202)/100,2))*100</f>
        <v>9614.9673582483465</v>
      </c>
      <c r="D202">
        <f>(3/(1+('CurrentPor-Equ Factor Movements'!C202+'CurrentPor-Equ Factor Movements'!H202)/100)+103/POWER(1+('CurrentPor-Equ Factor Movements'!D202+'CurrentPor-Equ Factor Movements'!H202)/100,2))*100</f>
        <v>9601.2395558122898</v>
      </c>
      <c r="E202">
        <f>(3/(1+('CurrentPor-Equ Factor Movements'!C202+'CurrentPor-Equ Factor Movements'!I202)/100)+103/POWER(1+('CurrentPor-Equ Factor Movements'!D202+'CurrentPor-Equ Factor Movements'!I202)/100,2))*100</f>
        <v>9581.4547115644182</v>
      </c>
      <c r="F202">
        <f>Portfolio!B$5*'CurrentPor-Equ Factor Movements'!E202</f>
        <v>52409.748755055225</v>
      </c>
      <c r="G202">
        <f>Portfolio!B$6*'CurrentPor-Equ Factor Movements'!F202</f>
        <v>3540.0880392310896</v>
      </c>
      <c r="H202">
        <f>Portfolio!B$7*'CurrentPor-Equ Factor Movements'!J202</f>
        <v>2148.0998964419859</v>
      </c>
      <c r="I202">
        <f t="shared" si="6"/>
        <v>96603.184093782198</v>
      </c>
      <c r="J202">
        <f t="shared" si="7"/>
        <v>-175.84465006476967</v>
      </c>
    </row>
    <row r="203" spans="1:10">
      <c r="A203" s="1">
        <v>45754</v>
      </c>
      <c r="B203">
        <f>(3/(1+('CurrentPor-Equ Factor Movements'!C203)/100)+103/POWER(1+('CurrentPor-Equ Factor Movements'!D203)/100,2))*100</f>
        <v>9707.5857774288397</v>
      </c>
      <c r="C203">
        <f>(3/(1+('CurrentPor-Equ Factor Movements'!C203+'CurrentPor-Equ Factor Movements'!G203)/100)+103/POWER(1+('CurrentPor-Equ Factor Movements'!D203+'CurrentPor-Equ Factor Movements'!G203)/100,2))*100</f>
        <v>9614.9673582483465</v>
      </c>
      <c r="D203">
        <f>(3/(1+('CurrentPor-Equ Factor Movements'!C203+'CurrentPor-Equ Factor Movements'!H203)/100)+103/POWER(1+('CurrentPor-Equ Factor Movements'!D203+'CurrentPor-Equ Factor Movements'!H203)/100,2))*100</f>
        <v>9601.2395558122898</v>
      </c>
      <c r="E203">
        <f>(3/(1+('CurrentPor-Equ Factor Movements'!C203+'CurrentPor-Equ Factor Movements'!I203)/100)+103/POWER(1+('CurrentPor-Equ Factor Movements'!D203+'CurrentPor-Equ Factor Movements'!I203)/100,2))*100</f>
        <v>9581.4547115644182</v>
      </c>
      <c r="F203">
        <f>Portfolio!B$5*'CurrentPor-Equ Factor Movements'!E203</f>
        <v>52809.191676322574</v>
      </c>
      <c r="G203">
        <f>Portfolio!B$6*'CurrentPor-Equ Factor Movements'!F203</f>
        <v>3351.168959620908</v>
      </c>
      <c r="H203">
        <f>Portfolio!B$7*'CurrentPor-Equ Factor Movements'!J203</f>
        <v>2148.0998964419859</v>
      </c>
      <c r="I203">
        <f t="shared" si="6"/>
        <v>96813.70793543935</v>
      </c>
      <c r="J203">
        <f t="shared" si="7"/>
        <v>172.1657600683684</v>
      </c>
    </row>
    <row r="204" spans="1:10">
      <c r="A204" s="1">
        <v>45755</v>
      </c>
      <c r="B204">
        <f>(3/(1+('CurrentPor-Equ Factor Movements'!C204)/100)+103/POWER(1+('CurrentPor-Equ Factor Movements'!D204)/100,2))*100</f>
        <v>9707.5857774288397</v>
      </c>
      <c r="C204">
        <f>(3/(1+('CurrentPor-Equ Factor Movements'!C204+'CurrentPor-Equ Factor Movements'!G204)/100)+103/POWER(1+('CurrentPor-Equ Factor Movements'!D204+'CurrentPor-Equ Factor Movements'!G204)/100,2))*100</f>
        <v>9614.9673582483465</v>
      </c>
      <c r="D204">
        <f>(3/(1+('CurrentPor-Equ Factor Movements'!C204+'CurrentPor-Equ Factor Movements'!H204)/100)+103/POWER(1+('CurrentPor-Equ Factor Movements'!D204+'CurrentPor-Equ Factor Movements'!H204)/100,2))*100</f>
        <v>9601.2395558122898</v>
      </c>
      <c r="E204">
        <f>(3/(1+('CurrentPor-Equ Factor Movements'!C204+'CurrentPor-Equ Factor Movements'!I204)/100)+103/POWER(1+('CurrentPor-Equ Factor Movements'!D204+'CurrentPor-Equ Factor Movements'!I204)/100,2))*100</f>
        <v>9581.4547115644182</v>
      </c>
      <c r="F204">
        <f>Portfolio!B$5*'CurrentPor-Equ Factor Movements'!E204</f>
        <v>52052.5429774363</v>
      </c>
      <c r="G204">
        <f>Portfolio!B$6*'CurrentPor-Equ Factor Movements'!F204</f>
        <v>3262.0985990084414</v>
      </c>
      <c r="H204">
        <f>Portfolio!B$7*'CurrentPor-Equ Factor Movements'!J204</f>
        <v>2148.0998964419859</v>
      </c>
      <c r="I204">
        <f t="shared" si="6"/>
        <v>95967.988875940617</v>
      </c>
      <c r="J204">
        <f t="shared" si="7"/>
        <v>903.0349509454536</v>
      </c>
    </row>
    <row r="205" spans="1:10">
      <c r="A205" s="1">
        <v>45756</v>
      </c>
      <c r="B205">
        <f>(3/(1+('CurrentPor-Equ Factor Movements'!C205)/100)+103/POWER(1+('CurrentPor-Equ Factor Movements'!D205)/100,2))*100</f>
        <v>9707.5857774288397</v>
      </c>
      <c r="C205">
        <f>(3/(1+('CurrentPor-Equ Factor Movements'!C205+'CurrentPor-Equ Factor Movements'!G205)/100)+103/POWER(1+('CurrentPor-Equ Factor Movements'!D205+'CurrentPor-Equ Factor Movements'!G205)/100,2))*100</f>
        <v>9614.9673582483465</v>
      </c>
      <c r="D205">
        <f>(3/(1+('CurrentPor-Equ Factor Movements'!C205+'CurrentPor-Equ Factor Movements'!H205)/100)+103/POWER(1+('CurrentPor-Equ Factor Movements'!D205+'CurrentPor-Equ Factor Movements'!H205)/100,2))*100</f>
        <v>9601.2395558122898</v>
      </c>
      <c r="E205">
        <f>(3/(1+('CurrentPor-Equ Factor Movements'!C205+'CurrentPor-Equ Factor Movements'!I205)/100)+103/POWER(1+('CurrentPor-Equ Factor Movements'!D205+'CurrentPor-Equ Factor Movements'!I205)/100,2))*100</f>
        <v>9581.4547115644182</v>
      </c>
      <c r="F205">
        <f>Portfolio!B$5*'CurrentPor-Equ Factor Movements'!E205</f>
        <v>51917.575879539501</v>
      </c>
      <c r="G205">
        <f>Portfolio!B$6*'CurrentPor-Equ Factor Movements'!F205</f>
        <v>3704.8073624756967</v>
      </c>
      <c r="H205">
        <f>Portfolio!B$7*'CurrentPor-Equ Factor Movements'!J205</f>
        <v>2148.0998964419859</v>
      </c>
      <c r="I205">
        <f t="shared" si="6"/>
        <v>96275.730541511075</v>
      </c>
      <c r="J205">
        <f t="shared" si="7"/>
        <v>-1349.7363382638287</v>
      </c>
    </row>
    <row r="206" spans="1:10">
      <c r="A206" s="1">
        <v>45757</v>
      </c>
      <c r="B206">
        <f>(3/(1+('CurrentPor-Equ Factor Movements'!C206)/100)+103/POWER(1+('CurrentPor-Equ Factor Movements'!D206)/100,2))*100</f>
        <v>9707.5857774288397</v>
      </c>
      <c r="C206">
        <f>(3/(1+('CurrentPor-Equ Factor Movements'!C206+'CurrentPor-Equ Factor Movements'!G206)/100)+103/POWER(1+('CurrentPor-Equ Factor Movements'!D206+'CurrentPor-Equ Factor Movements'!G206)/100,2))*100</f>
        <v>9614.9673582483465</v>
      </c>
      <c r="D206">
        <f>(3/(1+('CurrentPor-Equ Factor Movements'!C206+'CurrentPor-Equ Factor Movements'!H206)/100)+103/POWER(1+('CurrentPor-Equ Factor Movements'!D206+'CurrentPor-Equ Factor Movements'!H206)/100,2))*100</f>
        <v>9601.2395558122898</v>
      </c>
      <c r="E206">
        <f>(3/(1+('CurrentPor-Equ Factor Movements'!C206+'CurrentPor-Equ Factor Movements'!I206)/100)+103/POWER(1+('CurrentPor-Equ Factor Movements'!D206+'CurrentPor-Equ Factor Movements'!I206)/100,2))*100</f>
        <v>9581.4547115644182</v>
      </c>
      <c r="F206">
        <f>Portfolio!B$5*'CurrentPor-Equ Factor Movements'!E206</f>
        <v>52157.928831292971</v>
      </c>
      <c r="G206">
        <f>Portfolio!B$6*'CurrentPor-Equ Factor Movements'!F206</f>
        <v>3484.7038880047739</v>
      </c>
      <c r="H206">
        <f>Portfolio!B$7*'CurrentPor-Equ Factor Movements'!J206</f>
        <v>2148.0998964419859</v>
      </c>
      <c r="I206">
        <f t="shared" si="6"/>
        <v>96295.980018793634</v>
      </c>
      <c r="J206">
        <f t="shared" si="7"/>
        <v>-2884.294151732538</v>
      </c>
    </row>
    <row r="207" spans="1:10">
      <c r="A207" s="1">
        <v>45758</v>
      </c>
      <c r="B207">
        <f>(3/(1+('CurrentPor-Equ Factor Movements'!C207)/100)+103/POWER(1+('CurrentPor-Equ Factor Movements'!D207)/100,2))*100</f>
        <v>9707.5857774288397</v>
      </c>
      <c r="C207">
        <f>(3/(1+('CurrentPor-Equ Factor Movements'!C207+'CurrentPor-Equ Factor Movements'!G207)/100)+103/POWER(1+('CurrentPor-Equ Factor Movements'!D207+'CurrentPor-Equ Factor Movements'!G207)/100,2))*100</f>
        <v>9614.9673582483465</v>
      </c>
      <c r="D207">
        <f>(3/(1+('CurrentPor-Equ Factor Movements'!C207+'CurrentPor-Equ Factor Movements'!H207)/100)+103/POWER(1+('CurrentPor-Equ Factor Movements'!D207+'CurrentPor-Equ Factor Movements'!H207)/100,2))*100</f>
        <v>9601.2395558122898</v>
      </c>
      <c r="E207">
        <f>(3/(1+('CurrentPor-Equ Factor Movements'!C207+'CurrentPor-Equ Factor Movements'!I207)/100)+103/POWER(1+('CurrentPor-Equ Factor Movements'!D207+'CurrentPor-Equ Factor Movements'!I207)/100,2))*100</f>
        <v>9581.4547115644182</v>
      </c>
      <c r="F207">
        <f>Portfolio!B$5*'CurrentPor-Equ Factor Movements'!E207</f>
        <v>52211.860567682779</v>
      </c>
      <c r="G207">
        <f>Portfolio!B$6*'CurrentPor-Equ Factor Movements'!F207</f>
        <v>3471.8488659418122</v>
      </c>
      <c r="H207">
        <f>Portfolio!B$7*'CurrentPor-Equ Factor Movements'!J207</f>
        <v>2148.0998964419859</v>
      </c>
      <c r="I207">
        <f t="shared" si="6"/>
        <v>96337.056733120466</v>
      </c>
      <c r="J207">
        <f t="shared" si="7"/>
        <v>-576.76008511857071</v>
      </c>
    </row>
    <row r="208" spans="1:10">
      <c r="A208" s="1">
        <v>45761</v>
      </c>
      <c r="B208">
        <f>(3/(1+('CurrentPor-Equ Factor Movements'!C208)/100)+103/POWER(1+('CurrentPor-Equ Factor Movements'!D208)/100,2))*100</f>
        <v>9707.5857774288397</v>
      </c>
      <c r="C208">
        <f>(3/(1+('CurrentPor-Equ Factor Movements'!C208+'CurrentPor-Equ Factor Movements'!G208)/100)+103/POWER(1+('CurrentPor-Equ Factor Movements'!D208+'CurrentPor-Equ Factor Movements'!G208)/100,2))*100</f>
        <v>9614.9673582483465</v>
      </c>
      <c r="D208">
        <f>(3/(1+('CurrentPor-Equ Factor Movements'!C208+'CurrentPor-Equ Factor Movements'!H208)/100)+103/POWER(1+('CurrentPor-Equ Factor Movements'!D208+'CurrentPor-Equ Factor Movements'!H208)/100,2))*100</f>
        <v>9601.2395558122898</v>
      </c>
      <c r="E208">
        <f>(3/(1+('CurrentPor-Equ Factor Movements'!C208+'CurrentPor-Equ Factor Movements'!I208)/100)+103/POWER(1+('CurrentPor-Equ Factor Movements'!D208+'CurrentPor-Equ Factor Movements'!I208)/100,2))*100</f>
        <v>9581.4547115644182</v>
      </c>
      <c r="F208">
        <f>Portfolio!B$5*'CurrentPor-Equ Factor Movements'!E208</f>
        <v>52356.618797104667</v>
      </c>
      <c r="G208">
        <f>Portfolio!B$6*'CurrentPor-Equ Factor Movements'!F208</f>
        <v>3532.1669939894159</v>
      </c>
      <c r="H208">
        <f>Portfolio!B$7*'CurrentPor-Equ Factor Movements'!J208</f>
        <v>2148.0998964419859</v>
      </c>
      <c r="I208">
        <f t="shared" si="6"/>
        <v>96542.133090589967</v>
      </c>
      <c r="J208">
        <f t="shared" si="7"/>
        <v>275.66338446576265</v>
      </c>
    </row>
    <row r="209" spans="1:10">
      <c r="A209" s="1">
        <v>45762</v>
      </c>
      <c r="B209">
        <f>(3/(1+('CurrentPor-Equ Factor Movements'!C209)/100)+103/POWER(1+('CurrentPor-Equ Factor Movements'!D209)/100,2))*100</f>
        <v>9707.5857774288397</v>
      </c>
      <c r="C209">
        <f>(3/(1+('CurrentPor-Equ Factor Movements'!C209+'CurrentPor-Equ Factor Movements'!G209)/100)+103/POWER(1+('CurrentPor-Equ Factor Movements'!D209+'CurrentPor-Equ Factor Movements'!G209)/100,2))*100</f>
        <v>9614.9673582483465</v>
      </c>
      <c r="D209">
        <f>(3/(1+('CurrentPor-Equ Factor Movements'!C209+'CurrentPor-Equ Factor Movements'!H209)/100)+103/POWER(1+('CurrentPor-Equ Factor Movements'!D209+'CurrentPor-Equ Factor Movements'!H209)/100,2))*100</f>
        <v>9601.2395558122898</v>
      </c>
      <c r="E209">
        <f>(3/(1+('CurrentPor-Equ Factor Movements'!C209+'CurrentPor-Equ Factor Movements'!I209)/100)+103/POWER(1+('CurrentPor-Equ Factor Movements'!D209+'CurrentPor-Equ Factor Movements'!I209)/100,2))*100</f>
        <v>9581.4547115644182</v>
      </c>
      <c r="F209">
        <f>Portfolio!B$5*'CurrentPor-Equ Factor Movements'!E209</f>
        <v>53766.691117541566</v>
      </c>
      <c r="G209">
        <f>Portfolio!B$6*'CurrentPor-Equ Factor Movements'!F209</f>
        <v>3772.1248149849052</v>
      </c>
      <c r="H209">
        <f>Portfolio!B$7*'CurrentPor-Equ Factor Movements'!J209</f>
        <v>2148.0998964419859</v>
      </c>
      <c r="I209">
        <f t="shared" si="6"/>
        <v>98192.163232022358</v>
      </c>
      <c r="J209">
        <f t="shared" si="7"/>
        <v>1268.9125562389527</v>
      </c>
    </row>
    <row r="210" spans="1:10">
      <c r="A210" s="1">
        <v>45763</v>
      </c>
      <c r="B210">
        <f>(3/(1+('CurrentPor-Equ Factor Movements'!C210)/100)+103/POWER(1+('CurrentPor-Equ Factor Movements'!D210)/100,2))*100</f>
        <v>9707.5857774288397</v>
      </c>
      <c r="C210">
        <f>(3/(1+('CurrentPor-Equ Factor Movements'!C210+'CurrentPor-Equ Factor Movements'!G210)/100)+103/POWER(1+('CurrentPor-Equ Factor Movements'!D210+'CurrentPor-Equ Factor Movements'!G210)/100,2))*100</f>
        <v>9614.9673582483465</v>
      </c>
      <c r="D210">
        <f>(3/(1+('CurrentPor-Equ Factor Movements'!C210+'CurrentPor-Equ Factor Movements'!H210)/100)+103/POWER(1+('CurrentPor-Equ Factor Movements'!D210+'CurrentPor-Equ Factor Movements'!H210)/100,2))*100</f>
        <v>9601.2395558122898</v>
      </c>
      <c r="E210">
        <f>(3/(1+('CurrentPor-Equ Factor Movements'!C210+'CurrentPor-Equ Factor Movements'!I210)/100)+103/POWER(1+('CurrentPor-Equ Factor Movements'!D210+'CurrentPor-Equ Factor Movements'!I210)/100,2))*100</f>
        <v>9581.4547115644182</v>
      </c>
      <c r="F210">
        <f>Portfolio!B$5*'CurrentPor-Equ Factor Movements'!E210</f>
        <v>53106.036017623956</v>
      </c>
      <c r="G210">
        <f>Portfolio!B$6*'CurrentPor-Equ Factor Movements'!F210</f>
        <v>3487.6494742465702</v>
      </c>
      <c r="H210">
        <f>Portfolio!B$7*'CurrentPor-Equ Factor Movements'!J210</f>
        <v>2148.0998964419859</v>
      </c>
      <c r="I210">
        <f t="shared" si="6"/>
        <v>97247.032791366408</v>
      </c>
      <c r="J210">
        <f t="shared" si="7"/>
        <v>-151.96380667662015</v>
      </c>
    </row>
    <row r="211" spans="1:10">
      <c r="A211" s="1">
        <v>45764</v>
      </c>
      <c r="B211">
        <f>(3/(1+('CurrentPor-Equ Factor Movements'!C211)/100)+103/POWER(1+('CurrentPor-Equ Factor Movements'!D211)/100,2))*100</f>
        <v>9707.5857774288397</v>
      </c>
      <c r="C211">
        <f>(3/(1+('CurrentPor-Equ Factor Movements'!C211+'CurrentPor-Equ Factor Movements'!G211)/100)+103/POWER(1+('CurrentPor-Equ Factor Movements'!D211+'CurrentPor-Equ Factor Movements'!G211)/100,2))*100</f>
        <v>9614.9673582483465</v>
      </c>
      <c r="D211">
        <f>(3/(1+('CurrentPor-Equ Factor Movements'!C211+'CurrentPor-Equ Factor Movements'!H211)/100)+103/POWER(1+('CurrentPor-Equ Factor Movements'!D211+'CurrentPor-Equ Factor Movements'!H211)/100,2))*100</f>
        <v>9601.2395558122898</v>
      </c>
      <c r="E211">
        <f>(3/(1+('CurrentPor-Equ Factor Movements'!C211+'CurrentPor-Equ Factor Movements'!I211)/100)+103/POWER(1+('CurrentPor-Equ Factor Movements'!D211+'CurrentPor-Equ Factor Movements'!I211)/100,2))*100</f>
        <v>9581.4547115644182</v>
      </c>
      <c r="F211">
        <f>Portfolio!B$5*'CurrentPor-Equ Factor Movements'!E211</f>
        <v>52131.260603348426</v>
      </c>
      <c r="G211">
        <f>Portfolio!B$6*'CurrentPor-Equ Factor Movements'!F211</f>
        <v>3609.7243010481961</v>
      </c>
      <c r="H211">
        <f>Portfolio!B$7*'CurrentPor-Equ Factor Movements'!J211</f>
        <v>2148.0998964419859</v>
      </c>
      <c r="I211">
        <f t="shared" si="6"/>
        <v>96394.332203892496</v>
      </c>
      <c r="J211">
        <f t="shared" si="7"/>
        <v>417.51094534566801</v>
      </c>
    </row>
    <row r="212" spans="1:10">
      <c r="A212" s="1">
        <v>45765</v>
      </c>
      <c r="B212">
        <f>(3/(1+('CurrentPor-Equ Factor Movements'!C212)/100)+103/POWER(1+('CurrentPor-Equ Factor Movements'!D212)/100,2))*100</f>
        <v>9707.5857774288397</v>
      </c>
      <c r="C212">
        <f>(3/(1+('CurrentPor-Equ Factor Movements'!C212+'CurrentPor-Equ Factor Movements'!G212)/100)+103/POWER(1+('CurrentPor-Equ Factor Movements'!D212+'CurrentPor-Equ Factor Movements'!G212)/100,2))*100</f>
        <v>9614.9673582483465</v>
      </c>
      <c r="D212">
        <f>(3/(1+('CurrentPor-Equ Factor Movements'!C212+'CurrentPor-Equ Factor Movements'!H212)/100)+103/POWER(1+('CurrentPor-Equ Factor Movements'!D212+'CurrentPor-Equ Factor Movements'!H212)/100,2))*100</f>
        <v>9601.2395558122898</v>
      </c>
      <c r="E212">
        <f>(3/(1+('CurrentPor-Equ Factor Movements'!C212+'CurrentPor-Equ Factor Movements'!I212)/100)+103/POWER(1+('CurrentPor-Equ Factor Movements'!D212+'CurrentPor-Equ Factor Movements'!I212)/100,2))*100</f>
        <v>9581.4547115644182</v>
      </c>
      <c r="F212">
        <f>Portfolio!B$5*'CurrentPor-Equ Factor Movements'!E212</f>
        <v>52364.13673179593</v>
      </c>
      <c r="G212">
        <f>Portfolio!B$6*'CurrentPor-Equ Factor Movements'!F212</f>
        <v>3580.5545440006917</v>
      </c>
      <c r="H212">
        <f>Portfolio!B$7*'CurrentPor-Equ Factor Movements'!J212</f>
        <v>2148.0998964419859</v>
      </c>
      <c r="I212">
        <f t="shared" si="6"/>
        <v>96598.038575292507</v>
      </c>
      <c r="J212">
        <f t="shared" si="7"/>
        <v>-5.1455184896913124</v>
      </c>
    </row>
    <row r="213" spans="1:10">
      <c r="A213" s="1">
        <v>45768</v>
      </c>
      <c r="B213">
        <f>(3/(1+('CurrentPor-Equ Factor Movements'!C213)/100)+103/POWER(1+('CurrentPor-Equ Factor Movements'!D213)/100,2))*100</f>
        <v>9707.5857774288397</v>
      </c>
      <c r="C213">
        <f>(3/(1+('CurrentPor-Equ Factor Movements'!C213+'CurrentPor-Equ Factor Movements'!G213)/100)+103/POWER(1+('CurrentPor-Equ Factor Movements'!D213+'CurrentPor-Equ Factor Movements'!G213)/100,2))*100</f>
        <v>9614.9673582483465</v>
      </c>
      <c r="D213">
        <f>(3/(1+('CurrentPor-Equ Factor Movements'!C213+'CurrentPor-Equ Factor Movements'!H213)/100)+103/POWER(1+('CurrentPor-Equ Factor Movements'!D213+'CurrentPor-Equ Factor Movements'!H213)/100,2))*100</f>
        <v>9601.2395558122898</v>
      </c>
      <c r="E213">
        <f>(3/(1+('CurrentPor-Equ Factor Movements'!C213+'CurrentPor-Equ Factor Movements'!I213)/100)+103/POWER(1+('CurrentPor-Equ Factor Movements'!D213+'CurrentPor-Equ Factor Movements'!I213)/100,2))*100</f>
        <v>9581.4547115644182</v>
      </c>
      <c r="F213">
        <f>Portfolio!B$5*'CurrentPor-Equ Factor Movements'!E213</f>
        <v>52672.8895031434</v>
      </c>
      <c r="G213">
        <f>Portfolio!B$6*'CurrentPor-Equ Factor Movements'!F213</f>
        <v>3423.0382270039572</v>
      </c>
      <c r="H213">
        <f>Portfolio!B$7*'CurrentPor-Equ Factor Movements'!J213</f>
        <v>2148.0998964419859</v>
      </c>
      <c r="I213">
        <f t="shared" si="6"/>
        <v>96749.275029643235</v>
      </c>
      <c r="J213">
        <f t="shared" si="7"/>
        <v>-64.432905796114937</v>
      </c>
    </row>
    <row r="214" spans="1:10">
      <c r="A214" s="1">
        <v>45769</v>
      </c>
      <c r="B214">
        <f>(3/(1+('CurrentPor-Equ Factor Movements'!C214)/100)+103/POWER(1+('CurrentPor-Equ Factor Movements'!D214)/100,2))*100</f>
        <v>9707.5857774288397</v>
      </c>
      <c r="C214">
        <f>(3/(1+('CurrentPor-Equ Factor Movements'!C214+'CurrentPor-Equ Factor Movements'!G214)/100)+103/POWER(1+('CurrentPor-Equ Factor Movements'!D214+'CurrentPor-Equ Factor Movements'!G214)/100,2))*100</f>
        <v>9614.9673582483465</v>
      </c>
      <c r="D214">
        <f>(3/(1+('CurrentPor-Equ Factor Movements'!C214+'CurrentPor-Equ Factor Movements'!H214)/100)+103/POWER(1+('CurrentPor-Equ Factor Movements'!D214+'CurrentPor-Equ Factor Movements'!H214)/100,2))*100</f>
        <v>9601.2395558122898</v>
      </c>
      <c r="E214">
        <f>(3/(1+('CurrentPor-Equ Factor Movements'!C214+'CurrentPor-Equ Factor Movements'!I214)/100)+103/POWER(1+('CurrentPor-Equ Factor Movements'!D214+'CurrentPor-Equ Factor Movements'!I214)/100,2))*100</f>
        <v>9581.4547115644182</v>
      </c>
      <c r="F214">
        <f>Portfolio!B$5*'CurrentPor-Equ Factor Movements'!E214</f>
        <v>51896.065328963632</v>
      </c>
      <c r="G214">
        <f>Portfolio!B$6*'CurrentPor-Equ Factor Movements'!F214</f>
        <v>3784.8131036832883</v>
      </c>
      <c r="H214">
        <f>Portfolio!B$7*'CurrentPor-Equ Factor Movements'!J214</f>
        <v>2148.0998964419859</v>
      </c>
      <c r="I214">
        <f t="shared" si="6"/>
        <v>96334.225732142804</v>
      </c>
      <c r="J214">
        <f t="shared" si="7"/>
        <v>366.23685620218748</v>
      </c>
    </row>
    <row r="215" spans="1:10">
      <c r="A215" s="1">
        <v>45770</v>
      </c>
      <c r="B215">
        <f>(3/(1+('CurrentPor-Equ Factor Movements'!C215)/100)+103/POWER(1+('CurrentPor-Equ Factor Movements'!D215)/100,2))*100</f>
        <v>9707.5857774288397</v>
      </c>
      <c r="C215">
        <f>(3/(1+('CurrentPor-Equ Factor Movements'!C215+'CurrentPor-Equ Factor Movements'!G215)/100)+103/POWER(1+('CurrentPor-Equ Factor Movements'!D215+'CurrentPor-Equ Factor Movements'!G215)/100,2))*100</f>
        <v>9614.9673582483465</v>
      </c>
      <c r="D215">
        <f>(3/(1+('CurrentPor-Equ Factor Movements'!C215+'CurrentPor-Equ Factor Movements'!H215)/100)+103/POWER(1+('CurrentPor-Equ Factor Movements'!D215+'CurrentPor-Equ Factor Movements'!H215)/100,2))*100</f>
        <v>9601.2395558122898</v>
      </c>
      <c r="E215">
        <f>(3/(1+('CurrentPor-Equ Factor Movements'!C215+'CurrentPor-Equ Factor Movements'!I215)/100)+103/POWER(1+('CurrentPor-Equ Factor Movements'!D215+'CurrentPor-Equ Factor Movements'!I215)/100,2))*100</f>
        <v>9581.4547115644182</v>
      </c>
      <c r="F215">
        <f>Portfolio!B$5*'CurrentPor-Equ Factor Movements'!E215</f>
        <v>52878.747280627191</v>
      </c>
      <c r="G215">
        <f>Portfolio!B$6*'CurrentPor-Equ Factor Movements'!F215</f>
        <v>3491.4190137650139</v>
      </c>
      <c r="H215">
        <f>Portfolio!B$7*'CurrentPor-Equ Factor Movements'!J215</f>
        <v>2148.0998964419859</v>
      </c>
      <c r="I215">
        <f t="shared" si="6"/>
        <v>97023.513593888085</v>
      </c>
      <c r="J215">
        <f t="shared" si="7"/>
        <v>747.78305237700988</v>
      </c>
    </row>
    <row r="216" spans="1:10">
      <c r="A216" s="1">
        <v>45771</v>
      </c>
      <c r="B216">
        <f>(3/(1+('CurrentPor-Equ Factor Movements'!C216)/100)+103/POWER(1+('CurrentPor-Equ Factor Movements'!D216)/100,2))*100</f>
        <v>9707.5857774288397</v>
      </c>
      <c r="C216">
        <f>(3/(1+('CurrentPor-Equ Factor Movements'!C216+'CurrentPor-Equ Factor Movements'!G216)/100)+103/POWER(1+('CurrentPor-Equ Factor Movements'!D216+'CurrentPor-Equ Factor Movements'!G216)/100,2))*100</f>
        <v>9614.9673582483465</v>
      </c>
      <c r="D216">
        <f>(3/(1+('CurrentPor-Equ Factor Movements'!C216+'CurrentPor-Equ Factor Movements'!H216)/100)+103/POWER(1+('CurrentPor-Equ Factor Movements'!D216+'CurrentPor-Equ Factor Movements'!H216)/100,2))*100</f>
        <v>9601.2395558122898</v>
      </c>
      <c r="E216">
        <f>(3/(1+('CurrentPor-Equ Factor Movements'!C216+'CurrentPor-Equ Factor Movements'!I216)/100)+103/POWER(1+('CurrentPor-Equ Factor Movements'!D216+'CurrentPor-Equ Factor Movements'!I216)/100,2))*100</f>
        <v>9581.4547115644182</v>
      </c>
      <c r="F216">
        <f>Portfolio!B$5*'CurrentPor-Equ Factor Movements'!E216</f>
        <v>51587.837049325732</v>
      </c>
      <c r="G216">
        <f>Portfolio!B$6*'CurrentPor-Equ Factor Movements'!F216</f>
        <v>3537.5276717338847</v>
      </c>
      <c r="H216">
        <f>Portfolio!B$7*'CurrentPor-Equ Factor Movements'!J216</f>
        <v>2148.0998964419859</v>
      </c>
      <c r="I216">
        <f t="shared" si="6"/>
        <v>95778.712020555497</v>
      </c>
      <c r="J216">
        <f t="shared" si="7"/>
        <v>-517.26799823813781</v>
      </c>
    </row>
    <row r="217" spans="1:10">
      <c r="A217" s="1">
        <v>45772</v>
      </c>
      <c r="B217">
        <f>(3/(1+('CurrentPor-Equ Factor Movements'!C217)/100)+103/POWER(1+('CurrentPor-Equ Factor Movements'!D217)/100,2))*100</f>
        <v>9707.5857774288397</v>
      </c>
      <c r="C217">
        <f>(3/(1+('CurrentPor-Equ Factor Movements'!C217+'CurrentPor-Equ Factor Movements'!G217)/100)+103/POWER(1+('CurrentPor-Equ Factor Movements'!D217+'CurrentPor-Equ Factor Movements'!G217)/100,2))*100</f>
        <v>9614.9673582483465</v>
      </c>
      <c r="D217">
        <f>(3/(1+('CurrentPor-Equ Factor Movements'!C217+'CurrentPor-Equ Factor Movements'!H217)/100)+103/POWER(1+('CurrentPor-Equ Factor Movements'!D217+'CurrentPor-Equ Factor Movements'!H217)/100,2))*100</f>
        <v>9601.2395558122898</v>
      </c>
      <c r="E217">
        <f>(3/(1+('CurrentPor-Equ Factor Movements'!C217+'CurrentPor-Equ Factor Movements'!I217)/100)+103/POWER(1+('CurrentPor-Equ Factor Movements'!D217+'CurrentPor-Equ Factor Movements'!I217)/100,2))*100</f>
        <v>9581.4547115644182</v>
      </c>
      <c r="F217">
        <f>Portfolio!B$5*'CurrentPor-Equ Factor Movements'!E217</f>
        <v>52447.437386184334</v>
      </c>
      <c r="G217">
        <f>Portfolio!B$6*'CurrentPor-Equ Factor Movements'!F217</f>
        <v>3823.459947433892</v>
      </c>
      <c r="H217">
        <f>Portfolio!B$7*'CurrentPor-Equ Factor Movements'!J217</f>
        <v>2148.0998964419859</v>
      </c>
      <c r="I217">
        <f t="shared" si="6"/>
        <v>96924.244633114111</v>
      </c>
      <c r="J217">
        <f t="shared" si="7"/>
        <v>587.18789999364526</v>
      </c>
    </row>
    <row r="218" spans="1:10">
      <c r="A218" s="1">
        <v>45775</v>
      </c>
      <c r="B218">
        <f>(3/(1+('CurrentPor-Equ Factor Movements'!C218)/100)+103/POWER(1+('CurrentPor-Equ Factor Movements'!D218)/100,2))*100</f>
        <v>9707.5857774288397</v>
      </c>
      <c r="C218">
        <f>(3/(1+('CurrentPor-Equ Factor Movements'!C218+'CurrentPor-Equ Factor Movements'!G218)/100)+103/POWER(1+('CurrentPor-Equ Factor Movements'!D218+'CurrentPor-Equ Factor Movements'!G218)/100,2))*100</f>
        <v>9614.9673582483465</v>
      </c>
      <c r="D218">
        <f>(3/(1+('CurrentPor-Equ Factor Movements'!C218+'CurrentPor-Equ Factor Movements'!H218)/100)+103/POWER(1+('CurrentPor-Equ Factor Movements'!D218+'CurrentPor-Equ Factor Movements'!H218)/100,2))*100</f>
        <v>9601.2395558122898</v>
      </c>
      <c r="E218">
        <f>(3/(1+('CurrentPor-Equ Factor Movements'!C218+'CurrentPor-Equ Factor Movements'!I218)/100)+103/POWER(1+('CurrentPor-Equ Factor Movements'!D218+'CurrentPor-Equ Factor Movements'!I218)/100,2))*100</f>
        <v>9581.4547115644182</v>
      </c>
      <c r="F218">
        <f>Portfolio!B$5*'CurrentPor-Equ Factor Movements'!E218</f>
        <v>50389.018260904173</v>
      </c>
      <c r="G218">
        <f>Portfolio!B$6*'CurrentPor-Equ Factor Movements'!F218</f>
        <v>3779.4419363289153</v>
      </c>
      <c r="H218">
        <f>Portfolio!B$7*'CurrentPor-Equ Factor Movements'!J218</f>
        <v>2148.0998964419859</v>
      </c>
      <c r="I218">
        <f t="shared" si="6"/>
        <v>94821.807496728972</v>
      </c>
      <c r="J218">
        <f t="shared" si="7"/>
        <v>-1720.3255938609946</v>
      </c>
    </row>
    <row r="219" spans="1:10">
      <c r="A219" s="1">
        <v>45776</v>
      </c>
      <c r="B219">
        <f>(3/(1+('CurrentPor-Equ Factor Movements'!C219)/100)+103/POWER(1+('CurrentPor-Equ Factor Movements'!D219)/100,2))*100</f>
        <v>9707.5857774288397</v>
      </c>
      <c r="C219">
        <f>(3/(1+('CurrentPor-Equ Factor Movements'!C219+'CurrentPor-Equ Factor Movements'!G219)/100)+103/POWER(1+('CurrentPor-Equ Factor Movements'!D219+'CurrentPor-Equ Factor Movements'!G219)/100,2))*100</f>
        <v>9614.9673582483465</v>
      </c>
      <c r="D219">
        <f>(3/(1+('CurrentPor-Equ Factor Movements'!C219+'CurrentPor-Equ Factor Movements'!H219)/100)+103/POWER(1+('CurrentPor-Equ Factor Movements'!D219+'CurrentPor-Equ Factor Movements'!H219)/100,2))*100</f>
        <v>9601.2395558122898</v>
      </c>
      <c r="E219">
        <f>(3/(1+('CurrentPor-Equ Factor Movements'!C219+'CurrentPor-Equ Factor Movements'!I219)/100)+103/POWER(1+('CurrentPor-Equ Factor Movements'!D219+'CurrentPor-Equ Factor Movements'!I219)/100,2))*100</f>
        <v>9581.4547115644182</v>
      </c>
      <c r="F219">
        <f>Portfolio!B$5*'CurrentPor-Equ Factor Movements'!E219</f>
        <v>50268.828825766344</v>
      </c>
      <c r="G219">
        <f>Portfolio!B$6*'CurrentPor-Equ Factor Movements'!F219</f>
        <v>3753.8134133981544</v>
      </c>
      <c r="H219">
        <f>Portfolio!B$7*'CurrentPor-Equ Factor Movements'!J219</f>
        <v>2148.0998964419859</v>
      </c>
      <c r="I219">
        <f t="shared" si="6"/>
        <v>94675.989538660375</v>
      </c>
      <c r="J219">
        <f t="shared" si="7"/>
        <v>-3516.1736933619832</v>
      </c>
    </row>
    <row r="220" spans="1:10">
      <c r="A220" s="1">
        <v>45777</v>
      </c>
      <c r="B220">
        <f>(3/(1+('CurrentPor-Equ Factor Movements'!C220)/100)+103/POWER(1+('CurrentPor-Equ Factor Movements'!D220)/100,2))*100</f>
        <v>9707.5857774288397</v>
      </c>
      <c r="C220">
        <f>(3/(1+('CurrentPor-Equ Factor Movements'!C220+'CurrentPor-Equ Factor Movements'!G220)/100)+103/POWER(1+('CurrentPor-Equ Factor Movements'!D220+'CurrentPor-Equ Factor Movements'!G220)/100,2))*100</f>
        <v>9614.9673582483465</v>
      </c>
      <c r="D220">
        <f>(3/(1+('CurrentPor-Equ Factor Movements'!C220+'CurrentPor-Equ Factor Movements'!H220)/100)+103/POWER(1+('CurrentPor-Equ Factor Movements'!D220+'CurrentPor-Equ Factor Movements'!H220)/100,2))*100</f>
        <v>9601.2395558122898</v>
      </c>
      <c r="E220">
        <f>(3/(1+('CurrentPor-Equ Factor Movements'!C220+'CurrentPor-Equ Factor Movements'!I220)/100)+103/POWER(1+('CurrentPor-Equ Factor Movements'!D220+'CurrentPor-Equ Factor Movements'!I220)/100,2))*100</f>
        <v>9581.4547115644182</v>
      </c>
      <c r="F220">
        <f>Portfolio!B$5*'CurrentPor-Equ Factor Movements'!E220</f>
        <v>51325.951689200723</v>
      </c>
      <c r="G220">
        <f>Portfolio!B$6*'CurrentPor-Equ Factor Movements'!F220</f>
        <v>3495.8516488511946</v>
      </c>
      <c r="H220">
        <f>Portfolio!B$7*'CurrentPor-Equ Factor Movements'!J220</f>
        <v>2148.0998964419859</v>
      </c>
      <c r="I220">
        <f t="shared" si="6"/>
        <v>95475.150637547806</v>
      </c>
      <c r="J220">
        <f t="shared" si="7"/>
        <v>-1771.8821538186021</v>
      </c>
    </row>
    <row r="221" spans="1:10">
      <c r="A221" s="1">
        <v>45778</v>
      </c>
      <c r="B221">
        <f>(3/(1+('CurrentPor-Equ Factor Movements'!C221)/100)+103/POWER(1+('CurrentPor-Equ Factor Movements'!D221)/100,2))*100</f>
        <v>9707.5857774288397</v>
      </c>
      <c r="C221">
        <f>(3/(1+('CurrentPor-Equ Factor Movements'!C221+'CurrentPor-Equ Factor Movements'!G221)/100)+103/POWER(1+('CurrentPor-Equ Factor Movements'!D221+'CurrentPor-Equ Factor Movements'!G221)/100,2))*100</f>
        <v>9614.9673582483465</v>
      </c>
      <c r="D221">
        <f>(3/(1+('CurrentPor-Equ Factor Movements'!C221+'CurrentPor-Equ Factor Movements'!H221)/100)+103/POWER(1+('CurrentPor-Equ Factor Movements'!D221+'CurrentPor-Equ Factor Movements'!H221)/100,2))*100</f>
        <v>9601.2395558122898</v>
      </c>
      <c r="E221">
        <f>(3/(1+('CurrentPor-Equ Factor Movements'!C221+'CurrentPor-Equ Factor Movements'!I221)/100)+103/POWER(1+('CurrentPor-Equ Factor Movements'!D221+'CurrentPor-Equ Factor Movements'!I221)/100,2))*100</f>
        <v>9581.4547115644182</v>
      </c>
      <c r="F221">
        <f>Portfolio!B$5*'CurrentPor-Equ Factor Movements'!E221</f>
        <v>52483.013367950029</v>
      </c>
      <c r="G221">
        <f>Portfolio!B$6*'CurrentPor-Equ Factor Movements'!F221</f>
        <v>3598.506558628098</v>
      </c>
      <c r="H221">
        <f>Portfolio!B$7*'CurrentPor-Equ Factor Movements'!J221</f>
        <v>2148.0998964419859</v>
      </c>
      <c r="I221">
        <f t="shared" si="6"/>
        <v>96734.867226074013</v>
      </c>
      <c r="J221">
        <f t="shared" si="7"/>
        <v>340.53502218151698</v>
      </c>
    </row>
    <row r="222" spans="1:10">
      <c r="A222" s="1">
        <v>45779</v>
      </c>
      <c r="B222">
        <f>(3/(1+('CurrentPor-Equ Factor Movements'!C222)/100)+103/POWER(1+('CurrentPor-Equ Factor Movements'!D222)/100,2))*100</f>
        <v>9707.5857774288397</v>
      </c>
      <c r="C222">
        <f>(3/(1+('CurrentPor-Equ Factor Movements'!C222+'CurrentPor-Equ Factor Movements'!G222)/100)+103/POWER(1+('CurrentPor-Equ Factor Movements'!D222+'CurrentPor-Equ Factor Movements'!G222)/100,2))*100</f>
        <v>9614.9673582483465</v>
      </c>
      <c r="D222">
        <f>(3/(1+('CurrentPor-Equ Factor Movements'!C222+'CurrentPor-Equ Factor Movements'!H222)/100)+103/POWER(1+('CurrentPor-Equ Factor Movements'!D222+'CurrentPor-Equ Factor Movements'!H222)/100,2))*100</f>
        <v>9601.2395558122898</v>
      </c>
      <c r="E222">
        <f>(3/(1+('CurrentPor-Equ Factor Movements'!C222+'CurrentPor-Equ Factor Movements'!I222)/100)+103/POWER(1+('CurrentPor-Equ Factor Movements'!D222+'CurrentPor-Equ Factor Movements'!I222)/100,2))*100</f>
        <v>9581.4547115644182</v>
      </c>
      <c r="F222">
        <f>Portfolio!B$5*'CurrentPor-Equ Factor Movements'!E222</f>
        <v>52004.423787100401</v>
      </c>
      <c r="G222">
        <f>Portfolio!B$6*'CurrentPor-Equ Factor Movements'!F222</f>
        <v>3280.4295049330171</v>
      </c>
      <c r="H222">
        <f>Portfolio!B$7*'CurrentPor-Equ Factor Movements'!J222</f>
        <v>2148.0998964419859</v>
      </c>
      <c r="I222">
        <f t="shared" si="6"/>
        <v>95938.200591529298</v>
      </c>
      <c r="J222">
        <f t="shared" si="7"/>
        <v>-659.83798376320919</v>
      </c>
    </row>
    <row r="223" spans="1:10">
      <c r="A223" s="1">
        <v>45782</v>
      </c>
      <c r="B223">
        <f>(3/(1+('CurrentPor-Equ Factor Movements'!C223)/100)+103/POWER(1+('CurrentPor-Equ Factor Movements'!D223)/100,2))*100</f>
        <v>9707.5857774288397</v>
      </c>
      <c r="C223">
        <f>(3/(1+('CurrentPor-Equ Factor Movements'!C223+'CurrentPor-Equ Factor Movements'!G223)/100)+103/POWER(1+('CurrentPor-Equ Factor Movements'!D223+'CurrentPor-Equ Factor Movements'!G223)/100,2))*100</f>
        <v>9614.9673582483465</v>
      </c>
      <c r="D223">
        <f>(3/(1+('CurrentPor-Equ Factor Movements'!C223+'CurrentPor-Equ Factor Movements'!H223)/100)+103/POWER(1+('CurrentPor-Equ Factor Movements'!D223+'CurrentPor-Equ Factor Movements'!H223)/100,2))*100</f>
        <v>9601.2395558122898</v>
      </c>
      <c r="E223">
        <f>(3/(1+('CurrentPor-Equ Factor Movements'!C223+'CurrentPor-Equ Factor Movements'!I223)/100)+103/POWER(1+('CurrentPor-Equ Factor Movements'!D223+'CurrentPor-Equ Factor Movements'!I223)/100,2))*100</f>
        <v>9581.4547115644182</v>
      </c>
      <c r="F223">
        <f>Portfolio!B$5*'CurrentPor-Equ Factor Movements'!E223</f>
        <v>50421.485581735025</v>
      </c>
      <c r="G223">
        <f>Portfolio!B$6*'CurrentPor-Equ Factor Movements'!F223</f>
        <v>2947.9404886603756</v>
      </c>
      <c r="H223">
        <f>Portfolio!B$7*'CurrentPor-Equ Factor Movements'!J223</f>
        <v>2148.0998964419859</v>
      </c>
      <c r="I223">
        <f t="shared" si="6"/>
        <v>94022.773369891278</v>
      </c>
      <c r="J223">
        <f t="shared" si="7"/>
        <v>-2726.501659751957</v>
      </c>
    </row>
    <row r="224" spans="1:10">
      <c r="A224" s="1">
        <v>45783</v>
      </c>
      <c r="B224">
        <f>(3/(1+('CurrentPor-Equ Factor Movements'!C224)/100)+103/POWER(1+('CurrentPor-Equ Factor Movements'!D224)/100,2))*100</f>
        <v>9707.5857774288397</v>
      </c>
      <c r="C224">
        <f>(3/(1+('CurrentPor-Equ Factor Movements'!C224+'CurrentPor-Equ Factor Movements'!G224)/100)+103/POWER(1+('CurrentPor-Equ Factor Movements'!D224+'CurrentPor-Equ Factor Movements'!G224)/100,2))*100</f>
        <v>9614.9673582483465</v>
      </c>
      <c r="D224">
        <f>(3/(1+('CurrentPor-Equ Factor Movements'!C224+'CurrentPor-Equ Factor Movements'!H224)/100)+103/POWER(1+('CurrentPor-Equ Factor Movements'!D224+'CurrentPor-Equ Factor Movements'!H224)/100,2))*100</f>
        <v>9601.2395558122898</v>
      </c>
      <c r="E224">
        <f>(3/(1+('CurrentPor-Equ Factor Movements'!C224+'CurrentPor-Equ Factor Movements'!I224)/100)+103/POWER(1+('CurrentPor-Equ Factor Movements'!D224+'CurrentPor-Equ Factor Movements'!I224)/100,2))*100</f>
        <v>9581.4547115644182</v>
      </c>
      <c r="F224">
        <f>Portfolio!B$5*'CurrentPor-Equ Factor Movements'!E224</f>
        <v>51209.54125334639</v>
      </c>
      <c r="G224">
        <f>Portfolio!B$6*'CurrentPor-Equ Factor Movements'!F224</f>
        <v>3236.4065055926053</v>
      </c>
      <c r="H224">
        <f>Portfolio!B$7*'CurrentPor-Equ Factor Movements'!J224</f>
        <v>2148.0998964419859</v>
      </c>
      <c r="I224">
        <f t="shared" si="6"/>
        <v>95099.295058434873</v>
      </c>
      <c r="J224">
        <f t="shared" si="7"/>
        <v>-1234.9306737079314</v>
      </c>
    </row>
    <row r="225" spans="1:10">
      <c r="A225" s="1">
        <v>45784</v>
      </c>
      <c r="B225">
        <f>(3/(1+('CurrentPor-Equ Factor Movements'!C225)/100)+103/POWER(1+('CurrentPor-Equ Factor Movements'!D225)/100,2))*100</f>
        <v>9707.5857774288397</v>
      </c>
      <c r="C225">
        <f>(3/(1+('CurrentPor-Equ Factor Movements'!C225+'CurrentPor-Equ Factor Movements'!G225)/100)+103/POWER(1+('CurrentPor-Equ Factor Movements'!D225+'CurrentPor-Equ Factor Movements'!G225)/100,2))*100</f>
        <v>9614.9673582483465</v>
      </c>
      <c r="D225">
        <f>(3/(1+('CurrentPor-Equ Factor Movements'!C225+'CurrentPor-Equ Factor Movements'!H225)/100)+103/POWER(1+('CurrentPor-Equ Factor Movements'!D225+'CurrentPor-Equ Factor Movements'!H225)/100,2))*100</f>
        <v>9601.2395558122898</v>
      </c>
      <c r="E225">
        <f>(3/(1+('CurrentPor-Equ Factor Movements'!C225+'CurrentPor-Equ Factor Movements'!I225)/100)+103/POWER(1+('CurrentPor-Equ Factor Movements'!D225+'CurrentPor-Equ Factor Movements'!I225)/100,2))*100</f>
        <v>9581.4547115644182</v>
      </c>
      <c r="F225">
        <f>Portfolio!B$5*'CurrentPor-Equ Factor Movements'!E225</f>
        <v>51058.061431085465</v>
      </c>
      <c r="G225">
        <f>Portfolio!B$6*'CurrentPor-Equ Factor Movements'!F225</f>
        <v>3690.3494129336004</v>
      </c>
      <c r="H225">
        <f>Portfolio!B$7*'CurrentPor-Equ Factor Movements'!J225</f>
        <v>2148.0998964419859</v>
      </c>
      <c r="I225">
        <f t="shared" si="6"/>
        <v>95401.758143514948</v>
      </c>
      <c r="J225">
        <f t="shared" si="7"/>
        <v>-1621.7554503731371</v>
      </c>
    </row>
    <row r="226" spans="1:10">
      <c r="A226" s="1">
        <v>45785</v>
      </c>
      <c r="B226">
        <f>(3/(1+('CurrentPor-Equ Factor Movements'!C226)/100)+103/POWER(1+('CurrentPor-Equ Factor Movements'!D226)/100,2))*100</f>
        <v>9707.5857774288397</v>
      </c>
      <c r="C226">
        <f>(3/(1+('CurrentPor-Equ Factor Movements'!C226+'CurrentPor-Equ Factor Movements'!G226)/100)+103/POWER(1+('CurrentPor-Equ Factor Movements'!D226+'CurrentPor-Equ Factor Movements'!G226)/100,2))*100</f>
        <v>9614.9673582483465</v>
      </c>
      <c r="D226">
        <f>(3/(1+('CurrentPor-Equ Factor Movements'!C226+'CurrentPor-Equ Factor Movements'!H226)/100)+103/POWER(1+('CurrentPor-Equ Factor Movements'!D226+'CurrentPor-Equ Factor Movements'!H226)/100,2))*100</f>
        <v>9601.2395558122898</v>
      </c>
      <c r="E226">
        <f>(3/(1+('CurrentPor-Equ Factor Movements'!C226+'CurrentPor-Equ Factor Movements'!I226)/100)+103/POWER(1+('CurrentPor-Equ Factor Movements'!D226+'CurrentPor-Equ Factor Movements'!I226)/100,2))*100</f>
        <v>9581.4547115644182</v>
      </c>
      <c r="F226">
        <f>Portfolio!B$5*'CurrentPor-Equ Factor Movements'!E226</f>
        <v>52846.74066354597</v>
      </c>
      <c r="G226">
        <f>Portfolio!B$6*'CurrentPor-Equ Factor Movements'!F226</f>
        <v>3751.6643990649854</v>
      </c>
      <c r="H226">
        <f>Portfolio!B$7*'CurrentPor-Equ Factor Movements'!J226</f>
        <v>2148.0998964419859</v>
      </c>
      <c r="I226">
        <f t="shared" si="6"/>
        <v>97251.752362106839</v>
      </c>
      <c r="J226">
        <f t="shared" si="7"/>
        <v>1473.0403415513429</v>
      </c>
    </row>
    <row r="227" spans="1:10">
      <c r="A227" s="1">
        <v>45786</v>
      </c>
      <c r="B227">
        <f>(3/(1+('CurrentPor-Equ Factor Movements'!C227)/100)+103/POWER(1+('CurrentPor-Equ Factor Movements'!D227)/100,2))*100</f>
        <v>9707.5857774288397</v>
      </c>
      <c r="C227">
        <f>(3/(1+('CurrentPor-Equ Factor Movements'!C227+'CurrentPor-Equ Factor Movements'!G227)/100)+103/POWER(1+('CurrentPor-Equ Factor Movements'!D227+'CurrentPor-Equ Factor Movements'!G227)/100,2))*100</f>
        <v>9614.9673582483465</v>
      </c>
      <c r="D227">
        <f>(3/(1+('CurrentPor-Equ Factor Movements'!C227+'CurrentPor-Equ Factor Movements'!H227)/100)+103/POWER(1+('CurrentPor-Equ Factor Movements'!D227+'CurrentPor-Equ Factor Movements'!H227)/100,2))*100</f>
        <v>9601.2395558122898</v>
      </c>
      <c r="E227">
        <f>(3/(1+('CurrentPor-Equ Factor Movements'!C227+'CurrentPor-Equ Factor Movements'!I227)/100)+103/POWER(1+('CurrentPor-Equ Factor Movements'!D227+'CurrentPor-Equ Factor Movements'!I227)/100,2))*100</f>
        <v>9581.4547115644182</v>
      </c>
      <c r="F227">
        <f>Portfolio!B$5*'CurrentPor-Equ Factor Movements'!E227</f>
        <v>50347.547786283183</v>
      </c>
      <c r="G227">
        <f>Portfolio!B$6*'CurrentPor-Equ Factor Movements'!F227</f>
        <v>3839.9887603973184</v>
      </c>
      <c r="H227">
        <f>Portfolio!B$7*'CurrentPor-Equ Factor Movements'!J227</f>
        <v>2148.0998964419859</v>
      </c>
      <c r="I227">
        <f t="shared" si="6"/>
        <v>94840.883846176381</v>
      </c>
      <c r="J227">
        <f t="shared" si="7"/>
        <v>-2083.3607869377302</v>
      </c>
    </row>
    <row r="228" spans="1:10">
      <c r="A228" s="1">
        <v>45789</v>
      </c>
      <c r="B228">
        <f>(3/(1+('CurrentPor-Equ Factor Movements'!C228)/100)+103/POWER(1+('CurrentPor-Equ Factor Movements'!D228)/100,2))*100</f>
        <v>9707.5857774288397</v>
      </c>
      <c r="C228">
        <f>(3/(1+('CurrentPor-Equ Factor Movements'!C228+'CurrentPor-Equ Factor Movements'!G228)/100)+103/POWER(1+('CurrentPor-Equ Factor Movements'!D228+'CurrentPor-Equ Factor Movements'!G228)/100,2))*100</f>
        <v>9614.9673582483465</v>
      </c>
      <c r="D228">
        <f>(3/(1+('CurrentPor-Equ Factor Movements'!C228+'CurrentPor-Equ Factor Movements'!H228)/100)+103/POWER(1+('CurrentPor-Equ Factor Movements'!D228+'CurrentPor-Equ Factor Movements'!H228)/100,2))*100</f>
        <v>9601.2395558122898</v>
      </c>
      <c r="E228">
        <f>(3/(1+('CurrentPor-Equ Factor Movements'!C228+'CurrentPor-Equ Factor Movements'!I228)/100)+103/POWER(1+('CurrentPor-Equ Factor Movements'!D228+'CurrentPor-Equ Factor Movements'!I228)/100,2))*100</f>
        <v>9581.4547115644182</v>
      </c>
      <c r="F228">
        <f>Portfolio!B$5*'CurrentPor-Equ Factor Movements'!E228</f>
        <v>51501.725191078069</v>
      </c>
      <c r="G228">
        <f>Portfolio!B$6*'CurrentPor-Equ Factor Movements'!F228</f>
        <v>3479.0589743194223</v>
      </c>
      <c r="H228">
        <f>Portfolio!B$7*'CurrentPor-Equ Factor Movements'!J228</f>
        <v>2148.0998964419859</v>
      </c>
      <c r="I228">
        <f t="shared" si="6"/>
        <v>95634.131464893377</v>
      </c>
      <c r="J228">
        <f t="shared" si="7"/>
        <v>812.3239681644045</v>
      </c>
    </row>
    <row r="229" spans="1:10">
      <c r="A229" s="1">
        <v>45790</v>
      </c>
      <c r="B229">
        <f>(3/(1+('CurrentPor-Equ Factor Movements'!C229)/100)+103/POWER(1+('CurrentPor-Equ Factor Movements'!D229)/100,2))*100</f>
        <v>9707.5857774288397</v>
      </c>
      <c r="C229">
        <f>(3/(1+('CurrentPor-Equ Factor Movements'!C229+'CurrentPor-Equ Factor Movements'!G229)/100)+103/POWER(1+('CurrentPor-Equ Factor Movements'!D229+'CurrentPor-Equ Factor Movements'!G229)/100,2))*100</f>
        <v>9614.9673582483465</v>
      </c>
      <c r="D229">
        <f>(3/(1+('CurrentPor-Equ Factor Movements'!C229+'CurrentPor-Equ Factor Movements'!H229)/100)+103/POWER(1+('CurrentPor-Equ Factor Movements'!D229+'CurrentPor-Equ Factor Movements'!H229)/100,2))*100</f>
        <v>9601.2395558122898</v>
      </c>
      <c r="E229">
        <f>(3/(1+('CurrentPor-Equ Factor Movements'!C229+'CurrentPor-Equ Factor Movements'!I229)/100)+103/POWER(1+('CurrentPor-Equ Factor Movements'!D229+'CurrentPor-Equ Factor Movements'!I229)/100,2))*100</f>
        <v>9581.4547115644182</v>
      </c>
      <c r="F229">
        <f>Portfolio!B$5*'CurrentPor-Equ Factor Movements'!E229</f>
        <v>53189.120342549919</v>
      </c>
      <c r="G229">
        <f>Portfolio!B$6*'CurrentPor-Equ Factor Movements'!F229</f>
        <v>3306.2982884434823</v>
      </c>
      <c r="H229">
        <f>Portfolio!B$7*'CurrentPor-Equ Factor Movements'!J229</f>
        <v>2148.0998964419859</v>
      </c>
      <c r="I229">
        <f t="shared" si="6"/>
        <v>97148.765930489273</v>
      </c>
      <c r="J229">
        <f t="shared" si="7"/>
        <v>2472.7763918288983</v>
      </c>
    </row>
    <row r="230" spans="1:10">
      <c r="A230" s="1">
        <v>45791</v>
      </c>
      <c r="B230">
        <f>(3/(1+('CurrentPor-Equ Factor Movements'!C230)/100)+103/POWER(1+('CurrentPor-Equ Factor Movements'!D230)/100,2))*100</f>
        <v>9707.5857774288397</v>
      </c>
      <c r="C230">
        <f>(3/(1+('CurrentPor-Equ Factor Movements'!C230+'CurrentPor-Equ Factor Movements'!G230)/100)+103/POWER(1+('CurrentPor-Equ Factor Movements'!D230+'CurrentPor-Equ Factor Movements'!G230)/100,2))*100</f>
        <v>9614.9673582483465</v>
      </c>
      <c r="D230">
        <f>(3/(1+('CurrentPor-Equ Factor Movements'!C230+'CurrentPor-Equ Factor Movements'!H230)/100)+103/POWER(1+('CurrentPor-Equ Factor Movements'!D230+'CurrentPor-Equ Factor Movements'!H230)/100,2))*100</f>
        <v>9601.2395558122898</v>
      </c>
      <c r="E230">
        <f>(3/(1+('CurrentPor-Equ Factor Movements'!C230+'CurrentPor-Equ Factor Movements'!I230)/100)+103/POWER(1+('CurrentPor-Equ Factor Movements'!D230+'CurrentPor-Equ Factor Movements'!I230)/100,2))*100</f>
        <v>9581.4547115644182</v>
      </c>
      <c r="F230">
        <f>Portfolio!B$5*'CurrentPor-Equ Factor Movements'!E230</f>
        <v>53125.821464958077</v>
      </c>
      <c r="G230">
        <f>Portfolio!B$6*'CurrentPor-Equ Factor Movements'!F230</f>
        <v>3118.1188656280215</v>
      </c>
      <c r="H230">
        <f>Portfolio!B$7*'CurrentPor-Equ Factor Movements'!J230</f>
        <v>2148.0998964419859</v>
      </c>
      <c r="I230">
        <f t="shared" si="6"/>
        <v>96897.287630081977</v>
      </c>
      <c r="J230">
        <f t="shared" si="7"/>
        <v>1422.1369925341714</v>
      </c>
    </row>
    <row r="231" spans="1:10">
      <c r="A231" s="1">
        <v>45792</v>
      </c>
      <c r="B231">
        <f>(3/(1+('CurrentPor-Equ Factor Movements'!C231)/100)+103/POWER(1+('CurrentPor-Equ Factor Movements'!D231)/100,2))*100</f>
        <v>9707.5857774288397</v>
      </c>
      <c r="C231">
        <f>(3/(1+('CurrentPor-Equ Factor Movements'!C231+'CurrentPor-Equ Factor Movements'!G231)/100)+103/POWER(1+('CurrentPor-Equ Factor Movements'!D231+'CurrentPor-Equ Factor Movements'!G231)/100,2))*100</f>
        <v>9614.9673582483465</v>
      </c>
      <c r="D231">
        <f>(3/(1+('CurrentPor-Equ Factor Movements'!C231+'CurrentPor-Equ Factor Movements'!H231)/100)+103/POWER(1+('CurrentPor-Equ Factor Movements'!D231+'CurrentPor-Equ Factor Movements'!H231)/100,2))*100</f>
        <v>9601.2395558122898</v>
      </c>
      <c r="E231">
        <f>(3/(1+('CurrentPor-Equ Factor Movements'!C231+'CurrentPor-Equ Factor Movements'!I231)/100)+103/POWER(1+('CurrentPor-Equ Factor Movements'!D231+'CurrentPor-Equ Factor Movements'!I231)/100,2))*100</f>
        <v>9581.4547115644182</v>
      </c>
      <c r="F231">
        <f>Portfolio!B$5*'CurrentPor-Equ Factor Movements'!E231</f>
        <v>51920.547273091121</v>
      </c>
      <c r="G231">
        <f>Portfolio!B$6*'CurrentPor-Equ Factor Movements'!F231</f>
        <v>3568.568515032815</v>
      </c>
      <c r="H231">
        <f>Portfolio!B$7*'CurrentPor-Equ Factor Movements'!J231</f>
        <v>2148.0998964419859</v>
      </c>
      <c r="I231">
        <f t="shared" si="6"/>
        <v>96142.463087619821</v>
      </c>
      <c r="J231">
        <f t="shared" si="7"/>
        <v>-592.40413845419243</v>
      </c>
    </row>
    <row r="232" spans="1:10">
      <c r="A232" s="1">
        <v>45793</v>
      </c>
      <c r="B232">
        <f>(3/(1+('CurrentPor-Equ Factor Movements'!C232)/100)+103/POWER(1+('CurrentPor-Equ Factor Movements'!D232)/100,2))*100</f>
        <v>9707.5857774288397</v>
      </c>
      <c r="C232">
        <f>(3/(1+('CurrentPor-Equ Factor Movements'!C232+'CurrentPor-Equ Factor Movements'!G232)/100)+103/POWER(1+('CurrentPor-Equ Factor Movements'!D232+'CurrentPor-Equ Factor Movements'!G232)/100,2))*100</f>
        <v>9614.9673582483465</v>
      </c>
      <c r="D232">
        <f>(3/(1+('CurrentPor-Equ Factor Movements'!C232+'CurrentPor-Equ Factor Movements'!H232)/100)+103/POWER(1+('CurrentPor-Equ Factor Movements'!D232+'CurrentPor-Equ Factor Movements'!H232)/100,2))*100</f>
        <v>9601.2395558122898</v>
      </c>
      <c r="E232">
        <f>(3/(1+('CurrentPor-Equ Factor Movements'!C232+'CurrentPor-Equ Factor Movements'!I232)/100)+103/POWER(1+('CurrentPor-Equ Factor Movements'!D232+'CurrentPor-Equ Factor Movements'!I232)/100,2))*100</f>
        <v>9581.4547115644182</v>
      </c>
      <c r="F232">
        <f>Portfolio!B$5*'CurrentPor-Equ Factor Movements'!E232</f>
        <v>52987.911292912169</v>
      </c>
      <c r="G232">
        <f>Portfolio!B$6*'CurrentPor-Equ Factor Movements'!F232</f>
        <v>3936.1406325290468</v>
      </c>
      <c r="H232">
        <f>Portfolio!B$7*'CurrentPor-Equ Factor Movements'!J232</f>
        <v>2148.0998964419859</v>
      </c>
      <c r="I232">
        <f t="shared" si="6"/>
        <v>97577.399224937093</v>
      </c>
      <c r="J232">
        <f t="shared" si="7"/>
        <v>1639.1986334077956</v>
      </c>
    </row>
    <row r="233" spans="1:10">
      <c r="A233" s="1">
        <v>45796</v>
      </c>
      <c r="B233">
        <f>(3/(1+('CurrentPor-Equ Factor Movements'!C233)/100)+103/POWER(1+('CurrentPor-Equ Factor Movements'!D233)/100,2))*100</f>
        <v>9707.5857774288397</v>
      </c>
      <c r="C233">
        <f>(3/(1+('CurrentPor-Equ Factor Movements'!C233+'CurrentPor-Equ Factor Movements'!G233)/100)+103/POWER(1+('CurrentPor-Equ Factor Movements'!D233+'CurrentPor-Equ Factor Movements'!G233)/100,2))*100</f>
        <v>9614.9673582483465</v>
      </c>
      <c r="D233">
        <f>(3/(1+('CurrentPor-Equ Factor Movements'!C233+'CurrentPor-Equ Factor Movements'!H233)/100)+103/POWER(1+('CurrentPor-Equ Factor Movements'!D233+'CurrentPor-Equ Factor Movements'!H233)/100,2))*100</f>
        <v>9601.2395558122898</v>
      </c>
      <c r="E233">
        <f>(3/(1+('CurrentPor-Equ Factor Movements'!C233+'CurrentPor-Equ Factor Movements'!I233)/100)+103/POWER(1+('CurrentPor-Equ Factor Movements'!D233+'CurrentPor-Equ Factor Movements'!I233)/100,2))*100</f>
        <v>9581.4547115644182</v>
      </c>
      <c r="F233">
        <f>Portfolio!B$5*'CurrentPor-Equ Factor Movements'!E233</f>
        <v>51191.047816198399</v>
      </c>
      <c r="G233">
        <f>Portfolio!B$6*'CurrentPor-Equ Factor Movements'!F233</f>
        <v>3534.7135243958355</v>
      </c>
      <c r="H233">
        <f>Portfolio!B$7*'CurrentPor-Equ Factor Movements'!J233</f>
        <v>2148.0998964419859</v>
      </c>
      <c r="I233">
        <f t="shared" si="6"/>
        <v>95379.108640090111</v>
      </c>
      <c r="J233">
        <f t="shared" si="7"/>
        <v>1356.3352701988333</v>
      </c>
    </row>
    <row r="234" spans="1:10">
      <c r="A234" s="1">
        <v>45797</v>
      </c>
      <c r="B234">
        <f>(3/(1+('CurrentPor-Equ Factor Movements'!C234)/100)+103/POWER(1+('CurrentPor-Equ Factor Movements'!D234)/100,2))*100</f>
        <v>9707.5857774288397</v>
      </c>
      <c r="C234">
        <f>(3/(1+('CurrentPor-Equ Factor Movements'!C234+'CurrentPor-Equ Factor Movements'!G234)/100)+103/POWER(1+('CurrentPor-Equ Factor Movements'!D234+'CurrentPor-Equ Factor Movements'!G234)/100,2))*100</f>
        <v>9614.9673582483465</v>
      </c>
      <c r="D234">
        <f>(3/(1+('CurrentPor-Equ Factor Movements'!C234+'CurrentPor-Equ Factor Movements'!H234)/100)+103/POWER(1+('CurrentPor-Equ Factor Movements'!D234+'CurrentPor-Equ Factor Movements'!H234)/100,2))*100</f>
        <v>9601.2395558122898</v>
      </c>
      <c r="E234">
        <f>(3/(1+('CurrentPor-Equ Factor Movements'!C234+'CurrentPor-Equ Factor Movements'!I234)/100)+103/POWER(1+('CurrentPor-Equ Factor Movements'!D234+'CurrentPor-Equ Factor Movements'!I234)/100,2))*100</f>
        <v>9581.4547115644182</v>
      </c>
      <c r="F234">
        <f>Portfolio!B$5*'CurrentPor-Equ Factor Movements'!E234</f>
        <v>52244.356745874815</v>
      </c>
      <c r="G234">
        <f>Portfolio!B$6*'CurrentPor-Equ Factor Movements'!F234</f>
        <v>3377.1405846790544</v>
      </c>
      <c r="H234">
        <f>Portfolio!B$7*'CurrentPor-Equ Factor Movements'!J234</f>
        <v>2148.0998964419859</v>
      </c>
      <c r="I234">
        <f t="shared" si="6"/>
        <v>96274.84463004976</v>
      </c>
      <c r="J234">
        <f t="shared" si="7"/>
        <v>1175.5495716148871</v>
      </c>
    </row>
    <row r="235" spans="1:10">
      <c r="A235" s="1">
        <v>45798</v>
      </c>
      <c r="B235">
        <f>(3/(1+('CurrentPor-Equ Factor Movements'!C235)/100)+103/POWER(1+('CurrentPor-Equ Factor Movements'!D235)/100,2))*100</f>
        <v>9707.5857774288397</v>
      </c>
      <c r="C235">
        <f>(3/(1+('CurrentPor-Equ Factor Movements'!C235+'CurrentPor-Equ Factor Movements'!G235)/100)+103/POWER(1+('CurrentPor-Equ Factor Movements'!D235+'CurrentPor-Equ Factor Movements'!G235)/100,2))*100</f>
        <v>9614.9673582483465</v>
      </c>
      <c r="D235">
        <f>(3/(1+('CurrentPor-Equ Factor Movements'!C235+'CurrentPor-Equ Factor Movements'!H235)/100)+103/POWER(1+('CurrentPor-Equ Factor Movements'!D235+'CurrentPor-Equ Factor Movements'!H235)/100,2))*100</f>
        <v>9601.2395558122898</v>
      </c>
      <c r="E235">
        <f>(3/(1+('CurrentPor-Equ Factor Movements'!C235+'CurrentPor-Equ Factor Movements'!I235)/100)+103/POWER(1+('CurrentPor-Equ Factor Movements'!D235+'CurrentPor-Equ Factor Movements'!I235)/100,2))*100</f>
        <v>9581.4547115644182</v>
      </c>
      <c r="F235">
        <f>Portfolio!B$5*'CurrentPor-Equ Factor Movements'!E235</f>
        <v>53584.39141253721</v>
      </c>
      <c r="G235">
        <f>Portfolio!B$6*'CurrentPor-Equ Factor Movements'!F235</f>
        <v>3817.2608937488185</v>
      </c>
      <c r="H235">
        <f>Portfolio!B$7*'CurrentPor-Equ Factor Movements'!J235</f>
        <v>2148.0998964419859</v>
      </c>
      <c r="I235">
        <f t="shared" si="6"/>
        <v>98054.999605781908</v>
      </c>
      <c r="J235">
        <f t="shared" si="7"/>
        <v>2653.2414622669603</v>
      </c>
    </row>
    <row r="236" spans="1:10">
      <c r="A236" s="1">
        <v>45799</v>
      </c>
      <c r="B236">
        <f>(3/(1+('CurrentPor-Equ Factor Movements'!C236)/100)+103/POWER(1+('CurrentPor-Equ Factor Movements'!D236)/100,2))*100</f>
        <v>9707.5857774288397</v>
      </c>
      <c r="C236">
        <f>(3/(1+('CurrentPor-Equ Factor Movements'!C236+'CurrentPor-Equ Factor Movements'!G236)/100)+103/POWER(1+('CurrentPor-Equ Factor Movements'!D236+'CurrentPor-Equ Factor Movements'!G236)/100,2))*100</f>
        <v>9614.9673582483465</v>
      </c>
      <c r="D236">
        <f>(3/(1+('CurrentPor-Equ Factor Movements'!C236+'CurrentPor-Equ Factor Movements'!H236)/100)+103/POWER(1+('CurrentPor-Equ Factor Movements'!D236+'CurrentPor-Equ Factor Movements'!H236)/100,2))*100</f>
        <v>9601.2395558122898</v>
      </c>
      <c r="E236">
        <f>(3/(1+('CurrentPor-Equ Factor Movements'!C236+'CurrentPor-Equ Factor Movements'!I236)/100)+103/POWER(1+('CurrentPor-Equ Factor Movements'!D236+'CurrentPor-Equ Factor Movements'!I236)/100,2))*100</f>
        <v>9581.4547115644182</v>
      </c>
      <c r="F236">
        <f>Portfolio!B$5*'CurrentPor-Equ Factor Movements'!E236</f>
        <v>53267.962866541551</v>
      </c>
      <c r="G236">
        <f>Portfolio!B$6*'CurrentPor-Equ Factor Movements'!F236</f>
        <v>3538.4784382337157</v>
      </c>
      <c r="H236">
        <f>Portfolio!B$7*'CurrentPor-Equ Factor Movements'!J236</f>
        <v>2148.0998964419859</v>
      </c>
      <c r="I236">
        <f t="shared" si="6"/>
        <v>97459.788604271132</v>
      </c>
      <c r="J236">
        <f t="shared" si="7"/>
        <v>208.03624216429307</v>
      </c>
    </row>
    <row r="237" spans="1:10">
      <c r="A237" s="1">
        <v>45800</v>
      </c>
      <c r="B237">
        <f>(3/(1+('CurrentPor-Equ Factor Movements'!C237)/100)+103/POWER(1+('CurrentPor-Equ Factor Movements'!D237)/100,2))*100</f>
        <v>9707.5857774288397</v>
      </c>
      <c r="C237">
        <f>(3/(1+('CurrentPor-Equ Factor Movements'!C237+'CurrentPor-Equ Factor Movements'!G237)/100)+103/POWER(1+('CurrentPor-Equ Factor Movements'!D237+'CurrentPor-Equ Factor Movements'!G237)/100,2))*100</f>
        <v>9614.9673582483465</v>
      </c>
      <c r="D237">
        <f>(3/(1+('CurrentPor-Equ Factor Movements'!C237+'CurrentPor-Equ Factor Movements'!H237)/100)+103/POWER(1+('CurrentPor-Equ Factor Movements'!D237+'CurrentPor-Equ Factor Movements'!H237)/100,2))*100</f>
        <v>9601.2395558122898</v>
      </c>
      <c r="E237">
        <f>(3/(1+('CurrentPor-Equ Factor Movements'!C237+'CurrentPor-Equ Factor Movements'!I237)/100)+103/POWER(1+('CurrentPor-Equ Factor Movements'!D237+'CurrentPor-Equ Factor Movements'!I237)/100,2))*100</f>
        <v>9581.4547115644182</v>
      </c>
      <c r="F237">
        <f>Portfolio!B$5*'CurrentPor-Equ Factor Movements'!E237</f>
        <v>50522.248773326792</v>
      </c>
      <c r="G237">
        <f>Portfolio!B$6*'CurrentPor-Equ Factor Movements'!F237</f>
        <v>3564.0367621654818</v>
      </c>
      <c r="H237">
        <f>Portfolio!B$7*'CurrentPor-Equ Factor Movements'!J237</f>
        <v>2148.0998964419859</v>
      </c>
      <c r="I237">
        <f t="shared" si="6"/>
        <v>94739.632834988166</v>
      </c>
      <c r="J237">
        <f t="shared" si="7"/>
        <v>-101.25101118821476</v>
      </c>
    </row>
    <row r="238" spans="1:10">
      <c r="A238" s="1">
        <v>45803</v>
      </c>
      <c r="B238">
        <f>(3/(1+('CurrentPor-Equ Factor Movements'!C238)/100)+103/POWER(1+('CurrentPor-Equ Factor Movements'!D238)/100,2))*100</f>
        <v>9707.5857774288397</v>
      </c>
      <c r="C238">
        <f>(3/(1+('CurrentPor-Equ Factor Movements'!C238+'CurrentPor-Equ Factor Movements'!G238)/100)+103/POWER(1+('CurrentPor-Equ Factor Movements'!D238+'CurrentPor-Equ Factor Movements'!G238)/100,2))*100</f>
        <v>9614.9673582483465</v>
      </c>
      <c r="D238">
        <f>(3/(1+('CurrentPor-Equ Factor Movements'!C238+'CurrentPor-Equ Factor Movements'!H238)/100)+103/POWER(1+('CurrentPor-Equ Factor Movements'!D238+'CurrentPor-Equ Factor Movements'!H238)/100,2))*100</f>
        <v>9601.2395558122898</v>
      </c>
      <c r="E238">
        <f>(3/(1+('CurrentPor-Equ Factor Movements'!C238+'CurrentPor-Equ Factor Movements'!I238)/100)+103/POWER(1+('CurrentPor-Equ Factor Movements'!D238+'CurrentPor-Equ Factor Movements'!I238)/100,2))*100</f>
        <v>9581.4547115644182</v>
      </c>
      <c r="F238">
        <f>Portfolio!B$5*'CurrentPor-Equ Factor Movements'!E238</f>
        <v>52087.702178151536</v>
      </c>
      <c r="G238">
        <f>Portfolio!B$6*'CurrentPor-Equ Factor Movements'!F238</f>
        <v>3565.7267305973219</v>
      </c>
      <c r="H238">
        <f>Portfolio!B$7*'CurrentPor-Equ Factor Movements'!J238</f>
        <v>2148.0998964419859</v>
      </c>
      <c r="I238">
        <f t="shared" si="6"/>
        <v>96306.776208244744</v>
      </c>
      <c r="J238">
        <f t="shared" si="7"/>
        <v>672.64474335136765</v>
      </c>
    </row>
    <row r="239" spans="1:10">
      <c r="A239" s="1">
        <v>45804</v>
      </c>
      <c r="B239">
        <f>(3/(1+('CurrentPor-Equ Factor Movements'!C239)/100)+103/POWER(1+('CurrentPor-Equ Factor Movements'!D239)/100,2))*100</f>
        <v>9707.5857774288397</v>
      </c>
      <c r="C239">
        <f>(3/(1+('CurrentPor-Equ Factor Movements'!C239+'CurrentPor-Equ Factor Movements'!G239)/100)+103/POWER(1+('CurrentPor-Equ Factor Movements'!D239+'CurrentPor-Equ Factor Movements'!G239)/100,2))*100</f>
        <v>9614.9673582483465</v>
      </c>
      <c r="D239">
        <f>(3/(1+('CurrentPor-Equ Factor Movements'!C239+'CurrentPor-Equ Factor Movements'!H239)/100)+103/POWER(1+('CurrentPor-Equ Factor Movements'!D239+'CurrentPor-Equ Factor Movements'!H239)/100,2))*100</f>
        <v>9601.2395558122898</v>
      </c>
      <c r="E239">
        <f>(3/(1+('CurrentPor-Equ Factor Movements'!C239+'CurrentPor-Equ Factor Movements'!I239)/100)+103/POWER(1+('CurrentPor-Equ Factor Movements'!D239+'CurrentPor-Equ Factor Movements'!I239)/100,2))*100</f>
        <v>9581.4547115644182</v>
      </c>
      <c r="F239">
        <f>Portfolio!B$5*'CurrentPor-Equ Factor Movements'!E239</f>
        <v>52487.627920148181</v>
      </c>
      <c r="G239">
        <f>Portfolio!B$6*'CurrentPor-Equ Factor Movements'!F239</f>
        <v>3748.0584525308823</v>
      </c>
      <c r="H239">
        <f>Portfolio!B$7*'CurrentPor-Equ Factor Movements'!J239</f>
        <v>2148.0998964419859</v>
      </c>
      <c r="I239">
        <f t="shared" si="6"/>
        <v>96889.033672174948</v>
      </c>
      <c r="J239">
        <f t="shared" si="7"/>
        <v>-259.73225831432501</v>
      </c>
    </row>
    <row r="240" spans="1:10">
      <c r="A240" s="1">
        <v>45805</v>
      </c>
      <c r="B240">
        <f>(3/(1+('CurrentPor-Equ Factor Movements'!C240)/100)+103/POWER(1+('CurrentPor-Equ Factor Movements'!D240)/100,2))*100</f>
        <v>9707.5857774288397</v>
      </c>
      <c r="C240">
        <f>(3/(1+('CurrentPor-Equ Factor Movements'!C240+'CurrentPor-Equ Factor Movements'!G240)/100)+103/POWER(1+('CurrentPor-Equ Factor Movements'!D240+'CurrentPor-Equ Factor Movements'!G240)/100,2))*100</f>
        <v>9614.9673582483465</v>
      </c>
      <c r="D240">
        <f>(3/(1+('CurrentPor-Equ Factor Movements'!C240+'CurrentPor-Equ Factor Movements'!H240)/100)+103/POWER(1+('CurrentPor-Equ Factor Movements'!D240+'CurrentPor-Equ Factor Movements'!H240)/100,2))*100</f>
        <v>9601.2395558122898</v>
      </c>
      <c r="E240">
        <f>(3/(1+('CurrentPor-Equ Factor Movements'!C240+'CurrentPor-Equ Factor Movements'!I240)/100)+103/POWER(1+('CurrentPor-Equ Factor Movements'!D240+'CurrentPor-Equ Factor Movements'!I240)/100,2))*100</f>
        <v>9581.4547115644182</v>
      </c>
      <c r="F240">
        <f>Portfolio!B$5*'CurrentPor-Equ Factor Movements'!E240</f>
        <v>50961.649928550869</v>
      </c>
      <c r="G240">
        <f>Portfolio!B$6*'CurrentPor-Equ Factor Movements'!F240</f>
        <v>3386.6611355859836</v>
      </c>
      <c r="H240">
        <f>Portfolio!B$7*'CurrentPor-Equ Factor Movements'!J240</f>
        <v>2148.0998964419859</v>
      </c>
      <c r="I240">
        <f t="shared" si="6"/>
        <v>95001.658363632727</v>
      </c>
      <c r="J240">
        <f t="shared" si="7"/>
        <v>-1895.6292664492503</v>
      </c>
    </row>
    <row r="241" spans="1:10">
      <c r="A241" s="1">
        <v>45806</v>
      </c>
      <c r="B241">
        <f>(3/(1+('CurrentPor-Equ Factor Movements'!C241)/100)+103/POWER(1+('CurrentPor-Equ Factor Movements'!D241)/100,2))*100</f>
        <v>9707.5857774288397</v>
      </c>
      <c r="C241">
        <f>(3/(1+('CurrentPor-Equ Factor Movements'!C241+'CurrentPor-Equ Factor Movements'!G241)/100)+103/POWER(1+('CurrentPor-Equ Factor Movements'!D241+'CurrentPor-Equ Factor Movements'!G241)/100,2))*100</f>
        <v>9614.9673582483465</v>
      </c>
      <c r="D241">
        <f>(3/(1+('CurrentPor-Equ Factor Movements'!C241+'CurrentPor-Equ Factor Movements'!H241)/100)+103/POWER(1+('CurrentPor-Equ Factor Movements'!D241+'CurrentPor-Equ Factor Movements'!H241)/100,2))*100</f>
        <v>9601.2395558122898</v>
      </c>
      <c r="E241">
        <f>(3/(1+('CurrentPor-Equ Factor Movements'!C241+'CurrentPor-Equ Factor Movements'!I241)/100)+103/POWER(1+('CurrentPor-Equ Factor Movements'!D241+'CurrentPor-Equ Factor Movements'!I241)/100,2))*100</f>
        <v>9581.4547115644182</v>
      </c>
      <c r="F241">
        <f>Portfolio!B$5*'CurrentPor-Equ Factor Movements'!E241</f>
        <v>53577.976508236236</v>
      </c>
      <c r="G241">
        <f>Portfolio!B$6*'CurrentPor-Equ Factor Movements'!F241</f>
        <v>3368.9848371381368</v>
      </c>
      <c r="H241">
        <f>Portfolio!B$7*'CurrentPor-Equ Factor Movements'!J241</f>
        <v>2148.0998964419859</v>
      </c>
      <c r="I241">
        <f t="shared" si="6"/>
        <v>97600.308644870252</v>
      </c>
      <c r="J241">
        <f t="shared" si="7"/>
        <v>1457.8455572504317</v>
      </c>
    </row>
    <row r="242" spans="1:10">
      <c r="A242" s="1">
        <v>45807</v>
      </c>
      <c r="B242">
        <f>(3/(1+('CurrentPor-Equ Factor Movements'!C242)/100)+103/POWER(1+('CurrentPor-Equ Factor Movements'!D242)/100,2))*100</f>
        <v>9707.5857774288397</v>
      </c>
      <c r="C242">
        <f>(3/(1+('CurrentPor-Equ Factor Movements'!C242+'CurrentPor-Equ Factor Movements'!G242)/100)+103/POWER(1+('CurrentPor-Equ Factor Movements'!D242+'CurrentPor-Equ Factor Movements'!G242)/100,2))*100</f>
        <v>9614.9673582483465</v>
      </c>
      <c r="D242">
        <f>(3/(1+('CurrentPor-Equ Factor Movements'!C242+'CurrentPor-Equ Factor Movements'!H242)/100)+103/POWER(1+('CurrentPor-Equ Factor Movements'!D242+'CurrentPor-Equ Factor Movements'!H242)/100,2))*100</f>
        <v>9601.2395558122898</v>
      </c>
      <c r="E242">
        <f>(3/(1+('CurrentPor-Equ Factor Movements'!C242+'CurrentPor-Equ Factor Movements'!I242)/100)+103/POWER(1+('CurrentPor-Equ Factor Movements'!D242+'CurrentPor-Equ Factor Movements'!I242)/100,2))*100</f>
        <v>9581.4547115644182</v>
      </c>
      <c r="F242">
        <f>Portfolio!B$5*'CurrentPor-Equ Factor Movements'!E242</f>
        <v>52618.917830537546</v>
      </c>
      <c r="G242">
        <f>Portfolio!B$6*'CurrentPor-Equ Factor Movements'!F242</f>
        <v>3585.2255124951171</v>
      </c>
      <c r="H242">
        <f>Portfolio!B$7*'CurrentPor-Equ Factor Movements'!J242</f>
        <v>2148.0998964419859</v>
      </c>
      <c r="I242">
        <f t="shared" si="6"/>
        <v>96857.490642528544</v>
      </c>
      <c r="J242">
        <f t="shared" si="7"/>
        <v>-719.90858240854868</v>
      </c>
    </row>
    <row r="243" spans="1:10">
      <c r="A243" s="1">
        <v>45810</v>
      </c>
      <c r="B243">
        <f>(3/(1+('CurrentPor-Equ Factor Movements'!C243)/100)+103/POWER(1+('CurrentPor-Equ Factor Movements'!D243)/100,2))*100</f>
        <v>9707.5857774288397</v>
      </c>
      <c r="C243">
        <f>(3/(1+('CurrentPor-Equ Factor Movements'!C243+'CurrentPor-Equ Factor Movements'!G243)/100)+103/POWER(1+('CurrentPor-Equ Factor Movements'!D243+'CurrentPor-Equ Factor Movements'!G243)/100,2))*100</f>
        <v>9614.9673582483465</v>
      </c>
      <c r="D243">
        <f>(3/(1+('CurrentPor-Equ Factor Movements'!C243+'CurrentPor-Equ Factor Movements'!H243)/100)+103/POWER(1+('CurrentPor-Equ Factor Movements'!D243+'CurrentPor-Equ Factor Movements'!H243)/100,2))*100</f>
        <v>9601.2395558122898</v>
      </c>
      <c r="E243">
        <f>(3/(1+('CurrentPor-Equ Factor Movements'!C243+'CurrentPor-Equ Factor Movements'!I243)/100)+103/POWER(1+('CurrentPor-Equ Factor Movements'!D243+'CurrentPor-Equ Factor Movements'!I243)/100,2))*100</f>
        <v>9581.4547115644182</v>
      </c>
      <c r="F243">
        <f>Portfolio!B$5*'CurrentPor-Equ Factor Movements'!E243</f>
        <v>52077.320588875933</v>
      </c>
      <c r="G243">
        <f>Portfolio!B$6*'CurrentPor-Equ Factor Movements'!F243</f>
        <v>3355.1001444953995</v>
      </c>
      <c r="H243">
        <f>Portfolio!B$7*'CurrentPor-Equ Factor Movements'!J243</f>
        <v>2148.0998964419859</v>
      </c>
      <c r="I243">
        <f t="shared" si="6"/>
        <v>96085.768032867214</v>
      </c>
      <c r="J243">
        <f t="shared" si="7"/>
        <v>706.65939277710277</v>
      </c>
    </row>
    <row r="244" spans="1:10">
      <c r="A244" s="1">
        <v>45811</v>
      </c>
      <c r="B244">
        <f>(3/(1+('CurrentPor-Equ Factor Movements'!C244)/100)+103/POWER(1+('CurrentPor-Equ Factor Movements'!D244)/100,2))*100</f>
        <v>9707.5857774288397</v>
      </c>
      <c r="C244">
        <f>(3/(1+('CurrentPor-Equ Factor Movements'!C244+'CurrentPor-Equ Factor Movements'!G244)/100)+103/POWER(1+('CurrentPor-Equ Factor Movements'!D244+'CurrentPor-Equ Factor Movements'!G244)/100,2))*100</f>
        <v>9614.9673582483465</v>
      </c>
      <c r="D244">
        <f>(3/(1+('CurrentPor-Equ Factor Movements'!C244+'CurrentPor-Equ Factor Movements'!H244)/100)+103/POWER(1+('CurrentPor-Equ Factor Movements'!D244+'CurrentPor-Equ Factor Movements'!H244)/100,2))*100</f>
        <v>9601.2395558122898</v>
      </c>
      <c r="E244">
        <f>(3/(1+('CurrentPor-Equ Factor Movements'!C244+'CurrentPor-Equ Factor Movements'!I244)/100)+103/POWER(1+('CurrentPor-Equ Factor Movements'!D244+'CurrentPor-Equ Factor Movements'!I244)/100,2))*100</f>
        <v>9581.4547115644182</v>
      </c>
      <c r="F244">
        <f>Portfolio!B$5*'CurrentPor-Equ Factor Movements'!E244</f>
        <v>51337.31011506699</v>
      </c>
      <c r="G244">
        <f>Portfolio!B$6*'CurrentPor-Equ Factor Movements'!F244</f>
        <v>3776.2227167409706</v>
      </c>
      <c r="H244">
        <f>Portfolio!B$7*'CurrentPor-Equ Factor Movements'!J244</f>
        <v>2148.0998964419859</v>
      </c>
      <c r="I244">
        <f t="shared" si="6"/>
        <v>95766.880131303842</v>
      </c>
      <c r="J244">
        <f t="shared" si="7"/>
        <v>-507.96449874591781</v>
      </c>
    </row>
    <row r="245" spans="1:10">
      <c r="A245" s="1">
        <v>45812</v>
      </c>
      <c r="B245">
        <f>(3/(1+('CurrentPor-Equ Factor Movements'!C245)/100)+103/POWER(1+('CurrentPor-Equ Factor Movements'!D245)/100,2))*100</f>
        <v>9707.5857774288397</v>
      </c>
      <c r="C245">
        <f>(3/(1+('CurrentPor-Equ Factor Movements'!C245+'CurrentPor-Equ Factor Movements'!G245)/100)+103/POWER(1+('CurrentPor-Equ Factor Movements'!D245+'CurrentPor-Equ Factor Movements'!G245)/100,2))*100</f>
        <v>9614.9673582483465</v>
      </c>
      <c r="D245">
        <f>(3/(1+('CurrentPor-Equ Factor Movements'!C245+'CurrentPor-Equ Factor Movements'!H245)/100)+103/POWER(1+('CurrentPor-Equ Factor Movements'!D245+'CurrentPor-Equ Factor Movements'!H245)/100,2))*100</f>
        <v>9601.2395558122898</v>
      </c>
      <c r="E245">
        <f>(3/(1+('CurrentPor-Equ Factor Movements'!C245+'CurrentPor-Equ Factor Movements'!I245)/100)+103/POWER(1+('CurrentPor-Equ Factor Movements'!D245+'CurrentPor-Equ Factor Movements'!I245)/100,2))*100</f>
        <v>9581.4547115644182</v>
      </c>
      <c r="F245">
        <f>Portfolio!B$5*'CurrentPor-Equ Factor Movements'!E245</f>
        <v>51900.452355689085</v>
      </c>
      <c r="G245">
        <f>Portfolio!B$6*'CurrentPor-Equ Factor Movements'!F245</f>
        <v>3564.2670504517605</v>
      </c>
      <c r="H245">
        <f>Portfolio!B$7*'CurrentPor-Equ Factor Movements'!J245</f>
        <v>2148.0998964419859</v>
      </c>
      <c r="I245">
        <f t="shared" si="6"/>
        <v>96118.066705636724</v>
      </c>
      <c r="J245">
        <f t="shared" si="7"/>
        <v>-1936.9329001451842</v>
      </c>
    </row>
    <row r="246" spans="1:10">
      <c r="A246" s="1">
        <v>45813</v>
      </c>
      <c r="B246">
        <f>(3/(1+('CurrentPor-Equ Factor Movements'!C246)/100)+103/POWER(1+('CurrentPor-Equ Factor Movements'!D246)/100,2))*100</f>
        <v>9707.5857774288397</v>
      </c>
      <c r="C246">
        <f>(3/(1+('CurrentPor-Equ Factor Movements'!C246+'CurrentPor-Equ Factor Movements'!G246)/100)+103/POWER(1+('CurrentPor-Equ Factor Movements'!D246+'CurrentPor-Equ Factor Movements'!G246)/100,2))*100</f>
        <v>9614.9673582483465</v>
      </c>
      <c r="D246">
        <f>(3/(1+('CurrentPor-Equ Factor Movements'!C246+'CurrentPor-Equ Factor Movements'!H246)/100)+103/POWER(1+('CurrentPor-Equ Factor Movements'!D246+'CurrentPor-Equ Factor Movements'!H246)/100,2))*100</f>
        <v>9601.2395558122898</v>
      </c>
      <c r="E246">
        <f>(3/(1+('CurrentPor-Equ Factor Movements'!C246+'CurrentPor-Equ Factor Movements'!I246)/100)+103/POWER(1+('CurrentPor-Equ Factor Movements'!D246+'CurrentPor-Equ Factor Movements'!I246)/100,2))*100</f>
        <v>9581.4547115644182</v>
      </c>
      <c r="F246">
        <f>Portfolio!B$5*'CurrentPor-Equ Factor Movements'!E246</f>
        <v>52437.954965039557</v>
      </c>
      <c r="G246">
        <f>Portfolio!B$6*'CurrentPor-Equ Factor Movements'!F246</f>
        <v>3409.0201636989591</v>
      </c>
      <c r="H246">
        <f>Portfolio!B$7*'CurrentPor-Equ Factor Movements'!J246</f>
        <v>2148.0998964419859</v>
      </c>
      <c r="I246">
        <f t="shared" si="6"/>
        <v>96500.322428234402</v>
      </c>
      <c r="J246">
        <f t="shared" si="7"/>
        <v>-959.46617603673076</v>
      </c>
    </row>
    <row r="247" spans="1:10">
      <c r="A247" s="1">
        <v>45814</v>
      </c>
      <c r="B247">
        <f>(3/(1+('CurrentPor-Equ Factor Movements'!C247)/100)+103/POWER(1+('CurrentPor-Equ Factor Movements'!D247)/100,2))*100</f>
        <v>9707.5857774288397</v>
      </c>
      <c r="C247">
        <f>(3/(1+('CurrentPor-Equ Factor Movements'!C247+'CurrentPor-Equ Factor Movements'!G247)/100)+103/POWER(1+('CurrentPor-Equ Factor Movements'!D247+'CurrentPor-Equ Factor Movements'!G247)/100,2))*100</f>
        <v>9614.9673582483465</v>
      </c>
      <c r="D247">
        <f>(3/(1+('CurrentPor-Equ Factor Movements'!C247+'CurrentPor-Equ Factor Movements'!H247)/100)+103/POWER(1+('CurrentPor-Equ Factor Movements'!D247+'CurrentPor-Equ Factor Movements'!H247)/100,2))*100</f>
        <v>9601.2395558122898</v>
      </c>
      <c r="E247">
        <f>(3/(1+('CurrentPor-Equ Factor Movements'!C247+'CurrentPor-Equ Factor Movements'!I247)/100)+103/POWER(1+('CurrentPor-Equ Factor Movements'!D247+'CurrentPor-Equ Factor Movements'!I247)/100,2))*100</f>
        <v>9581.4547115644182</v>
      </c>
      <c r="F247">
        <f>Portfolio!B$5*'CurrentPor-Equ Factor Movements'!E247</f>
        <v>52724.277687075868</v>
      </c>
      <c r="G247">
        <f>Portfolio!B$6*'CurrentPor-Equ Factor Movements'!F247</f>
        <v>3442.6791358723244</v>
      </c>
      <c r="H247">
        <f>Portfolio!B$7*'CurrentPor-Equ Factor Movements'!J247</f>
        <v>2148.0998964419859</v>
      </c>
      <c r="I247">
        <f t="shared" si="6"/>
        <v>96820.304122444068</v>
      </c>
      <c r="J247">
        <f t="shared" si="7"/>
        <v>2080.6712874559016</v>
      </c>
    </row>
    <row r="248" spans="1:10">
      <c r="A248" s="1">
        <v>45817</v>
      </c>
      <c r="B248">
        <f>(3/(1+('CurrentPor-Equ Factor Movements'!C248)/100)+103/POWER(1+('CurrentPor-Equ Factor Movements'!D248)/100,2))*100</f>
        <v>9707.5857774288397</v>
      </c>
      <c r="C248">
        <f>(3/(1+('CurrentPor-Equ Factor Movements'!C248+'CurrentPor-Equ Factor Movements'!G248)/100)+103/POWER(1+('CurrentPor-Equ Factor Movements'!D248+'CurrentPor-Equ Factor Movements'!G248)/100,2))*100</f>
        <v>9614.9673582483465</v>
      </c>
      <c r="D248">
        <f>(3/(1+('CurrentPor-Equ Factor Movements'!C248+'CurrentPor-Equ Factor Movements'!H248)/100)+103/POWER(1+('CurrentPor-Equ Factor Movements'!D248+'CurrentPor-Equ Factor Movements'!H248)/100,2))*100</f>
        <v>9601.2395558122898</v>
      </c>
      <c r="E248">
        <f>(3/(1+('CurrentPor-Equ Factor Movements'!C248+'CurrentPor-Equ Factor Movements'!I248)/100)+103/POWER(1+('CurrentPor-Equ Factor Movements'!D248+'CurrentPor-Equ Factor Movements'!I248)/100,2))*100</f>
        <v>9581.4547115644182</v>
      </c>
      <c r="F248">
        <f>Portfolio!B$5*'CurrentPor-Equ Factor Movements'!E248</f>
        <v>50615.451840392067</v>
      </c>
      <c r="G248">
        <f>Portfolio!B$6*'CurrentPor-Equ Factor Movements'!F248</f>
        <v>3645.4221946500361</v>
      </c>
      <c r="H248">
        <f>Portfolio!B$7*'CurrentPor-Equ Factor Movements'!J248</f>
        <v>2148.0998964419859</v>
      </c>
      <c r="I248">
        <f t="shared" si="6"/>
        <v>94914.221334537986</v>
      </c>
      <c r="J248">
        <f t="shared" si="7"/>
        <v>-1392.5548737067584</v>
      </c>
    </row>
    <row r="249" spans="1:10">
      <c r="A249" s="1">
        <v>45818</v>
      </c>
      <c r="B249">
        <f>(3/(1+('CurrentPor-Equ Factor Movements'!C249)/100)+103/POWER(1+('CurrentPor-Equ Factor Movements'!D249)/100,2))*100</f>
        <v>9707.5857774288397</v>
      </c>
      <c r="C249">
        <f>(3/(1+('CurrentPor-Equ Factor Movements'!C249+'CurrentPor-Equ Factor Movements'!G249)/100)+103/POWER(1+('CurrentPor-Equ Factor Movements'!D249+'CurrentPor-Equ Factor Movements'!G249)/100,2))*100</f>
        <v>9614.9673582483465</v>
      </c>
      <c r="D249">
        <f>(3/(1+('CurrentPor-Equ Factor Movements'!C249+'CurrentPor-Equ Factor Movements'!H249)/100)+103/POWER(1+('CurrentPor-Equ Factor Movements'!D249+'CurrentPor-Equ Factor Movements'!H249)/100,2))*100</f>
        <v>9601.2395558122898</v>
      </c>
      <c r="E249">
        <f>(3/(1+('CurrentPor-Equ Factor Movements'!C249+'CurrentPor-Equ Factor Movements'!I249)/100)+103/POWER(1+('CurrentPor-Equ Factor Movements'!D249+'CurrentPor-Equ Factor Movements'!I249)/100,2))*100</f>
        <v>9581.4547115644182</v>
      </c>
      <c r="F249">
        <f>Portfolio!B$5*'CurrentPor-Equ Factor Movements'!E249</f>
        <v>50840.001166109447</v>
      </c>
      <c r="G249">
        <f>Portfolio!B$6*'CurrentPor-Equ Factor Movements'!F249</f>
        <v>3664.7119332857224</v>
      </c>
      <c r="H249">
        <f>Portfolio!B$7*'CurrentPor-Equ Factor Movements'!J249</f>
        <v>2148.0998964419859</v>
      </c>
      <c r="I249">
        <f t="shared" si="6"/>
        <v>95158.060398891059</v>
      </c>
      <c r="J249">
        <f t="shared" si="7"/>
        <v>-1730.9732732838893</v>
      </c>
    </row>
    <row r="250" spans="1:10">
      <c r="A250" s="1">
        <v>45819</v>
      </c>
      <c r="B250">
        <f>(3/(1+('CurrentPor-Equ Factor Movements'!C250)/100)+103/POWER(1+('CurrentPor-Equ Factor Movements'!D250)/100,2))*100</f>
        <v>9707.5857774288397</v>
      </c>
      <c r="C250">
        <f>(3/(1+('CurrentPor-Equ Factor Movements'!C250+'CurrentPor-Equ Factor Movements'!G250)/100)+103/POWER(1+('CurrentPor-Equ Factor Movements'!D250+'CurrentPor-Equ Factor Movements'!G250)/100,2))*100</f>
        <v>9614.9673582483465</v>
      </c>
      <c r="D250">
        <f>(3/(1+('CurrentPor-Equ Factor Movements'!C250+'CurrentPor-Equ Factor Movements'!H250)/100)+103/POWER(1+('CurrentPor-Equ Factor Movements'!D250+'CurrentPor-Equ Factor Movements'!H250)/100,2))*100</f>
        <v>9601.2395558122898</v>
      </c>
      <c r="E250">
        <f>(3/(1+('CurrentPor-Equ Factor Movements'!C250+'CurrentPor-Equ Factor Movements'!I250)/100)+103/POWER(1+('CurrentPor-Equ Factor Movements'!D250+'CurrentPor-Equ Factor Movements'!I250)/100,2))*100</f>
        <v>9581.4547115644182</v>
      </c>
      <c r="F250">
        <f>Portfolio!B$5*'CurrentPor-Equ Factor Movements'!E250</f>
        <v>51676.87050565581</v>
      </c>
      <c r="G250">
        <f>Portfolio!B$6*'CurrentPor-Equ Factor Movements'!F250</f>
        <v>3403.4026625362239</v>
      </c>
      <c r="H250">
        <f>Portfolio!B$7*'CurrentPor-Equ Factor Movements'!J250</f>
        <v>2148.0998964419859</v>
      </c>
      <c r="I250">
        <f t="shared" si="6"/>
        <v>95733.620467687913</v>
      </c>
      <c r="J250">
        <f t="shared" si="7"/>
        <v>731.9621040551865</v>
      </c>
    </row>
    <row r="251" spans="1:10">
      <c r="A251" s="1">
        <v>45820</v>
      </c>
      <c r="B251">
        <f>(3/(1+('CurrentPor-Equ Factor Movements'!C251)/100)+103/POWER(1+('CurrentPor-Equ Factor Movements'!D251)/100,2))*100</f>
        <v>9707.5857774288397</v>
      </c>
      <c r="C251">
        <f>(3/(1+('CurrentPor-Equ Factor Movements'!C251+'CurrentPor-Equ Factor Movements'!G251)/100)+103/POWER(1+('CurrentPor-Equ Factor Movements'!D251+'CurrentPor-Equ Factor Movements'!G251)/100,2))*100</f>
        <v>9614.9673582483465</v>
      </c>
      <c r="D251">
        <f>(3/(1+('CurrentPor-Equ Factor Movements'!C251+'CurrentPor-Equ Factor Movements'!H251)/100)+103/POWER(1+('CurrentPor-Equ Factor Movements'!D251+'CurrentPor-Equ Factor Movements'!H251)/100,2))*100</f>
        <v>9601.2395558122898</v>
      </c>
      <c r="E251">
        <f>(3/(1+('CurrentPor-Equ Factor Movements'!C251+'CurrentPor-Equ Factor Movements'!I251)/100)+103/POWER(1+('CurrentPor-Equ Factor Movements'!D251+'CurrentPor-Equ Factor Movements'!I251)/100,2))*100</f>
        <v>9581.4547115644182</v>
      </c>
      <c r="F251">
        <f>Portfolio!B$5*'CurrentPor-Equ Factor Movements'!E251</f>
        <v>54137.463763131185</v>
      </c>
      <c r="G251">
        <f>Portfolio!B$6*'CurrentPor-Equ Factor Movements'!F251</f>
        <v>3542.2873228499357</v>
      </c>
      <c r="H251">
        <f>Portfolio!B$7*'CurrentPor-Equ Factor Movements'!J251</f>
        <v>2148.0998964419859</v>
      </c>
      <c r="I251">
        <f t="shared" si="6"/>
        <v>98333.098385477002</v>
      </c>
      <c r="J251">
        <f t="shared" si="7"/>
        <v>732.78974060674955</v>
      </c>
    </row>
    <row r="252" spans="1:10">
      <c r="A252" s="1">
        <v>45821</v>
      </c>
      <c r="B252">
        <f>(3/(1+('CurrentPor-Equ Factor Movements'!C252)/100)+103/POWER(1+('CurrentPor-Equ Factor Movements'!D252)/100,2))*100</f>
        <v>9707.5857774288397</v>
      </c>
      <c r="C252">
        <f>(3/(1+('CurrentPor-Equ Factor Movements'!C252+'CurrentPor-Equ Factor Movements'!G252)/100)+103/POWER(1+('CurrentPor-Equ Factor Movements'!D252+'CurrentPor-Equ Factor Movements'!G252)/100,2))*100</f>
        <v>9614.9673582483465</v>
      </c>
      <c r="D252">
        <f>(3/(1+('CurrentPor-Equ Factor Movements'!C252+'CurrentPor-Equ Factor Movements'!H252)/100)+103/POWER(1+('CurrentPor-Equ Factor Movements'!D252+'CurrentPor-Equ Factor Movements'!H252)/100,2))*100</f>
        <v>9601.2395558122898</v>
      </c>
      <c r="E252">
        <f>(3/(1+('CurrentPor-Equ Factor Movements'!C252+'CurrentPor-Equ Factor Movements'!I252)/100)+103/POWER(1+('CurrentPor-Equ Factor Movements'!D252+'CurrentPor-Equ Factor Movements'!I252)/100,2))*100</f>
        <v>9581.4547115644182</v>
      </c>
      <c r="F252">
        <f>Portfolio!B$5*'CurrentPor-Equ Factor Movements'!E252</f>
        <v>52374.89262061871</v>
      </c>
      <c r="G252">
        <f>Portfolio!B$6*'CurrentPor-Equ Factor Movements'!F252</f>
        <v>3546.1425622630286</v>
      </c>
      <c r="H252">
        <f>Portfolio!B$7*'CurrentPor-Equ Factor Movements'!J252</f>
        <v>2148.0998964419859</v>
      </c>
      <c r="I252">
        <f t="shared" ref="I252:I263" si="8">SUM(B252:H252)</f>
        <v>96574.382482377623</v>
      </c>
      <c r="J252">
        <f t="shared" ref="J252:J263" si="9">I252-I242</f>
        <v>-283.10816015092132</v>
      </c>
    </row>
    <row r="253" spans="1:10">
      <c r="A253" s="1">
        <v>45824</v>
      </c>
      <c r="B253">
        <f>(3/(1+('CurrentPor-Equ Factor Movements'!C253)/100)+103/POWER(1+('CurrentPor-Equ Factor Movements'!D253)/100,2))*100</f>
        <v>9707.5857774288397</v>
      </c>
      <c r="C253">
        <f>(3/(1+('CurrentPor-Equ Factor Movements'!C253+'CurrentPor-Equ Factor Movements'!G253)/100)+103/POWER(1+('CurrentPor-Equ Factor Movements'!D253+'CurrentPor-Equ Factor Movements'!G253)/100,2))*100</f>
        <v>9614.9673582483465</v>
      </c>
      <c r="D253">
        <f>(3/(1+('CurrentPor-Equ Factor Movements'!C253+'CurrentPor-Equ Factor Movements'!H253)/100)+103/POWER(1+('CurrentPor-Equ Factor Movements'!D253+'CurrentPor-Equ Factor Movements'!H253)/100,2))*100</f>
        <v>9601.2395558122898</v>
      </c>
      <c r="E253">
        <f>(3/(1+('CurrentPor-Equ Factor Movements'!C253+'CurrentPor-Equ Factor Movements'!I253)/100)+103/POWER(1+('CurrentPor-Equ Factor Movements'!D253+'CurrentPor-Equ Factor Movements'!I253)/100,2))*100</f>
        <v>9581.4547115644182</v>
      </c>
      <c r="F253">
        <f>Portfolio!B$5*'CurrentPor-Equ Factor Movements'!E253</f>
        <v>52602.622347384648</v>
      </c>
      <c r="G253">
        <f>Portfolio!B$6*'CurrentPor-Equ Factor Movements'!F253</f>
        <v>3217.6457104334963</v>
      </c>
      <c r="H253">
        <f>Portfolio!B$7*'CurrentPor-Equ Factor Movements'!J253</f>
        <v>2148.0998964419859</v>
      </c>
      <c r="I253">
        <f t="shared" si="8"/>
        <v>96473.615357314033</v>
      </c>
      <c r="J253">
        <f t="shared" si="9"/>
        <v>387.84732444681867</v>
      </c>
    </row>
    <row r="254" spans="1:10">
      <c r="A254" s="1">
        <v>45825</v>
      </c>
      <c r="B254">
        <f>(3/(1+('CurrentPor-Equ Factor Movements'!C254)/100)+103/POWER(1+('CurrentPor-Equ Factor Movements'!D254)/100,2))*100</f>
        <v>9707.5857774288397</v>
      </c>
      <c r="C254">
        <f>(3/(1+('CurrentPor-Equ Factor Movements'!C254+'CurrentPor-Equ Factor Movements'!G254)/100)+103/POWER(1+('CurrentPor-Equ Factor Movements'!D254+'CurrentPor-Equ Factor Movements'!G254)/100,2))*100</f>
        <v>9614.9673582483465</v>
      </c>
      <c r="D254">
        <f>(3/(1+('CurrentPor-Equ Factor Movements'!C254+'CurrentPor-Equ Factor Movements'!H254)/100)+103/POWER(1+('CurrentPor-Equ Factor Movements'!D254+'CurrentPor-Equ Factor Movements'!H254)/100,2))*100</f>
        <v>9601.2395558122898</v>
      </c>
      <c r="E254">
        <f>(3/(1+('CurrentPor-Equ Factor Movements'!C254+'CurrentPor-Equ Factor Movements'!I254)/100)+103/POWER(1+('CurrentPor-Equ Factor Movements'!D254+'CurrentPor-Equ Factor Movements'!I254)/100,2))*100</f>
        <v>9581.4547115644182</v>
      </c>
      <c r="F254">
        <f>Portfolio!B$5*'CurrentPor-Equ Factor Movements'!E254</f>
        <v>50261.992570595125</v>
      </c>
      <c r="G254">
        <f>Portfolio!B$6*'CurrentPor-Equ Factor Movements'!F254</f>
        <v>3676.6152659619793</v>
      </c>
      <c r="H254">
        <f>Portfolio!B$7*'CurrentPor-Equ Factor Movements'!J254</f>
        <v>2148.0998964419859</v>
      </c>
      <c r="I254">
        <f t="shared" si="8"/>
        <v>94591.955136052988</v>
      </c>
      <c r="J254">
        <f t="shared" si="9"/>
        <v>-1174.9249952508544</v>
      </c>
    </row>
    <row r="255" spans="1:10">
      <c r="A255" s="1">
        <v>45826</v>
      </c>
      <c r="B255">
        <f>(3/(1+('CurrentPor-Equ Factor Movements'!C255)/100)+103/POWER(1+('CurrentPor-Equ Factor Movements'!D255)/100,2))*100</f>
        <v>9707.5857774288397</v>
      </c>
      <c r="C255">
        <f>(3/(1+('CurrentPor-Equ Factor Movements'!C255+'CurrentPor-Equ Factor Movements'!G255)/100)+103/POWER(1+('CurrentPor-Equ Factor Movements'!D255+'CurrentPor-Equ Factor Movements'!G255)/100,2))*100</f>
        <v>9614.9673582483465</v>
      </c>
      <c r="D255">
        <f>(3/(1+('CurrentPor-Equ Factor Movements'!C255+'CurrentPor-Equ Factor Movements'!H255)/100)+103/POWER(1+('CurrentPor-Equ Factor Movements'!D255+'CurrentPor-Equ Factor Movements'!H255)/100,2))*100</f>
        <v>9601.2395558122898</v>
      </c>
      <c r="E255">
        <f>(3/(1+('CurrentPor-Equ Factor Movements'!C255+'CurrentPor-Equ Factor Movements'!I255)/100)+103/POWER(1+('CurrentPor-Equ Factor Movements'!D255+'CurrentPor-Equ Factor Movements'!I255)/100,2))*100</f>
        <v>9581.4547115644182</v>
      </c>
      <c r="F255">
        <f>Portfolio!B$5*'CurrentPor-Equ Factor Movements'!E255</f>
        <v>52938.209962628593</v>
      </c>
      <c r="G255">
        <f>Portfolio!B$6*'CurrentPor-Equ Factor Movements'!F255</f>
        <v>3485.0554946667294</v>
      </c>
      <c r="H255">
        <f>Portfolio!B$7*'CurrentPor-Equ Factor Movements'!J255</f>
        <v>2148.0998964419859</v>
      </c>
      <c r="I255">
        <f t="shared" si="8"/>
        <v>97076.612756791204</v>
      </c>
      <c r="J255">
        <f t="shared" si="9"/>
        <v>958.54605115448066</v>
      </c>
    </row>
    <row r="256" spans="1:10">
      <c r="A256" s="1">
        <v>45827</v>
      </c>
      <c r="B256">
        <f>(3/(1+('CurrentPor-Equ Factor Movements'!C256)/100)+103/POWER(1+('CurrentPor-Equ Factor Movements'!D256)/100,2))*100</f>
        <v>9707.5857774288397</v>
      </c>
      <c r="C256">
        <f>(3/(1+('CurrentPor-Equ Factor Movements'!C256+'CurrentPor-Equ Factor Movements'!G256)/100)+103/POWER(1+('CurrentPor-Equ Factor Movements'!D256+'CurrentPor-Equ Factor Movements'!G256)/100,2))*100</f>
        <v>9614.9673582483465</v>
      </c>
      <c r="D256">
        <f>(3/(1+('CurrentPor-Equ Factor Movements'!C256+'CurrentPor-Equ Factor Movements'!H256)/100)+103/POWER(1+('CurrentPor-Equ Factor Movements'!D256+'CurrentPor-Equ Factor Movements'!H256)/100,2))*100</f>
        <v>9601.2395558122898</v>
      </c>
      <c r="E256">
        <f>(3/(1+('CurrentPor-Equ Factor Movements'!C256+'CurrentPor-Equ Factor Movements'!I256)/100)+103/POWER(1+('CurrentPor-Equ Factor Movements'!D256+'CurrentPor-Equ Factor Movements'!I256)/100,2))*100</f>
        <v>9581.4547115644182</v>
      </c>
      <c r="F256">
        <f>Portfolio!B$5*'CurrentPor-Equ Factor Movements'!E256</f>
        <v>53044.420181609385</v>
      </c>
      <c r="G256">
        <f>Portfolio!B$6*'CurrentPor-Equ Factor Movements'!F256</f>
        <v>3755.4142477725227</v>
      </c>
      <c r="H256">
        <f>Portfolio!B$7*'CurrentPor-Equ Factor Movements'!J256</f>
        <v>2148.0998964419859</v>
      </c>
      <c r="I256">
        <f t="shared" si="8"/>
        <v>97453.181728877797</v>
      </c>
      <c r="J256">
        <f t="shared" si="9"/>
        <v>952.85930064339482</v>
      </c>
    </row>
    <row r="257" spans="1:10">
      <c r="A257" s="1">
        <v>45828</v>
      </c>
      <c r="B257">
        <f>(3/(1+('CurrentPor-Equ Factor Movements'!C257)/100)+103/POWER(1+('CurrentPor-Equ Factor Movements'!D257)/100,2))*100</f>
        <v>9707.5857774288397</v>
      </c>
      <c r="C257">
        <f>(3/(1+('CurrentPor-Equ Factor Movements'!C257+'CurrentPor-Equ Factor Movements'!G257)/100)+103/POWER(1+('CurrentPor-Equ Factor Movements'!D257+'CurrentPor-Equ Factor Movements'!G257)/100,2))*100</f>
        <v>9614.9673582483465</v>
      </c>
      <c r="D257">
        <f>(3/(1+('CurrentPor-Equ Factor Movements'!C257+'CurrentPor-Equ Factor Movements'!H257)/100)+103/POWER(1+('CurrentPor-Equ Factor Movements'!D257+'CurrentPor-Equ Factor Movements'!H257)/100,2))*100</f>
        <v>9601.2395558122898</v>
      </c>
      <c r="E257">
        <f>(3/(1+('CurrentPor-Equ Factor Movements'!C257+'CurrentPor-Equ Factor Movements'!I257)/100)+103/POWER(1+('CurrentPor-Equ Factor Movements'!D257+'CurrentPor-Equ Factor Movements'!I257)/100,2))*100</f>
        <v>9581.4547115644182</v>
      </c>
      <c r="F257">
        <f>Portfolio!B$5*'CurrentPor-Equ Factor Movements'!E257</f>
        <v>51944.951810213344</v>
      </c>
      <c r="G257">
        <f>Portfolio!B$6*'CurrentPor-Equ Factor Movements'!F257</f>
        <v>3330.4553471741046</v>
      </c>
      <c r="H257">
        <f>Portfolio!B$7*'CurrentPor-Equ Factor Movements'!J257</f>
        <v>2148.0998964419859</v>
      </c>
      <c r="I257">
        <f t="shared" si="8"/>
        <v>95928.75445688334</v>
      </c>
      <c r="J257">
        <f t="shared" si="9"/>
        <v>-891.54966556072759</v>
      </c>
    </row>
    <row r="258" spans="1:10">
      <c r="A258" s="1">
        <v>45831</v>
      </c>
      <c r="B258">
        <f>(3/(1+('CurrentPor-Equ Factor Movements'!C258)/100)+103/POWER(1+('CurrentPor-Equ Factor Movements'!D258)/100,2))*100</f>
        <v>9707.5857774288397</v>
      </c>
      <c r="C258">
        <f>(3/(1+('CurrentPor-Equ Factor Movements'!C258+'CurrentPor-Equ Factor Movements'!G258)/100)+103/POWER(1+('CurrentPor-Equ Factor Movements'!D258+'CurrentPor-Equ Factor Movements'!G258)/100,2))*100</f>
        <v>9614.9673582483465</v>
      </c>
      <c r="D258">
        <f>(3/(1+('CurrentPor-Equ Factor Movements'!C258+'CurrentPor-Equ Factor Movements'!H258)/100)+103/POWER(1+('CurrentPor-Equ Factor Movements'!D258+'CurrentPor-Equ Factor Movements'!H258)/100,2))*100</f>
        <v>9601.2395558122898</v>
      </c>
      <c r="E258">
        <f>(3/(1+('CurrentPor-Equ Factor Movements'!C258+'CurrentPor-Equ Factor Movements'!I258)/100)+103/POWER(1+('CurrentPor-Equ Factor Movements'!D258+'CurrentPor-Equ Factor Movements'!I258)/100,2))*100</f>
        <v>9581.4547115644182</v>
      </c>
      <c r="F258">
        <f>Portfolio!B$5*'CurrentPor-Equ Factor Movements'!E258</f>
        <v>52360.558982983399</v>
      </c>
      <c r="G258">
        <f>Portfolio!B$6*'CurrentPor-Equ Factor Movements'!F258</f>
        <v>3889.5566472245528</v>
      </c>
      <c r="H258">
        <f>Portfolio!B$7*'CurrentPor-Equ Factor Movements'!J258</f>
        <v>2148.0998964419859</v>
      </c>
      <c r="I258">
        <f t="shared" si="8"/>
        <v>96903.462929703834</v>
      </c>
      <c r="J258">
        <f t="shared" si="9"/>
        <v>1989.2415951658477</v>
      </c>
    </row>
    <row r="259" spans="1:10">
      <c r="A259" s="1">
        <v>45832</v>
      </c>
      <c r="B259">
        <f>(3/(1+('CurrentPor-Equ Factor Movements'!C259)/100)+103/POWER(1+('CurrentPor-Equ Factor Movements'!D259)/100,2))*100</f>
        <v>9707.5857774288397</v>
      </c>
      <c r="C259">
        <f>(3/(1+('CurrentPor-Equ Factor Movements'!C259+'CurrentPor-Equ Factor Movements'!G259)/100)+103/POWER(1+('CurrentPor-Equ Factor Movements'!D259+'CurrentPor-Equ Factor Movements'!G259)/100,2))*100</f>
        <v>9614.9673582483465</v>
      </c>
      <c r="D259">
        <f>(3/(1+('CurrentPor-Equ Factor Movements'!C259+'CurrentPor-Equ Factor Movements'!H259)/100)+103/POWER(1+('CurrentPor-Equ Factor Movements'!D259+'CurrentPor-Equ Factor Movements'!H259)/100,2))*100</f>
        <v>9601.2395558122898</v>
      </c>
      <c r="E259">
        <f>(3/(1+('CurrentPor-Equ Factor Movements'!C259+'CurrentPor-Equ Factor Movements'!I259)/100)+103/POWER(1+('CurrentPor-Equ Factor Movements'!D259+'CurrentPor-Equ Factor Movements'!I259)/100,2))*100</f>
        <v>9581.4547115644182</v>
      </c>
      <c r="F259">
        <f>Portfolio!B$5*'CurrentPor-Equ Factor Movements'!E259</f>
        <v>52855.979127075952</v>
      </c>
      <c r="G259">
        <f>Portfolio!B$6*'CurrentPor-Equ Factor Movements'!F259</f>
        <v>3391.9461429325188</v>
      </c>
      <c r="H259">
        <f>Portfolio!B$7*'CurrentPor-Equ Factor Movements'!J259</f>
        <v>2148.0998964419859</v>
      </c>
      <c r="I259">
        <f t="shared" si="8"/>
        <v>96901.272569504348</v>
      </c>
      <c r="J259">
        <f t="shared" si="9"/>
        <v>1743.2121706132893</v>
      </c>
    </row>
    <row r="260" spans="1:10">
      <c r="A260" s="1">
        <v>45833</v>
      </c>
      <c r="B260">
        <f>(3/(1+('CurrentPor-Equ Factor Movements'!C260)/100)+103/POWER(1+('CurrentPor-Equ Factor Movements'!D260)/100,2))*100</f>
        <v>9707.5857774288397</v>
      </c>
      <c r="C260">
        <f>(3/(1+('CurrentPor-Equ Factor Movements'!C260+'CurrentPor-Equ Factor Movements'!G260)/100)+103/POWER(1+('CurrentPor-Equ Factor Movements'!D260+'CurrentPor-Equ Factor Movements'!G260)/100,2))*100</f>
        <v>9614.9673582483465</v>
      </c>
      <c r="D260">
        <f>(3/(1+('CurrentPor-Equ Factor Movements'!C260+'CurrentPor-Equ Factor Movements'!H260)/100)+103/POWER(1+('CurrentPor-Equ Factor Movements'!D260+'CurrentPor-Equ Factor Movements'!H260)/100,2))*100</f>
        <v>9601.2395558122898</v>
      </c>
      <c r="E260">
        <f>(3/(1+('CurrentPor-Equ Factor Movements'!C260+'CurrentPor-Equ Factor Movements'!I260)/100)+103/POWER(1+('CurrentPor-Equ Factor Movements'!D260+'CurrentPor-Equ Factor Movements'!I260)/100,2))*100</f>
        <v>9581.4547115644182</v>
      </c>
      <c r="F260">
        <f>Portfolio!B$5*'CurrentPor-Equ Factor Movements'!E260</f>
        <v>52536.71895106868</v>
      </c>
      <c r="G260">
        <f>Portfolio!B$6*'CurrentPor-Equ Factor Movements'!F260</f>
        <v>3848.586177559192</v>
      </c>
      <c r="H260">
        <f>Portfolio!B$7*'CurrentPor-Equ Factor Movements'!J260</f>
        <v>2148.0998964419859</v>
      </c>
      <c r="I260">
        <f t="shared" si="8"/>
        <v>97038.652428123751</v>
      </c>
      <c r="J260">
        <f t="shared" si="9"/>
        <v>1305.0319604358374</v>
      </c>
    </row>
    <row r="261" spans="1:10">
      <c r="A261" s="1">
        <v>45834</v>
      </c>
      <c r="B261">
        <f>(3/(1+('CurrentPor-Equ Factor Movements'!C261)/100)+103/POWER(1+('CurrentPor-Equ Factor Movements'!D261)/100,2))*100</f>
        <v>9707.5857774288397</v>
      </c>
      <c r="C261">
        <f>(3/(1+('CurrentPor-Equ Factor Movements'!C261+'CurrentPor-Equ Factor Movements'!G261)/100)+103/POWER(1+('CurrentPor-Equ Factor Movements'!D261+'CurrentPor-Equ Factor Movements'!G261)/100,2))*100</f>
        <v>9614.9673582483465</v>
      </c>
      <c r="D261">
        <f>(3/(1+('CurrentPor-Equ Factor Movements'!C261+'CurrentPor-Equ Factor Movements'!H261)/100)+103/POWER(1+('CurrentPor-Equ Factor Movements'!D261+'CurrentPor-Equ Factor Movements'!H261)/100,2))*100</f>
        <v>9601.2395558122898</v>
      </c>
      <c r="E261">
        <f>(3/(1+('CurrentPor-Equ Factor Movements'!C261+'CurrentPor-Equ Factor Movements'!I261)/100)+103/POWER(1+('CurrentPor-Equ Factor Movements'!D261+'CurrentPor-Equ Factor Movements'!I261)/100,2))*100</f>
        <v>9581.4547115644182</v>
      </c>
      <c r="F261">
        <f>Portfolio!B$5*'CurrentPor-Equ Factor Movements'!E261</f>
        <v>53319.125715192444</v>
      </c>
      <c r="G261">
        <f>Portfolio!B$6*'CurrentPor-Equ Factor Movements'!F261</f>
        <v>3689.9199461143744</v>
      </c>
      <c r="H261">
        <f>Portfolio!B$7*'CurrentPor-Equ Factor Movements'!J261</f>
        <v>2148.0998964419859</v>
      </c>
      <c r="I261">
        <f t="shared" si="8"/>
        <v>97662.392960802696</v>
      </c>
      <c r="J261">
        <f t="shared" si="9"/>
        <v>-670.70542467430641</v>
      </c>
    </row>
    <row r="262" spans="1:10">
      <c r="A262" s="1">
        <v>45835</v>
      </c>
      <c r="B262">
        <f>(3/(1+('CurrentPor-Equ Factor Movements'!C262)/100)+103/POWER(1+('CurrentPor-Equ Factor Movements'!D262)/100,2))*100</f>
        <v>9707.5857774288397</v>
      </c>
      <c r="C262">
        <f>(3/(1+('CurrentPor-Equ Factor Movements'!C262+'CurrentPor-Equ Factor Movements'!G262)/100)+103/POWER(1+('CurrentPor-Equ Factor Movements'!D262+'CurrentPor-Equ Factor Movements'!G262)/100,2))*100</f>
        <v>9614.9673582483465</v>
      </c>
      <c r="D262">
        <f>(3/(1+('CurrentPor-Equ Factor Movements'!C262+'CurrentPor-Equ Factor Movements'!H262)/100)+103/POWER(1+('CurrentPor-Equ Factor Movements'!D262+'CurrentPor-Equ Factor Movements'!H262)/100,2))*100</f>
        <v>9601.2395558122898</v>
      </c>
      <c r="E262">
        <f>(3/(1+('CurrentPor-Equ Factor Movements'!C262+'CurrentPor-Equ Factor Movements'!I262)/100)+103/POWER(1+('CurrentPor-Equ Factor Movements'!D262+'CurrentPor-Equ Factor Movements'!I262)/100,2))*100</f>
        <v>9581.4547115644182</v>
      </c>
      <c r="F262">
        <f>Portfolio!B$5*'CurrentPor-Equ Factor Movements'!E262</f>
        <v>53057.190950356184</v>
      </c>
      <c r="G262">
        <f>Portfolio!B$6*'CurrentPor-Equ Factor Movements'!F262</f>
        <v>3417.5484378602496</v>
      </c>
      <c r="H262">
        <f>Portfolio!B$7*'CurrentPor-Equ Factor Movements'!J262</f>
        <v>2148.0998964419859</v>
      </c>
      <c r="I262">
        <f t="shared" si="8"/>
        <v>97128.086687712319</v>
      </c>
      <c r="J262">
        <f t="shared" si="9"/>
        <v>553.70420533469587</v>
      </c>
    </row>
    <row r="263" spans="1:10">
      <c r="A263" s="1">
        <v>45838</v>
      </c>
      <c r="B263">
        <f>(3/(1+('CurrentPor-Equ Factor Movements'!C263)/100)+103/POWER(1+('CurrentPor-Equ Factor Movements'!D263)/100,2))*100</f>
        <v>9707.5857774288397</v>
      </c>
      <c r="C263">
        <f>(3/(1+('CurrentPor-Equ Factor Movements'!C263+'CurrentPor-Equ Factor Movements'!G263)/100)+103/POWER(1+('CurrentPor-Equ Factor Movements'!D263+'CurrentPor-Equ Factor Movements'!G263)/100,2))*100</f>
        <v>9614.9673582483465</v>
      </c>
      <c r="D263">
        <f>(3/(1+('CurrentPor-Equ Factor Movements'!C263+'CurrentPor-Equ Factor Movements'!H263)/100)+103/POWER(1+('CurrentPor-Equ Factor Movements'!D263+'CurrentPor-Equ Factor Movements'!H263)/100,2))*100</f>
        <v>9601.2395558122898</v>
      </c>
      <c r="E263">
        <f>(3/(1+('CurrentPor-Equ Factor Movements'!C263+'CurrentPor-Equ Factor Movements'!I263)/100)+103/POWER(1+('CurrentPor-Equ Factor Movements'!D263+'CurrentPor-Equ Factor Movements'!I263)/100,2))*100</f>
        <v>9581.4547115644182</v>
      </c>
      <c r="F263">
        <f>Portfolio!B$5*'CurrentPor-Equ Factor Movements'!E263</f>
        <v>51079.331963359487</v>
      </c>
      <c r="G263">
        <f>Portfolio!B$6*'CurrentPor-Equ Factor Movements'!F263</f>
        <v>3615.2700771613231</v>
      </c>
      <c r="H263">
        <f>Portfolio!B$7*'CurrentPor-Equ Factor Movements'!J263</f>
        <v>2148.0998964419859</v>
      </c>
      <c r="I263">
        <f t="shared" si="8"/>
        <v>95347.949340016683</v>
      </c>
      <c r="J263">
        <f t="shared" si="9"/>
        <v>-1125.6660172973498</v>
      </c>
    </row>
  </sheetData>
  <phoneticPr fontId="2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49E5D-E2F0-4EC0-A8E9-F893AA81EA0D}">
  <dimension ref="A1:A501"/>
  <sheetViews>
    <sheetView tabSelected="1" topLeftCell="A27" workbookViewId="0">
      <selection activeCell="J39" sqref="J39"/>
    </sheetView>
  </sheetViews>
  <sheetFormatPr defaultRowHeight="14.5"/>
  <cols>
    <col min="1" max="1" width="16.1796875" customWidth="1"/>
  </cols>
  <sheetData>
    <row r="1" spans="1:1" ht="23.5">
      <c r="A1" s="2" t="s">
        <v>3</v>
      </c>
    </row>
    <row r="3" spans="1:1" ht="17.5">
      <c r="A3" s="3" t="s">
        <v>4</v>
      </c>
    </row>
    <row r="4" spans="1:1">
      <c r="A4" s="4"/>
    </row>
    <row r="5" spans="1:1">
      <c r="A5" s="5" t="s">
        <v>5</v>
      </c>
    </row>
    <row r="6" spans="1:1">
      <c r="A6" s="5" t="s">
        <v>6</v>
      </c>
    </row>
    <row r="8" spans="1:1" ht="17.5">
      <c r="A8" s="3" t="s">
        <v>7</v>
      </c>
    </row>
    <row r="9" spans="1:1">
      <c r="A9" s="4"/>
    </row>
    <row r="10" spans="1:1">
      <c r="A10" s="4" t="s">
        <v>8</v>
      </c>
    </row>
    <row r="11" spans="1:1">
      <c r="A11" s="4" t="s">
        <v>9</v>
      </c>
    </row>
    <row r="12" spans="1:1">
      <c r="A12" s="4" t="s">
        <v>10</v>
      </c>
    </row>
    <row r="13" spans="1:1">
      <c r="A13" s="4" t="s">
        <v>11</v>
      </c>
    </row>
    <row r="15" spans="1:1" ht="17.5">
      <c r="A15" s="3" t="s">
        <v>12</v>
      </c>
    </row>
    <row r="16" spans="1:1">
      <c r="A16" s="4"/>
    </row>
    <row r="17" spans="1:1">
      <c r="A17" s="4" t="s">
        <v>13</v>
      </c>
    </row>
    <row r="18" spans="1:1">
      <c r="A18" s="4" t="s">
        <v>14</v>
      </c>
    </row>
    <row r="19" spans="1:1">
      <c r="A19" s="4" t="s">
        <v>15</v>
      </c>
    </row>
    <row r="20" spans="1:1">
      <c r="A20" s="6" t="s">
        <v>16</v>
      </c>
    </row>
    <row r="21" spans="1:1">
      <c r="A21" s="6" t="s">
        <v>17</v>
      </c>
    </row>
    <row r="22" spans="1:1">
      <c r="A22" s="6" t="s">
        <v>18</v>
      </c>
    </row>
    <row r="26" spans="1:1" ht="23.5">
      <c r="A26" s="2" t="s">
        <v>19</v>
      </c>
    </row>
    <row r="28" spans="1:1" ht="17.5">
      <c r="A28" s="3" t="s">
        <v>4</v>
      </c>
    </row>
    <row r="29" spans="1:1">
      <c r="A29" s="4"/>
    </row>
    <row r="30" spans="1:1">
      <c r="A30" s="5" t="s">
        <v>20</v>
      </c>
    </row>
    <row r="32" spans="1:1" ht="17.5">
      <c r="A32" s="3" t="s">
        <v>7</v>
      </c>
    </row>
    <row r="33" spans="1:1">
      <c r="A33" s="4"/>
    </row>
    <row r="34" spans="1:1">
      <c r="A34" s="4" t="s">
        <v>21</v>
      </c>
    </row>
    <row r="35" spans="1:1">
      <c r="A35" s="4" t="s">
        <v>22</v>
      </c>
    </row>
    <row r="36" spans="1:1">
      <c r="A36" s="4" t="s">
        <v>23</v>
      </c>
    </row>
    <row r="37" spans="1:1">
      <c r="A37" s="4" t="s">
        <v>24</v>
      </c>
    </row>
    <row r="38" spans="1:1">
      <c r="A38" s="1"/>
    </row>
    <row r="39" spans="1:1">
      <c r="A39" s="1" t="s">
        <v>25</v>
      </c>
    </row>
    <row r="40" spans="1:1">
      <c r="A40" s="1"/>
    </row>
    <row r="41" spans="1:1">
      <c r="A41" s="1" t="s">
        <v>26</v>
      </c>
    </row>
    <row r="42" spans="1:1">
      <c r="A42" s="1"/>
    </row>
    <row r="43" spans="1:1">
      <c r="A43" s="1"/>
    </row>
    <row r="44" spans="1:1">
      <c r="A44" s="1"/>
    </row>
    <row r="45" spans="1:1">
      <c r="A45" s="1"/>
    </row>
    <row r="46" spans="1:1">
      <c r="A46" s="1"/>
    </row>
    <row r="47" spans="1:1">
      <c r="A47" s="1"/>
    </row>
    <row r="48" spans="1:1">
      <c r="A48" s="1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  <row r="60" spans="1:1">
      <c r="A60" s="1"/>
    </row>
    <row r="61" spans="1:1">
      <c r="A61" s="1"/>
    </row>
    <row r="62" spans="1:1">
      <c r="A62" s="1"/>
    </row>
    <row r="63" spans="1:1">
      <c r="A63" s="1"/>
    </row>
    <row r="64" spans="1:1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  <row r="97" spans="1:1">
      <c r="A97" s="1"/>
    </row>
    <row r="98" spans="1:1">
      <c r="A98" s="1"/>
    </row>
    <row r="99" spans="1:1">
      <c r="A99" s="1"/>
    </row>
    <row r="100" spans="1:1">
      <c r="A100" s="1"/>
    </row>
    <row r="101" spans="1:1">
      <c r="A101" s="1"/>
    </row>
    <row r="102" spans="1:1">
      <c r="A102" s="1"/>
    </row>
    <row r="103" spans="1:1">
      <c r="A103" s="1"/>
    </row>
    <row r="104" spans="1:1">
      <c r="A104" s="1"/>
    </row>
    <row r="105" spans="1:1">
      <c r="A105" s="1"/>
    </row>
    <row r="106" spans="1:1">
      <c r="A106" s="1"/>
    </row>
    <row r="107" spans="1:1">
      <c r="A107" s="1"/>
    </row>
    <row r="108" spans="1:1">
      <c r="A108" s="1"/>
    </row>
    <row r="109" spans="1:1">
      <c r="A109" s="1"/>
    </row>
    <row r="110" spans="1:1">
      <c r="A110" s="1"/>
    </row>
    <row r="111" spans="1:1">
      <c r="A111" s="1"/>
    </row>
    <row r="112" spans="1:1">
      <c r="A112" s="1"/>
    </row>
    <row r="113" spans="1:1">
      <c r="A113" s="1"/>
    </row>
    <row r="114" spans="1:1">
      <c r="A114" s="1"/>
    </row>
    <row r="115" spans="1:1">
      <c r="A115" s="1"/>
    </row>
    <row r="116" spans="1:1">
      <c r="A116" s="1"/>
    </row>
    <row r="117" spans="1:1">
      <c r="A117" s="1"/>
    </row>
    <row r="118" spans="1:1">
      <c r="A118" s="1"/>
    </row>
    <row r="119" spans="1:1">
      <c r="A119" s="1"/>
    </row>
    <row r="120" spans="1:1">
      <c r="A120" s="1"/>
    </row>
    <row r="121" spans="1:1">
      <c r="A121" s="1"/>
    </row>
    <row r="122" spans="1:1">
      <c r="A122" s="1"/>
    </row>
    <row r="123" spans="1:1">
      <c r="A123" s="1"/>
    </row>
    <row r="124" spans="1:1">
      <c r="A124" s="1"/>
    </row>
    <row r="125" spans="1:1">
      <c r="A125" s="1"/>
    </row>
    <row r="126" spans="1:1">
      <c r="A126" s="1"/>
    </row>
    <row r="127" spans="1:1">
      <c r="A127" s="1"/>
    </row>
    <row r="128" spans="1:1">
      <c r="A128" s="1"/>
    </row>
    <row r="129" spans="1:1">
      <c r="A129" s="1"/>
    </row>
    <row r="130" spans="1:1">
      <c r="A130" s="1"/>
    </row>
    <row r="131" spans="1:1">
      <c r="A131" s="1"/>
    </row>
    <row r="132" spans="1:1">
      <c r="A132" s="1"/>
    </row>
    <row r="133" spans="1:1">
      <c r="A133" s="1"/>
    </row>
    <row r="134" spans="1:1">
      <c r="A134" s="1"/>
    </row>
    <row r="135" spans="1:1">
      <c r="A135" s="1"/>
    </row>
    <row r="136" spans="1:1">
      <c r="A136" s="1"/>
    </row>
    <row r="137" spans="1:1">
      <c r="A137" s="1"/>
    </row>
    <row r="138" spans="1:1">
      <c r="A138" s="1"/>
    </row>
    <row r="139" spans="1:1">
      <c r="A139" s="1"/>
    </row>
    <row r="140" spans="1:1">
      <c r="A140" s="1"/>
    </row>
    <row r="141" spans="1:1">
      <c r="A141" s="1"/>
    </row>
    <row r="142" spans="1:1">
      <c r="A142" s="1"/>
    </row>
    <row r="143" spans="1:1">
      <c r="A143" s="1"/>
    </row>
    <row r="144" spans="1:1">
      <c r="A144" s="1"/>
    </row>
    <row r="145" spans="1:1">
      <c r="A145" s="1"/>
    </row>
    <row r="146" spans="1:1">
      <c r="A146" s="1"/>
    </row>
    <row r="147" spans="1:1">
      <c r="A147" s="1"/>
    </row>
    <row r="148" spans="1:1">
      <c r="A148" s="1"/>
    </row>
    <row r="149" spans="1:1">
      <c r="A149" s="1"/>
    </row>
    <row r="150" spans="1:1">
      <c r="A150" s="1"/>
    </row>
    <row r="151" spans="1:1">
      <c r="A151" s="1"/>
    </row>
    <row r="152" spans="1:1">
      <c r="A152" s="1"/>
    </row>
    <row r="153" spans="1:1">
      <c r="A153" s="1"/>
    </row>
    <row r="154" spans="1:1">
      <c r="A154" s="1"/>
    </row>
    <row r="155" spans="1:1">
      <c r="A155" s="1"/>
    </row>
    <row r="156" spans="1:1">
      <c r="A156" s="1"/>
    </row>
    <row r="157" spans="1:1">
      <c r="A157" s="1"/>
    </row>
    <row r="158" spans="1:1">
      <c r="A158" s="1"/>
    </row>
    <row r="159" spans="1:1">
      <c r="A159" s="1"/>
    </row>
    <row r="160" spans="1:1">
      <c r="A160" s="1"/>
    </row>
    <row r="161" spans="1:1">
      <c r="A161" s="1"/>
    </row>
    <row r="162" spans="1:1">
      <c r="A162" s="1"/>
    </row>
    <row r="163" spans="1:1">
      <c r="A163" s="1"/>
    </row>
    <row r="164" spans="1:1">
      <c r="A164" s="1"/>
    </row>
    <row r="165" spans="1:1">
      <c r="A165" s="1"/>
    </row>
    <row r="166" spans="1:1">
      <c r="A166" s="1"/>
    </row>
    <row r="167" spans="1:1">
      <c r="A167" s="1"/>
    </row>
    <row r="168" spans="1:1">
      <c r="A168" s="1"/>
    </row>
    <row r="169" spans="1:1">
      <c r="A169" s="1"/>
    </row>
    <row r="170" spans="1:1">
      <c r="A170" s="1"/>
    </row>
    <row r="171" spans="1:1">
      <c r="A171" s="1"/>
    </row>
    <row r="172" spans="1:1">
      <c r="A172" s="1"/>
    </row>
    <row r="173" spans="1:1">
      <c r="A173" s="1"/>
    </row>
    <row r="174" spans="1:1">
      <c r="A174" s="1"/>
    </row>
    <row r="175" spans="1:1">
      <c r="A175" s="1"/>
    </row>
    <row r="176" spans="1:1">
      <c r="A176" s="1"/>
    </row>
    <row r="177" spans="1:1">
      <c r="A177" s="1"/>
    </row>
    <row r="178" spans="1:1">
      <c r="A178" s="1"/>
    </row>
    <row r="179" spans="1:1">
      <c r="A179" s="1"/>
    </row>
    <row r="180" spans="1:1">
      <c r="A180" s="1"/>
    </row>
    <row r="181" spans="1:1">
      <c r="A181" s="1"/>
    </row>
    <row r="182" spans="1:1">
      <c r="A182" s="1"/>
    </row>
    <row r="183" spans="1:1">
      <c r="A183" s="1"/>
    </row>
    <row r="184" spans="1:1">
      <c r="A184" s="1"/>
    </row>
    <row r="185" spans="1:1">
      <c r="A185" s="1"/>
    </row>
    <row r="186" spans="1:1">
      <c r="A186" s="1"/>
    </row>
    <row r="187" spans="1:1">
      <c r="A187" s="1"/>
    </row>
    <row r="188" spans="1:1">
      <c r="A188" s="1"/>
    </row>
    <row r="189" spans="1:1">
      <c r="A189" s="1"/>
    </row>
    <row r="190" spans="1:1">
      <c r="A190" s="1"/>
    </row>
    <row r="191" spans="1:1">
      <c r="A191" s="1"/>
    </row>
    <row r="192" spans="1:1">
      <c r="A192" s="1"/>
    </row>
    <row r="193" spans="1:1">
      <c r="A193" s="1"/>
    </row>
    <row r="194" spans="1:1">
      <c r="A194" s="1"/>
    </row>
    <row r="195" spans="1:1">
      <c r="A195" s="1"/>
    </row>
    <row r="196" spans="1:1">
      <c r="A196" s="1"/>
    </row>
    <row r="197" spans="1:1">
      <c r="A197" s="1"/>
    </row>
    <row r="198" spans="1:1">
      <c r="A198" s="1"/>
    </row>
    <row r="199" spans="1:1">
      <c r="A199" s="1"/>
    </row>
    <row r="200" spans="1:1">
      <c r="A200" s="1"/>
    </row>
    <row r="201" spans="1:1">
      <c r="A201" s="1"/>
    </row>
    <row r="202" spans="1:1">
      <c r="A202" s="1"/>
    </row>
    <row r="203" spans="1:1">
      <c r="A203" s="1"/>
    </row>
    <row r="204" spans="1:1">
      <c r="A204" s="1"/>
    </row>
    <row r="205" spans="1:1">
      <c r="A205" s="1"/>
    </row>
    <row r="206" spans="1:1">
      <c r="A206" s="1"/>
    </row>
    <row r="207" spans="1:1">
      <c r="A207" s="1"/>
    </row>
    <row r="208" spans="1:1">
      <c r="A208" s="1"/>
    </row>
    <row r="209" spans="1:1">
      <c r="A209" s="1"/>
    </row>
    <row r="210" spans="1:1">
      <c r="A210" s="1"/>
    </row>
    <row r="211" spans="1:1">
      <c r="A211" s="1"/>
    </row>
    <row r="212" spans="1:1">
      <c r="A212" s="1"/>
    </row>
    <row r="213" spans="1:1">
      <c r="A213" s="1"/>
    </row>
    <row r="214" spans="1:1">
      <c r="A214" s="1"/>
    </row>
    <row r="215" spans="1:1">
      <c r="A215" s="1"/>
    </row>
    <row r="216" spans="1:1">
      <c r="A216" s="1"/>
    </row>
    <row r="217" spans="1:1">
      <c r="A217" s="1"/>
    </row>
    <row r="218" spans="1:1">
      <c r="A218" s="1"/>
    </row>
    <row r="219" spans="1:1">
      <c r="A219" s="1"/>
    </row>
    <row r="220" spans="1:1">
      <c r="A220" s="1"/>
    </row>
    <row r="221" spans="1:1">
      <c r="A221" s="1"/>
    </row>
    <row r="222" spans="1:1">
      <c r="A222" s="1"/>
    </row>
    <row r="223" spans="1:1">
      <c r="A223" s="1"/>
    </row>
    <row r="224" spans="1:1">
      <c r="A224" s="1"/>
    </row>
    <row r="225" spans="1:1">
      <c r="A225" s="1"/>
    </row>
    <row r="226" spans="1:1">
      <c r="A226" s="1"/>
    </row>
    <row r="227" spans="1:1">
      <c r="A227" s="1"/>
    </row>
    <row r="228" spans="1:1">
      <c r="A228" s="1"/>
    </row>
    <row r="229" spans="1:1">
      <c r="A229" s="1"/>
    </row>
    <row r="230" spans="1:1">
      <c r="A230" s="1"/>
    </row>
    <row r="231" spans="1:1">
      <c r="A231" s="1"/>
    </row>
    <row r="232" spans="1:1">
      <c r="A232" s="1"/>
    </row>
    <row r="233" spans="1:1">
      <c r="A233" s="1"/>
    </row>
    <row r="234" spans="1:1">
      <c r="A234" s="1"/>
    </row>
    <row r="235" spans="1:1">
      <c r="A235" s="1"/>
    </row>
    <row r="236" spans="1:1">
      <c r="A236" s="1"/>
    </row>
    <row r="237" spans="1:1">
      <c r="A237" s="1"/>
    </row>
    <row r="238" spans="1:1">
      <c r="A238" s="1"/>
    </row>
    <row r="239" spans="1:1">
      <c r="A239" s="1"/>
    </row>
    <row r="240" spans="1:1">
      <c r="A240" s="1"/>
    </row>
    <row r="241" spans="1:1">
      <c r="A241" s="1"/>
    </row>
    <row r="242" spans="1:1">
      <c r="A242" s="1"/>
    </row>
    <row r="243" spans="1:1">
      <c r="A243" s="1"/>
    </row>
    <row r="244" spans="1:1">
      <c r="A244" s="1"/>
    </row>
    <row r="245" spans="1:1">
      <c r="A245" s="1"/>
    </row>
    <row r="246" spans="1:1">
      <c r="A246" s="1"/>
    </row>
    <row r="247" spans="1:1">
      <c r="A247" s="1"/>
    </row>
    <row r="248" spans="1:1">
      <c r="A248" s="1"/>
    </row>
    <row r="249" spans="1:1">
      <c r="A249" s="1"/>
    </row>
    <row r="250" spans="1:1">
      <c r="A250" s="1"/>
    </row>
    <row r="251" spans="1:1">
      <c r="A251" s="1"/>
    </row>
    <row r="252" spans="1:1">
      <c r="A252" s="1"/>
    </row>
    <row r="253" spans="1:1">
      <c r="A253" s="1"/>
    </row>
    <row r="254" spans="1:1">
      <c r="A254" s="1"/>
    </row>
    <row r="255" spans="1:1">
      <c r="A255" s="1"/>
    </row>
    <row r="256" spans="1:1">
      <c r="A256" s="1"/>
    </row>
    <row r="257" spans="1:1">
      <c r="A257" s="1"/>
    </row>
    <row r="258" spans="1:1">
      <c r="A258" s="1"/>
    </row>
    <row r="259" spans="1:1">
      <c r="A259" s="1"/>
    </row>
    <row r="260" spans="1:1">
      <c r="A260" s="1"/>
    </row>
    <row r="261" spans="1:1">
      <c r="A261" s="1"/>
    </row>
    <row r="262" spans="1:1">
      <c r="A262" s="1"/>
    </row>
    <row r="263" spans="1:1">
      <c r="A263" s="1"/>
    </row>
    <row r="264" spans="1:1">
      <c r="A264" s="1"/>
    </row>
    <row r="265" spans="1:1">
      <c r="A265" s="1"/>
    </row>
    <row r="266" spans="1:1">
      <c r="A266" s="1"/>
    </row>
    <row r="267" spans="1:1">
      <c r="A267" s="1"/>
    </row>
    <row r="268" spans="1:1">
      <c r="A268" s="1"/>
    </row>
    <row r="269" spans="1:1">
      <c r="A269" s="1"/>
    </row>
    <row r="270" spans="1:1">
      <c r="A270" s="1"/>
    </row>
    <row r="271" spans="1:1">
      <c r="A271" s="1"/>
    </row>
    <row r="272" spans="1:1">
      <c r="A272" s="1"/>
    </row>
    <row r="273" spans="1:1">
      <c r="A273" s="1"/>
    </row>
    <row r="274" spans="1:1">
      <c r="A274" s="1"/>
    </row>
    <row r="275" spans="1:1">
      <c r="A275" s="1"/>
    </row>
    <row r="276" spans="1:1">
      <c r="A276" s="1"/>
    </row>
    <row r="277" spans="1:1">
      <c r="A277" s="1"/>
    </row>
    <row r="278" spans="1:1">
      <c r="A278" s="1"/>
    </row>
    <row r="279" spans="1:1">
      <c r="A279" s="1"/>
    </row>
    <row r="280" spans="1:1">
      <c r="A280" s="1"/>
    </row>
    <row r="281" spans="1:1">
      <c r="A281" s="1"/>
    </row>
    <row r="282" spans="1:1">
      <c r="A282" s="1"/>
    </row>
    <row r="283" spans="1:1">
      <c r="A283" s="1"/>
    </row>
    <row r="284" spans="1:1">
      <c r="A284" s="1"/>
    </row>
    <row r="285" spans="1:1">
      <c r="A285" s="1"/>
    </row>
    <row r="286" spans="1:1">
      <c r="A286" s="1"/>
    </row>
    <row r="287" spans="1:1">
      <c r="A287" s="1"/>
    </row>
    <row r="288" spans="1:1">
      <c r="A288" s="1"/>
    </row>
    <row r="289" spans="1:1">
      <c r="A289" s="1"/>
    </row>
    <row r="290" spans="1:1">
      <c r="A290" s="1"/>
    </row>
    <row r="291" spans="1:1">
      <c r="A291" s="1"/>
    </row>
    <row r="292" spans="1:1">
      <c r="A292" s="1"/>
    </row>
    <row r="293" spans="1:1">
      <c r="A293" s="1"/>
    </row>
    <row r="294" spans="1:1">
      <c r="A294" s="1"/>
    </row>
    <row r="295" spans="1:1">
      <c r="A295" s="1"/>
    </row>
    <row r="296" spans="1:1">
      <c r="A296" s="1"/>
    </row>
    <row r="297" spans="1:1">
      <c r="A297" s="1"/>
    </row>
    <row r="298" spans="1:1">
      <c r="A298" s="1"/>
    </row>
    <row r="299" spans="1:1">
      <c r="A299" s="1"/>
    </row>
    <row r="300" spans="1:1">
      <c r="A300" s="1"/>
    </row>
    <row r="301" spans="1:1">
      <c r="A301" s="1"/>
    </row>
    <row r="302" spans="1:1">
      <c r="A302" s="1"/>
    </row>
    <row r="303" spans="1:1">
      <c r="A303" s="1"/>
    </row>
    <row r="304" spans="1:1">
      <c r="A304" s="1"/>
    </row>
    <row r="305" spans="1:1">
      <c r="A305" s="1"/>
    </row>
    <row r="306" spans="1:1">
      <c r="A306" s="1"/>
    </row>
    <row r="307" spans="1:1">
      <c r="A307" s="1"/>
    </row>
    <row r="308" spans="1:1">
      <c r="A308" s="1"/>
    </row>
    <row r="309" spans="1:1">
      <c r="A309" s="1"/>
    </row>
    <row r="310" spans="1:1">
      <c r="A310" s="1"/>
    </row>
    <row r="311" spans="1:1">
      <c r="A311" s="1"/>
    </row>
    <row r="312" spans="1:1">
      <c r="A312" s="1"/>
    </row>
    <row r="313" spans="1:1">
      <c r="A313" s="1"/>
    </row>
    <row r="314" spans="1:1">
      <c r="A314" s="1"/>
    </row>
    <row r="315" spans="1:1">
      <c r="A315" s="1"/>
    </row>
    <row r="316" spans="1:1">
      <c r="A316" s="1"/>
    </row>
    <row r="317" spans="1:1">
      <c r="A317" s="1"/>
    </row>
    <row r="318" spans="1:1">
      <c r="A318" s="1"/>
    </row>
    <row r="319" spans="1:1">
      <c r="A319" s="1"/>
    </row>
    <row r="320" spans="1:1">
      <c r="A320" s="1"/>
    </row>
    <row r="321" spans="1:1">
      <c r="A321" s="1"/>
    </row>
    <row r="322" spans="1:1">
      <c r="A322" s="1"/>
    </row>
    <row r="323" spans="1:1">
      <c r="A323" s="1"/>
    </row>
    <row r="324" spans="1:1">
      <c r="A324" s="1"/>
    </row>
    <row r="325" spans="1:1">
      <c r="A325" s="1"/>
    </row>
    <row r="326" spans="1:1">
      <c r="A326" s="1"/>
    </row>
    <row r="327" spans="1:1">
      <c r="A327" s="1"/>
    </row>
    <row r="328" spans="1:1">
      <c r="A328" s="1"/>
    </row>
    <row r="329" spans="1:1">
      <c r="A329" s="1"/>
    </row>
    <row r="330" spans="1:1">
      <c r="A330" s="1"/>
    </row>
    <row r="331" spans="1:1">
      <c r="A331" s="1"/>
    </row>
    <row r="332" spans="1:1">
      <c r="A332" s="1"/>
    </row>
    <row r="333" spans="1:1">
      <c r="A333" s="1"/>
    </row>
    <row r="334" spans="1:1">
      <c r="A334" s="1"/>
    </row>
    <row r="335" spans="1:1">
      <c r="A335" s="1"/>
    </row>
    <row r="336" spans="1:1">
      <c r="A336" s="1"/>
    </row>
    <row r="337" spans="1:1">
      <c r="A337" s="1"/>
    </row>
    <row r="338" spans="1:1">
      <c r="A338" s="1"/>
    </row>
    <row r="339" spans="1:1">
      <c r="A339" s="1"/>
    </row>
    <row r="340" spans="1:1">
      <c r="A340" s="1"/>
    </row>
    <row r="341" spans="1:1">
      <c r="A341" s="1"/>
    </row>
    <row r="342" spans="1:1">
      <c r="A342" s="1"/>
    </row>
    <row r="343" spans="1:1">
      <c r="A343" s="1"/>
    </row>
    <row r="344" spans="1:1">
      <c r="A344" s="1"/>
    </row>
    <row r="345" spans="1:1">
      <c r="A345" s="1"/>
    </row>
    <row r="346" spans="1:1">
      <c r="A346" s="1"/>
    </row>
    <row r="347" spans="1:1">
      <c r="A347" s="1"/>
    </row>
    <row r="348" spans="1:1">
      <c r="A348" s="1"/>
    </row>
    <row r="349" spans="1:1">
      <c r="A349" s="1"/>
    </row>
    <row r="350" spans="1:1">
      <c r="A350" s="1"/>
    </row>
    <row r="351" spans="1:1">
      <c r="A351" s="1"/>
    </row>
    <row r="352" spans="1:1">
      <c r="A352" s="1"/>
    </row>
    <row r="353" spans="1:1">
      <c r="A353" s="1"/>
    </row>
    <row r="354" spans="1:1">
      <c r="A354" s="1"/>
    </row>
    <row r="355" spans="1:1">
      <c r="A355" s="1"/>
    </row>
    <row r="356" spans="1:1">
      <c r="A356" s="1"/>
    </row>
    <row r="357" spans="1:1">
      <c r="A357" s="1"/>
    </row>
    <row r="358" spans="1:1">
      <c r="A358" s="1"/>
    </row>
    <row r="359" spans="1:1">
      <c r="A359" s="1"/>
    </row>
    <row r="360" spans="1:1">
      <c r="A360" s="1"/>
    </row>
    <row r="361" spans="1:1">
      <c r="A361" s="1"/>
    </row>
    <row r="362" spans="1:1">
      <c r="A362" s="1"/>
    </row>
    <row r="363" spans="1:1">
      <c r="A363" s="1"/>
    </row>
    <row r="364" spans="1:1">
      <c r="A364" s="1"/>
    </row>
    <row r="365" spans="1:1">
      <c r="A365" s="1"/>
    </row>
    <row r="366" spans="1:1">
      <c r="A366" s="1"/>
    </row>
    <row r="367" spans="1:1">
      <c r="A367" s="1"/>
    </row>
    <row r="368" spans="1:1">
      <c r="A368" s="1"/>
    </row>
    <row r="369" spans="1:1">
      <c r="A369" s="1"/>
    </row>
    <row r="370" spans="1:1">
      <c r="A370" s="1"/>
    </row>
    <row r="371" spans="1:1">
      <c r="A371" s="1"/>
    </row>
    <row r="372" spans="1:1">
      <c r="A372" s="1"/>
    </row>
    <row r="373" spans="1:1">
      <c r="A373" s="1"/>
    </row>
    <row r="374" spans="1:1">
      <c r="A374" s="1"/>
    </row>
    <row r="375" spans="1:1">
      <c r="A375" s="1"/>
    </row>
    <row r="376" spans="1:1">
      <c r="A376" s="1"/>
    </row>
    <row r="377" spans="1:1">
      <c r="A377" s="1"/>
    </row>
    <row r="378" spans="1:1">
      <c r="A378" s="1"/>
    </row>
    <row r="379" spans="1:1">
      <c r="A379" s="1"/>
    </row>
    <row r="380" spans="1:1">
      <c r="A380" s="1"/>
    </row>
    <row r="381" spans="1:1">
      <c r="A381" s="1"/>
    </row>
    <row r="382" spans="1:1">
      <c r="A382" s="1"/>
    </row>
    <row r="383" spans="1:1">
      <c r="A383" s="1"/>
    </row>
    <row r="384" spans="1:1">
      <c r="A384" s="1"/>
    </row>
    <row r="385" spans="1:1">
      <c r="A385" s="1"/>
    </row>
    <row r="386" spans="1:1">
      <c r="A386" s="1"/>
    </row>
    <row r="387" spans="1:1">
      <c r="A387" s="1"/>
    </row>
    <row r="388" spans="1:1">
      <c r="A388" s="1"/>
    </row>
    <row r="389" spans="1:1">
      <c r="A389" s="1"/>
    </row>
    <row r="390" spans="1:1">
      <c r="A390" s="1"/>
    </row>
    <row r="391" spans="1:1">
      <c r="A391" s="1"/>
    </row>
    <row r="392" spans="1:1">
      <c r="A392" s="1"/>
    </row>
    <row r="393" spans="1:1">
      <c r="A393" s="1"/>
    </row>
    <row r="394" spans="1:1">
      <c r="A394" s="1"/>
    </row>
    <row r="395" spans="1:1">
      <c r="A395" s="1"/>
    </row>
    <row r="396" spans="1:1">
      <c r="A396" s="1"/>
    </row>
    <row r="397" spans="1:1">
      <c r="A397" s="1"/>
    </row>
    <row r="398" spans="1:1">
      <c r="A398" s="1"/>
    </row>
    <row r="399" spans="1:1">
      <c r="A399" s="1"/>
    </row>
    <row r="400" spans="1:1">
      <c r="A400" s="1"/>
    </row>
    <row r="401" spans="1:1">
      <c r="A401" s="1"/>
    </row>
    <row r="402" spans="1:1">
      <c r="A402" s="1"/>
    </row>
    <row r="403" spans="1:1">
      <c r="A403" s="1"/>
    </row>
    <row r="404" spans="1:1">
      <c r="A404" s="1"/>
    </row>
    <row r="405" spans="1:1">
      <c r="A405" s="1"/>
    </row>
    <row r="406" spans="1:1">
      <c r="A406" s="1"/>
    </row>
    <row r="407" spans="1:1">
      <c r="A407" s="1"/>
    </row>
    <row r="408" spans="1:1">
      <c r="A408" s="1"/>
    </row>
    <row r="409" spans="1:1">
      <c r="A409" s="1"/>
    </row>
    <row r="410" spans="1:1">
      <c r="A410" s="1"/>
    </row>
    <row r="411" spans="1:1">
      <c r="A411" s="1"/>
    </row>
    <row r="412" spans="1:1">
      <c r="A412" s="1"/>
    </row>
    <row r="413" spans="1:1">
      <c r="A413" s="1"/>
    </row>
    <row r="414" spans="1:1">
      <c r="A414" s="1"/>
    </row>
    <row r="415" spans="1:1">
      <c r="A415" s="1"/>
    </row>
    <row r="416" spans="1:1">
      <c r="A416" s="1"/>
    </row>
    <row r="417" spans="1:1">
      <c r="A417" s="1"/>
    </row>
    <row r="418" spans="1:1">
      <c r="A418" s="1"/>
    </row>
    <row r="419" spans="1:1">
      <c r="A419" s="1"/>
    </row>
    <row r="420" spans="1:1">
      <c r="A420" s="1"/>
    </row>
    <row r="421" spans="1:1">
      <c r="A421" s="1"/>
    </row>
    <row r="422" spans="1:1">
      <c r="A422" s="1"/>
    </row>
    <row r="423" spans="1:1">
      <c r="A423" s="1"/>
    </row>
    <row r="424" spans="1:1">
      <c r="A424" s="1"/>
    </row>
    <row r="425" spans="1:1">
      <c r="A425" s="1"/>
    </row>
    <row r="426" spans="1:1">
      <c r="A426" s="1"/>
    </row>
    <row r="427" spans="1:1">
      <c r="A427" s="1"/>
    </row>
    <row r="428" spans="1:1">
      <c r="A428" s="1"/>
    </row>
    <row r="429" spans="1:1">
      <c r="A429" s="1"/>
    </row>
    <row r="430" spans="1:1">
      <c r="A430" s="1"/>
    </row>
    <row r="431" spans="1:1">
      <c r="A431" s="1"/>
    </row>
    <row r="432" spans="1:1">
      <c r="A432" s="1"/>
    </row>
    <row r="433" spans="1:1">
      <c r="A433" s="1"/>
    </row>
    <row r="434" spans="1:1">
      <c r="A434" s="1"/>
    </row>
    <row r="435" spans="1:1">
      <c r="A435" s="1"/>
    </row>
    <row r="436" spans="1:1">
      <c r="A436" s="1"/>
    </row>
    <row r="437" spans="1:1">
      <c r="A437" s="1"/>
    </row>
    <row r="438" spans="1:1">
      <c r="A438" s="1"/>
    </row>
    <row r="439" spans="1:1">
      <c r="A439" s="1"/>
    </row>
    <row r="440" spans="1:1">
      <c r="A440" s="1"/>
    </row>
    <row r="441" spans="1:1">
      <c r="A441" s="1"/>
    </row>
    <row r="442" spans="1:1">
      <c r="A442" s="1"/>
    </row>
    <row r="443" spans="1:1">
      <c r="A443" s="1"/>
    </row>
    <row r="444" spans="1:1">
      <c r="A444" s="1"/>
    </row>
    <row r="445" spans="1:1">
      <c r="A445" s="1"/>
    </row>
    <row r="446" spans="1:1">
      <c r="A446" s="1"/>
    </row>
    <row r="447" spans="1:1">
      <c r="A447" s="1"/>
    </row>
    <row r="448" spans="1:1">
      <c r="A448" s="1"/>
    </row>
    <row r="449" spans="1:1">
      <c r="A449" s="1"/>
    </row>
    <row r="450" spans="1:1">
      <c r="A450" s="1"/>
    </row>
    <row r="451" spans="1:1">
      <c r="A451" s="1"/>
    </row>
    <row r="452" spans="1:1">
      <c r="A452" s="1"/>
    </row>
    <row r="453" spans="1:1">
      <c r="A453" s="1"/>
    </row>
    <row r="454" spans="1:1">
      <c r="A454" s="1"/>
    </row>
    <row r="455" spans="1:1">
      <c r="A455" s="1"/>
    </row>
    <row r="456" spans="1:1">
      <c r="A456" s="1"/>
    </row>
    <row r="457" spans="1:1">
      <c r="A457" s="1"/>
    </row>
    <row r="458" spans="1:1">
      <c r="A458" s="1"/>
    </row>
    <row r="459" spans="1:1">
      <c r="A459" s="1"/>
    </row>
    <row r="460" spans="1:1">
      <c r="A460" s="1"/>
    </row>
    <row r="461" spans="1:1">
      <c r="A461" s="1"/>
    </row>
    <row r="462" spans="1:1">
      <c r="A462" s="1"/>
    </row>
    <row r="463" spans="1:1">
      <c r="A463" s="1"/>
    </row>
    <row r="464" spans="1:1">
      <c r="A464" s="1"/>
    </row>
    <row r="465" spans="1:1">
      <c r="A465" s="1"/>
    </row>
    <row r="466" spans="1:1">
      <c r="A466" s="1"/>
    </row>
    <row r="467" spans="1:1">
      <c r="A467" s="1"/>
    </row>
    <row r="468" spans="1:1">
      <c r="A468" s="1"/>
    </row>
    <row r="469" spans="1:1">
      <c r="A469" s="1"/>
    </row>
    <row r="470" spans="1:1">
      <c r="A470" s="1"/>
    </row>
    <row r="471" spans="1:1">
      <c r="A471" s="1"/>
    </row>
    <row r="472" spans="1:1">
      <c r="A472" s="1"/>
    </row>
    <row r="473" spans="1:1">
      <c r="A473" s="1"/>
    </row>
    <row r="474" spans="1:1">
      <c r="A474" s="1"/>
    </row>
    <row r="475" spans="1:1">
      <c r="A475" s="1"/>
    </row>
    <row r="476" spans="1:1">
      <c r="A476" s="1"/>
    </row>
    <row r="477" spans="1:1">
      <c r="A477" s="1"/>
    </row>
    <row r="478" spans="1:1">
      <c r="A478" s="1"/>
    </row>
    <row r="479" spans="1:1">
      <c r="A479" s="1"/>
    </row>
    <row r="480" spans="1:1">
      <c r="A480" s="1"/>
    </row>
    <row r="481" spans="1:1">
      <c r="A481" s="1"/>
    </row>
    <row r="482" spans="1:1">
      <c r="A482" s="1"/>
    </row>
    <row r="483" spans="1:1">
      <c r="A483" s="1"/>
    </row>
    <row r="484" spans="1:1">
      <c r="A484" s="1"/>
    </row>
    <row r="485" spans="1:1">
      <c r="A485" s="1"/>
    </row>
    <row r="486" spans="1:1">
      <c r="A486" s="1"/>
    </row>
    <row r="487" spans="1:1">
      <c r="A487" s="1"/>
    </row>
    <row r="488" spans="1:1">
      <c r="A488" s="1"/>
    </row>
    <row r="489" spans="1:1">
      <c r="A489" s="1"/>
    </row>
    <row r="490" spans="1:1">
      <c r="A490" s="1"/>
    </row>
    <row r="491" spans="1:1">
      <c r="A491" s="1"/>
    </row>
    <row r="492" spans="1:1">
      <c r="A492" s="1"/>
    </row>
    <row r="493" spans="1:1">
      <c r="A493" s="1"/>
    </row>
    <row r="494" spans="1:1">
      <c r="A494" s="1"/>
    </row>
    <row r="495" spans="1:1">
      <c r="A495" s="1"/>
    </row>
    <row r="496" spans="1:1">
      <c r="A496" s="1"/>
    </row>
    <row r="497" spans="1:1">
      <c r="A497" s="1"/>
    </row>
    <row r="498" spans="1:1">
      <c r="A498" s="1"/>
    </row>
    <row r="499" spans="1:1">
      <c r="A499" s="1"/>
    </row>
    <row r="500" spans="1:1">
      <c r="A500" s="1"/>
    </row>
    <row r="501" spans="1:1">
      <c r="A501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4FB39-AAA9-4D5A-A2CE-896AA4D4A686}">
  <dimension ref="A1:A2"/>
  <sheetViews>
    <sheetView workbookViewId="0"/>
  </sheetViews>
  <sheetFormatPr defaultRowHeight="14.5"/>
  <sheetData>
    <row r="1" spans="1:1">
      <c r="A1" t="s">
        <v>29</v>
      </c>
    </row>
    <row r="2" spans="1:1">
      <c r="A2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CurrentPor-Equ Factor Movements</vt:lpstr>
      <vt:lpstr>Portfolio</vt:lpstr>
      <vt:lpstr>ES, Equity factor movement</vt:lpstr>
      <vt:lpstr>NMRF</vt:lpstr>
      <vt:lpstr>formulae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Sharma</dc:creator>
  <cp:lastModifiedBy>Office</cp:lastModifiedBy>
  <dcterms:created xsi:type="dcterms:W3CDTF">2025-10-25T09:15:32Z</dcterms:created>
  <dcterms:modified xsi:type="dcterms:W3CDTF">2025-11-07T20:09:51Z</dcterms:modified>
</cp:coreProperties>
</file>