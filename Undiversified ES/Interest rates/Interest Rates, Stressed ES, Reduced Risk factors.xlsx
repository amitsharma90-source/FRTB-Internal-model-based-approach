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-IMA,modellable risk factors\IMCCCi\Interest rates\"/>
    </mc:Choice>
  </mc:AlternateContent>
  <xr:revisionPtr revIDLastSave="0" documentId="13_ncr:1_{5943B98B-94F1-43C5-A3E2-B13ED76B873E}" xr6:coauthVersionLast="47" xr6:coauthVersionMax="47" xr10:uidLastSave="{00000000-0000-0000-0000-000000000000}"/>
  <bookViews>
    <workbookView xWindow="-110" yWindow="-110" windowWidth="19420" windowHeight="10300" tabRatio="928" activeTab="2" xr2:uid="{DC1F76F4-8BE6-409E-AD1E-84625C47D90D}"/>
  </bookViews>
  <sheets>
    <sheet name="CurrentPor-Rat Factor Movements" sheetId="4" r:id="rId1"/>
    <sheet name="Portfolio" sheetId="5" r:id="rId2"/>
    <sheet name="ES, Rates factor movement" sheetId="7" r:id="rId3"/>
    <sheet name="NMRF" sheetId="2" r:id="rId4"/>
    <sheet name="formulae" sheetId="3" r:id="rId5"/>
  </sheets>
  <definedNames>
    <definedName name="_xlnm._FilterDatabase" localSheetId="0" hidden="1">'CurrentPor-Rat Factor Movements'!$A$3:$J$263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0" i="7" l="1"/>
  <c r="H193" i="7"/>
  <c r="H194" i="7"/>
  <c r="H195" i="7"/>
  <c r="H206" i="7"/>
  <c r="H209" i="7"/>
  <c r="H210" i="7"/>
  <c r="H211" i="7"/>
  <c r="H222" i="7"/>
  <c r="H225" i="7"/>
  <c r="H226" i="7"/>
  <c r="H227" i="7"/>
  <c r="H238" i="7"/>
  <c r="H240" i="7"/>
  <c r="H241" i="7"/>
  <c r="H242" i="7"/>
  <c r="H254" i="7"/>
  <c r="H256" i="7"/>
  <c r="H257" i="7"/>
  <c r="H258" i="7"/>
  <c r="H259" i="7"/>
  <c r="L5" i="4"/>
  <c r="M5" i="4"/>
  <c r="N5" i="4"/>
  <c r="O5" i="4"/>
  <c r="P5" i="4"/>
  <c r="Q5" i="4"/>
  <c r="K5" i="4"/>
  <c r="L3" i="4"/>
  <c r="M3" i="4"/>
  <c r="N3" i="4"/>
  <c r="O3" i="4"/>
  <c r="P3" i="4"/>
  <c r="Q3" i="4"/>
  <c r="K3" i="4"/>
  <c r="B188" i="7"/>
  <c r="C188" i="7"/>
  <c r="D188" i="7"/>
  <c r="B189" i="7"/>
  <c r="C189" i="7"/>
  <c r="D189" i="7"/>
  <c r="B190" i="7"/>
  <c r="C190" i="7"/>
  <c r="D190" i="7"/>
  <c r="B191" i="7"/>
  <c r="C191" i="7"/>
  <c r="D191" i="7"/>
  <c r="B192" i="7"/>
  <c r="C192" i="7"/>
  <c r="D192" i="7"/>
  <c r="B193" i="7"/>
  <c r="C193" i="7"/>
  <c r="D193" i="7"/>
  <c r="B194" i="7"/>
  <c r="C194" i="7"/>
  <c r="D194" i="7"/>
  <c r="B195" i="7"/>
  <c r="C195" i="7"/>
  <c r="D195" i="7"/>
  <c r="B196" i="7"/>
  <c r="C196" i="7"/>
  <c r="D196" i="7"/>
  <c r="B197" i="7"/>
  <c r="C197" i="7"/>
  <c r="D197" i="7"/>
  <c r="B198" i="7"/>
  <c r="C198" i="7"/>
  <c r="D198" i="7"/>
  <c r="B199" i="7"/>
  <c r="C199" i="7"/>
  <c r="D199" i="7"/>
  <c r="B200" i="7"/>
  <c r="C200" i="7"/>
  <c r="D200" i="7"/>
  <c r="B201" i="7"/>
  <c r="C201" i="7"/>
  <c r="D201" i="7"/>
  <c r="B202" i="7"/>
  <c r="C202" i="7"/>
  <c r="D202" i="7"/>
  <c r="B203" i="7"/>
  <c r="C203" i="7"/>
  <c r="D203" i="7"/>
  <c r="B204" i="7"/>
  <c r="C204" i="7"/>
  <c r="D204" i="7"/>
  <c r="B205" i="7"/>
  <c r="C205" i="7"/>
  <c r="D205" i="7"/>
  <c r="B206" i="7"/>
  <c r="C206" i="7"/>
  <c r="D206" i="7"/>
  <c r="B207" i="7"/>
  <c r="C207" i="7"/>
  <c r="D207" i="7"/>
  <c r="B208" i="7"/>
  <c r="C208" i="7"/>
  <c r="D208" i="7"/>
  <c r="B209" i="7"/>
  <c r="C209" i="7"/>
  <c r="D209" i="7"/>
  <c r="B210" i="7"/>
  <c r="C210" i="7"/>
  <c r="D210" i="7"/>
  <c r="B211" i="7"/>
  <c r="C211" i="7"/>
  <c r="D211" i="7"/>
  <c r="B212" i="7"/>
  <c r="C212" i="7"/>
  <c r="D212" i="7"/>
  <c r="B213" i="7"/>
  <c r="C213" i="7"/>
  <c r="D213" i="7"/>
  <c r="B214" i="7"/>
  <c r="C214" i="7"/>
  <c r="D214" i="7"/>
  <c r="B215" i="7"/>
  <c r="C215" i="7"/>
  <c r="D215" i="7"/>
  <c r="B216" i="7"/>
  <c r="C216" i="7"/>
  <c r="D216" i="7"/>
  <c r="B217" i="7"/>
  <c r="C217" i="7"/>
  <c r="D217" i="7"/>
  <c r="B218" i="7"/>
  <c r="C218" i="7"/>
  <c r="D218" i="7"/>
  <c r="B219" i="7"/>
  <c r="C219" i="7"/>
  <c r="D219" i="7"/>
  <c r="B220" i="7"/>
  <c r="C220" i="7"/>
  <c r="D220" i="7"/>
  <c r="B221" i="7"/>
  <c r="C221" i="7"/>
  <c r="D221" i="7"/>
  <c r="B222" i="7"/>
  <c r="C222" i="7"/>
  <c r="D222" i="7"/>
  <c r="B223" i="7"/>
  <c r="C223" i="7"/>
  <c r="D223" i="7"/>
  <c r="B224" i="7"/>
  <c r="C224" i="7"/>
  <c r="D224" i="7"/>
  <c r="B225" i="7"/>
  <c r="C225" i="7"/>
  <c r="D225" i="7"/>
  <c r="B226" i="7"/>
  <c r="C226" i="7"/>
  <c r="D226" i="7"/>
  <c r="B227" i="7"/>
  <c r="C227" i="7"/>
  <c r="D227" i="7"/>
  <c r="B228" i="7"/>
  <c r="C228" i="7"/>
  <c r="D228" i="7"/>
  <c r="B229" i="7"/>
  <c r="C229" i="7"/>
  <c r="D229" i="7"/>
  <c r="B230" i="7"/>
  <c r="C230" i="7"/>
  <c r="D230" i="7"/>
  <c r="B231" i="7"/>
  <c r="C231" i="7"/>
  <c r="D231" i="7"/>
  <c r="B232" i="7"/>
  <c r="C232" i="7"/>
  <c r="D232" i="7"/>
  <c r="B233" i="7"/>
  <c r="C233" i="7"/>
  <c r="D233" i="7"/>
  <c r="B234" i="7"/>
  <c r="C234" i="7"/>
  <c r="D234" i="7"/>
  <c r="B235" i="7"/>
  <c r="C235" i="7"/>
  <c r="D235" i="7"/>
  <c r="B236" i="7"/>
  <c r="C236" i="7"/>
  <c r="D236" i="7"/>
  <c r="B237" i="7"/>
  <c r="C237" i="7"/>
  <c r="D237" i="7"/>
  <c r="B238" i="7"/>
  <c r="C238" i="7"/>
  <c r="D238" i="7"/>
  <c r="B239" i="7"/>
  <c r="C239" i="7"/>
  <c r="D239" i="7"/>
  <c r="B240" i="7"/>
  <c r="C240" i="7"/>
  <c r="D240" i="7"/>
  <c r="B241" i="7"/>
  <c r="C241" i="7"/>
  <c r="D241" i="7"/>
  <c r="B242" i="7"/>
  <c r="C242" i="7"/>
  <c r="D242" i="7"/>
  <c r="B243" i="7"/>
  <c r="C243" i="7"/>
  <c r="D243" i="7"/>
  <c r="B244" i="7"/>
  <c r="C244" i="7"/>
  <c r="D244" i="7"/>
  <c r="B245" i="7"/>
  <c r="C245" i="7"/>
  <c r="D245" i="7"/>
  <c r="B246" i="7"/>
  <c r="C246" i="7"/>
  <c r="D246" i="7"/>
  <c r="B247" i="7"/>
  <c r="C247" i="7"/>
  <c r="D247" i="7"/>
  <c r="B248" i="7"/>
  <c r="C248" i="7"/>
  <c r="D248" i="7"/>
  <c r="B249" i="7"/>
  <c r="C249" i="7"/>
  <c r="D249" i="7"/>
  <c r="B250" i="7"/>
  <c r="C250" i="7"/>
  <c r="D250" i="7"/>
  <c r="B251" i="7"/>
  <c r="C251" i="7"/>
  <c r="D251" i="7"/>
  <c r="B252" i="7"/>
  <c r="C252" i="7"/>
  <c r="D252" i="7"/>
  <c r="B253" i="7"/>
  <c r="C253" i="7"/>
  <c r="D253" i="7"/>
  <c r="B254" i="7"/>
  <c r="C254" i="7"/>
  <c r="D254" i="7"/>
  <c r="B255" i="7"/>
  <c r="C255" i="7"/>
  <c r="D255" i="7"/>
  <c r="B256" i="7"/>
  <c r="C256" i="7"/>
  <c r="D256" i="7"/>
  <c r="B257" i="7"/>
  <c r="C257" i="7"/>
  <c r="D257" i="7"/>
  <c r="B258" i="7"/>
  <c r="C258" i="7"/>
  <c r="D258" i="7"/>
  <c r="B259" i="7"/>
  <c r="C259" i="7"/>
  <c r="D259" i="7"/>
  <c r="B260" i="7"/>
  <c r="C260" i="7"/>
  <c r="D260" i="7"/>
  <c r="B261" i="7"/>
  <c r="C261" i="7"/>
  <c r="D261" i="7"/>
  <c r="B262" i="7"/>
  <c r="C262" i="7"/>
  <c r="D262" i="7"/>
  <c r="B263" i="7"/>
  <c r="C263" i="7"/>
  <c r="D263" i="7"/>
  <c r="F188" i="7"/>
  <c r="G188" i="7"/>
  <c r="H188" i="7"/>
  <c r="F189" i="7"/>
  <c r="G189" i="7"/>
  <c r="H189" i="7"/>
  <c r="F190" i="7"/>
  <c r="G190" i="7"/>
  <c r="F191" i="7"/>
  <c r="G191" i="7"/>
  <c r="H191" i="7"/>
  <c r="F192" i="7"/>
  <c r="G192" i="7"/>
  <c r="H192" i="7"/>
  <c r="F193" i="7"/>
  <c r="G193" i="7"/>
  <c r="F194" i="7"/>
  <c r="G194" i="7"/>
  <c r="F195" i="7"/>
  <c r="G195" i="7"/>
  <c r="F196" i="7"/>
  <c r="G196" i="7"/>
  <c r="H196" i="7"/>
  <c r="F197" i="7"/>
  <c r="G197" i="7"/>
  <c r="H197" i="7"/>
  <c r="F198" i="7"/>
  <c r="G198" i="7"/>
  <c r="H198" i="7"/>
  <c r="F199" i="7"/>
  <c r="G199" i="7"/>
  <c r="H199" i="7"/>
  <c r="F200" i="7"/>
  <c r="G200" i="7"/>
  <c r="H200" i="7"/>
  <c r="F201" i="7"/>
  <c r="G201" i="7"/>
  <c r="H201" i="7"/>
  <c r="F202" i="7"/>
  <c r="G202" i="7"/>
  <c r="H202" i="7"/>
  <c r="F203" i="7"/>
  <c r="G203" i="7"/>
  <c r="H203" i="7"/>
  <c r="F204" i="7"/>
  <c r="G204" i="7"/>
  <c r="H204" i="7"/>
  <c r="F205" i="7"/>
  <c r="G205" i="7"/>
  <c r="H205" i="7"/>
  <c r="F206" i="7"/>
  <c r="G206" i="7"/>
  <c r="F207" i="7"/>
  <c r="G207" i="7"/>
  <c r="H207" i="7"/>
  <c r="F208" i="7"/>
  <c r="G208" i="7"/>
  <c r="H208" i="7"/>
  <c r="F209" i="7"/>
  <c r="G209" i="7"/>
  <c r="F210" i="7"/>
  <c r="G210" i="7"/>
  <c r="F211" i="7"/>
  <c r="G211" i="7"/>
  <c r="F212" i="7"/>
  <c r="G212" i="7"/>
  <c r="H212" i="7"/>
  <c r="F213" i="7"/>
  <c r="G213" i="7"/>
  <c r="H213" i="7"/>
  <c r="F214" i="7"/>
  <c r="G214" i="7"/>
  <c r="H214" i="7"/>
  <c r="F215" i="7"/>
  <c r="G215" i="7"/>
  <c r="H215" i="7"/>
  <c r="F216" i="7"/>
  <c r="G216" i="7"/>
  <c r="H216" i="7"/>
  <c r="F217" i="7"/>
  <c r="G217" i="7"/>
  <c r="H217" i="7"/>
  <c r="F218" i="7"/>
  <c r="G218" i="7"/>
  <c r="H218" i="7"/>
  <c r="F219" i="7"/>
  <c r="G219" i="7"/>
  <c r="H219" i="7"/>
  <c r="F220" i="7"/>
  <c r="G220" i="7"/>
  <c r="H220" i="7"/>
  <c r="F221" i="7"/>
  <c r="G221" i="7"/>
  <c r="H221" i="7"/>
  <c r="F222" i="7"/>
  <c r="G222" i="7"/>
  <c r="F223" i="7"/>
  <c r="G223" i="7"/>
  <c r="H223" i="7"/>
  <c r="F224" i="7"/>
  <c r="G224" i="7"/>
  <c r="H224" i="7"/>
  <c r="F225" i="7"/>
  <c r="G225" i="7"/>
  <c r="F226" i="7"/>
  <c r="G226" i="7"/>
  <c r="F227" i="7"/>
  <c r="G227" i="7"/>
  <c r="F228" i="7"/>
  <c r="G228" i="7"/>
  <c r="H228" i="7"/>
  <c r="F229" i="7"/>
  <c r="G229" i="7"/>
  <c r="H229" i="7"/>
  <c r="F230" i="7"/>
  <c r="G230" i="7"/>
  <c r="H230" i="7"/>
  <c r="F231" i="7"/>
  <c r="G231" i="7"/>
  <c r="H231" i="7"/>
  <c r="F232" i="7"/>
  <c r="G232" i="7"/>
  <c r="H232" i="7"/>
  <c r="F233" i="7"/>
  <c r="G233" i="7"/>
  <c r="H233" i="7"/>
  <c r="F234" i="7"/>
  <c r="G234" i="7"/>
  <c r="H234" i="7"/>
  <c r="F235" i="7"/>
  <c r="G235" i="7"/>
  <c r="H235" i="7"/>
  <c r="F236" i="7"/>
  <c r="G236" i="7"/>
  <c r="H236" i="7"/>
  <c r="F237" i="7"/>
  <c r="G237" i="7"/>
  <c r="H237" i="7"/>
  <c r="F238" i="7"/>
  <c r="G238" i="7"/>
  <c r="F239" i="7"/>
  <c r="G239" i="7"/>
  <c r="H239" i="7"/>
  <c r="F240" i="7"/>
  <c r="G240" i="7"/>
  <c r="F241" i="7"/>
  <c r="G241" i="7"/>
  <c r="F242" i="7"/>
  <c r="G242" i="7"/>
  <c r="F243" i="7"/>
  <c r="G243" i="7"/>
  <c r="H243" i="7"/>
  <c r="F244" i="7"/>
  <c r="G244" i="7"/>
  <c r="H244" i="7"/>
  <c r="F245" i="7"/>
  <c r="G245" i="7"/>
  <c r="H245" i="7"/>
  <c r="F246" i="7"/>
  <c r="G246" i="7"/>
  <c r="H246" i="7"/>
  <c r="F247" i="7"/>
  <c r="G247" i="7"/>
  <c r="H247" i="7"/>
  <c r="F248" i="7"/>
  <c r="G248" i="7"/>
  <c r="H248" i="7"/>
  <c r="F249" i="7"/>
  <c r="G249" i="7"/>
  <c r="H249" i="7"/>
  <c r="F250" i="7"/>
  <c r="G250" i="7"/>
  <c r="H250" i="7"/>
  <c r="F251" i="7"/>
  <c r="G251" i="7"/>
  <c r="H251" i="7"/>
  <c r="F252" i="7"/>
  <c r="G252" i="7"/>
  <c r="H252" i="7"/>
  <c r="F253" i="7"/>
  <c r="G253" i="7"/>
  <c r="H253" i="7"/>
  <c r="F254" i="7"/>
  <c r="G254" i="7"/>
  <c r="F255" i="7"/>
  <c r="G255" i="7"/>
  <c r="H255" i="7"/>
  <c r="F256" i="7"/>
  <c r="G256" i="7"/>
  <c r="F257" i="7"/>
  <c r="G257" i="7"/>
  <c r="F258" i="7"/>
  <c r="G258" i="7"/>
  <c r="F259" i="7"/>
  <c r="G259" i="7"/>
  <c r="F260" i="7"/>
  <c r="G260" i="7"/>
  <c r="H260" i="7"/>
  <c r="F261" i="7"/>
  <c r="G261" i="7"/>
  <c r="H261" i="7"/>
  <c r="F262" i="7"/>
  <c r="G262" i="7"/>
  <c r="H262" i="7"/>
  <c r="F263" i="7"/>
  <c r="G263" i="7"/>
  <c r="H263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I233" i="7" l="1"/>
  <c r="I236" i="7"/>
  <c r="I204" i="7"/>
  <c r="I231" i="7"/>
  <c r="I199" i="7"/>
  <c r="I252" i="7"/>
  <c r="I212" i="7"/>
  <c r="I217" i="7"/>
  <c r="I207" i="7"/>
  <c r="I253" i="7"/>
  <c r="I201" i="7"/>
  <c r="I215" i="7"/>
  <c r="I237" i="7"/>
  <c r="I263" i="7"/>
  <c r="I247" i="7"/>
  <c r="I196" i="7"/>
  <c r="I227" i="7"/>
  <c r="I211" i="7"/>
  <c r="I262" i="7"/>
  <c r="I223" i="7"/>
  <c r="I251" i="7"/>
  <c r="I219" i="7"/>
  <c r="I190" i="7"/>
  <c r="I234" i="7"/>
  <c r="I250" i="7"/>
  <c r="I218" i="7"/>
  <c r="I260" i="7"/>
  <c r="J260" i="7" s="1"/>
  <c r="I249" i="7"/>
  <c r="I222" i="7"/>
  <c r="R5" i="4"/>
  <c r="R3" i="4"/>
  <c r="I230" i="7"/>
  <c r="I244" i="7"/>
  <c r="I261" i="7"/>
  <c r="I257" i="7"/>
  <c r="I241" i="7"/>
  <c r="I225" i="7"/>
  <c r="I209" i="7"/>
  <c r="I193" i="7"/>
  <c r="I255" i="7"/>
  <c r="I239" i="7"/>
  <c r="I254" i="7"/>
  <c r="I238" i="7"/>
  <c r="I206" i="7"/>
  <c r="I229" i="7"/>
  <c r="I228" i="7"/>
  <c r="I235" i="7"/>
  <c r="I203" i="7"/>
  <c r="I202" i="7"/>
  <c r="I192" i="7"/>
  <c r="I248" i="7"/>
  <c r="I205" i="7"/>
  <c r="I226" i="7"/>
  <c r="I213" i="7"/>
  <c r="I256" i="7"/>
  <c r="I243" i="7"/>
  <c r="J243" i="7" s="1"/>
  <c r="I200" i="7"/>
  <c r="I191" i="7"/>
  <c r="I208" i="7"/>
  <c r="I195" i="7"/>
  <c r="I246" i="7"/>
  <c r="J246" i="7" s="1"/>
  <c r="I242" i="7"/>
  <c r="J252" i="7" s="1"/>
  <c r="I221" i="7"/>
  <c r="I220" i="7"/>
  <c r="I259" i="7"/>
  <c r="I216" i="7"/>
  <c r="I198" i="7"/>
  <c r="I194" i="7"/>
  <c r="I224" i="7"/>
  <c r="I258" i="7"/>
  <c r="I245" i="7"/>
  <c r="I189" i="7"/>
  <c r="J199" i="7" s="1"/>
  <c r="I232" i="7"/>
  <c r="I188" i="7"/>
  <c r="I214" i="7"/>
  <c r="J214" i="7" s="1"/>
  <c r="I210" i="7"/>
  <c r="I197" i="7"/>
  <c r="I240" i="7"/>
  <c r="J233" i="7" l="1"/>
  <c r="J227" i="7"/>
  <c r="J201" i="7"/>
  <c r="J217" i="7"/>
  <c r="J263" i="7"/>
  <c r="J222" i="7"/>
  <c r="J207" i="7"/>
  <c r="J212" i="7"/>
  <c r="J262" i="7"/>
  <c r="J211" i="7"/>
  <c r="J247" i="7"/>
  <c r="J237" i="7"/>
  <c r="J250" i="7"/>
  <c r="J219" i="7"/>
  <c r="J225" i="7"/>
  <c r="J198" i="7"/>
  <c r="J205" i="7"/>
  <c r="J257" i="7"/>
  <c r="J253" i="7"/>
  <c r="J221" i="7"/>
  <c r="J251" i="7"/>
  <c r="J249" i="7"/>
  <c r="J209" i="7"/>
  <c r="J208" i="7"/>
  <c r="J203" i="7"/>
  <c r="J235" i="7"/>
  <c r="J200" i="7"/>
  <c r="J228" i="7"/>
  <c r="J244" i="7"/>
  <c r="J229" i="7"/>
  <c r="J206" i="7"/>
  <c r="J240" i="7"/>
  <c r="J248" i="7"/>
  <c r="J238" i="7"/>
  <c r="J202" i="7"/>
  <c r="J254" i="7"/>
  <c r="J216" i="7"/>
  <c r="J259" i="7"/>
  <c r="J210" i="7"/>
  <c r="J230" i="7"/>
  <c r="J213" i="7"/>
  <c r="J218" i="7"/>
  <c r="J232" i="7"/>
  <c r="J261" i="7"/>
  <c r="J239" i="7"/>
  <c r="J245" i="7"/>
  <c r="J241" i="7"/>
  <c r="J231" i="7"/>
  <c r="J242" i="7"/>
  <c r="J224" i="7"/>
  <c r="J226" i="7"/>
  <c r="J220" i="7"/>
  <c r="J223" i="7"/>
  <c r="J255" i="7"/>
  <c r="J236" i="7"/>
  <c r="J215" i="7"/>
  <c r="J258" i="7"/>
  <c r="J234" i="7"/>
  <c r="J256" i="7"/>
  <c r="J204" i="7"/>
  <c r="F8" i="5" l="1"/>
  <c r="F6" i="5"/>
  <c r="F7" i="5"/>
  <c r="F5" i="5"/>
  <c r="F3" i="5"/>
  <c r="F4" i="5"/>
  <c r="F2" i="5"/>
  <c r="F9" i="5" s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3" i="7"/>
  <c r="G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3" i="7"/>
  <c r="I115" i="7" l="1"/>
  <c r="I56" i="7"/>
  <c r="I179" i="7"/>
  <c r="J189" i="7" s="1"/>
  <c r="I163" i="7"/>
  <c r="I147" i="7"/>
  <c r="I131" i="7"/>
  <c r="I99" i="7"/>
  <c r="I67" i="7"/>
  <c r="I51" i="7"/>
  <c r="I35" i="7"/>
  <c r="I19" i="7"/>
  <c r="I130" i="7"/>
  <c r="I177" i="7"/>
  <c r="I161" i="7"/>
  <c r="I145" i="7"/>
  <c r="I129" i="7"/>
  <c r="I113" i="7"/>
  <c r="I97" i="7"/>
  <c r="I81" i="7"/>
  <c r="I187" i="7"/>
  <c r="J197" i="7" s="1"/>
  <c r="I171" i="7"/>
  <c r="I155" i="7"/>
  <c r="I139" i="7"/>
  <c r="I123" i="7"/>
  <c r="I107" i="7"/>
  <c r="I91" i="7"/>
  <c r="I75" i="7"/>
  <c r="I59" i="7"/>
  <c r="I43" i="7"/>
  <c r="I27" i="7"/>
  <c r="I11" i="7"/>
  <c r="I185" i="7"/>
  <c r="J195" i="7" s="1"/>
  <c r="I169" i="7"/>
  <c r="I153" i="7"/>
  <c r="I137" i="7"/>
  <c r="I121" i="7"/>
  <c r="I105" i="7"/>
  <c r="I89" i="7"/>
  <c r="I73" i="7"/>
  <c r="I57" i="7"/>
  <c r="I41" i="7"/>
  <c r="I25" i="7"/>
  <c r="I9" i="7"/>
  <c r="I83" i="7"/>
  <c r="I174" i="7"/>
  <c r="I158" i="7"/>
  <c r="I142" i="7"/>
  <c r="I126" i="7"/>
  <c r="I110" i="7"/>
  <c r="I94" i="7"/>
  <c r="I78" i="7"/>
  <c r="I62" i="7"/>
  <c r="I46" i="7"/>
  <c r="I30" i="7"/>
  <c r="I14" i="7"/>
  <c r="I162" i="7"/>
  <c r="I173" i="7"/>
  <c r="I157" i="7"/>
  <c r="I141" i="7"/>
  <c r="I125" i="7"/>
  <c r="I109" i="7"/>
  <c r="I93" i="7"/>
  <c r="I77" i="7"/>
  <c r="I61" i="7"/>
  <c r="I45" i="7"/>
  <c r="I29" i="7"/>
  <c r="I13" i="7"/>
  <c r="I178" i="7"/>
  <c r="J188" i="7" s="1"/>
  <c r="I3" i="7"/>
  <c r="I172" i="7"/>
  <c r="I156" i="7"/>
  <c r="I140" i="7"/>
  <c r="I124" i="7"/>
  <c r="I108" i="7"/>
  <c r="I92" i="7"/>
  <c r="I76" i="7"/>
  <c r="I60" i="7"/>
  <c r="I44" i="7"/>
  <c r="I28" i="7"/>
  <c r="I12" i="7"/>
  <c r="I186" i="7"/>
  <c r="J196" i="7" s="1"/>
  <c r="I170" i="7"/>
  <c r="I154" i="7"/>
  <c r="I138" i="7"/>
  <c r="I122" i="7"/>
  <c r="I106" i="7"/>
  <c r="I90" i="7"/>
  <c r="I74" i="7"/>
  <c r="I58" i="7"/>
  <c r="I42" i="7"/>
  <c r="I26" i="7"/>
  <c r="I10" i="7"/>
  <c r="I40" i="7"/>
  <c r="I24" i="7"/>
  <c r="I8" i="7"/>
  <c r="I152" i="7"/>
  <c r="I120" i="7"/>
  <c r="J120" i="7" s="1"/>
  <c r="I72" i="7"/>
  <c r="I183" i="7"/>
  <c r="J193" i="7" s="1"/>
  <c r="I167" i="7"/>
  <c r="I151" i="7"/>
  <c r="I135" i="7"/>
  <c r="I119" i="7"/>
  <c r="I103" i="7"/>
  <c r="I87" i="7"/>
  <c r="I71" i="7"/>
  <c r="I55" i="7"/>
  <c r="I39" i="7"/>
  <c r="I23" i="7"/>
  <c r="I7" i="7"/>
  <c r="I168" i="7"/>
  <c r="I136" i="7"/>
  <c r="I88" i="7"/>
  <c r="I182" i="7"/>
  <c r="J192" i="7" s="1"/>
  <c r="I166" i="7"/>
  <c r="I150" i="7"/>
  <c r="I134" i="7"/>
  <c r="I118" i="7"/>
  <c r="I102" i="7"/>
  <c r="I86" i="7"/>
  <c r="I70" i="7"/>
  <c r="I54" i="7"/>
  <c r="I38" i="7"/>
  <c r="I22" i="7"/>
  <c r="I6" i="7"/>
  <c r="I181" i="7"/>
  <c r="J191" i="7" s="1"/>
  <c r="I165" i="7"/>
  <c r="I149" i="7"/>
  <c r="I133" i="7"/>
  <c r="I117" i="7"/>
  <c r="I101" i="7"/>
  <c r="I85" i="7"/>
  <c r="I69" i="7"/>
  <c r="I53" i="7"/>
  <c r="I37" i="7"/>
  <c r="I21" i="7"/>
  <c r="I5" i="7"/>
  <c r="I184" i="7"/>
  <c r="J194" i="7" s="1"/>
  <c r="I104" i="7"/>
  <c r="I180" i="7"/>
  <c r="J190" i="7" s="1"/>
  <c r="I164" i="7"/>
  <c r="I148" i="7"/>
  <c r="I132" i="7"/>
  <c r="I116" i="7"/>
  <c r="I100" i="7"/>
  <c r="I84" i="7"/>
  <c r="I68" i="7"/>
  <c r="I52" i="7"/>
  <c r="I36" i="7"/>
  <c r="I20" i="7"/>
  <c r="I4" i="7"/>
  <c r="I114" i="7"/>
  <c r="I98" i="7"/>
  <c r="I82" i="7"/>
  <c r="I66" i="7"/>
  <c r="I50" i="7"/>
  <c r="I34" i="7"/>
  <c r="I18" i="7"/>
  <c r="I65" i="7"/>
  <c r="I49" i="7"/>
  <c r="I33" i="7"/>
  <c r="I17" i="7"/>
  <c r="I176" i="7"/>
  <c r="I160" i="7"/>
  <c r="I144" i="7"/>
  <c r="I128" i="7"/>
  <c r="I112" i="7"/>
  <c r="I96" i="7"/>
  <c r="I80" i="7"/>
  <c r="I64" i="7"/>
  <c r="I48" i="7"/>
  <c r="I32" i="7"/>
  <c r="I16" i="7"/>
  <c r="I146" i="7"/>
  <c r="I175" i="7"/>
  <c r="I159" i="7"/>
  <c r="I143" i="7"/>
  <c r="I127" i="7"/>
  <c r="I111" i="7"/>
  <c r="I95" i="7"/>
  <c r="I79" i="7"/>
  <c r="I63" i="7"/>
  <c r="I47" i="7"/>
  <c r="I31" i="7"/>
  <c r="I15" i="7"/>
  <c r="J143" i="7" l="1"/>
  <c r="J47" i="7"/>
  <c r="J183" i="7"/>
  <c r="J182" i="7"/>
  <c r="J113" i="7"/>
  <c r="J116" i="7"/>
  <c r="J31" i="7"/>
  <c r="J66" i="7"/>
  <c r="J104" i="7"/>
  <c r="J125" i="7"/>
  <c r="J83" i="7"/>
  <c r="J59" i="7"/>
  <c r="J159" i="7"/>
  <c r="J55" i="7"/>
  <c r="J115" i="7"/>
  <c r="J163" i="7"/>
  <c r="J179" i="7"/>
  <c r="J181" i="7"/>
  <c r="J77" i="7"/>
  <c r="J145" i="7"/>
  <c r="J105" i="7"/>
  <c r="J42" i="7"/>
  <c r="J43" i="7"/>
  <c r="J141" i="7"/>
  <c r="J107" i="7"/>
  <c r="J100" i="7"/>
  <c r="J132" i="7"/>
  <c r="J165" i="7"/>
  <c r="J109" i="7"/>
  <c r="J157" i="7"/>
  <c r="J123" i="7"/>
  <c r="J146" i="7"/>
  <c r="J93" i="7"/>
  <c r="J27" i="7"/>
  <c r="J177" i="7"/>
  <c r="J91" i="7"/>
  <c r="J75" i="7"/>
  <c r="J144" i="7"/>
  <c r="J68" i="7"/>
  <c r="J84" i="7"/>
  <c r="J117" i="7"/>
  <c r="J26" i="7"/>
  <c r="J19" i="7"/>
  <c r="J99" i="7"/>
  <c r="J69" i="7"/>
  <c r="J101" i="7"/>
  <c r="J150" i="7"/>
  <c r="J167" i="7"/>
  <c r="J138" i="7"/>
  <c r="J166" i="7"/>
  <c r="J175" i="7"/>
  <c r="J32" i="7"/>
  <c r="J185" i="7"/>
  <c r="J23" i="7"/>
  <c r="J54" i="7"/>
  <c r="J81" i="7"/>
  <c r="J35" i="7"/>
  <c r="J114" i="7"/>
  <c r="J21" i="7"/>
  <c r="J70" i="7"/>
  <c r="J87" i="7"/>
  <c r="J58" i="7"/>
  <c r="J173" i="7"/>
  <c r="J41" i="7"/>
  <c r="J158" i="7"/>
  <c r="J121" i="7"/>
  <c r="J160" i="7"/>
  <c r="J37" i="7"/>
  <c r="J86" i="7"/>
  <c r="J74" i="7"/>
  <c r="J162" i="7"/>
  <c r="J137" i="7"/>
  <c r="J176" i="7"/>
  <c r="J63" i="7"/>
  <c r="J102" i="7"/>
  <c r="J90" i="7"/>
  <c r="J73" i="7"/>
  <c r="J36" i="7"/>
  <c r="J118" i="7"/>
  <c r="J131" i="7"/>
  <c r="J57" i="7"/>
  <c r="J52" i="7"/>
  <c r="J85" i="7"/>
  <c r="J134" i="7"/>
  <c r="J147" i="7"/>
  <c r="J103" i="7"/>
  <c r="J133" i="7"/>
  <c r="J33" i="7"/>
  <c r="J149" i="7"/>
  <c r="J129" i="7"/>
  <c r="J20" i="7"/>
  <c r="J97" i="7"/>
  <c r="J135" i="7"/>
  <c r="J140" i="7"/>
  <c r="J161" i="7"/>
  <c r="J51" i="7"/>
  <c r="J80" i="7"/>
  <c r="J119" i="7"/>
  <c r="J67" i="7"/>
  <c r="J14" i="7"/>
  <c r="J139" i="7"/>
  <c r="J53" i="7"/>
  <c r="J25" i="7"/>
  <c r="J168" i="7"/>
  <c r="J154" i="7"/>
  <c r="J178" i="7"/>
  <c r="J30" i="7"/>
  <c r="J155" i="7"/>
  <c r="J152" i="7"/>
  <c r="J170" i="7"/>
  <c r="J46" i="7"/>
  <c r="J171" i="7"/>
  <c r="J50" i="7"/>
  <c r="J180" i="7"/>
  <c r="J16" i="7"/>
  <c r="J186" i="7"/>
  <c r="J13" i="7"/>
  <c r="J62" i="7"/>
  <c r="J187" i="7"/>
  <c r="J71" i="7"/>
  <c r="J151" i="7"/>
  <c r="J106" i="7"/>
  <c r="J22" i="7"/>
  <c r="J29" i="7"/>
  <c r="J79" i="7"/>
  <c r="J122" i="7"/>
  <c r="J82" i="7"/>
  <c r="J184" i="7"/>
  <c r="J48" i="7"/>
  <c r="J18" i="7"/>
  <c r="J28" i="7"/>
  <c r="J45" i="7"/>
  <c r="J111" i="7"/>
  <c r="J95" i="7"/>
  <c r="J128" i="7"/>
  <c r="J98" i="7"/>
  <c r="J15" i="7"/>
  <c r="J39" i="7"/>
  <c r="J44" i="7"/>
  <c r="J61" i="7"/>
  <c r="J96" i="7"/>
  <c r="J169" i="7"/>
  <c r="J89" i="7"/>
  <c r="J112" i="7"/>
  <c r="J153" i="7"/>
  <c r="J148" i="7"/>
  <c r="J56" i="7"/>
  <c r="J60" i="7"/>
  <c r="J78" i="7"/>
  <c r="J24" i="7"/>
  <c r="J164" i="7"/>
  <c r="J76" i="7"/>
  <c r="J94" i="7"/>
  <c r="J127" i="7"/>
  <c r="J17" i="7"/>
  <c r="J92" i="7"/>
  <c r="J110" i="7"/>
  <c r="J40" i="7"/>
  <c r="J38" i="7"/>
  <c r="J108" i="7"/>
  <c r="J126" i="7"/>
  <c r="J49" i="7"/>
  <c r="J124" i="7"/>
  <c r="J142" i="7"/>
  <c r="J130" i="7"/>
  <c r="J65" i="7"/>
  <c r="J88" i="7"/>
  <c r="J156" i="7"/>
  <c r="J174" i="7"/>
  <c r="J64" i="7"/>
  <c r="J136" i="7"/>
  <c r="J172" i="7"/>
  <c r="J34" i="7"/>
  <c r="J72" i="7"/>
  <c r="K3" i="7" l="1"/>
  <c r="L3" i="7" s="1"/>
  <c r="O2" i="5" s="1"/>
  <c r="P2" i="5" s="1"/>
  <c r="Q2" i="5" s="1"/>
  <c r="Q3" i="5" l="1"/>
</calcChain>
</file>

<file path=xl/sharedStrings.xml><?xml version="1.0" encoding="utf-8"?>
<sst xmlns="http://schemas.openxmlformats.org/spreadsheetml/2006/main" count="90" uniqueCount="75">
  <si>
    <t>DATE</t>
  </si>
  <si>
    <t>1Y_Treasury</t>
  </si>
  <si>
    <t>2Y_Treasury</t>
  </si>
  <si>
    <t>8. 🔋 Lithium / Rare Earth Commodity Futures</t>
  </si>
  <si>
    <t>The Risk Factor:</t>
  </si>
  <si>
    <r>
      <t>Lithium carbonate</t>
    </r>
    <r>
      <rPr>
        <sz val="11"/>
        <color theme="1"/>
        <rFont val="Aptos Narrow"/>
        <family val="2"/>
        <scheme val="minor"/>
      </rPr>
      <t xml:space="preserve"> futures</t>
    </r>
  </si>
  <si>
    <r>
      <t>Cobalt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rare earth element</t>
    </r>
    <r>
      <rPr>
        <sz val="11"/>
        <color theme="1"/>
        <rFont val="Aptos Narrow"/>
        <family val="2"/>
        <scheme val="minor"/>
      </rPr>
      <t xml:space="preserve"> derivatives</t>
    </r>
  </si>
  <si>
    <t>Why NMRF in 2007:</t>
  </si>
  <si>
    <t>❌ No lithium futures (demand was minimal - pre-EV boom)</t>
  </si>
  <si>
    <t>❌ Rare earths traded OTC only</t>
  </si>
  <si>
    <t>❌ China monopoly = no transparent pricing</t>
  </si>
  <si>
    <t>❌ No derivatives exchanges</t>
  </si>
  <si>
    <t>Today:</t>
  </si>
  <si>
    <t>✅ CME lithium futures launched (2021)</t>
  </si>
  <si>
    <t>✅ LME cobalt futures exist</t>
  </si>
  <si>
    <t>✅ But often NMRF:</t>
  </si>
  <si>
    <t>Only 2-3 years of data (lithium)</t>
  </si>
  <si>
    <t>Extreme price manipulation concerns</t>
  </si>
  <si>
    <t>Concentration risk (few producers)</t>
  </si>
  <si>
    <t>9. 🌐 Sovereign CDS for Frontier Markets</t>
  </si>
  <si>
    <r>
      <t>CDS spreads</t>
    </r>
    <r>
      <rPr>
        <sz val="11"/>
        <color theme="1"/>
        <rFont val="Aptos Narrow"/>
        <family val="2"/>
        <scheme val="minor"/>
      </rPr>
      <t xml:space="preserve"> for countries like </t>
    </r>
    <r>
      <rPr>
        <b/>
        <sz val="11"/>
        <color theme="1"/>
        <rFont val="Aptos Narrow"/>
        <family val="2"/>
        <scheme val="minor"/>
      </rPr>
      <t>Nigeria, Kenya, Bangladesh</t>
    </r>
  </si>
  <si>
    <t>⚠️ EM CDS existed but limited to major EMs (Brazil, Russia, Turkey)</t>
  </si>
  <si>
    <r>
      <t xml:space="preserve">❌ </t>
    </r>
    <r>
      <rPr>
        <b/>
        <sz val="11"/>
        <color theme="1"/>
        <rFont val="Aptos Narrow"/>
        <family val="2"/>
        <scheme val="minor"/>
      </rPr>
      <t>Frontier markets:</t>
    </r>
    <r>
      <rPr>
        <sz val="11"/>
        <color theme="1"/>
        <rFont val="Aptos Narrow"/>
        <family val="2"/>
        <scheme val="minor"/>
      </rPr>
      <t xml:space="preserve"> No CDS market at all</t>
    </r>
  </si>
  <si>
    <t>❌ Illiquid sovereign bonds = no spread derivatives</t>
  </si>
  <si>
    <t>❌ Post-2008, some markets developed</t>
  </si>
  <si>
    <t>Carbon credits</t>
  </si>
  <si>
    <t>ESG/Green Bond Spreads</t>
  </si>
  <si>
    <t>MSFT price</t>
  </si>
  <si>
    <t>Intel price</t>
  </si>
  <si>
    <t>NORM.INV(RAND(), 38, 5)</t>
  </si>
  <si>
    <t>Coupon</t>
  </si>
  <si>
    <t>FILTER(A2, WEEKDAY(A2, 2) &lt;= 5)</t>
  </si>
  <si>
    <t>Credit Spread: Corporate(HY)</t>
  </si>
  <si>
    <t>Credit spread: sovereign (high yield, or HY)</t>
  </si>
  <si>
    <t>Credit spread: sovereign (investment grade, or IG)</t>
  </si>
  <si>
    <t>Carbon Credits</t>
  </si>
  <si>
    <t>Treasury bonds</t>
  </si>
  <si>
    <t>Holding</t>
  </si>
  <si>
    <t>Quantity</t>
  </si>
  <si>
    <t>Notional</t>
  </si>
  <si>
    <t>Sovereign Bonds IG</t>
  </si>
  <si>
    <t>Sovereign Bonds HY</t>
  </si>
  <si>
    <t>Price</t>
  </si>
  <si>
    <t>MSFT stocks</t>
  </si>
  <si>
    <t>Intel Stock</t>
  </si>
  <si>
    <t>Treasury Bonds IG valuation</t>
  </si>
  <si>
    <t>Credit spread: Sovereign Bonds IG valuation</t>
  </si>
  <si>
    <t>MSFT</t>
  </si>
  <si>
    <t>Intel</t>
  </si>
  <si>
    <t>carbon credits</t>
  </si>
  <si>
    <t>Portfolio value</t>
  </si>
  <si>
    <t>10 day PnL</t>
  </si>
  <si>
    <t>ES</t>
  </si>
  <si>
    <t>VaR</t>
  </si>
  <si>
    <t>Credit Spread:Corporate HY</t>
  </si>
  <si>
    <t>Credit Spread Corporate HY</t>
  </si>
  <si>
    <t>ES, Q(pi,1)</t>
  </si>
  <si>
    <t>LH  = 10</t>
  </si>
  <si>
    <t>LH  = 20</t>
  </si>
  <si>
    <t>LH  = 40</t>
  </si>
  <si>
    <t>LH  = 60</t>
  </si>
  <si>
    <t>Absolute ES</t>
  </si>
  <si>
    <t>Calculated value</t>
  </si>
  <si>
    <t>LH</t>
  </si>
  <si>
    <r>
      <t>ES</t>
    </r>
    <r>
      <rPr>
        <vertAlign val="subscript"/>
        <sz val="14"/>
        <color theme="1"/>
        <rFont val="Aptos Narrow"/>
        <family val="2"/>
        <scheme val="minor"/>
      </rPr>
      <t>F,C</t>
    </r>
  </si>
  <si>
    <t>Total</t>
  </si>
  <si>
    <t>T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</si>
  <si>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(P)</t>
    </r>
  </si>
  <si>
    <t>LH=10</t>
  </si>
  <si>
    <t>LH=10, 20</t>
  </si>
  <si>
    <t>LH=10, 40</t>
  </si>
  <si>
    <t>LH=10, 60</t>
  </si>
  <si>
    <t>LH=20</t>
  </si>
  <si>
    <t>Standard deviation of factors</t>
  </si>
  <si>
    <t>Standard deviation/Average%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</si>
</sst>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000"/>
    <numFmt numFmtId="165" formatCode="0.0000%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9"/>
      <color rgb="FF0A0A0A"/>
      <name val="Courier New"/>
      <family val="3"/>
    </font>
    <font>
      <sz val="10"/>
      <color rgb="FF0A0A0A"/>
      <name val="Arial Unicode MS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wrapText="1"/>
    </xf>
    <xf numFmtId="0" fontId="20" fillId="0" borderId="0" xfId="0" applyFont="1"/>
    <xf numFmtId="0" fontId="21" fillId="0" borderId="0" xfId="0" applyFont="1" applyAlignment="1">
      <alignment vertical="center"/>
    </xf>
    <xf numFmtId="43" fontId="0" fillId="0" borderId="0" xfId="42" applyFont="1"/>
    <xf numFmtId="0" fontId="24" fillId="0" borderId="0" xfId="0" applyFont="1"/>
    <xf numFmtId="43" fontId="0" fillId="33" borderId="0" xfId="0" applyNumberFormat="1" applyFill="1"/>
    <xf numFmtId="14" fontId="0" fillId="34" borderId="0" xfId="0" applyNumberFormat="1" applyFill="1"/>
    <xf numFmtId="0" fontId="0" fillId="34" borderId="0" xfId="0" applyFill="1"/>
    <xf numFmtId="164" fontId="0" fillId="34" borderId="0" xfId="0" applyNumberFormat="1" applyFill="1"/>
    <xf numFmtId="165" fontId="0" fillId="0" borderId="0" xfId="43" applyNumberFormat="1" applyFont="1"/>
    <xf numFmtId="0" fontId="0" fillId="0" borderId="0" xfId="0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11</xdr:col>
      <xdr:colOff>286125</xdr:colOff>
      <xdr:row>32</xdr:row>
      <xdr:rowOff>63702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89512-043E-A50A-52C3-EFAB8120A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5650"/>
          <a:ext cx="7296525" cy="3930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1105-A324-4D8E-BCD3-D819580EE136}">
  <dimension ref="A1:R263"/>
  <sheetViews>
    <sheetView topLeftCell="I1" workbookViewId="0">
      <selection activeCell="N10" sqref="N10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7" t="s">
        <v>57</v>
      </c>
      <c r="D1" s="17"/>
      <c r="E1" s="17"/>
      <c r="F1" s="17"/>
      <c r="G1" t="s">
        <v>58</v>
      </c>
      <c r="H1" t="s">
        <v>59</v>
      </c>
      <c r="I1" t="s">
        <v>60</v>
      </c>
      <c r="J1" t="s">
        <v>58</v>
      </c>
      <c r="K1" s="17" t="s">
        <v>73</v>
      </c>
      <c r="L1" s="17"/>
      <c r="M1" s="17"/>
      <c r="N1" s="17"/>
      <c r="O1" s="17"/>
      <c r="P1" s="17"/>
      <c r="Q1" s="17"/>
      <c r="R1" s="17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5.0827211288239251</v>
      </c>
      <c r="D3">
        <v>3.7576009604626011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  <c r="J3">
        <v>21.480998964419861</v>
      </c>
      <c r="K3">
        <f>_xlfn.STDEV.P(C3:C263)</f>
        <v>0.60620288946167633</v>
      </c>
      <c r="L3">
        <f t="shared" ref="L3:R3" si="0">_xlfn.STDEV.P(D3:D263)</f>
        <v>0.59941362012196253</v>
      </c>
      <c r="M3">
        <f t="shared" si="0"/>
        <v>2.9558577807620168E-12</v>
      </c>
      <c r="N3">
        <f t="shared" si="0"/>
        <v>0</v>
      </c>
      <c r="O3">
        <f t="shared" si="0"/>
        <v>1.7763568394002505E-15</v>
      </c>
      <c r="P3">
        <f t="shared" si="0"/>
        <v>1.8873791418627661E-15</v>
      </c>
      <c r="Q3">
        <f t="shared" si="0"/>
        <v>3.6637359812630166E-15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4.3206271256466966</v>
      </c>
      <c r="D4">
        <v>4.3032671430898626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0.69637380533808979</v>
      </c>
      <c r="J4">
        <v>21.480998964419861</v>
      </c>
      <c r="K4" s="17" t="s">
        <v>74</v>
      </c>
      <c r="L4" s="17"/>
      <c r="M4" s="17"/>
      <c r="N4" s="17"/>
      <c r="O4" s="17"/>
      <c r="P4" s="17"/>
      <c r="Q4" s="17"/>
      <c r="R4" s="17"/>
    </row>
    <row r="5" spans="1:18">
      <c r="A5" s="1">
        <v>45476</v>
      </c>
      <c r="B5" s="1">
        <v>45476</v>
      </c>
      <c r="C5">
        <v>3.7975784479381183</v>
      </c>
      <c r="D5">
        <v>4.694441546542544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0.69637380533808979</v>
      </c>
      <c r="J5">
        <v>21.480998964419861</v>
      </c>
      <c r="K5" s="16">
        <f>_xlfn.STDEV.P(C3:C263)/AVERAGE(C3:C263)</f>
        <v>0.14500097647997476</v>
      </c>
      <c r="L5" s="16">
        <f t="shared" ref="L5:R5" si="1">_xlfn.STDEV.P(D3:D263)/AVERAGE(D3:D263)</f>
        <v>0.13386926592107648</v>
      </c>
      <c r="M5" s="16">
        <f t="shared" si="1"/>
        <v>5.6686554590833327E-15</v>
      </c>
      <c r="N5" s="16">
        <f t="shared" si="1"/>
        <v>0</v>
      </c>
      <c r="O5" s="16">
        <f t="shared" si="1"/>
        <v>3.4830526262749885E-15</v>
      </c>
      <c r="P5" s="16">
        <f t="shared" si="1"/>
        <v>3.2195461190280665E-15</v>
      </c>
      <c r="Q5" s="16">
        <f t="shared" si="1"/>
        <v>5.2611628311956544E-15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3.6141194125960885</v>
      </c>
      <c r="D6">
        <v>4.1556962172402629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0.69637380533808979</v>
      </c>
      <c r="J6">
        <v>21.480998964419861</v>
      </c>
    </row>
    <row r="7" spans="1:18">
      <c r="A7" s="1">
        <v>45478</v>
      </c>
      <c r="B7" s="1">
        <v>45478</v>
      </c>
      <c r="C7">
        <v>3.6710364585936244</v>
      </c>
      <c r="D7">
        <v>4.4072511299404917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0.69637380533808979</v>
      </c>
      <c r="J7">
        <v>21.480998964419861</v>
      </c>
    </row>
    <row r="8" spans="1:18">
      <c r="A8" s="1">
        <v>45481</v>
      </c>
      <c r="B8" s="1">
        <v>45481</v>
      </c>
      <c r="C8">
        <v>3.931379102036578</v>
      </c>
      <c r="D8">
        <v>5.1639098453922365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0.69637380533808979</v>
      </c>
      <c r="J8">
        <v>21.480998964419861</v>
      </c>
    </row>
    <row r="9" spans="1:18">
      <c r="A9" s="1">
        <v>45482</v>
      </c>
      <c r="B9" s="1">
        <v>45482</v>
      </c>
      <c r="C9">
        <v>3.0612982892719858</v>
      </c>
      <c r="D9">
        <v>5.3991582936272629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0.69637380533808979</v>
      </c>
      <c r="J9">
        <v>21.480998964419861</v>
      </c>
    </row>
    <row r="10" spans="1:18">
      <c r="A10" s="1">
        <v>45483</v>
      </c>
      <c r="B10" s="1">
        <v>45483</v>
      </c>
      <c r="C10">
        <v>4.7294171322764944</v>
      </c>
      <c r="D10">
        <v>4.8137239983944715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0.69637380533808979</v>
      </c>
      <c r="J10">
        <v>21.480998964419861</v>
      </c>
    </row>
    <row r="11" spans="1:18">
      <c r="A11" s="1">
        <v>45484</v>
      </c>
      <c r="B11" s="1">
        <v>45484</v>
      </c>
      <c r="C11">
        <v>3.8815718601009168</v>
      </c>
      <c r="D11">
        <v>4.5487413003998629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0.69637380533808979</v>
      </c>
      <c r="J11">
        <v>21.480998964419861</v>
      </c>
    </row>
    <row r="12" spans="1:18">
      <c r="A12" s="1">
        <v>45485</v>
      </c>
      <c r="B12" s="1">
        <v>45485</v>
      </c>
      <c r="C12">
        <v>4.8060443957787937</v>
      </c>
      <c r="D12">
        <v>4.3212833181559898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0.69637380533808979</v>
      </c>
      <c r="J12">
        <v>21.480998964419861</v>
      </c>
    </row>
    <row r="13" spans="1:18">
      <c r="A13" s="1">
        <v>45488</v>
      </c>
      <c r="B13" s="1">
        <v>45488</v>
      </c>
      <c r="C13">
        <v>3.5245764889556463</v>
      </c>
      <c r="D13">
        <v>5.344463658338813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0.69637380533808979</v>
      </c>
      <c r="J13">
        <v>21.480998964419861</v>
      </c>
    </row>
    <row r="14" spans="1:18">
      <c r="A14" s="1">
        <v>45489</v>
      </c>
      <c r="B14" s="1">
        <v>45489</v>
      </c>
      <c r="C14">
        <v>3.7644957399215913</v>
      </c>
      <c r="D14">
        <v>4.4495092747802651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0.69637380533808979</v>
      </c>
      <c r="J14">
        <v>21.480998964419861</v>
      </c>
    </row>
    <row r="15" spans="1:18">
      <c r="A15" s="1">
        <v>45490</v>
      </c>
      <c r="B15" s="1">
        <v>45490</v>
      </c>
      <c r="C15">
        <v>4.827260146290886</v>
      </c>
      <c r="D15">
        <v>4.7877465563747723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0.69637380533808979</v>
      </c>
      <c r="J15">
        <v>21.480998964419861</v>
      </c>
    </row>
    <row r="16" spans="1:18">
      <c r="A16" s="1">
        <v>45491</v>
      </c>
      <c r="B16" s="1">
        <v>45491</v>
      </c>
      <c r="C16">
        <v>3.6223765648201676</v>
      </c>
      <c r="D16">
        <v>5.1347730885430778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0.69637380533808979</v>
      </c>
      <c r="J16">
        <v>21.480998964419861</v>
      </c>
    </row>
    <row r="17" spans="1:10">
      <c r="A17" s="1">
        <v>45492</v>
      </c>
      <c r="B17" s="1">
        <v>45492</v>
      </c>
      <c r="C17">
        <v>5.2593983451724888</v>
      </c>
      <c r="D17">
        <v>4.9354633475726049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0.69637380533808979</v>
      </c>
      <c r="J17">
        <v>21.480998964419861</v>
      </c>
    </row>
    <row r="18" spans="1:10">
      <c r="A18" s="1">
        <v>45495</v>
      </c>
      <c r="B18" s="1">
        <v>45495</v>
      </c>
      <c r="C18">
        <v>4.1130986525861157</v>
      </c>
      <c r="D18">
        <v>3.0610765759820584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0.69637380533808979</v>
      </c>
      <c r="J18">
        <v>21.480998964419861</v>
      </c>
    </row>
    <row r="19" spans="1:10">
      <c r="A19" s="1">
        <v>45496</v>
      </c>
      <c r="B19" s="1">
        <v>45496</v>
      </c>
      <c r="C19">
        <v>4.2722969062740237</v>
      </c>
      <c r="D19">
        <v>5.7003745372142882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0.69637380533808979</v>
      </c>
      <c r="J19">
        <v>21.480998964419861</v>
      </c>
    </row>
    <row r="20" spans="1:10">
      <c r="A20" s="1">
        <v>45497</v>
      </c>
      <c r="B20" s="1">
        <v>45497</v>
      </c>
      <c r="C20">
        <v>4.5790718964036001</v>
      </c>
      <c r="D20">
        <v>4.8196159950004196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0.69637380533808979</v>
      </c>
      <c r="J20">
        <v>21.480998964419861</v>
      </c>
    </row>
    <row r="21" spans="1:10">
      <c r="A21" s="1">
        <v>45498</v>
      </c>
      <c r="B21" s="1">
        <v>45498</v>
      </c>
      <c r="C21">
        <v>4.8215715954025153</v>
      </c>
      <c r="D21">
        <v>3.8123753883587401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0.69637380533808979</v>
      </c>
      <c r="J21">
        <v>21.480998964419861</v>
      </c>
    </row>
    <row r="22" spans="1:10">
      <c r="A22" s="1">
        <v>45499</v>
      </c>
      <c r="B22" s="1">
        <v>45499</v>
      </c>
      <c r="C22">
        <v>2.8428523030554946</v>
      </c>
      <c r="D22">
        <v>4.3474580792735908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0.69637380533808979</v>
      </c>
      <c r="J22">
        <v>21.480998964419861</v>
      </c>
    </row>
    <row r="23" spans="1:10">
      <c r="A23" s="1">
        <v>45502</v>
      </c>
      <c r="B23" s="1">
        <v>45502</v>
      </c>
      <c r="C23">
        <v>4.7078502243757265</v>
      </c>
      <c r="D23">
        <v>4.3206703522274585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0.69637380533808979</v>
      </c>
      <c r="J23">
        <v>21.480998964419861</v>
      </c>
    </row>
    <row r="24" spans="1:10">
      <c r="A24" s="1">
        <v>45503</v>
      </c>
      <c r="B24" s="1">
        <v>45503</v>
      </c>
      <c r="C24">
        <v>4.3238665763901887</v>
      </c>
      <c r="D24">
        <v>4.2319007593201201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0.69637380533808979</v>
      </c>
      <c r="J24">
        <v>21.480998964419861</v>
      </c>
    </row>
    <row r="25" spans="1:10">
      <c r="A25" s="1">
        <v>45504</v>
      </c>
      <c r="B25" s="1">
        <v>45504</v>
      </c>
      <c r="C25">
        <v>3.8230494723269821</v>
      </c>
      <c r="D25">
        <v>4.2374424727791169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0.69637380533808979</v>
      </c>
      <c r="J25">
        <v>21.480998964419861</v>
      </c>
    </row>
    <row r="26" spans="1:10">
      <c r="A26" s="1">
        <v>45505</v>
      </c>
      <c r="B26" s="1">
        <v>45505</v>
      </c>
      <c r="C26">
        <v>3.6851083853620015</v>
      </c>
      <c r="D26">
        <v>4.8316872293681321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0.69637380533808979</v>
      </c>
      <c r="J26">
        <v>21.480998964419861</v>
      </c>
    </row>
    <row r="27" spans="1:10">
      <c r="A27" s="1">
        <v>45506</v>
      </c>
      <c r="B27" s="1">
        <v>45506</v>
      </c>
      <c r="C27">
        <v>4.0089016663426245</v>
      </c>
      <c r="D27">
        <v>4.6974946588671855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0.69637380533808979</v>
      </c>
      <c r="J27">
        <v>21.480998964419861</v>
      </c>
    </row>
    <row r="28" spans="1:10">
      <c r="A28" s="1">
        <v>45509</v>
      </c>
      <c r="B28" s="1">
        <v>45509</v>
      </c>
      <c r="C28">
        <v>4.4376303830550761</v>
      </c>
      <c r="D28">
        <v>5.2792595355279346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0.69637380533808979</v>
      </c>
      <c r="J28">
        <v>21.480998964419861</v>
      </c>
    </row>
    <row r="29" spans="1:10">
      <c r="A29" s="1">
        <v>45510</v>
      </c>
      <c r="B29" s="1">
        <v>45510</v>
      </c>
      <c r="C29">
        <v>3.9338799834361415</v>
      </c>
      <c r="D29">
        <v>2.8356004227367029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0.69637380533808979</v>
      </c>
      <c r="J29">
        <v>21.480998964419861</v>
      </c>
    </row>
    <row r="30" spans="1:10">
      <c r="A30" s="1">
        <v>45511</v>
      </c>
      <c r="B30" s="1">
        <v>45511</v>
      </c>
      <c r="C30">
        <v>4.0125126936366842</v>
      </c>
      <c r="D30">
        <v>5.1109359890298185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0.69637380533808979</v>
      </c>
      <c r="J30">
        <v>21.480998964419861</v>
      </c>
    </row>
    <row r="31" spans="1:10">
      <c r="A31" s="1">
        <v>45512</v>
      </c>
      <c r="B31" s="1">
        <v>45512</v>
      </c>
      <c r="C31">
        <v>4.1843773047957793</v>
      </c>
      <c r="D31">
        <v>4.3672034504647721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0.69637380533808979</v>
      </c>
      <c r="J31">
        <v>21.480998964419861</v>
      </c>
    </row>
    <row r="32" spans="1:10">
      <c r="A32" s="1">
        <v>45513</v>
      </c>
      <c r="B32" s="1">
        <v>45513</v>
      </c>
      <c r="C32">
        <v>4.7564782385104296</v>
      </c>
      <c r="D32">
        <v>4.5054701300214095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0.69637380533808979</v>
      </c>
      <c r="J32">
        <v>21.480998964419861</v>
      </c>
    </row>
    <row r="33" spans="1:10">
      <c r="A33" s="1">
        <v>45516</v>
      </c>
      <c r="B33" s="1">
        <v>45516</v>
      </c>
      <c r="C33">
        <v>3.6308849152686173</v>
      </c>
      <c r="D33">
        <v>5.9775567424969127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0.69637380533808979</v>
      </c>
      <c r="J33">
        <v>21.480998964419861</v>
      </c>
    </row>
    <row r="34" spans="1:10">
      <c r="A34" s="1">
        <v>45517</v>
      </c>
      <c r="B34" s="1">
        <v>45517</v>
      </c>
      <c r="C34">
        <v>3.4728382777515856</v>
      </c>
      <c r="D34">
        <v>3.8535219591566476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0.69637380533808979</v>
      </c>
      <c r="J34">
        <v>21.480998964419861</v>
      </c>
    </row>
    <row r="35" spans="1:10">
      <c r="A35" s="1">
        <v>45518</v>
      </c>
      <c r="B35" s="1">
        <v>45518</v>
      </c>
      <c r="C35">
        <v>3.4689957248940315</v>
      </c>
      <c r="D35">
        <v>4.4477587356507318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0.69637380533808979</v>
      </c>
      <c r="J35">
        <v>21.480998964419861</v>
      </c>
    </row>
    <row r="36" spans="1:10">
      <c r="A36" s="1">
        <v>45519</v>
      </c>
      <c r="B36" s="1">
        <v>45519</v>
      </c>
      <c r="C36">
        <v>4.1821195430865012</v>
      </c>
      <c r="D36">
        <v>4.1433564871885959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0.69637380533808979</v>
      </c>
      <c r="J36">
        <v>21.480998964419861</v>
      </c>
    </row>
    <row r="37" spans="1:10">
      <c r="A37" s="1">
        <v>45520</v>
      </c>
      <c r="B37" s="1">
        <v>45520</v>
      </c>
      <c r="C37">
        <v>4.7018999505230399</v>
      </c>
      <c r="D37">
        <v>4.4385377496737961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0.69637380533808979</v>
      </c>
      <c r="J37">
        <v>21.480998964419861</v>
      </c>
    </row>
    <row r="38" spans="1:10">
      <c r="A38" s="1">
        <v>45523</v>
      </c>
      <c r="B38" s="1">
        <v>45523</v>
      </c>
      <c r="C38">
        <v>4.5987775615759654</v>
      </c>
      <c r="D38">
        <v>4.8135747371980298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0.69637380533808979</v>
      </c>
      <c r="J38">
        <v>21.480998964419861</v>
      </c>
    </row>
    <row r="39" spans="1:10">
      <c r="A39" s="1">
        <v>45524</v>
      </c>
      <c r="B39" s="1">
        <v>45524</v>
      </c>
      <c r="C39">
        <v>4.4579777417553696</v>
      </c>
      <c r="D39">
        <v>4.5827351393060516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0.69637380533808979</v>
      </c>
      <c r="J39">
        <v>21.480998964419861</v>
      </c>
    </row>
    <row r="40" spans="1:10">
      <c r="A40" s="1">
        <v>45525</v>
      </c>
      <c r="B40" s="1">
        <v>45525</v>
      </c>
      <c r="C40">
        <v>4.5258422915471783</v>
      </c>
      <c r="D40">
        <v>3.6188851439527943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0.69637380533808979</v>
      </c>
      <c r="J40">
        <v>21.480998964419861</v>
      </c>
    </row>
    <row r="41" spans="1:10">
      <c r="A41" s="1">
        <v>45526</v>
      </c>
      <c r="B41" s="1">
        <v>45526</v>
      </c>
      <c r="C41">
        <v>4.3989936872781117</v>
      </c>
      <c r="D41">
        <v>3.3424714117833552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0.69637380533808979</v>
      </c>
      <c r="J41">
        <v>21.480998964419861</v>
      </c>
    </row>
    <row r="42" spans="1:10">
      <c r="A42" s="1">
        <v>45527</v>
      </c>
      <c r="B42" s="1">
        <v>45527</v>
      </c>
      <c r="C42">
        <v>3.7092178648298488</v>
      </c>
      <c r="D42">
        <v>5.0755725387452131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0.69637380533808979</v>
      </c>
      <c r="J42">
        <v>21.480998964419861</v>
      </c>
    </row>
    <row r="43" spans="1:10">
      <c r="A43" s="1">
        <v>45530</v>
      </c>
      <c r="B43" s="1">
        <v>45530</v>
      </c>
      <c r="C43">
        <v>4.2884791261396611</v>
      </c>
      <c r="D43">
        <v>4.3546197770336388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0.69637380533808979</v>
      </c>
      <c r="J43">
        <v>21.480998964419861</v>
      </c>
    </row>
    <row r="44" spans="1:10">
      <c r="A44" s="1">
        <v>45531</v>
      </c>
      <c r="B44" s="1">
        <v>45531</v>
      </c>
      <c r="C44">
        <v>4.4575223139739579</v>
      </c>
      <c r="D44">
        <v>3.7829534533979938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0.69637380533808979</v>
      </c>
      <c r="J44">
        <v>21.480998964419861</v>
      </c>
    </row>
    <row r="45" spans="1:10">
      <c r="A45" s="1">
        <v>45532</v>
      </c>
      <c r="B45" s="1">
        <v>45532</v>
      </c>
      <c r="C45">
        <v>4.1937124215494599</v>
      </c>
      <c r="D45">
        <v>4.0462669661923272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0.69637380533808979</v>
      </c>
      <c r="J45">
        <v>21.480998964419861</v>
      </c>
    </row>
    <row r="46" spans="1:10">
      <c r="A46" s="1">
        <v>45533</v>
      </c>
      <c r="B46" s="1">
        <v>45533</v>
      </c>
      <c r="C46">
        <v>5.368938797620352</v>
      </c>
      <c r="D46">
        <v>3.6957699301123785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0.69637380533808979</v>
      </c>
      <c r="J46">
        <v>21.480998964419861</v>
      </c>
    </row>
    <row r="47" spans="1:10">
      <c r="A47" s="1">
        <v>45534</v>
      </c>
      <c r="B47" s="1">
        <v>45534</v>
      </c>
      <c r="C47">
        <v>4.5458191655494904</v>
      </c>
      <c r="D47">
        <v>3.7985679840462412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0.69637380533808979</v>
      </c>
      <c r="J47">
        <v>21.480998964419861</v>
      </c>
    </row>
    <row r="48" spans="1:10">
      <c r="A48" s="1">
        <v>45537</v>
      </c>
      <c r="B48" s="1">
        <v>45537</v>
      </c>
      <c r="C48">
        <v>4.1046472604633832</v>
      </c>
      <c r="D48">
        <v>3.9805329273295271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0.69637380533808979</v>
      </c>
      <c r="J48">
        <v>21.480998964419861</v>
      </c>
    </row>
    <row r="49" spans="1:10">
      <c r="A49" s="1">
        <v>45538</v>
      </c>
      <c r="B49" s="1">
        <v>45538</v>
      </c>
      <c r="C49">
        <v>3.7522022117467801</v>
      </c>
      <c r="D49">
        <v>3.5643328566818715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0.69637380533808979</v>
      </c>
      <c r="J49">
        <v>21.480998964419861</v>
      </c>
    </row>
    <row r="50" spans="1:10">
      <c r="A50" s="1">
        <v>45539</v>
      </c>
      <c r="B50" s="1">
        <v>45539</v>
      </c>
      <c r="C50">
        <v>4.5183455602110856</v>
      </c>
      <c r="D50">
        <v>4.8422388679917265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0.69637380533808979</v>
      </c>
      <c r="J50">
        <v>21.480998964419861</v>
      </c>
    </row>
    <row r="51" spans="1:10">
      <c r="A51" s="1">
        <v>45540</v>
      </c>
      <c r="B51" s="1">
        <v>45540</v>
      </c>
      <c r="C51">
        <v>4.5295448229773161</v>
      </c>
      <c r="D51">
        <v>4.1826749828896119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0.69637380533808979</v>
      </c>
      <c r="J51">
        <v>21.480998964419861</v>
      </c>
    </row>
    <row r="52" spans="1:10">
      <c r="A52" s="1">
        <v>45541</v>
      </c>
      <c r="B52" s="1">
        <v>45541</v>
      </c>
      <c r="C52">
        <v>4.4596817148429784</v>
      </c>
      <c r="D52">
        <v>5.0035639466732569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0.69637380533808979</v>
      </c>
      <c r="J52">
        <v>21.480998964419861</v>
      </c>
    </row>
    <row r="53" spans="1:10">
      <c r="A53" s="1">
        <v>45544</v>
      </c>
      <c r="B53" s="1">
        <v>45544</v>
      </c>
      <c r="C53">
        <v>4.2232071037843451</v>
      </c>
      <c r="D53">
        <v>4.9002315330555417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0.69637380533808979</v>
      </c>
      <c r="J53">
        <v>21.480998964419861</v>
      </c>
    </row>
    <row r="54" spans="1:10">
      <c r="A54" s="1">
        <v>45545</v>
      </c>
      <c r="B54" s="1">
        <v>45545</v>
      </c>
      <c r="C54">
        <v>4.2180702726776085</v>
      </c>
      <c r="D54">
        <v>4.3249085827387805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0.69637380533808979</v>
      </c>
      <c r="J54">
        <v>21.480998964419861</v>
      </c>
    </row>
    <row r="55" spans="1:10">
      <c r="A55" s="1">
        <v>45546</v>
      </c>
      <c r="B55" s="1">
        <v>45546</v>
      </c>
      <c r="C55">
        <v>4.5441512600795875</v>
      </c>
      <c r="D55">
        <v>5.1795955639724012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0.69637380533808979</v>
      </c>
      <c r="J55">
        <v>21.480998964419861</v>
      </c>
    </row>
    <row r="56" spans="1:10">
      <c r="A56" s="1">
        <v>45547</v>
      </c>
      <c r="B56" s="1">
        <v>45547</v>
      </c>
      <c r="C56">
        <v>5.0481714011719836</v>
      </c>
      <c r="D56">
        <v>4.684344204132497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0.69637380533808979</v>
      </c>
      <c r="J56">
        <v>21.480998964419861</v>
      </c>
    </row>
    <row r="57" spans="1:10">
      <c r="A57" s="1">
        <v>45548</v>
      </c>
      <c r="B57" s="1">
        <v>45548</v>
      </c>
      <c r="C57">
        <v>4.4652673069173439</v>
      </c>
      <c r="D57">
        <v>4.1155498747008217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0.69637380533808979</v>
      </c>
      <c r="J57">
        <v>21.480998964419861</v>
      </c>
    </row>
    <row r="58" spans="1:10">
      <c r="A58" s="1">
        <v>45551</v>
      </c>
      <c r="B58" s="1">
        <v>45551</v>
      </c>
      <c r="C58">
        <v>4.1835776471143271</v>
      </c>
      <c r="D58">
        <v>3.6500660961584313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0.69637380533808979</v>
      </c>
      <c r="J58">
        <v>21.480998964419861</v>
      </c>
    </row>
    <row r="59" spans="1:10">
      <c r="A59" s="1">
        <v>45552</v>
      </c>
      <c r="B59" s="1">
        <v>45552</v>
      </c>
      <c r="C59">
        <v>3.4997966331880468</v>
      </c>
      <c r="D59">
        <v>4.4357767694660328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0.69637380533808979</v>
      </c>
      <c r="J59">
        <v>21.480998964419861</v>
      </c>
    </row>
    <row r="60" spans="1:10">
      <c r="A60" s="1">
        <v>45553</v>
      </c>
      <c r="B60" s="1">
        <v>45553</v>
      </c>
      <c r="C60">
        <v>4.4446886995964592</v>
      </c>
      <c r="D60">
        <v>3.805359564884315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0.69637380533808979</v>
      </c>
      <c r="J60">
        <v>21.480998964419861</v>
      </c>
    </row>
    <row r="61" spans="1:10">
      <c r="A61" s="1">
        <v>45554</v>
      </c>
      <c r="B61" s="1">
        <v>45554</v>
      </c>
      <c r="C61">
        <v>4.6314364779865613</v>
      </c>
      <c r="D61">
        <v>4.3794258758957927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0.69637380533808979</v>
      </c>
      <c r="J61">
        <v>21.480998964419861</v>
      </c>
    </row>
    <row r="62" spans="1:10">
      <c r="A62" s="1">
        <v>45555</v>
      </c>
      <c r="B62" s="1">
        <v>45555</v>
      </c>
      <c r="C62">
        <v>4.5541514822369757</v>
      </c>
      <c r="D62">
        <v>4.1689368794780775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0.69637380533808979</v>
      </c>
      <c r="J62">
        <v>21.480998964419861</v>
      </c>
    </row>
    <row r="63" spans="1:10">
      <c r="A63" s="1">
        <v>45558</v>
      </c>
      <c r="B63" s="1">
        <v>45558</v>
      </c>
      <c r="C63">
        <v>4.1236046238962896</v>
      </c>
      <c r="D63">
        <v>5.134771503873151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0.69637380533808979</v>
      </c>
      <c r="J63">
        <v>21.480998964419861</v>
      </c>
    </row>
    <row r="64" spans="1:10">
      <c r="A64" s="1">
        <v>45559</v>
      </c>
      <c r="B64" s="1">
        <v>45559</v>
      </c>
      <c r="C64">
        <v>4.0585089485782833</v>
      </c>
      <c r="D64">
        <v>4.8823837212941541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0.69637380533808979</v>
      </c>
      <c r="J64">
        <v>21.480998964419861</v>
      </c>
    </row>
    <row r="65" spans="1:10">
      <c r="A65" s="1">
        <v>45560</v>
      </c>
      <c r="B65" s="1">
        <v>45560</v>
      </c>
      <c r="C65">
        <v>2.8190736553170241</v>
      </c>
      <c r="D65">
        <v>4.4593392975056343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0.69637380533808979</v>
      </c>
      <c r="J65">
        <v>21.480998964419861</v>
      </c>
    </row>
    <row r="66" spans="1:10">
      <c r="A66" s="1">
        <v>45561</v>
      </c>
      <c r="B66" s="1">
        <v>45561</v>
      </c>
      <c r="C66">
        <v>4.2179443625696598</v>
      </c>
      <c r="D66">
        <v>4.016304092344642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0.69637380533808979</v>
      </c>
      <c r="J66">
        <v>21.480998964419861</v>
      </c>
    </row>
    <row r="67" spans="1:10">
      <c r="A67" s="1">
        <v>45562</v>
      </c>
      <c r="B67" s="1">
        <v>45562</v>
      </c>
      <c r="C67">
        <v>3.6777617710182025</v>
      </c>
      <c r="D67">
        <v>4.2296463771777884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0.69637380533808979</v>
      </c>
      <c r="J67">
        <v>21.480998964419861</v>
      </c>
    </row>
    <row r="68" spans="1:10">
      <c r="A68" s="1">
        <v>45565</v>
      </c>
      <c r="B68" s="1">
        <v>45565</v>
      </c>
      <c r="C68">
        <v>4.381282331477796</v>
      </c>
      <c r="D68">
        <v>4.0855539943558234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0.69637380533808979</v>
      </c>
      <c r="J68">
        <v>21.480998964419861</v>
      </c>
    </row>
    <row r="69" spans="1:10">
      <c r="A69" s="1">
        <v>45566</v>
      </c>
      <c r="B69" s="1">
        <v>45566</v>
      </c>
      <c r="C69">
        <v>3.2020589756444098</v>
      </c>
      <c r="D69">
        <v>4.4668011120166486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0.69637380533808979</v>
      </c>
      <c r="J69">
        <v>21.480998964419861</v>
      </c>
    </row>
    <row r="70" spans="1:10">
      <c r="A70" s="1">
        <v>45567</v>
      </c>
      <c r="B70" s="1">
        <v>45567</v>
      </c>
      <c r="C70">
        <v>4.4008746108453165</v>
      </c>
      <c r="D70">
        <v>4.3358195889948901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0.69637380533808979</v>
      </c>
      <c r="J70">
        <v>21.480998964419861</v>
      </c>
    </row>
    <row r="71" spans="1:10">
      <c r="A71" s="1">
        <v>45568</v>
      </c>
      <c r="B71" s="1">
        <v>45568</v>
      </c>
      <c r="C71">
        <v>4.4469619061244483</v>
      </c>
      <c r="D71">
        <v>4.2216488878986178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0.69637380533808979</v>
      </c>
      <c r="J71">
        <v>21.480998964419861</v>
      </c>
    </row>
    <row r="72" spans="1:10">
      <c r="A72" s="1">
        <v>45569</v>
      </c>
      <c r="B72" s="1">
        <v>45569</v>
      </c>
      <c r="C72">
        <v>4.6231339892326764</v>
      </c>
      <c r="D72">
        <v>4.0603607133985911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0.69637380533808979</v>
      </c>
      <c r="J72">
        <v>21.480998964419861</v>
      </c>
    </row>
    <row r="73" spans="1:10">
      <c r="A73" s="1">
        <v>45572</v>
      </c>
      <c r="B73" s="1">
        <v>45572</v>
      </c>
      <c r="C73">
        <v>3.9522850395450631</v>
      </c>
      <c r="D73">
        <v>3.5561653275405862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0.69637380533808979</v>
      </c>
      <c r="J73">
        <v>21.480998964419861</v>
      </c>
    </row>
    <row r="74" spans="1:10">
      <c r="A74" s="1">
        <v>45573</v>
      </c>
      <c r="B74" s="1">
        <v>45573</v>
      </c>
      <c r="C74">
        <v>4.3787760163678193</v>
      </c>
      <c r="D74">
        <v>4.679924180204269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0.69637380533808979</v>
      </c>
      <c r="J74">
        <v>21.480998964419861</v>
      </c>
    </row>
    <row r="75" spans="1:10">
      <c r="A75" s="1">
        <v>45574</v>
      </c>
      <c r="B75" s="1">
        <v>45574</v>
      </c>
      <c r="C75">
        <v>4.351385209067586</v>
      </c>
      <c r="D75">
        <v>5.1608128093802916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0.69637380533808979</v>
      </c>
      <c r="J75">
        <v>21.480998964419861</v>
      </c>
    </row>
    <row r="76" spans="1:10">
      <c r="A76" s="1">
        <v>45575</v>
      </c>
      <c r="B76" s="1">
        <v>45575</v>
      </c>
      <c r="C76">
        <v>3.3517765707619631</v>
      </c>
      <c r="D76">
        <v>4.7853498867293105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0.69637380533808979</v>
      </c>
      <c r="J76">
        <v>21.480998964419861</v>
      </c>
    </row>
    <row r="77" spans="1:10">
      <c r="A77" s="1">
        <v>45576</v>
      </c>
      <c r="B77" s="1">
        <v>45576</v>
      </c>
      <c r="C77">
        <v>4.3950863797218842</v>
      </c>
      <c r="D77">
        <v>4.1577917019168336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0.69637380533808979</v>
      </c>
      <c r="J77">
        <v>21.480998964419861</v>
      </c>
    </row>
    <row r="78" spans="1:10">
      <c r="A78" s="1">
        <v>45579</v>
      </c>
      <c r="B78" s="1">
        <v>45579</v>
      </c>
      <c r="C78">
        <v>4.4157325010510045</v>
      </c>
      <c r="D78">
        <v>5.1853254012712267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0.69637380533808979</v>
      </c>
      <c r="J78">
        <v>21.480998964419861</v>
      </c>
    </row>
    <row r="79" spans="1:10">
      <c r="A79" s="1">
        <v>45580</v>
      </c>
      <c r="B79" s="1">
        <v>45580</v>
      </c>
      <c r="C79">
        <v>4.752476150415804</v>
      </c>
      <c r="D79">
        <v>4.637219509896898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0.69637380533808979</v>
      </c>
      <c r="J79">
        <v>21.480998964419861</v>
      </c>
    </row>
    <row r="80" spans="1:10">
      <c r="A80" s="1">
        <v>45581</v>
      </c>
      <c r="B80" s="1">
        <v>45581</v>
      </c>
      <c r="C80">
        <v>4.9434695434027809</v>
      </c>
      <c r="D80">
        <v>3.4092165139841137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0.69637380533808979</v>
      </c>
      <c r="J80">
        <v>21.480998964419861</v>
      </c>
    </row>
    <row r="81" spans="1:10">
      <c r="A81" s="1">
        <v>45582</v>
      </c>
      <c r="B81" s="1">
        <v>45582</v>
      </c>
      <c r="C81">
        <v>4.7043466723239202</v>
      </c>
      <c r="D81">
        <v>5.0997400092520406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0.69637380533808979</v>
      </c>
      <c r="J81">
        <v>21.480998964419861</v>
      </c>
    </row>
    <row r="82" spans="1:10">
      <c r="A82" s="1">
        <v>45583</v>
      </c>
      <c r="B82" s="1">
        <v>45583</v>
      </c>
      <c r="C82">
        <v>4.3927776758021855</v>
      </c>
      <c r="D82">
        <v>5.4510626964180684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0.69637380533808979</v>
      </c>
      <c r="J82">
        <v>21.480998964419861</v>
      </c>
    </row>
    <row r="83" spans="1:10">
      <c r="A83" s="1">
        <v>45586</v>
      </c>
      <c r="B83" s="1">
        <v>45586</v>
      </c>
      <c r="C83">
        <v>4.3161099837217485</v>
      </c>
      <c r="D83">
        <v>4.3136985346582701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0.69637380533808979</v>
      </c>
      <c r="J83">
        <v>21.480998964419861</v>
      </c>
    </row>
    <row r="84" spans="1:10">
      <c r="A84" s="1">
        <v>45587</v>
      </c>
      <c r="B84" s="1">
        <v>45587</v>
      </c>
      <c r="C84">
        <v>5.479067525528647</v>
      </c>
      <c r="D84">
        <v>4.2259478130666359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0.69637380533808979</v>
      </c>
      <c r="J84">
        <v>21.480998964419861</v>
      </c>
    </row>
    <row r="85" spans="1:10">
      <c r="A85" s="1">
        <v>45588</v>
      </c>
      <c r="B85" s="1">
        <v>45588</v>
      </c>
      <c r="C85">
        <v>4.2541751124679577</v>
      </c>
      <c r="D85">
        <v>3.8307633163199992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0.69637380533808979</v>
      </c>
      <c r="J85">
        <v>21.480998964419861</v>
      </c>
    </row>
    <row r="86" spans="1:10">
      <c r="A86" s="1">
        <v>45589</v>
      </c>
      <c r="B86" s="1">
        <v>45589</v>
      </c>
      <c r="C86">
        <v>3.0247695913029724</v>
      </c>
      <c r="D86">
        <v>5.3598350569616278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0.69637380533808979</v>
      </c>
      <c r="J86">
        <v>21.480998964419861</v>
      </c>
    </row>
    <row r="87" spans="1:10">
      <c r="A87" s="1">
        <v>45590</v>
      </c>
      <c r="B87" s="1">
        <v>45590</v>
      </c>
      <c r="C87">
        <v>4.2600086406211757</v>
      </c>
      <c r="D87">
        <v>4.1244860609755705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0.69637380533808979</v>
      </c>
      <c r="J87">
        <v>21.480998964419861</v>
      </c>
    </row>
    <row r="88" spans="1:10">
      <c r="A88" s="1">
        <v>45593</v>
      </c>
      <c r="B88" s="1">
        <v>45593</v>
      </c>
      <c r="C88">
        <v>4.3488719302375269</v>
      </c>
      <c r="D88">
        <v>4.8605433314149913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0.69637380533808979</v>
      </c>
      <c r="J88">
        <v>21.480998964419861</v>
      </c>
    </row>
    <row r="89" spans="1:10">
      <c r="A89" s="1">
        <v>45594</v>
      </c>
      <c r="B89" s="1">
        <v>45594</v>
      </c>
      <c r="C89">
        <v>3.0723485190497941</v>
      </c>
      <c r="D89">
        <v>4.2008080784468547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0.69637380533808979</v>
      </c>
      <c r="J89">
        <v>21.480998964419861</v>
      </c>
    </row>
    <row r="90" spans="1:10">
      <c r="A90" s="1">
        <v>45595</v>
      </c>
      <c r="B90" s="1">
        <v>45595</v>
      </c>
      <c r="C90">
        <v>4.4170655565920649</v>
      </c>
      <c r="D90">
        <v>4.3787031670656571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0.69637380533808979</v>
      </c>
      <c r="J90">
        <v>21.480998964419861</v>
      </c>
    </row>
    <row r="91" spans="1:10">
      <c r="A91" s="1">
        <v>45596</v>
      </c>
      <c r="B91" s="1">
        <v>45596</v>
      </c>
      <c r="C91">
        <v>5.5547964864146238</v>
      </c>
      <c r="D91">
        <v>4.5365240820539681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0.69637380533808979</v>
      </c>
      <c r="J91">
        <v>21.480998964419861</v>
      </c>
    </row>
    <row r="92" spans="1:10">
      <c r="A92" s="1">
        <v>45597</v>
      </c>
      <c r="B92" s="1">
        <v>45597</v>
      </c>
      <c r="C92">
        <v>5.2088281336797788</v>
      </c>
      <c r="D92">
        <v>5.3451212398651844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0.69637380533808979</v>
      </c>
      <c r="J92">
        <v>21.480998964419861</v>
      </c>
    </row>
    <row r="93" spans="1:10">
      <c r="A93" s="1">
        <v>45600</v>
      </c>
      <c r="B93" s="1">
        <v>45600</v>
      </c>
      <c r="C93">
        <v>4.7235416888975381</v>
      </c>
      <c r="D93">
        <v>5.3510936797794937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0.69637380533808979</v>
      </c>
      <c r="J93">
        <v>21.480998964419861</v>
      </c>
    </row>
    <row r="94" spans="1:10">
      <c r="A94" s="1">
        <v>45601</v>
      </c>
      <c r="B94" s="1">
        <v>45601</v>
      </c>
      <c r="C94">
        <v>4.3507517613049744</v>
      </c>
      <c r="D94">
        <v>4.0219262855958293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0.69637380533808979</v>
      </c>
      <c r="J94">
        <v>21.480998964419861</v>
      </c>
    </row>
    <row r="95" spans="1:10">
      <c r="A95" s="1">
        <v>45602</v>
      </c>
      <c r="B95" s="1">
        <v>45602</v>
      </c>
      <c r="C95">
        <v>4.0874700492914053</v>
      </c>
      <c r="D95">
        <v>4.3321800290488941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0.69637380533808979</v>
      </c>
      <c r="J95">
        <v>21.480998964419861</v>
      </c>
    </row>
    <row r="96" spans="1:10">
      <c r="A96" s="1">
        <v>45603</v>
      </c>
      <c r="B96" s="1">
        <v>45603</v>
      </c>
      <c r="C96">
        <v>3.4784429266519221</v>
      </c>
      <c r="D96">
        <v>5.0475172866436946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0.69637380533808979</v>
      </c>
      <c r="J96">
        <v>21.480998964419861</v>
      </c>
    </row>
    <row r="97" spans="1:10">
      <c r="A97" s="1">
        <v>45604</v>
      </c>
      <c r="B97" s="1">
        <v>45604</v>
      </c>
      <c r="C97">
        <v>4.4862457066966339</v>
      </c>
      <c r="D97">
        <v>5.0561043441712297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0.69637380533808979</v>
      </c>
      <c r="J97">
        <v>21.480998964419861</v>
      </c>
    </row>
    <row r="98" spans="1:10">
      <c r="A98" s="1">
        <v>45607</v>
      </c>
      <c r="B98" s="1">
        <v>45607</v>
      </c>
      <c r="C98">
        <v>4.3815335637175687</v>
      </c>
      <c r="D98">
        <v>4.3635322043470719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0.69637380533808979</v>
      </c>
      <c r="J98">
        <v>21.480998964419861</v>
      </c>
    </row>
    <row r="99" spans="1:10">
      <c r="A99" s="1">
        <v>45608</v>
      </c>
      <c r="B99" s="1">
        <v>45608</v>
      </c>
      <c r="C99">
        <v>4.6279528669825556</v>
      </c>
      <c r="D99">
        <v>4.1760466906598523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0.69637380533808979</v>
      </c>
      <c r="J99">
        <v>21.480998964419861</v>
      </c>
    </row>
    <row r="100" spans="1:10">
      <c r="A100" s="1">
        <v>45609</v>
      </c>
      <c r="B100" s="1">
        <v>45609</v>
      </c>
      <c r="C100">
        <v>3.7109715468540561</v>
      </c>
      <c r="D100">
        <v>5.2977957163801879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0.69637380533808979</v>
      </c>
      <c r="J100">
        <v>21.480998964419861</v>
      </c>
    </row>
    <row r="101" spans="1:10">
      <c r="A101" s="1">
        <v>45610</v>
      </c>
      <c r="B101" s="1">
        <v>45610</v>
      </c>
      <c r="C101">
        <v>2.9310958055595244</v>
      </c>
      <c r="D101">
        <v>4.04623505659091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0.69637380533808979</v>
      </c>
      <c r="J101">
        <v>21.480998964419861</v>
      </c>
    </row>
    <row r="102" spans="1:10">
      <c r="A102" s="1">
        <v>45611</v>
      </c>
      <c r="B102" s="1">
        <v>45611</v>
      </c>
      <c r="C102">
        <v>3.6352707108682574</v>
      </c>
      <c r="D102">
        <v>4.5470400127087638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0.69637380533808979</v>
      </c>
      <c r="J102">
        <v>21.480998964419861</v>
      </c>
    </row>
    <row r="103" spans="1:10">
      <c r="A103" s="1">
        <v>45614</v>
      </c>
      <c r="B103" s="1">
        <v>45614</v>
      </c>
      <c r="C103">
        <v>5.0856635637259799</v>
      </c>
      <c r="D103">
        <v>4.1560200676243468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0.69637380533808979</v>
      </c>
      <c r="J103">
        <v>21.480998964419861</v>
      </c>
    </row>
    <row r="104" spans="1:10">
      <c r="A104" s="1">
        <v>45615</v>
      </c>
      <c r="B104" s="1">
        <v>45615</v>
      </c>
      <c r="C104">
        <v>4.1589934438127099</v>
      </c>
      <c r="D104">
        <v>5.0485780239554634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0.69637380533808979</v>
      </c>
      <c r="J104">
        <v>21.480998964419861</v>
      </c>
    </row>
    <row r="105" spans="1:10">
      <c r="A105" s="1">
        <v>45616</v>
      </c>
      <c r="B105" s="1">
        <v>45616</v>
      </c>
      <c r="C105">
        <v>5.326686310582275</v>
      </c>
      <c r="D105">
        <v>4.6451475226880641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0.69637380533808979</v>
      </c>
      <c r="J105">
        <v>21.480998964419861</v>
      </c>
    </row>
    <row r="106" spans="1:10">
      <c r="A106" s="1">
        <v>45617</v>
      </c>
      <c r="B106" s="1">
        <v>45617</v>
      </c>
      <c r="C106">
        <v>5.493933520052896</v>
      </c>
      <c r="D106">
        <v>4.1413731519077395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0.69637380533808979</v>
      </c>
      <c r="J106">
        <v>21.480998964419861</v>
      </c>
    </row>
    <row r="107" spans="1:10">
      <c r="A107" s="1">
        <v>45618</v>
      </c>
      <c r="B107" s="1">
        <v>45618</v>
      </c>
      <c r="C107">
        <v>4.8667343315028244</v>
      </c>
      <c r="D107">
        <v>3.8781283583687962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0.69637380533808979</v>
      </c>
      <c r="J107">
        <v>21.480998964419861</v>
      </c>
    </row>
    <row r="108" spans="1:10">
      <c r="A108" s="1">
        <v>45621</v>
      </c>
      <c r="B108" s="1">
        <v>45621</v>
      </c>
      <c r="C108">
        <v>4.9382011037205364</v>
      </c>
      <c r="D108">
        <v>3.8824555677064816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0.69637380533808979</v>
      </c>
      <c r="J108">
        <v>21.480998964419861</v>
      </c>
    </row>
    <row r="109" spans="1:10">
      <c r="A109" s="1">
        <v>45622</v>
      </c>
      <c r="B109" s="1">
        <v>45622</v>
      </c>
      <c r="C109">
        <v>3.6481012256666112</v>
      </c>
      <c r="D109">
        <v>3.6365053405179353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0.69637380533808979</v>
      </c>
      <c r="J109">
        <v>21.480998964419861</v>
      </c>
    </row>
    <row r="110" spans="1:10">
      <c r="A110" s="1">
        <v>45623</v>
      </c>
      <c r="B110" s="1">
        <v>45623</v>
      </c>
      <c r="C110">
        <v>3.0544713714263056</v>
      </c>
      <c r="D110">
        <v>4.2812841986771675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0.69637380533808979</v>
      </c>
      <c r="J110">
        <v>21.480998964419861</v>
      </c>
    </row>
    <row r="111" spans="1:10">
      <c r="A111" s="1">
        <v>45624</v>
      </c>
      <c r="B111" s="1">
        <v>45624</v>
      </c>
      <c r="C111">
        <v>3.9589967456122017</v>
      </c>
      <c r="D111">
        <v>5.5681882909485285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0.69637380533808979</v>
      </c>
      <c r="J111">
        <v>21.480998964419861</v>
      </c>
    </row>
    <row r="112" spans="1:10">
      <c r="A112" s="1">
        <v>45625</v>
      </c>
      <c r="B112" s="1">
        <v>45625</v>
      </c>
      <c r="C112">
        <v>3.2612340262504729</v>
      </c>
      <c r="D112">
        <v>5.1583168702059705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0.69637380533808979</v>
      </c>
      <c r="J112">
        <v>21.480998964419861</v>
      </c>
    </row>
    <row r="113" spans="1:10">
      <c r="A113" s="1">
        <v>45628</v>
      </c>
      <c r="B113" s="1">
        <v>45628</v>
      </c>
      <c r="C113">
        <v>4.9943740505283101</v>
      </c>
      <c r="D113">
        <v>4.7134420351058894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0.69637380533808979</v>
      </c>
      <c r="J113">
        <v>21.480998964419861</v>
      </c>
    </row>
    <row r="114" spans="1:10">
      <c r="A114" s="1">
        <v>45629</v>
      </c>
      <c r="B114" s="1">
        <v>45629</v>
      </c>
      <c r="C114">
        <v>4.0513834232035748</v>
      </c>
      <c r="D114">
        <v>5.3953367755175368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0.69637380533808979</v>
      </c>
      <c r="J114">
        <v>21.480998964419861</v>
      </c>
    </row>
    <row r="115" spans="1:10">
      <c r="A115" s="1">
        <v>45630</v>
      </c>
      <c r="B115" s="1">
        <v>45630</v>
      </c>
      <c r="C115">
        <v>4.1468520658945911</v>
      </c>
      <c r="D115">
        <v>4.7389593877489062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0.69637380533808979</v>
      </c>
      <c r="J115">
        <v>21.480998964419861</v>
      </c>
    </row>
    <row r="116" spans="1:10">
      <c r="A116" s="1">
        <v>45631</v>
      </c>
      <c r="B116" s="1">
        <v>45631</v>
      </c>
      <c r="C116">
        <v>4.2272709348992787</v>
      </c>
      <c r="D116">
        <v>5.0591089655954136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0.69637380533808979</v>
      </c>
      <c r="J116">
        <v>21.480998964419861</v>
      </c>
    </row>
    <row r="117" spans="1:10">
      <c r="A117" s="1">
        <v>45632</v>
      </c>
      <c r="B117" s="1">
        <v>45632</v>
      </c>
      <c r="C117">
        <v>3.9671949724284135</v>
      </c>
      <c r="D117">
        <v>5.5484415394309323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0.69637380533808979</v>
      </c>
      <c r="J117">
        <v>21.480998964419861</v>
      </c>
    </row>
    <row r="118" spans="1:10">
      <c r="A118" s="1">
        <v>45635</v>
      </c>
      <c r="B118" s="1">
        <v>45635</v>
      </c>
      <c r="C118">
        <v>4.6138932410045204</v>
      </c>
      <c r="D118">
        <v>4.1544710898463819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0.69637380533808979</v>
      </c>
      <c r="J118">
        <v>21.480998964419861</v>
      </c>
    </row>
    <row r="119" spans="1:10">
      <c r="A119" s="1">
        <v>45636</v>
      </c>
      <c r="B119" s="1">
        <v>45636</v>
      </c>
      <c r="C119">
        <v>4.982471048712922</v>
      </c>
      <c r="D119">
        <v>4.5097637464582743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0.69637380533808979</v>
      </c>
      <c r="J119">
        <v>21.480998964419861</v>
      </c>
    </row>
    <row r="120" spans="1:10">
      <c r="A120" s="1">
        <v>45637</v>
      </c>
      <c r="B120" s="1">
        <v>45637</v>
      </c>
      <c r="C120">
        <v>3.7408450747785125</v>
      </c>
      <c r="D120">
        <v>3.468297449825271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0.69637380533808979</v>
      </c>
      <c r="J120">
        <v>21.480998964419861</v>
      </c>
    </row>
    <row r="121" spans="1:10">
      <c r="A121" s="1">
        <v>45638</v>
      </c>
      <c r="B121" s="1">
        <v>45638</v>
      </c>
      <c r="C121">
        <v>4.2907352798845206</v>
      </c>
      <c r="D121">
        <v>4.0377007122681494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0.69637380533808979</v>
      </c>
      <c r="J121">
        <v>21.480998964419861</v>
      </c>
    </row>
    <row r="122" spans="1:10">
      <c r="A122" s="1">
        <v>45639</v>
      </c>
      <c r="B122" s="1">
        <v>45639</v>
      </c>
      <c r="C122">
        <v>3.5579586073686107</v>
      </c>
      <c r="D122">
        <v>4.4262843337053601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0.69637380533808979</v>
      </c>
      <c r="J122">
        <v>21.480998964419861</v>
      </c>
    </row>
    <row r="123" spans="1:10">
      <c r="A123" s="1">
        <v>45642</v>
      </c>
      <c r="B123" s="1">
        <v>45642</v>
      </c>
      <c r="C123">
        <v>5.2306595715708539</v>
      </c>
      <c r="D123">
        <v>3.988561917997854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0.69637380533808979</v>
      </c>
      <c r="J123">
        <v>21.480998964419861</v>
      </c>
    </row>
    <row r="124" spans="1:10">
      <c r="A124" s="1">
        <v>45643</v>
      </c>
      <c r="B124" s="1">
        <v>45643</v>
      </c>
      <c r="C124">
        <v>3.0475728774072683</v>
      </c>
      <c r="D124">
        <v>4.9028705979906144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0.69637380533808979</v>
      </c>
      <c r="J124">
        <v>21.480998964419861</v>
      </c>
    </row>
    <row r="125" spans="1:10">
      <c r="A125" s="1">
        <v>45644</v>
      </c>
      <c r="B125" s="1">
        <v>45644</v>
      </c>
      <c r="C125">
        <v>4.8392039895743872</v>
      </c>
      <c r="D125">
        <v>4.1010687428568762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0.69637380533808979</v>
      </c>
      <c r="J125">
        <v>21.480998964419861</v>
      </c>
    </row>
    <row r="126" spans="1:10">
      <c r="A126" s="1">
        <v>45645</v>
      </c>
      <c r="B126" s="1">
        <v>45645</v>
      </c>
      <c r="C126">
        <v>3.84072991833319</v>
      </c>
      <c r="D126">
        <v>4.1458675412094452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0.69637380533808979</v>
      </c>
      <c r="J126">
        <v>21.480998964419861</v>
      </c>
    </row>
    <row r="127" spans="1:10">
      <c r="A127" s="1">
        <v>45646</v>
      </c>
      <c r="B127" s="1">
        <v>45646</v>
      </c>
      <c r="C127">
        <v>4.1132704762056118</v>
      </c>
      <c r="D127">
        <v>4.1488696327759156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0.69637380533808979</v>
      </c>
      <c r="J127">
        <v>21.480998964419861</v>
      </c>
    </row>
    <row r="128" spans="1:10">
      <c r="A128" s="1">
        <v>45649</v>
      </c>
      <c r="B128" s="1">
        <v>45649</v>
      </c>
      <c r="C128">
        <v>3.6174673064973297</v>
      </c>
      <c r="D128">
        <v>4.1962611955232099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0.69637380533808979</v>
      </c>
      <c r="J128">
        <v>21.480998964419861</v>
      </c>
    </row>
    <row r="129" spans="1:10">
      <c r="A129" s="1">
        <v>45650</v>
      </c>
      <c r="B129" s="1">
        <v>45650</v>
      </c>
      <c r="C129">
        <v>3.6912740031543345</v>
      </c>
      <c r="D129">
        <v>3.527665457886592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0.69637380533808979</v>
      </c>
      <c r="J129">
        <v>21.480998964419861</v>
      </c>
    </row>
    <row r="130" spans="1:10">
      <c r="A130" s="1">
        <v>45651</v>
      </c>
      <c r="B130" s="1">
        <v>45651</v>
      </c>
      <c r="C130">
        <v>4.7469770133812679</v>
      </c>
      <c r="D130">
        <v>4.6540944745369597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0.69637380533808979</v>
      </c>
      <c r="J130">
        <v>21.480998964419861</v>
      </c>
    </row>
    <row r="131" spans="1:10">
      <c r="A131" s="1">
        <v>45652</v>
      </c>
      <c r="B131" s="1">
        <v>45652</v>
      </c>
      <c r="C131">
        <v>3.0106846797057325</v>
      </c>
      <c r="D131">
        <v>4.4477306708384825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0.69637380533808979</v>
      </c>
      <c r="J131">
        <v>21.480998964419861</v>
      </c>
    </row>
    <row r="132" spans="1:10">
      <c r="A132" s="1">
        <v>45653</v>
      </c>
      <c r="B132" s="1">
        <v>45653</v>
      </c>
      <c r="C132">
        <v>3.645857846363624</v>
      </c>
      <c r="D132">
        <v>4.7233901850487738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0.69637380533808979</v>
      </c>
      <c r="J132">
        <v>21.480998964419861</v>
      </c>
    </row>
    <row r="133" spans="1:10">
      <c r="A133" s="1">
        <v>45656</v>
      </c>
      <c r="B133" s="1">
        <v>45656</v>
      </c>
      <c r="C133">
        <v>3.3584712825357914</v>
      </c>
      <c r="D133">
        <v>4.0114969820918178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0.69637380533808979</v>
      </c>
      <c r="J133">
        <v>21.480998964419861</v>
      </c>
    </row>
    <row r="134" spans="1:10">
      <c r="A134" s="1">
        <v>45657</v>
      </c>
      <c r="B134" s="1">
        <v>45657</v>
      </c>
      <c r="C134">
        <v>3.4031432689545658</v>
      </c>
      <c r="D134">
        <v>5.1854115891221984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0.69637380533808979</v>
      </c>
      <c r="J134">
        <v>21.480998964419861</v>
      </c>
    </row>
    <row r="135" spans="1:10">
      <c r="A135" s="1">
        <v>45658</v>
      </c>
      <c r="B135" s="1">
        <v>45658</v>
      </c>
      <c r="C135">
        <v>4.2247256055963796</v>
      </c>
      <c r="D135">
        <v>4.385439535023707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0.69637380533808979</v>
      </c>
      <c r="J135">
        <v>21.480998964419861</v>
      </c>
    </row>
    <row r="136" spans="1:10">
      <c r="A136" s="1">
        <v>45659</v>
      </c>
      <c r="B136" s="1">
        <v>45659</v>
      </c>
      <c r="C136">
        <v>3.4946672601992459</v>
      </c>
      <c r="D136">
        <v>4.1450600760537251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0.69637380533808979</v>
      </c>
      <c r="J136">
        <v>21.480998964419861</v>
      </c>
    </row>
    <row r="137" spans="1:10">
      <c r="A137" s="1">
        <v>45660</v>
      </c>
      <c r="B137" s="1">
        <v>45660</v>
      </c>
      <c r="C137">
        <v>3.684620745753814</v>
      </c>
      <c r="D137">
        <v>3.7851318236229474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0.69637380533808979</v>
      </c>
      <c r="J137">
        <v>21.480998964419861</v>
      </c>
    </row>
    <row r="138" spans="1:10">
      <c r="A138" s="1">
        <v>45663</v>
      </c>
      <c r="B138" s="1">
        <v>45663</v>
      </c>
      <c r="C138">
        <v>4.4860012865624785</v>
      </c>
      <c r="D138">
        <v>4.374461374732725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0.69637380533808979</v>
      </c>
      <c r="J138">
        <v>21.480998964419861</v>
      </c>
    </row>
    <row r="139" spans="1:10">
      <c r="A139" s="1">
        <v>45664</v>
      </c>
      <c r="B139" s="1">
        <v>45664</v>
      </c>
      <c r="C139">
        <v>4.3125293754054752</v>
      </c>
      <c r="D139">
        <v>4.2725594751173306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0.69637380533808979</v>
      </c>
      <c r="J139">
        <v>21.480998964419861</v>
      </c>
    </row>
    <row r="140" spans="1:10">
      <c r="A140" s="1">
        <v>45665</v>
      </c>
      <c r="B140" s="1">
        <v>45665</v>
      </c>
      <c r="C140">
        <v>4.9563261129555345</v>
      </c>
      <c r="D140">
        <v>3.9506739527304413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0.69637380533808979</v>
      </c>
      <c r="J140">
        <v>21.480998964419861</v>
      </c>
    </row>
    <row r="141" spans="1:10">
      <c r="A141" s="1">
        <v>45666</v>
      </c>
      <c r="B141" s="1">
        <v>45666</v>
      </c>
      <c r="C141">
        <v>3.9645903290686251</v>
      </c>
      <c r="D141">
        <v>5.5695242450783304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0.69637380533808979</v>
      </c>
      <c r="J141">
        <v>21.480998964419861</v>
      </c>
    </row>
    <row r="142" spans="1:10">
      <c r="A142" s="1">
        <v>45667</v>
      </c>
      <c r="B142" s="1">
        <v>45667</v>
      </c>
      <c r="C142">
        <v>4.147156141850397</v>
      </c>
      <c r="D142">
        <v>4.070084898571551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0.69637380533808979</v>
      </c>
      <c r="J142">
        <v>21.480998964419861</v>
      </c>
    </row>
    <row r="143" spans="1:10">
      <c r="A143" s="1">
        <v>45670</v>
      </c>
      <c r="B143" s="1">
        <v>45670</v>
      </c>
      <c r="C143">
        <v>4.5941787678846779</v>
      </c>
      <c r="D143">
        <v>5.5051622877974404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0.69637380533808979</v>
      </c>
      <c r="J143">
        <v>21.480998964419861</v>
      </c>
    </row>
    <row r="144" spans="1:10">
      <c r="A144" s="1">
        <v>45671</v>
      </c>
      <c r="B144" s="1">
        <v>45671</v>
      </c>
      <c r="C144">
        <v>4.4811925314614811</v>
      </c>
      <c r="D144">
        <v>4.1436837619835654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0.69637380533808979</v>
      </c>
      <c r="J144">
        <v>21.480998964419861</v>
      </c>
    </row>
    <row r="145" spans="1:10">
      <c r="A145" s="1">
        <v>45672</v>
      </c>
      <c r="B145" s="1">
        <v>45672</v>
      </c>
      <c r="C145">
        <v>4.6513150235998246</v>
      </c>
      <c r="D145">
        <v>5.1249201567600338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0.69637380533808979</v>
      </c>
      <c r="J145">
        <v>21.480998964419861</v>
      </c>
    </row>
    <row r="146" spans="1:10">
      <c r="A146" s="1">
        <v>45673</v>
      </c>
      <c r="B146" s="1">
        <v>45673</v>
      </c>
      <c r="C146">
        <v>4.1318328280927439</v>
      </c>
      <c r="D146">
        <v>5.2579992500837811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0.69637380533808979</v>
      </c>
      <c r="J146">
        <v>21.480998964419861</v>
      </c>
    </row>
    <row r="147" spans="1:10">
      <c r="A147" s="1">
        <v>45674</v>
      </c>
      <c r="B147" s="1">
        <v>45674</v>
      </c>
      <c r="C147">
        <v>3.9789164568590447</v>
      </c>
      <c r="D147">
        <v>4.3341861026810724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0.69637380533808979</v>
      </c>
      <c r="J147">
        <v>21.480998964419861</v>
      </c>
    </row>
    <row r="148" spans="1:10">
      <c r="A148" s="1">
        <v>45677</v>
      </c>
      <c r="B148" s="1">
        <v>45677</v>
      </c>
      <c r="C148">
        <v>4.7677498050991627</v>
      </c>
      <c r="D148">
        <v>4.6775178716797923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0.69637380533808979</v>
      </c>
      <c r="J148">
        <v>21.480998964419861</v>
      </c>
    </row>
    <row r="149" spans="1:10">
      <c r="A149" s="1">
        <v>45678</v>
      </c>
      <c r="B149" s="1">
        <v>45678</v>
      </c>
      <c r="C149">
        <v>4.3981036617561617</v>
      </c>
      <c r="D149">
        <v>4.5002040162740728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0.69637380533808979</v>
      </c>
      <c r="J149">
        <v>21.480998964419861</v>
      </c>
    </row>
    <row r="150" spans="1:10">
      <c r="A150" s="1">
        <v>45679</v>
      </c>
      <c r="B150" s="1">
        <v>45679</v>
      </c>
      <c r="C150">
        <v>4.8301378635785301</v>
      </c>
      <c r="D150">
        <v>4.3687322775723549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0.69637380533808979</v>
      </c>
      <c r="J150">
        <v>21.480998964419861</v>
      </c>
    </row>
    <row r="151" spans="1:10">
      <c r="A151" s="1">
        <v>45680</v>
      </c>
      <c r="B151" s="1">
        <v>45680</v>
      </c>
      <c r="C151">
        <v>4.837781712128522</v>
      </c>
      <c r="D151">
        <v>4.1959548061553065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0.69637380533808979</v>
      </c>
      <c r="J151">
        <v>21.480998964419861</v>
      </c>
    </row>
    <row r="152" spans="1:10">
      <c r="A152" s="1">
        <v>45681</v>
      </c>
      <c r="B152" s="1">
        <v>45681</v>
      </c>
      <c r="C152">
        <v>4.2637034115015622</v>
      </c>
      <c r="D152">
        <v>4.2258411353908292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0.69637380533808979</v>
      </c>
      <c r="J152">
        <v>21.480998964419861</v>
      </c>
    </row>
    <row r="153" spans="1:10">
      <c r="A153" s="1">
        <v>45684</v>
      </c>
      <c r="B153" s="1">
        <v>45684</v>
      </c>
      <c r="C153">
        <v>4.2079975646030894</v>
      </c>
      <c r="D153">
        <v>5.2807468062688008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0.69637380533808979</v>
      </c>
      <c r="J153">
        <v>21.480998964419861</v>
      </c>
    </row>
    <row r="154" spans="1:10">
      <c r="A154" s="1">
        <v>45685</v>
      </c>
      <c r="B154" s="1">
        <v>45685</v>
      </c>
      <c r="C154">
        <v>4.0749908180542791</v>
      </c>
      <c r="D154">
        <v>3.9349150813382074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0.69637380533808979</v>
      </c>
      <c r="J154">
        <v>21.480998964419861</v>
      </c>
    </row>
    <row r="155" spans="1:10">
      <c r="A155" s="1">
        <v>45686</v>
      </c>
      <c r="B155" s="1">
        <v>45686</v>
      </c>
      <c r="C155">
        <v>4.023602004640086</v>
      </c>
      <c r="D155">
        <v>5.3597419917567368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0.69637380533808979</v>
      </c>
      <c r="J155">
        <v>21.480998964419861</v>
      </c>
    </row>
    <row r="156" spans="1:10">
      <c r="A156" s="1">
        <v>45687</v>
      </c>
      <c r="B156" s="1">
        <v>45687</v>
      </c>
      <c r="C156">
        <v>4.6029178591023054</v>
      </c>
      <c r="D156">
        <v>5.3795234160903247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0.69637380533808979</v>
      </c>
      <c r="J156">
        <v>21.480998964419861</v>
      </c>
    </row>
    <row r="157" spans="1:10">
      <c r="A157" s="1">
        <v>45688</v>
      </c>
      <c r="B157" s="1">
        <v>45688</v>
      </c>
      <c r="C157">
        <v>2.9246074562481938</v>
      </c>
      <c r="D157">
        <v>3.9550829976160795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0.69637380533808979</v>
      </c>
      <c r="J157">
        <v>21.480998964419861</v>
      </c>
    </row>
    <row r="158" spans="1:10">
      <c r="A158" s="1">
        <v>45691</v>
      </c>
      <c r="B158" s="1">
        <v>45691</v>
      </c>
      <c r="C158">
        <v>3.1110453952100032</v>
      </c>
      <c r="D158">
        <v>4.8115771706850579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0.69637380533808979</v>
      </c>
      <c r="J158">
        <v>21.480998964419861</v>
      </c>
    </row>
    <row r="159" spans="1:10">
      <c r="A159" s="1">
        <v>45692</v>
      </c>
      <c r="B159" s="1">
        <v>45692</v>
      </c>
      <c r="C159">
        <v>3.2324256001593739</v>
      </c>
      <c r="D159">
        <v>3.8685405889070825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0.69637380533808979</v>
      </c>
      <c r="J159">
        <v>21.480998964419861</v>
      </c>
    </row>
    <row r="160" spans="1:10">
      <c r="A160" s="1">
        <v>45693</v>
      </c>
      <c r="B160" s="1">
        <v>45693</v>
      </c>
      <c r="C160">
        <v>2.7528311874325135</v>
      </c>
      <c r="D160">
        <v>4.2019316104421645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0.69637380533808979</v>
      </c>
      <c r="J160">
        <v>21.480998964419861</v>
      </c>
    </row>
    <row r="161" spans="1:10">
      <c r="A161" s="1">
        <v>45694</v>
      </c>
      <c r="B161" s="1">
        <v>45694</v>
      </c>
      <c r="C161">
        <v>4.5887023050440199</v>
      </c>
      <c r="D161">
        <v>4.1573115082751055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0.69637380533808979</v>
      </c>
      <c r="J161">
        <v>21.480998964419861</v>
      </c>
    </row>
    <row r="162" spans="1:10">
      <c r="A162" s="1">
        <v>45695</v>
      </c>
      <c r="B162" s="1">
        <v>45695</v>
      </c>
      <c r="C162">
        <v>3.9628654771514524</v>
      </c>
      <c r="D162">
        <v>4.7536101718090435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0.69637380533808979</v>
      </c>
      <c r="J162">
        <v>21.480998964419861</v>
      </c>
    </row>
    <row r="163" spans="1:10">
      <c r="A163" s="1">
        <v>45698</v>
      </c>
      <c r="B163" s="1">
        <v>45698</v>
      </c>
      <c r="C163">
        <v>4.0730244725913778</v>
      </c>
      <c r="D163">
        <v>4.6854530641584402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0.69637380533808979</v>
      </c>
      <c r="J163">
        <v>21.480998964419861</v>
      </c>
    </row>
    <row r="164" spans="1:10">
      <c r="A164" s="1">
        <v>45699</v>
      </c>
      <c r="B164" s="1">
        <v>45699</v>
      </c>
      <c r="C164">
        <v>3.8878329914436325</v>
      </c>
      <c r="D164">
        <v>5.14841775342662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0.69637380533808979</v>
      </c>
      <c r="J164">
        <v>21.480998964419861</v>
      </c>
    </row>
    <row r="165" spans="1:10">
      <c r="A165" s="1">
        <v>45700</v>
      </c>
      <c r="B165" s="1">
        <v>45700</v>
      </c>
      <c r="C165">
        <v>3.4713375016985952</v>
      </c>
      <c r="D165">
        <v>3.0859621148947012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0.69637380533808979</v>
      </c>
      <c r="J165">
        <v>21.480998964419861</v>
      </c>
    </row>
    <row r="166" spans="1:10">
      <c r="A166" s="1">
        <v>45701</v>
      </c>
      <c r="B166" s="1">
        <v>45701</v>
      </c>
      <c r="C166">
        <v>4.3560188475484862</v>
      </c>
      <c r="D166">
        <v>5.0408060688652876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0.69637380533808979</v>
      </c>
      <c r="J166">
        <v>21.480998964419861</v>
      </c>
    </row>
    <row r="167" spans="1:10">
      <c r="A167" s="1">
        <v>45702</v>
      </c>
      <c r="B167" s="1">
        <v>45702</v>
      </c>
      <c r="C167">
        <v>4.275933877688912</v>
      </c>
      <c r="D167">
        <v>4.6187098700392815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0.69637380533808979</v>
      </c>
      <c r="J167">
        <v>21.480998964419861</v>
      </c>
    </row>
    <row r="168" spans="1:10">
      <c r="A168" s="1">
        <v>45705</v>
      </c>
      <c r="B168" s="1">
        <v>45705</v>
      </c>
      <c r="C168">
        <v>3.7919218259679157</v>
      </c>
      <c r="D168">
        <v>4.9602847328036379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0.69637380533808979</v>
      </c>
      <c r="J168">
        <v>21.480998964419861</v>
      </c>
    </row>
    <row r="169" spans="1:10">
      <c r="A169" s="1">
        <v>45706</v>
      </c>
      <c r="B169" s="1">
        <v>45706</v>
      </c>
      <c r="C169">
        <v>4.4753407639737333</v>
      </c>
      <c r="D169">
        <v>4.5500697511075483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0.69637380533808979</v>
      </c>
      <c r="J169">
        <v>21.480998964419861</v>
      </c>
    </row>
    <row r="170" spans="1:10">
      <c r="A170" s="1">
        <v>45707</v>
      </c>
      <c r="B170" s="1">
        <v>45707</v>
      </c>
      <c r="C170">
        <v>4.2442102785713836</v>
      </c>
      <c r="D170">
        <v>4.7277455644331372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0.69637380533808979</v>
      </c>
      <c r="J170">
        <v>21.480998964419861</v>
      </c>
    </row>
    <row r="171" spans="1:10">
      <c r="A171" s="1">
        <v>45708</v>
      </c>
      <c r="B171" s="1">
        <v>45708</v>
      </c>
      <c r="C171">
        <v>4.5326087293967641</v>
      </c>
      <c r="D171">
        <v>5.0862007499888326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0.69637380533808979</v>
      </c>
      <c r="J171">
        <v>21.480998964419861</v>
      </c>
    </row>
    <row r="172" spans="1:10">
      <c r="A172" s="1">
        <v>45709</v>
      </c>
      <c r="B172" s="1">
        <v>45709</v>
      </c>
      <c r="C172">
        <v>4.0914927440175868</v>
      </c>
      <c r="D172">
        <v>4.4458071430339556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0.69637380533808979</v>
      </c>
      <c r="J172">
        <v>21.480998964419861</v>
      </c>
    </row>
    <row r="173" spans="1:10">
      <c r="A173" s="1">
        <v>45712</v>
      </c>
      <c r="B173" s="1">
        <v>45712</v>
      </c>
      <c r="C173">
        <v>2.9321123518292787</v>
      </c>
      <c r="D173">
        <v>4.4162225810781166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0.69637380533808979</v>
      </c>
      <c r="J173">
        <v>21.480998964419861</v>
      </c>
    </row>
    <row r="174" spans="1:10">
      <c r="A174" s="1">
        <v>45713</v>
      </c>
      <c r="B174" s="1">
        <v>45713</v>
      </c>
      <c r="C174">
        <v>4.8133389992629754</v>
      </c>
      <c r="D174">
        <v>4.6478026047524992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0.69637380533808979</v>
      </c>
      <c r="J174">
        <v>21.480998964419861</v>
      </c>
    </row>
    <row r="175" spans="1:10">
      <c r="A175" s="1">
        <v>45714</v>
      </c>
      <c r="B175" s="1">
        <v>45714</v>
      </c>
      <c r="C175">
        <v>3.6714228122540469</v>
      </c>
      <c r="D175">
        <v>4.7924682444550522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0.69637380533808979</v>
      </c>
      <c r="J175">
        <v>21.480998964419861</v>
      </c>
    </row>
    <row r="176" spans="1:10">
      <c r="A176" s="1">
        <v>45715</v>
      </c>
      <c r="B176" s="1">
        <v>45715</v>
      </c>
      <c r="C176">
        <v>4.1818464488978186</v>
      </c>
      <c r="D176">
        <v>4.6413563742649524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0.69637380533808979</v>
      </c>
      <c r="J176">
        <v>21.480998964419861</v>
      </c>
    </row>
    <row r="177" spans="1:11">
      <c r="A177" s="1">
        <v>45716</v>
      </c>
      <c r="B177" s="1">
        <v>45716</v>
      </c>
      <c r="C177">
        <v>3.9048096084690687</v>
      </c>
      <c r="D177">
        <v>2.8322962873923947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0.69637380533808979</v>
      </c>
      <c r="J177">
        <v>21.480998964419861</v>
      </c>
    </row>
    <row r="178" spans="1:11">
      <c r="A178" s="1">
        <v>45719</v>
      </c>
      <c r="B178" s="1">
        <v>45719</v>
      </c>
      <c r="C178">
        <v>4.4761163582297234</v>
      </c>
      <c r="D178">
        <v>4.9064415079165213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0.69637380533808979</v>
      </c>
      <c r="J178">
        <v>21.480998964419861</v>
      </c>
    </row>
    <row r="179" spans="1:11">
      <c r="A179" s="1">
        <v>45720</v>
      </c>
      <c r="B179" s="1">
        <v>45720</v>
      </c>
      <c r="C179">
        <v>4.4388873174431689</v>
      </c>
      <c r="D179">
        <v>4.4961685364625392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0.69637380533808979</v>
      </c>
      <c r="J179">
        <v>21.480998964419861</v>
      </c>
    </row>
    <row r="180" spans="1:11">
      <c r="A180" s="1">
        <v>45721</v>
      </c>
      <c r="B180" s="1">
        <v>45721</v>
      </c>
      <c r="C180">
        <v>3.1945498130847927</v>
      </c>
      <c r="D180">
        <v>4.120131269085114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0.69637380533808979</v>
      </c>
      <c r="J180">
        <v>21.480998964419861</v>
      </c>
    </row>
    <row r="181" spans="1:11">
      <c r="A181" s="1">
        <v>45722</v>
      </c>
      <c r="B181" s="1">
        <v>45722</v>
      </c>
      <c r="C181">
        <v>3.715489827371409</v>
      </c>
      <c r="D181">
        <v>5.0800898849511338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0.69637380533808979</v>
      </c>
      <c r="J181">
        <v>21.480998964419861</v>
      </c>
    </row>
    <row r="182" spans="1:11">
      <c r="A182" s="1">
        <v>45723</v>
      </c>
      <c r="B182" s="1">
        <v>45723</v>
      </c>
      <c r="C182">
        <v>4.4155712471853947</v>
      </c>
      <c r="D182">
        <v>5.3467078696133763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0.69637380533808979</v>
      </c>
      <c r="J182">
        <v>21.480998964419861</v>
      </c>
    </row>
    <row r="183" spans="1:11">
      <c r="A183" s="1">
        <v>45726</v>
      </c>
      <c r="B183" s="1">
        <v>45726</v>
      </c>
      <c r="C183">
        <v>4.9040419516220393</v>
      </c>
      <c r="D183">
        <v>4.7360437049228779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0.69637380533808979</v>
      </c>
      <c r="J183">
        <v>21.480998964419861</v>
      </c>
    </row>
    <row r="184" spans="1:11">
      <c r="A184" s="1">
        <v>45727</v>
      </c>
      <c r="B184" s="1">
        <v>45727</v>
      </c>
      <c r="C184">
        <v>4.823138296322071</v>
      </c>
      <c r="D184">
        <v>4.6210105777975521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0.69637380533808979</v>
      </c>
      <c r="J184">
        <v>21.480998964419861</v>
      </c>
    </row>
    <row r="185" spans="1:11">
      <c r="A185" s="1">
        <v>45728</v>
      </c>
      <c r="B185" s="1">
        <v>45728</v>
      </c>
      <c r="C185">
        <v>4.8320586382469122</v>
      </c>
      <c r="D185">
        <v>4.0596385396926618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0.69637380533808979</v>
      </c>
      <c r="J185">
        <v>21.480998964419861</v>
      </c>
    </row>
    <row r="186" spans="1:11">
      <c r="A186" s="1">
        <v>45729</v>
      </c>
      <c r="B186" s="1">
        <v>45729</v>
      </c>
      <c r="C186">
        <v>5.4449660733717273</v>
      </c>
      <c r="D186">
        <v>2.6047856818710695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0.69637380533808979</v>
      </c>
      <c r="J186">
        <v>21.480998964419861</v>
      </c>
    </row>
    <row r="187" spans="1:11">
      <c r="A187" s="1">
        <v>45730</v>
      </c>
      <c r="B187" s="1">
        <v>45730</v>
      </c>
      <c r="C187">
        <v>3.0213102020977103</v>
      </c>
      <c r="D187">
        <v>4.7389656293317044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0.69637380533808979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4.1036091733993283</v>
      </c>
      <c r="D188">
        <v>5.1131242846162914</v>
      </c>
      <c r="E188">
        <v>521.43895533915895</v>
      </c>
      <c r="F188">
        <v>36.962945087936532</v>
      </c>
      <c r="G188">
        <v>0.51</v>
      </c>
      <c r="H188">
        <v>0.58622522308595848</v>
      </c>
      <c r="I188">
        <v>0.69637380533808979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3.7100999920889981</v>
      </c>
      <c r="D189">
        <v>3.1045292211320619</v>
      </c>
      <c r="E189">
        <v>521.43895533915895</v>
      </c>
      <c r="F189">
        <v>36.962945087936532</v>
      </c>
      <c r="G189">
        <v>0.51</v>
      </c>
      <c r="H189">
        <v>0.58622522308595848</v>
      </c>
      <c r="I189">
        <v>0.69637380533808979</v>
      </c>
      <c r="J189">
        <v>21.480998964419861</v>
      </c>
    </row>
    <row r="190" spans="1:11">
      <c r="A190" s="1">
        <v>45735</v>
      </c>
      <c r="B190" s="1">
        <v>45735</v>
      </c>
      <c r="C190">
        <v>3.1616248372618734</v>
      </c>
      <c r="D190">
        <v>3.9048603846616627</v>
      </c>
      <c r="E190">
        <v>521.43895533915895</v>
      </c>
      <c r="F190">
        <v>36.962945087936532</v>
      </c>
      <c r="G190">
        <v>0.51</v>
      </c>
      <c r="H190">
        <v>0.58622522308595848</v>
      </c>
      <c r="I190">
        <v>0.69637380533808979</v>
      </c>
      <c r="J190">
        <v>21.480998964419861</v>
      </c>
    </row>
    <row r="191" spans="1:11">
      <c r="A191" s="1">
        <v>45736</v>
      </c>
      <c r="B191" s="1">
        <v>45736</v>
      </c>
      <c r="C191">
        <v>4.3741747055643119</v>
      </c>
      <c r="D191">
        <v>4.4599856026204705</v>
      </c>
      <c r="E191">
        <v>521.43895533915895</v>
      </c>
      <c r="F191">
        <v>36.962945087936532</v>
      </c>
      <c r="G191">
        <v>0.51</v>
      </c>
      <c r="H191">
        <v>0.58622522308595848</v>
      </c>
      <c r="I191">
        <v>0.69637380533808979</v>
      </c>
      <c r="J191">
        <v>21.480998964419861</v>
      </c>
    </row>
    <row r="192" spans="1:11">
      <c r="A192" s="1">
        <v>45737</v>
      </c>
      <c r="B192" s="1">
        <v>45737</v>
      </c>
      <c r="C192">
        <v>4.1148277757452654</v>
      </c>
      <c r="D192">
        <v>4.8071753580452237</v>
      </c>
      <c r="E192">
        <v>521.43895533915895</v>
      </c>
      <c r="F192">
        <v>36.962945087936532</v>
      </c>
      <c r="G192">
        <v>0.51</v>
      </c>
      <c r="H192">
        <v>0.58622522308595848</v>
      </c>
      <c r="I192">
        <v>0.69637380533808979</v>
      </c>
      <c r="J192">
        <v>21.480998964419861</v>
      </c>
    </row>
    <row r="193" spans="1:10">
      <c r="A193" s="1">
        <v>45740</v>
      </c>
      <c r="B193" s="1">
        <v>45740</v>
      </c>
      <c r="C193">
        <v>3.2719801140063778</v>
      </c>
      <c r="D193">
        <v>4.7763285525733066</v>
      </c>
      <c r="E193">
        <v>521.43895533915895</v>
      </c>
      <c r="F193">
        <v>36.962945087936532</v>
      </c>
      <c r="G193">
        <v>0.51</v>
      </c>
      <c r="H193">
        <v>0.58622522308595848</v>
      </c>
      <c r="I193">
        <v>0.69637380533808979</v>
      </c>
      <c r="J193">
        <v>21.480998964419861</v>
      </c>
    </row>
    <row r="194" spans="1:10">
      <c r="A194" s="1">
        <v>45741</v>
      </c>
      <c r="B194" s="1">
        <v>45741</v>
      </c>
      <c r="C194">
        <v>3.33122121519814</v>
      </c>
      <c r="D194">
        <v>4.4944535068711682</v>
      </c>
      <c r="E194">
        <v>521.43895533915895</v>
      </c>
      <c r="F194">
        <v>36.962945087936532</v>
      </c>
      <c r="G194">
        <v>0.51</v>
      </c>
      <c r="H194">
        <v>0.58622522308595848</v>
      </c>
      <c r="I194">
        <v>0.69637380533808979</v>
      </c>
      <c r="J194">
        <v>21.480998964419861</v>
      </c>
    </row>
    <row r="195" spans="1:10">
      <c r="A195" s="1">
        <v>45742</v>
      </c>
      <c r="B195" s="1">
        <v>45742</v>
      </c>
      <c r="C195">
        <v>4.0385389550923634</v>
      </c>
      <c r="D195">
        <v>4.970730657695599</v>
      </c>
      <c r="E195">
        <v>521.43895533915895</v>
      </c>
      <c r="F195">
        <v>36.962945087936532</v>
      </c>
      <c r="G195">
        <v>0.51</v>
      </c>
      <c r="H195">
        <v>0.58622522308595848</v>
      </c>
      <c r="I195">
        <v>0.69637380533808979</v>
      </c>
      <c r="J195">
        <v>21.480998964419861</v>
      </c>
    </row>
    <row r="196" spans="1:10">
      <c r="A196" s="1">
        <v>45743</v>
      </c>
      <c r="B196" s="1">
        <v>45743</v>
      </c>
      <c r="C196">
        <v>3.9568940231144349</v>
      </c>
      <c r="D196">
        <v>3.9578751140582424</v>
      </c>
      <c r="E196">
        <v>521.43895533915895</v>
      </c>
      <c r="F196">
        <v>36.962945087936532</v>
      </c>
      <c r="G196">
        <v>0.51</v>
      </c>
      <c r="H196">
        <v>0.58622522308595848</v>
      </c>
      <c r="I196">
        <v>0.69637380533808979</v>
      </c>
      <c r="J196">
        <v>21.480998964419861</v>
      </c>
    </row>
    <row r="197" spans="1:10">
      <c r="A197" s="1">
        <v>45744</v>
      </c>
      <c r="B197" s="1">
        <v>45744</v>
      </c>
      <c r="C197">
        <v>5.0093656063379433</v>
      </c>
      <c r="D197">
        <v>4.1210023245556471</v>
      </c>
      <c r="E197">
        <v>521.43895533915895</v>
      </c>
      <c r="F197">
        <v>36.962945087936532</v>
      </c>
      <c r="G197">
        <v>0.51</v>
      </c>
      <c r="H197">
        <v>0.58622522308595848</v>
      </c>
      <c r="I197">
        <v>0.69637380533808979</v>
      </c>
      <c r="J197">
        <v>21.480998964419861</v>
      </c>
    </row>
    <row r="198" spans="1:10">
      <c r="A198" s="1">
        <v>45747</v>
      </c>
      <c r="B198" s="1">
        <v>45747</v>
      </c>
      <c r="C198">
        <v>4.2456815768260583</v>
      </c>
      <c r="D198">
        <v>5.151395876332165</v>
      </c>
      <c r="E198">
        <v>521.43895533915895</v>
      </c>
      <c r="F198">
        <v>36.962945087936532</v>
      </c>
      <c r="G198">
        <v>0.51</v>
      </c>
      <c r="H198">
        <v>0.58622522308595848</v>
      </c>
      <c r="I198">
        <v>0.69637380533808979</v>
      </c>
      <c r="J198">
        <v>21.480998964419861</v>
      </c>
    </row>
    <row r="199" spans="1:10">
      <c r="A199" s="1">
        <v>45748</v>
      </c>
      <c r="B199" s="1">
        <v>45748</v>
      </c>
      <c r="C199">
        <v>3.3884004036114819</v>
      </c>
      <c r="D199">
        <v>5.7358025218509798</v>
      </c>
      <c r="E199">
        <v>521.43895533915895</v>
      </c>
      <c r="F199">
        <v>36.962945087936532</v>
      </c>
      <c r="G199">
        <v>0.51</v>
      </c>
      <c r="H199">
        <v>0.58622522308595848</v>
      </c>
      <c r="I199">
        <v>0.69637380533808979</v>
      </c>
      <c r="J199">
        <v>21.480998964419861</v>
      </c>
    </row>
    <row r="200" spans="1:10">
      <c r="A200" s="1">
        <v>45749</v>
      </c>
      <c r="B200" s="1">
        <v>45749</v>
      </c>
      <c r="C200">
        <v>3.8370136167775133</v>
      </c>
      <c r="D200">
        <v>4.7743346491236123</v>
      </c>
      <c r="E200">
        <v>521.43895533915895</v>
      </c>
      <c r="F200">
        <v>36.962945087936532</v>
      </c>
      <c r="G200">
        <v>0.51</v>
      </c>
      <c r="H200">
        <v>0.58622522308595848</v>
      </c>
      <c r="I200">
        <v>0.69637380533808979</v>
      </c>
      <c r="J200">
        <v>21.480998964419861</v>
      </c>
    </row>
    <row r="201" spans="1:10">
      <c r="A201" s="1">
        <v>45750</v>
      </c>
      <c r="B201" s="1">
        <v>45750</v>
      </c>
      <c r="C201">
        <v>4.4967816803312299</v>
      </c>
      <c r="D201">
        <v>3.3513416691029994</v>
      </c>
      <c r="E201">
        <v>521.43895533915895</v>
      </c>
      <c r="F201">
        <v>36.962945087936532</v>
      </c>
      <c r="G201">
        <v>0.51</v>
      </c>
      <c r="H201">
        <v>0.58622522308595848</v>
      </c>
      <c r="I201">
        <v>0.69637380533808979</v>
      </c>
      <c r="J201">
        <v>21.480998964419861</v>
      </c>
    </row>
    <row r="202" spans="1:10">
      <c r="A202" s="1">
        <v>45751</v>
      </c>
      <c r="B202" s="1">
        <v>45751</v>
      </c>
      <c r="C202">
        <v>4.2970169852365521</v>
      </c>
      <c r="D202">
        <v>4.6327620228192901</v>
      </c>
      <c r="E202">
        <v>521.43895533915895</v>
      </c>
      <c r="F202">
        <v>36.962945087936532</v>
      </c>
      <c r="G202">
        <v>0.51</v>
      </c>
      <c r="H202">
        <v>0.58622522308595848</v>
      </c>
      <c r="I202">
        <v>0.69637380533808979</v>
      </c>
      <c r="J202">
        <v>21.480998964419861</v>
      </c>
    </row>
    <row r="203" spans="1:10">
      <c r="A203" s="1">
        <v>45754</v>
      </c>
      <c r="B203" s="1">
        <v>45754</v>
      </c>
      <c r="C203">
        <v>5.3761937305538225</v>
      </c>
      <c r="D203">
        <v>4.4822193886658352</v>
      </c>
      <c r="E203">
        <v>521.43895533915895</v>
      </c>
      <c r="F203">
        <v>36.962945087936532</v>
      </c>
      <c r="G203">
        <v>0.51</v>
      </c>
      <c r="H203">
        <v>0.58622522308595848</v>
      </c>
      <c r="I203">
        <v>0.69637380533808979</v>
      </c>
      <c r="J203">
        <v>21.480998964419861</v>
      </c>
    </row>
    <row r="204" spans="1:10">
      <c r="A204" s="1">
        <v>45755</v>
      </c>
      <c r="B204" s="1">
        <v>45755</v>
      </c>
      <c r="C204">
        <v>3.5357169476733379</v>
      </c>
      <c r="D204">
        <v>3.8514890890254367</v>
      </c>
      <c r="E204">
        <v>521.43895533915895</v>
      </c>
      <c r="F204">
        <v>36.962945087936532</v>
      </c>
      <c r="G204">
        <v>0.51</v>
      </c>
      <c r="H204">
        <v>0.58622522308595848</v>
      </c>
      <c r="I204">
        <v>0.69637380533808979</v>
      </c>
      <c r="J204">
        <v>21.480998964419861</v>
      </c>
    </row>
    <row r="205" spans="1:10">
      <c r="A205" s="1">
        <v>45756</v>
      </c>
      <c r="B205" s="1">
        <v>45756</v>
      </c>
      <c r="C205">
        <v>4.500808714244541</v>
      </c>
      <c r="D205">
        <v>4.8124911289908816</v>
      </c>
      <c r="E205">
        <v>521.43895533915895</v>
      </c>
      <c r="F205">
        <v>36.962945087936532</v>
      </c>
      <c r="G205">
        <v>0.51</v>
      </c>
      <c r="H205">
        <v>0.58622522308595848</v>
      </c>
      <c r="I205">
        <v>0.69637380533808979</v>
      </c>
      <c r="J205">
        <v>21.480998964419861</v>
      </c>
    </row>
    <row r="206" spans="1:10">
      <c r="A206" s="1">
        <v>45757</v>
      </c>
      <c r="B206" s="1">
        <v>45757</v>
      </c>
      <c r="C206">
        <v>3.320409463048176</v>
      </c>
      <c r="D206">
        <v>4.3006363604346518</v>
      </c>
      <c r="E206">
        <v>521.43895533915895</v>
      </c>
      <c r="F206">
        <v>36.962945087936532</v>
      </c>
      <c r="G206">
        <v>0.51</v>
      </c>
      <c r="H206">
        <v>0.58622522308595848</v>
      </c>
      <c r="I206">
        <v>0.69637380533808979</v>
      </c>
      <c r="J206">
        <v>21.480998964419861</v>
      </c>
    </row>
    <row r="207" spans="1:10">
      <c r="A207" s="1">
        <v>45758</v>
      </c>
      <c r="B207" s="1">
        <v>45758</v>
      </c>
      <c r="C207">
        <v>3.182991735911564</v>
      </c>
      <c r="D207">
        <v>4.9102028415876982</v>
      </c>
      <c r="E207">
        <v>521.43895533915895</v>
      </c>
      <c r="F207">
        <v>36.962945087936532</v>
      </c>
      <c r="G207">
        <v>0.51</v>
      </c>
      <c r="H207">
        <v>0.58622522308595848</v>
      </c>
      <c r="I207">
        <v>0.69637380533808979</v>
      </c>
      <c r="J207">
        <v>21.480998964419861</v>
      </c>
    </row>
    <row r="208" spans="1:10">
      <c r="A208" s="1">
        <v>45761</v>
      </c>
      <c r="B208" s="1">
        <v>45761</v>
      </c>
      <c r="C208">
        <v>4.7483195682367354</v>
      </c>
      <c r="D208">
        <v>4.4141297534260726</v>
      </c>
      <c r="E208">
        <v>521.43895533915895</v>
      </c>
      <c r="F208">
        <v>36.962945087936532</v>
      </c>
      <c r="G208">
        <v>0.51</v>
      </c>
      <c r="H208">
        <v>0.58622522308595848</v>
      </c>
      <c r="I208">
        <v>0.69637380533808979</v>
      </c>
      <c r="J208">
        <v>21.480998964419861</v>
      </c>
    </row>
    <row r="209" spans="1:10">
      <c r="A209" s="1">
        <v>45762</v>
      </c>
      <c r="B209" s="1">
        <v>45762</v>
      </c>
      <c r="C209">
        <v>5.3658049742224652</v>
      </c>
      <c r="D209">
        <v>3.377728360812041</v>
      </c>
      <c r="E209">
        <v>521.43895533915895</v>
      </c>
      <c r="F209">
        <v>36.962945087936532</v>
      </c>
      <c r="G209">
        <v>0.51</v>
      </c>
      <c r="H209">
        <v>0.58622522308595848</v>
      </c>
      <c r="I209">
        <v>0.69637380533808979</v>
      </c>
      <c r="J209">
        <v>21.480998964419861</v>
      </c>
    </row>
    <row r="210" spans="1:10">
      <c r="A210" s="1">
        <v>45763</v>
      </c>
      <c r="B210" s="1">
        <v>45763</v>
      </c>
      <c r="C210">
        <v>3.4700418872780174</v>
      </c>
      <c r="D210">
        <v>4.2205316461880784</v>
      </c>
      <c r="E210">
        <v>521.43895533915895</v>
      </c>
      <c r="F210">
        <v>36.962945087936532</v>
      </c>
      <c r="G210">
        <v>0.51</v>
      </c>
      <c r="H210">
        <v>0.58622522308595848</v>
      </c>
      <c r="I210">
        <v>0.69637380533808979</v>
      </c>
      <c r="J210">
        <v>21.480998964419861</v>
      </c>
    </row>
    <row r="211" spans="1:10">
      <c r="A211" s="1">
        <v>45764</v>
      </c>
      <c r="B211" s="1">
        <v>45764</v>
      </c>
      <c r="C211">
        <v>4.4747511060734677</v>
      </c>
      <c r="D211">
        <v>4.7204632187995692</v>
      </c>
      <c r="E211">
        <v>521.43895533915895</v>
      </c>
      <c r="F211">
        <v>36.962945087936532</v>
      </c>
      <c r="G211">
        <v>0.51</v>
      </c>
      <c r="H211">
        <v>0.58622522308595848</v>
      </c>
      <c r="I211">
        <v>0.69637380533808979</v>
      </c>
      <c r="J211">
        <v>21.480998964419861</v>
      </c>
    </row>
    <row r="212" spans="1:10">
      <c r="A212" s="1">
        <v>45765</v>
      </c>
      <c r="B212" s="1">
        <v>45765</v>
      </c>
      <c r="C212">
        <v>4.3892681101293594</v>
      </c>
      <c r="D212">
        <v>3.5258566652145875</v>
      </c>
      <c r="E212">
        <v>521.43895533915895</v>
      </c>
      <c r="F212">
        <v>36.962945087936532</v>
      </c>
      <c r="G212">
        <v>0.51</v>
      </c>
      <c r="H212">
        <v>0.58622522308595848</v>
      </c>
      <c r="I212">
        <v>0.69637380533808979</v>
      </c>
      <c r="J212">
        <v>21.480998964419861</v>
      </c>
    </row>
    <row r="213" spans="1:10">
      <c r="A213" s="1">
        <v>45768</v>
      </c>
      <c r="B213" s="1">
        <v>45768</v>
      </c>
      <c r="C213">
        <v>4.0578735668535026</v>
      </c>
      <c r="D213">
        <v>3.7017688347640894</v>
      </c>
      <c r="E213">
        <v>521.43895533915895</v>
      </c>
      <c r="F213">
        <v>36.962945087936532</v>
      </c>
      <c r="G213">
        <v>0.51</v>
      </c>
      <c r="H213">
        <v>0.58622522308595848</v>
      </c>
      <c r="I213">
        <v>0.69637380533808979</v>
      </c>
      <c r="J213">
        <v>21.480998964419861</v>
      </c>
    </row>
    <row r="214" spans="1:10">
      <c r="A214" s="1">
        <v>45769</v>
      </c>
      <c r="B214" s="1">
        <v>45769</v>
      </c>
      <c r="C214">
        <v>4.3023574527156168</v>
      </c>
      <c r="D214">
        <v>4.1067189693907782</v>
      </c>
      <c r="E214">
        <v>521.43895533915895</v>
      </c>
      <c r="F214">
        <v>36.962945087936532</v>
      </c>
      <c r="G214">
        <v>0.51</v>
      </c>
      <c r="H214">
        <v>0.58622522308595848</v>
      </c>
      <c r="I214">
        <v>0.69637380533808979</v>
      </c>
      <c r="J214">
        <v>21.480998964419861</v>
      </c>
    </row>
    <row r="215" spans="1:10">
      <c r="A215" s="1">
        <v>45770</v>
      </c>
      <c r="B215" s="1">
        <v>45770</v>
      </c>
      <c r="C215">
        <v>4.3376583609267714</v>
      </c>
      <c r="D215">
        <v>4.2849803130450708</v>
      </c>
      <c r="E215">
        <v>521.43895533915895</v>
      </c>
      <c r="F215">
        <v>36.962945087936532</v>
      </c>
      <c r="G215">
        <v>0.51</v>
      </c>
      <c r="H215">
        <v>0.58622522308595848</v>
      </c>
      <c r="I215">
        <v>0.69637380533808979</v>
      </c>
      <c r="J215">
        <v>21.480998964419861</v>
      </c>
    </row>
    <row r="216" spans="1:10">
      <c r="A216" s="1">
        <v>45771</v>
      </c>
      <c r="B216" s="1">
        <v>45771</v>
      </c>
      <c r="C216">
        <v>5.0359729504378192</v>
      </c>
      <c r="D216">
        <v>5.5693606192159235</v>
      </c>
      <c r="E216">
        <v>521.43895533915895</v>
      </c>
      <c r="F216">
        <v>36.962945087936532</v>
      </c>
      <c r="G216">
        <v>0.51</v>
      </c>
      <c r="H216">
        <v>0.58622522308595848</v>
      </c>
      <c r="I216">
        <v>0.69637380533808979</v>
      </c>
      <c r="J216">
        <v>21.480998964419861</v>
      </c>
    </row>
    <row r="217" spans="1:10">
      <c r="A217" s="1">
        <v>45772</v>
      </c>
      <c r="B217" s="1">
        <v>45772</v>
      </c>
      <c r="C217">
        <v>3.0329861724320253</v>
      </c>
      <c r="D217">
        <v>5.2560384045698516</v>
      </c>
      <c r="E217">
        <v>521.43895533915895</v>
      </c>
      <c r="F217">
        <v>36.962945087936532</v>
      </c>
      <c r="G217">
        <v>0.51</v>
      </c>
      <c r="H217">
        <v>0.58622522308595848</v>
      </c>
      <c r="I217">
        <v>0.69637380533808979</v>
      </c>
      <c r="J217">
        <v>21.480998964419861</v>
      </c>
    </row>
    <row r="218" spans="1:10">
      <c r="A218" s="1">
        <v>45775</v>
      </c>
      <c r="B218" s="1">
        <v>45775</v>
      </c>
      <c r="C218">
        <v>4.3637111096328658</v>
      </c>
      <c r="D218">
        <v>4.7196802949047623</v>
      </c>
      <c r="E218">
        <v>521.43895533915895</v>
      </c>
      <c r="F218">
        <v>36.962945087936532</v>
      </c>
      <c r="G218">
        <v>0.51</v>
      </c>
      <c r="H218">
        <v>0.58622522308595848</v>
      </c>
      <c r="I218">
        <v>0.69637380533808979</v>
      </c>
      <c r="J218">
        <v>21.480998964419861</v>
      </c>
    </row>
    <row r="219" spans="1:10">
      <c r="A219" s="1">
        <v>45776</v>
      </c>
      <c r="B219" s="1">
        <v>45776</v>
      </c>
      <c r="C219">
        <v>4.2540722961103121</v>
      </c>
      <c r="D219">
        <v>3.3194249653762649</v>
      </c>
      <c r="E219">
        <v>521.43895533915895</v>
      </c>
      <c r="F219">
        <v>36.962945087936532</v>
      </c>
      <c r="G219">
        <v>0.51</v>
      </c>
      <c r="H219">
        <v>0.58622522308595848</v>
      </c>
      <c r="I219">
        <v>0.69637380533808979</v>
      </c>
      <c r="J219">
        <v>21.480998964419861</v>
      </c>
    </row>
    <row r="220" spans="1:10">
      <c r="A220" s="1">
        <v>45777</v>
      </c>
      <c r="B220" s="1">
        <v>45777</v>
      </c>
      <c r="C220">
        <v>4.5994118744663419</v>
      </c>
      <c r="D220">
        <v>3.9583249612801392</v>
      </c>
      <c r="E220">
        <v>521.43895533915895</v>
      </c>
      <c r="F220">
        <v>36.962945087936532</v>
      </c>
      <c r="G220">
        <v>0.51</v>
      </c>
      <c r="H220">
        <v>0.58622522308595848</v>
      </c>
      <c r="I220">
        <v>0.69637380533808979</v>
      </c>
      <c r="J220">
        <v>21.480998964419861</v>
      </c>
    </row>
    <row r="221" spans="1:10">
      <c r="A221" s="1">
        <v>45778</v>
      </c>
      <c r="B221" s="1">
        <v>45778</v>
      </c>
      <c r="C221">
        <v>5.4048091332293264</v>
      </c>
      <c r="D221">
        <v>4.132171621038613</v>
      </c>
      <c r="E221">
        <v>521.43895533915895</v>
      </c>
      <c r="F221">
        <v>36.962945087936532</v>
      </c>
      <c r="G221">
        <v>0.51</v>
      </c>
      <c r="H221">
        <v>0.58622522308595848</v>
      </c>
      <c r="I221">
        <v>0.69637380533808979</v>
      </c>
      <c r="J221">
        <v>21.480998964419861</v>
      </c>
    </row>
    <row r="222" spans="1:10">
      <c r="A222" s="1">
        <v>45779</v>
      </c>
      <c r="B222" s="1">
        <v>45779</v>
      </c>
      <c r="C222">
        <v>3.9331130201801159</v>
      </c>
      <c r="D222">
        <v>4.2293332145593281</v>
      </c>
      <c r="E222">
        <v>521.43895533915895</v>
      </c>
      <c r="F222">
        <v>36.962945087936532</v>
      </c>
      <c r="G222">
        <v>0.51</v>
      </c>
      <c r="H222">
        <v>0.58622522308595848</v>
      </c>
      <c r="I222">
        <v>0.69637380533808979</v>
      </c>
      <c r="J222">
        <v>21.480998964419861</v>
      </c>
    </row>
    <row r="223" spans="1:10">
      <c r="A223" s="1">
        <v>45782</v>
      </c>
      <c r="B223" s="1">
        <v>45782</v>
      </c>
      <c r="C223">
        <v>3.539626164299563</v>
      </c>
      <c r="D223">
        <v>5.9287442813837936</v>
      </c>
      <c r="E223">
        <v>521.43895533915895</v>
      </c>
      <c r="F223">
        <v>36.962945087936532</v>
      </c>
      <c r="G223">
        <v>0.51</v>
      </c>
      <c r="H223">
        <v>0.58622522308595848</v>
      </c>
      <c r="I223">
        <v>0.69637380533808979</v>
      </c>
      <c r="J223">
        <v>21.480998964419861</v>
      </c>
    </row>
    <row r="224" spans="1:10">
      <c r="A224" s="1">
        <v>45783</v>
      </c>
      <c r="B224" s="1">
        <v>45783</v>
      </c>
      <c r="C224">
        <v>4.2699539353225369</v>
      </c>
      <c r="D224">
        <v>3.5195211092666052</v>
      </c>
      <c r="E224">
        <v>521.43895533915895</v>
      </c>
      <c r="F224">
        <v>36.962945087936532</v>
      </c>
      <c r="G224">
        <v>0.51</v>
      </c>
      <c r="H224">
        <v>0.58622522308595848</v>
      </c>
      <c r="I224">
        <v>0.69637380533808979</v>
      </c>
      <c r="J224">
        <v>21.480998964419861</v>
      </c>
    </row>
    <row r="225" spans="1:10">
      <c r="A225" s="1">
        <v>45784</v>
      </c>
      <c r="B225" s="1">
        <v>45784</v>
      </c>
      <c r="C225">
        <v>4.1235390138839056</v>
      </c>
      <c r="D225">
        <v>3.5534786878243954</v>
      </c>
      <c r="E225">
        <v>521.43895533915895</v>
      </c>
      <c r="F225">
        <v>36.962945087936532</v>
      </c>
      <c r="G225">
        <v>0.51</v>
      </c>
      <c r="H225">
        <v>0.58622522308595848</v>
      </c>
      <c r="I225">
        <v>0.69637380533808979</v>
      </c>
      <c r="J225">
        <v>21.480998964419861</v>
      </c>
    </row>
    <row r="226" spans="1:10">
      <c r="A226" s="1">
        <v>45785</v>
      </c>
      <c r="B226" s="1">
        <v>45785</v>
      </c>
      <c r="C226">
        <v>3.7508946622572434</v>
      </c>
      <c r="D226">
        <v>4.5097113610654365</v>
      </c>
      <c r="E226">
        <v>521.43895533915895</v>
      </c>
      <c r="F226">
        <v>36.962945087936532</v>
      </c>
      <c r="G226">
        <v>0.51</v>
      </c>
      <c r="H226">
        <v>0.58622522308595848</v>
      </c>
      <c r="I226">
        <v>0.69637380533808979</v>
      </c>
      <c r="J226">
        <v>21.480998964419861</v>
      </c>
    </row>
    <row r="227" spans="1:10">
      <c r="A227" s="1">
        <v>45786</v>
      </c>
      <c r="B227" s="1">
        <v>45786</v>
      </c>
      <c r="C227">
        <v>3.6678390663509299</v>
      </c>
      <c r="D227">
        <v>5.1068157520096937</v>
      </c>
      <c r="E227">
        <v>521.43895533915895</v>
      </c>
      <c r="F227">
        <v>36.962945087936532</v>
      </c>
      <c r="G227">
        <v>0.51</v>
      </c>
      <c r="H227">
        <v>0.58622522308595848</v>
      </c>
      <c r="I227">
        <v>0.69637380533808979</v>
      </c>
      <c r="J227">
        <v>21.480998964419861</v>
      </c>
    </row>
    <row r="228" spans="1:10">
      <c r="A228" s="1">
        <v>45789</v>
      </c>
      <c r="B228" s="1">
        <v>45789</v>
      </c>
      <c r="C228">
        <v>4.8495803260036867</v>
      </c>
      <c r="D228">
        <v>5.0365236380324614</v>
      </c>
      <c r="E228">
        <v>521.43895533915895</v>
      </c>
      <c r="F228">
        <v>36.962945087936532</v>
      </c>
      <c r="G228">
        <v>0.51</v>
      </c>
      <c r="H228">
        <v>0.58622522308595848</v>
      </c>
      <c r="I228">
        <v>0.69637380533808979</v>
      </c>
      <c r="J228">
        <v>21.480998964419861</v>
      </c>
    </row>
    <row r="229" spans="1:10">
      <c r="A229" s="1">
        <v>45790</v>
      </c>
      <c r="B229" s="1">
        <v>45790</v>
      </c>
      <c r="C229">
        <v>5.0950194674947999</v>
      </c>
      <c r="D229">
        <v>4.8952623178182195</v>
      </c>
      <c r="E229">
        <v>521.43895533915895</v>
      </c>
      <c r="F229">
        <v>36.962945087936532</v>
      </c>
      <c r="G229">
        <v>0.51</v>
      </c>
      <c r="H229">
        <v>0.58622522308595848</v>
      </c>
      <c r="I229">
        <v>0.69637380533808979</v>
      </c>
      <c r="J229">
        <v>21.480998964419861</v>
      </c>
    </row>
    <row r="230" spans="1:10">
      <c r="A230" s="1">
        <v>45791</v>
      </c>
      <c r="B230" s="1">
        <v>45791</v>
      </c>
      <c r="C230">
        <v>5.0866801769967154</v>
      </c>
      <c r="D230">
        <v>3.936573815907126</v>
      </c>
      <c r="E230">
        <v>521.43895533915895</v>
      </c>
      <c r="F230">
        <v>36.962945087936532</v>
      </c>
      <c r="G230">
        <v>0.51</v>
      </c>
      <c r="H230">
        <v>0.58622522308595848</v>
      </c>
      <c r="I230">
        <v>0.69637380533808979</v>
      </c>
      <c r="J230">
        <v>21.480998964419861</v>
      </c>
    </row>
    <row r="231" spans="1:10">
      <c r="A231" s="1">
        <v>45792</v>
      </c>
      <c r="B231" s="1">
        <v>45792</v>
      </c>
      <c r="C231">
        <v>4.4114731724418856</v>
      </c>
      <c r="D231">
        <v>5.0192920207462954</v>
      </c>
      <c r="E231">
        <v>521.43895533915895</v>
      </c>
      <c r="F231">
        <v>36.962945087936532</v>
      </c>
      <c r="G231">
        <v>0.51</v>
      </c>
      <c r="H231">
        <v>0.58622522308595848</v>
      </c>
      <c r="I231">
        <v>0.69637380533808979</v>
      </c>
      <c r="J231">
        <v>21.480998964419861</v>
      </c>
    </row>
    <row r="232" spans="1:10">
      <c r="A232" s="1">
        <v>45793</v>
      </c>
      <c r="B232" s="1">
        <v>45793</v>
      </c>
      <c r="C232">
        <v>3.9990144467327324</v>
      </c>
      <c r="D232">
        <v>3.9479665099871983</v>
      </c>
      <c r="E232">
        <v>521.43895533915895</v>
      </c>
      <c r="F232">
        <v>36.962945087936532</v>
      </c>
      <c r="G232">
        <v>0.51</v>
      </c>
      <c r="H232">
        <v>0.58622522308595848</v>
      </c>
      <c r="I232">
        <v>0.69637380533808979</v>
      </c>
      <c r="J232">
        <v>21.480998964419861</v>
      </c>
    </row>
    <row r="233" spans="1:10">
      <c r="A233" s="1">
        <v>45796</v>
      </c>
      <c r="B233" s="1">
        <v>45796</v>
      </c>
      <c r="C233">
        <v>2.977327569579491</v>
      </c>
      <c r="D233">
        <v>4.2425058531321991</v>
      </c>
      <c r="E233">
        <v>521.43895533915895</v>
      </c>
      <c r="F233">
        <v>36.962945087936532</v>
      </c>
      <c r="G233">
        <v>0.51</v>
      </c>
      <c r="H233">
        <v>0.58622522308595848</v>
      </c>
      <c r="I233">
        <v>0.69637380533808979</v>
      </c>
      <c r="J233">
        <v>21.480998964419861</v>
      </c>
    </row>
    <row r="234" spans="1:10">
      <c r="A234" s="1">
        <v>45797</v>
      </c>
      <c r="B234" s="1">
        <v>45797</v>
      </c>
      <c r="C234">
        <v>3.6920142724787341</v>
      </c>
      <c r="D234">
        <v>4.2220589158816706</v>
      </c>
      <c r="E234">
        <v>521.43895533915895</v>
      </c>
      <c r="F234">
        <v>36.962945087936532</v>
      </c>
      <c r="G234">
        <v>0.51</v>
      </c>
      <c r="H234">
        <v>0.58622522308595848</v>
      </c>
      <c r="I234">
        <v>0.69637380533808979</v>
      </c>
      <c r="J234">
        <v>21.480998964419861</v>
      </c>
    </row>
    <row r="235" spans="1:10">
      <c r="A235" s="1">
        <v>45798</v>
      </c>
      <c r="B235" s="1">
        <v>45798</v>
      </c>
      <c r="C235">
        <v>4.0722550656608609</v>
      </c>
      <c r="D235">
        <v>4.5581760091225165</v>
      </c>
      <c r="E235">
        <v>521.43895533915895</v>
      </c>
      <c r="F235">
        <v>36.962945087936532</v>
      </c>
      <c r="G235">
        <v>0.51</v>
      </c>
      <c r="H235">
        <v>0.58622522308595848</v>
      </c>
      <c r="I235">
        <v>0.69637380533808979</v>
      </c>
      <c r="J235">
        <v>21.480998964419861</v>
      </c>
    </row>
    <row r="236" spans="1:10">
      <c r="A236" s="1">
        <v>45799</v>
      </c>
      <c r="B236" s="1">
        <v>45799</v>
      </c>
      <c r="C236">
        <v>5.4184570923325586</v>
      </c>
      <c r="D236">
        <v>5.3028828518682349</v>
      </c>
      <c r="E236">
        <v>521.43895533915895</v>
      </c>
      <c r="F236">
        <v>36.962945087936532</v>
      </c>
      <c r="G236">
        <v>0.51</v>
      </c>
      <c r="H236">
        <v>0.58622522308595848</v>
      </c>
      <c r="I236">
        <v>0.69637380533808979</v>
      </c>
      <c r="J236">
        <v>21.480998964419861</v>
      </c>
    </row>
    <row r="237" spans="1:10">
      <c r="A237" s="1">
        <v>45800</v>
      </c>
      <c r="B237" s="1">
        <v>45800</v>
      </c>
      <c r="C237">
        <v>3.9296493229017622</v>
      </c>
      <c r="D237">
        <v>4.7108988385616088</v>
      </c>
      <c r="E237">
        <v>521.43895533915895</v>
      </c>
      <c r="F237">
        <v>36.962945087936532</v>
      </c>
      <c r="G237">
        <v>0.51</v>
      </c>
      <c r="H237">
        <v>0.58622522308595848</v>
      </c>
      <c r="I237">
        <v>0.69637380533808979</v>
      </c>
      <c r="J237">
        <v>21.480998964419861</v>
      </c>
    </row>
    <row r="238" spans="1:10">
      <c r="A238" s="1">
        <v>45803</v>
      </c>
      <c r="B238" s="1">
        <v>45803</v>
      </c>
      <c r="C238">
        <v>4.6462281311365006</v>
      </c>
      <c r="D238">
        <v>4.6793920853314468</v>
      </c>
      <c r="E238">
        <v>521.43895533915895</v>
      </c>
      <c r="F238">
        <v>36.962945087936532</v>
      </c>
      <c r="G238">
        <v>0.51</v>
      </c>
      <c r="H238">
        <v>0.58622522308595848</v>
      </c>
      <c r="I238">
        <v>0.69637380533808979</v>
      </c>
      <c r="J238">
        <v>21.480998964419861</v>
      </c>
    </row>
    <row r="239" spans="1:10">
      <c r="A239" s="1">
        <v>45804</v>
      </c>
      <c r="B239" s="1">
        <v>45804</v>
      </c>
      <c r="C239">
        <v>3.9909098187006347</v>
      </c>
      <c r="D239">
        <v>5.1917276248447539</v>
      </c>
      <c r="E239">
        <v>521.43895533915895</v>
      </c>
      <c r="F239">
        <v>36.962945087936532</v>
      </c>
      <c r="G239">
        <v>0.51</v>
      </c>
      <c r="H239">
        <v>0.58622522308595848</v>
      </c>
      <c r="I239">
        <v>0.69637380533808979</v>
      </c>
      <c r="J239">
        <v>21.480998964419861</v>
      </c>
    </row>
    <row r="240" spans="1:10">
      <c r="A240" s="1">
        <v>45805</v>
      </c>
      <c r="B240" s="1">
        <v>45805</v>
      </c>
      <c r="C240">
        <v>3.7387494612864582</v>
      </c>
      <c r="D240">
        <v>4.5863941951577925</v>
      </c>
      <c r="E240">
        <v>521.43895533915895</v>
      </c>
      <c r="F240">
        <v>36.962945087936532</v>
      </c>
      <c r="G240">
        <v>0.51</v>
      </c>
      <c r="H240">
        <v>0.58622522308595848</v>
      </c>
      <c r="I240">
        <v>0.69637380533808979</v>
      </c>
      <c r="J240">
        <v>21.480998964419861</v>
      </c>
    </row>
    <row r="241" spans="1:10">
      <c r="A241" s="1">
        <v>45806</v>
      </c>
      <c r="B241" s="1">
        <v>45806</v>
      </c>
      <c r="C241">
        <v>3.4171259883814504</v>
      </c>
      <c r="D241">
        <v>4.646400181693374</v>
      </c>
      <c r="E241">
        <v>521.43895533915895</v>
      </c>
      <c r="F241">
        <v>36.962945087936532</v>
      </c>
      <c r="G241">
        <v>0.51</v>
      </c>
      <c r="H241">
        <v>0.58622522308595848</v>
      </c>
      <c r="I241">
        <v>0.69637380533808979</v>
      </c>
      <c r="J241">
        <v>21.480998964419861</v>
      </c>
    </row>
    <row r="242" spans="1:10">
      <c r="A242" s="1">
        <v>45807</v>
      </c>
      <c r="B242" s="1">
        <v>45807</v>
      </c>
      <c r="C242">
        <v>4.1010122999489971</v>
      </c>
      <c r="D242">
        <v>4.8082597837564807</v>
      </c>
      <c r="E242">
        <v>521.43895533915895</v>
      </c>
      <c r="F242">
        <v>36.962945087936532</v>
      </c>
      <c r="G242">
        <v>0.51</v>
      </c>
      <c r="H242">
        <v>0.58622522308595848</v>
      </c>
      <c r="I242">
        <v>0.69637380533808979</v>
      </c>
      <c r="J242">
        <v>21.480998964419861</v>
      </c>
    </row>
    <row r="243" spans="1:10">
      <c r="A243" s="1">
        <v>45810</v>
      </c>
      <c r="B243" s="1">
        <v>45810</v>
      </c>
      <c r="C243">
        <v>3.982448508475247</v>
      </c>
      <c r="D243">
        <v>4.7678355466309235</v>
      </c>
      <c r="E243">
        <v>521.43895533915895</v>
      </c>
      <c r="F243">
        <v>36.962945087936532</v>
      </c>
      <c r="G243">
        <v>0.51</v>
      </c>
      <c r="H243">
        <v>0.58622522308595848</v>
      </c>
      <c r="I243">
        <v>0.69637380533808979</v>
      </c>
      <c r="J243">
        <v>21.480998964419861</v>
      </c>
    </row>
    <row r="244" spans="1:10">
      <c r="A244" s="1">
        <v>45811</v>
      </c>
      <c r="B244" s="1">
        <v>45811</v>
      </c>
      <c r="C244">
        <v>3.5188881854201894</v>
      </c>
      <c r="D244">
        <v>4.6284192280448346</v>
      </c>
      <c r="E244">
        <v>521.43895533915895</v>
      </c>
      <c r="F244">
        <v>36.962945087936532</v>
      </c>
      <c r="G244">
        <v>0.51</v>
      </c>
      <c r="H244">
        <v>0.58622522308595848</v>
      </c>
      <c r="I244">
        <v>0.69637380533808979</v>
      </c>
      <c r="J244">
        <v>21.480998964419861</v>
      </c>
    </row>
    <row r="245" spans="1:10">
      <c r="A245" s="1">
        <v>45812</v>
      </c>
      <c r="B245" s="1">
        <v>45812</v>
      </c>
      <c r="C245">
        <v>4.0451945706516375</v>
      </c>
      <c r="D245">
        <v>4.8454376943549207</v>
      </c>
      <c r="E245">
        <v>521.43895533915895</v>
      </c>
      <c r="F245">
        <v>36.962945087936532</v>
      </c>
      <c r="G245">
        <v>0.51</v>
      </c>
      <c r="H245">
        <v>0.58622522308595848</v>
      </c>
      <c r="I245">
        <v>0.69637380533808979</v>
      </c>
      <c r="J245">
        <v>21.480998964419861</v>
      </c>
    </row>
    <row r="246" spans="1:10">
      <c r="A246" s="1">
        <v>45813</v>
      </c>
      <c r="B246" s="1">
        <v>45813</v>
      </c>
      <c r="C246">
        <v>4.3293056440490183</v>
      </c>
      <c r="D246">
        <v>4.9735249982857219</v>
      </c>
      <c r="E246">
        <v>521.43895533915895</v>
      </c>
      <c r="F246">
        <v>36.962945087936532</v>
      </c>
      <c r="G246">
        <v>0.51</v>
      </c>
      <c r="H246">
        <v>0.58622522308595848</v>
      </c>
      <c r="I246">
        <v>0.69637380533808979</v>
      </c>
      <c r="J246">
        <v>21.480998964419861</v>
      </c>
    </row>
    <row r="247" spans="1:10">
      <c r="A247" s="1">
        <v>45814</v>
      </c>
      <c r="B247" s="1">
        <v>45814</v>
      </c>
      <c r="C247">
        <v>4.4084073991577135</v>
      </c>
      <c r="D247">
        <v>3.0899196794115942</v>
      </c>
      <c r="E247">
        <v>521.43895533915895</v>
      </c>
      <c r="F247">
        <v>36.962945087936532</v>
      </c>
      <c r="G247">
        <v>0.51</v>
      </c>
      <c r="H247">
        <v>0.58622522308595848</v>
      </c>
      <c r="I247">
        <v>0.69637380533808979</v>
      </c>
      <c r="J247">
        <v>21.480998964419861</v>
      </c>
    </row>
    <row r="248" spans="1:10">
      <c r="A248" s="1">
        <v>45817</v>
      </c>
      <c r="B248" s="1">
        <v>45817</v>
      </c>
      <c r="C248">
        <v>4.2230709941201319</v>
      </c>
      <c r="D248">
        <v>5.4466046687822205</v>
      </c>
      <c r="E248">
        <v>521.43895533915895</v>
      </c>
      <c r="F248">
        <v>36.962945087936532</v>
      </c>
      <c r="G248">
        <v>0.51</v>
      </c>
      <c r="H248">
        <v>0.58622522308595848</v>
      </c>
      <c r="I248">
        <v>0.69637380533808979</v>
      </c>
      <c r="J248">
        <v>21.480998964419861</v>
      </c>
    </row>
    <row r="249" spans="1:10">
      <c r="A249" s="1">
        <v>45818</v>
      </c>
      <c r="B249" s="1">
        <v>45818</v>
      </c>
      <c r="C249">
        <v>3.9352012295892083</v>
      </c>
      <c r="D249">
        <v>4.3287060801266017</v>
      </c>
      <c r="E249">
        <v>521.43895533915895</v>
      </c>
      <c r="F249">
        <v>36.962945087936532</v>
      </c>
      <c r="G249">
        <v>0.51</v>
      </c>
      <c r="H249">
        <v>0.58622522308595848</v>
      </c>
      <c r="I249">
        <v>0.69637380533808979</v>
      </c>
      <c r="J249">
        <v>21.480998964419861</v>
      </c>
    </row>
    <row r="250" spans="1:10">
      <c r="A250" s="1">
        <v>45819</v>
      </c>
      <c r="B250" s="1">
        <v>45819</v>
      </c>
      <c r="C250">
        <v>5.0560210327752531</v>
      </c>
      <c r="D250">
        <v>3.3771002318937153</v>
      </c>
      <c r="E250">
        <v>521.43895533915895</v>
      </c>
      <c r="F250">
        <v>36.962945087936532</v>
      </c>
      <c r="G250">
        <v>0.51</v>
      </c>
      <c r="H250">
        <v>0.58622522308595848</v>
      </c>
      <c r="I250">
        <v>0.69637380533808979</v>
      </c>
      <c r="J250">
        <v>21.480998964419861</v>
      </c>
    </row>
    <row r="251" spans="1:10">
      <c r="A251" s="1">
        <v>45820</v>
      </c>
      <c r="B251" s="1">
        <v>45820</v>
      </c>
      <c r="C251">
        <v>4.7169116115373955</v>
      </c>
      <c r="D251">
        <v>5.5058069337193958</v>
      </c>
      <c r="E251">
        <v>521.43895533915895</v>
      </c>
      <c r="F251">
        <v>36.962945087936532</v>
      </c>
      <c r="G251">
        <v>0.51</v>
      </c>
      <c r="H251">
        <v>0.58622522308595848</v>
      </c>
      <c r="I251">
        <v>0.69637380533808979</v>
      </c>
      <c r="J251">
        <v>21.480998964419861</v>
      </c>
    </row>
    <row r="252" spans="1:10">
      <c r="A252" s="1">
        <v>45821</v>
      </c>
      <c r="B252" s="1">
        <v>45821</v>
      </c>
      <c r="C252">
        <v>4.9050469472744371</v>
      </c>
      <c r="D252">
        <v>4.7653234531230311</v>
      </c>
      <c r="E252">
        <v>521.43895533915895</v>
      </c>
      <c r="F252">
        <v>36.962945087936532</v>
      </c>
      <c r="G252">
        <v>0.51</v>
      </c>
      <c r="H252">
        <v>0.58622522308595848</v>
      </c>
      <c r="I252">
        <v>0.69637380533808979</v>
      </c>
      <c r="J252">
        <v>21.480998964419861</v>
      </c>
    </row>
    <row r="253" spans="1:10">
      <c r="A253" s="1">
        <v>45824</v>
      </c>
      <c r="B253" s="1">
        <v>45824</v>
      </c>
      <c r="C253">
        <v>4.4952374205715824</v>
      </c>
      <c r="D253">
        <v>4.2463082387042252</v>
      </c>
      <c r="E253">
        <v>521.43895533915895</v>
      </c>
      <c r="F253">
        <v>36.962945087936532</v>
      </c>
      <c r="G253">
        <v>0.51</v>
      </c>
      <c r="H253">
        <v>0.58622522308595848</v>
      </c>
      <c r="I253">
        <v>0.69637380533808979</v>
      </c>
      <c r="J253">
        <v>21.480998964419861</v>
      </c>
    </row>
    <row r="254" spans="1:10">
      <c r="A254" s="1">
        <v>45825</v>
      </c>
      <c r="B254" s="1">
        <v>45825</v>
      </c>
      <c r="C254">
        <v>3.702028478791676</v>
      </c>
      <c r="D254">
        <v>3.1943035111756979</v>
      </c>
      <c r="E254">
        <v>521.43895533915895</v>
      </c>
      <c r="F254">
        <v>36.962945087936532</v>
      </c>
      <c r="G254">
        <v>0.51</v>
      </c>
      <c r="H254">
        <v>0.58622522308595848</v>
      </c>
      <c r="I254">
        <v>0.69637380533808979</v>
      </c>
      <c r="J254">
        <v>21.480998964419861</v>
      </c>
    </row>
    <row r="255" spans="1:10">
      <c r="A255" s="1">
        <v>45826</v>
      </c>
      <c r="B255" s="1">
        <v>45826</v>
      </c>
      <c r="C255">
        <v>3.9563947847503242</v>
      </c>
      <c r="D255">
        <v>4.6212901962716524</v>
      </c>
      <c r="E255">
        <v>521.43895533915895</v>
      </c>
      <c r="F255">
        <v>36.962945087936532</v>
      </c>
      <c r="G255">
        <v>0.51</v>
      </c>
      <c r="H255">
        <v>0.58622522308595848</v>
      </c>
      <c r="I255">
        <v>0.69637380533808979</v>
      </c>
      <c r="J255">
        <v>21.480998964419861</v>
      </c>
    </row>
    <row r="256" spans="1:10">
      <c r="A256" s="1">
        <v>45827</v>
      </c>
      <c r="B256" s="1">
        <v>45827</v>
      </c>
      <c r="C256">
        <v>3.5418606293801811</v>
      </c>
      <c r="D256">
        <v>3.7284430201410914</v>
      </c>
      <c r="E256">
        <v>521.43895533915895</v>
      </c>
      <c r="F256">
        <v>36.962945087936532</v>
      </c>
      <c r="G256">
        <v>0.51</v>
      </c>
      <c r="H256">
        <v>0.58622522308595848</v>
      </c>
      <c r="I256">
        <v>0.69637380533808979</v>
      </c>
      <c r="J256">
        <v>21.480998964419861</v>
      </c>
    </row>
    <row r="257" spans="1:10">
      <c r="A257" s="1">
        <v>45828</v>
      </c>
      <c r="B257" s="1">
        <v>45828</v>
      </c>
      <c r="C257">
        <v>4.2227141567568207</v>
      </c>
      <c r="D257">
        <v>4.1677374612987856</v>
      </c>
      <c r="E257">
        <v>521.43895533915895</v>
      </c>
      <c r="F257">
        <v>36.962945087936532</v>
      </c>
      <c r="G257">
        <v>0.51</v>
      </c>
      <c r="H257">
        <v>0.58622522308595848</v>
      </c>
      <c r="I257">
        <v>0.69637380533808979</v>
      </c>
      <c r="J257">
        <v>21.480998964419861</v>
      </c>
    </row>
    <row r="258" spans="1:10">
      <c r="A258" s="1">
        <v>45831</v>
      </c>
      <c r="B258" s="1">
        <v>45831</v>
      </c>
      <c r="C258">
        <v>3.7659545890521593</v>
      </c>
      <c r="D258">
        <v>4.5783472022696383</v>
      </c>
      <c r="E258">
        <v>521.43895533915895</v>
      </c>
      <c r="F258">
        <v>36.962945087936532</v>
      </c>
      <c r="G258">
        <v>0.51</v>
      </c>
      <c r="H258">
        <v>0.58622522308595848</v>
      </c>
      <c r="I258">
        <v>0.69637380533808979</v>
      </c>
      <c r="J258">
        <v>21.480998964419861</v>
      </c>
    </row>
    <row r="259" spans="1:10">
      <c r="A259" s="1">
        <v>45832</v>
      </c>
      <c r="B259" s="1">
        <v>45832</v>
      </c>
      <c r="C259">
        <v>3.1454153940944707</v>
      </c>
      <c r="D259">
        <v>5.1740321732037904</v>
      </c>
      <c r="E259">
        <v>521.43895533915895</v>
      </c>
      <c r="F259">
        <v>36.962945087936532</v>
      </c>
      <c r="G259">
        <v>0.51</v>
      </c>
      <c r="H259">
        <v>0.58622522308595848</v>
      </c>
      <c r="I259">
        <v>0.69637380533808979</v>
      </c>
      <c r="J259">
        <v>21.480998964419861</v>
      </c>
    </row>
    <row r="260" spans="1:10">
      <c r="A260" s="1">
        <v>45833</v>
      </c>
      <c r="B260" s="1">
        <v>45833</v>
      </c>
      <c r="C260">
        <v>4.6832393239090386</v>
      </c>
      <c r="D260">
        <v>4.7414996102087308</v>
      </c>
      <c r="E260">
        <v>521.43895533915895</v>
      </c>
      <c r="F260">
        <v>36.962945087936532</v>
      </c>
      <c r="G260">
        <v>0.51</v>
      </c>
      <c r="H260">
        <v>0.58622522308595848</v>
      </c>
      <c r="I260">
        <v>0.69637380533808979</v>
      </c>
      <c r="J260">
        <v>21.480998964419861</v>
      </c>
    </row>
    <row r="261" spans="1:10">
      <c r="A261" s="1">
        <v>45834</v>
      </c>
      <c r="B261" s="1">
        <v>45834</v>
      </c>
      <c r="C261">
        <v>5.8711719128293582</v>
      </c>
      <c r="D261">
        <v>5.0987484819949671</v>
      </c>
      <c r="E261">
        <v>521.43895533915895</v>
      </c>
      <c r="F261">
        <v>36.962945087936532</v>
      </c>
      <c r="G261">
        <v>0.51</v>
      </c>
      <c r="H261">
        <v>0.58622522308595848</v>
      </c>
      <c r="I261">
        <v>0.69637380533808979</v>
      </c>
      <c r="J261">
        <v>21.480998964419861</v>
      </c>
    </row>
    <row r="262" spans="1:10">
      <c r="A262" s="1">
        <v>45835</v>
      </c>
      <c r="B262" s="1">
        <v>45835</v>
      </c>
      <c r="C262">
        <v>4.2518454279157547</v>
      </c>
      <c r="D262">
        <v>4.5789523553949154</v>
      </c>
      <c r="E262">
        <v>521.43895533915895</v>
      </c>
      <c r="F262">
        <v>36.962945087936532</v>
      </c>
      <c r="G262">
        <v>0.51</v>
      </c>
      <c r="H262">
        <v>0.58622522308595848</v>
      </c>
      <c r="I262">
        <v>0.69637380533808979</v>
      </c>
      <c r="J262">
        <v>21.480998964419861</v>
      </c>
    </row>
    <row r="263" spans="1:10">
      <c r="A263" s="1">
        <v>45838</v>
      </c>
      <c r="B263" s="1">
        <v>45838</v>
      </c>
      <c r="C263">
        <v>4.5183979292786054</v>
      </c>
      <c r="D263">
        <v>4.6873623576759718</v>
      </c>
      <c r="E263">
        <v>521.43895533915895</v>
      </c>
      <c r="F263">
        <v>36.962945087936532</v>
      </c>
      <c r="G263">
        <v>0.51</v>
      </c>
      <c r="H263">
        <v>0.58622522308595848</v>
      </c>
      <c r="I263">
        <v>0.69637380533808979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8AE0-CA6B-4E3E-92D1-315BC7639D76}">
  <dimension ref="A1:Q9"/>
  <sheetViews>
    <sheetView workbookViewId="0">
      <selection activeCell="P2" sqref="P2"/>
    </sheetView>
  </sheetViews>
  <sheetFormatPr defaultRowHeight="14.5"/>
  <cols>
    <col min="1" max="1" width="13.08984375" bestFit="1" customWidth="1"/>
    <col min="16" max="16" width="11.1796875" customWidth="1"/>
    <col min="17" max="17" width="12.6328125" customWidth="1"/>
  </cols>
  <sheetData>
    <row r="1" spans="1:17">
      <c r="A1" t="s">
        <v>37</v>
      </c>
      <c r="B1" t="s">
        <v>38</v>
      </c>
      <c r="C1" t="s">
        <v>30</v>
      </c>
      <c r="D1" t="s">
        <v>39</v>
      </c>
      <c r="E1" t="s">
        <v>42</v>
      </c>
      <c r="F1" t="s">
        <v>65</v>
      </c>
      <c r="J1" t="s">
        <v>66</v>
      </c>
      <c r="N1" t="s">
        <v>63</v>
      </c>
      <c r="O1" t="s">
        <v>52</v>
      </c>
      <c r="P1" t="s">
        <v>61</v>
      </c>
      <c r="Q1" t="s">
        <v>62</v>
      </c>
    </row>
    <row r="2" spans="1:17" ht="16.5">
      <c r="A2" t="s">
        <v>36</v>
      </c>
      <c r="B2">
        <v>100</v>
      </c>
      <c r="C2">
        <v>3</v>
      </c>
      <c r="D2">
        <v>100</v>
      </c>
      <c r="F2">
        <f>B2*D2</f>
        <v>10000</v>
      </c>
      <c r="J2">
        <v>10</v>
      </c>
      <c r="M2" t="s">
        <v>67</v>
      </c>
      <c r="N2">
        <v>10</v>
      </c>
      <c r="O2">
        <f>'ES, Rates factor movement'!L3</f>
        <v>-1445.0868327702981</v>
      </c>
      <c r="P2">
        <f>ABS(O2)</f>
        <v>1445.0868327702981</v>
      </c>
      <c r="Q2" s="10">
        <f>P2*P2</f>
        <v>2088275.9542460914</v>
      </c>
    </row>
    <row r="3" spans="1:17" ht="20.5">
      <c r="A3" t="s">
        <v>41</v>
      </c>
      <c r="B3">
        <v>100</v>
      </c>
      <c r="C3">
        <v>3</v>
      </c>
      <c r="D3">
        <v>100</v>
      </c>
      <c r="F3">
        <f t="shared" ref="F3:F4" si="0">B3*D3</f>
        <v>10000</v>
      </c>
      <c r="P3" s="11" t="s">
        <v>64</v>
      </c>
      <c r="Q3" s="12">
        <f>SQRT(SUM(Q2:Q2))</f>
        <v>1445.0868327702981</v>
      </c>
    </row>
    <row r="4" spans="1:17">
      <c r="A4" t="s">
        <v>40</v>
      </c>
      <c r="B4">
        <v>100</v>
      </c>
      <c r="C4">
        <v>3</v>
      </c>
      <c r="D4">
        <v>100</v>
      </c>
      <c r="F4">
        <f t="shared" si="0"/>
        <v>10000</v>
      </c>
    </row>
    <row r="5" spans="1:17">
      <c r="A5" t="s">
        <v>43</v>
      </c>
      <c r="B5">
        <v>100</v>
      </c>
      <c r="E5">
        <v>500</v>
      </c>
      <c r="F5">
        <f>B5*E5</f>
        <v>50000</v>
      </c>
    </row>
    <row r="6" spans="1:17">
      <c r="A6" t="s">
        <v>44</v>
      </c>
      <c r="B6">
        <v>100</v>
      </c>
      <c r="E6">
        <v>36</v>
      </c>
      <c r="F6">
        <f t="shared" ref="F6:F7" si="1">B6*E6</f>
        <v>3600</v>
      </c>
    </row>
    <row r="7" spans="1:17">
      <c r="A7" t="s">
        <v>25</v>
      </c>
      <c r="B7">
        <v>100</v>
      </c>
      <c r="E7">
        <v>20</v>
      </c>
      <c r="F7">
        <f t="shared" si="1"/>
        <v>2000</v>
      </c>
    </row>
    <row r="8" spans="1:17">
      <c r="A8" t="s">
        <v>55</v>
      </c>
      <c r="B8">
        <v>100</v>
      </c>
      <c r="C8">
        <v>3</v>
      </c>
      <c r="D8">
        <v>100</v>
      </c>
      <c r="F8">
        <f>B8*D8</f>
        <v>10000</v>
      </c>
    </row>
    <row r="9" spans="1:17">
      <c r="F9">
        <f>SUM(F2:F8)</f>
        <v>95600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5BA3-9776-4831-9E2C-7512B0C766B7}">
  <dimension ref="A1:L263"/>
  <sheetViews>
    <sheetView tabSelected="1" topLeftCell="C1" workbookViewId="0">
      <selection activeCell="G14" sqref="G14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(3/(1+('CurrentPor-Rat Factor Movements'!C3)/100)+103/POWER(1+('CurrentPor-Rat Factor Movements'!D3)/100,2))*100</f>
        <v>9852.9653713604457</v>
      </c>
      <c r="C3">
        <f>(3/(1+('CurrentPor-Rat Factor Movements'!C3+'CurrentPor-Rat Factor Movements'!G3)/100)+103/POWER(1+('CurrentPor-Rat Factor Movements'!D3+'CurrentPor-Rat Factor Movements'!G3)/100,2))*100</f>
        <v>9758.2213535726314</v>
      </c>
      <c r="D3">
        <f>(3/(1+('CurrentPor-Rat Factor Movements'!C3+'CurrentPor-Rat Factor Movements'!H3)/100)+103/POWER(1+('CurrentPor-Rat Factor Movements'!D3+'CurrentPor-Rat Factor Movements'!H3)/100,2))*100</f>
        <v>9744.1794142178442</v>
      </c>
      <c r="E3">
        <f>(3/(1+('CurrentPor-Rat Factor Movements'!C3+'CurrentPor-Rat Factor Movements'!I3)/100)+103/POWER(1+('CurrentPor-Rat Factor Movements'!D3+'CurrentPor-Rat Factor Movements'!I3)/100,2))*100</f>
        <v>9723.942245531478</v>
      </c>
      <c r="F3">
        <f>Portfolio!B$5*'CurrentPor-Rat Factor Movements'!E3</f>
        <v>52143.895533915893</v>
      </c>
      <c r="G3">
        <f>Portfolio!B$6*'CurrentPor-Rat Factor Movements'!F3</f>
        <v>3696.2945087936532</v>
      </c>
      <c r="H3">
        <f>Portfolio!B$7*'CurrentPor-Rat Factor Movements'!J3</f>
        <v>2148.0998964419859</v>
      </c>
      <c r="I3">
        <f>SUM(B3:H3)</f>
        <v>97067.59832383394</v>
      </c>
      <c r="K3" s="8">
        <f>_xlfn.PERCENTILE.INC(J13:J263, 0.025)</f>
        <v>-1167.34712577143</v>
      </c>
      <c r="L3">
        <f>AVERAGEIF(J13:J263, "&lt;="&amp;K3,J13:J263)</f>
        <v>-1445.0868327702981</v>
      </c>
    </row>
    <row r="4" spans="1:12">
      <c r="A4" s="1">
        <v>45475</v>
      </c>
      <c r="B4">
        <f>(3/(1+('CurrentPor-Rat Factor Movements'!C4)/100)+103/POWER(1+('CurrentPor-Rat Factor Movements'!D4)/100,2))*100</f>
        <v>9755.2076408799985</v>
      </c>
      <c r="C4">
        <f>(3/(1+('CurrentPor-Rat Factor Movements'!C4+'CurrentPor-Rat Factor Movements'!G4)/100)+103/POWER(1+('CurrentPor-Rat Factor Movements'!D4+'CurrentPor-Rat Factor Movements'!G4)/100,2))*100</f>
        <v>9661.8976040627913</v>
      </c>
      <c r="D4">
        <f>(3/(1+('CurrentPor-Rat Factor Movements'!C4+'CurrentPor-Rat Factor Movements'!H4)/100)+103/POWER(1+('CurrentPor-Rat Factor Movements'!D4+'CurrentPor-Rat Factor Movements'!H4)/100,2))*100</f>
        <v>9648.067583784512</v>
      </c>
      <c r="E4">
        <f>(3/(1+('CurrentPor-Rat Factor Movements'!C4+'CurrentPor-Rat Factor Movements'!I4)/100)+103/POWER(1+('CurrentPor-Rat Factor Movements'!D4+'CurrentPor-Rat Factor Movements'!I4)/100,2))*100</f>
        <v>9628.1355540353525</v>
      </c>
      <c r="F4">
        <f>Portfolio!B$5*'CurrentPor-Rat Factor Movements'!E4</f>
        <v>52143.895533915893</v>
      </c>
      <c r="G4">
        <f>Portfolio!B$6*'CurrentPor-Rat Factor Movements'!F4</f>
        <v>3696.2945087936532</v>
      </c>
      <c r="H4">
        <f>Portfolio!B$7*'CurrentPor-Rat Factor Movements'!J4</f>
        <v>2148.0998964419859</v>
      </c>
      <c r="I4">
        <f t="shared" ref="I4:I67" si="0">SUM(B4:H4)</f>
        <v>96681.598321914193</v>
      </c>
    </row>
    <row r="5" spans="1:12">
      <c r="A5" s="1">
        <v>45476</v>
      </c>
      <c r="B5">
        <f>(3/(1+('CurrentPor-Rat Factor Movements'!C5)/100)+103/POWER(1+('CurrentPor-Rat Factor Movements'!D5)/100,2))*100</f>
        <v>9686.0402798832383</v>
      </c>
      <c r="C5">
        <f>(3/(1+('CurrentPor-Rat Factor Movements'!C5+'CurrentPor-Rat Factor Movements'!G5)/100)+103/POWER(1+('CurrentPor-Rat Factor Movements'!D5+'CurrentPor-Rat Factor Movements'!G5)/100,2))*100</f>
        <v>9593.7400542844643</v>
      </c>
      <c r="D5">
        <f>(3/(1+('CurrentPor-Rat Factor Movements'!C5+'CurrentPor-Rat Factor Movements'!H5)/100)+103/POWER(1+('CurrentPor-Rat Factor Movements'!D5+'CurrentPor-Rat Factor Movements'!H5)/100,2))*100</f>
        <v>9580.059275462505</v>
      </c>
      <c r="E5">
        <f>(3/(1+('CurrentPor-Rat Factor Movements'!C5+'CurrentPor-Rat Factor Movements'!I5)/100)+103/POWER(1+('CurrentPor-Rat Factor Movements'!D5+'CurrentPor-Rat Factor Movements'!I5)/100,2))*100</f>
        <v>9560.3421396663434</v>
      </c>
      <c r="F5">
        <f>Portfolio!B$5*'CurrentPor-Rat Factor Movements'!E5</f>
        <v>52143.895533915893</v>
      </c>
      <c r="G5">
        <f>Portfolio!B$6*'CurrentPor-Rat Factor Movements'!F5</f>
        <v>3696.2945087936532</v>
      </c>
      <c r="H5">
        <f>Portfolio!B$7*'CurrentPor-Rat Factor Movements'!J5</f>
        <v>2148.0998964419859</v>
      </c>
      <c r="I5">
        <f t="shared" si="0"/>
        <v>96408.471688448088</v>
      </c>
    </row>
    <row r="6" spans="1:12">
      <c r="A6" s="1">
        <v>45477</v>
      </c>
      <c r="B6">
        <f>(3/(1+('CurrentPor-Rat Factor Movements'!C6)/100)+103/POWER(1+('CurrentPor-Rat Factor Movements'!D6)/100,2))*100</f>
        <v>9784.0155713044533</v>
      </c>
      <c r="C6">
        <f>(3/(1+('CurrentPor-Rat Factor Movements'!C6+'CurrentPor-Rat Factor Movements'!G6)/100)+103/POWER(1+('CurrentPor-Rat Factor Movements'!D6+'CurrentPor-Rat Factor Movements'!G6)/100,2))*100</f>
        <v>9690.2961704280315</v>
      </c>
      <c r="D6">
        <f>(3/(1+('CurrentPor-Rat Factor Movements'!C6+'CurrentPor-Rat Factor Movements'!H6)/100)+103/POWER(1+('CurrentPor-Rat Factor Movements'!D6+'CurrentPor-Rat Factor Movements'!H6)/100,2))*100</f>
        <v>9676.405641168516</v>
      </c>
      <c r="E6">
        <f>(3/(1+('CurrentPor-Rat Factor Movements'!C6+'CurrentPor-Rat Factor Movements'!I6)/100)+103/POWER(1+('CurrentPor-Rat Factor Movements'!D6+'CurrentPor-Rat Factor Movements'!I6)/100,2))*100</f>
        <v>9656.3864801864092</v>
      </c>
      <c r="F6">
        <f>Portfolio!B$5*'CurrentPor-Rat Factor Movements'!E6</f>
        <v>52143.895533915893</v>
      </c>
      <c r="G6">
        <f>Portfolio!B$6*'CurrentPor-Rat Factor Movements'!F6</f>
        <v>3696.2945087936532</v>
      </c>
      <c r="H6">
        <f>Portfolio!B$7*'CurrentPor-Rat Factor Movements'!J6</f>
        <v>2148.0998964419859</v>
      </c>
      <c r="I6">
        <f t="shared" si="0"/>
        <v>96795.393802238934</v>
      </c>
    </row>
    <row r="7" spans="1:12">
      <c r="A7" s="1">
        <v>45478</v>
      </c>
      <c r="B7">
        <f>(3/(1+('CurrentPor-Rat Factor Movements'!C7)/100)+103/POWER(1+('CurrentPor-Rat Factor Movements'!D7)/100,2))*100</f>
        <v>9738.1604408837011</v>
      </c>
      <c r="C7">
        <f>(3/(1+('CurrentPor-Rat Factor Movements'!C7+'CurrentPor-Rat Factor Movements'!G7)/100)+103/POWER(1+('CurrentPor-Rat Factor Movements'!D7+'CurrentPor-Rat Factor Movements'!G7)/100,2))*100</f>
        <v>9645.106535916042</v>
      </c>
      <c r="D7">
        <f>(3/(1+('CurrentPor-Rat Factor Movements'!C7+'CurrentPor-Rat Factor Movements'!H7)/100)+103/POWER(1+('CurrentPor-Rat Factor Movements'!D7+'CurrentPor-Rat Factor Movements'!H7)/100,2))*100</f>
        <v>9631.314363408088</v>
      </c>
      <c r="E7">
        <f>(3/(1+('CurrentPor-Rat Factor Movements'!C7+'CurrentPor-Rat Factor Movements'!I7)/100)+103/POWER(1+('CurrentPor-Rat Factor Movements'!D7+'CurrentPor-Rat Factor Movements'!I7)/100,2))*100</f>
        <v>9611.4368280768922</v>
      </c>
      <c r="F7">
        <f>Portfolio!B$5*'CurrentPor-Rat Factor Movements'!E7</f>
        <v>52143.895533915893</v>
      </c>
      <c r="G7">
        <f>Portfolio!B$6*'CurrentPor-Rat Factor Movements'!F7</f>
        <v>3696.2945087936532</v>
      </c>
      <c r="H7">
        <f>Portfolio!B$7*'CurrentPor-Rat Factor Movements'!J7</f>
        <v>2148.0998964419859</v>
      </c>
      <c r="I7">
        <f t="shared" si="0"/>
        <v>96614.308107436256</v>
      </c>
    </row>
    <row r="8" spans="1:12">
      <c r="A8" s="1">
        <v>45481</v>
      </c>
      <c r="B8">
        <f>(3/(1+('CurrentPor-Rat Factor Movements'!C8)/100)+103/POWER(1+('CurrentPor-Rat Factor Movements'!D8)/100,2))*100</f>
        <v>9601.9559341637014</v>
      </c>
      <c r="C8">
        <f>(3/(1+('CurrentPor-Rat Factor Movements'!C8+'CurrentPor-Rat Factor Movements'!G8)/100)+103/POWER(1+('CurrentPor-Rat Factor Movements'!D8+'CurrentPor-Rat Factor Movements'!G8)/100,2))*100</f>
        <v>9510.8682042698711</v>
      </c>
      <c r="D8">
        <f>(3/(1+('CurrentPor-Rat Factor Movements'!C8+'CurrentPor-Rat Factor Movements'!H8)/100)+103/POWER(1+('CurrentPor-Rat Factor Movements'!D8+'CurrentPor-Rat Factor Movements'!H8)/100,2))*100</f>
        <v>9497.3666385278557</v>
      </c>
      <c r="E8">
        <f>(3/(1+('CurrentPor-Rat Factor Movements'!C8+'CurrentPor-Rat Factor Movements'!I8)/100)+103/POWER(1+('CurrentPor-Rat Factor Movements'!D8+'CurrentPor-Rat Factor Movements'!I8)/100,2))*100</f>
        <v>9477.9075606190509</v>
      </c>
      <c r="F8">
        <f>Portfolio!B$5*'CurrentPor-Rat Factor Movements'!E8</f>
        <v>52143.895533915893</v>
      </c>
      <c r="G8">
        <f>Portfolio!B$6*'CurrentPor-Rat Factor Movements'!F8</f>
        <v>3696.2945087936532</v>
      </c>
      <c r="H8">
        <f>Portfolio!B$7*'CurrentPor-Rat Factor Movements'!J8</f>
        <v>2148.0998964419859</v>
      </c>
      <c r="I8">
        <f t="shared" si="0"/>
        <v>96076.388276732017</v>
      </c>
    </row>
    <row r="9" spans="1:12">
      <c r="A9" s="1">
        <v>45482</v>
      </c>
      <c r="B9">
        <f>(3/(1+('CurrentPor-Rat Factor Movements'!C9)/100)+103/POWER(1+('CurrentPor-Rat Factor Movements'!D9)/100,2))*100</f>
        <v>9562.8650834099226</v>
      </c>
      <c r="C9">
        <f>(3/(1+('CurrentPor-Rat Factor Movements'!C9+'CurrentPor-Rat Factor Movements'!G9)/100)+103/POWER(1+('CurrentPor-Rat Factor Movements'!D9+'CurrentPor-Rat Factor Movements'!G9)/100,2))*100</f>
        <v>9472.3512142569652</v>
      </c>
      <c r="D9">
        <f>(3/(1+('CurrentPor-Rat Factor Movements'!C9+'CurrentPor-Rat Factor Movements'!H9)/100)+103/POWER(1+('CurrentPor-Rat Factor Movements'!D9+'CurrentPor-Rat Factor Movements'!H9)/100,2))*100</f>
        <v>9458.9344612442892</v>
      </c>
      <c r="E9">
        <f>(3/(1+('CurrentPor-Rat Factor Movements'!C9+'CurrentPor-Rat Factor Movements'!I9)/100)+103/POWER(1+('CurrentPor-Rat Factor Movements'!D9+'CurrentPor-Rat Factor Movements'!I9)/100,2))*100</f>
        <v>9439.5975063073729</v>
      </c>
      <c r="F9">
        <f>Portfolio!B$5*'CurrentPor-Rat Factor Movements'!E9</f>
        <v>52143.895533915893</v>
      </c>
      <c r="G9">
        <f>Portfolio!B$6*'CurrentPor-Rat Factor Movements'!F9</f>
        <v>3696.2945087936532</v>
      </c>
      <c r="H9">
        <f>Portfolio!B$7*'CurrentPor-Rat Factor Movements'!J9</f>
        <v>2148.0998964419859</v>
      </c>
      <c r="I9">
        <f t="shared" si="0"/>
        <v>95922.038204370081</v>
      </c>
    </row>
    <row r="10" spans="1:12">
      <c r="A10" s="1">
        <v>45483</v>
      </c>
      <c r="B10">
        <f>(3/(1+('CurrentPor-Rat Factor Movements'!C10)/100)+103/POWER(1+('CurrentPor-Rat Factor Movements'!D10)/100,2))*100</f>
        <v>9662.092430648232</v>
      </c>
      <c r="C10">
        <f>(3/(1+('CurrentPor-Rat Factor Movements'!C10+'CurrentPor-Rat Factor Movements'!G10)/100)+103/POWER(1+('CurrentPor-Rat Factor Movements'!D10+'CurrentPor-Rat Factor Movements'!G10)/100,2))*100</f>
        <v>9570.1263780817262</v>
      </c>
      <c r="D10">
        <f>(3/(1+('CurrentPor-Rat Factor Movements'!C10+'CurrentPor-Rat Factor Movements'!H10)/100)+103/POWER(1+('CurrentPor-Rat Factor Movements'!D10+'CurrentPor-Rat Factor Movements'!H10)/100,2))*100</f>
        <v>9556.4950006180006</v>
      </c>
      <c r="E10">
        <f>(3/(1+('CurrentPor-Rat Factor Movements'!C10+'CurrentPor-Rat Factor Movements'!I10)/100)+103/POWER(1+('CurrentPor-Rat Factor Movements'!D10+'CurrentPor-Rat Factor Movements'!I10)/100,2))*100</f>
        <v>9536.8490043620277</v>
      </c>
      <c r="F10">
        <f>Portfolio!B$5*'CurrentPor-Rat Factor Movements'!E10</f>
        <v>52143.895533915893</v>
      </c>
      <c r="G10">
        <f>Portfolio!B$6*'CurrentPor-Rat Factor Movements'!F10</f>
        <v>3696.2945087936532</v>
      </c>
      <c r="H10">
        <f>Portfolio!B$7*'CurrentPor-Rat Factor Movements'!J10</f>
        <v>2148.0998964419859</v>
      </c>
      <c r="I10">
        <f t="shared" si="0"/>
        <v>96313.852752861523</v>
      </c>
    </row>
    <row r="11" spans="1:12">
      <c r="A11" s="1">
        <v>45484</v>
      </c>
      <c r="B11">
        <f>(3/(1+('CurrentPor-Rat Factor Movements'!C11)/100)+103/POWER(1+('CurrentPor-Rat Factor Movements'!D11)/100,2))*100</f>
        <v>9712.0164048991846</v>
      </c>
      <c r="C11">
        <f>(3/(1+('CurrentPor-Rat Factor Movements'!C11+'CurrentPor-Rat Factor Movements'!G11)/100)+103/POWER(1+('CurrentPor-Rat Factor Movements'!D11+'CurrentPor-Rat Factor Movements'!G11)/100,2))*100</f>
        <v>9619.3388687246243</v>
      </c>
      <c r="D11">
        <f>(3/(1+('CurrentPor-Rat Factor Movements'!C11+'CurrentPor-Rat Factor Movements'!H11)/100)+103/POWER(1+('CurrentPor-Rat Factor Movements'!D11+'CurrentPor-Rat Factor Movements'!H11)/100,2))*100</f>
        <v>9605.6023246597833</v>
      </c>
      <c r="E11">
        <f>(3/(1+('CurrentPor-Rat Factor Movements'!C11+'CurrentPor-Rat Factor Movements'!I11)/100)+103/POWER(1+('CurrentPor-Rat Factor Movements'!D11+'CurrentPor-Rat Factor Movements'!I11)/100,2))*100</f>
        <v>9585.8048911523383</v>
      </c>
      <c r="F11">
        <f>Portfolio!B$5*'CurrentPor-Rat Factor Movements'!E11</f>
        <v>52143.895533915893</v>
      </c>
      <c r="G11">
        <f>Portfolio!B$6*'CurrentPor-Rat Factor Movements'!F11</f>
        <v>3696.2945087936532</v>
      </c>
      <c r="H11">
        <f>Portfolio!B$7*'CurrentPor-Rat Factor Movements'!J11</f>
        <v>2148.0998964419859</v>
      </c>
      <c r="I11">
        <f t="shared" si="0"/>
        <v>96511.052428587471</v>
      </c>
    </row>
    <row r="12" spans="1:12">
      <c r="A12" s="1">
        <v>45485</v>
      </c>
      <c r="B12">
        <f>(3/(1+('CurrentPor-Rat Factor Movements'!C12)/100)+103/POWER(1+('CurrentPor-Rat Factor Movements'!D12)/100,2))*100</f>
        <v>9750.6058974132666</v>
      </c>
      <c r="C12">
        <f>(3/(1+('CurrentPor-Rat Factor Movements'!C12+'CurrentPor-Rat Factor Movements'!G12)/100)+103/POWER(1+('CurrentPor-Rat Factor Movements'!D12+'CurrentPor-Rat Factor Movements'!G12)/100,2))*100</f>
        <v>9657.3562538306705</v>
      </c>
      <c r="D12">
        <f>(3/(1+('CurrentPor-Rat Factor Movements'!C12+'CurrentPor-Rat Factor Movements'!H12)/100)+103/POWER(1+('CurrentPor-Rat Factor Movements'!D12+'CurrentPor-Rat Factor Movements'!H12)/100,2))*100</f>
        <v>9643.5351647199059</v>
      </c>
      <c r="E12">
        <f>(3/(1+('CurrentPor-Rat Factor Movements'!C12+'CurrentPor-Rat Factor Movements'!I12)/100)+103/POWER(1+('CurrentPor-Rat Factor Movements'!D12+'CurrentPor-Rat Factor Movements'!I12)/100,2))*100</f>
        <v>9623.6159975695355</v>
      </c>
      <c r="F12">
        <f>Portfolio!B$5*'CurrentPor-Rat Factor Movements'!E12</f>
        <v>52143.895533915893</v>
      </c>
      <c r="G12">
        <f>Portfolio!B$6*'CurrentPor-Rat Factor Movements'!F12</f>
        <v>3696.2945087936532</v>
      </c>
      <c r="H12">
        <f>Portfolio!B$7*'CurrentPor-Rat Factor Movements'!J12</f>
        <v>2148.0998964419859</v>
      </c>
      <c r="I12">
        <f t="shared" si="0"/>
        <v>96663.403252684904</v>
      </c>
    </row>
    <row r="13" spans="1:12">
      <c r="A13" s="1">
        <v>45488</v>
      </c>
      <c r="B13">
        <f>(3/(1+('CurrentPor-Rat Factor Movements'!C13)/100)+103/POWER(1+('CurrentPor-Rat Factor Movements'!D13)/100,2))*100</f>
        <v>9571.1927192378498</v>
      </c>
      <c r="C13">
        <f>(3/(1+('CurrentPor-Rat Factor Movements'!C13+'CurrentPor-Rat Factor Movements'!G13)/100)+103/POWER(1+('CurrentPor-Rat Factor Movements'!D13+'CurrentPor-Rat Factor Movements'!G13)/100,2))*100</f>
        <v>9480.5531298509504</v>
      </c>
      <c r="D13">
        <f>(3/(1+('CurrentPor-Rat Factor Movements'!C13+'CurrentPor-Rat Factor Movements'!H13)/100)+103/POWER(1+('CurrentPor-Rat Factor Movements'!D13+'CurrentPor-Rat Factor Movements'!H13)/100,2))*100</f>
        <v>9467.1177989590142</v>
      </c>
      <c r="E13">
        <f>(3/(1+('CurrentPor-Rat Factor Movements'!C13+'CurrentPor-Rat Factor Movements'!I13)/100)+103/POWER(1+('CurrentPor-Rat Factor Movements'!D13+'CurrentPor-Rat Factor Movements'!I13)/100,2))*100</f>
        <v>9447.7540947296256</v>
      </c>
      <c r="F13">
        <f>Portfolio!B$5*'CurrentPor-Rat Factor Movements'!E13</f>
        <v>52143.895533915893</v>
      </c>
      <c r="G13">
        <f>Portfolio!B$6*'CurrentPor-Rat Factor Movements'!F13</f>
        <v>3696.2945087936532</v>
      </c>
      <c r="H13">
        <f>Portfolio!B$7*'CurrentPor-Rat Factor Movements'!J13</f>
        <v>2148.0998964419859</v>
      </c>
      <c r="I13">
        <f t="shared" si="0"/>
        <v>95954.907681928962</v>
      </c>
      <c r="J13">
        <f>I13-I3</f>
        <v>-1112.6906419049774</v>
      </c>
    </row>
    <row r="14" spans="1:12">
      <c r="A14" s="1">
        <v>45489</v>
      </c>
      <c r="B14">
        <f>(3/(1+('CurrentPor-Rat Factor Movements'!C14)/100)+103/POWER(1+('CurrentPor-Rat Factor Movements'!D14)/100,2))*100</f>
        <v>9730.255778755014</v>
      </c>
      <c r="C14">
        <f>(3/(1+('CurrentPor-Rat Factor Movements'!C14+'CurrentPor-Rat Factor Movements'!G14)/100)+103/POWER(1+('CurrentPor-Rat Factor Movements'!D14+'CurrentPor-Rat Factor Movements'!G14)/100,2))*100</f>
        <v>9637.3153272140717</v>
      </c>
      <c r="D14">
        <f>(3/(1+('CurrentPor-Rat Factor Movements'!C14+'CurrentPor-Rat Factor Movements'!H14)/100)+103/POWER(1+('CurrentPor-Rat Factor Movements'!D14+'CurrentPor-Rat Factor Movements'!H14)/100,2))*100</f>
        <v>9623.5399237092206</v>
      </c>
      <c r="E14">
        <f>(3/(1+('CurrentPor-Rat Factor Movements'!C14+'CurrentPor-Rat Factor Movements'!I14)/100)+103/POWER(1+('CurrentPor-Rat Factor Movements'!D14+'CurrentPor-Rat Factor Movements'!I14)/100,2))*100</f>
        <v>9603.6865349093605</v>
      </c>
      <c r="F14">
        <f>Portfolio!B$5*'CurrentPor-Rat Factor Movements'!E14</f>
        <v>52143.895533915893</v>
      </c>
      <c r="G14">
        <f>Portfolio!B$6*'CurrentPor-Rat Factor Movements'!F14</f>
        <v>3696.2945087936532</v>
      </c>
      <c r="H14">
        <f>Portfolio!B$7*'CurrentPor-Rat Factor Movements'!J14</f>
        <v>2148.0998964419859</v>
      </c>
      <c r="I14">
        <f t="shared" si="0"/>
        <v>96583.087503739211</v>
      </c>
      <c r="J14">
        <f t="shared" ref="J14:J77" si="1">I14-I4</f>
        <v>-98.510818174981978</v>
      </c>
    </row>
    <row r="15" spans="1:12">
      <c r="A15" s="1">
        <v>45490</v>
      </c>
      <c r="B15">
        <f>(3/(1+('CurrentPor-Rat Factor Movements'!C15)/100)+103/POWER(1+('CurrentPor-Rat Factor Movements'!D15)/100,2))*100</f>
        <v>9666.4741820702857</v>
      </c>
      <c r="C15">
        <f>(3/(1+('CurrentPor-Rat Factor Movements'!C15+'CurrentPor-Rat Factor Movements'!G15)/100)+103/POWER(1+('CurrentPor-Rat Factor Movements'!D15+'CurrentPor-Rat Factor Movements'!G15)/100,2))*100</f>
        <v>9574.4434955649467</v>
      </c>
      <c r="D15">
        <f>(3/(1+('CurrentPor-Rat Factor Movements'!C15+'CurrentPor-Rat Factor Movements'!H15)/100)+103/POWER(1+('CurrentPor-Rat Factor Movements'!D15+'CurrentPor-Rat Factor Movements'!H15)/100,2))*100</f>
        <v>9560.8025661483844</v>
      </c>
      <c r="E15">
        <f>(3/(1+('CurrentPor-Rat Factor Movements'!C15+'CurrentPor-Rat Factor Movements'!I15)/100)+103/POWER(1+('CurrentPor-Rat Factor Movements'!D15+'CurrentPor-Rat Factor Movements'!I15)/100,2))*100</f>
        <v>9541.1428161387321</v>
      </c>
      <c r="F15">
        <f>Portfolio!B$5*'CurrentPor-Rat Factor Movements'!E15</f>
        <v>52143.895533915893</v>
      </c>
      <c r="G15">
        <f>Portfolio!B$6*'CurrentPor-Rat Factor Movements'!F15</f>
        <v>3696.2945087936532</v>
      </c>
      <c r="H15">
        <f>Portfolio!B$7*'CurrentPor-Rat Factor Movements'!J15</f>
        <v>2148.0998964419859</v>
      </c>
      <c r="I15">
        <f t="shared" si="0"/>
        <v>96331.152999073878</v>
      </c>
      <c r="J15">
        <f t="shared" si="1"/>
        <v>-77.318689374209498</v>
      </c>
    </row>
    <row r="16" spans="1:12">
      <c r="A16" s="1">
        <v>45491</v>
      </c>
      <c r="B16">
        <f>(3/(1+('CurrentPor-Rat Factor Movements'!C16)/100)+103/POWER(1+('CurrentPor-Rat Factor Movements'!D16)/100,2))*100</f>
        <v>9607.9795374138685</v>
      </c>
      <c r="C16">
        <f>(3/(1+('CurrentPor-Rat Factor Movements'!C16+'CurrentPor-Rat Factor Movements'!G16)/100)+103/POWER(1+('CurrentPor-Rat Factor Movements'!D16+'CurrentPor-Rat Factor Movements'!G16)/100,2))*100</f>
        <v>9516.8090089770412</v>
      </c>
      <c r="D16">
        <f>(3/(1+('CurrentPor-Rat Factor Movements'!C16+'CurrentPor-Rat Factor Movements'!H16)/100)+103/POWER(1+('CurrentPor-Rat Factor Movements'!D16+'CurrentPor-Rat Factor Movements'!H16)/100,2))*100</f>
        <v>9503.2952016744748</v>
      </c>
      <c r="E16">
        <f>(3/(1+('CurrentPor-Rat Factor Movements'!C16+'CurrentPor-Rat Factor Movements'!I16)/100)+103/POWER(1+('CurrentPor-Rat Factor Movements'!D16+'CurrentPor-Rat Factor Movements'!I16)/100,2))*100</f>
        <v>9483.8184949274219</v>
      </c>
      <c r="F16">
        <f>Portfolio!B$5*'CurrentPor-Rat Factor Movements'!E16</f>
        <v>52143.895533915893</v>
      </c>
      <c r="G16">
        <f>Portfolio!B$6*'CurrentPor-Rat Factor Movements'!F16</f>
        <v>3696.2945087936532</v>
      </c>
      <c r="H16">
        <f>Portfolio!B$7*'CurrentPor-Rat Factor Movements'!J16</f>
        <v>2148.0998964419859</v>
      </c>
      <c r="I16">
        <f t="shared" si="0"/>
        <v>96100.192182144339</v>
      </c>
      <c r="J16">
        <f t="shared" si="1"/>
        <v>-695.20162009459455</v>
      </c>
    </row>
    <row r="17" spans="1:10">
      <c r="A17" s="1">
        <v>45492</v>
      </c>
      <c r="B17">
        <f>(3/(1+('CurrentPor-Rat Factor Movements'!C17)/100)+103/POWER(1+('CurrentPor-Rat Factor Movements'!D17)/100,2))*100</f>
        <v>9638.908736642079</v>
      </c>
      <c r="C17">
        <f>(3/(1+('CurrentPor-Rat Factor Movements'!C17+'CurrentPor-Rat Factor Movements'!G17)/100)+103/POWER(1+('CurrentPor-Rat Factor Movements'!D17+'CurrentPor-Rat Factor Movements'!G17)/100,2))*100</f>
        <v>9547.2707165204647</v>
      </c>
      <c r="D17">
        <f>(3/(1+('CurrentPor-Rat Factor Movements'!C17+'CurrentPor-Rat Factor Movements'!H17)/100)+103/POWER(1+('CurrentPor-Rat Factor Movements'!D17+'CurrentPor-Rat Factor Movements'!H17)/100,2))*100</f>
        <v>9533.6878290315526</v>
      </c>
      <c r="E17">
        <f>(3/(1+('CurrentPor-Rat Factor Movements'!C17+'CurrentPor-Rat Factor Movements'!I17)/100)+103/POWER(1+('CurrentPor-Rat Factor Movements'!D17+'CurrentPor-Rat Factor Movements'!I17)/100,2))*100</f>
        <v>9514.1116582457689</v>
      </c>
      <c r="F17">
        <f>Portfolio!B$5*'CurrentPor-Rat Factor Movements'!E17</f>
        <v>52143.895533915893</v>
      </c>
      <c r="G17">
        <f>Portfolio!B$6*'CurrentPor-Rat Factor Movements'!F17</f>
        <v>3696.2945087936532</v>
      </c>
      <c r="H17">
        <f>Portfolio!B$7*'CurrentPor-Rat Factor Movements'!J17</f>
        <v>2148.0998964419859</v>
      </c>
      <c r="I17">
        <f t="shared" si="0"/>
        <v>96222.268879591385</v>
      </c>
      <c r="J17">
        <f t="shared" si="1"/>
        <v>-392.03922784487077</v>
      </c>
    </row>
    <row r="18" spans="1:10">
      <c r="A18" s="1">
        <v>45495</v>
      </c>
      <c r="B18">
        <f>(3/(1+('CurrentPor-Rat Factor Movements'!C18)/100)+103/POWER(1+('CurrentPor-Rat Factor Movements'!D18)/100,2))*100</f>
        <v>9985.3821722923549</v>
      </c>
      <c r="C18">
        <f>(3/(1+('CurrentPor-Rat Factor Movements'!C18+'CurrentPor-Rat Factor Movements'!G18)/100)+103/POWER(1+('CurrentPor-Rat Factor Movements'!D18+'CurrentPor-Rat Factor Movements'!G18)/100,2))*100</f>
        <v>9888.7113252025538</v>
      </c>
      <c r="D18">
        <f>(3/(1+('CurrentPor-Rat Factor Movements'!C18+'CurrentPor-Rat Factor Movements'!H18)/100)+103/POWER(1+('CurrentPor-Rat Factor Movements'!D18+'CurrentPor-Rat Factor Movements'!H18)/100,2))*100</f>
        <v>9874.384628359272</v>
      </c>
      <c r="E18">
        <f>(3/(1+('CurrentPor-Rat Factor Movements'!C18+'CurrentPor-Rat Factor Movements'!I18)/100)+103/POWER(1+('CurrentPor-Rat Factor Movements'!D18+'CurrentPor-Rat Factor Movements'!I18)/100,2))*100</f>
        <v>9853.7374402452679</v>
      </c>
      <c r="F18">
        <f>Portfolio!B$5*'CurrentPor-Rat Factor Movements'!E18</f>
        <v>52143.895533915893</v>
      </c>
      <c r="G18">
        <f>Portfolio!B$6*'CurrentPor-Rat Factor Movements'!F18</f>
        <v>3696.2945087936532</v>
      </c>
      <c r="H18">
        <f>Portfolio!B$7*'CurrentPor-Rat Factor Movements'!J18</f>
        <v>2148.0998964419859</v>
      </c>
      <c r="I18">
        <f t="shared" si="0"/>
        <v>97590.505505250985</v>
      </c>
      <c r="J18">
        <f t="shared" si="1"/>
        <v>1514.1172285189677</v>
      </c>
    </row>
    <row r="19" spans="1:10">
      <c r="A19" s="1">
        <v>45496</v>
      </c>
      <c r="B19">
        <f>(3/(1+('CurrentPor-Rat Factor Movements'!C19)/100)+103/POWER(1+('CurrentPor-Rat Factor Movements'!D19)/100,2))*100</f>
        <v>9506.7158353001196</v>
      </c>
      <c r="C19">
        <f>(3/(1+('CurrentPor-Rat Factor Movements'!C19+'CurrentPor-Rat Factor Movements'!G19)/100)+103/POWER(1+('CurrentPor-Rat Factor Movements'!D19+'CurrentPor-Rat Factor Movements'!G19)/100,2))*100</f>
        <v>9416.9925645257608</v>
      </c>
      <c r="D19">
        <f>(3/(1+('CurrentPor-Rat Factor Movements'!C19+'CurrentPor-Rat Factor Movements'!H19)/100)+103/POWER(1+('CurrentPor-Rat Factor Movements'!D19+'CurrentPor-Rat Factor Movements'!H19)/100,2))*100</f>
        <v>9403.692685530259</v>
      </c>
      <c r="E19">
        <f>(3/(1+('CurrentPor-Rat Factor Movements'!C19+'CurrentPor-Rat Factor Movements'!I19)/100)+103/POWER(1+('CurrentPor-Rat Factor Movements'!D19+'CurrentPor-Rat Factor Movements'!I19)/100,2))*100</f>
        <v>9384.5240322399186</v>
      </c>
      <c r="F19">
        <f>Portfolio!B$5*'CurrentPor-Rat Factor Movements'!E19</f>
        <v>52143.895533915893</v>
      </c>
      <c r="G19">
        <f>Portfolio!B$6*'CurrentPor-Rat Factor Movements'!F19</f>
        <v>3696.2945087936532</v>
      </c>
      <c r="H19">
        <f>Portfolio!B$7*'CurrentPor-Rat Factor Movements'!J19</f>
        <v>2148.0998964419859</v>
      </c>
      <c r="I19">
        <f t="shared" si="0"/>
        <v>95700.215056747591</v>
      </c>
      <c r="J19">
        <f t="shared" si="1"/>
        <v>-221.82314762249007</v>
      </c>
    </row>
    <row r="20" spans="1:10">
      <c r="A20" s="1">
        <v>45497</v>
      </c>
      <c r="B20">
        <f>(3/(1+('CurrentPor-Rat Factor Movements'!C20)/100)+103/POWER(1+('CurrentPor-Rat Factor Movements'!D20)/100,2))*100</f>
        <v>9661.4502459823634</v>
      </c>
      <c r="C20">
        <f>(3/(1+('CurrentPor-Rat Factor Movements'!C20+'CurrentPor-Rat Factor Movements'!G20)/100)+103/POWER(1+('CurrentPor-Rat Factor Movements'!D20+'CurrentPor-Rat Factor Movements'!G20)/100,2))*100</f>
        <v>9569.4954454685467</v>
      </c>
      <c r="D20">
        <f>(3/(1+('CurrentPor-Rat Factor Movements'!C20+'CurrentPor-Rat Factor Movements'!H20)/100)+103/POWER(1+('CurrentPor-Rat Factor Movements'!D20+'CurrentPor-Rat Factor Movements'!H20)/100,2))*100</f>
        <v>9555.8657294429395</v>
      </c>
      <c r="E20">
        <f>(3/(1+('CurrentPor-Rat Factor Movements'!C20+'CurrentPor-Rat Factor Movements'!I20)/100)+103/POWER(1+('CurrentPor-Rat Factor Movements'!D20+'CurrentPor-Rat Factor Movements'!I20)/100,2))*100</f>
        <v>9536.222124811371</v>
      </c>
      <c r="F20">
        <f>Portfolio!B$5*'CurrentPor-Rat Factor Movements'!E20</f>
        <v>52143.895533915893</v>
      </c>
      <c r="G20">
        <f>Portfolio!B$6*'CurrentPor-Rat Factor Movements'!F20</f>
        <v>3696.2945087936532</v>
      </c>
      <c r="H20">
        <f>Portfolio!B$7*'CurrentPor-Rat Factor Movements'!J20</f>
        <v>2148.0998964419859</v>
      </c>
      <c r="I20">
        <f t="shared" si="0"/>
        <v>96311.323484856752</v>
      </c>
      <c r="J20">
        <f t="shared" si="1"/>
        <v>-2.5292680047714384</v>
      </c>
    </row>
    <row r="21" spans="1:10">
      <c r="A21" s="1">
        <v>45498</v>
      </c>
      <c r="B21">
        <f>(3/(1+('CurrentPor-Rat Factor Movements'!C21)/100)+103/POWER(1+('CurrentPor-Rat Factor Movements'!D21)/100,2))*100</f>
        <v>9843.5831380346335</v>
      </c>
      <c r="C21">
        <f>(3/(1+('CurrentPor-Rat Factor Movements'!C21+'CurrentPor-Rat Factor Movements'!G21)/100)+103/POWER(1+('CurrentPor-Rat Factor Movements'!D21+'CurrentPor-Rat Factor Movements'!G21)/100,2))*100</f>
        <v>9748.9796057199364</v>
      </c>
      <c r="D21">
        <f>(3/(1+('CurrentPor-Rat Factor Movements'!C21+'CurrentPor-Rat Factor Movements'!H21)/100)+103/POWER(1+('CurrentPor-Rat Factor Movements'!D21+'CurrentPor-Rat Factor Movements'!H21)/100,2))*100</f>
        <v>9734.9584251642664</v>
      </c>
      <c r="E21">
        <f>(3/(1+('CurrentPor-Rat Factor Movements'!C21+'CurrentPor-Rat Factor Movements'!I21)/100)+103/POWER(1+('CurrentPor-Rat Factor Movements'!D21+'CurrentPor-Rat Factor Movements'!I21)/100,2))*100</f>
        <v>9714.7511455279509</v>
      </c>
      <c r="F21">
        <f>Portfolio!B$5*'CurrentPor-Rat Factor Movements'!E21</f>
        <v>52143.895533915893</v>
      </c>
      <c r="G21">
        <f>Portfolio!B$6*'CurrentPor-Rat Factor Movements'!F21</f>
        <v>3696.2945087936532</v>
      </c>
      <c r="H21">
        <f>Portfolio!B$7*'CurrentPor-Rat Factor Movements'!J21</f>
        <v>2148.0998964419859</v>
      </c>
      <c r="I21">
        <f t="shared" si="0"/>
        <v>97030.562253598313</v>
      </c>
      <c r="J21">
        <f t="shared" si="1"/>
        <v>519.50982501084218</v>
      </c>
    </row>
    <row r="22" spans="1:10">
      <c r="A22" s="1">
        <v>45499</v>
      </c>
      <c r="B22">
        <f>(3/(1+('CurrentPor-Rat Factor Movements'!C22)/100)+103/POWER(1+('CurrentPor-Rat Factor Movements'!D22)/100,2))*100</f>
        <v>9751.3225294873773</v>
      </c>
      <c r="C22">
        <f>(3/(1+('CurrentPor-Rat Factor Movements'!C22+'CurrentPor-Rat Factor Movements'!G22)/100)+103/POWER(1+('CurrentPor-Rat Factor Movements'!D22+'CurrentPor-Rat Factor Movements'!G22)/100,2))*100</f>
        <v>9658.0885372386128</v>
      </c>
      <c r="D22">
        <f>(3/(1+('CurrentPor-Rat Factor Movements'!C22+'CurrentPor-Rat Factor Movements'!H22)/100)+103/POWER(1+('CurrentPor-Rat Factor Movements'!D22+'CurrentPor-Rat Factor Movements'!H22)/100,2))*100</f>
        <v>9644.2697395081668</v>
      </c>
      <c r="E22">
        <f>(3/(1+('CurrentPor-Rat Factor Movements'!C22+'CurrentPor-Rat Factor Movements'!I22)/100)+103/POWER(1+('CurrentPor-Rat Factor Movements'!D22+'CurrentPor-Rat Factor Movements'!I22)/100,2))*100</f>
        <v>9624.3538618058283</v>
      </c>
      <c r="F22">
        <f>Portfolio!B$5*'CurrentPor-Rat Factor Movements'!E22</f>
        <v>52143.895533915893</v>
      </c>
      <c r="G22">
        <f>Portfolio!B$6*'CurrentPor-Rat Factor Movements'!F22</f>
        <v>3696.2945087936532</v>
      </c>
      <c r="H22">
        <f>Portfolio!B$7*'CurrentPor-Rat Factor Movements'!J22</f>
        <v>2148.0998964419859</v>
      </c>
      <c r="I22">
        <f t="shared" si="0"/>
        <v>96666.324607191505</v>
      </c>
      <c r="J22">
        <f t="shared" si="1"/>
        <v>2.9213545066013467</v>
      </c>
    </row>
    <row r="23" spans="1:10">
      <c r="A23" s="1">
        <v>45502</v>
      </c>
      <c r="B23">
        <f>(3/(1+('CurrentPor-Rat Factor Movements'!C23)/100)+103/POWER(1+('CurrentPor-Rat Factor Movements'!D23)/100,2))*100</f>
        <v>9750.9855552715926</v>
      </c>
      <c r="C23">
        <f>(3/(1+('CurrentPor-Rat Factor Movements'!C23+'CurrentPor-Rat Factor Movements'!G23)/100)+103/POWER(1+('CurrentPor-Rat Factor Movements'!D23+'CurrentPor-Rat Factor Movements'!G23)/100,2))*100</f>
        <v>9657.7317015499029</v>
      </c>
      <c r="D23">
        <f>(3/(1+('CurrentPor-Rat Factor Movements'!C23+'CurrentPor-Rat Factor Movements'!H23)/100)+103/POWER(1+('CurrentPor-Rat Factor Movements'!D23+'CurrentPor-Rat Factor Movements'!H23)/100,2))*100</f>
        <v>9643.9099891130772</v>
      </c>
      <c r="E23">
        <f>(3/(1+('CurrentPor-Rat Factor Movements'!C23+'CurrentPor-Rat Factor Movements'!I23)/100)+103/POWER(1+('CurrentPor-Rat Factor Movements'!D23+'CurrentPor-Rat Factor Movements'!I23)/100,2))*100</f>
        <v>9623.9899239268725</v>
      </c>
      <c r="F23">
        <f>Portfolio!B$5*'CurrentPor-Rat Factor Movements'!E23</f>
        <v>52143.895533915893</v>
      </c>
      <c r="G23">
        <f>Portfolio!B$6*'CurrentPor-Rat Factor Movements'!F23</f>
        <v>3696.2945087936532</v>
      </c>
      <c r="H23">
        <f>Portfolio!B$7*'CurrentPor-Rat Factor Movements'!J23</f>
        <v>2148.0998964419859</v>
      </c>
      <c r="I23">
        <f t="shared" si="0"/>
        <v>96664.907109012973</v>
      </c>
      <c r="J23">
        <f t="shared" si="1"/>
        <v>709.99942708401068</v>
      </c>
    </row>
    <row r="24" spans="1:10">
      <c r="A24" s="1">
        <v>45503</v>
      </c>
      <c r="B24">
        <f>(3/(1+('CurrentPor-Rat Factor Movements'!C24)/100)+103/POWER(1+('CurrentPor-Rat Factor Movements'!D24)/100,2))*100</f>
        <v>9768.16790798888</v>
      </c>
      <c r="C24">
        <f>(3/(1+('CurrentPor-Rat Factor Movements'!C24+'CurrentPor-Rat Factor Movements'!G24)/100)+103/POWER(1+('CurrentPor-Rat Factor Movements'!D24+'CurrentPor-Rat Factor Movements'!G24)/100,2))*100</f>
        <v>9674.6694972419045</v>
      </c>
      <c r="D24">
        <f>(3/(1+('CurrentPor-Rat Factor Movements'!C24+'CurrentPor-Rat Factor Movements'!H24)/100)+103/POWER(1+('CurrentPor-Rat Factor Movements'!D24+'CurrentPor-Rat Factor Movements'!H24)/100,2))*100</f>
        <v>9660.8116365560945</v>
      </c>
      <c r="E24">
        <f>(3/(1+('CurrentPor-Rat Factor Movements'!C24+'CurrentPor-Rat Factor Movements'!I24)/100)+103/POWER(1+('CurrentPor-Rat Factor Movements'!D24+'CurrentPor-Rat Factor Movements'!I24)/100,2))*100</f>
        <v>9640.8395190215851</v>
      </c>
      <c r="F24">
        <f>Portfolio!B$5*'CurrentPor-Rat Factor Movements'!E24</f>
        <v>52143.895533915893</v>
      </c>
      <c r="G24">
        <f>Portfolio!B$6*'CurrentPor-Rat Factor Movements'!F24</f>
        <v>3696.2945087936532</v>
      </c>
      <c r="H24">
        <f>Portfolio!B$7*'CurrentPor-Rat Factor Movements'!J24</f>
        <v>2148.0998964419859</v>
      </c>
      <c r="I24">
        <f t="shared" si="0"/>
        <v>96732.778499959983</v>
      </c>
      <c r="J24">
        <f t="shared" si="1"/>
        <v>149.69099622077192</v>
      </c>
    </row>
    <row r="25" spans="1:10">
      <c r="A25" s="1">
        <v>45504</v>
      </c>
      <c r="B25">
        <f>(3/(1+('CurrentPor-Rat Factor Movements'!C25)/100)+103/POWER(1+('CurrentPor-Rat Factor Movements'!D25)/100,2))*100</f>
        <v>9768.5470236355923</v>
      </c>
      <c r="C25">
        <f>(3/(1+('CurrentPor-Rat Factor Movements'!C25+'CurrentPor-Rat Factor Movements'!G25)/100)+103/POWER(1+('CurrentPor-Rat Factor Movements'!D25+'CurrentPor-Rat Factor Movements'!G25)/100,2))*100</f>
        <v>9675.0497696789735</v>
      </c>
      <c r="D25">
        <f>(3/(1+('CurrentPor-Rat Factor Movements'!C25+'CurrentPor-Rat Factor Movements'!H25)/100)+103/POWER(1+('CurrentPor-Rat Factor Movements'!D25+'CurrentPor-Rat Factor Movements'!H25)/100,2))*100</f>
        <v>9661.1920743740429</v>
      </c>
      <c r="E25">
        <f>(3/(1+('CurrentPor-Rat Factor Movements'!C25+'CurrentPor-Rat Factor Movements'!I25)/100)+103/POWER(1+('CurrentPor-Rat Factor Movements'!D25+'CurrentPor-Rat Factor Movements'!I25)/100,2))*100</f>
        <v>9641.2201924246638</v>
      </c>
      <c r="F25">
        <f>Portfolio!B$5*'CurrentPor-Rat Factor Movements'!E25</f>
        <v>52143.895533915893</v>
      </c>
      <c r="G25">
        <f>Portfolio!B$6*'CurrentPor-Rat Factor Movements'!F25</f>
        <v>3696.2945087936532</v>
      </c>
      <c r="H25">
        <f>Portfolio!B$7*'CurrentPor-Rat Factor Movements'!J25</f>
        <v>2148.0998964419859</v>
      </c>
      <c r="I25">
        <f t="shared" si="0"/>
        <v>96734.298999264793</v>
      </c>
      <c r="J25">
        <f t="shared" si="1"/>
        <v>403.14600019091449</v>
      </c>
    </row>
    <row r="26" spans="1:10">
      <c r="A26" s="1">
        <v>45505</v>
      </c>
      <c r="B26">
        <f>(3/(1+('CurrentPor-Rat Factor Movements'!C26)/100)+103/POWER(1+('CurrentPor-Rat Factor Movements'!D26)/100,2))*100</f>
        <v>9661.7647447176005</v>
      </c>
      <c r="C26">
        <f>(3/(1+('CurrentPor-Rat Factor Movements'!C26+'CurrentPor-Rat Factor Movements'!G26)/100)+103/POWER(1+('CurrentPor-Rat Factor Movements'!D26+'CurrentPor-Rat Factor Movements'!G26)/100,2))*100</f>
        <v>9569.8170990852213</v>
      </c>
      <c r="D26">
        <f>(3/(1+('CurrentPor-Rat Factor Movements'!C26+'CurrentPor-Rat Factor Movements'!H26)/100)+103/POWER(1+('CurrentPor-Rat Factor Movements'!D26+'CurrentPor-Rat Factor Movements'!H26)/100,2))*100</f>
        <v>9556.1884308237131</v>
      </c>
      <c r="E26">
        <f>(3/(1+('CurrentPor-Rat Factor Movements'!C26+'CurrentPor-Rat Factor Movements'!I26)/100)+103/POWER(1+('CurrentPor-Rat Factor Movements'!D26+'CurrentPor-Rat Factor Movements'!I26)/100,2))*100</f>
        <v>9536.5463304635832</v>
      </c>
      <c r="F26">
        <f>Portfolio!B$5*'CurrentPor-Rat Factor Movements'!E26</f>
        <v>52143.895533915893</v>
      </c>
      <c r="G26">
        <f>Portfolio!B$6*'CurrentPor-Rat Factor Movements'!F26</f>
        <v>3696.2945087936532</v>
      </c>
      <c r="H26">
        <f>Portfolio!B$7*'CurrentPor-Rat Factor Movements'!J26</f>
        <v>2148.0998964419859</v>
      </c>
      <c r="I26">
        <f t="shared" si="0"/>
        <v>96312.606544241644</v>
      </c>
      <c r="J26">
        <f t="shared" si="1"/>
        <v>212.41436209730455</v>
      </c>
    </row>
    <row r="27" spans="1:10">
      <c r="A27" s="1">
        <v>45506</v>
      </c>
      <c r="B27">
        <f>(3/(1+('CurrentPor-Rat Factor Movements'!C27)/100)+103/POWER(1+('CurrentPor-Rat Factor Movements'!D27)/100,2))*100</f>
        <v>9684.9049965602735</v>
      </c>
      <c r="C27">
        <f>(3/(1+('CurrentPor-Rat Factor Movements'!C27+'CurrentPor-Rat Factor Movements'!G27)/100)+103/POWER(1+('CurrentPor-Rat Factor Movements'!D27+'CurrentPor-Rat Factor Movements'!G27)/100,2))*100</f>
        <v>9592.6184252291969</v>
      </c>
      <c r="D27">
        <f>(3/(1+('CurrentPor-Rat Factor Movements'!C27+'CurrentPor-Rat Factor Movements'!H27)/100)+103/POWER(1+('CurrentPor-Rat Factor Movements'!D27+'CurrentPor-Rat Factor Movements'!H27)/100,2))*100</f>
        <v>9578.939666826438</v>
      </c>
      <c r="E27">
        <f>(3/(1+('CurrentPor-Rat Factor Movements'!C27+'CurrentPor-Rat Factor Movements'!I27)/100)+103/POWER(1+('CurrentPor-Rat Factor Movements'!D27+'CurrentPor-Rat Factor Movements'!I27)/100,2))*100</f>
        <v>9559.225441359391</v>
      </c>
      <c r="F27">
        <f>Portfolio!B$5*'CurrentPor-Rat Factor Movements'!E27</f>
        <v>52143.895533915893</v>
      </c>
      <c r="G27">
        <f>Portfolio!B$6*'CurrentPor-Rat Factor Movements'!F27</f>
        <v>3696.2945087936532</v>
      </c>
      <c r="H27">
        <f>Portfolio!B$7*'CurrentPor-Rat Factor Movements'!J27</f>
        <v>2148.0998964419859</v>
      </c>
      <c r="I27">
        <f t="shared" si="0"/>
        <v>96403.978469126829</v>
      </c>
      <c r="J27">
        <f t="shared" si="1"/>
        <v>181.70958953544323</v>
      </c>
    </row>
    <row r="28" spans="1:10">
      <c r="A28" s="1">
        <v>45509</v>
      </c>
      <c r="B28">
        <f>(3/(1+('CurrentPor-Rat Factor Movements'!C28)/100)+103/POWER(1+('CurrentPor-Rat Factor Movements'!D28)/100,2))*100</f>
        <v>9580.159575881502</v>
      </c>
      <c r="C28">
        <f>(3/(1+('CurrentPor-Rat Factor Movements'!C28+'CurrentPor-Rat Factor Movements'!G28)/100)+103/POWER(1+('CurrentPor-Rat Factor Movements'!D28+'CurrentPor-Rat Factor Movements'!G28)/100,2))*100</f>
        <v>9489.3791826115921</v>
      </c>
      <c r="D28">
        <f>(3/(1+('CurrentPor-Rat Factor Movements'!C28+'CurrentPor-Rat Factor Movements'!H28)/100)+103/POWER(1+('CurrentPor-Rat Factor Movements'!D28+'CurrentPor-Rat Factor Movements'!H28)/100,2))*100</f>
        <v>9475.9230492725092</v>
      </c>
      <c r="E28">
        <f>(3/(1+('CurrentPor-Rat Factor Movements'!C28+'CurrentPor-Rat Factor Movements'!I28)/100)+103/POWER(1+('CurrentPor-Rat Factor Movements'!D28+'CurrentPor-Rat Factor Movements'!I28)/100,2))*100</f>
        <v>9456.5293947081354</v>
      </c>
      <c r="F28">
        <f>Portfolio!B$5*'CurrentPor-Rat Factor Movements'!E28</f>
        <v>52143.895533915893</v>
      </c>
      <c r="G28">
        <f>Portfolio!B$6*'CurrentPor-Rat Factor Movements'!F28</f>
        <v>3696.2945087936532</v>
      </c>
      <c r="H28">
        <f>Portfolio!B$7*'CurrentPor-Rat Factor Movements'!J28</f>
        <v>2148.0998964419859</v>
      </c>
      <c r="I28">
        <f t="shared" si="0"/>
        <v>95990.281141625266</v>
      </c>
      <c r="J28">
        <f t="shared" si="1"/>
        <v>-1600.224363625719</v>
      </c>
    </row>
    <row r="29" spans="1:10">
      <c r="A29" s="1">
        <v>45510</v>
      </c>
      <c r="B29">
        <f>(3/(1+('CurrentPor-Rat Factor Movements'!C29)/100)+103/POWER(1+('CurrentPor-Rat Factor Movements'!D29)/100,2))*100</f>
        <v>10028.449747459603</v>
      </c>
      <c r="C29">
        <f>(3/(1+('CurrentPor-Rat Factor Movements'!C29+'CurrentPor-Rat Factor Movements'!G29)/100)+103/POWER(1+('CurrentPor-Rat Factor Movements'!D29+'CurrentPor-Rat Factor Movements'!G29)/100,2))*100</f>
        <v>9931.1476017576024</v>
      </c>
      <c r="D29">
        <f>(3/(1+('CurrentPor-Rat Factor Movements'!C29+'CurrentPor-Rat Factor Movements'!H29)/100)+103/POWER(1+('CurrentPor-Rat Factor Movements'!D29+'CurrentPor-Rat Factor Movements'!H29)/100,2))*100</f>
        <v>9916.7276143686158</v>
      </c>
      <c r="E29">
        <f>(3/(1+('CurrentPor-Rat Factor Movements'!C29+'CurrentPor-Rat Factor Movements'!I29)/100)+103/POWER(1+('CurrentPor-Rat Factor Movements'!D29+'CurrentPor-Rat Factor Movements'!I29)/100,2))*100</f>
        <v>9895.9461009859369</v>
      </c>
      <c r="F29">
        <f>Portfolio!B$5*'CurrentPor-Rat Factor Movements'!E29</f>
        <v>52143.895533915893</v>
      </c>
      <c r="G29">
        <f>Portfolio!B$6*'CurrentPor-Rat Factor Movements'!F29</f>
        <v>3696.2945087936532</v>
      </c>
      <c r="H29">
        <f>Portfolio!B$7*'CurrentPor-Rat Factor Movements'!J29</f>
        <v>2148.0998964419859</v>
      </c>
      <c r="I29">
        <f t="shared" si="0"/>
        <v>97760.561003723284</v>
      </c>
      <c r="J29">
        <f t="shared" si="1"/>
        <v>2060.3459469756926</v>
      </c>
    </row>
    <row r="30" spans="1:10">
      <c r="A30" s="1">
        <v>45511</v>
      </c>
      <c r="B30">
        <f>(3/(1+('CurrentPor-Rat Factor Movements'!C30)/100)+103/POWER(1+('CurrentPor-Rat Factor Movements'!D30)/100,2))*100</f>
        <v>9611.1205866567489</v>
      </c>
      <c r="C30">
        <f>(3/(1+('CurrentPor-Rat Factor Movements'!C30+'CurrentPor-Rat Factor Movements'!G30)/100)+103/POWER(1+('CurrentPor-Rat Factor Movements'!D30+'CurrentPor-Rat Factor Movements'!G30)/100,2))*100</f>
        <v>9519.8997203862527</v>
      </c>
      <c r="D30">
        <f>(3/(1+('CurrentPor-Rat Factor Movements'!C30+'CurrentPor-Rat Factor Movements'!H30)/100)+103/POWER(1+('CurrentPor-Rat Factor Movements'!D30+'CurrentPor-Rat Factor Movements'!H30)/100,2))*100</f>
        <v>9506.3784770028706</v>
      </c>
      <c r="E30">
        <f>(3/(1+('CurrentPor-Rat Factor Movements'!C30+'CurrentPor-Rat Factor Movements'!I30)/100)+103/POWER(1+('CurrentPor-Rat Factor Movements'!D30+'CurrentPor-Rat Factor Movements'!I30)/100,2))*100</f>
        <v>9486.8910645465785</v>
      </c>
      <c r="F30">
        <f>Portfolio!B$5*'CurrentPor-Rat Factor Movements'!E30</f>
        <v>52143.895533915893</v>
      </c>
      <c r="G30">
        <f>Portfolio!B$6*'CurrentPor-Rat Factor Movements'!F30</f>
        <v>3696.2945087936532</v>
      </c>
      <c r="H30">
        <f>Portfolio!B$7*'CurrentPor-Rat Factor Movements'!J30</f>
        <v>2148.0998964419859</v>
      </c>
      <c r="I30">
        <f t="shared" si="0"/>
        <v>96112.579787743991</v>
      </c>
      <c r="J30">
        <f t="shared" si="1"/>
        <v>-198.74369711276086</v>
      </c>
    </row>
    <row r="31" spans="1:10">
      <c r="A31" s="1">
        <v>45512</v>
      </c>
      <c r="B31">
        <f>(3/(1+('CurrentPor-Rat Factor Movements'!C31)/100)+103/POWER(1+('CurrentPor-Rat Factor Movements'!D31)/100,2))*100</f>
        <v>9743.9873601263207</v>
      </c>
      <c r="C31">
        <f>(3/(1+('CurrentPor-Rat Factor Movements'!C31+'CurrentPor-Rat Factor Movements'!G31)/100)+103/POWER(1+('CurrentPor-Rat Factor Movements'!D31+'CurrentPor-Rat Factor Movements'!G31)/100,2))*100</f>
        <v>9650.8420737707183</v>
      </c>
      <c r="D31">
        <f>(3/(1+('CurrentPor-Rat Factor Movements'!C31+'CurrentPor-Rat Factor Movements'!H31)/100)+103/POWER(1+('CurrentPor-Rat Factor Movements'!D31+'CurrentPor-Rat Factor Movements'!H31)/100,2))*100</f>
        <v>9637.0364012041045</v>
      </c>
      <c r="E31">
        <f>(3/(1+('CurrentPor-Rat Factor Movements'!C31+'CurrentPor-Rat Factor Movements'!I31)/100)+103/POWER(1+('CurrentPor-Rat Factor Movements'!D31+'CurrentPor-Rat Factor Movements'!I31)/100,2))*100</f>
        <v>9617.1394294634629</v>
      </c>
      <c r="F31">
        <f>Portfolio!B$5*'CurrentPor-Rat Factor Movements'!E31</f>
        <v>52143.895533915893</v>
      </c>
      <c r="G31">
        <f>Portfolio!B$6*'CurrentPor-Rat Factor Movements'!F31</f>
        <v>3696.2945087936532</v>
      </c>
      <c r="H31">
        <f>Portfolio!B$7*'CurrentPor-Rat Factor Movements'!J31</f>
        <v>2148.0998964419859</v>
      </c>
      <c r="I31">
        <f t="shared" si="0"/>
        <v>96637.29520371613</v>
      </c>
      <c r="J31">
        <f t="shared" si="1"/>
        <v>-393.26704988218262</v>
      </c>
    </row>
    <row r="32" spans="1:10">
      <c r="A32" s="1">
        <v>45513</v>
      </c>
      <c r="B32">
        <f>(3/(1+('CurrentPor-Rat Factor Movements'!C32)/100)+103/POWER(1+('CurrentPor-Rat Factor Movements'!D32)/100,2))*100</f>
        <v>9717.4095936392478</v>
      </c>
      <c r="C32">
        <f>(3/(1+('CurrentPor-Rat Factor Movements'!C32+'CurrentPor-Rat Factor Movements'!G32)/100)+103/POWER(1+('CurrentPor-Rat Factor Movements'!D32+'CurrentPor-Rat Factor Movements'!G32)/100,2))*100</f>
        <v>9624.6423287780835</v>
      </c>
      <c r="D32">
        <f>(3/(1+('CurrentPor-Rat Factor Movements'!C32+'CurrentPor-Rat Factor Movements'!H32)/100)+103/POWER(1+('CurrentPor-Rat Factor Movements'!D32+'CurrentPor-Rat Factor Movements'!H32)/100,2))*100</f>
        <v>9610.8925326748558</v>
      </c>
      <c r="E32">
        <f>(3/(1+('CurrentPor-Rat Factor Movements'!C32+'CurrentPor-Rat Factor Movements'!I32)/100)+103/POWER(1+('CurrentPor-Rat Factor Movements'!D32+'CurrentPor-Rat Factor Movements'!I32)/100,2))*100</f>
        <v>9591.0760216033796</v>
      </c>
      <c r="F32">
        <f>Portfolio!B$5*'CurrentPor-Rat Factor Movements'!E32</f>
        <v>52143.895533915893</v>
      </c>
      <c r="G32">
        <f>Portfolio!B$6*'CurrentPor-Rat Factor Movements'!F32</f>
        <v>3696.2945087936532</v>
      </c>
      <c r="H32">
        <f>Portfolio!B$7*'CurrentPor-Rat Factor Movements'!J32</f>
        <v>2148.0998964419859</v>
      </c>
      <c r="I32">
        <f t="shared" si="0"/>
        <v>96532.310415847096</v>
      </c>
      <c r="J32">
        <f t="shared" si="1"/>
        <v>-134.01419134440948</v>
      </c>
    </row>
    <row r="33" spans="1:10">
      <c r="A33" s="1">
        <v>45516</v>
      </c>
      <c r="B33">
        <f>(3/(1+('CurrentPor-Rat Factor Movements'!C33)/100)+103/POWER(1+('CurrentPor-Rat Factor Movements'!D33)/100,2))*100</f>
        <v>9460.3353744436426</v>
      </c>
      <c r="C33">
        <f>(3/(1+('CurrentPor-Rat Factor Movements'!C33+'CurrentPor-Rat Factor Movements'!G33)/100)+103/POWER(1+('CurrentPor-Rat Factor Movements'!D33+'CurrentPor-Rat Factor Movements'!G33)/100,2))*100</f>
        <v>9371.2843182467441</v>
      </c>
      <c r="D33">
        <f>(3/(1+('CurrentPor-Rat Factor Movements'!C33+'CurrentPor-Rat Factor Movements'!H33)/100)+103/POWER(1+('CurrentPor-Rat Factor Movements'!D33+'CurrentPor-Rat Factor Movements'!H33)/100,2))*100</f>
        <v>9358.0837979990283</v>
      </c>
      <c r="E33">
        <f>(3/(1+('CurrentPor-Rat Factor Movements'!C33+'CurrentPor-Rat Factor Movements'!I33)/100)+103/POWER(1+('CurrentPor-Rat Factor Movements'!D33+'CurrentPor-Rat Factor Movements'!I33)/100,2))*100</f>
        <v>9339.0582172327904</v>
      </c>
      <c r="F33">
        <f>Portfolio!B$5*'CurrentPor-Rat Factor Movements'!E33</f>
        <v>52143.895533915893</v>
      </c>
      <c r="G33">
        <f>Portfolio!B$6*'CurrentPor-Rat Factor Movements'!F33</f>
        <v>3696.2945087936532</v>
      </c>
      <c r="H33">
        <f>Portfolio!B$7*'CurrentPor-Rat Factor Movements'!J33</f>
        <v>2148.0998964419859</v>
      </c>
      <c r="I33">
        <f t="shared" si="0"/>
        <v>95517.051647073735</v>
      </c>
      <c r="J33">
        <f t="shared" si="1"/>
        <v>-1147.855461939238</v>
      </c>
    </row>
    <row r="34" spans="1:10">
      <c r="A34" s="1">
        <v>45517</v>
      </c>
      <c r="B34">
        <f>(3/(1+('CurrentPor-Rat Factor Movements'!C34)/100)+103/POWER(1+('CurrentPor-Rat Factor Movements'!D34)/100,2))*100</f>
        <v>9839.7419322722326</v>
      </c>
      <c r="C34">
        <f>(3/(1+('CurrentPor-Rat Factor Movements'!C34+'CurrentPor-Rat Factor Movements'!G34)/100)+103/POWER(1+('CurrentPor-Rat Factor Movements'!D34+'CurrentPor-Rat Factor Movements'!G34)/100,2))*100</f>
        <v>9745.2126128876935</v>
      </c>
      <c r="D34">
        <f>(3/(1+('CurrentPor-Rat Factor Movements'!C34+'CurrentPor-Rat Factor Movements'!H34)/100)+103/POWER(1+('CurrentPor-Rat Factor Movements'!D34+'CurrentPor-Rat Factor Movements'!H34)/100,2))*100</f>
        <v>9731.2023847360488</v>
      </c>
      <c r="E34">
        <f>(3/(1+('CurrentPor-Rat Factor Movements'!C34+'CurrentPor-Rat Factor Movements'!I34)/100)+103/POWER(1+('CurrentPor-Rat Factor Movements'!D34+'CurrentPor-Rat Factor Movements'!I34)/100,2))*100</f>
        <v>9711.0108684201805</v>
      </c>
      <c r="F34">
        <f>Portfolio!B$5*'CurrentPor-Rat Factor Movements'!E34</f>
        <v>52143.895533915893</v>
      </c>
      <c r="G34">
        <f>Portfolio!B$6*'CurrentPor-Rat Factor Movements'!F34</f>
        <v>3696.2945087936532</v>
      </c>
      <c r="H34">
        <f>Portfolio!B$7*'CurrentPor-Rat Factor Movements'!J34</f>
        <v>2148.0998964419859</v>
      </c>
      <c r="I34">
        <f t="shared" si="0"/>
        <v>97015.457737467674</v>
      </c>
      <c r="J34">
        <f t="shared" si="1"/>
        <v>282.67923750769114</v>
      </c>
    </row>
    <row r="35" spans="1:10">
      <c r="A35" s="1">
        <v>45518</v>
      </c>
      <c r="B35">
        <f>(3/(1+('CurrentPor-Rat Factor Movements'!C35)/100)+103/POWER(1+('CurrentPor-Rat Factor Movements'!D35)/100,2))*100</f>
        <v>9731.397942623129</v>
      </c>
      <c r="C35">
        <f>(3/(1+('CurrentPor-Rat Factor Movements'!C35+'CurrentPor-Rat Factor Movements'!G35)/100)+103/POWER(1+('CurrentPor-Rat Factor Movements'!D35+'CurrentPor-Rat Factor Movements'!G35)/100,2))*100</f>
        <v>9638.4448317279894</v>
      </c>
      <c r="D35">
        <f>(3/(1+('CurrentPor-Rat Factor Movements'!C35+'CurrentPor-Rat Factor Movements'!H35)/100)+103/POWER(1+('CurrentPor-Rat Factor Movements'!D35+'CurrentPor-Rat Factor Movements'!H35)/100,2))*100</f>
        <v>9624.6675539493499</v>
      </c>
      <c r="E35">
        <f>(3/(1+('CurrentPor-Rat Factor Movements'!C35+'CurrentPor-Rat Factor Movements'!I35)/100)+103/POWER(1+('CurrentPor-Rat Factor Movements'!D35+'CurrentPor-Rat Factor Movements'!I35)/100,2))*100</f>
        <v>9604.8114648480605</v>
      </c>
      <c r="F35">
        <f>Portfolio!B$5*'CurrentPor-Rat Factor Movements'!E35</f>
        <v>52143.895533915893</v>
      </c>
      <c r="G35">
        <f>Portfolio!B$6*'CurrentPor-Rat Factor Movements'!F35</f>
        <v>3696.2945087936532</v>
      </c>
      <c r="H35">
        <f>Portfolio!B$7*'CurrentPor-Rat Factor Movements'!J35</f>
        <v>2148.0998964419859</v>
      </c>
      <c r="I35">
        <f t="shared" si="0"/>
        <v>96587.611732300065</v>
      </c>
      <c r="J35">
        <f t="shared" si="1"/>
        <v>-146.68726696472731</v>
      </c>
    </row>
    <row r="36" spans="1:10">
      <c r="A36" s="1">
        <v>45519</v>
      </c>
      <c r="B36">
        <f>(3/(1+('CurrentPor-Rat Factor Movements'!C36)/100)+103/POWER(1+('CurrentPor-Rat Factor Movements'!D36)/100,2))*100</f>
        <v>9784.6871198194603</v>
      </c>
      <c r="C36">
        <f>(3/(1+('CurrentPor-Rat Factor Movements'!C36+'CurrentPor-Rat Factor Movements'!G36)/100)+103/POWER(1+('CurrentPor-Rat Factor Movements'!D36+'CurrentPor-Rat Factor Movements'!G36)/100,2))*100</f>
        <v>9690.9503690394813</v>
      </c>
      <c r="D36">
        <f>(3/(1+('CurrentPor-Rat Factor Movements'!C36+'CurrentPor-Rat Factor Movements'!H36)/100)+103/POWER(1+('CurrentPor-Rat Factor Movements'!D36+'CurrentPor-Rat Factor Movements'!H36)/100,2))*100</f>
        <v>9677.05728196368</v>
      </c>
      <c r="E36">
        <f>(3/(1+('CurrentPor-Rat Factor Movements'!C36+'CurrentPor-Rat Factor Movements'!I36)/100)+103/POWER(1+('CurrentPor-Rat Factor Movements'!D36+'CurrentPor-Rat Factor Movements'!I36)/100,2))*100</f>
        <v>9657.0344408601832</v>
      </c>
      <c r="F36">
        <f>Portfolio!B$5*'CurrentPor-Rat Factor Movements'!E36</f>
        <v>52143.895533915893</v>
      </c>
      <c r="G36">
        <f>Portfolio!B$6*'CurrentPor-Rat Factor Movements'!F36</f>
        <v>3696.2945087936532</v>
      </c>
      <c r="H36">
        <f>Portfolio!B$7*'CurrentPor-Rat Factor Movements'!J36</f>
        <v>2148.0998964419859</v>
      </c>
      <c r="I36">
        <f t="shared" si="0"/>
        <v>96798.019150834341</v>
      </c>
      <c r="J36">
        <f t="shared" si="1"/>
        <v>485.41260659269756</v>
      </c>
    </row>
    <row r="37" spans="1:10">
      <c r="A37" s="1">
        <v>45520</v>
      </c>
      <c r="B37">
        <f>(3/(1+('CurrentPor-Rat Factor Movements'!C37)/100)+103/POWER(1+('CurrentPor-Rat Factor Movements'!D37)/100,2))*100</f>
        <v>9729.651032789392</v>
      </c>
      <c r="C37">
        <f>(3/(1+('CurrentPor-Rat Factor Movements'!C37+'CurrentPor-Rat Factor Movements'!G37)/100)+103/POWER(1+('CurrentPor-Rat Factor Movements'!D37+'CurrentPor-Rat Factor Movements'!G37)/100,2))*100</f>
        <v>9636.70694906258</v>
      </c>
      <c r="D37">
        <f>(3/(1+('CurrentPor-Rat Factor Movements'!C37+'CurrentPor-Rat Factor Movements'!H37)/100)+103/POWER(1+('CurrentPor-Rat Factor Movements'!D37+'CurrentPor-Rat Factor Movements'!H37)/100,2))*100</f>
        <v>9622.9310191034965</v>
      </c>
      <c r="E37">
        <f>(3/(1+('CurrentPor-Rat Factor Movements'!C37+'CurrentPor-Rat Factor Movements'!I37)/100)+103/POWER(1+('CurrentPor-Rat Factor Movements'!D37+'CurrentPor-Rat Factor Movements'!I37)/100,2))*100</f>
        <v>9603.0768769829665</v>
      </c>
      <c r="F37">
        <f>Portfolio!B$5*'CurrentPor-Rat Factor Movements'!E37</f>
        <v>52143.895533915893</v>
      </c>
      <c r="G37">
        <f>Portfolio!B$6*'CurrentPor-Rat Factor Movements'!F37</f>
        <v>3696.2945087936532</v>
      </c>
      <c r="H37">
        <f>Portfolio!B$7*'CurrentPor-Rat Factor Movements'!J37</f>
        <v>2148.0998964419859</v>
      </c>
      <c r="I37">
        <f t="shared" si="0"/>
        <v>96580.655817089966</v>
      </c>
      <c r="J37">
        <f t="shared" si="1"/>
        <v>176.67734796313744</v>
      </c>
    </row>
    <row r="38" spans="1:10">
      <c r="A38" s="1">
        <v>45523</v>
      </c>
      <c r="B38">
        <f>(3/(1+('CurrentPor-Rat Factor Movements'!C38)/100)+103/POWER(1+('CurrentPor-Rat Factor Movements'!D38)/100,2))*100</f>
        <v>9662.4769010321506</v>
      </c>
      <c r="C38">
        <f>(3/(1+('CurrentPor-Rat Factor Movements'!C38+'CurrentPor-Rat Factor Movements'!G38)/100)+103/POWER(1+('CurrentPor-Rat Factor Movements'!D38+'CurrentPor-Rat Factor Movements'!G38)/100,2))*100</f>
        <v>9570.5070011451389</v>
      </c>
      <c r="D38">
        <f>(3/(1+('CurrentPor-Rat Factor Movements'!C38+'CurrentPor-Rat Factor Movements'!H38)/100)+103/POWER(1+('CurrentPor-Rat Factor Movements'!D38+'CurrentPor-Rat Factor Movements'!H38)/100,2))*100</f>
        <v>9556.8750536142525</v>
      </c>
      <c r="E38">
        <f>(3/(1+('CurrentPor-Rat Factor Movements'!C38+'CurrentPor-Rat Factor Movements'!I38)/100)+103/POWER(1+('CurrentPor-Rat Factor Movements'!D38+'CurrentPor-Rat Factor Movements'!I38)/100,2))*100</f>
        <v>9537.2282358448683</v>
      </c>
      <c r="F38">
        <f>Portfolio!B$5*'CurrentPor-Rat Factor Movements'!E38</f>
        <v>52143.895533915893</v>
      </c>
      <c r="G38">
        <f>Portfolio!B$6*'CurrentPor-Rat Factor Movements'!F38</f>
        <v>3696.2945087936532</v>
      </c>
      <c r="H38">
        <f>Portfolio!B$7*'CurrentPor-Rat Factor Movements'!J38</f>
        <v>2148.0998964419859</v>
      </c>
      <c r="I38">
        <f t="shared" si="0"/>
        <v>96315.377130787951</v>
      </c>
      <c r="J38">
        <f t="shared" si="1"/>
        <v>325.09598916268442</v>
      </c>
    </row>
    <row r="39" spans="1:10">
      <c r="A39" s="1">
        <v>45524</v>
      </c>
      <c r="B39">
        <f>(3/(1+('CurrentPor-Rat Factor Movements'!C39)/100)+103/POWER(1+('CurrentPor-Rat Factor Movements'!D39)/100,2))*100</f>
        <v>9704.2979375848081</v>
      </c>
      <c r="C39">
        <f>(3/(1+('CurrentPor-Rat Factor Movements'!C39+'CurrentPor-Rat Factor Movements'!G39)/100)+103/POWER(1+('CurrentPor-Rat Factor Movements'!D39+'CurrentPor-Rat Factor Movements'!G39)/100,2))*100</f>
        <v>9611.7246434896406</v>
      </c>
      <c r="D39">
        <f>(3/(1+('CurrentPor-Rat Factor Movements'!C39+'CurrentPor-Rat Factor Movements'!H39)/100)+103/POWER(1+('CurrentPor-Rat Factor Movements'!D39+'CurrentPor-Rat Factor Movements'!H39)/100,2))*100</f>
        <v>9598.0035125655268</v>
      </c>
      <c r="E39">
        <f>(3/(1+('CurrentPor-Rat Factor Movements'!C39+'CurrentPor-Rat Factor Movements'!I39)/100)+103/POWER(1+('CurrentPor-Rat Factor Movements'!D39+'CurrentPor-Rat Factor Movements'!I39)/100,2))*100</f>
        <v>9578.2282757806061</v>
      </c>
      <c r="F39">
        <f>Portfolio!B$5*'CurrentPor-Rat Factor Movements'!E39</f>
        <v>52143.895533915893</v>
      </c>
      <c r="G39">
        <f>Portfolio!B$6*'CurrentPor-Rat Factor Movements'!F39</f>
        <v>3696.2945087936532</v>
      </c>
      <c r="H39">
        <f>Portfolio!B$7*'CurrentPor-Rat Factor Movements'!J39</f>
        <v>2148.0998964419859</v>
      </c>
      <c r="I39">
        <f t="shared" si="0"/>
        <v>96480.54430857212</v>
      </c>
      <c r="J39">
        <f t="shared" si="1"/>
        <v>-1280.0166951511637</v>
      </c>
    </row>
    <row r="40" spans="1:10">
      <c r="A40" s="1">
        <v>45525</v>
      </c>
      <c r="B40">
        <f>(3/(1+('CurrentPor-Rat Factor Movements'!C40)/100)+103/POWER(1+('CurrentPor-Rat Factor Movements'!D40)/100,2))*100</f>
        <v>9880.1196944945423</v>
      </c>
      <c r="C40">
        <f>(3/(1+('CurrentPor-Rat Factor Movements'!C40+'CurrentPor-Rat Factor Movements'!G40)/100)+103/POWER(1+('CurrentPor-Rat Factor Movements'!D40+'CurrentPor-Rat Factor Movements'!G40)/100,2))*100</f>
        <v>9784.9864317565116</v>
      </c>
      <c r="D40">
        <f>(3/(1+('CurrentPor-Rat Factor Movements'!C40+'CurrentPor-Rat Factor Movements'!H40)/100)+103/POWER(1+('CurrentPor-Rat Factor Movements'!D40+'CurrentPor-Rat Factor Movements'!H40)/100,2))*100</f>
        <v>9770.8869617879955</v>
      </c>
      <c r="E40">
        <f>(3/(1+('CurrentPor-Rat Factor Movements'!C40+'CurrentPor-Rat Factor Movements'!I40)/100)+103/POWER(1+('CurrentPor-Rat Factor Movements'!D40+'CurrentPor-Rat Factor Movements'!I40)/100,2))*100</f>
        <v>9750.5669526897509</v>
      </c>
      <c r="F40">
        <f>Portfolio!B$5*'CurrentPor-Rat Factor Movements'!E40</f>
        <v>52143.895533915893</v>
      </c>
      <c r="G40">
        <f>Portfolio!B$6*'CurrentPor-Rat Factor Movements'!F40</f>
        <v>3696.2945087936532</v>
      </c>
      <c r="H40">
        <f>Portfolio!B$7*'CurrentPor-Rat Factor Movements'!J40</f>
        <v>2148.0998964419859</v>
      </c>
      <c r="I40">
        <f t="shared" si="0"/>
        <v>97174.849979880339</v>
      </c>
      <c r="J40">
        <f t="shared" si="1"/>
        <v>1062.2701921363478</v>
      </c>
    </row>
    <row r="41" spans="1:10">
      <c r="A41" s="1">
        <v>45526</v>
      </c>
      <c r="B41">
        <f>(3/(1+('CurrentPor-Rat Factor Movements'!C41)/100)+103/POWER(1+('CurrentPor-Rat Factor Movements'!D41)/100,2))*100</f>
        <v>9931.855105556675</v>
      </c>
      <c r="C41">
        <f>(3/(1+('CurrentPor-Rat Factor Movements'!C41+'CurrentPor-Rat Factor Movements'!G41)/100)+103/POWER(1+('CurrentPor-Rat Factor Movements'!D41+'CurrentPor-Rat Factor Movements'!G41)/100,2))*100</f>
        <v>9835.9661176172358</v>
      </c>
      <c r="D41">
        <f>(3/(1+('CurrentPor-Rat Factor Movements'!C41+'CurrentPor-Rat Factor Movements'!H41)/100)+103/POWER(1+('CurrentPor-Rat Factor Movements'!D41+'CurrentPor-Rat Factor Movements'!H41)/100,2))*100</f>
        <v>9821.7549644292212</v>
      </c>
      <c r="E41">
        <f>(3/(1+('CurrentPor-Rat Factor Movements'!C41+'CurrentPor-Rat Factor Movements'!I41)/100)+103/POWER(1+('CurrentPor-Rat Factor Movements'!D41+'CurrentPor-Rat Factor Movements'!I41)/100,2))*100</f>
        <v>9801.2741447208391</v>
      </c>
      <c r="F41">
        <f>Portfolio!B$5*'CurrentPor-Rat Factor Movements'!E41</f>
        <v>52143.895533915893</v>
      </c>
      <c r="G41">
        <f>Portfolio!B$6*'CurrentPor-Rat Factor Movements'!F41</f>
        <v>3696.2945087936532</v>
      </c>
      <c r="H41">
        <f>Portfolio!B$7*'CurrentPor-Rat Factor Movements'!J41</f>
        <v>2148.0998964419859</v>
      </c>
      <c r="I41">
        <f t="shared" si="0"/>
        <v>97379.140271475495</v>
      </c>
      <c r="J41">
        <f t="shared" si="1"/>
        <v>741.84506775936461</v>
      </c>
    </row>
    <row r="42" spans="1:10">
      <c r="A42" s="1">
        <v>45527</v>
      </c>
      <c r="B42">
        <f>(3/(1+('CurrentPor-Rat Factor Movements'!C42)/100)+103/POWER(1+('CurrentPor-Rat Factor Movements'!D42)/100,2))*100</f>
        <v>9618.240291596976</v>
      </c>
      <c r="C42">
        <f>(3/(1+('CurrentPor-Rat Factor Movements'!C42+'CurrentPor-Rat Factor Movements'!G42)/100)+103/POWER(1+('CurrentPor-Rat Factor Movements'!D42+'CurrentPor-Rat Factor Movements'!G42)/100,2))*100</f>
        <v>9526.9207096228783</v>
      </c>
      <c r="D42">
        <f>(3/(1+('CurrentPor-Rat Factor Movements'!C42+'CurrentPor-Rat Factor Movements'!H42)/100)+103/POWER(1+('CurrentPor-Rat Factor Movements'!D42+'CurrentPor-Rat Factor Movements'!H42)/100,2))*100</f>
        <v>9513.3848721453087</v>
      </c>
      <c r="E42">
        <f>(3/(1+('CurrentPor-Rat Factor Movements'!C42+'CurrentPor-Rat Factor Movements'!I42)/100)+103/POWER(1+('CurrentPor-Rat Factor Movements'!D42+'CurrentPor-Rat Factor Movements'!I42)/100,2))*100</f>
        <v>9493.8764433673441</v>
      </c>
      <c r="F42">
        <f>Portfolio!B$5*'CurrentPor-Rat Factor Movements'!E42</f>
        <v>52143.895533915893</v>
      </c>
      <c r="G42">
        <f>Portfolio!B$6*'CurrentPor-Rat Factor Movements'!F42</f>
        <v>3696.2945087936532</v>
      </c>
      <c r="H42">
        <f>Portfolio!B$7*'CurrentPor-Rat Factor Movements'!J42</f>
        <v>2148.0998964419859</v>
      </c>
      <c r="I42">
        <f t="shared" si="0"/>
        <v>96140.712255884035</v>
      </c>
      <c r="J42">
        <f t="shared" si="1"/>
        <v>-391.59815996306133</v>
      </c>
    </row>
    <row r="43" spans="1:10">
      <c r="A43" s="1">
        <v>45530</v>
      </c>
      <c r="B43">
        <f>(3/(1+('CurrentPor-Rat Factor Movements'!C43)/100)+103/POWER(1+('CurrentPor-Rat Factor Movements'!D43)/100,2))*100</f>
        <v>9745.9805872205507</v>
      </c>
      <c r="C43">
        <f>(3/(1+('CurrentPor-Rat Factor Movements'!C43+'CurrentPor-Rat Factor Movements'!G43)/100)+103/POWER(1+('CurrentPor-Rat Factor Movements'!D43+'CurrentPor-Rat Factor Movements'!G43)/100,2))*100</f>
        <v>9652.8049811722576</v>
      </c>
      <c r="D43">
        <f>(3/(1+('CurrentPor-Rat Factor Movements'!C43+'CurrentPor-Rat Factor Movements'!H43)/100)+103/POWER(1+('CurrentPor-Rat Factor Movements'!D43+'CurrentPor-Rat Factor Movements'!H43)/100,2))*100</f>
        <v>9638.9948286623458</v>
      </c>
      <c r="E43">
        <f>(3/(1+('CurrentPor-Rat Factor Movements'!C43+'CurrentPor-Rat Factor Movements'!I43)/100)+103/POWER(1+('CurrentPor-Rat Factor Movements'!D43+'CurrentPor-Rat Factor Movements'!I43)/100,2))*100</f>
        <v>9619.0914066940441</v>
      </c>
      <c r="F43">
        <f>Portfolio!B$5*'CurrentPor-Rat Factor Movements'!E43</f>
        <v>52143.895533915893</v>
      </c>
      <c r="G43">
        <f>Portfolio!B$6*'CurrentPor-Rat Factor Movements'!F43</f>
        <v>3696.2945087936532</v>
      </c>
      <c r="H43">
        <f>Portfolio!B$7*'CurrentPor-Rat Factor Movements'!J43</f>
        <v>2148.0998964419859</v>
      </c>
      <c r="I43">
        <f t="shared" si="0"/>
        <v>96645.161742900731</v>
      </c>
      <c r="J43">
        <f t="shared" si="1"/>
        <v>1128.1100958269963</v>
      </c>
    </row>
    <row r="44" spans="1:10">
      <c r="A44" s="1">
        <v>45531</v>
      </c>
      <c r="B44">
        <f>(3/(1+('CurrentPor-Rat Factor Movements'!C44)/100)+103/POWER(1+('CurrentPor-Rat Factor Movements'!D44)/100,2))*100</f>
        <v>9850.0002937849222</v>
      </c>
      <c r="C44">
        <f>(3/(1+('CurrentPor-Rat Factor Movements'!C44+'CurrentPor-Rat Factor Movements'!G44)/100)+103/POWER(1+('CurrentPor-Rat Factor Movements'!D44+'CurrentPor-Rat Factor Movements'!G44)/100,2))*100</f>
        <v>9755.3080001947001</v>
      </c>
      <c r="D44">
        <f>(3/(1+('CurrentPor-Rat Factor Movements'!C44+'CurrentPor-Rat Factor Movements'!H44)/100)+103/POWER(1+('CurrentPor-Rat Factor Movements'!D44+'CurrentPor-Rat Factor Movements'!H44)/100,2))*100</f>
        <v>9741.2736978373396</v>
      </c>
      <c r="E44">
        <f>(3/(1+('CurrentPor-Rat Factor Movements'!C44+'CurrentPor-Rat Factor Movements'!I44)/100)+103/POWER(1+('CurrentPor-Rat Factor Movements'!D44+'CurrentPor-Rat Factor Movements'!I44)/100,2))*100</f>
        <v>9721.0475223495669</v>
      </c>
      <c r="F44">
        <f>Portfolio!B$5*'CurrentPor-Rat Factor Movements'!E44</f>
        <v>52143.895533915893</v>
      </c>
      <c r="G44">
        <f>Portfolio!B$6*'CurrentPor-Rat Factor Movements'!F44</f>
        <v>3696.2945087936532</v>
      </c>
      <c r="H44">
        <f>Portfolio!B$7*'CurrentPor-Rat Factor Movements'!J44</f>
        <v>2148.0998964419859</v>
      </c>
      <c r="I44">
        <f t="shared" si="0"/>
        <v>97055.919453318071</v>
      </c>
      <c r="J44">
        <f t="shared" si="1"/>
        <v>40.461715850397013</v>
      </c>
    </row>
    <row r="45" spans="1:10">
      <c r="A45" s="1">
        <v>45532</v>
      </c>
      <c r="B45">
        <f>(3/(1+('CurrentPor-Rat Factor Movements'!C45)/100)+103/POWER(1+('CurrentPor-Rat Factor Movements'!D45)/100,2))*100</f>
        <v>9802.3868683042983</v>
      </c>
      <c r="C45">
        <f>(3/(1+('CurrentPor-Rat Factor Movements'!C45+'CurrentPor-Rat Factor Movements'!G45)/100)+103/POWER(1+('CurrentPor-Rat Factor Movements'!D45+'CurrentPor-Rat Factor Movements'!G45)/100,2))*100</f>
        <v>9708.3923376428138</v>
      </c>
      <c r="D45">
        <f>(3/(1+('CurrentPor-Rat Factor Movements'!C45+'CurrentPor-Rat Factor Movements'!H45)/100)+103/POWER(1+('CurrentPor-Rat Factor Movements'!D45+'CurrentPor-Rat Factor Movements'!H45)/100,2))*100</f>
        <v>9694.4611532125073</v>
      </c>
      <c r="E45">
        <f>(3/(1+('CurrentPor-Rat Factor Movements'!C45+'CurrentPor-Rat Factor Movements'!I45)/100)+103/POWER(1+('CurrentPor-Rat Factor Movements'!D45+'CurrentPor-Rat Factor Movements'!I45)/100,2))*100</f>
        <v>9674.383455563302</v>
      </c>
      <c r="F45">
        <f>Portfolio!B$5*'CurrentPor-Rat Factor Movements'!E45</f>
        <v>52143.895533915893</v>
      </c>
      <c r="G45">
        <f>Portfolio!B$6*'CurrentPor-Rat Factor Movements'!F45</f>
        <v>3696.2945087936532</v>
      </c>
      <c r="H45">
        <f>Portfolio!B$7*'CurrentPor-Rat Factor Movements'!J45</f>
        <v>2148.0998964419859</v>
      </c>
      <c r="I45">
        <f t="shared" si="0"/>
        <v>96867.91375387444</v>
      </c>
      <c r="J45">
        <f t="shared" si="1"/>
        <v>280.30202157437452</v>
      </c>
    </row>
    <row r="46" spans="1:10">
      <c r="A46" s="1">
        <v>45533</v>
      </c>
      <c r="B46">
        <f>(3/(1+('CurrentPor-Rat Factor Movements'!C46)/100)+103/POWER(1+('CurrentPor-Rat Factor Movements'!D46)/100,2))*100</f>
        <v>9863.6029504087419</v>
      </c>
      <c r="C46">
        <f>(3/(1+('CurrentPor-Rat Factor Movements'!C46+'CurrentPor-Rat Factor Movements'!G46)/100)+103/POWER(1+('CurrentPor-Rat Factor Movements'!D46+'CurrentPor-Rat Factor Movements'!G46)/100,2))*100</f>
        <v>9768.6996912510258</v>
      </c>
      <c r="D46">
        <f>(3/(1+('CurrentPor-Rat Factor Movements'!C46+'CurrentPor-Rat Factor Movements'!H46)/100)+103/POWER(1+('CurrentPor-Rat Factor Movements'!D46+'CurrentPor-Rat Factor Movements'!H46)/100,2))*100</f>
        <v>9754.6342216804514</v>
      </c>
      <c r="E46">
        <f>(3/(1+('CurrentPor-Rat Factor Movements'!C46+'CurrentPor-Rat Factor Movements'!I46)/100)+103/POWER(1+('CurrentPor-Rat Factor Movements'!D46+'CurrentPor-Rat Factor Movements'!I46)/100,2))*100</f>
        <v>9734.3631736069674</v>
      </c>
      <c r="F46">
        <f>Portfolio!B$5*'CurrentPor-Rat Factor Movements'!E46</f>
        <v>52143.895533915893</v>
      </c>
      <c r="G46">
        <f>Portfolio!B$6*'CurrentPor-Rat Factor Movements'!F46</f>
        <v>3696.2945087936532</v>
      </c>
      <c r="H46">
        <f>Portfolio!B$7*'CurrentPor-Rat Factor Movements'!J46</f>
        <v>2148.0998964419859</v>
      </c>
      <c r="I46">
        <f t="shared" si="0"/>
        <v>97109.589976098723</v>
      </c>
      <c r="J46">
        <f t="shared" si="1"/>
        <v>311.57082526438171</v>
      </c>
    </row>
    <row r="47" spans="1:10">
      <c r="A47" s="1">
        <v>45534</v>
      </c>
      <c r="B47">
        <f>(3/(1+('CurrentPor-Rat Factor Movements'!C47)/100)+103/POWER(1+('CurrentPor-Rat Factor Movements'!D47)/100,2))*100</f>
        <v>9846.8808643619195</v>
      </c>
      <c r="C47">
        <f>(3/(1+('CurrentPor-Rat Factor Movements'!C47+'CurrentPor-Rat Factor Movements'!G47)/100)+103/POWER(1+('CurrentPor-Rat Factor Movements'!D47+'CurrentPor-Rat Factor Movements'!G47)/100,2))*100</f>
        <v>9752.2329162017377</v>
      </c>
      <c r="D47">
        <f>(3/(1+('CurrentPor-Rat Factor Movements'!C47+'CurrentPor-Rat Factor Movements'!H47)/100)+103/POWER(1+('CurrentPor-Rat Factor Movements'!D47+'CurrentPor-Rat Factor Movements'!H47)/100,2))*100</f>
        <v>9738.2051684750841</v>
      </c>
      <c r="E47">
        <f>(3/(1+('CurrentPor-Rat Factor Movements'!C47+'CurrentPor-Rat Factor Movements'!I47)/100)+103/POWER(1+('CurrentPor-Rat Factor Movements'!D47+'CurrentPor-Rat Factor Movements'!I47)/100,2))*100</f>
        <v>9717.9884313977818</v>
      </c>
      <c r="F47">
        <f>Portfolio!B$5*'CurrentPor-Rat Factor Movements'!E47</f>
        <v>52143.895533915893</v>
      </c>
      <c r="G47">
        <f>Portfolio!B$6*'CurrentPor-Rat Factor Movements'!F47</f>
        <v>3696.2945087936532</v>
      </c>
      <c r="H47">
        <f>Portfolio!B$7*'CurrentPor-Rat Factor Movements'!J47</f>
        <v>2148.0998964419859</v>
      </c>
      <c r="I47">
        <f t="shared" si="0"/>
        <v>97043.597319588051</v>
      </c>
      <c r="J47">
        <f t="shared" si="1"/>
        <v>462.94150249808445</v>
      </c>
    </row>
    <row r="48" spans="1:10">
      <c r="A48" s="1">
        <v>45537</v>
      </c>
      <c r="B48">
        <f>(3/(1+('CurrentPor-Rat Factor Movements'!C48)/100)+103/POWER(1+('CurrentPor-Rat Factor Movements'!D48)/100,2))*100</f>
        <v>9814.666637005721</v>
      </c>
      <c r="C48">
        <f>(3/(1+('CurrentPor-Rat Factor Movements'!C48+'CurrentPor-Rat Factor Movements'!G48)/100)+103/POWER(1+('CurrentPor-Rat Factor Movements'!D48+'CurrentPor-Rat Factor Movements'!G48)/100,2))*100</f>
        <v>9720.4944255992523</v>
      </c>
      <c r="D48">
        <f>(3/(1+('CurrentPor-Rat Factor Movements'!C48+'CurrentPor-Rat Factor Movements'!H48)/100)+103/POWER(1+('CurrentPor-Rat Factor Movements'!D48+'CurrentPor-Rat Factor Movements'!H48)/100,2))*100</f>
        <v>9706.5369808255291</v>
      </c>
      <c r="E48">
        <f>(3/(1+('CurrentPor-Rat Factor Movements'!C48+'CurrentPor-Rat Factor Movements'!I48)/100)+103/POWER(1+('CurrentPor-Rat Factor Movements'!D48+'CurrentPor-Rat Factor Movements'!I48)/100,2))*100</f>
        <v>9686.4214704008336</v>
      </c>
      <c r="F48">
        <f>Portfolio!B$5*'CurrentPor-Rat Factor Movements'!E48</f>
        <v>52143.895533915893</v>
      </c>
      <c r="G48">
        <f>Portfolio!B$6*'CurrentPor-Rat Factor Movements'!F48</f>
        <v>3696.2945087936532</v>
      </c>
      <c r="H48">
        <f>Portfolio!B$7*'CurrentPor-Rat Factor Movements'!J48</f>
        <v>2148.0998964419859</v>
      </c>
      <c r="I48">
        <f t="shared" si="0"/>
        <v>96916.409452982873</v>
      </c>
      <c r="J48">
        <f t="shared" si="1"/>
        <v>601.03232219492202</v>
      </c>
    </row>
    <row r="49" spans="1:10">
      <c r="A49" s="1">
        <v>45538</v>
      </c>
      <c r="B49">
        <f>(3/(1+('CurrentPor-Rat Factor Movements'!C49)/100)+103/POWER(1+('CurrentPor-Rat Factor Movements'!D49)/100,2))*100</f>
        <v>9892.3687805897844</v>
      </c>
      <c r="C49">
        <f>(3/(1+('CurrentPor-Rat Factor Movements'!C49+'CurrentPor-Rat Factor Movements'!G49)/100)+103/POWER(1+('CurrentPor-Rat Factor Movements'!D49+'CurrentPor-Rat Factor Movements'!G49)/100,2))*100</f>
        <v>9797.0668623407473</v>
      </c>
      <c r="D49">
        <f>(3/(1+('CurrentPor-Rat Factor Movements'!C49+'CurrentPor-Rat Factor Movements'!H49)/100)+103/POWER(1+('CurrentPor-Rat Factor Movements'!D49+'CurrentPor-Rat Factor Movements'!H49)/100,2))*100</f>
        <v>9782.9424591633888</v>
      </c>
      <c r="E49">
        <f>(3/(1+('CurrentPor-Rat Factor Movements'!C49+'CurrentPor-Rat Factor Movements'!I49)/100)+103/POWER(1+('CurrentPor-Rat Factor Movements'!D49+'CurrentPor-Rat Factor Movements'!I49)/100,2))*100</f>
        <v>9762.5865451732716</v>
      </c>
      <c r="F49">
        <f>Portfolio!B$5*'CurrentPor-Rat Factor Movements'!E49</f>
        <v>52143.895533915893</v>
      </c>
      <c r="G49">
        <f>Portfolio!B$6*'CurrentPor-Rat Factor Movements'!F49</f>
        <v>3696.2945087936532</v>
      </c>
      <c r="H49">
        <f>Portfolio!B$7*'CurrentPor-Rat Factor Movements'!J49</f>
        <v>2148.0998964419859</v>
      </c>
      <c r="I49">
        <f t="shared" si="0"/>
        <v>97223.254586418727</v>
      </c>
      <c r="J49">
        <f t="shared" si="1"/>
        <v>742.71027784660691</v>
      </c>
    </row>
    <row r="50" spans="1:10">
      <c r="A50" s="1">
        <v>45539</v>
      </c>
      <c r="B50">
        <f>(3/(1+('CurrentPor-Rat Factor Movements'!C50)/100)+103/POWER(1+('CurrentPor-Rat Factor Movements'!D50)/100,2))*100</f>
        <v>9657.5716549035697</v>
      </c>
      <c r="C50">
        <f>(3/(1+('CurrentPor-Rat Factor Movements'!C50+'CurrentPor-Rat Factor Movements'!G50)/100)+103/POWER(1+('CurrentPor-Rat Factor Movements'!D50+'CurrentPor-Rat Factor Movements'!G50)/100,2))*100</f>
        <v>9565.6737106147193</v>
      </c>
      <c r="D50">
        <f>(3/(1+('CurrentPor-Rat Factor Movements'!C50+'CurrentPor-Rat Factor Movements'!H50)/100)+103/POWER(1+('CurrentPor-Rat Factor Movements'!D50+'CurrentPor-Rat Factor Movements'!H50)/100,2))*100</f>
        <v>9552.0523974136886</v>
      </c>
      <c r="E50">
        <f>(3/(1+('CurrentPor-Rat Factor Movements'!C50+'CurrentPor-Rat Factor Movements'!I50)/100)+103/POWER(1+('CurrentPor-Rat Factor Movements'!D50+'CurrentPor-Rat Factor Movements'!I50)/100,2))*100</f>
        <v>9532.4208920572873</v>
      </c>
      <c r="F50">
        <f>Portfolio!B$5*'CurrentPor-Rat Factor Movements'!E50</f>
        <v>52143.895533915893</v>
      </c>
      <c r="G50">
        <f>Portfolio!B$6*'CurrentPor-Rat Factor Movements'!F50</f>
        <v>3696.2945087936532</v>
      </c>
      <c r="H50">
        <f>Portfolio!B$7*'CurrentPor-Rat Factor Movements'!J50</f>
        <v>2148.0998964419859</v>
      </c>
      <c r="I50">
        <f t="shared" si="0"/>
        <v>96296.008594140803</v>
      </c>
      <c r="J50">
        <f t="shared" si="1"/>
        <v>-878.84138573953533</v>
      </c>
    </row>
    <row r="51" spans="1:10">
      <c r="A51" s="1">
        <v>45540</v>
      </c>
      <c r="B51">
        <f>(3/(1+('CurrentPor-Rat Factor Movements'!C51)/100)+103/POWER(1+('CurrentPor-Rat Factor Movements'!D51)/100,2))*100</f>
        <v>9776.5632643095923</v>
      </c>
      <c r="C51">
        <f>(3/(1+('CurrentPor-Rat Factor Movements'!C51+'CurrentPor-Rat Factor Movements'!G51)/100)+103/POWER(1+('CurrentPor-Rat Factor Movements'!D51+'CurrentPor-Rat Factor Movements'!G51)/100,2))*100</f>
        <v>9682.9400469492321</v>
      </c>
      <c r="D51">
        <f>(3/(1+('CurrentPor-Rat Factor Movements'!C51+'CurrentPor-Rat Factor Movements'!H51)/100)+103/POWER(1+('CurrentPor-Rat Factor Movements'!D51+'CurrentPor-Rat Factor Movements'!H51)/100,2))*100</f>
        <v>9669.0637430717943</v>
      </c>
      <c r="E51">
        <f>(3/(1+('CurrentPor-Rat Factor Movements'!C51+'CurrentPor-Rat Factor Movements'!I51)/100)+103/POWER(1+('CurrentPor-Rat Factor Movements'!D51+'CurrentPor-Rat Factor Movements'!I51)/100,2))*100</f>
        <v>9649.0650700235237</v>
      </c>
      <c r="F51">
        <f>Portfolio!B$5*'CurrentPor-Rat Factor Movements'!E51</f>
        <v>52143.895533915893</v>
      </c>
      <c r="G51">
        <f>Portfolio!B$6*'CurrentPor-Rat Factor Movements'!F51</f>
        <v>3696.2945087936532</v>
      </c>
      <c r="H51">
        <f>Portfolio!B$7*'CurrentPor-Rat Factor Movements'!J51</f>
        <v>2148.0998964419859</v>
      </c>
      <c r="I51">
        <f t="shared" si="0"/>
        <v>96765.92206350567</v>
      </c>
      <c r="J51">
        <f t="shared" si="1"/>
        <v>-613.21820796982502</v>
      </c>
    </row>
    <row r="52" spans="1:10">
      <c r="A52" s="1">
        <v>45541</v>
      </c>
      <c r="B52">
        <f>(3/(1+('CurrentPor-Rat Factor Movements'!C52)/100)+103/POWER(1+('CurrentPor-Rat Factor Movements'!D52)/100,2))*100</f>
        <v>9628.9615985998171</v>
      </c>
      <c r="C52">
        <f>(3/(1+('CurrentPor-Rat Factor Movements'!C52+'CurrentPor-Rat Factor Movements'!G52)/100)+103/POWER(1+('CurrentPor-Rat Factor Movements'!D52+'CurrentPor-Rat Factor Movements'!G52)/100,2))*100</f>
        <v>9537.4775930357646</v>
      </c>
      <c r="D52">
        <f>(3/(1+('CurrentPor-Rat Factor Movements'!C52+'CurrentPor-Rat Factor Movements'!H52)/100)+103/POWER(1+('CurrentPor-Rat Factor Movements'!D52+'CurrentPor-Rat Factor Movements'!H52)/100,2))*100</f>
        <v>9523.9174609312395</v>
      </c>
      <c r="E52">
        <f>(3/(1+('CurrentPor-Rat Factor Movements'!C52+'CurrentPor-Rat Factor Movements'!I52)/100)+103/POWER(1+('CurrentPor-Rat Factor Movements'!D52+'CurrentPor-Rat Factor Movements'!I52)/100,2))*100</f>
        <v>9504.3740527657865</v>
      </c>
      <c r="F52">
        <f>Portfolio!B$5*'CurrentPor-Rat Factor Movements'!E52</f>
        <v>52143.895533915893</v>
      </c>
      <c r="G52">
        <f>Portfolio!B$6*'CurrentPor-Rat Factor Movements'!F52</f>
        <v>3696.2945087936532</v>
      </c>
      <c r="H52">
        <f>Portfolio!B$7*'CurrentPor-Rat Factor Movements'!J52</f>
        <v>2148.0998964419859</v>
      </c>
      <c r="I52">
        <f t="shared" si="0"/>
        <v>96183.020644484131</v>
      </c>
      <c r="J52">
        <f t="shared" si="1"/>
        <v>42.308388600096805</v>
      </c>
    </row>
    <row r="53" spans="1:10">
      <c r="A53" s="1">
        <v>45544</v>
      </c>
      <c r="B53">
        <f>(3/(1+('CurrentPor-Rat Factor Movements'!C53)/100)+103/POWER(1+('CurrentPor-Rat Factor Movements'!D53)/100,2))*100</f>
        <v>9648.0265790379381</v>
      </c>
      <c r="C53">
        <f>(3/(1+('CurrentPor-Rat Factor Movements'!C53+'CurrentPor-Rat Factor Movements'!G53)/100)+103/POWER(1+('CurrentPor-Rat Factor Movements'!D53+'CurrentPor-Rat Factor Movements'!G53)/100,2))*100</f>
        <v>9556.270405698031</v>
      </c>
      <c r="D53">
        <f>(3/(1+('CurrentPor-Rat Factor Movements'!C53+'CurrentPor-Rat Factor Movements'!H53)/100)+103/POWER(1+('CurrentPor-Rat Factor Movements'!D53+'CurrentPor-Rat Factor Movements'!H53)/100,2))*100</f>
        <v>9542.6700434613103</v>
      </c>
      <c r="E53">
        <f>(3/(1+('CurrentPor-Rat Factor Movements'!C53+'CurrentPor-Rat Factor Movements'!I53)/100)+103/POWER(1+('CurrentPor-Rat Factor Movements'!D53+'CurrentPor-Rat Factor Movements'!I53)/100,2))*100</f>
        <v>9523.0687048462969</v>
      </c>
      <c r="F53">
        <f>Portfolio!B$5*'CurrentPor-Rat Factor Movements'!E53</f>
        <v>52143.895533915893</v>
      </c>
      <c r="G53">
        <f>Portfolio!B$6*'CurrentPor-Rat Factor Movements'!F53</f>
        <v>3696.2945087936532</v>
      </c>
      <c r="H53">
        <f>Portfolio!B$7*'CurrentPor-Rat Factor Movements'!J53</f>
        <v>2148.0998964419859</v>
      </c>
      <c r="I53">
        <f t="shared" si="0"/>
        <v>96258.325672195104</v>
      </c>
      <c r="J53">
        <f t="shared" si="1"/>
        <v>-386.83607070562721</v>
      </c>
    </row>
    <row r="54" spans="1:10">
      <c r="A54" s="1">
        <v>45545</v>
      </c>
      <c r="B54">
        <f>(3/(1+('CurrentPor-Rat Factor Movements'!C54)/100)+103/POWER(1+('CurrentPor-Rat Factor Movements'!D54)/100,2))*100</f>
        <v>9751.5630569815294</v>
      </c>
      <c r="C54">
        <f>(3/(1+('CurrentPor-Rat Factor Movements'!C54+'CurrentPor-Rat Factor Movements'!G54)/100)+103/POWER(1+('CurrentPor-Rat Factor Movements'!D54+'CurrentPor-Rat Factor Movements'!G54)/100,2))*100</f>
        <v>9658.3073199862065</v>
      </c>
      <c r="D54">
        <f>(3/(1+('CurrentPor-Rat Factor Movements'!C54+'CurrentPor-Rat Factor Movements'!H54)/100)+103/POWER(1+('CurrentPor-Rat Factor Movements'!D54+'CurrentPor-Rat Factor Movements'!H54)/100,2))*100</f>
        <v>9644.4853237688985</v>
      </c>
      <c r="E54">
        <f>(3/(1+('CurrentPor-Rat Factor Movements'!C54+'CurrentPor-Rat Factor Movements'!I54)/100)+103/POWER(1+('CurrentPor-Rat Factor Movements'!D54+'CurrentPor-Rat Factor Movements'!I54)/100,2))*100</f>
        <v>9624.5648474779537</v>
      </c>
      <c r="F54">
        <f>Portfolio!B$5*'CurrentPor-Rat Factor Movements'!E54</f>
        <v>52143.895533915893</v>
      </c>
      <c r="G54">
        <f>Portfolio!B$6*'CurrentPor-Rat Factor Movements'!F54</f>
        <v>3696.2945087936532</v>
      </c>
      <c r="H54">
        <f>Portfolio!B$7*'CurrentPor-Rat Factor Movements'!J54</f>
        <v>2148.0998964419859</v>
      </c>
      <c r="I54">
        <f t="shared" si="0"/>
        <v>96667.210487366116</v>
      </c>
      <c r="J54">
        <f t="shared" si="1"/>
        <v>-388.70896595195518</v>
      </c>
    </row>
    <row r="55" spans="1:10">
      <c r="A55" s="1">
        <v>45546</v>
      </c>
      <c r="B55">
        <f>(3/(1+('CurrentPor-Rat Factor Movements'!C55)/100)+103/POWER(1+('CurrentPor-Rat Factor Movements'!D55)/100,2))*100</f>
        <v>9597.4864079875042</v>
      </c>
      <c r="C55">
        <f>(3/(1+('CurrentPor-Rat Factor Movements'!C55+'CurrentPor-Rat Factor Movements'!G55)/100)+103/POWER(1+('CurrentPor-Rat Factor Movements'!D55+'CurrentPor-Rat Factor Movements'!G55)/100,2))*100</f>
        <v>9506.4551324560944</v>
      </c>
      <c r="D55">
        <f>(3/(1+('CurrentPor-Rat Factor Movements'!C55+'CurrentPor-Rat Factor Movements'!H55)/100)+103/POWER(1+('CurrentPor-Rat Factor Movements'!D55+'CurrentPor-Rat Factor Movements'!H55)/100,2))*100</f>
        <v>9492.9619176961642</v>
      </c>
      <c r="E55">
        <f>(3/(1+('CurrentPor-Rat Factor Movements'!C55+'CurrentPor-Rat Factor Movements'!I55)/100)+103/POWER(1+('CurrentPor-Rat Factor Movements'!D55+'CurrentPor-Rat Factor Movements'!I55)/100,2))*100</f>
        <v>9473.514867859747</v>
      </c>
      <c r="F55">
        <f>Portfolio!B$5*'CurrentPor-Rat Factor Movements'!E55</f>
        <v>52143.895533915893</v>
      </c>
      <c r="G55">
        <f>Portfolio!B$6*'CurrentPor-Rat Factor Movements'!F55</f>
        <v>3696.2945087936532</v>
      </c>
      <c r="H55">
        <f>Portfolio!B$7*'CurrentPor-Rat Factor Movements'!J55</f>
        <v>2148.0998964419859</v>
      </c>
      <c r="I55">
        <f t="shared" si="0"/>
        <v>96058.708265151043</v>
      </c>
      <c r="J55">
        <f t="shared" si="1"/>
        <v>-809.20548872339714</v>
      </c>
    </row>
    <row r="56" spans="1:10">
      <c r="A56" s="1">
        <v>45547</v>
      </c>
      <c r="B56">
        <f>(3/(1+('CurrentPor-Rat Factor Movements'!C56)/100)+103/POWER(1+('CurrentPor-Rat Factor Movements'!D56)/100,2))*100</f>
        <v>9684.4123317064659</v>
      </c>
      <c r="C56">
        <f>(3/(1+('CurrentPor-Rat Factor Movements'!C56+'CurrentPor-Rat Factor Movements'!G56)/100)+103/POWER(1+('CurrentPor-Rat Factor Movements'!D56+'CurrentPor-Rat Factor Movements'!G56)/100,2))*100</f>
        <v>9592.1192340712223</v>
      </c>
      <c r="D56">
        <f>(3/(1+('CurrentPor-Rat Factor Movements'!C56+'CurrentPor-Rat Factor Movements'!H56)/100)+103/POWER(1+('CurrentPor-Rat Factor Movements'!D56+'CurrentPor-Rat Factor Movements'!H56)/100,2))*100</f>
        <v>9578.4395224680775</v>
      </c>
      <c r="E56">
        <f>(3/(1+('CurrentPor-Rat Factor Movements'!C56+'CurrentPor-Rat Factor Movements'!I56)/100)+103/POWER(1+('CurrentPor-Rat Factor Movements'!D56+'CurrentPor-Rat Factor Movements'!I56)/100,2))*100</f>
        <v>9558.7239296526532</v>
      </c>
      <c r="F56">
        <f>Portfolio!B$5*'CurrentPor-Rat Factor Movements'!E56</f>
        <v>52143.895533915893</v>
      </c>
      <c r="G56">
        <f>Portfolio!B$6*'CurrentPor-Rat Factor Movements'!F56</f>
        <v>3696.2945087936532</v>
      </c>
      <c r="H56">
        <f>Portfolio!B$7*'CurrentPor-Rat Factor Movements'!J56</f>
        <v>2148.0998964419859</v>
      </c>
      <c r="I56">
        <f t="shared" si="0"/>
        <v>96401.98495704995</v>
      </c>
      <c r="J56">
        <f t="shared" si="1"/>
        <v>-707.6050190487731</v>
      </c>
    </row>
    <row r="57" spans="1:10">
      <c r="A57" s="1">
        <v>45548</v>
      </c>
      <c r="B57">
        <f>(3/(1+('CurrentPor-Rat Factor Movements'!C57)/100)+103/POWER(1+('CurrentPor-Rat Factor Movements'!D57)/100,2))*100</f>
        <v>9788.9799732120828</v>
      </c>
      <c r="C57">
        <f>(3/(1+('CurrentPor-Rat Factor Movements'!C57+'CurrentPor-Rat Factor Movements'!G57)/100)+103/POWER(1+('CurrentPor-Rat Factor Movements'!D57+'CurrentPor-Rat Factor Movements'!G57)/100,2))*100</f>
        <v>9695.1769782654828</v>
      </c>
      <c r="D57">
        <f>(3/(1+('CurrentPor-Rat Factor Movements'!C57+'CurrentPor-Rat Factor Movements'!H57)/100)+103/POWER(1+('CurrentPor-Rat Factor Movements'!D57+'CurrentPor-Rat Factor Movements'!H57)/100,2))*100</f>
        <v>9681.2741040475321</v>
      </c>
      <c r="E57">
        <f>(3/(1+('CurrentPor-Rat Factor Movements'!C57+'CurrentPor-Rat Factor Movements'!I57)/100)+103/POWER(1+('CurrentPor-Rat Factor Movements'!D57+'CurrentPor-Rat Factor Movements'!I57)/100,2))*100</f>
        <v>9661.2371718107079</v>
      </c>
      <c r="F57">
        <f>Portfolio!B$5*'CurrentPor-Rat Factor Movements'!E57</f>
        <v>52143.895533915893</v>
      </c>
      <c r="G57">
        <f>Portfolio!B$6*'CurrentPor-Rat Factor Movements'!F57</f>
        <v>3696.2945087936532</v>
      </c>
      <c r="H57">
        <f>Portfolio!B$7*'CurrentPor-Rat Factor Movements'!J57</f>
        <v>2148.0998964419859</v>
      </c>
      <c r="I57">
        <f t="shared" si="0"/>
        <v>96814.95816648734</v>
      </c>
      <c r="J57">
        <f t="shared" si="1"/>
        <v>-228.63915310071025</v>
      </c>
    </row>
    <row r="58" spans="1:10">
      <c r="A58" s="1">
        <v>45551</v>
      </c>
      <c r="B58">
        <f>(3/(1+('CurrentPor-Rat Factor Movements'!C58)/100)+103/POWER(1+('CurrentPor-Rat Factor Movements'!D58)/100,2))*100</f>
        <v>9875.2916790078889</v>
      </c>
      <c r="C58">
        <f>(3/(1+('CurrentPor-Rat Factor Movements'!C58+'CurrentPor-Rat Factor Movements'!G58)/100)+103/POWER(1+('CurrentPor-Rat Factor Movements'!D58+'CurrentPor-Rat Factor Movements'!G58)/100,2))*100</f>
        <v>9780.2336338447712</v>
      </c>
      <c r="D58">
        <f>(3/(1+('CurrentPor-Rat Factor Movements'!C58+'CurrentPor-Rat Factor Movements'!H58)/100)+103/POWER(1+('CurrentPor-Rat Factor Movements'!D58+'CurrentPor-Rat Factor Movements'!H58)/100,2))*100</f>
        <v>9766.1452758806681</v>
      </c>
      <c r="E58">
        <f>(3/(1+('CurrentPor-Rat Factor Movements'!C58+'CurrentPor-Rat Factor Movements'!I58)/100)+103/POWER(1+('CurrentPor-Rat Factor Movements'!D58+'CurrentPor-Rat Factor Movements'!I58)/100,2))*100</f>
        <v>9745.8412649895236</v>
      </c>
      <c r="F58">
        <f>Portfolio!B$5*'CurrentPor-Rat Factor Movements'!E58</f>
        <v>52143.895533915893</v>
      </c>
      <c r="G58">
        <f>Portfolio!B$6*'CurrentPor-Rat Factor Movements'!F58</f>
        <v>3696.2945087936532</v>
      </c>
      <c r="H58">
        <f>Portfolio!B$7*'CurrentPor-Rat Factor Movements'!J58</f>
        <v>2148.0998964419859</v>
      </c>
      <c r="I58">
        <f t="shared" si="0"/>
        <v>97155.801792874394</v>
      </c>
      <c r="J58">
        <f t="shared" si="1"/>
        <v>239.39233989152126</v>
      </c>
    </row>
    <row r="59" spans="1:10">
      <c r="A59" s="1">
        <v>45552</v>
      </c>
      <c r="B59">
        <f>(3/(1+('CurrentPor-Rat Factor Movements'!C59)/100)+103/POWER(1+('CurrentPor-Rat Factor Movements'!D59)/100,2))*100</f>
        <v>9733.4782274027875</v>
      </c>
      <c r="C59">
        <f>(3/(1+('CurrentPor-Rat Factor Movements'!C59+'CurrentPor-Rat Factor Movements'!G59)/100)+103/POWER(1+('CurrentPor-Rat Factor Movements'!D59+'CurrentPor-Rat Factor Movements'!G59)/100,2))*100</f>
        <v>9640.4945294420759</v>
      </c>
      <c r="D59">
        <f>(3/(1+('CurrentPor-Rat Factor Movements'!C59+'CurrentPor-Rat Factor Movements'!H59)/100)+103/POWER(1+('CurrentPor-Rat Factor Movements'!D59+'CurrentPor-Rat Factor Movements'!H59)/100,2))*100</f>
        <v>9626.7127313499223</v>
      </c>
      <c r="E59">
        <f>(3/(1+('CurrentPor-Rat Factor Movements'!C59+'CurrentPor-Rat Factor Movements'!I59)/100)+103/POWER(1+('CurrentPor-Rat Factor Movements'!D59+'CurrentPor-Rat Factor Movements'!I59)/100,2))*100</f>
        <v>9606.8501335015153</v>
      </c>
      <c r="F59">
        <f>Portfolio!B$5*'CurrentPor-Rat Factor Movements'!E59</f>
        <v>52143.895533915893</v>
      </c>
      <c r="G59">
        <f>Portfolio!B$6*'CurrentPor-Rat Factor Movements'!F59</f>
        <v>3696.2945087936532</v>
      </c>
      <c r="H59">
        <f>Portfolio!B$7*'CurrentPor-Rat Factor Movements'!J59</f>
        <v>2148.0998964419859</v>
      </c>
      <c r="I59">
        <f t="shared" si="0"/>
        <v>96595.825560847836</v>
      </c>
      <c r="J59">
        <f t="shared" si="1"/>
        <v>-627.4290255708911</v>
      </c>
    </row>
    <row r="60" spans="1:10">
      <c r="A60" s="1">
        <v>45553</v>
      </c>
      <c r="B60">
        <f>(3/(1+('CurrentPor-Rat Factor Movements'!C60)/100)+103/POWER(1+('CurrentPor-Rat Factor Movements'!D60)/100,2))*100</f>
        <v>9845.9078177288211</v>
      </c>
      <c r="C60">
        <f>(3/(1+('CurrentPor-Rat Factor Movements'!C60+'CurrentPor-Rat Factor Movements'!G60)/100)+103/POWER(1+('CurrentPor-Rat Factor Movements'!D60+'CurrentPor-Rat Factor Movements'!G60)/100,2))*100</f>
        <v>9751.2754351617823</v>
      </c>
      <c r="D60">
        <f>(3/(1+('CurrentPor-Rat Factor Movements'!C60+'CurrentPor-Rat Factor Movements'!H60)/100)+103/POWER(1+('CurrentPor-Rat Factor Movements'!D60+'CurrentPor-Rat Factor Movements'!H60)/100,2))*100</f>
        <v>9737.2499866669095</v>
      </c>
      <c r="E60">
        <f>(3/(1+('CurrentPor-Rat Factor Movements'!C60+'CurrentPor-Rat Factor Movements'!I60)/100)+103/POWER(1+('CurrentPor-Rat Factor Movements'!D60+'CurrentPor-Rat Factor Movements'!I60)/100,2))*100</f>
        <v>9717.0365597107648</v>
      </c>
      <c r="F60">
        <f>Portfolio!B$5*'CurrentPor-Rat Factor Movements'!E60</f>
        <v>52143.895533915893</v>
      </c>
      <c r="G60">
        <f>Portfolio!B$6*'CurrentPor-Rat Factor Movements'!F60</f>
        <v>3696.2945087936532</v>
      </c>
      <c r="H60">
        <f>Portfolio!B$7*'CurrentPor-Rat Factor Movements'!J60</f>
        <v>2148.0998964419859</v>
      </c>
      <c r="I60">
        <f t="shared" si="0"/>
        <v>97039.759738419802</v>
      </c>
      <c r="J60">
        <f t="shared" si="1"/>
        <v>743.75114427899825</v>
      </c>
    </row>
    <row r="61" spans="1:10">
      <c r="A61" s="1">
        <v>45554</v>
      </c>
      <c r="B61">
        <f>(3/(1+('CurrentPor-Rat Factor Movements'!C61)/100)+103/POWER(1+('CurrentPor-Rat Factor Movements'!D61)/100,2))*100</f>
        <v>9740.5426299058909</v>
      </c>
      <c r="C61">
        <f>(3/(1+('CurrentPor-Rat Factor Movements'!C61+'CurrentPor-Rat Factor Movements'!G61)/100)+103/POWER(1+('CurrentPor-Rat Factor Movements'!D61+'CurrentPor-Rat Factor Movements'!G61)/100,2))*100</f>
        <v>9647.4414217169251</v>
      </c>
      <c r="D61">
        <f>(3/(1+('CurrentPor-Rat Factor Movements'!C61+'CurrentPor-Rat Factor Movements'!H61)/100)+103/POWER(1+('CurrentPor-Rat Factor Movements'!D61+'CurrentPor-Rat Factor Movements'!H61)/100,2))*100</f>
        <v>9633.6422686499554</v>
      </c>
      <c r="E61">
        <f>(3/(1+('CurrentPor-Rat Factor Movements'!C61+'CurrentPor-Rat Factor Movements'!I61)/100)+103/POWER(1+('CurrentPor-Rat Factor Movements'!D61+'CurrentPor-Rat Factor Movements'!I61)/100,2))*100</f>
        <v>9613.754686727254</v>
      </c>
      <c r="F61">
        <f>Portfolio!B$5*'CurrentPor-Rat Factor Movements'!E61</f>
        <v>52143.895533915893</v>
      </c>
      <c r="G61">
        <f>Portfolio!B$6*'CurrentPor-Rat Factor Movements'!F61</f>
        <v>3696.2945087936532</v>
      </c>
      <c r="H61">
        <f>Portfolio!B$7*'CurrentPor-Rat Factor Movements'!J61</f>
        <v>2148.0998964419859</v>
      </c>
      <c r="I61">
        <f t="shared" si="0"/>
        <v>96623.670946151557</v>
      </c>
      <c r="J61">
        <f t="shared" si="1"/>
        <v>-142.25111735411338</v>
      </c>
    </row>
    <row r="62" spans="1:10">
      <c r="A62" s="1">
        <v>45555</v>
      </c>
      <c r="B62">
        <f>(3/(1+('CurrentPor-Rat Factor Movements'!C62)/100)+103/POWER(1+('CurrentPor-Rat Factor Movements'!D62)/100,2))*100</f>
        <v>9778.9989068509803</v>
      </c>
      <c r="C62">
        <f>(3/(1+('CurrentPor-Rat Factor Movements'!C62+'CurrentPor-Rat Factor Movements'!G62)/100)+103/POWER(1+('CurrentPor-Rat Factor Movements'!D62+'CurrentPor-Rat Factor Movements'!G62)/100,2))*100</f>
        <v>9685.3399371746564</v>
      </c>
      <c r="D62">
        <f>(3/(1+('CurrentPor-Rat Factor Movements'!C62+'CurrentPor-Rat Factor Movements'!H62)/100)+103/POWER(1+('CurrentPor-Rat Factor Movements'!D62+'CurrentPor-Rat Factor Movements'!H62)/100,2))*100</f>
        <v>9671.4583496641862</v>
      </c>
      <c r="E62">
        <f>(3/(1+('CurrentPor-Rat Factor Movements'!C62+'CurrentPor-Rat Factor Movements'!I62)/100)+103/POWER(1+('CurrentPor-Rat Factor Movements'!D62+'CurrentPor-Rat Factor Movements'!I62)/100,2))*100</f>
        <v>9651.4520687861695</v>
      </c>
      <c r="F62">
        <f>Portfolio!B$5*'CurrentPor-Rat Factor Movements'!E62</f>
        <v>52143.895533915893</v>
      </c>
      <c r="G62">
        <f>Portfolio!B$6*'CurrentPor-Rat Factor Movements'!F62</f>
        <v>3696.2945087936532</v>
      </c>
      <c r="H62">
        <f>Portfolio!B$7*'CurrentPor-Rat Factor Movements'!J62</f>
        <v>2148.0998964419859</v>
      </c>
      <c r="I62">
        <f t="shared" si="0"/>
        <v>96775.539201627529</v>
      </c>
      <c r="J62">
        <f t="shared" si="1"/>
        <v>592.51855714339763</v>
      </c>
    </row>
    <row r="63" spans="1:10">
      <c r="A63" s="1">
        <v>45558</v>
      </c>
      <c r="B63">
        <f>(3/(1+('CurrentPor-Rat Factor Movements'!C63)/100)+103/POWER(1+('CurrentPor-Rat Factor Movements'!D63)/100,2))*100</f>
        <v>9606.5861677854518</v>
      </c>
      <c r="C63">
        <f>(3/(1+('CurrentPor-Rat Factor Movements'!C63+'CurrentPor-Rat Factor Movements'!G63)/100)+103/POWER(1+('CurrentPor-Rat Factor Movements'!D63+'CurrentPor-Rat Factor Movements'!G63)/100,2))*100</f>
        <v>9515.429220454369</v>
      </c>
      <c r="D63">
        <f>(3/(1+('CurrentPor-Rat Factor Movements'!C63+'CurrentPor-Rat Factor Movements'!H63)/100)+103/POWER(1+('CurrentPor-Rat Factor Movements'!D63+'CurrentPor-Rat Factor Movements'!H63)/100,2))*100</f>
        <v>9501.9174259327629</v>
      </c>
      <c r="E63">
        <f>(3/(1+('CurrentPor-Rat Factor Movements'!C63+'CurrentPor-Rat Factor Movements'!I63)/100)+103/POWER(1+('CurrentPor-Rat Factor Movements'!D63+'CurrentPor-Rat Factor Movements'!I63)/100,2))*100</f>
        <v>9482.4436199654665</v>
      </c>
      <c r="F63">
        <f>Portfolio!B$5*'CurrentPor-Rat Factor Movements'!E63</f>
        <v>52143.895533915893</v>
      </c>
      <c r="G63">
        <f>Portfolio!B$6*'CurrentPor-Rat Factor Movements'!F63</f>
        <v>3696.2945087936532</v>
      </c>
      <c r="H63">
        <f>Portfolio!B$7*'CurrentPor-Rat Factor Movements'!J63</f>
        <v>2148.0998964419859</v>
      </c>
      <c r="I63">
        <f t="shared" si="0"/>
        <v>96094.666373289583</v>
      </c>
      <c r="J63">
        <f t="shared" si="1"/>
        <v>-163.6592989055207</v>
      </c>
    </row>
    <row r="64" spans="1:10">
      <c r="A64" s="1">
        <v>45559</v>
      </c>
      <c r="B64">
        <f>(3/(1+('CurrentPor-Rat Factor Movements'!C64)/100)+103/POWER(1+('CurrentPor-Rat Factor Movements'!D64)/100,2))*100</f>
        <v>9651.6680739872027</v>
      </c>
      <c r="C64">
        <f>(3/(1+('CurrentPor-Rat Factor Movements'!C64+'CurrentPor-Rat Factor Movements'!G64)/100)+103/POWER(1+('CurrentPor-Rat Factor Movements'!D64+'CurrentPor-Rat Factor Movements'!G64)/100,2))*100</f>
        <v>9559.861447912308</v>
      </c>
      <c r="D64">
        <f>(3/(1+('CurrentPor-Rat Factor Movements'!C64+'CurrentPor-Rat Factor Movements'!H64)/100)+103/POWER(1+('CurrentPor-Rat Factor Movements'!D64+'CurrentPor-Rat Factor Movements'!H64)/100,2))*100</f>
        <v>9546.2536268017757</v>
      </c>
      <c r="E64">
        <f>(3/(1+('CurrentPor-Rat Factor Movements'!C64+'CurrentPor-Rat Factor Movements'!I64)/100)+103/POWER(1+('CurrentPor-Rat Factor Movements'!D64+'CurrentPor-Rat Factor Movements'!I64)/100,2))*100</f>
        <v>9526.6415470044358</v>
      </c>
      <c r="F64">
        <f>Portfolio!B$5*'CurrentPor-Rat Factor Movements'!E64</f>
        <v>52143.895533915893</v>
      </c>
      <c r="G64">
        <f>Portfolio!B$6*'CurrentPor-Rat Factor Movements'!F64</f>
        <v>3696.2945087936532</v>
      </c>
      <c r="H64">
        <f>Portfolio!B$7*'CurrentPor-Rat Factor Movements'!J64</f>
        <v>2148.0998964419859</v>
      </c>
      <c r="I64">
        <f t="shared" si="0"/>
        <v>96272.714634857242</v>
      </c>
      <c r="J64">
        <f t="shared" si="1"/>
        <v>-394.49585250887321</v>
      </c>
    </row>
    <row r="65" spans="1:10">
      <c r="A65" s="1">
        <v>45560</v>
      </c>
      <c r="B65">
        <f>(3/(1+('CurrentPor-Rat Factor Movements'!C65)/100)+103/POWER(1+('CurrentPor-Rat Factor Movements'!D65)/100,2))*100</f>
        <v>9731.1373935191041</v>
      </c>
      <c r="C65">
        <f>(3/(1+('CurrentPor-Rat Factor Movements'!C65+'CurrentPor-Rat Factor Movements'!G65)/100)+103/POWER(1+('CurrentPor-Rat Factor Movements'!D65+'CurrentPor-Rat Factor Movements'!G65)/100,2))*100</f>
        <v>9638.1966566148185</v>
      </c>
      <c r="D65">
        <f>(3/(1+('CurrentPor-Rat Factor Movements'!C65+'CurrentPor-Rat Factor Movements'!H65)/100)+103/POWER(1+('CurrentPor-Rat Factor Movements'!D65+'CurrentPor-Rat Factor Movements'!H65)/100,2))*100</f>
        <v>9624.4212004881192</v>
      </c>
      <c r="E65">
        <f>(3/(1+('CurrentPor-Rat Factor Movements'!C65+'CurrentPor-Rat Factor Movements'!I65)/100)+103/POWER(1+('CurrentPor-Rat Factor Movements'!D65+'CurrentPor-Rat Factor Movements'!I65)/100,2))*100</f>
        <v>9604.5677311489308</v>
      </c>
      <c r="F65">
        <f>Portfolio!B$5*'CurrentPor-Rat Factor Movements'!E65</f>
        <v>52143.895533915893</v>
      </c>
      <c r="G65">
        <f>Portfolio!B$6*'CurrentPor-Rat Factor Movements'!F65</f>
        <v>3696.2945087936532</v>
      </c>
      <c r="H65">
        <f>Portfolio!B$7*'CurrentPor-Rat Factor Movements'!J65</f>
        <v>2148.0998964419859</v>
      </c>
      <c r="I65">
        <f t="shared" si="0"/>
        <v>96586.612920922504</v>
      </c>
      <c r="J65">
        <f t="shared" si="1"/>
        <v>527.90465577146097</v>
      </c>
    </row>
    <row r="66" spans="1:10">
      <c r="A66" s="1">
        <v>45561</v>
      </c>
      <c r="B66">
        <f>(3/(1+('CurrentPor-Rat Factor Movements'!C66)/100)+103/POWER(1+('CurrentPor-Rat Factor Movements'!D66)/100,2))*100</f>
        <v>9807.802171831785</v>
      </c>
      <c r="C66">
        <f>(3/(1+('CurrentPor-Rat Factor Movements'!C66+'CurrentPor-Rat Factor Movements'!G66)/100)+103/POWER(1+('CurrentPor-Rat Factor Movements'!D66+'CurrentPor-Rat Factor Movements'!G66)/100,2))*100</f>
        <v>9713.728447732401</v>
      </c>
      <c r="D66">
        <f>(3/(1+('CurrentPor-Rat Factor Movements'!C66+'CurrentPor-Rat Factor Movements'!H66)/100)+103/POWER(1+('CurrentPor-Rat Factor Movements'!D66+'CurrentPor-Rat Factor Movements'!H66)/100,2))*100</f>
        <v>9699.7855595961919</v>
      </c>
      <c r="E66">
        <f>(3/(1+('CurrentPor-Rat Factor Movements'!C66+'CurrentPor-Rat Factor Movements'!I66)/100)+103/POWER(1+('CurrentPor-Rat Factor Movements'!D66+'CurrentPor-Rat Factor Movements'!I66)/100,2))*100</f>
        <v>9679.6910098726657</v>
      </c>
      <c r="F66">
        <f>Portfolio!B$5*'CurrentPor-Rat Factor Movements'!E66</f>
        <v>52143.895533915893</v>
      </c>
      <c r="G66">
        <f>Portfolio!B$6*'CurrentPor-Rat Factor Movements'!F66</f>
        <v>3696.2945087936532</v>
      </c>
      <c r="H66">
        <f>Portfolio!B$7*'CurrentPor-Rat Factor Movements'!J66</f>
        <v>2148.0998964419859</v>
      </c>
      <c r="I66">
        <f t="shared" si="0"/>
        <v>96889.297128184568</v>
      </c>
      <c r="J66">
        <f t="shared" si="1"/>
        <v>487.31217113461753</v>
      </c>
    </row>
    <row r="67" spans="1:10">
      <c r="A67" s="1">
        <v>45562</v>
      </c>
      <c r="B67">
        <f>(3/(1+('CurrentPor-Rat Factor Movements'!C67)/100)+103/POWER(1+('CurrentPor-Rat Factor Movements'!D67)/100,2))*100</f>
        <v>9770.370094009073</v>
      </c>
      <c r="C67">
        <f>(3/(1+('CurrentPor-Rat Factor Movements'!C67+'CurrentPor-Rat Factor Movements'!G67)/100)+103/POWER(1+('CurrentPor-Rat Factor Movements'!D67+'CurrentPor-Rat Factor Movements'!G67)/100,2))*100</f>
        <v>9676.8482739607898</v>
      </c>
      <c r="D67">
        <f>(3/(1+('CurrentPor-Rat Factor Movements'!C67+'CurrentPor-Rat Factor Movements'!H67)/100)+103/POWER(1+('CurrentPor-Rat Factor Movements'!D67+'CurrentPor-Rat Factor Movements'!H67)/100,2))*100</f>
        <v>9662.9869463402956</v>
      </c>
      <c r="E67">
        <f>(3/(1+('CurrentPor-Rat Factor Movements'!C67+'CurrentPor-Rat Factor Movements'!I67)/100)+103/POWER(1+('CurrentPor-Rat Factor Movements'!D67+'CurrentPor-Rat Factor Movements'!I67)/100,2))*100</f>
        <v>9643.0098334343074</v>
      </c>
      <c r="F67">
        <f>Portfolio!B$5*'CurrentPor-Rat Factor Movements'!E67</f>
        <v>52143.895533915893</v>
      </c>
      <c r="G67">
        <f>Portfolio!B$6*'CurrentPor-Rat Factor Movements'!F67</f>
        <v>3696.2945087936532</v>
      </c>
      <c r="H67">
        <f>Portfolio!B$7*'CurrentPor-Rat Factor Movements'!J67</f>
        <v>2148.0998964419859</v>
      </c>
      <c r="I67">
        <f t="shared" si="0"/>
        <v>96741.505086895995</v>
      </c>
      <c r="J67">
        <f t="shared" si="1"/>
        <v>-73.453079591345158</v>
      </c>
    </row>
    <row r="68" spans="1:10">
      <c r="A68" s="1">
        <v>45565</v>
      </c>
      <c r="B68">
        <f>(3/(1+('CurrentPor-Rat Factor Movements'!C68)/100)+103/POWER(1+('CurrentPor-Rat Factor Movements'!D68)/100,2))*100</f>
        <v>9794.6883757805535</v>
      </c>
      <c r="C68">
        <f>(3/(1+('CurrentPor-Rat Factor Movements'!C68+'CurrentPor-Rat Factor Movements'!G68)/100)+103/POWER(1+('CurrentPor-Rat Factor Movements'!D68+'CurrentPor-Rat Factor Movements'!G68)/100,2))*100</f>
        <v>9700.8034203715688</v>
      </c>
      <c r="D68">
        <f>(3/(1+('CurrentPor-Rat Factor Movements'!C68+'CurrentPor-Rat Factor Movements'!H68)/100)+103/POWER(1+('CurrentPor-Rat Factor Movements'!D68+'CurrentPor-Rat Factor Movements'!H68)/100,2))*100</f>
        <v>9686.8884322057929</v>
      </c>
      <c r="E68">
        <f>(3/(1+('CurrentPor-Rat Factor Movements'!C68+'CurrentPor-Rat Factor Movements'!I68)/100)+103/POWER(1+('CurrentPor-Rat Factor Movements'!D68+'CurrentPor-Rat Factor Movements'!I68)/100,2))*100</f>
        <v>9666.8340565911403</v>
      </c>
      <c r="F68">
        <f>Portfolio!B$5*'CurrentPor-Rat Factor Movements'!E68</f>
        <v>52143.895533915893</v>
      </c>
      <c r="G68">
        <f>Portfolio!B$6*'CurrentPor-Rat Factor Movements'!F68</f>
        <v>3696.2945087936532</v>
      </c>
      <c r="H68">
        <f>Portfolio!B$7*'CurrentPor-Rat Factor Movements'!J68</f>
        <v>2148.0998964419859</v>
      </c>
      <c r="I68">
        <f t="shared" ref="I68:I131" si="2">SUM(B68:H68)</f>
        <v>96837.504224100587</v>
      </c>
      <c r="J68">
        <f t="shared" si="1"/>
        <v>-318.29756877380714</v>
      </c>
    </row>
    <row r="69" spans="1:10">
      <c r="A69" s="1">
        <v>45566</v>
      </c>
      <c r="B69">
        <f>(3/(1+('CurrentPor-Rat Factor Movements'!C69)/100)+103/POWER(1+('CurrentPor-Rat Factor Movements'!D69)/100,2))*100</f>
        <v>9728.7061965681442</v>
      </c>
      <c r="C69">
        <f>(3/(1+('CurrentPor-Rat Factor Movements'!C69+'CurrentPor-Rat Factor Movements'!G69)/100)+103/POWER(1+('CurrentPor-Rat Factor Movements'!D69+'CurrentPor-Rat Factor Movements'!G69)/100,2))*100</f>
        <v>9635.7956602353006</v>
      </c>
      <c r="D69">
        <f>(3/(1+('CurrentPor-Rat Factor Movements'!C69+'CurrentPor-Rat Factor Movements'!H69)/100)+103/POWER(1+('CurrentPor-Rat Factor Movements'!D69+'CurrentPor-Rat Factor Movements'!H69)/100,2))*100</f>
        <v>9622.0246718790677</v>
      </c>
      <c r="E69">
        <f>(3/(1+('CurrentPor-Rat Factor Movements'!C69+'CurrentPor-Rat Factor Movements'!I69)/100)+103/POWER(1+('CurrentPor-Rat Factor Movements'!D69+'CurrentPor-Rat Factor Movements'!I69)/100,2))*100</f>
        <v>9602.1776377191891</v>
      </c>
      <c r="F69">
        <f>Portfolio!B$5*'CurrentPor-Rat Factor Movements'!E69</f>
        <v>52143.895533915893</v>
      </c>
      <c r="G69">
        <f>Portfolio!B$6*'CurrentPor-Rat Factor Movements'!F69</f>
        <v>3696.2945087936532</v>
      </c>
      <c r="H69">
        <f>Portfolio!B$7*'CurrentPor-Rat Factor Movements'!J69</f>
        <v>2148.0998964419859</v>
      </c>
      <c r="I69">
        <f t="shared" si="2"/>
        <v>96576.99410555324</v>
      </c>
      <c r="J69">
        <f t="shared" si="1"/>
        <v>-18.831455294595798</v>
      </c>
    </row>
    <row r="70" spans="1:10">
      <c r="A70" s="1">
        <v>45567</v>
      </c>
      <c r="B70">
        <f>(3/(1+('CurrentPor-Rat Factor Movements'!C70)/100)+103/POWER(1+('CurrentPor-Rat Factor Movements'!D70)/100,2))*100</f>
        <v>9749.0797757280852</v>
      </c>
      <c r="C70">
        <f>(3/(1+('CurrentPor-Rat Factor Movements'!C70+'CurrentPor-Rat Factor Movements'!G70)/100)+103/POWER(1+('CurrentPor-Rat Factor Movements'!D70+'CurrentPor-Rat Factor Movements'!G70)/100,2))*100</f>
        <v>9655.8576756561706</v>
      </c>
      <c r="D70">
        <f>(3/(1+('CurrentPor-Rat Factor Movements'!C70+'CurrentPor-Rat Factor Movements'!H70)/100)+103/POWER(1+('CurrentPor-Rat Factor Movements'!D70+'CurrentPor-Rat Factor Movements'!H70)/100,2))*100</f>
        <v>9642.040652822292</v>
      </c>
      <c r="E70">
        <f>(3/(1+('CurrentPor-Rat Factor Movements'!C70+'CurrentPor-Rat Factor Movements'!I70)/100)+103/POWER(1+('CurrentPor-Rat Factor Movements'!D70+'CurrentPor-Rat Factor Movements'!I70)/100,2))*100</f>
        <v>9622.1273387196779</v>
      </c>
      <c r="F70">
        <f>Portfolio!B$5*'CurrentPor-Rat Factor Movements'!E70</f>
        <v>52143.895533915893</v>
      </c>
      <c r="G70">
        <f>Portfolio!B$6*'CurrentPor-Rat Factor Movements'!F70</f>
        <v>3696.2945087936532</v>
      </c>
      <c r="H70">
        <f>Portfolio!B$7*'CurrentPor-Rat Factor Movements'!J70</f>
        <v>2148.0998964419859</v>
      </c>
      <c r="I70">
        <f t="shared" si="2"/>
        <v>96657.395382077768</v>
      </c>
      <c r="J70">
        <f t="shared" si="1"/>
        <v>-382.36435634203372</v>
      </c>
    </row>
    <row r="71" spans="1:10">
      <c r="A71" s="1">
        <v>45568</v>
      </c>
      <c r="B71">
        <f>(3/(1+('CurrentPor-Rat Factor Movements'!C71)/100)+103/POWER(1+('CurrentPor-Rat Factor Movements'!D71)/100,2))*100</f>
        <v>9769.6942291587184</v>
      </c>
      <c r="C71">
        <f>(3/(1+('CurrentPor-Rat Factor Movements'!C71+'CurrentPor-Rat Factor Movements'!G71)/100)+103/POWER(1+('CurrentPor-Rat Factor Movements'!D71+'CurrentPor-Rat Factor Movements'!G71)/100,2))*100</f>
        <v>9676.1719910286847</v>
      </c>
      <c r="D71">
        <f>(3/(1+('CurrentPor-Rat Factor Movements'!C71+'CurrentPor-Rat Factor Movements'!H71)/100)+103/POWER(1+('CurrentPor-Rat Factor Movements'!D71+'CurrentPor-Rat Factor Movements'!H71)/100,2))*100</f>
        <v>9662.3106101988724</v>
      </c>
      <c r="E71">
        <f>(3/(1+('CurrentPor-Rat Factor Movements'!C71+'CurrentPor-Rat Factor Movements'!I71)/100)+103/POWER(1+('CurrentPor-Rat Factor Movements'!D71+'CurrentPor-Rat Factor Movements'!I71)/100,2))*100</f>
        <v>9642.3334245922779</v>
      </c>
      <c r="F71">
        <f>Portfolio!B$5*'CurrentPor-Rat Factor Movements'!E71</f>
        <v>52143.895533915893</v>
      </c>
      <c r="G71">
        <f>Portfolio!B$6*'CurrentPor-Rat Factor Movements'!F71</f>
        <v>3696.2945087936532</v>
      </c>
      <c r="H71">
        <f>Portfolio!B$7*'CurrentPor-Rat Factor Movements'!J71</f>
        <v>2148.0998964419859</v>
      </c>
      <c r="I71">
        <f t="shared" si="2"/>
        <v>96738.80019413009</v>
      </c>
      <c r="J71">
        <f t="shared" si="1"/>
        <v>115.12924797853339</v>
      </c>
    </row>
    <row r="72" spans="1:10">
      <c r="A72" s="1">
        <v>45569</v>
      </c>
      <c r="B72">
        <f>(3/(1+('CurrentPor-Rat Factor Movements'!C72)/100)+103/POWER(1+('CurrentPor-Rat Factor Movements'!D72)/100,2))*100</f>
        <v>9798.6280219382825</v>
      </c>
      <c r="C72">
        <f>(3/(1+('CurrentPor-Rat Factor Movements'!C72+'CurrentPor-Rat Factor Movements'!G72)/100)+103/POWER(1+('CurrentPor-Rat Factor Movements'!D72+'CurrentPor-Rat Factor Movements'!G72)/100,2))*100</f>
        <v>9704.682477229695</v>
      </c>
      <c r="D72">
        <f>(3/(1+('CurrentPor-Rat Factor Movements'!C72+'CurrentPor-Rat Factor Movements'!H72)/100)+103/POWER(1+('CurrentPor-Rat Factor Movements'!D72+'CurrentPor-Rat Factor Movements'!H72)/100,2))*100</f>
        <v>9690.7585372597696</v>
      </c>
      <c r="E72">
        <f>(3/(1+('CurrentPor-Rat Factor Movements'!C72+'CurrentPor-Rat Factor Movements'!I72)/100)+103/POWER(1+('CurrentPor-Rat Factor Movements'!D72+'CurrentPor-Rat Factor Movements'!I72)/100,2))*100</f>
        <v>9670.6912731376287</v>
      </c>
      <c r="F72">
        <f>Portfolio!B$5*'CurrentPor-Rat Factor Movements'!E72</f>
        <v>52143.895533915893</v>
      </c>
      <c r="G72">
        <f>Portfolio!B$6*'CurrentPor-Rat Factor Movements'!F72</f>
        <v>3696.2945087936532</v>
      </c>
      <c r="H72">
        <f>Portfolio!B$7*'CurrentPor-Rat Factor Movements'!J72</f>
        <v>2148.0998964419859</v>
      </c>
      <c r="I72">
        <f t="shared" si="2"/>
        <v>96853.050248716914</v>
      </c>
      <c r="J72">
        <f t="shared" si="1"/>
        <v>77.511047089385102</v>
      </c>
    </row>
    <row r="73" spans="1:10">
      <c r="A73" s="1">
        <v>45572</v>
      </c>
      <c r="B73">
        <f>(3/(1+('CurrentPor-Rat Factor Movements'!C73)/100)+103/POWER(1+('CurrentPor-Rat Factor Movements'!D73)/100,2))*100</f>
        <v>9893.3271178072482</v>
      </c>
      <c r="C73">
        <f>(3/(1+('CurrentPor-Rat Factor Movements'!C73+'CurrentPor-Rat Factor Movements'!G73)/100)+103/POWER(1+('CurrentPor-Rat Factor Movements'!D73+'CurrentPor-Rat Factor Movements'!G73)/100,2))*100</f>
        <v>9798.0084635098228</v>
      </c>
      <c r="D73">
        <f>(3/(1+('CurrentPor-Rat Factor Movements'!C73+'CurrentPor-Rat Factor Movements'!H73)/100)+103/POWER(1+('CurrentPor-Rat Factor Movements'!D73+'CurrentPor-Rat Factor Movements'!H73)/100,2))*100</f>
        <v>9783.8815893318279</v>
      </c>
      <c r="E73">
        <f>(3/(1+('CurrentPor-Rat Factor Movements'!C73+'CurrentPor-Rat Factor Movements'!I73)/100)+103/POWER(1+('CurrentPor-Rat Factor Movements'!D73+'CurrentPor-Rat Factor Movements'!I73)/100,2))*100</f>
        <v>9763.5221184432776</v>
      </c>
      <c r="F73">
        <f>Portfolio!B$5*'CurrentPor-Rat Factor Movements'!E73</f>
        <v>52143.895533915893</v>
      </c>
      <c r="G73">
        <f>Portfolio!B$6*'CurrentPor-Rat Factor Movements'!F73</f>
        <v>3696.2945087936532</v>
      </c>
      <c r="H73">
        <f>Portfolio!B$7*'CurrentPor-Rat Factor Movements'!J73</f>
        <v>2148.0998964419859</v>
      </c>
      <c r="I73">
        <f t="shared" si="2"/>
        <v>97227.0292282437</v>
      </c>
      <c r="J73">
        <f t="shared" si="1"/>
        <v>1132.3628549541172</v>
      </c>
    </row>
    <row r="74" spans="1:10">
      <c r="A74" s="1">
        <v>45573</v>
      </c>
      <c r="B74">
        <f>(3/(1+('CurrentPor-Rat Factor Movements'!C74)/100)+103/POWER(1+('CurrentPor-Rat Factor Movements'!D74)/100,2))*100</f>
        <v>9687.0375487597939</v>
      </c>
      <c r="C74">
        <f>(3/(1+('CurrentPor-Rat Factor Movements'!C74+'CurrentPor-Rat Factor Movements'!G74)/100)+103/POWER(1+('CurrentPor-Rat Factor Movements'!D74+'CurrentPor-Rat Factor Movements'!G74)/100,2))*100</f>
        <v>9594.7152513817946</v>
      </c>
      <c r="D74">
        <f>(3/(1+('CurrentPor-Rat Factor Movements'!C74+'CurrentPor-Rat Factor Movements'!H74)/100)+103/POWER(1+('CurrentPor-Rat Factor Movements'!D74+'CurrentPor-Rat Factor Movements'!H74)/100,2))*100</f>
        <v>9581.0312167166794</v>
      </c>
      <c r="E74">
        <f>(3/(1+('CurrentPor-Rat Factor Movements'!C74+'CurrentPor-Rat Factor Movements'!I74)/100)+103/POWER(1+('CurrentPor-Rat Factor Movements'!D74+'CurrentPor-Rat Factor Movements'!I74)/100,2))*100</f>
        <v>9561.3093956258581</v>
      </c>
      <c r="F74">
        <f>Portfolio!B$5*'CurrentPor-Rat Factor Movements'!E74</f>
        <v>52143.895533915893</v>
      </c>
      <c r="G74">
        <f>Portfolio!B$6*'CurrentPor-Rat Factor Movements'!F74</f>
        <v>3696.2945087936532</v>
      </c>
      <c r="H74">
        <f>Portfolio!B$7*'CurrentPor-Rat Factor Movements'!J74</f>
        <v>2148.0998964419859</v>
      </c>
      <c r="I74">
        <f t="shared" si="2"/>
        <v>96412.383351635668</v>
      </c>
      <c r="J74">
        <f t="shared" si="1"/>
        <v>139.66871677842573</v>
      </c>
    </row>
    <row r="75" spans="1:10">
      <c r="A75" s="1">
        <v>45574</v>
      </c>
      <c r="B75">
        <f>(3/(1+('CurrentPor-Rat Factor Movements'!C75)/100)+103/POWER(1+('CurrentPor-Rat Factor Movements'!D75)/100,2))*100</f>
        <v>9601.3427031633873</v>
      </c>
      <c r="C75">
        <f>(3/(1+('CurrentPor-Rat Factor Movements'!C75+'CurrentPor-Rat Factor Movements'!G75)/100)+103/POWER(1+('CurrentPor-Rat Factor Movements'!D75+'CurrentPor-Rat Factor Movements'!G75)/100,2))*100</f>
        <v>9510.258365066371</v>
      </c>
      <c r="D75">
        <f>(3/(1+('CurrentPor-Rat Factor Movements'!C75+'CurrentPor-Rat Factor Movements'!H75)/100)+103/POWER(1+('CurrentPor-Rat Factor Movements'!D75+'CurrentPor-Rat Factor Movements'!H75)/100,2))*100</f>
        <v>9496.7573051762392</v>
      </c>
      <c r="E75">
        <f>(3/(1+('CurrentPor-Rat Factor Movements'!C75+'CurrentPor-Rat Factor Movements'!I75)/100)+103/POWER(1+('CurrentPor-Rat Factor Movements'!D75+'CurrentPor-Rat Factor Movements'!I75)/100,2))*100</f>
        <v>9477.2989577352055</v>
      </c>
      <c r="F75">
        <f>Portfolio!B$5*'CurrentPor-Rat Factor Movements'!E75</f>
        <v>52143.895533915893</v>
      </c>
      <c r="G75">
        <f>Portfolio!B$6*'CurrentPor-Rat Factor Movements'!F75</f>
        <v>3696.2945087936532</v>
      </c>
      <c r="H75">
        <f>Portfolio!B$7*'CurrentPor-Rat Factor Movements'!J75</f>
        <v>2148.0998964419859</v>
      </c>
      <c r="I75">
        <f t="shared" si="2"/>
        <v>96073.947270292731</v>
      </c>
      <c r="J75">
        <f t="shared" si="1"/>
        <v>-512.66565062977315</v>
      </c>
    </row>
    <row r="76" spans="1:10">
      <c r="A76" s="1">
        <v>45575</v>
      </c>
      <c r="B76">
        <f>(3/(1+('CurrentPor-Rat Factor Movements'!C76)/100)+103/POWER(1+('CurrentPor-Rat Factor Movements'!D76)/100,2))*100</f>
        <v>9670.9889539186406</v>
      </c>
      <c r="C76">
        <f>(3/(1+('CurrentPor-Rat Factor Movements'!C76+'CurrentPor-Rat Factor Movements'!G76)/100)+103/POWER(1+('CurrentPor-Rat Factor Movements'!D76+'CurrentPor-Rat Factor Movements'!G76)/100,2))*100</f>
        <v>9578.9123163793483</v>
      </c>
      <c r="D76">
        <f>(3/(1+('CurrentPor-Rat Factor Movements'!C76+'CurrentPor-Rat Factor Movements'!H76)/100)+103/POWER(1+('CurrentPor-Rat Factor Movements'!D76+'CurrentPor-Rat Factor Movements'!H76)/100,2))*100</f>
        <v>9565.2645792165458</v>
      </c>
      <c r="E76">
        <f>(3/(1+('CurrentPor-Rat Factor Movements'!C76+'CurrentPor-Rat Factor Movements'!I76)/100)+103/POWER(1+('CurrentPor-Rat Factor Movements'!D76+'CurrentPor-Rat Factor Movements'!I76)/100,2))*100</f>
        <v>9545.5950191130087</v>
      </c>
      <c r="F76">
        <f>Portfolio!B$5*'CurrentPor-Rat Factor Movements'!E76</f>
        <v>52143.895533915893</v>
      </c>
      <c r="G76">
        <f>Portfolio!B$6*'CurrentPor-Rat Factor Movements'!F76</f>
        <v>3696.2945087936532</v>
      </c>
      <c r="H76">
        <f>Portfolio!B$7*'CurrentPor-Rat Factor Movements'!J76</f>
        <v>2148.0998964419859</v>
      </c>
      <c r="I76">
        <f t="shared" si="2"/>
        <v>96349.050807779073</v>
      </c>
      <c r="J76">
        <f t="shared" si="1"/>
        <v>-540.24632040549477</v>
      </c>
    </row>
    <row r="77" spans="1:10">
      <c r="A77" s="1">
        <v>45576</v>
      </c>
      <c r="B77">
        <f>(3/(1+('CurrentPor-Rat Factor Movements'!C77)/100)+103/POWER(1+('CurrentPor-Rat Factor Movements'!D77)/100,2))*100</f>
        <v>9781.4675659034601</v>
      </c>
      <c r="C77">
        <f>(3/(1+('CurrentPor-Rat Factor Movements'!C77+'CurrentPor-Rat Factor Movements'!G77)/100)+103/POWER(1+('CurrentPor-Rat Factor Movements'!D77+'CurrentPor-Rat Factor Movements'!G77)/100,2))*100</f>
        <v>9687.7748096173782</v>
      </c>
      <c r="D77">
        <f>(3/(1+('CurrentPor-Rat Factor Movements'!C77+'CurrentPor-Rat Factor Movements'!H77)/100)+103/POWER(1+('CurrentPor-Rat Factor Movements'!D77+'CurrentPor-Rat Factor Movements'!H77)/100,2))*100</f>
        <v>9673.888226942785</v>
      </c>
      <c r="E77">
        <f>(3/(1+('CurrentPor-Rat Factor Movements'!C77+'CurrentPor-Rat Factor Movements'!I77)/100)+103/POWER(1+('CurrentPor-Rat Factor Movements'!D77+'CurrentPor-Rat Factor Movements'!I77)/100,2))*100</f>
        <v>9653.8747526700354</v>
      </c>
      <c r="F77">
        <f>Portfolio!B$5*'CurrentPor-Rat Factor Movements'!E77</f>
        <v>52143.895533915893</v>
      </c>
      <c r="G77">
        <f>Portfolio!B$6*'CurrentPor-Rat Factor Movements'!F77</f>
        <v>3696.2945087936532</v>
      </c>
      <c r="H77">
        <f>Portfolio!B$7*'CurrentPor-Rat Factor Movements'!J77</f>
        <v>2148.0998964419859</v>
      </c>
      <c r="I77">
        <f t="shared" si="2"/>
        <v>96785.295294285184</v>
      </c>
      <c r="J77">
        <f t="shared" si="1"/>
        <v>43.790207389189163</v>
      </c>
    </row>
    <row r="78" spans="1:10">
      <c r="A78" s="1">
        <v>45579</v>
      </c>
      <c r="B78">
        <f>(3/(1+('CurrentPor-Rat Factor Movements'!C78)/100)+103/POWER(1+('CurrentPor-Rat Factor Movements'!D78)/100,2))*100</f>
        <v>9596.8250036887839</v>
      </c>
      <c r="C78">
        <f>(3/(1+('CurrentPor-Rat Factor Movements'!C78+'CurrentPor-Rat Factor Movements'!G78)/100)+103/POWER(1+('CurrentPor-Rat Factor Movements'!D78+'CurrentPor-Rat Factor Movements'!G78)/100,2))*100</f>
        <v>9505.8049204012004</v>
      </c>
      <c r="D78">
        <f>(3/(1+('CurrentPor-Rat Factor Movements'!C78+'CurrentPor-Rat Factor Movements'!H78)/100)+103/POWER(1+('CurrentPor-Rat Factor Movements'!D78+'CurrentPor-Rat Factor Movements'!H78)/100,2))*100</f>
        <v>9492.3133585623855</v>
      </c>
      <c r="E78">
        <f>(3/(1+('CurrentPor-Rat Factor Movements'!C78+'CurrentPor-Rat Factor Movements'!I78)/100)+103/POWER(1+('CurrentPor-Rat Factor Movements'!D78+'CurrentPor-Rat Factor Movements'!I78)/100,2))*100</f>
        <v>9472.8686882335951</v>
      </c>
      <c r="F78">
        <f>Portfolio!B$5*'CurrentPor-Rat Factor Movements'!E78</f>
        <v>52143.895533915893</v>
      </c>
      <c r="G78">
        <f>Portfolio!B$6*'CurrentPor-Rat Factor Movements'!F78</f>
        <v>3696.2945087936532</v>
      </c>
      <c r="H78">
        <f>Portfolio!B$7*'CurrentPor-Rat Factor Movements'!J78</f>
        <v>2148.0998964419859</v>
      </c>
      <c r="I78">
        <f t="shared" si="2"/>
        <v>96056.101910037498</v>
      </c>
      <c r="J78">
        <f t="shared" ref="J78:J141" si="3">I78-I68</f>
        <v>-781.40231406308885</v>
      </c>
    </row>
    <row r="79" spans="1:10">
      <c r="A79" s="1">
        <v>45580</v>
      </c>
      <c r="B79">
        <f>(3/(1+('CurrentPor-Rat Factor Movements'!C79)/100)+103/POWER(1+('CurrentPor-Rat Factor Movements'!D79)/100,2))*100</f>
        <v>9693.6861452861704</v>
      </c>
      <c r="C79">
        <f>(3/(1+('CurrentPor-Rat Factor Movements'!C79+'CurrentPor-Rat Factor Movements'!G79)/100)+103/POWER(1+('CurrentPor-Rat Factor Movements'!D79+'CurrentPor-Rat Factor Movements'!G79)/100,2))*100</f>
        <v>9601.2626765818095</v>
      </c>
      <c r="D79">
        <f>(3/(1+('CurrentPor-Rat Factor Movements'!C79+'CurrentPor-Rat Factor Movements'!H79)/100)+103/POWER(1+('CurrentPor-Rat Factor Movements'!D79+'CurrentPor-Rat Factor Movements'!H79)/100,2))*100</f>
        <v>9587.5636929264892</v>
      </c>
      <c r="E79">
        <f>(3/(1+('CurrentPor-Rat Factor Movements'!C79+'CurrentPor-Rat Factor Movements'!I79)/100)+103/POWER(1+('CurrentPor-Rat Factor Movements'!D79+'CurrentPor-Rat Factor Movements'!I79)/100,2))*100</f>
        <v>9567.8203481577984</v>
      </c>
      <c r="F79">
        <f>Portfolio!B$5*'CurrentPor-Rat Factor Movements'!E79</f>
        <v>52143.895533915893</v>
      </c>
      <c r="G79">
        <f>Portfolio!B$6*'CurrentPor-Rat Factor Movements'!F79</f>
        <v>3696.2945087936532</v>
      </c>
      <c r="H79">
        <f>Portfolio!B$7*'CurrentPor-Rat Factor Movements'!J79</f>
        <v>2148.0998964419859</v>
      </c>
      <c r="I79">
        <f t="shared" si="2"/>
        <v>96438.622802103797</v>
      </c>
      <c r="J79">
        <f t="shared" si="3"/>
        <v>-138.37130344944308</v>
      </c>
    </row>
    <row r="80" spans="1:10">
      <c r="A80" s="1">
        <v>45581</v>
      </c>
      <c r="B80">
        <f>(3/(1+('CurrentPor-Rat Factor Movements'!C80)/100)+103/POWER(1+('CurrentPor-Rat Factor Movements'!D80)/100,2))*100</f>
        <v>9917.918215057116</v>
      </c>
      <c r="C80">
        <f>(3/(1+('CurrentPor-Rat Factor Movements'!C80+'CurrentPor-Rat Factor Movements'!G80)/100)+103/POWER(1+('CurrentPor-Rat Factor Movements'!D80+'CurrentPor-Rat Factor Movements'!G80)/100,2))*100</f>
        <v>9822.2260527417602</v>
      </c>
      <c r="D80">
        <f>(3/(1+('CurrentPor-Rat Factor Movements'!C80+'CurrentPor-Rat Factor Movements'!H80)/100)+103/POWER(1+('CurrentPor-Rat Factor Movements'!D80+'CurrentPor-Rat Factor Movements'!H80)/100,2))*100</f>
        <v>9808.0439925625942</v>
      </c>
      <c r="E80">
        <f>(3/(1+('CurrentPor-Rat Factor Movements'!C80+'CurrentPor-Rat Factor Movements'!I80)/100)+103/POWER(1+('CurrentPor-Rat Factor Movements'!D80+'CurrentPor-Rat Factor Movements'!I80)/100,2))*100</f>
        <v>9787.6050658790646</v>
      </c>
      <c r="F80">
        <f>Portfolio!B$5*'CurrentPor-Rat Factor Movements'!E80</f>
        <v>52143.895533915893</v>
      </c>
      <c r="G80">
        <f>Portfolio!B$6*'CurrentPor-Rat Factor Movements'!F80</f>
        <v>3696.2945087936532</v>
      </c>
      <c r="H80">
        <f>Portfolio!B$7*'CurrentPor-Rat Factor Movements'!J80</f>
        <v>2148.0998964419859</v>
      </c>
      <c r="I80">
        <f t="shared" si="2"/>
        <v>97324.083265392066</v>
      </c>
      <c r="J80">
        <f t="shared" si="3"/>
        <v>666.68788331429823</v>
      </c>
    </row>
    <row r="81" spans="1:10">
      <c r="A81" s="1">
        <v>45582</v>
      </c>
      <c r="B81">
        <f>(3/(1+('CurrentPor-Rat Factor Movements'!C81)/100)+103/POWER(1+('CurrentPor-Rat Factor Movements'!D81)/100,2))*100</f>
        <v>9611.2011528084859</v>
      </c>
      <c r="C81">
        <f>(3/(1+('CurrentPor-Rat Factor Movements'!C81+'CurrentPor-Rat Factor Movements'!G81)/100)+103/POWER(1+('CurrentPor-Rat Factor Movements'!D81+'CurrentPor-Rat Factor Movements'!G81)/100,2))*100</f>
        <v>9519.9701416423795</v>
      </c>
      <c r="D81">
        <f>(3/(1+('CurrentPor-Rat Factor Movements'!C81+'CurrentPor-Rat Factor Movements'!H81)/100)+103/POWER(1+('CurrentPor-Rat Factor Movements'!D81+'CurrentPor-Rat Factor Movements'!H81)/100,2))*100</f>
        <v>9506.4474062365025</v>
      </c>
      <c r="E81">
        <f>(3/(1+('CurrentPor-Rat Factor Movements'!C81+'CurrentPor-Rat Factor Movements'!I81)/100)+103/POWER(1+('CurrentPor-Rat Factor Movements'!D81+'CurrentPor-Rat Factor Movements'!I81)/100,2))*100</f>
        <v>9486.957848740647</v>
      </c>
      <c r="F81">
        <f>Portfolio!B$5*'CurrentPor-Rat Factor Movements'!E81</f>
        <v>52143.895533915893</v>
      </c>
      <c r="G81">
        <f>Portfolio!B$6*'CurrentPor-Rat Factor Movements'!F81</f>
        <v>3696.2945087936532</v>
      </c>
      <c r="H81">
        <f>Portfolio!B$7*'CurrentPor-Rat Factor Movements'!J81</f>
        <v>2148.0998964419859</v>
      </c>
      <c r="I81">
        <f t="shared" si="2"/>
        <v>96112.866488579544</v>
      </c>
      <c r="J81">
        <f t="shared" si="3"/>
        <v>-625.93370555054571</v>
      </c>
    </row>
    <row r="82" spans="1:10">
      <c r="A82" s="1">
        <v>45583</v>
      </c>
      <c r="B82">
        <f>(3/(1+('CurrentPor-Rat Factor Movements'!C82)/100)+103/POWER(1+('CurrentPor-Rat Factor Movements'!D82)/100,2))*100</f>
        <v>9550.0272507283917</v>
      </c>
      <c r="C82">
        <f>(3/(1+('CurrentPor-Rat Factor Movements'!C82+'CurrentPor-Rat Factor Movements'!G82)/100)+103/POWER(1+('CurrentPor-Rat Factor Movements'!D82+'CurrentPor-Rat Factor Movements'!G82)/100,2))*100</f>
        <v>9459.6807834449137</v>
      </c>
      <c r="D82">
        <f>(3/(1+('CurrentPor-Rat Factor Movements'!C82+'CurrentPor-Rat Factor Movements'!H82)/100)+103/POWER(1+('CurrentPor-Rat Factor Movements'!D82+'CurrentPor-Rat Factor Movements'!H82)/100,2))*100</f>
        <v>9446.2887885502951</v>
      </c>
      <c r="E82">
        <f>(3/(1+('CurrentPor-Rat Factor Movements'!C82+'CurrentPor-Rat Factor Movements'!I82)/100)+103/POWER(1+('CurrentPor-Rat Factor Movements'!D82+'CurrentPor-Rat Factor Movements'!I82)/100,2))*100</f>
        <v>9426.987491032125</v>
      </c>
      <c r="F82">
        <f>Portfolio!B$5*'CurrentPor-Rat Factor Movements'!E82</f>
        <v>52143.895533915893</v>
      </c>
      <c r="G82">
        <f>Portfolio!B$6*'CurrentPor-Rat Factor Movements'!F82</f>
        <v>3696.2945087936532</v>
      </c>
      <c r="H82">
        <f>Portfolio!B$7*'CurrentPor-Rat Factor Movements'!J82</f>
        <v>2148.0998964419859</v>
      </c>
      <c r="I82">
        <f t="shared" si="2"/>
        <v>95871.274252907257</v>
      </c>
      <c r="J82">
        <f t="shared" si="3"/>
        <v>-981.77599580965762</v>
      </c>
    </row>
    <row r="83" spans="1:10">
      <c r="A83" s="1">
        <v>45586</v>
      </c>
      <c r="B83">
        <f>(3/(1+('CurrentPor-Rat Factor Movements'!C83)/100)+103/POWER(1+('CurrentPor-Rat Factor Movements'!D83)/100,2))*100</f>
        <v>9753.326657775382</v>
      </c>
      <c r="C83">
        <f>(3/(1+('CurrentPor-Rat Factor Movements'!C83+'CurrentPor-Rat Factor Movements'!G83)/100)+103/POWER(1+('CurrentPor-Rat Factor Movements'!D83+'CurrentPor-Rat Factor Movements'!G83)/100,2))*100</f>
        <v>9660.0440036736109</v>
      </c>
      <c r="D83">
        <f>(3/(1+('CurrentPor-Rat Factor Movements'!C83+'CurrentPor-Rat Factor Movements'!H83)/100)+103/POWER(1+('CurrentPor-Rat Factor Movements'!D83+'CurrentPor-Rat Factor Movements'!H83)/100,2))*100</f>
        <v>9646.2180303504065</v>
      </c>
      <c r="E83">
        <f>(3/(1+('CurrentPor-Rat Factor Movements'!C83+'CurrentPor-Rat Factor Movements'!I83)/100)+103/POWER(1+('CurrentPor-Rat Factor Movements'!D83+'CurrentPor-Rat Factor Movements'!I83)/100,2))*100</f>
        <v>9626.2918278550187</v>
      </c>
      <c r="F83">
        <f>Portfolio!B$5*'CurrentPor-Rat Factor Movements'!E83</f>
        <v>52143.895533915893</v>
      </c>
      <c r="G83">
        <f>Portfolio!B$6*'CurrentPor-Rat Factor Movements'!F83</f>
        <v>3696.2945087936532</v>
      </c>
      <c r="H83">
        <f>Portfolio!B$7*'CurrentPor-Rat Factor Movements'!J83</f>
        <v>2148.0998964419859</v>
      </c>
      <c r="I83">
        <f t="shared" si="2"/>
        <v>96674.170458805951</v>
      </c>
      <c r="J83">
        <f t="shared" si="3"/>
        <v>-552.85876943774929</v>
      </c>
    </row>
    <row r="84" spans="1:10">
      <c r="A84" s="1">
        <v>45587</v>
      </c>
      <c r="B84">
        <f>(3/(1+('CurrentPor-Rat Factor Movements'!C84)/100)+103/POWER(1+('CurrentPor-Rat Factor Movements'!D84)/100,2))*100</f>
        <v>9766.1015155123787</v>
      </c>
      <c r="C84">
        <f>(3/(1+('CurrentPor-Rat Factor Movements'!C84+'CurrentPor-Rat Factor Movements'!G84)/100)+103/POWER(1+('CurrentPor-Rat Factor Movements'!D84+'CurrentPor-Rat Factor Movements'!G84)/100,2))*100</f>
        <v>9672.6177632752078</v>
      </c>
      <c r="D84">
        <f>(3/(1+('CurrentPor-Rat Factor Movements'!C84+'CurrentPor-Rat Factor Movements'!H84)/100)+103/POWER(1+('CurrentPor-Rat Factor Movements'!D84+'CurrentPor-Rat Factor Movements'!H84)/100,2))*100</f>
        <v>9658.7620818939104</v>
      </c>
      <c r="E84">
        <f>(3/(1+('CurrentPor-Rat Factor Movements'!C84+'CurrentPor-Rat Factor Movements'!I84)/100)+103/POWER(1+('CurrentPor-Rat Factor Movements'!D84+'CurrentPor-Rat Factor Movements'!I84)/100,2))*100</f>
        <v>9638.7931082462019</v>
      </c>
      <c r="F84">
        <f>Portfolio!B$5*'CurrentPor-Rat Factor Movements'!E84</f>
        <v>52143.895533915893</v>
      </c>
      <c r="G84">
        <f>Portfolio!B$6*'CurrentPor-Rat Factor Movements'!F84</f>
        <v>3696.2945087936532</v>
      </c>
      <c r="H84">
        <f>Portfolio!B$7*'CurrentPor-Rat Factor Movements'!J84</f>
        <v>2148.0998964419859</v>
      </c>
      <c r="I84">
        <f t="shared" si="2"/>
        <v>96724.564408079241</v>
      </c>
      <c r="J84">
        <f t="shared" si="3"/>
        <v>312.18105644357274</v>
      </c>
    </row>
    <row r="85" spans="1:10">
      <c r="A85" s="1">
        <v>45588</v>
      </c>
      <c r="B85">
        <f>(3/(1+('CurrentPor-Rat Factor Movements'!C85)/100)+103/POWER(1+('CurrentPor-Rat Factor Movements'!D85)/100,2))*100</f>
        <v>9841.7559330762469</v>
      </c>
      <c r="C85">
        <f>(3/(1+('CurrentPor-Rat Factor Movements'!C85+'CurrentPor-Rat Factor Movements'!G85)/100)+103/POWER(1+('CurrentPor-Rat Factor Movements'!D85+'CurrentPor-Rat Factor Movements'!G85)/100,2))*100</f>
        <v>9747.1867086177044</v>
      </c>
      <c r="D85">
        <f>(3/(1+('CurrentPor-Rat Factor Movements'!C85+'CurrentPor-Rat Factor Movements'!H85)/100)+103/POWER(1+('CurrentPor-Rat Factor Movements'!D85+'CurrentPor-Rat Factor Movements'!H85)/100,2))*100</f>
        <v>9733.1705918703356</v>
      </c>
      <c r="E85">
        <f>(3/(1+('CurrentPor-Rat Factor Movements'!C85+'CurrentPor-Rat Factor Movements'!I85)/100)+103/POWER(1+('CurrentPor-Rat Factor Movements'!D85+'CurrentPor-Rat Factor Movements'!I85)/100,2))*100</f>
        <v>9712.9706006405413</v>
      </c>
      <c r="F85">
        <f>Portfolio!B$5*'CurrentPor-Rat Factor Movements'!E85</f>
        <v>52143.895533915893</v>
      </c>
      <c r="G85">
        <f>Portfolio!B$6*'CurrentPor-Rat Factor Movements'!F85</f>
        <v>3696.2945087936532</v>
      </c>
      <c r="H85">
        <f>Portfolio!B$7*'CurrentPor-Rat Factor Movements'!J85</f>
        <v>2148.0998964419859</v>
      </c>
      <c r="I85">
        <f t="shared" si="2"/>
        <v>97023.373773356361</v>
      </c>
      <c r="J85">
        <f t="shared" si="3"/>
        <v>949.42650306363066</v>
      </c>
    </row>
    <row r="86" spans="1:10">
      <c r="A86" s="1">
        <v>45589</v>
      </c>
      <c r="B86">
        <f>(3/(1+('CurrentPor-Rat Factor Movements'!C86)/100)+103/POWER(1+('CurrentPor-Rat Factor Movements'!D86)/100,2))*100</f>
        <v>9569.8905563907938</v>
      </c>
      <c r="C86">
        <f>(3/(1+('CurrentPor-Rat Factor Movements'!C86+'CurrentPor-Rat Factor Movements'!G86)/100)+103/POWER(1+('CurrentPor-Rat Factor Movements'!D86+'CurrentPor-Rat Factor Movements'!G86)/100,2))*100</f>
        <v>9479.2761341166843</v>
      </c>
      <c r="D86">
        <f>(3/(1+('CurrentPor-Rat Factor Movements'!C86+'CurrentPor-Rat Factor Movements'!H86)/100)+103/POWER(1+('CurrentPor-Rat Factor Movements'!D86+'CurrentPor-Rat Factor Movements'!H86)/100,2))*100</f>
        <v>9465.8445178609054</v>
      </c>
      <c r="E86">
        <f>(3/(1+('CurrentPor-Rat Factor Movements'!C86+'CurrentPor-Rat Factor Movements'!I86)/100)+103/POWER(1+('CurrentPor-Rat Factor Movements'!D86+'CurrentPor-Rat Factor Movements'!I86)/100,2))*100</f>
        <v>9446.4861601517368</v>
      </c>
      <c r="F86">
        <f>Portfolio!B$5*'CurrentPor-Rat Factor Movements'!E86</f>
        <v>52143.895533915893</v>
      </c>
      <c r="G86">
        <f>Portfolio!B$6*'CurrentPor-Rat Factor Movements'!F86</f>
        <v>3696.2945087936532</v>
      </c>
      <c r="H86">
        <f>Portfolio!B$7*'CurrentPor-Rat Factor Movements'!J86</f>
        <v>2148.0998964419859</v>
      </c>
      <c r="I86">
        <f t="shared" si="2"/>
        <v>95949.787307671664</v>
      </c>
      <c r="J86">
        <f t="shared" si="3"/>
        <v>-399.26350010740862</v>
      </c>
    </row>
    <row r="87" spans="1:10">
      <c r="A87" s="1">
        <v>45590</v>
      </c>
      <c r="B87">
        <f>(3/(1+('CurrentPor-Rat Factor Movements'!C87)/100)+103/POWER(1+('CurrentPor-Rat Factor Movements'!D87)/100,2))*100</f>
        <v>9787.9144834386043</v>
      </c>
      <c r="C87">
        <f>(3/(1+('CurrentPor-Rat Factor Movements'!C87+'CurrentPor-Rat Factor Movements'!G87)/100)+103/POWER(1+('CurrentPor-Rat Factor Movements'!D87+'CurrentPor-Rat Factor Movements'!G87)/100,2))*100</f>
        <v>9694.1297349582965</v>
      </c>
      <c r="D87">
        <f>(3/(1+('CurrentPor-Rat Factor Movements'!C87+'CurrentPor-Rat Factor Movements'!H87)/100)+103/POWER(1+('CurrentPor-Rat Factor Movements'!D87+'CurrentPor-Rat Factor Movements'!H87)/100,2))*100</f>
        <v>9680.2295551079114</v>
      </c>
      <c r="E87">
        <f>(3/(1+('CurrentPor-Rat Factor Movements'!C87+'CurrentPor-Rat Factor Movements'!I87)/100)+103/POWER(1+('CurrentPor-Rat Factor Movements'!D87+'CurrentPor-Rat Factor Movements'!I87)/100,2))*100</f>
        <v>9660.1965014609032</v>
      </c>
      <c r="F87">
        <f>Portfolio!B$5*'CurrentPor-Rat Factor Movements'!E87</f>
        <v>52143.895533915893</v>
      </c>
      <c r="G87">
        <f>Portfolio!B$6*'CurrentPor-Rat Factor Movements'!F87</f>
        <v>3696.2945087936532</v>
      </c>
      <c r="H87">
        <f>Portfolio!B$7*'CurrentPor-Rat Factor Movements'!J87</f>
        <v>2148.0998964419859</v>
      </c>
      <c r="I87">
        <f t="shared" si="2"/>
        <v>96810.760214117254</v>
      </c>
      <c r="J87">
        <f t="shared" si="3"/>
        <v>25.464919832069427</v>
      </c>
    </row>
    <row r="88" spans="1:10">
      <c r="A88" s="1">
        <v>45593</v>
      </c>
      <c r="B88">
        <f>(3/(1+('CurrentPor-Rat Factor Movements'!C88)/100)+103/POWER(1+('CurrentPor-Rat Factor Movements'!D88)/100,2))*100</f>
        <v>9654.7666647074984</v>
      </c>
      <c r="C88">
        <f>(3/(1+('CurrentPor-Rat Factor Movements'!C88+'CurrentPor-Rat Factor Movements'!G88)/100)+103/POWER(1+('CurrentPor-Rat Factor Movements'!D88+'CurrentPor-Rat Factor Movements'!G88)/100,2))*100</f>
        <v>9562.9114728999448</v>
      </c>
      <c r="D88">
        <f>(3/(1+('CurrentPor-Rat Factor Movements'!C88+'CurrentPor-Rat Factor Movements'!H88)/100)+103/POWER(1+('CurrentPor-Rat Factor Movements'!D88+'CurrentPor-Rat Factor Movements'!H88)/100,2))*100</f>
        <v>9549.2964767862031</v>
      </c>
      <c r="E88">
        <f>(3/(1+('CurrentPor-Rat Factor Movements'!C88+'CurrentPor-Rat Factor Movements'!I88)/100)+103/POWER(1+('CurrentPor-Rat Factor Movements'!D88+'CurrentPor-Rat Factor Movements'!I88)/100,2))*100</f>
        <v>9529.6740668308175</v>
      </c>
      <c r="F88">
        <f>Portfolio!B$5*'CurrentPor-Rat Factor Movements'!E88</f>
        <v>52143.895533915893</v>
      </c>
      <c r="G88">
        <f>Portfolio!B$6*'CurrentPor-Rat Factor Movements'!F88</f>
        <v>3696.2945087936532</v>
      </c>
      <c r="H88">
        <f>Portfolio!B$7*'CurrentPor-Rat Factor Movements'!J88</f>
        <v>2148.0998964419859</v>
      </c>
      <c r="I88">
        <f t="shared" si="2"/>
        <v>96284.938620375993</v>
      </c>
      <c r="J88">
        <f t="shared" si="3"/>
        <v>228.83671033849532</v>
      </c>
    </row>
    <row r="89" spans="1:10">
      <c r="A89" s="1">
        <v>45594</v>
      </c>
      <c r="B89">
        <f>(3/(1+('CurrentPor-Rat Factor Movements'!C89)/100)+103/POWER(1+('CurrentPor-Rat Factor Movements'!D89)/100,2))*100</f>
        <v>9777.3182870891251</v>
      </c>
      <c r="C89">
        <f>(3/(1+('CurrentPor-Rat Factor Movements'!C89+'CurrentPor-Rat Factor Movements'!G89)/100)+103/POWER(1+('CurrentPor-Rat Factor Movements'!D89+'CurrentPor-Rat Factor Movements'!G89)/100,2))*100</f>
        <v>9683.7035128925527</v>
      </c>
      <c r="D89">
        <f>(3/(1+('CurrentPor-Rat Factor Movements'!C89+'CurrentPor-Rat Factor Movements'!H89)/100)+103/POWER(1+('CurrentPor-Rat Factor Movements'!D89+'CurrentPor-Rat Factor Movements'!H89)/100,2))*100</f>
        <v>9669.8284405764571</v>
      </c>
      <c r="E89">
        <f>(3/(1+('CurrentPor-Rat Factor Movements'!C89+'CurrentPor-Rat Factor Movements'!I89)/100)+103/POWER(1+('CurrentPor-Rat Factor Movements'!D89+'CurrentPor-Rat Factor Movements'!I89)/100,2))*100</f>
        <v>9649.831533439039</v>
      </c>
      <c r="F89">
        <f>Portfolio!B$5*'CurrentPor-Rat Factor Movements'!E89</f>
        <v>52143.895533915893</v>
      </c>
      <c r="G89">
        <f>Portfolio!B$6*'CurrentPor-Rat Factor Movements'!F89</f>
        <v>3696.2945087936532</v>
      </c>
      <c r="H89">
        <f>Portfolio!B$7*'CurrentPor-Rat Factor Movements'!J89</f>
        <v>2148.0998964419859</v>
      </c>
      <c r="I89">
        <f t="shared" si="2"/>
        <v>96768.971713148712</v>
      </c>
      <c r="J89">
        <f t="shared" si="3"/>
        <v>330.34891104491544</v>
      </c>
    </row>
    <row r="90" spans="1:10">
      <c r="A90" s="1">
        <v>45595</v>
      </c>
      <c r="B90">
        <f>(3/(1+('CurrentPor-Rat Factor Movements'!C90)/100)+103/POWER(1+('CurrentPor-Rat Factor Movements'!D90)/100,2))*100</f>
        <v>9741.2621901958992</v>
      </c>
      <c r="C90">
        <f>(3/(1+('CurrentPor-Rat Factor Movements'!C90+'CurrentPor-Rat Factor Movements'!G90)/100)+103/POWER(1+('CurrentPor-Rat Factor Movements'!D90+'CurrentPor-Rat Factor Movements'!G90)/100,2))*100</f>
        <v>9648.1533791078928</v>
      </c>
      <c r="D90">
        <f>(3/(1+('CurrentPor-Rat Factor Movements'!C90+'CurrentPor-Rat Factor Movements'!H90)/100)+103/POWER(1+('CurrentPor-Rat Factor Movements'!D90+'CurrentPor-Rat Factor Movements'!H90)/100,2))*100</f>
        <v>9634.3530999910326</v>
      </c>
      <c r="E90">
        <f>(3/(1+('CurrentPor-Rat Factor Movements'!C90+'CurrentPor-Rat Factor Movements'!I90)/100)+103/POWER(1+('CurrentPor-Rat Factor Movements'!D90+'CurrentPor-Rat Factor Movements'!I90)/100,2))*100</f>
        <v>9614.4638955617647</v>
      </c>
      <c r="F90">
        <f>Portfolio!B$5*'CurrentPor-Rat Factor Movements'!E90</f>
        <v>52143.895533915893</v>
      </c>
      <c r="G90">
        <f>Portfolio!B$6*'CurrentPor-Rat Factor Movements'!F90</f>
        <v>3696.2945087936532</v>
      </c>
      <c r="H90">
        <f>Portfolio!B$7*'CurrentPor-Rat Factor Movements'!J90</f>
        <v>2148.0998964419859</v>
      </c>
      <c r="I90">
        <f t="shared" si="2"/>
        <v>96626.522504008128</v>
      </c>
      <c r="J90">
        <f t="shared" si="3"/>
        <v>-697.56076138393837</v>
      </c>
    </row>
    <row r="91" spans="1:10">
      <c r="A91" s="1">
        <v>45596</v>
      </c>
      <c r="B91">
        <f>(3/(1+('CurrentPor-Rat Factor Movements'!C91)/100)+103/POWER(1+('CurrentPor-Rat Factor Movements'!D91)/100,2))*100</f>
        <v>9709.6413015087273</v>
      </c>
      <c r="C91">
        <f>(3/(1+('CurrentPor-Rat Factor Movements'!C91+'CurrentPor-Rat Factor Movements'!G91)/100)+103/POWER(1+('CurrentPor-Rat Factor Movements'!D91+'CurrentPor-Rat Factor Movements'!G91)/100,2))*100</f>
        <v>9616.9761092477747</v>
      </c>
      <c r="D91">
        <f>(3/(1+('CurrentPor-Rat Factor Movements'!C91+'CurrentPor-Rat Factor Movements'!H91)/100)+103/POWER(1+('CurrentPor-Rat Factor Movements'!D91+'CurrentPor-Rat Factor Movements'!H91)/100,2))*100</f>
        <v>9603.2414080250637</v>
      </c>
      <c r="E91">
        <f>(3/(1+('CurrentPor-Rat Factor Movements'!C91+'CurrentPor-Rat Factor Movements'!I91)/100)+103/POWER(1+('CurrentPor-Rat Factor Movements'!D91+'CurrentPor-Rat Factor Movements'!I91)/100,2))*100</f>
        <v>9583.4466364927321</v>
      </c>
      <c r="F91">
        <f>Portfolio!B$5*'CurrentPor-Rat Factor Movements'!E91</f>
        <v>52143.895533915893</v>
      </c>
      <c r="G91">
        <f>Portfolio!B$6*'CurrentPor-Rat Factor Movements'!F91</f>
        <v>3696.2945087936532</v>
      </c>
      <c r="H91">
        <f>Portfolio!B$7*'CurrentPor-Rat Factor Movements'!J91</f>
        <v>2148.0998964419859</v>
      </c>
      <c r="I91">
        <f t="shared" si="2"/>
        <v>96501.595394425836</v>
      </c>
      <c r="J91">
        <f t="shared" si="3"/>
        <v>388.72890584629204</v>
      </c>
    </row>
    <row r="92" spans="1:10">
      <c r="A92" s="1">
        <v>45597</v>
      </c>
      <c r="B92">
        <f>(3/(1+('CurrentPor-Rat Factor Movements'!C92)/100)+103/POWER(1+('CurrentPor-Rat Factor Movements'!D92)/100,2))*100</f>
        <v>9566.4377597087805</v>
      </c>
      <c r="C92">
        <f>(3/(1+('CurrentPor-Rat Factor Movements'!C92+'CurrentPor-Rat Factor Movements'!G92)/100)+103/POWER(1+('CurrentPor-Rat Factor Movements'!D92+'CurrentPor-Rat Factor Movements'!G92)/100,2))*100</f>
        <v>9475.8448486537582</v>
      </c>
      <c r="D92">
        <f>(3/(1+('CurrentPor-Rat Factor Movements'!C92+'CurrentPor-Rat Factor Movements'!H92)/100)+103/POWER(1+('CurrentPor-Rat Factor Movements'!D92+'CurrentPor-Rat Factor Movements'!H92)/100,2))*100</f>
        <v>9462.416435299865</v>
      </c>
      <c r="E92">
        <f>(3/(1+('CurrentPor-Rat Factor Movements'!C92+'CurrentPor-Rat Factor Movements'!I92)/100)+103/POWER(1+('CurrentPor-Rat Factor Movements'!D92+'CurrentPor-Rat Factor Movements'!I92)/100,2))*100</f>
        <v>9443.062700305838</v>
      </c>
      <c r="F92">
        <f>Portfolio!B$5*'CurrentPor-Rat Factor Movements'!E92</f>
        <v>52143.895533915893</v>
      </c>
      <c r="G92">
        <f>Portfolio!B$6*'CurrentPor-Rat Factor Movements'!F92</f>
        <v>3696.2945087936532</v>
      </c>
      <c r="H92">
        <f>Portfolio!B$7*'CurrentPor-Rat Factor Movements'!J92</f>
        <v>2148.0998964419859</v>
      </c>
      <c r="I92">
        <f t="shared" si="2"/>
        <v>95936.051683119775</v>
      </c>
      <c r="J92">
        <f t="shared" si="3"/>
        <v>64.777430212518084</v>
      </c>
    </row>
    <row r="93" spans="1:10">
      <c r="A93" s="1">
        <v>45600</v>
      </c>
      <c r="B93">
        <f>(3/(1+('CurrentPor-Rat Factor Movements'!C93)/100)+103/POWER(1+('CurrentPor-Rat Factor Movements'!D93)/100,2))*100</f>
        <v>9566.7068269243809</v>
      </c>
      <c r="C93">
        <f>(3/(1+('CurrentPor-Rat Factor Movements'!C93+'CurrentPor-Rat Factor Movements'!G93)/100)+103/POWER(1+('CurrentPor-Rat Factor Movements'!D93+'CurrentPor-Rat Factor Movements'!G93)/100,2))*100</f>
        <v>9476.1163045581379</v>
      </c>
      <c r="D93">
        <f>(3/(1+('CurrentPor-Rat Factor Movements'!C93+'CurrentPor-Rat Factor Movements'!H93)/100)+103/POWER(1+('CurrentPor-Rat Factor Movements'!D93+'CurrentPor-Rat Factor Movements'!H93)/100,2))*100</f>
        <v>9462.6882390905648</v>
      </c>
      <c r="E93">
        <f>(3/(1+('CurrentPor-Rat Factor Movements'!C93+'CurrentPor-Rat Factor Movements'!I93)/100)+103/POWER(1+('CurrentPor-Rat Factor Movements'!D93+'CurrentPor-Rat Factor Movements'!I93)/100,2))*100</f>
        <v>9443.3350026736316</v>
      </c>
      <c r="F93">
        <f>Portfolio!B$5*'CurrentPor-Rat Factor Movements'!E93</f>
        <v>52143.895533915893</v>
      </c>
      <c r="G93">
        <f>Portfolio!B$6*'CurrentPor-Rat Factor Movements'!F93</f>
        <v>3696.2945087936532</v>
      </c>
      <c r="H93">
        <f>Portfolio!B$7*'CurrentPor-Rat Factor Movements'!J93</f>
        <v>2148.0998964419859</v>
      </c>
      <c r="I93">
        <f t="shared" si="2"/>
        <v>95937.136312398245</v>
      </c>
      <c r="J93">
        <f t="shared" si="3"/>
        <v>-737.03414640770643</v>
      </c>
    </row>
    <row r="94" spans="1:10">
      <c r="A94" s="1">
        <v>45601</v>
      </c>
      <c r="B94">
        <f>(3/(1+('CurrentPor-Rat Factor Movements'!C94)/100)+103/POWER(1+('CurrentPor-Rat Factor Movements'!D94)/100,2))*100</f>
        <v>9806.4067710288091</v>
      </c>
      <c r="C94">
        <f>(3/(1+('CurrentPor-Rat Factor Movements'!C94+'CurrentPor-Rat Factor Movements'!G94)/100)+103/POWER(1+('CurrentPor-Rat Factor Movements'!D94+'CurrentPor-Rat Factor Movements'!G94)/100,2))*100</f>
        <v>9712.3515929478435</v>
      </c>
      <c r="D94">
        <f>(3/(1+('CurrentPor-Rat Factor Movements'!C94+'CurrentPor-Rat Factor Movements'!H94)/100)+103/POWER(1+('CurrentPor-Rat Factor Movements'!D94+'CurrentPor-Rat Factor Movements'!H94)/100,2))*100</f>
        <v>9698.411447212593</v>
      </c>
      <c r="E94">
        <f>(3/(1+('CurrentPor-Rat Factor Movements'!C94+'CurrentPor-Rat Factor Movements'!I94)/100)+103/POWER(1+('CurrentPor-Rat Factor Movements'!D94+'CurrentPor-Rat Factor Movements'!I94)/100,2))*100</f>
        <v>9678.3208469596921</v>
      </c>
      <c r="F94">
        <f>Portfolio!B$5*'CurrentPor-Rat Factor Movements'!E94</f>
        <v>52143.895533915893</v>
      </c>
      <c r="G94">
        <f>Portfolio!B$6*'CurrentPor-Rat Factor Movements'!F94</f>
        <v>3696.2945087936532</v>
      </c>
      <c r="H94">
        <f>Portfolio!B$7*'CurrentPor-Rat Factor Movements'!J94</f>
        <v>2148.0998964419859</v>
      </c>
      <c r="I94">
        <f t="shared" si="2"/>
        <v>96883.780597300472</v>
      </c>
      <c r="J94">
        <f t="shared" si="3"/>
        <v>159.21618922123162</v>
      </c>
    </row>
    <row r="95" spans="1:10">
      <c r="A95" s="1">
        <v>45602</v>
      </c>
      <c r="B95">
        <f>(3/(1+('CurrentPor-Rat Factor Movements'!C95)/100)+103/POWER(1+('CurrentPor-Rat Factor Movements'!D95)/100,2))*100</f>
        <v>9750.6051343709296</v>
      </c>
      <c r="C95">
        <f>(3/(1+('CurrentPor-Rat Factor Movements'!C95+'CurrentPor-Rat Factor Movements'!G95)/100)+103/POWER(1+('CurrentPor-Rat Factor Movements'!D95+'CurrentPor-Rat Factor Movements'!G95)/100,2))*100</f>
        <v>9657.3650433543535</v>
      </c>
      <c r="D95">
        <f>(3/(1+('CurrentPor-Rat Factor Movements'!C95+'CurrentPor-Rat Factor Movements'!H95)/100)+103/POWER(1+('CurrentPor-Rat Factor Movements'!D95+'CurrentPor-Rat Factor Movements'!H95)/100,2))*100</f>
        <v>9643.54535807512</v>
      </c>
      <c r="E95">
        <f>(3/(1+('CurrentPor-Rat Factor Movements'!C95+'CurrentPor-Rat Factor Movements'!I95)/100)+103/POWER(1+('CurrentPor-Rat Factor Movements'!D95+'CurrentPor-Rat Factor Movements'!I95)/100,2))*100</f>
        <v>9623.6282086815718</v>
      </c>
      <c r="F95">
        <f>Portfolio!B$5*'CurrentPor-Rat Factor Movements'!E95</f>
        <v>52143.895533915893</v>
      </c>
      <c r="G95">
        <f>Portfolio!B$6*'CurrentPor-Rat Factor Movements'!F95</f>
        <v>3696.2945087936532</v>
      </c>
      <c r="H95">
        <f>Portfolio!B$7*'CurrentPor-Rat Factor Movements'!J95</f>
        <v>2148.0998964419859</v>
      </c>
      <c r="I95">
        <f t="shared" si="2"/>
        <v>96663.433683633499</v>
      </c>
      <c r="J95">
        <f t="shared" si="3"/>
        <v>-359.94008972286247</v>
      </c>
    </row>
    <row r="96" spans="1:10">
      <c r="A96" s="1">
        <v>45603</v>
      </c>
      <c r="B96">
        <f>(3/(1+('CurrentPor-Rat Factor Movements'!C96)/100)+103/POWER(1+('CurrentPor-Rat Factor Movements'!D96)/100,2))*100</f>
        <v>9623.8690938065902</v>
      </c>
      <c r="C96">
        <f>(3/(1+('CurrentPor-Rat Factor Movements'!C96+'CurrentPor-Rat Factor Movements'!G96)/100)+103/POWER(1+('CurrentPor-Rat Factor Movements'!D96+'CurrentPor-Rat Factor Movements'!G96)/100,2))*100</f>
        <v>9532.47132862322</v>
      </c>
      <c r="D96">
        <f>(3/(1+('CurrentPor-Rat Factor Movements'!C96+'CurrentPor-Rat Factor Movements'!H96)/100)+103/POWER(1+('CurrentPor-Rat Factor Movements'!D96+'CurrentPor-Rat Factor Movements'!H96)/100,2))*100</f>
        <v>9518.9239327064734</v>
      </c>
      <c r="E96">
        <f>(3/(1+('CurrentPor-Rat Factor Movements'!C96+'CurrentPor-Rat Factor Movements'!I96)/100)+103/POWER(1+('CurrentPor-Rat Factor Movements'!D96+'CurrentPor-Rat Factor Movements'!I96)/100,2))*100</f>
        <v>9499.3988591849593</v>
      </c>
      <c r="F96">
        <f>Portfolio!B$5*'CurrentPor-Rat Factor Movements'!E96</f>
        <v>52143.895533915893</v>
      </c>
      <c r="G96">
        <f>Portfolio!B$6*'CurrentPor-Rat Factor Movements'!F96</f>
        <v>3696.2945087936532</v>
      </c>
      <c r="H96">
        <f>Portfolio!B$7*'CurrentPor-Rat Factor Movements'!J96</f>
        <v>2148.0998964419859</v>
      </c>
      <c r="I96">
        <f t="shared" si="2"/>
        <v>96162.953153472787</v>
      </c>
      <c r="J96">
        <f t="shared" si="3"/>
        <v>213.16584580112249</v>
      </c>
    </row>
    <row r="97" spans="1:10">
      <c r="A97" s="1">
        <v>45604</v>
      </c>
      <c r="B97">
        <f>(3/(1+('CurrentPor-Rat Factor Movements'!C97)/100)+103/POWER(1+('CurrentPor-Rat Factor Movements'!D97)/100,2))*100</f>
        <v>9619.5469560450347</v>
      </c>
      <c r="C97">
        <f>(3/(1+('CurrentPor-Rat Factor Movements'!C97+'CurrentPor-Rat Factor Movements'!G97)/100)+103/POWER(1+('CurrentPor-Rat Factor Movements'!D97+'CurrentPor-Rat Factor Movements'!G97)/100,2))*100</f>
        <v>9528.1984294220492</v>
      </c>
      <c r="D97">
        <f>(3/(1+('CurrentPor-Rat Factor Movements'!C97+'CurrentPor-Rat Factor Movements'!H97)/100)+103/POWER(1+('CurrentPor-Rat Factor Movements'!D97+'CurrentPor-Rat Factor Movements'!H97)/100,2))*100</f>
        <v>9514.6583221398632</v>
      </c>
      <c r="E97">
        <f>(3/(1+('CurrentPor-Rat Factor Movements'!C97+'CurrentPor-Rat Factor Movements'!I97)/100)+103/POWER(1+('CurrentPor-Rat Factor Movements'!D97+'CurrentPor-Rat Factor Movements'!I97)/100,2))*100</f>
        <v>9495.1437488737411</v>
      </c>
      <c r="F97">
        <f>Portfolio!B$5*'CurrentPor-Rat Factor Movements'!E97</f>
        <v>52143.895533915893</v>
      </c>
      <c r="G97">
        <f>Portfolio!B$6*'CurrentPor-Rat Factor Movements'!F97</f>
        <v>3696.2945087936532</v>
      </c>
      <c r="H97">
        <f>Portfolio!B$7*'CurrentPor-Rat Factor Movements'!J97</f>
        <v>2148.0998964419859</v>
      </c>
      <c r="I97">
        <f t="shared" si="2"/>
        <v>96145.837395632218</v>
      </c>
      <c r="J97">
        <f t="shared" si="3"/>
        <v>-664.92281848503626</v>
      </c>
    </row>
    <row r="98" spans="1:10">
      <c r="A98" s="1">
        <v>45607</v>
      </c>
      <c r="B98">
        <f>(3/(1+('CurrentPor-Rat Factor Movements'!C98)/100)+103/POWER(1+('CurrentPor-Rat Factor Movements'!D98)/100,2))*100</f>
        <v>9744.1087678118329</v>
      </c>
      <c r="C98">
        <f>(3/(1+('CurrentPor-Rat Factor Movements'!C98+'CurrentPor-Rat Factor Movements'!G98)/100)+103/POWER(1+('CurrentPor-Rat Factor Movements'!D98+'CurrentPor-Rat Factor Movements'!G98)/100,2))*100</f>
        <v>9650.9591038177314</v>
      </c>
      <c r="D98">
        <f>(3/(1+('CurrentPor-Rat Factor Movements'!C98+'CurrentPor-Rat Factor Movements'!H98)/100)+103/POWER(1+('CurrentPor-Rat Factor Movements'!D98+'CurrentPor-Rat Factor Movements'!H98)/100,2))*100</f>
        <v>9637.1527864453819</v>
      </c>
      <c r="E98">
        <f>(3/(1+('CurrentPor-Rat Factor Movements'!C98+'CurrentPor-Rat Factor Movements'!I98)/100)+103/POWER(1+('CurrentPor-Rat Factor Movements'!D98+'CurrentPor-Rat Factor Movements'!I98)/100,2))*100</f>
        <v>9617.2548872351072</v>
      </c>
      <c r="F98">
        <f>Portfolio!B$5*'CurrentPor-Rat Factor Movements'!E98</f>
        <v>52143.895533915893</v>
      </c>
      <c r="G98">
        <f>Portfolio!B$6*'CurrentPor-Rat Factor Movements'!F98</f>
        <v>3696.2945087936532</v>
      </c>
      <c r="H98">
        <f>Portfolio!B$7*'CurrentPor-Rat Factor Movements'!J98</f>
        <v>2148.0998964419859</v>
      </c>
      <c r="I98">
        <f t="shared" si="2"/>
        <v>96637.765484461575</v>
      </c>
      <c r="J98">
        <f t="shared" si="3"/>
        <v>352.8268640855822</v>
      </c>
    </row>
    <row r="99" spans="1:10">
      <c r="A99" s="1">
        <v>45608</v>
      </c>
      <c r="B99">
        <f>(3/(1+('CurrentPor-Rat Factor Movements'!C99)/100)+103/POWER(1+('CurrentPor-Rat Factor Movements'!D99)/100,2))*100</f>
        <v>9777.5009276046658</v>
      </c>
      <c r="C99">
        <f>(3/(1+('CurrentPor-Rat Factor Movements'!C99+'CurrentPor-Rat Factor Movements'!G99)/100)+103/POWER(1+('CurrentPor-Rat Factor Movements'!D99+'CurrentPor-Rat Factor Movements'!G99)/100,2))*100</f>
        <v>9683.8627610722997</v>
      </c>
      <c r="D99">
        <f>(3/(1+('CurrentPor-Rat Factor Movements'!C99+'CurrentPor-Rat Factor Movements'!H99)/100)+103/POWER(1+('CurrentPor-Rat Factor Movements'!D99+'CurrentPor-Rat Factor Movements'!H99)/100,2))*100</f>
        <v>9669.9842489248658</v>
      </c>
      <c r="E99">
        <f>(3/(1+('CurrentPor-Rat Factor Movements'!C99+'CurrentPor-Rat Factor Movements'!I99)/100)+103/POWER(1+('CurrentPor-Rat Factor Movements'!D99+'CurrentPor-Rat Factor Movements'!I99)/100,2))*100</f>
        <v>9649.982396668358</v>
      </c>
      <c r="F99">
        <f>Portfolio!B$5*'CurrentPor-Rat Factor Movements'!E99</f>
        <v>52143.895533915893</v>
      </c>
      <c r="G99">
        <f>Portfolio!B$6*'CurrentPor-Rat Factor Movements'!F99</f>
        <v>3696.2945087936532</v>
      </c>
      <c r="H99">
        <f>Portfolio!B$7*'CurrentPor-Rat Factor Movements'!J99</f>
        <v>2148.0998964419859</v>
      </c>
      <c r="I99">
        <f t="shared" si="2"/>
        <v>96769.620273421722</v>
      </c>
      <c r="J99">
        <f t="shared" si="3"/>
        <v>0.64856027300993446</v>
      </c>
    </row>
    <row r="100" spans="1:10">
      <c r="A100" s="1">
        <v>45609</v>
      </c>
      <c r="B100">
        <f>(3/(1+('CurrentPor-Rat Factor Movements'!C100)/100)+103/POWER(1+('CurrentPor-Rat Factor Movements'!D100)/100,2))*100</f>
        <v>9578.9007539889408</v>
      </c>
      <c r="C100">
        <f>(3/(1+('CurrentPor-Rat Factor Movements'!C100+'CurrentPor-Rat Factor Movements'!G100)/100)+103/POWER(1+('CurrentPor-Rat Factor Movements'!D100+'CurrentPor-Rat Factor Movements'!G100)/100,2))*100</f>
        <v>9488.147861745465</v>
      </c>
      <c r="D100">
        <f>(3/(1+('CurrentPor-Rat Factor Movements'!C100+'CurrentPor-Rat Factor Movements'!H100)/100)+103/POWER(1+('CurrentPor-Rat Factor Movements'!D100+'CurrentPor-Rat Factor Movements'!H100)/100,2))*100</f>
        <v>9474.6957855424589</v>
      </c>
      <c r="E100">
        <f>(3/(1+('CurrentPor-Rat Factor Movements'!C100+'CurrentPor-Rat Factor Movements'!I100)/100)+103/POWER(1+('CurrentPor-Rat Factor Movements'!D100+'CurrentPor-Rat Factor Movements'!I100)/100,2))*100</f>
        <v>9455.3079695562046</v>
      </c>
      <c r="F100">
        <f>Portfolio!B$5*'CurrentPor-Rat Factor Movements'!E100</f>
        <v>52143.895533915893</v>
      </c>
      <c r="G100">
        <f>Portfolio!B$6*'CurrentPor-Rat Factor Movements'!F100</f>
        <v>3696.2945087936532</v>
      </c>
      <c r="H100">
        <f>Portfolio!B$7*'CurrentPor-Rat Factor Movements'!J100</f>
        <v>2148.0998964419859</v>
      </c>
      <c r="I100">
        <f t="shared" si="2"/>
        <v>95985.342309984597</v>
      </c>
      <c r="J100">
        <f t="shared" si="3"/>
        <v>-641.18019402353093</v>
      </c>
    </row>
    <row r="101" spans="1:10">
      <c r="A101" s="1">
        <v>45610</v>
      </c>
      <c r="B101">
        <f>(3/(1+('CurrentPor-Rat Factor Movements'!C101)/100)+103/POWER(1+('CurrentPor-Rat Factor Movements'!D101)/100,2))*100</f>
        <v>9805.9245737090496</v>
      </c>
      <c r="C101">
        <f>(3/(1+('CurrentPor-Rat Factor Movements'!C101+'CurrentPor-Rat Factor Movements'!G101)/100)+103/POWER(1+('CurrentPor-Rat Factor Movements'!D101+'CurrentPor-Rat Factor Movements'!G101)/100,2))*100</f>
        <v>9711.8954262192365</v>
      </c>
      <c r="D101">
        <f>(3/(1+('CurrentPor-Rat Factor Movements'!C101+'CurrentPor-Rat Factor Movements'!H101)/100)+103/POWER(1+('CurrentPor-Rat Factor Movements'!D101+'CurrentPor-Rat Factor Movements'!H101)/100,2))*100</f>
        <v>9697.9591115896619</v>
      </c>
      <c r="E101">
        <f>(3/(1+('CurrentPor-Rat Factor Movements'!C101+'CurrentPor-Rat Factor Movements'!I101)/100)+103/POWER(1+('CurrentPor-Rat Factor Movements'!D101+'CurrentPor-Rat Factor Movements'!I101)/100,2))*100</f>
        <v>9677.8740204772112</v>
      </c>
      <c r="F101">
        <f>Portfolio!B$5*'CurrentPor-Rat Factor Movements'!E101</f>
        <v>52143.895533915893</v>
      </c>
      <c r="G101">
        <f>Portfolio!B$6*'CurrentPor-Rat Factor Movements'!F101</f>
        <v>3696.2945087936532</v>
      </c>
      <c r="H101">
        <f>Portfolio!B$7*'CurrentPor-Rat Factor Movements'!J101</f>
        <v>2148.0998964419859</v>
      </c>
      <c r="I101">
        <f t="shared" si="2"/>
        <v>96881.943071146685</v>
      </c>
      <c r="J101">
        <f t="shared" si="3"/>
        <v>380.34767672084854</v>
      </c>
    </row>
    <row r="102" spans="1:10">
      <c r="A102" s="1">
        <v>45611</v>
      </c>
      <c r="B102">
        <f>(3/(1+('CurrentPor-Rat Factor Movements'!C102)/100)+103/POWER(1+('CurrentPor-Rat Factor Movements'!D102)/100,2))*100</f>
        <v>9713.0094381837389</v>
      </c>
      <c r="C102">
        <f>(3/(1+('CurrentPor-Rat Factor Movements'!C102+'CurrentPor-Rat Factor Movements'!G102)/100)+103/POWER(1+('CurrentPor-Rat Factor Movements'!D102+'CurrentPor-Rat Factor Movements'!G102)/100,2))*100</f>
        <v>9620.3207595049298</v>
      </c>
      <c r="D102">
        <f>(3/(1+('CurrentPor-Rat Factor Movements'!C102+'CurrentPor-Rat Factor Movements'!H102)/100)+103/POWER(1+('CurrentPor-Rat Factor Movements'!D102+'CurrentPor-Rat Factor Movements'!H102)/100,2))*100</f>
        <v>9606.5825658878675</v>
      </c>
      <c r="E102">
        <f>(3/(1+('CurrentPor-Rat Factor Movements'!C102+'CurrentPor-Rat Factor Movements'!I102)/100)+103/POWER(1+('CurrentPor-Rat Factor Movements'!D102+'CurrentPor-Rat Factor Movements'!I102)/100,2))*100</f>
        <v>9586.7827559057459</v>
      </c>
      <c r="F102">
        <f>Portfolio!B$5*'CurrentPor-Rat Factor Movements'!E102</f>
        <v>52143.895533915893</v>
      </c>
      <c r="G102">
        <f>Portfolio!B$6*'CurrentPor-Rat Factor Movements'!F102</f>
        <v>3696.2945087936532</v>
      </c>
      <c r="H102">
        <f>Portfolio!B$7*'CurrentPor-Rat Factor Movements'!J102</f>
        <v>2148.0998964419859</v>
      </c>
      <c r="I102">
        <f t="shared" si="2"/>
        <v>96514.985458633819</v>
      </c>
      <c r="J102">
        <f t="shared" si="3"/>
        <v>578.9337755140441</v>
      </c>
    </row>
    <row r="103" spans="1:10">
      <c r="A103" s="1">
        <v>45614</v>
      </c>
      <c r="B103">
        <f>(3/(1+('CurrentPor-Rat Factor Movements'!C103)/100)+103/POWER(1+('CurrentPor-Rat Factor Movements'!D103)/100,2))*100</f>
        <v>9779.9020775906647</v>
      </c>
      <c r="C103">
        <f>(3/(1+('CurrentPor-Rat Factor Movements'!C103+'CurrentPor-Rat Factor Movements'!G103)/100)+103/POWER(1+('CurrentPor-Rat Factor Movements'!D103+'CurrentPor-Rat Factor Movements'!G103)/100,2))*100</f>
        <v>9686.2228803455801</v>
      </c>
      <c r="D103">
        <f>(3/(1+('CurrentPor-Rat Factor Movements'!C103+'CurrentPor-Rat Factor Movements'!H103)/100)+103/POWER(1+('CurrentPor-Rat Factor Movements'!D103+'CurrentPor-Rat Factor Movements'!H103)/100,2))*100</f>
        <v>9672.3383093075372</v>
      </c>
      <c r="E103">
        <f>(3/(1+('CurrentPor-Rat Factor Movements'!C103+'CurrentPor-Rat Factor Movements'!I103)/100)+103/POWER(1+('CurrentPor-Rat Factor Movements'!D103+'CurrentPor-Rat Factor Movements'!I103)/100,2))*100</f>
        <v>9652.3277351327288</v>
      </c>
      <c r="F103">
        <f>Portfolio!B$5*'CurrentPor-Rat Factor Movements'!E103</f>
        <v>52143.895533915893</v>
      </c>
      <c r="G103">
        <f>Portfolio!B$6*'CurrentPor-Rat Factor Movements'!F103</f>
        <v>3696.2945087936532</v>
      </c>
      <c r="H103">
        <f>Portfolio!B$7*'CurrentPor-Rat Factor Movements'!J103</f>
        <v>2148.0998964419859</v>
      </c>
      <c r="I103">
        <f t="shared" si="2"/>
        <v>96779.080941528038</v>
      </c>
      <c r="J103">
        <f t="shared" si="3"/>
        <v>841.94462912979361</v>
      </c>
    </row>
    <row r="104" spans="1:10">
      <c r="A104" s="1">
        <v>45615</v>
      </c>
      <c r="B104">
        <f>(3/(1+('CurrentPor-Rat Factor Movements'!C104)/100)+103/POWER(1+('CurrentPor-Rat Factor Movements'!D104)/100,2))*100</f>
        <v>9621.7863540856906</v>
      </c>
      <c r="C104">
        <f>(3/(1+('CurrentPor-Rat Factor Movements'!C104+'CurrentPor-Rat Factor Movements'!G104)/100)+103/POWER(1+('CurrentPor-Rat Factor Movements'!D104+'CurrentPor-Rat Factor Movements'!G104)/100,2))*100</f>
        <v>9530.4097824315068</v>
      </c>
      <c r="D104">
        <f>(3/(1+('CurrentPor-Rat Factor Movements'!C104+'CurrentPor-Rat Factor Movements'!H104)/100)+103/POWER(1+('CurrentPor-Rat Factor Movements'!D104+'CurrentPor-Rat Factor Movements'!H104)/100,2))*100</f>
        <v>9516.8655263926703</v>
      </c>
      <c r="E104">
        <f>(3/(1+('CurrentPor-Rat Factor Movements'!C104+'CurrentPor-Rat Factor Movements'!I104)/100)+103/POWER(1+('CurrentPor-Rat Factor Movements'!D104+'CurrentPor-Rat Factor Movements'!I104)/100,2))*100</f>
        <v>9497.3449775004992</v>
      </c>
      <c r="F104">
        <f>Portfolio!B$5*'CurrentPor-Rat Factor Movements'!E104</f>
        <v>52143.895533915893</v>
      </c>
      <c r="G104">
        <f>Portfolio!B$6*'CurrentPor-Rat Factor Movements'!F104</f>
        <v>3696.2945087936532</v>
      </c>
      <c r="H104">
        <f>Portfolio!B$7*'CurrentPor-Rat Factor Movements'!J104</f>
        <v>2148.0998964419859</v>
      </c>
      <c r="I104">
        <f t="shared" si="2"/>
        <v>96154.696579561903</v>
      </c>
      <c r="J104">
        <f t="shared" si="3"/>
        <v>-729.08401773856895</v>
      </c>
    </row>
    <row r="105" spans="1:10">
      <c r="A105" s="1">
        <v>45616</v>
      </c>
      <c r="B105">
        <f>(3/(1+('CurrentPor-Rat Factor Movements'!C105)/100)+103/POWER(1+('CurrentPor-Rat Factor Movements'!D105)/100,2))*100</f>
        <v>9690.6994773841161</v>
      </c>
      <c r="C105">
        <f>(3/(1+('CurrentPor-Rat Factor Movements'!C105+'CurrentPor-Rat Factor Movements'!G105)/100)+103/POWER(1+('CurrentPor-Rat Factor Movements'!D105+'CurrentPor-Rat Factor Movements'!G105)/100,2))*100</f>
        <v>9598.3116995850432</v>
      </c>
      <c r="D105">
        <f>(3/(1+('CurrentPor-Rat Factor Movements'!C105+'CurrentPor-Rat Factor Movements'!H105)/100)+103/POWER(1+('CurrentPor-Rat Factor Movements'!D105+'CurrentPor-Rat Factor Movements'!H105)/100,2))*100</f>
        <v>9584.6179973287381</v>
      </c>
      <c r="E105">
        <f>(3/(1+('CurrentPor-Rat Factor Movements'!C105+'CurrentPor-Rat Factor Movements'!I105)/100)+103/POWER(1+('CurrentPor-Rat Factor Movements'!D105+'CurrentPor-Rat Factor Movements'!I105)/100,2))*100</f>
        <v>9564.8822602955024</v>
      </c>
      <c r="F105">
        <f>Portfolio!B$5*'CurrentPor-Rat Factor Movements'!E105</f>
        <v>52143.895533915893</v>
      </c>
      <c r="G105">
        <f>Portfolio!B$6*'CurrentPor-Rat Factor Movements'!F105</f>
        <v>3696.2945087936532</v>
      </c>
      <c r="H105">
        <f>Portfolio!B$7*'CurrentPor-Rat Factor Movements'!J105</f>
        <v>2148.0998964419859</v>
      </c>
      <c r="I105">
        <f t="shared" si="2"/>
        <v>96426.801373744922</v>
      </c>
      <c r="J105">
        <f t="shared" si="3"/>
        <v>-236.63230988857686</v>
      </c>
    </row>
    <row r="106" spans="1:10">
      <c r="A106" s="1">
        <v>45617</v>
      </c>
      <c r="B106">
        <f>(3/(1+('CurrentPor-Rat Factor Movements'!C106)/100)+103/POWER(1+('CurrentPor-Rat Factor Movements'!D106)/100,2))*100</f>
        <v>9781.4681065442383</v>
      </c>
      <c r="C106">
        <f>(3/(1+('CurrentPor-Rat Factor Movements'!C106+'CurrentPor-Rat Factor Movements'!G106)/100)+103/POWER(1+('CurrentPor-Rat Factor Movements'!D106+'CurrentPor-Rat Factor Movements'!G106)/100,2))*100</f>
        <v>9687.7606799483638</v>
      </c>
      <c r="D106">
        <f>(3/(1+('CurrentPor-Rat Factor Movements'!C106+'CurrentPor-Rat Factor Movements'!H106)/100)+103/POWER(1+('CurrentPor-Rat Factor Movements'!D106+'CurrentPor-Rat Factor Movements'!H106)/100,2))*100</f>
        <v>9673.8719414134357</v>
      </c>
      <c r="E106">
        <f>(3/(1+('CurrentPor-Rat Factor Movements'!C106+'CurrentPor-Rat Factor Movements'!I106)/100)+103/POWER(1+('CurrentPor-Rat Factor Movements'!D106+'CurrentPor-Rat Factor Movements'!I106)/100,2))*100</f>
        <v>9653.8553685076731</v>
      </c>
      <c r="F106">
        <f>Portfolio!B$5*'CurrentPor-Rat Factor Movements'!E106</f>
        <v>52143.895533915893</v>
      </c>
      <c r="G106">
        <f>Portfolio!B$6*'CurrentPor-Rat Factor Movements'!F106</f>
        <v>3696.2945087936532</v>
      </c>
      <c r="H106">
        <f>Portfolio!B$7*'CurrentPor-Rat Factor Movements'!J106</f>
        <v>2148.0998964419859</v>
      </c>
      <c r="I106">
        <f t="shared" si="2"/>
        <v>96785.246035565244</v>
      </c>
      <c r="J106">
        <f t="shared" si="3"/>
        <v>622.29288209245715</v>
      </c>
    </row>
    <row r="107" spans="1:10">
      <c r="A107" s="1">
        <v>45618</v>
      </c>
      <c r="B107">
        <f>(3/(1+('CurrentPor-Rat Factor Movements'!C107)/100)+103/POWER(1+('CurrentPor-Rat Factor Movements'!D107)/100,2))*100</f>
        <v>9831.3644105812946</v>
      </c>
      <c r="C107">
        <f>(3/(1+('CurrentPor-Rat Factor Movements'!C107+'CurrentPor-Rat Factor Movements'!G107)/100)+103/POWER(1+('CurrentPor-Rat Factor Movements'!D107+'CurrentPor-Rat Factor Movements'!G107)/100,2))*100</f>
        <v>9736.9385406816891</v>
      </c>
      <c r="D107">
        <f>(3/(1+('CurrentPor-Rat Factor Movements'!C107+'CurrentPor-Rat Factor Movements'!H107)/100)+103/POWER(1+('CurrentPor-Rat Factor Movements'!D107+'CurrentPor-Rat Factor Movements'!H107)/100,2))*100</f>
        <v>9722.9436167925523</v>
      </c>
      <c r="E107">
        <f>(3/(1+('CurrentPor-Rat Factor Movements'!C107+'CurrentPor-Rat Factor Movements'!I107)/100)+103/POWER(1+('CurrentPor-Rat Factor Movements'!D107+'CurrentPor-Rat Factor Movements'!I107)/100,2))*100</f>
        <v>9702.7741441965809</v>
      </c>
      <c r="F107">
        <f>Portfolio!B$5*'CurrentPor-Rat Factor Movements'!E107</f>
        <v>52143.895533915893</v>
      </c>
      <c r="G107">
        <f>Portfolio!B$6*'CurrentPor-Rat Factor Movements'!F107</f>
        <v>3696.2945087936532</v>
      </c>
      <c r="H107">
        <f>Portfolio!B$7*'CurrentPor-Rat Factor Movements'!J107</f>
        <v>2148.0998964419859</v>
      </c>
      <c r="I107">
        <f t="shared" si="2"/>
        <v>96982.310651403648</v>
      </c>
      <c r="J107">
        <f t="shared" si="3"/>
        <v>836.47325577143056</v>
      </c>
    </row>
    <row r="108" spans="1:10">
      <c r="A108" s="1">
        <v>45621</v>
      </c>
      <c r="B108">
        <f>(3/(1+('CurrentPor-Rat Factor Movements'!C108)/100)+103/POWER(1+('CurrentPor-Rat Factor Movements'!D108)/100,2))*100</f>
        <v>9830.3743827101825</v>
      </c>
      <c r="C108">
        <f>(3/(1+('CurrentPor-Rat Factor Movements'!C108+'CurrentPor-Rat Factor Movements'!G108)/100)+103/POWER(1+('CurrentPor-Rat Factor Movements'!D108+'CurrentPor-Rat Factor Movements'!G108)/100,2))*100</f>
        <v>9735.9619914813356</v>
      </c>
      <c r="D108">
        <f>(3/(1+('CurrentPor-Rat Factor Movements'!C108+'CurrentPor-Rat Factor Movements'!H108)/100)+103/POWER(1+('CurrentPor-Rat Factor Movements'!D108+'CurrentPor-Rat Factor Movements'!H108)/100,2))*100</f>
        <v>9721.9690603764375</v>
      </c>
      <c r="E108">
        <f>(3/(1+('CurrentPor-Rat Factor Movements'!C108+'CurrentPor-Rat Factor Movements'!I108)/100)+103/POWER(1+('CurrentPor-Rat Factor Movements'!D108+'CurrentPor-Rat Factor Movements'!I108)/100,2))*100</f>
        <v>9701.8024575497457</v>
      </c>
      <c r="F108">
        <f>Portfolio!B$5*'CurrentPor-Rat Factor Movements'!E108</f>
        <v>52143.895533915893</v>
      </c>
      <c r="G108">
        <f>Portfolio!B$6*'CurrentPor-Rat Factor Movements'!F108</f>
        <v>3696.2945087936532</v>
      </c>
      <c r="H108">
        <f>Portfolio!B$7*'CurrentPor-Rat Factor Movements'!J108</f>
        <v>2148.0998964419859</v>
      </c>
      <c r="I108">
        <f t="shared" si="2"/>
        <v>96978.397831269234</v>
      </c>
      <c r="J108">
        <f t="shared" si="3"/>
        <v>340.63234680765891</v>
      </c>
    </row>
    <row r="109" spans="1:10">
      <c r="A109" s="1">
        <v>45622</v>
      </c>
      <c r="B109">
        <f>(3/(1+('CurrentPor-Rat Factor Movements'!C109)/100)+103/POWER(1+('CurrentPor-Rat Factor Movements'!D109)/100,2))*100</f>
        <v>9879.2884853861615</v>
      </c>
      <c r="C109">
        <f>(3/(1+('CurrentPor-Rat Factor Movements'!C109+'CurrentPor-Rat Factor Movements'!G109)/100)+103/POWER(1+('CurrentPor-Rat Factor Movements'!D109+'CurrentPor-Rat Factor Movements'!G109)/100,2))*100</f>
        <v>9784.1792656672787</v>
      </c>
      <c r="D109">
        <f>(3/(1+('CurrentPor-Rat Factor Movements'!C109+'CurrentPor-Rat Factor Movements'!H109)/100)+103/POWER(1+('CurrentPor-Rat Factor Movements'!D109+'CurrentPor-Rat Factor Movements'!H109)/100,2))*100</f>
        <v>9770.0833388384617</v>
      </c>
      <c r="E109">
        <f>(3/(1+('CurrentPor-Rat Factor Movements'!C109+'CurrentPor-Rat Factor Movements'!I109)/100)+103/POWER(1+('CurrentPor-Rat Factor Movements'!D109+'CurrentPor-Rat Factor Movements'!I109)/100,2))*100</f>
        <v>9749.7684268749053</v>
      </c>
      <c r="F109">
        <f>Portfolio!B$5*'CurrentPor-Rat Factor Movements'!E109</f>
        <v>52143.895533915893</v>
      </c>
      <c r="G109">
        <f>Portfolio!B$6*'CurrentPor-Rat Factor Movements'!F109</f>
        <v>3696.2945087936532</v>
      </c>
      <c r="H109">
        <f>Portfolio!B$7*'CurrentPor-Rat Factor Movements'!J109</f>
        <v>2148.0998964419859</v>
      </c>
      <c r="I109">
        <f t="shared" si="2"/>
        <v>97171.60945591834</v>
      </c>
      <c r="J109">
        <f t="shared" si="3"/>
        <v>401.98918249661801</v>
      </c>
    </row>
    <row r="110" spans="1:10">
      <c r="A110" s="1">
        <v>45623</v>
      </c>
      <c r="B110">
        <f>(3/(1+('CurrentPor-Rat Factor Movements'!C110)/100)+103/POWER(1+('CurrentPor-Rat Factor Movements'!D110)/100,2))*100</f>
        <v>9762.7329227233167</v>
      </c>
      <c r="C110">
        <f>(3/(1+('CurrentPor-Rat Factor Movements'!C110+'CurrentPor-Rat Factor Movements'!G110)/100)+103/POWER(1+('CurrentPor-Rat Factor Movements'!D110+'CurrentPor-Rat Factor Movements'!G110)/100,2))*100</f>
        <v>9669.3303856229668</v>
      </c>
      <c r="D110">
        <f>(3/(1+('CurrentPor-Rat Factor Movements'!C110+'CurrentPor-Rat Factor Movements'!H110)/100)+103/POWER(1+('CurrentPor-Rat Factor Movements'!D110+'CurrentPor-Rat Factor Movements'!H110)/100,2))*100</f>
        <v>9655.4866802829383</v>
      </c>
      <c r="E110">
        <f>(3/(1+('CurrentPor-Rat Factor Movements'!C110+'CurrentPor-Rat Factor Movements'!I110)/100)+103/POWER(1+('CurrentPor-Rat Factor Movements'!D110+'CurrentPor-Rat Factor Movements'!I110)/100,2))*100</f>
        <v>9635.5349387723927</v>
      </c>
      <c r="F110">
        <f>Portfolio!B$5*'CurrentPor-Rat Factor Movements'!E110</f>
        <v>52143.895533915893</v>
      </c>
      <c r="G110">
        <f>Portfolio!B$6*'CurrentPor-Rat Factor Movements'!F110</f>
        <v>3696.2945087936532</v>
      </c>
      <c r="H110">
        <f>Portfolio!B$7*'CurrentPor-Rat Factor Movements'!J110</f>
        <v>2148.0998964419859</v>
      </c>
      <c r="I110">
        <f t="shared" si="2"/>
        <v>96711.374866553146</v>
      </c>
      <c r="J110">
        <f t="shared" si="3"/>
        <v>726.0325565685489</v>
      </c>
    </row>
    <row r="111" spans="1:10">
      <c r="A111" s="1">
        <v>45624</v>
      </c>
      <c r="B111">
        <f>(3/(1+('CurrentPor-Rat Factor Movements'!C111)/100)+103/POWER(1+('CurrentPor-Rat Factor Movements'!D111)/100,2))*100</f>
        <v>9530.6843456859115</v>
      </c>
      <c r="C111">
        <f>(3/(1+('CurrentPor-Rat Factor Movements'!C111+'CurrentPor-Rat Factor Movements'!G111)/100)+103/POWER(1+('CurrentPor-Rat Factor Movements'!D111+'CurrentPor-Rat Factor Movements'!G111)/100,2))*100</f>
        <v>9440.6212475136144</v>
      </c>
      <c r="D111">
        <f>(3/(1+('CurrentPor-Rat Factor Movements'!C111+'CurrentPor-Rat Factor Movements'!H111)/100)+103/POWER(1+('CurrentPor-Rat Factor Movements'!D111+'CurrentPor-Rat Factor Movements'!H111)/100,2))*100</f>
        <v>9427.2711336502034</v>
      </c>
      <c r="E111">
        <f>(3/(1+('CurrentPor-Rat Factor Movements'!C111+'CurrentPor-Rat Factor Movements'!I111)/100)+103/POWER(1+('CurrentPor-Rat Factor Movements'!D111+'CurrentPor-Rat Factor Movements'!I111)/100,2))*100</f>
        <v>9408.0301416362108</v>
      </c>
      <c r="F111">
        <f>Portfolio!B$5*'CurrentPor-Rat Factor Movements'!E111</f>
        <v>52143.895533915893</v>
      </c>
      <c r="G111">
        <f>Portfolio!B$6*'CurrentPor-Rat Factor Movements'!F111</f>
        <v>3696.2945087936532</v>
      </c>
      <c r="H111">
        <f>Portfolio!B$7*'CurrentPor-Rat Factor Movements'!J111</f>
        <v>2148.0998964419859</v>
      </c>
      <c r="I111">
        <f t="shared" si="2"/>
        <v>95794.896807637473</v>
      </c>
      <c r="J111">
        <f t="shared" si="3"/>
        <v>-1087.0462635092117</v>
      </c>
    </row>
    <row r="112" spans="1:10">
      <c r="A112" s="1">
        <v>45625</v>
      </c>
      <c r="B112">
        <f>(3/(1+('CurrentPor-Rat Factor Movements'!C112)/100)+103/POWER(1+('CurrentPor-Rat Factor Movements'!D112)/100,2))*100</f>
        <v>9604.8199343083852</v>
      </c>
      <c r="C112">
        <f>(3/(1+('CurrentPor-Rat Factor Movements'!C112+'CurrentPor-Rat Factor Movements'!G112)/100)+103/POWER(1+('CurrentPor-Rat Factor Movements'!D112+'CurrentPor-Rat Factor Movements'!G112)/100,2))*100</f>
        <v>9513.6996200512986</v>
      </c>
      <c r="D112">
        <f>(3/(1+('CurrentPor-Rat Factor Movements'!C112+'CurrentPor-Rat Factor Movements'!H112)/100)+103/POWER(1+('CurrentPor-Rat Factor Movements'!D112+'CurrentPor-Rat Factor Movements'!H112)/100,2))*100</f>
        <v>9500.1932308896776</v>
      </c>
      <c r="E112">
        <f>(3/(1+('CurrentPor-Rat Factor Movements'!C112+'CurrentPor-Rat Factor Movements'!I112)/100)+103/POWER(1+('CurrentPor-Rat Factor Movements'!D112+'CurrentPor-Rat Factor Movements'!I112)/100,2))*100</f>
        <v>9480.7272041730394</v>
      </c>
      <c r="F112">
        <f>Portfolio!B$5*'CurrentPor-Rat Factor Movements'!E112</f>
        <v>52143.895533915893</v>
      </c>
      <c r="G112">
        <f>Portfolio!B$6*'CurrentPor-Rat Factor Movements'!F112</f>
        <v>3696.2945087936532</v>
      </c>
      <c r="H112">
        <f>Portfolio!B$7*'CurrentPor-Rat Factor Movements'!J112</f>
        <v>2148.0998964419859</v>
      </c>
      <c r="I112">
        <f t="shared" si="2"/>
        <v>96087.729928573928</v>
      </c>
      <c r="J112">
        <f t="shared" si="3"/>
        <v>-427.25553005989059</v>
      </c>
    </row>
    <row r="113" spans="1:10">
      <c r="A113" s="1">
        <v>45628</v>
      </c>
      <c r="B113">
        <f>(3/(1+('CurrentPor-Rat Factor Movements'!C113)/100)+103/POWER(1+('CurrentPor-Rat Factor Movements'!D113)/100,2))*100</f>
        <v>9679.3358815644388</v>
      </c>
      <c r="C113">
        <f>(3/(1+('CurrentPor-Rat Factor Movements'!C113+'CurrentPor-Rat Factor Movements'!G113)/100)+103/POWER(1+('CurrentPor-Rat Factor Movements'!D113+'CurrentPor-Rat Factor Movements'!G113)/100,2))*100</f>
        <v>9587.1169576842331</v>
      </c>
      <c r="D113">
        <f>(3/(1+('CurrentPor-Rat Factor Movements'!C113+'CurrentPor-Rat Factor Movements'!H113)/100)+103/POWER(1+('CurrentPor-Rat Factor Movements'!D113+'CurrentPor-Rat Factor Movements'!H113)/100,2))*100</f>
        <v>9573.4482083967869</v>
      </c>
      <c r="E113">
        <f>(3/(1+('CurrentPor-Rat Factor Movements'!C113+'CurrentPor-Rat Factor Movements'!I113)/100)+103/POWER(1+('CurrentPor-Rat Factor Movements'!D113+'CurrentPor-Rat Factor Movements'!I113)/100,2))*100</f>
        <v>9553.7484003376285</v>
      </c>
      <c r="F113">
        <f>Portfolio!B$5*'CurrentPor-Rat Factor Movements'!E113</f>
        <v>52143.895533915893</v>
      </c>
      <c r="G113">
        <f>Portfolio!B$6*'CurrentPor-Rat Factor Movements'!F113</f>
        <v>3696.2945087936532</v>
      </c>
      <c r="H113">
        <f>Portfolio!B$7*'CurrentPor-Rat Factor Movements'!J113</f>
        <v>2148.0998964419859</v>
      </c>
      <c r="I113">
        <f t="shared" si="2"/>
        <v>96381.939387134611</v>
      </c>
      <c r="J113">
        <f t="shared" si="3"/>
        <v>-397.14155439342721</v>
      </c>
    </row>
    <row r="114" spans="1:10">
      <c r="A114" s="1">
        <v>45629</v>
      </c>
      <c r="B114">
        <f>(3/(1+('CurrentPor-Rat Factor Movements'!C114)/100)+103/POWER(1+('CurrentPor-Rat Factor Movements'!D114)/100,2))*100</f>
        <v>9560.767652040895</v>
      </c>
      <c r="C114">
        <f>(3/(1+('CurrentPor-Rat Factor Movements'!C114+'CurrentPor-Rat Factor Movements'!G114)/100)+103/POWER(1+('CurrentPor-Rat Factor Movements'!D114+'CurrentPor-Rat Factor Movements'!G114)/100,2))*100</f>
        <v>9470.2711982081528</v>
      </c>
      <c r="D114">
        <f>(3/(1+('CurrentPor-Rat Factor Movements'!C114+'CurrentPor-Rat Factor Movements'!H114)/100)+103/POWER(1+('CurrentPor-Rat Factor Movements'!D114+'CurrentPor-Rat Factor Movements'!H114)/100,2))*100</f>
        <v>9456.8570299184539</v>
      </c>
      <c r="E114">
        <f>(3/(1+('CurrentPor-Rat Factor Movements'!C114+'CurrentPor-Rat Factor Movements'!I114)/100)+103/POWER(1+('CurrentPor-Rat Factor Movements'!D114+'CurrentPor-Rat Factor Movements'!I114)/100,2))*100</f>
        <v>9437.5238017144711</v>
      </c>
      <c r="F114">
        <f>Portfolio!B$5*'CurrentPor-Rat Factor Movements'!E114</f>
        <v>52143.895533915893</v>
      </c>
      <c r="G114">
        <f>Portfolio!B$6*'CurrentPor-Rat Factor Movements'!F114</f>
        <v>3696.2945087936532</v>
      </c>
      <c r="H114">
        <f>Portfolio!B$7*'CurrentPor-Rat Factor Movements'!J114</f>
        <v>2148.0998964419859</v>
      </c>
      <c r="I114">
        <f t="shared" si="2"/>
        <v>95913.7096210335</v>
      </c>
      <c r="J114">
        <f t="shared" si="3"/>
        <v>-240.98695852840319</v>
      </c>
    </row>
    <row r="115" spans="1:10">
      <c r="A115" s="1">
        <v>45630</v>
      </c>
      <c r="B115">
        <f>(3/(1+('CurrentPor-Rat Factor Movements'!C115)/100)+103/POWER(1+('CurrentPor-Rat Factor Movements'!D115)/100,2))*100</f>
        <v>9677.0845449902299</v>
      </c>
      <c r="C115">
        <f>(3/(1+('CurrentPor-Rat Factor Movements'!C115+'CurrentPor-Rat Factor Movements'!G115)/100)+103/POWER(1+('CurrentPor-Rat Factor Movements'!D115+'CurrentPor-Rat Factor Movements'!G115)/100,2))*100</f>
        <v>9584.9093202464337</v>
      </c>
      <c r="D115">
        <f>(3/(1+('CurrentPor-Rat Factor Movements'!C115+'CurrentPor-Rat Factor Movements'!H115)/100)+103/POWER(1+('CurrentPor-Rat Factor Movements'!D115+'CurrentPor-Rat Factor Movements'!H115)/100,2))*100</f>
        <v>9571.2470204491474</v>
      </c>
      <c r="E115">
        <f>(3/(1+('CurrentPor-Rat Factor Movements'!C115+'CurrentPor-Rat Factor Movements'!I115)/100)+103/POWER(1+('CurrentPor-Rat Factor Movements'!D115+'CurrentPor-Rat Factor Movements'!I115)/100,2))*100</f>
        <v>9551.5564950135595</v>
      </c>
      <c r="F115">
        <f>Portfolio!B$5*'CurrentPor-Rat Factor Movements'!E115</f>
        <v>52143.895533915893</v>
      </c>
      <c r="G115">
        <f>Portfolio!B$6*'CurrentPor-Rat Factor Movements'!F115</f>
        <v>3696.2945087936532</v>
      </c>
      <c r="H115">
        <f>Portfolio!B$7*'CurrentPor-Rat Factor Movements'!J115</f>
        <v>2148.0998964419859</v>
      </c>
      <c r="I115">
        <f t="shared" si="2"/>
        <v>96373.087319850907</v>
      </c>
      <c r="J115">
        <f t="shared" si="3"/>
        <v>-53.714053894014796</v>
      </c>
    </row>
    <row r="116" spans="1:10">
      <c r="A116" s="1">
        <v>45631</v>
      </c>
      <c r="B116">
        <f>(3/(1+('CurrentPor-Rat Factor Movements'!C116)/100)+103/POWER(1+('CurrentPor-Rat Factor Movements'!D116)/100,2))*100</f>
        <v>9619.7265694879497</v>
      </c>
      <c r="C116">
        <f>(3/(1+('CurrentPor-Rat Factor Movements'!C116+'CurrentPor-Rat Factor Movements'!G116)/100)+103/POWER(1+('CurrentPor-Rat Factor Movements'!D116+'CurrentPor-Rat Factor Movements'!G116)/100,2))*100</f>
        <v>9528.3788196893038</v>
      </c>
      <c r="D116">
        <f>(3/(1+('CurrentPor-Rat Factor Movements'!C116+'CurrentPor-Rat Factor Movements'!H116)/100)+103/POWER(1+('CurrentPor-Rat Factor Movements'!D116+'CurrentPor-Rat Factor Movements'!H116)/100,2))*100</f>
        <v>9514.8388244282778</v>
      </c>
      <c r="E116">
        <f>(3/(1+('CurrentPor-Rat Factor Movements'!C116+'CurrentPor-Rat Factor Movements'!I116)/100)+103/POWER(1+('CurrentPor-Rat Factor Movements'!D116+'CurrentPor-Rat Factor Movements'!I116)/100,2))*100</f>
        <v>9495.3244111901367</v>
      </c>
      <c r="F116">
        <f>Portfolio!B$5*'CurrentPor-Rat Factor Movements'!E116</f>
        <v>52143.895533915893</v>
      </c>
      <c r="G116">
        <f>Portfolio!B$6*'CurrentPor-Rat Factor Movements'!F116</f>
        <v>3696.2945087936532</v>
      </c>
      <c r="H116">
        <f>Portfolio!B$7*'CurrentPor-Rat Factor Movements'!J116</f>
        <v>2148.0998964419859</v>
      </c>
      <c r="I116">
        <f t="shared" si="2"/>
        <v>96146.558563947197</v>
      </c>
      <c r="J116">
        <f t="shared" si="3"/>
        <v>-638.6874716180464</v>
      </c>
    </row>
    <row r="117" spans="1:10">
      <c r="A117" s="1">
        <v>45632</v>
      </c>
      <c r="B117">
        <f>(3/(1+('CurrentPor-Rat Factor Movements'!C117)/100)+103/POWER(1+('CurrentPor-Rat Factor Movements'!D117)/100,2))*100</f>
        <v>9534.1200725609815</v>
      </c>
      <c r="C117">
        <f>(3/(1+('CurrentPor-Rat Factor Movements'!C117+'CurrentPor-Rat Factor Movements'!G117)/100)+103/POWER(1+('CurrentPor-Rat Factor Movements'!D117+'CurrentPor-Rat Factor Movements'!G117)/100,2))*100</f>
        <v>9444.0075480478936</v>
      </c>
      <c r="D117">
        <f>(3/(1+('CurrentPor-Rat Factor Movements'!C117+'CurrentPor-Rat Factor Movements'!H117)/100)+103/POWER(1+('CurrentPor-Rat Factor Movements'!D117+'CurrentPor-Rat Factor Movements'!H117)/100,2))*100</f>
        <v>9430.6501283788166</v>
      </c>
      <c r="E117">
        <f>(3/(1+('CurrentPor-Rat Factor Movements'!C117+'CurrentPor-Rat Factor Movements'!I117)/100)+103/POWER(1+('CurrentPor-Rat Factor Movements'!D117+'CurrentPor-Rat Factor Movements'!I117)/100,2))*100</f>
        <v>9411.3986162155907</v>
      </c>
      <c r="F117">
        <f>Portfolio!B$5*'CurrentPor-Rat Factor Movements'!E117</f>
        <v>52143.895533915893</v>
      </c>
      <c r="G117">
        <f>Portfolio!B$6*'CurrentPor-Rat Factor Movements'!F117</f>
        <v>3696.2945087936532</v>
      </c>
      <c r="H117">
        <f>Portfolio!B$7*'CurrentPor-Rat Factor Movements'!J117</f>
        <v>2148.0998964419859</v>
      </c>
      <c r="I117">
        <f t="shared" si="2"/>
        <v>95808.466304354821</v>
      </c>
      <c r="J117">
        <f t="shared" si="3"/>
        <v>-1173.8443470488273</v>
      </c>
    </row>
    <row r="118" spans="1:10">
      <c r="A118" s="1">
        <v>45635</v>
      </c>
      <c r="B118">
        <f>(3/(1+('CurrentPor-Rat Factor Movements'!C118)/100)+103/POWER(1+('CurrentPor-Rat Factor Movements'!D118)/100,2))*100</f>
        <v>9781.4718967678182</v>
      </c>
      <c r="C118">
        <f>(3/(1+('CurrentPor-Rat Factor Movements'!C118+'CurrentPor-Rat Factor Movements'!G118)/100)+103/POWER(1+('CurrentPor-Rat Factor Movements'!D118+'CurrentPor-Rat Factor Movements'!G118)/100,2))*100</f>
        <v>9687.7761579107355</v>
      </c>
      <c r="D118">
        <f>(3/(1+('CurrentPor-Rat Factor Movements'!C118+'CurrentPor-Rat Factor Movements'!H118)/100)+103/POWER(1+('CurrentPor-Rat Factor Movements'!D118+'CurrentPor-Rat Factor Movements'!H118)/100,2))*100</f>
        <v>9673.8891368839431</v>
      </c>
      <c r="E118">
        <f>(3/(1+('CurrentPor-Rat Factor Movements'!C118+'CurrentPor-Rat Factor Movements'!I118)/100)+103/POWER(1+('CurrentPor-Rat Factor Movements'!D118+'CurrentPor-Rat Factor Movements'!I118)/100,2))*100</f>
        <v>9653.8750325408801</v>
      </c>
      <c r="F118">
        <f>Portfolio!B$5*'CurrentPor-Rat Factor Movements'!E118</f>
        <v>52143.895533915893</v>
      </c>
      <c r="G118">
        <f>Portfolio!B$6*'CurrentPor-Rat Factor Movements'!F118</f>
        <v>3696.2945087936532</v>
      </c>
      <c r="H118">
        <f>Portfolio!B$7*'CurrentPor-Rat Factor Movements'!J118</f>
        <v>2148.0998964419859</v>
      </c>
      <c r="I118">
        <f t="shared" si="2"/>
        <v>96785.302163254906</v>
      </c>
      <c r="J118">
        <f t="shared" si="3"/>
        <v>-193.09566801432811</v>
      </c>
    </row>
    <row r="119" spans="1:10">
      <c r="A119" s="1">
        <v>45636</v>
      </c>
      <c r="B119">
        <f>(3/(1+('CurrentPor-Rat Factor Movements'!C119)/100)+103/POWER(1+('CurrentPor-Rat Factor Movements'!D119)/100,2))*100</f>
        <v>9716.0182130359408</v>
      </c>
      <c r="C119">
        <f>(3/(1+('CurrentPor-Rat Factor Movements'!C119+'CurrentPor-Rat Factor Movements'!G119)/100)+103/POWER(1+('CurrentPor-Rat Factor Movements'!D119+'CurrentPor-Rat Factor Movements'!G119)/100,2))*100</f>
        <v>9623.2681356230551</v>
      </c>
      <c r="D119">
        <f>(3/(1+('CurrentPor-Rat Factor Movements'!C119+'CurrentPor-Rat Factor Movements'!H119)/100)+103/POWER(1+('CurrentPor-Rat Factor Movements'!D119+'CurrentPor-Rat Factor Movements'!H119)/100,2))*100</f>
        <v>9609.5208822722288</v>
      </c>
      <c r="E119">
        <f>(3/(1+('CurrentPor-Rat Factor Movements'!C119+'CurrentPor-Rat Factor Movements'!I119)/100)+103/POWER(1+('CurrentPor-Rat Factor Movements'!D119+'CurrentPor-Rat Factor Movements'!I119)/100,2))*100</f>
        <v>9589.7080337143507</v>
      </c>
      <c r="F119">
        <f>Portfolio!B$5*'CurrentPor-Rat Factor Movements'!E119</f>
        <v>52143.895533915893</v>
      </c>
      <c r="G119">
        <f>Portfolio!B$6*'CurrentPor-Rat Factor Movements'!F119</f>
        <v>3696.2945087936532</v>
      </c>
      <c r="H119">
        <f>Portfolio!B$7*'CurrentPor-Rat Factor Movements'!J119</f>
        <v>2148.0998964419859</v>
      </c>
      <c r="I119">
        <f t="shared" si="2"/>
        <v>96526.805203797107</v>
      </c>
      <c r="J119">
        <f t="shared" si="3"/>
        <v>-644.80425212123373</v>
      </c>
    </row>
    <row r="120" spans="1:10">
      <c r="A120" s="1">
        <v>45637</v>
      </c>
      <c r="B120">
        <f>(3/(1+('CurrentPor-Rat Factor Movements'!C120)/100)+103/POWER(1+('CurrentPor-Rat Factor Movements'!D120)/100,2))*100</f>
        <v>9910.2354053273502</v>
      </c>
      <c r="C120">
        <f>(3/(1+('CurrentPor-Rat Factor Movements'!C120+'CurrentPor-Rat Factor Movements'!G120)/100)+103/POWER(1+('CurrentPor-Rat Factor Movements'!D120+'CurrentPor-Rat Factor Movements'!G120)/100,2))*100</f>
        <v>9814.6721485113576</v>
      </c>
      <c r="D120">
        <f>(3/(1+('CurrentPor-Rat Factor Movements'!C120+'CurrentPor-Rat Factor Movements'!H120)/100)+103/POWER(1+('CurrentPor-Rat Factor Movements'!D120+'CurrentPor-Rat Factor Movements'!H120)/100,2))*100</f>
        <v>9800.5091241992795</v>
      </c>
      <c r="E120">
        <f>(3/(1+('CurrentPor-Rat Factor Movements'!C120+'CurrentPor-Rat Factor Movements'!I120)/100)+103/POWER(1+('CurrentPor-Rat Factor Movements'!D120+'CurrentPor-Rat Factor Movements'!I120)/100,2))*100</f>
        <v>9780.0976004504173</v>
      </c>
      <c r="F120">
        <f>Portfolio!B$5*'CurrentPor-Rat Factor Movements'!E120</f>
        <v>52143.895533915893</v>
      </c>
      <c r="G120">
        <f>Portfolio!B$6*'CurrentPor-Rat Factor Movements'!F120</f>
        <v>3696.2945087936532</v>
      </c>
      <c r="H120">
        <f>Portfolio!B$7*'CurrentPor-Rat Factor Movements'!J120</f>
        <v>2148.0998964419859</v>
      </c>
      <c r="I120">
        <f t="shared" si="2"/>
        <v>97293.804217639947</v>
      </c>
      <c r="J120">
        <f t="shared" si="3"/>
        <v>582.42935108680103</v>
      </c>
    </row>
    <row r="121" spans="1:10">
      <c r="A121" s="1">
        <v>45638</v>
      </c>
      <c r="B121">
        <f>(3/(1+('CurrentPor-Rat Factor Movements'!C121)/100)+103/POWER(1+('CurrentPor-Rat Factor Movements'!D121)/100,2))*100</f>
        <v>9803.6858757423197</v>
      </c>
      <c r="C121">
        <f>(3/(1+('CurrentPor-Rat Factor Movements'!C121+'CurrentPor-Rat Factor Movements'!G121)/100)+103/POWER(1+('CurrentPor-Rat Factor Movements'!D121+'CurrentPor-Rat Factor Movements'!G121)/100,2))*100</f>
        <v>9709.6711292889649</v>
      </c>
      <c r="D121">
        <f>(3/(1+('CurrentPor-Rat Factor Movements'!C121+'CurrentPor-Rat Factor Movements'!H121)/100)+103/POWER(1+('CurrentPor-Rat Factor Movements'!D121+'CurrentPor-Rat Factor Movements'!H121)/100,2))*100</f>
        <v>9695.7369582583306</v>
      </c>
      <c r="E121">
        <f>(3/(1+('CurrentPor-Rat Factor Movements'!C121+'CurrentPor-Rat Factor Movements'!I121)/100)+103/POWER(1+('CurrentPor-Rat Factor Movements'!D121+'CurrentPor-Rat Factor Movements'!I121)/100,2))*100</f>
        <v>9675.6549606909066</v>
      </c>
      <c r="F121">
        <f>Portfolio!B$5*'CurrentPor-Rat Factor Movements'!E121</f>
        <v>52143.895533915893</v>
      </c>
      <c r="G121">
        <f>Portfolio!B$6*'CurrentPor-Rat Factor Movements'!F121</f>
        <v>3696.2945087936532</v>
      </c>
      <c r="H121">
        <f>Portfolio!B$7*'CurrentPor-Rat Factor Movements'!J121</f>
        <v>2148.0998964419859</v>
      </c>
      <c r="I121">
        <f t="shared" si="2"/>
        <v>96873.038863132053</v>
      </c>
      <c r="J121">
        <f t="shared" si="3"/>
        <v>1078.1420554945798</v>
      </c>
    </row>
    <row r="122" spans="1:10">
      <c r="A122" s="1">
        <v>45639</v>
      </c>
      <c r="B122">
        <f>(3/(1+('CurrentPor-Rat Factor Movements'!C122)/100)+103/POWER(1+('CurrentPor-Rat Factor Movements'!D122)/100,2))*100</f>
        <v>9735.0323780351737</v>
      </c>
      <c r="C122">
        <f>(3/(1+('CurrentPor-Rat Factor Movements'!C122+'CurrentPor-Rat Factor Movements'!G122)/100)+103/POWER(1+('CurrentPor-Rat Factor Movements'!D122+'CurrentPor-Rat Factor Movements'!G122)/100,2))*100</f>
        <v>9642.0253612637352</v>
      </c>
      <c r="D122">
        <f>(3/(1+('CurrentPor-Rat Factor Movements'!C122+'CurrentPor-Rat Factor Movements'!H122)/100)+103/POWER(1+('CurrentPor-Rat Factor Movements'!D122+'CurrentPor-Rat Factor Movements'!H122)/100,2))*100</f>
        <v>9628.2401173858198</v>
      </c>
      <c r="E122">
        <f>(3/(1+('CurrentPor-Rat Factor Movements'!C122+'CurrentPor-Rat Factor Movements'!I122)/100)+103/POWER(1+('CurrentPor-Rat Factor Movements'!D122+'CurrentPor-Rat Factor Movements'!I122)/100,2))*100</f>
        <v>9608.372558167337</v>
      </c>
      <c r="F122">
        <f>Portfolio!B$5*'CurrentPor-Rat Factor Movements'!E122</f>
        <v>52143.895533915893</v>
      </c>
      <c r="G122">
        <f>Portfolio!B$6*'CurrentPor-Rat Factor Movements'!F122</f>
        <v>3696.2945087936532</v>
      </c>
      <c r="H122">
        <f>Portfolio!B$7*'CurrentPor-Rat Factor Movements'!J122</f>
        <v>2148.0998964419859</v>
      </c>
      <c r="I122">
        <f t="shared" si="2"/>
        <v>96601.960354003604</v>
      </c>
      <c r="J122">
        <f t="shared" si="3"/>
        <v>514.23042542967596</v>
      </c>
    </row>
    <row r="123" spans="1:10">
      <c r="A123" s="1">
        <v>45642</v>
      </c>
      <c r="B123">
        <f>(3/(1+('CurrentPor-Rat Factor Movements'!C123)/100)+103/POWER(1+('CurrentPor-Rat Factor Movements'!D123)/100,2))*100</f>
        <v>9810.1120492130867</v>
      </c>
      <c r="C123">
        <f>(3/(1+('CurrentPor-Rat Factor Movements'!C123+'CurrentPor-Rat Factor Movements'!G123)/100)+103/POWER(1+('CurrentPor-Rat Factor Movements'!D123+'CurrentPor-Rat Factor Movements'!G123)/100,2))*100</f>
        <v>9715.9911038705031</v>
      </c>
      <c r="D123">
        <f>(3/(1+('CurrentPor-Rat Factor Movements'!C123+'CurrentPor-Rat Factor Movements'!H123)/100)+103/POWER(1+('CurrentPor-Rat Factor Movements'!D123+'CurrentPor-Rat Factor Movements'!H123)/100,2))*100</f>
        <v>9702.0412483305299</v>
      </c>
      <c r="E123">
        <f>(3/(1+('CurrentPor-Rat Factor Movements'!C123+'CurrentPor-Rat Factor Movements'!I123)/100)+103/POWER(1+('CurrentPor-Rat Factor Movements'!D123+'CurrentPor-Rat Factor Movements'!I123)/100,2))*100</f>
        <v>9681.9366714314237</v>
      </c>
      <c r="F123">
        <f>Portfolio!B$5*'CurrentPor-Rat Factor Movements'!E123</f>
        <v>52143.895533915893</v>
      </c>
      <c r="G123">
        <f>Portfolio!B$6*'CurrentPor-Rat Factor Movements'!F123</f>
        <v>3696.2945087936532</v>
      </c>
      <c r="H123">
        <f>Portfolio!B$7*'CurrentPor-Rat Factor Movements'!J123</f>
        <v>2148.0998964419859</v>
      </c>
      <c r="I123">
        <f t="shared" si="2"/>
        <v>96898.371011997064</v>
      </c>
      <c r="J123">
        <f t="shared" si="3"/>
        <v>516.43162486245274</v>
      </c>
    </row>
    <row r="124" spans="1:10">
      <c r="A124" s="1">
        <v>45643</v>
      </c>
      <c r="B124">
        <f>(3/(1+('CurrentPor-Rat Factor Movements'!C124)/100)+103/POWER(1+('CurrentPor-Rat Factor Movements'!D124)/100,2))*100</f>
        <v>9650.839542769223</v>
      </c>
      <c r="C124">
        <f>(3/(1+('CurrentPor-Rat Factor Movements'!C124+'CurrentPor-Rat Factor Movements'!G124)/100)+103/POWER(1+('CurrentPor-Rat Factor Movements'!D124+'CurrentPor-Rat Factor Movements'!G124)/100,2))*100</f>
        <v>9559.0580870915892</v>
      </c>
      <c r="D124">
        <f>(3/(1+('CurrentPor-Rat Factor Movements'!C124+'CurrentPor-Rat Factor Movements'!H124)/100)+103/POWER(1+('CurrentPor-Rat Factor Movements'!D124+'CurrentPor-Rat Factor Movements'!H124)/100,2))*100</f>
        <v>9545.453975267983</v>
      </c>
      <c r="E124">
        <f>(3/(1+('CurrentPor-Rat Factor Movements'!C124+'CurrentPor-Rat Factor Movements'!I124)/100)+103/POWER(1+('CurrentPor-Rat Factor Movements'!D124+'CurrentPor-Rat Factor Movements'!I124)/100,2))*100</f>
        <v>9525.8472316256557</v>
      </c>
      <c r="F124">
        <f>Portfolio!B$5*'CurrentPor-Rat Factor Movements'!E124</f>
        <v>52143.895533915893</v>
      </c>
      <c r="G124">
        <f>Portfolio!B$6*'CurrentPor-Rat Factor Movements'!F124</f>
        <v>3696.2945087936532</v>
      </c>
      <c r="H124">
        <f>Portfolio!B$7*'CurrentPor-Rat Factor Movements'!J124</f>
        <v>2148.0998964419859</v>
      </c>
      <c r="I124">
        <f t="shared" si="2"/>
        <v>96269.488775905993</v>
      </c>
      <c r="J124">
        <f t="shared" si="3"/>
        <v>355.77915487249265</v>
      </c>
    </row>
    <row r="125" spans="1:10">
      <c r="A125" s="1">
        <v>45644</v>
      </c>
      <c r="B125">
        <f>(3/(1+('CurrentPor-Rat Factor Movements'!C125)/100)+103/POWER(1+('CurrentPor-Rat Factor Movements'!D125)/100,2))*100</f>
        <v>9790.5993898246415</v>
      </c>
      <c r="C125">
        <f>(3/(1+('CurrentPor-Rat Factor Movements'!C125+'CurrentPor-Rat Factor Movements'!G125)/100)+103/POWER(1+('CurrentPor-Rat Factor Movements'!D125+'CurrentPor-Rat Factor Movements'!G125)/100,2))*100</f>
        <v>9696.7678307482092</v>
      </c>
      <c r="D125">
        <f>(3/(1+('CurrentPor-Rat Factor Movements'!C125+'CurrentPor-Rat Factor Movements'!H125)/100)+103/POWER(1+('CurrentPor-Rat Factor Movements'!D125+'CurrentPor-Rat Factor Movements'!H125)/100,2))*100</f>
        <v>9682.8607391990336</v>
      </c>
      <c r="E125">
        <f>(3/(1+('CurrentPor-Rat Factor Movements'!C125+'CurrentPor-Rat Factor Movements'!I125)/100)+103/POWER(1+('CurrentPor-Rat Factor Movements'!D125+'CurrentPor-Rat Factor Movements'!I125)/100,2))*100</f>
        <v>9662.8177363114482</v>
      </c>
      <c r="F125">
        <f>Portfolio!B$5*'CurrentPor-Rat Factor Movements'!E125</f>
        <v>52143.895533915893</v>
      </c>
      <c r="G125">
        <f>Portfolio!B$6*'CurrentPor-Rat Factor Movements'!F125</f>
        <v>3696.2945087936532</v>
      </c>
      <c r="H125">
        <f>Portfolio!B$7*'CurrentPor-Rat Factor Movements'!J125</f>
        <v>2148.0998964419859</v>
      </c>
      <c r="I125">
        <f t="shared" si="2"/>
        <v>96821.335635234864</v>
      </c>
      <c r="J125">
        <f t="shared" si="3"/>
        <v>448.24831538395665</v>
      </c>
    </row>
    <row r="126" spans="1:10">
      <c r="A126" s="1">
        <v>45645</v>
      </c>
      <c r="B126">
        <f>(3/(1+('CurrentPor-Rat Factor Movements'!C126)/100)+103/POWER(1+('CurrentPor-Rat Factor Movements'!D126)/100,2))*100</f>
        <v>9785.1758715486139</v>
      </c>
      <c r="C126">
        <f>(3/(1+('CurrentPor-Rat Factor Movements'!C126+'CurrentPor-Rat Factor Movements'!G126)/100)+103/POWER(1+('CurrentPor-Rat Factor Movements'!D126+'CurrentPor-Rat Factor Movements'!G126)/100,2))*100</f>
        <v>9691.4365670529569</v>
      </c>
      <c r="D126">
        <f>(3/(1+('CurrentPor-Rat Factor Movements'!C126+'CurrentPor-Rat Factor Movements'!H126)/100)+103/POWER(1+('CurrentPor-Rat Factor Movements'!D126+'CurrentPor-Rat Factor Movements'!H126)/100,2))*100</f>
        <v>9677.5430987395484</v>
      </c>
      <c r="E126">
        <f>(3/(1+('CurrentPor-Rat Factor Movements'!C126+'CurrentPor-Rat Factor Movements'!I126)/100)+103/POWER(1+('CurrentPor-Rat Factor Movements'!D126+'CurrentPor-Rat Factor Movements'!I126)/100,2))*100</f>
        <v>9657.5197069453352</v>
      </c>
      <c r="F126">
        <f>Portfolio!B$5*'CurrentPor-Rat Factor Movements'!E126</f>
        <v>52143.895533915893</v>
      </c>
      <c r="G126">
        <f>Portfolio!B$6*'CurrentPor-Rat Factor Movements'!F126</f>
        <v>3696.2945087936532</v>
      </c>
      <c r="H126">
        <f>Portfolio!B$7*'CurrentPor-Rat Factor Movements'!J126</f>
        <v>2148.0998964419859</v>
      </c>
      <c r="I126">
        <f t="shared" si="2"/>
        <v>96799.965183437991</v>
      </c>
      <c r="J126">
        <f t="shared" si="3"/>
        <v>653.40661949079367</v>
      </c>
    </row>
    <row r="127" spans="1:10">
      <c r="A127" s="1">
        <v>45646</v>
      </c>
      <c r="B127">
        <f>(3/(1+('CurrentPor-Rat Factor Movements'!C127)/100)+103/POWER(1+('CurrentPor-Rat Factor Movements'!D127)/100,2))*100</f>
        <v>9783.8721463292823</v>
      </c>
      <c r="C127">
        <f>(3/(1+('CurrentPor-Rat Factor Movements'!C127+'CurrentPor-Rat Factor Movements'!G127)/100)+103/POWER(1+('CurrentPor-Rat Factor Movements'!D127+'CurrentPor-Rat Factor Movements'!G127)/100,2))*100</f>
        <v>9690.1481708905758</v>
      </c>
      <c r="D127">
        <f>(3/(1+('CurrentPor-Rat Factor Movements'!C127+'CurrentPor-Rat Factor Movements'!H127)/100)+103/POWER(1+('CurrentPor-Rat Factor Movements'!D127+'CurrentPor-Rat Factor Movements'!H127)/100,2))*100</f>
        <v>9676.2569711322449</v>
      </c>
      <c r="E127">
        <f>(3/(1+('CurrentPor-Rat Factor Movements'!C127+'CurrentPor-Rat Factor Movements'!I127)/100)+103/POWER(1+('CurrentPor-Rat Factor Movements'!D127+'CurrentPor-Rat Factor Movements'!I127)/100,2))*100</f>
        <v>9656.23684724142</v>
      </c>
      <c r="F127">
        <f>Portfolio!B$5*'CurrentPor-Rat Factor Movements'!E127</f>
        <v>52143.895533915893</v>
      </c>
      <c r="G127">
        <f>Portfolio!B$6*'CurrentPor-Rat Factor Movements'!F127</f>
        <v>3696.2945087936532</v>
      </c>
      <c r="H127">
        <f>Portfolio!B$7*'CurrentPor-Rat Factor Movements'!J127</f>
        <v>2148.0998964419859</v>
      </c>
      <c r="I127">
        <f t="shared" si="2"/>
        <v>96794.804074745058</v>
      </c>
      <c r="J127">
        <f t="shared" si="3"/>
        <v>986.33777039023698</v>
      </c>
    </row>
    <row r="128" spans="1:10">
      <c r="A128" s="1">
        <v>45649</v>
      </c>
      <c r="B128">
        <f>(3/(1+('CurrentPor-Rat Factor Movements'!C128)/100)+103/POWER(1+('CurrentPor-Rat Factor Movements'!D128)/100,2))*100</f>
        <v>9776.6150031011384</v>
      </c>
      <c r="C128">
        <f>(3/(1+('CurrentPor-Rat Factor Movements'!C128+'CurrentPor-Rat Factor Movements'!G128)/100)+103/POWER(1+('CurrentPor-Rat Factor Movements'!D128+'CurrentPor-Rat Factor Movements'!G128)/100,2))*100</f>
        <v>9683.0031918398872</v>
      </c>
      <c r="D128">
        <f>(3/(1+('CurrentPor-Rat Factor Movements'!C128+'CurrentPor-Rat Factor Movements'!H128)/100)+103/POWER(1+('CurrentPor-Rat Factor Movements'!D128+'CurrentPor-Rat Factor Movements'!H128)/100,2))*100</f>
        <v>9669.1285635077293</v>
      </c>
      <c r="E128">
        <f>(3/(1+('CurrentPor-Rat Factor Movements'!C128+'CurrentPor-Rat Factor Movements'!I128)/100)+103/POWER(1+('CurrentPor-Rat Factor Movements'!D128+'CurrentPor-Rat Factor Movements'!I128)/100,2))*100</f>
        <v>9649.132298444767</v>
      </c>
      <c r="F128">
        <f>Portfolio!B$5*'CurrentPor-Rat Factor Movements'!E128</f>
        <v>52143.895533915893</v>
      </c>
      <c r="G128">
        <f>Portfolio!B$6*'CurrentPor-Rat Factor Movements'!F128</f>
        <v>3696.2945087936532</v>
      </c>
      <c r="H128">
        <f>Portfolio!B$7*'CurrentPor-Rat Factor Movements'!J128</f>
        <v>2148.0998964419859</v>
      </c>
      <c r="I128">
        <f t="shared" si="2"/>
        <v>96766.16899604506</v>
      </c>
      <c r="J128">
        <f t="shared" si="3"/>
        <v>-19.133167209845851</v>
      </c>
    </row>
    <row r="129" spans="1:10">
      <c r="A129" s="1">
        <v>45650</v>
      </c>
      <c r="B129">
        <f>(3/(1+('CurrentPor-Rat Factor Movements'!C129)/100)+103/POWER(1+('CurrentPor-Rat Factor Movements'!D129)/100,2))*100</f>
        <v>9899.3424180785387</v>
      </c>
      <c r="C129">
        <f>(3/(1+('CurrentPor-Rat Factor Movements'!C129+'CurrentPor-Rat Factor Movements'!G129)/100)+103/POWER(1+('CurrentPor-Rat Factor Movements'!D129+'CurrentPor-Rat Factor Movements'!G129)/100,2))*100</f>
        <v>9803.939291218041</v>
      </c>
      <c r="D129">
        <f>(3/(1+('CurrentPor-Rat Factor Movements'!C129+'CurrentPor-Rat Factor Movements'!H129)/100)+103/POWER(1+('CurrentPor-Rat Factor Movements'!D129+'CurrentPor-Rat Factor Movements'!H129)/100,2))*100</f>
        <v>9789.7999305346129</v>
      </c>
      <c r="E129">
        <f>(3/(1+('CurrentPor-Rat Factor Movements'!C129+'CurrentPor-Rat Factor Movements'!I129)/100)+103/POWER(1+('CurrentPor-Rat Factor Movements'!D129+'CurrentPor-Rat Factor Movements'!I129)/100,2))*100</f>
        <v>9769.4224792290679</v>
      </c>
      <c r="F129">
        <f>Portfolio!B$5*'CurrentPor-Rat Factor Movements'!E129</f>
        <v>52143.895533915893</v>
      </c>
      <c r="G129">
        <f>Portfolio!B$6*'CurrentPor-Rat Factor Movements'!F129</f>
        <v>3696.2945087936532</v>
      </c>
      <c r="H129">
        <f>Portfolio!B$7*'CurrentPor-Rat Factor Movements'!J129</f>
        <v>2148.0998964419859</v>
      </c>
      <c r="I129">
        <f t="shared" si="2"/>
        <v>97250.794058211788</v>
      </c>
      <c r="J129">
        <f t="shared" si="3"/>
        <v>723.98885441468155</v>
      </c>
    </row>
    <row r="130" spans="1:10">
      <c r="A130" s="1">
        <v>45651</v>
      </c>
      <c r="B130">
        <f>(3/(1+('CurrentPor-Rat Factor Movements'!C130)/100)+103/POWER(1+('CurrentPor-Rat Factor Movements'!D130)/100,2))*100</f>
        <v>9690.6676632511735</v>
      </c>
      <c r="C130">
        <f>(3/(1+('CurrentPor-Rat Factor Movements'!C130+'CurrentPor-Rat Factor Movements'!G130)/100)+103/POWER(1+('CurrentPor-Rat Factor Movements'!D130+'CurrentPor-Rat Factor Movements'!G130)/100,2))*100</f>
        <v>9598.2879727354775</v>
      </c>
      <c r="D130">
        <f>(3/(1+('CurrentPor-Rat Factor Movements'!C130+'CurrentPor-Rat Factor Movements'!H130)/100)+103/POWER(1+('CurrentPor-Rat Factor Movements'!D130+'CurrentPor-Rat Factor Movements'!H130)/100,2))*100</f>
        <v>9584.5954594135655</v>
      </c>
      <c r="E130">
        <f>(3/(1+('CurrentPor-Rat Factor Movements'!C130+'CurrentPor-Rat Factor Movements'!I130)/100)+103/POWER(1+('CurrentPor-Rat Factor Movements'!D130+'CurrentPor-Rat Factor Movements'!I130)/100,2))*100</f>
        <v>9564.8614314620754</v>
      </c>
      <c r="F130">
        <f>Portfolio!B$5*'CurrentPor-Rat Factor Movements'!E130</f>
        <v>52143.895533915893</v>
      </c>
      <c r="G130">
        <f>Portfolio!B$6*'CurrentPor-Rat Factor Movements'!F130</f>
        <v>3696.2945087936532</v>
      </c>
      <c r="H130">
        <f>Portfolio!B$7*'CurrentPor-Rat Factor Movements'!J130</f>
        <v>2148.0998964419859</v>
      </c>
      <c r="I130">
        <f t="shared" si="2"/>
        <v>96426.702466013827</v>
      </c>
      <c r="J130">
        <f t="shared" si="3"/>
        <v>-867.10175162611995</v>
      </c>
    </row>
    <row r="131" spans="1:10">
      <c r="A131" s="1">
        <v>45652</v>
      </c>
      <c r="B131">
        <f>(3/(1+('CurrentPor-Rat Factor Movements'!C131)/100)+103/POWER(1+('CurrentPor-Rat Factor Movements'!D131)/100,2))*100</f>
        <v>9732.6930145099632</v>
      </c>
      <c r="C131">
        <f>(3/(1+('CurrentPor-Rat Factor Movements'!C131+'CurrentPor-Rat Factor Movements'!G131)/100)+103/POWER(1+('CurrentPor-Rat Factor Movements'!D131+'CurrentPor-Rat Factor Movements'!G131)/100,2))*100</f>
        <v>9639.7271787106074</v>
      </c>
      <c r="D131">
        <f>(3/(1+('CurrentPor-Rat Factor Movements'!C131+'CurrentPor-Rat Factor Movements'!H131)/100)+103/POWER(1+('CurrentPor-Rat Factor Movements'!D131+'CurrentPor-Rat Factor Movements'!H131)/100,2))*100</f>
        <v>9625.9480151723074</v>
      </c>
      <c r="E131">
        <f>(3/(1+('CurrentPor-Rat Factor Movements'!C131+'CurrentPor-Rat Factor Movements'!I131)/100)+103/POWER(1+('CurrentPor-Rat Factor Movements'!D131+'CurrentPor-Rat Factor Movements'!I131)/100,2))*100</f>
        <v>9606.0892084102525</v>
      </c>
      <c r="F131">
        <f>Portfolio!B$5*'CurrentPor-Rat Factor Movements'!E131</f>
        <v>52143.895533915893</v>
      </c>
      <c r="G131">
        <f>Portfolio!B$6*'CurrentPor-Rat Factor Movements'!F131</f>
        <v>3696.2945087936532</v>
      </c>
      <c r="H131">
        <f>Portfolio!B$7*'CurrentPor-Rat Factor Movements'!J131</f>
        <v>2148.0998964419859</v>
      </c>
      <c r="I131">
        <f t="shared" si="2"/>
        <v>96592.747355954649</v>
      </c>
      <c r="J131">
        <f t="shared" si="3"/>
        <v>-280.29150717740413</v>
      </c>
    </row>
    <row r="132" spans="1:10">
      <c r="A132" s="1">
        <v>45653</v>
      </c>
      <c r="B132">
        <f>(3/(1+('CurrentPor-Rat Factor Movements'!C132)/100)+103/POWER(1+('CurrentPor-Rat Factor Movements'!D132)/100,2))*100</f>
        <v>9681.2688562596759</v>
      </c>
      <c r="C132">
        <f>(3/(1+('CurrentPor-Rat Factor Movements'!C132+'CurrentPor-Rat Factor Movements'!G132)/100)+103/POWER(1+('CurrentPor-Rat Factor Movements'!D132+'CurrentPor-Rat Factor Movements'!G132)/100,2))*100</f>
        <v>9589.0396689278095</v>
      </c>
      <c r="D132">
        <f>(3/(1+('CurrentPor-Rat Factor Movements'!C132+'CurrentPor-Rat Factor Movements'!H132)/100)+103/POWER(1+('CurrentPor-Rat Factor Movements'!D132+'CurrentPor-Rat Factor Movements'!H132)/100,2))*100</f>
        <v>9575.3693879352777</v>
      </c>
      <c r="E132">
        <f>(3/(1+('CurrentPor-Rat Factor Movements'!C132+'CurrentPor-Rat Factor Movements'!I132)/100)+103/POWER(1+('CurrentPor-Rat Factor Movements'!D132+'CurrentPor-Rat Factor Movements'!I132)/100,2))*100</f>
        <v>9555.6673675813327</v>
      </c>
      <c r="F132">
        <f>Portfolio!B$5*'CurrentPor-Rat Factor Movements'!E132</f>
        <v>52143.895533915893</v>
      </c>
      <c r="G132">
        <f>Portfolio!B$6*'CurrentPor-Rat Factor Movements'!F132</f>
        <v>3696.2945087936532</v>
      </c>
      <c r="H132">
        <f>Portfolio!B$7*'CurrentPor-Rat Factor Movements'!J132</f>
        <v>2148.0998964419859</v>
      </c>
      <c r="I132">
        <f t="shared" ref="I132:I187" si="4">SUM(B132:H132)</f>
        <v>96389.635219855627</v>
      </c>
      <c r="J132">
        <f t="shared" si="3"/>
        <v>-212.32513414797722</v>
      </c>
    </row>
    <row r="133" spans="1:10">
      <c r="A133" s="1">
        <v>45656</v>
      </c>
      <c r="B133">
        <f>(3/(1+('CurrentPor-Rat Factor Movements'!C133)/100)+103/POWER(1+('CurrentPor-Rat Factor Movements'!D133)/100,2))*100</f>
        <v>9811.0758343815742</v>
      </c>
      <c r="C133">
        <f>(3/(1+('CurrentPor-Rat Factor Movements'!C133+'CurrentPor-Rat Factor Movements'!G133)/100)+103/POWER(1+('CurrentPor-Rat Factor Movements'!D133+'CurrentPor-Rat Factor Movements'!G133)/100,2))*100</f>
        <v>9716.9659394747287</v>
      </c>
      <c r="D133">
        <f>(3/(1+('CurrentPor-Rat Factor Movements'!C133+'CurrentPor-Rat Factor Movements'!H133)/100)+103/POWER(1+('CurrentPor-Rat Factor Movements'!D133+'CurrentPor-Rat Factor Movements'!H133)/100,2))*100</f>
        <v>9703.0176960091394</v>
      </c>
      <c r="E133">
        <f>(3/(1+('CurrentPor-Rat Factor Movements'!C133+'CurrentPor-Rat Factor Movements'!I133)/100)+103/POWER(1+('CurrentPor-Rat Factor Movements'!D133+'CurrentPor-Rat Factor Movements'!I133)/100,2))*100</f>
        <v>9682.9154307253684</v>
      </c>
      <c r="F133">
        <f>Portfolio!B$5*'CurrentPor-Rat Factor Movements'!E133</f>
        <v>52143.895533915893</v>
      </c>
      <c r="G133">
        <f>Portfolio!B$6*'CurrentPor-Rat Factor Movements'!F133</f>
        <v>3696.2945087936532</v>
      </c>
      <c r="H133">
        <f>Portfolio!B$7*'CurrentPor-Rat Factor Movements'!J133</f>
        <v>2148.0998964419859</v>
      </c>
      <c r="I133">
        <f t="shared" si="4"/>
        <v>96902.264839742347</v>
      </c>
      <c r="J133">
        <f t="shared" si="3"/>
        <v>3.8938277452834882</v>
      </c>
    </row>
    <row r="134" spans="1:10">
      <c r="A134" s="1">
        <v>45657</v>
      </c>
      <c r="B134">
        <f>(3/(1+('CurrentPor-Rat Factor Movements'!C134)/100)+103/POWER(1+('CurrentPor-Rat Factor Movements'!D134)/100,2))*100</f>
        <v>9599.6232990235931</v>
      </c>
      <c r="C134">
        <f>(3/(1+('CurrentPor-Rat Factor Movements'!C134+'CurrentPor-Rat Factor Movements'!G134)/100)+103/POWER(1+('CurrentPor-Rat Factor Movements'!D134+'CurrentPor-Rat Factor Movements'!G134)/100,2))*100</f>
        <v>9508.5760183819766</v>
      </c>
      <c r="D134">
        <f>(3/(1+('CurrentPor-Rat Factor Movements'!C134+'CurrentPor-Rat Factor Movements'!H134)/100)+103/POWER(1+('CurrentPor-Rat Factor Movements'!D134+'CurrentPor-Rat Factor Movements'!H134)/100,2))*100</f>
        <v>9495.0804256778611</v>
      </c>
      <c r="E134">
        <f>(3/(1+('CurrentPor-Rat Factor Movements'!C134+'CurrentPor-Rat Factor Movements'!I134)/100)+103/POWER(1+('CurrentPor-Rat Factor Movements'!D134+'CurrentPor-Rat Factor Movements'!I134)/100,2))*100</f>
        <v>9475.6299461031431</v>
      </c>
      <c r="F134">
        <f>Portfolio!B$5*'CurrentPor-Rat Factor Movements'!E134</f>
        <v>52143.895533915893</v>
      </c>
      <c r="G134">
        <f>Portfolio!B$6*'CurrentPor-Rat Factor Movements'!F134</f>
        <v>3696.2945087936532</v>
      </c>
      <c r="H134">
        <f>Portfolio!B$7*'CurrentPor-Rat Factor Movements'!J134</f>
        <v>2148.0998964419859</v>
      </c>
      <c r="I134">
        <f t="shared" si="4"/>
        <v>96067.199628338101</v>
      </c>
      <c r="J134">
        <f t="shared" si="3"/>
        <v>-202.28914756789163</v>
      </c>
    </row>
    <row r="135" spans="1:10">
      <c r="A135" s="1">
        <v>45658</v>
      </c>
      <c r="B135">
        <f>(3/(1+('CurrentPor-Rat Factor Movements'!C135)/100)+103/POWER(1+('CurrentPor-Rat Factor Movements'!D135)/100,2))*100</f>
        <v>9740.572245119276</v>
      </c>
      <c r="C135">
        <f>(3/(1+('CurrentPor-Rat Factor Movements'!C135+'CurrentPor-Rat Factor Movements'!G135)/100)+103/POWER(1+('CurrentPor-Rat Factor Movements'!D135+'CurrentPor-Rat Factor Movements'!G135)/100,2))*100</f>
        <v>9647.4759989615177</v>
      </c>
      <c r="D135">
        <f>(3/(1+('CurrentPor-Rat Factor Movements'!C135+'CurrentPor-Rat Factor Movements'!H135)/100)+103/POWER(1+('CurrentPor-Rat Factor Movements'!D135+'CurrentPor-Rat Factor Movements'!H135)/100,2))*100</f>
        <v>9633.6775747497722</v>
      </c>
      <c r="E135">
        <f>(3/(1+('CurrentPor-Rat Factor Movements'!C135+'CurrentPor-Rat Factor Movements'!I135)/100)+103/POWER(1+('CurrentPor-Rat Factor Movements'!D135+'CurrentPor-Rat Factor Movements'!I135)/100,2))*100</f>
        <v>9613.79104026186</v>
      </c>
      <c r="F135">
        <f>Portfolio!B$5*'CurrentPor-Rat Factor Movements'!E135</f>
        <v>52143.895533915893</v>
      </c>
      <c r="G135">
        <f>Portfolio!B$6*'CurrentPor-Rat Factor Movements'!F135</f>
        <v>3696.2945087936532</v>
      </c>
      <c r="H135">
        <f>Portfolio!B$7*'CurrentPor-Rat Factor Movements'!J135</f>
        <v>2148.0998964419859</v>
      </c>
      <c r="I135">
        <f t="shared" si="4"/>
        <v>96623.806798243953</v>
      </c>
      <c r="J135">
        <f t="shared" si="3"/>
        <v>-197.52883699091035</v>
      </c>
    </row>
    <row r="136" spans="1:10">
      <c r="A136" s="1">
        <v>45659</v>
      </c>
      <c r="B136">
        <f>(3/(1+('CurrentPor-Rat Factor Movements'!C136)/100)+103/POWER(1+('CurrentPor-Rat Factor Movements'!D136)/100,2))*100</f>
        <v>9786.2891557881903</v>
      </c>
      <c r="C136">
        <f>(3/(1+('CurrentPor-Rat Factor Movements'!C136+'CurrentPor-Rat Factor Movements'!G136)/100)+103/POWER(1+('CurrentPor-Rat Factor Movements'!D136+'CurrentPor-Rat Factor Movements'!G136)/100,2))*100</f>
        <v>9692.5382737557993</v>
      </c>
      <c r="D136">
        <f>(3/(1+('CurrentPor-Rat Factor Movements'!C136+'CurrentPor-Rat Factor Movements'!H136)/100)+103/POWER(1+('CurrentPor-Rat Factor Movements'!D136+'CurrentPor-Rat Factor Movements'!H136)/100,2))*100</f>
        <v>9678.6430905083926</v>
      </c>
      <c r="E136">
        <f>(3/(1+('CurrentPor-Rat Factor Movements'!C136+'CurrentPor-Rat Factor Movements'!I136)/100)+103/POWER(1+('CurrentPor-Rat Factor Movements'!D136+'CurrentPor-Rat Factor Movements'!I136)/100,2))*100</f>
        <v>9658.6172275992576</v>
      </c>
      <c r="F136">
        <f>Portfolio!B$5*'CurrentPor-Rat Factor Movements'!E136</f>
        <v>52143.895533915893</v>
      </c>
      <c r="G136">
        <f>Portfolio!B$6*'CurrentPor-Rat Factor Movements'!F136</f>
        <v>3696.2945087936532</v>
      </c>
      <c r="H136">
        <f>Portfolio!B$7*'CurrentPor-Rat Factor Movements'!J136</f>
        <v>2148.0998964419859</v>
      </c>
      <c r="I136">
        <f t="shared" si="4"/>
        <v>96804.377686803171</v>
      </c>
      <c r="J136">
        <f t="shared" si="3"/>
        <v>4.4125033651798731</v>
      </c>
    </row>
    <row r="137" spans="1:10">
      <c r="A137" s="1">
        <v>45660</v>
      </c>
      <c r="B137">
        <f>(3/(1+('CurrentPor-Rat Factor Movements'!C137)/100)+103/POWER(1+('CurrentPor-Rat Factor Movements'!D137)/100,2))*100</f>
        <v>9851.7397415850719</v>
      </c>
      <c r="C137">
        <f>(3/(1+('CurrentPor-Rat Factor Movements'!C137+'CurrentPor-Rat Factor Movements'!G137)/100)+103/POWER(1+('CurrentPor-Rat Factor Movements'!D137+'CurrentPor-Rat Factor Movements'!G137)/100,2))*100</f>
        <v>9757.0324784562672</v>
      </c>
      <c r="D137">
        <f>(3/(1+('CurrentPor-Rat Factor Movements'!C137+'CurrentPor-Rat Factor Movements'!H137)/100)+103/POWER(1+('CurrentPor-Rat Factor Movements'!D137+'CurrentPor-Rat Factor Movements'!H137)/100,2))*100</f>
        <v>9742.9959550455205</v>
      </c>
      <c r="E137">
        <f>(3/(1+('CurrentPor-Rat Factor Movements'!C137+'CurrentPor-Rat Factor Movements'!I137)/100)+103/POWER(1+('CurrentPor-Rat Factor Movements'!D137+'CurrentPor-Rat Factor Movements'!I137)/100,2))*100</f>
        <v>9722.7665774819416</v>
      </c>
      <c r="F137">
        <f>Portfolio!B$5*'CurrentPor-Rat Factor Movements'!E137</f>
        <v>52143.895533915893</v>
      </c>
      <c r="G137">
        <f>Portfolio!B$6*'CurrentPor-Rat Factor Movements'!F137</f>
        <v>3696.2945087936532</v>
      </c>
      <c r="H137">
        <f>Portfolio!B$7*'CurrentPor-Rat Factor Movements'!J137</f>
        <v>2148.0998964419859</v>
      </c>
      <c r="I137">
        <f t="shared" si="4"/>
        <v>97062.824691720336</v>
      </c>
      <c r="J137">
        <f t="shared" si="3"/>
        <v>268.02061697527824</v>
      </c>
    </row>
    <row r="138" spans="1:10">
      <c r="A138" s="1">
        <v>45663</v>
      </c>
      <c r="B138">
        <f>(3/(1+('CurrentPor-Rat Factor Movements'!C138)/100)+103/POWER(1+('CurrentPor-Rat Factor Movements'!D138)/100,2))*100</f>
        <v>9741.8410703255704</v>
      </c>
      <c r="C138">
        <f>(3/(1+('CurrentPor-Rat Factor Movements'!C138+'CurrentPor-Rat Factor Movements'!G138)/100)+103/POWER(1+('CurrentPor-Rat Factor Movements'!D138+'CurrentPor-Rat Factor Movements'!G138)/100,2))*100</f>
        <v>9648.7229419373016</v>
      </c>
      <c r="D138">
        <f>(3/(1+('CurrentPor-Rat Factor Movements'!C138+'CurrentPor-Rat Factor Movements'!H138)/100)+103/POWER(1+('CurrentPor-Rat Factor Movements'!D138+'CurrentPor-Rat Factor Movements'!H138)/100,2))*100</f>
        <v>9634.9212865324298</v>
      </c>
      <c r="E138">
        <f>(3/(1+('CurrentPor-Rat Factor Movements'!C138+'CurrentPor-Rat Factor Movements'!I138)/100)+103/POWER(1+('CurrentPor-Rat Factor Movements'!D138+'CurrentPor-Rat Factor Movements'!I138)/100,2))*100</f>
        <v>9615.0301007079761</v>
      </c>
      <c r="F138">
        <f>Portfolio!B$5*'CurrentPor-Rat Factor Movements'!E138</f>
        <v>52143.895533915893</v>
      </c>
      <c r="G138">
        <f>Portfolio!B$6*'CurrentPor-Rat Factor Movements'!F138</f>
        <v>3696.2945087936532</v>
      </c>
      <c r="H138">
        <f>Portfolio!B$7*'CurrentPor-Rat Factor Movements'!J138</f>
        <v>2148.0998964419859</v>
      </c>
      <c r="I138">
        <f t="shared" si="4"/>
        <v>96628.805338654798</v>
      </c>
      <c r="J138">
        <f t="shared" si="3"/>
        <v>-137.36365739026223</v>
      </c>
    </row>
    <row r="139" spans="1:10">
      <c r="A139" s="1">
        <v>45664</v>
      </c>
      <c r="B139">
        <f>(3/(1+('CurrentPor-Rat Factor Movements'!C139)/100)+103/POWER(1+('CurrentPor-Rat Factor Movements'!D139)/100,2))*100</f>
        <v>9760.8071128850952</v>
      </c>
      <c r="C139">
        <f>(3/(1+('CurrentPor-Rat Factor Movements'!C139+'CurrentPor-Rat Factor Movements'!G139)/100)+103/POWER(1+('CurrentPor-Rat Factor Movements'!D139+'CurrentPor-Rat Factor Movements'!G139)/100,2))*100</f>
        <v>9667.4158312569871</v>
      </c>
      <c r="D139">
        <f>(3/(1+('CurrentPor-Rat Factor Movements'!C139+'CurrentPor-Rat Factor Movements'!H139)/100)+103/POWER(1+('CurrentPor-Rat Factor Movements'!D139+'CurrentPor-Rat Factor Movements'!H139)/100,2))*100</f>
        <v>9653.5738034068709</v>
      </c>
      <c r="E139">
        <f>(3/(1+('CurrentPor-Rat Factor Movements'!C139+'CurrentPor-Rat Factor Movements'!I139)/100)+103/POWER(1+('CurrentPor-Rat Factor Movements'!D139+'CurrentPor-Rat Factor Movements'!I139)/100,2))*100</f>
        <v>9633.6244837298837</v>
      </c>
      <c r="F139">
        <f>Portfolio!B$5*'CurrentPor-Rat Factor Movements'!E139</f>
        <v>52143.895533915893</v>
      </c>
      <c r="G139">
        <f>Portfolio!B$6*'CurrentPor-Rat Factor Movements'!F139</f>
        <v>3696.2945087936532</v>
      </c>
      <c r="H139">
        <f>Portfolio!B$7*'CurrentPor-Rat Factor Movements'!J139</f>
        <v>2148.0998964419859</v>
      </c>
      <c r="I139">
        <f t="shared" si="4"/>
        <v>96703.711170430368</v>
      </c>
      <c r="J139">
        <f t="shared" si="3"/>
        <v>-547.08288778142014</v>
      </c>
    </row>
    <row r="140" spans="1:10">
      <c r="A140" s="1">
        <v>45665</v>
      </c>
      <c r="B140">
        <f>(3/(1+('CurrentPor-Rat Factor Movements'!C140)/100)+103/POWER(1+('CurrentPor-Rat Factor Movements'!D140)/100,2))*100</f>
        <v>9817.801839712316</v>
      </c>
      <c r="C140">
        <f>(3/(1+('CurrentPor-Rat Factor Movements'!C140+'CurrentPor-Rat Factor Movements'!G140)/100)+103/POWER(1+('CurrentPor-Rat Factor Movements'!D140+'CurrentPor-Rat Factor Movements'!G140)/100,2))*100</f>
        <v>9723.5725128086688</v>
      </c>
      <c r="D140">
        <f>(3/(1+('CurrentPor-Rat Factor Movements'!C140+'CurrentPor-Rat Factor Movements'!H140)/100)+103/POWER(1+('CurrentPor-Rat Factor Movements'!D140+'CurrentPor-Rat Factor Movements'!H140)/100,2))*100</f>
        <v>9709.6066366034793</v>
      </c>
      <c r="E140">
        <f>(3/(1+('CurrentPor-Rat Factor Movements'!C140+'CurrentPor-Rat Factor Movements'!I140)/100)+103/POWER(1+('CurrentPor-Rat Factor Movements'!D140+'CurrentPor-Rat Factor Movements'!I140)/100,2))*100</f>
        <v>9689.4789901429867</v>
      </c>
      <c r="F140">
        <f>Portfolio!B$5*'CurrentPor-Rat Factor Movements'!E140</f>
        <v>52143.895533915893</v>
      </c>
      <c r="G140">
        <f>Portfolio!B$6*'CurrentPor-Rat Factor Movements'!F140</f>
        <v>3696.2945087936532</v>
      </c>
      <c r="H140">
        <f>Portfolio!B$7*'CurrentPor-Rat Factor Movements'!J140</f>
        <v>2148.0998964419859</v>
      </c>
      <c r="I140">
        <f t="shared" si="4"/>
        <v>96928.74991841898</v>
      </c>
      <c r="J140">
        <f t="shared" si="3"/>
        <v>502.04745240515331</v>
      </c>
    </row>
    <row r="141" spans="1:10">
      <c r="A141" s="1">
        <v>45666</v>
      </c>
      <c r="B141">
        <f>(3/(1+('CurrentPor-Rat Factor Movements'!C141)/100)+103/POWER(1+('CurrentPor-Rat Factor Movements'!D141)/100,2))*100</f>
        <v>9530.4349081712026</v>
      </c>
      <c r="C141">
        <f>(3/(1+('CurrentPor-Rat Factor Movements'!C141+'CurrentPor-Rat Factor Movements'!G141)/100)+103/POWER(1+('CurrentPor-Rat Factor Movements'!D141+'CurrentPor-Rat Factor Movements'!G141)/100,2))*100</f>
        <v>9440.3753187807233</v>
      </c>
      <c r="D141">
        <f>(3/(1+('CurrentPor-Rat Factor Movements'!C141+'CurrentPor-Rat Factor Movements'!H141)/100)+103/POWER(1+('CurrentPor-Rat Factor Movements'!D141+'CurrentPor-Rat Factor Movements'!H141)/100,2))*100</f>
        <v>9427.0257236232756</v>
      </c>
      <c r="E141">
        <f>(3/(1+('CurrentPor-Rat Factor Movements'!C141+'CurrentPor-Rat Factor Movements'!I141)/100)+103/POWER(1+('CurrentPor-Rat Factor Movements'!D141+'CurrentPor-Rat Factor Movements'!I141)/100,2))*100</f>
        <v>9407.7854785609888</v>
      </c>
      <c r="F141">
        <f>Portfolio!B$5*'CurrentPor-Rat Factor Movements'!E141</f>
        <v>52143.895533915893</v>
      </c>
      <c r="G141">
        <f>Portfolio!B$6*'CurrentPor-Rat Factor Movements'!F141</f>
        <v>3696.2945087936532</v>
      </c>
      <c r="H141">
        <f>Portfolio!B$7*'CurrentPor-Rat Factor Movements'!J141</f>
        <v>2148.0998964419859</v>
      </c>
      <c r="I141">
        <f t="shared" si="4"/>
        <v>95793.911368287721</v>
      </c>
      <c r="J141">
        <f t="shared" si="3"/>
        <v>-798.83598766692739</v>
      </c>
    </row>
    <row r="142" spans="1:10">
      <c r="A142" s="1">
        <v>45667</v>
      </c>
      <c r="B142">
        <f>(3/(1+('CurrentPor-Rat Factor Movements'!C142)/100)+103/POWER(1+('CurrentPor-Rat Factor Movements'!D142)/100,2))*100</f>
        <v>9798.1610340000607</v>
      </c>
      <c r="C142">
        <f>(3/(1+('CurrentPor-Rat Factor Movements'!C142+'CurrentPor-Rat Factor Movements'!G142)/100)+103/POWER(1+('CurrentPor-Rat Factor Movements'!D142+'CurrentPor-Rat Factor Movements'!G142)/100,2))*100</f>
        <v>9704.2286559709519</v>
      </c>
      <c r="D142">
        <f>(3/(1+('CurrentPor-Rat Factor Movements'!C142+'CurrentPor-Rat Factor Movements'!H142)/100)+103/POWER(1+('CurrentPor-Rat Factor Movements'!D142+'CurrentPor-Rat Factor Movements'!H142)/100,2))*100</f>
        <v>9690.3066565664794</v>
      </c>
      <c r="E142">
        <f>(3/(1+('CurrentPor-Rat Factor Movements'!C142+'CurrentPor-Rat Factor Movements'!I142)/100)+103/POWER(1+('CurrentPor-Rat Factor Movements'!D142+'CurrentPor-Rat Factor Movements'!I142)/100,2))*100</f>
        <v>9670.2421842350232</v>
      </c>
      <c r="F142">
        <f>Portfolio!B$5*'CurrentPor-Rat Factor Movements'!E142</f>
        <v>52143.895533915893</v>
      </c>
      <c r="G142">
        <f>Portfolio!B$6*'CurrentPor-Rat Factor Movements'!F142</f>
        <v>3696.2945087936532</v>
      </c>
      <c r="H142">
        <f>Portfolio!B$7*'CurrentPor-Rat Factor Movements'!J142</f>
        <v>2148.0998964419859</v>
      </c>
      <c r="I142">
        <f t="shared" si="4"/>
        <v>96851.228469924055</v>
      </c>
      <c r="J142">
        <f t="shared" ref="J142:J187" si="5">I142-I132</f>
        <v>461.59325006842846</v>
      </c>
    </row>
    <row r="143" spans="1:10">
      <c r="A143" s="1">
        <v>45670</v>
      </c>
      <c r="B143">
        <f>(3/(1+('CurrentPor-Rat Factor Movements'!C143)/100)+103/POWER(1+('CurrentPor-Rat Factor Movements'!D143)/100,2))*100</f>
        <v>9539.9771614264573</v>
      </c>
      <c r="C143">
        <f>(3/(1+('CurrentPor-Rat Factor Movements'!C143+'CurrentPor-Rat Factor Movements'!G143)/100)+103/POWER(1+('CurrentPor-Rat Factor Movements'!D143+'CurrentPor-Rat Factor Movements'!G143)/100,2))*100</f>
        <v>9449.7724886435662</v>
      </c>
      <c r="D143">
        <f>(3/(1+('CurrentPor-Rat Factor Movements'!C143+'CurrentPor-Rat Factor Movements'!H143)/100)+103/POWER(1+('CurrentPor-Rat Factor Movements'!D143+'CurrentPor-Rat Factor Movements'!H143)/100,2))*100</f>
        <v>9436.4014548897994</v>
      </c>
      <c r="E143">
        <f>(3/(1+('CurrentPor-Rat Factor Movements'!C143+'CurrentPor-Rat Factor Movements'!I143)/100)+103/POWER(1+('CurrentPor-Rat Factor Movements'!D143+'CurrentPor-Rat Factor Movements'!I143)/100,2))*100</f>
        <v>9417.1303418201969</v>
      </c>
      <c r="F143">
        <f>Portfolio!B$5*'CurrentPor-Rat Factor Movements'!E143</f>
        <v>52143.895533915893</v>
      </c>
      <c r="G143">
        <f>Portfolio!B$6*'CurrentPor-Rat Factor Movements'!F143</f>
        <v>3696.2945087936532</v>
      </c>
      <c r="H143">
        <f>Portfolio!B$7*'CurrentPor-Rat Factor Movements'!J143</f>
        <v>2148.0998964419859</v>
      </c>
      <c r="I143">
        <f t="shared" si="4"/>
        <v>95831.571385931558</v>
      </c>
      <c r="J143">
        <f t="shared" si="5"/>
        <v>-1070.6934538107889</v>
      </c>
    </row>
    <row r="144" spans="1:10">
      <c r="A144" s="1">
        <v>45671</v>
      </c>
      <c r="B144">
        <f>(3/(1+('CurrentPor-Rat Factor Movements'!C144)/100)+103/POWER(1+('CurrentPor-Rat Factor Movements'!D144)/100,2))*100</f>
        <v>9783.8031668459826</v>
      </c>
      <c r="C144">
        <f>(3/(1+('CurrentPor-Rat Factor Movements'!C144+'CurrentPor-Rat Factor Movements'!G144)/100)+103/POWER(1+('CurrentPor-Rat Factor Movements'!D144+'CurrentPor-Rat Factor Movements'!G144)/100,2))*100</f>
        <v>9690.075284187018</v>
      </c>
      <c r="D144">
        <f>(3/(1+('CurrentPor-Rat Factor Movements'!C144+'CurrentPor-Rat Factor Movements'!H144)/100)+103/POWER(1+('CurrentPor-Rat Factor Movements'!D144+'CurrentPor-Rat Factor Movements'!H144)/100,2))*100</f>
        <v>9676.1835110910488</v>
      </c>
      <c r="E144">
        <f>(3/(1+('CurrentPor-Rat Factor Movements'!C144+'CurrentPor-Rat Factor Movements'!I144)/100)+103/POWER(1+('CurrentPor-Rat Factor Movements'!D144+'CurrentPor-Rat Factor Movements'!I144)/100,2))*100</f>
        <v>9656.162563525424</v>
      </c>
      <c r="F144">
        <f>Portfolio!B$5*'CurrentPor-Rat Factor Movements'!E144</f>
        <v>52143.895533915893</v>
      </c>
      <c r="G144">
        <f>Portfolio!B$6*'CurrentPor-Rat Factor Movements'!F144</f>
        <v>3696.2945087936532</v>
      </c>
      <c r="H144">
        <f>Portfolio!B$7*'CurrentPor-Rat Factor Movements'!J144</f>
        <v>2148.0998964419859</v>
      </c>
      <c r="I144">
        <f t="shared" si="4"/>
        <v>96794.514464801003</v>
      </c>
      <c r="J144">
        <f t="shared" si="5"/>
        <v>727.31483646290144</v>
      </c>
    </row>
    <row r="145" spans="1:10">
      <c r="A145" s="1">
        <v>45672</v>
      </c>
      <c r="B145">
        <f>(3/(1+('CurrentPor-Rat Factor Movements'!C145)/100)+103/POWER(1+('CurrentPor-Rat Factor Movements'!D145)/100,2))*100</f>
        <v>9606.879875307206</v>
      </c>
      <c r="C145">
        <f>(3/(1+('CurrentPor-Rat Factor Movements'!C145+'CurrentPor-Rat Factor Movements'!G145)/100)+103/POWER(1+('CurrentPor-Rat Factor Movements'!D145+'CurrentPor-Rat Factor Movements'!G145)/100,2))*100</f>
        <v>9515.71184711565</v>
      </c>
      <c r="D145">
        <f>(3/(1+('CurrentPor-Rat Factor Movements'!C145+'CurrentPor-Rat Factor Movements'!H145)/100)+103/POWER(1+('CurrentPor-Rat Factor Movements'!D145+'CurrentPor-Rat Factor Movements'!H145)/100,2))*100</f>
        <v>9502.1984204502514</v>
      </c>
      <c r="E145">
        <f>(3/(1+('CurrentPor-Rat Factor Movements'!C145+'CurrentPor-Rat Factor Movements'!I145)/100)+103/POWER(1+('CurrentPor-Rat Factor Movements'!D145+'CurrentPor-Rat Factor Movements'!I145)/100,2))*100</f>
        <v>9482.7222668628601</v>
      </c>
      <c r="F145">
        <f>Portfolio!B$5*'CurrentPor-Rat Factor Movements'!E145</f>
        <v>52143.895533915893</v>
      </c>
      <c r="G145">
        <f>Portfolio!B$6*'CurrentPor-Rat Factor Movements'!F145</f>
        <v>3696.2945087936532</v>
      </c>
      <c r="H145">
        <f>Portfolio!B$7*'CurrentPor-Rat Factor Movements'!J145</f>
        <v>2148.0998964419859</v>
      </c>
      <c r="I145">
        <f t="shared" si="4"/>
        <v>96095.802348887504</v>
      </c>
      <c r="J145">
        <f t="shared" si="5"/>
        <v>-528.00444935644919</v>
      </c>
    </row>
    <row r="146" spans="1:10">
      <c r="A146" s="1">
        <v>45673</v>
      </c>
      <c r="B146">
        <f>(3/(1+('CurrentPor-Rat Factor Movements'!C146)/100)+103/POWER(1+('CurrentPor-Rat Factor Movements'!D146)/100,2))*100</f>
        <v>9584.757523744498</v>
      </c>
      <c r="C146">
        <f>(3/(1+('CurrentPor-Rat Factor Movements'!C146+'CurrentPor-Rat Factor Movements'!G146)/100)+103/POWER(1+('CurrentPor-Rat Factor Movements'!D146+'CurrentPor-Rat Factor Movements'!G146)/100,2))*100</f>
        <v>9493.9148970891438</v>
      </c>
      <c r="D146">
        <f>(3/(1+('CurrentPor-Rat Factor Movements'!C146+'CurrentPor-Rat Factor Movements'!H146)/100)+103/POWER(1+('CurrentPor-Rat Factor Movements'!D146+'CurrentPor-Rat Factor Movements'!H146)/100,2))*100</f>
        <v>9480.4495618035126</v>
      </c>
      <c r="E146">
        <f>(3/(1+('CurrentPor-Rat Factor Movements'!C146+'CurrentPor-Rat Factor Movements'!I146)/100)+103/POWER(1+('CurrentPor-Rat Factor Movements'!D146+'CurrentPor-Rat Factor Movements'!I146)/100,2))*100</f>
        <v>9461.0426552834506</v>
      </c>
      <c r="F146">
        <f>Portfolio!B$5*'CurrentPor-Rat Factor Movements'!E146</f>
        <v>52143.895533915893</v>
      </c>
      <c r="G146">
        <f>Portfolio!B$6*'CurrentPor-Rat Factor Movements'!F146</f>
        <v>3696.2945087936532</v>
      </c>
      <c r="H146">
        <f>Portfolio!B$7*'CurrentPor-Rat Factor Movements'!J146</f>
        <v>2148.0998964419859</v>
      </c>
      <c r="I146">
        <f t="shared" si="4"/>
        <v>96008.454577072131</v>
      </c>
      <c r="J146">
        <f t="shared" si="5"/>
        <v>-795.92310973104031</v>
      </c>
    </row>
    <row r="147" spans="1:10">
      <c r="A147" s="1">
        <v>45674</v>
      </c>
      <c r="B147">
        <f>(3/(1+('CurrentPor-Rat Factor Movements'!C147)/100)+103/POWER(1+('CurrentPor-Rat Factor Movements'!D147)/100,2))*100</f>
        <v>9750.5421636518804</v>
      </c>
      <c r="C147">
        <f>(3/(1+('CurrentPor-Rat Factor Movements'!C147+'CurrentPor-Rat Factor Movements'!G147)/100)+103/POWER(1+('CurrentPor-Rat Factor Movements'!D147+'CurrentPor-Rat Factor Movements'!G147)/100,2))*100</f>
        <v>9657.3044282513856</v>
      </c>
      <c r="D147">
        <f>(3/(1+('CurrentPor-Rat Factor Movements'!C147+'CurrentPor-Rat Factor Movements'!H147)/100)+103/POWER(1+('CurrentPor-Rat Factor Movements'!D147+'CurrentPor-Rat Factor Movements'!H147)/100,2))*100</f>
        <v>9643.4850899134508</v>
      </c>
      <c r="E147">
        <f>(3/(1+('CurrentPor-Rat Factor Movements'!C147+'CurrentPor-Rat Factor Movements'!I147)/100)+103/POWER(1+('CurrentPor-Rat Factor Movements'!D147+'CurrentPor-Rat Factor Movements'!I147)/100,2))*100</f>
        <v>9623.568439536366</v>
      </c>
      <c r="F147">
        <f>Portfolio!B$5*'CurrentPor-Rat Factor Movements'!E147</f>
        <v>52143.895533915893</v>
      </c>
      <c r="G147">
        <f>Portfolio!B$6*'CurrentPor-Rat Factor Movements'!F147</f>
        <v>3696.2945087936532</v>
      </c>
      <c r="H147">
        <f>Portfolio!B$7*'CurrentPor-Rat Factor Movements'!J147</f>
        <v>2148.0998964419859</v>
      </c>
      <c r="I147">
        <f t="shared" si="4"/>
        <v>96663.19006050461</v>
      </c>
      <c r="J147">
        <f t="shared" si="5"/>
        <v>-399.63463121572568</v>
      </c>
    </row>
    <row r="148" spans="1:10">
      <c r="A148" s="1">
        <v>45677</v>
      </c>
      <c r="B148">
        <f>(3/(1+('CurrentPor-Rat Factor Movements'!C148)/100)+103/POWER(1+('CurrentPor-Rat Factor Movements'!D148)/100,2))*100</f>
        <v>9686.4026157229782</v>
      </c>
      <c r="C148">
        <f>(3/(1+('CurrentPor-Rat Factor Movements'!C148+'CurrentPor-Rat Factor Movements'!G148)/100)+103/POWER(1+('CurrentPor-Rat Factor Movements'!D148+'CurrentPor-Rat Factor Movements'!G148)/100,2))*100</f>
        <v>9594.0843956214267</v>
      </c>
      <c r="D148">
        <f>(3/(1+('CurrentPor-Rat Factor Movements'!C148+'CurrentPor-Rat Factor Movements'!H148)/100)+103/POWER(1+('CurrentPor-Rat Factor Movements'!D148+'CurrentPor-Rat Factor Movements'!H148)/100,2))*100</f>
        <v>9580.4009678424973</v>
      </c>
      <c r="E148">
        <f>(3/(1+('CurrentPor-Rat Factor Movements'!C148+'CurrentPor-Rat Factor Movements'!I148)/100)+103/POWER(1+('CurrentPor-Rat Factor Movements'!D148+'CurrentPor-Rat Factor Movements'!I148)/100,2))*100</f>
        <v>9560.6800225744682</v>
      </c>
      <c r="F148">
        <f>Portfolio!B$5*'CurrentPor-Rat Factor Movements'!E148</f>
        <v>52143.895533915893</v>
      </c>
      <c r="G148">
        <f>Portfolio!B$6*'CurrentPor-Rat Factor Movements'!F148</f>
        <v>3696.2945087936532</v>
      </c>
      <c r="H148">
        <f>Portfolio!B$7*'CurrentPor-Rat Factor Movements'!J148</f>
        <v>2148.0998964419859</v>
      </c>
      <c r="I148">
        <f t="shared" si="4"/>
        <v>96409.857940912902</v>
      </c>
      <c r="J148">
        <f t="shared" si="5"/>
        <v>-218.94739774189657</v>
      </c>
    </row>
    <row r="149" spans="1:10">
      <c r="A149" s="1">
        <v>45678</v>
      </c>
      <c r="B149">
        <f>(3/(1+('CurrentPor-Rat Factor Movements'!C149)/100)+103/POWER(1+('CurrentPor-Rat Factor Movements'!D149)/100,2))*100</f>
        <v>9719.3432109465612</v>
      </c>
      <c r="C149">
        <f>(3/(1+('CurrentPor-Rat Factor Movements'!C149+'CurrentPor-Rat Factor Movements'!G149)/100)+103/POWER(1+('CurrentPor-Rat Factor Movements'!D149+'CurrentPor-Rat Factor Movements'!G149)/100,2))*100</f>
        <v>9626.5526453379643</v>
      </c>
      <c r="D149">
        <f>(3/(1+('CurrentPor-Rat Factor Movements'!C149+'CurrentPor-Rat Factor Movements'!H149)/100)+103/POWER(1+('CurrentPor-Rat Factor Movements'!D149+'CurrentPor-Rat Factor Movements'!H149)/100,2))*100</f>
        <v>9612.7994014931282</v>
      </c>
      <c r="E149">
        <f>(3/(1+('CurrentPor-Rat Factor Movements'!C149+'CurrentPor-Rat Factor Movements'!I149)/100)+103/POWER(1+('CurrentPor-Rat Factor Movements'!D149+'CurrentPor-Rat Factor Movements'!I149)/100,2))*100</f>
        <v>9592.977924124154</v>
      </c>
      <c r="F149">
        <f>Portfolio!B$5*'CurrentPor-Rat Factor Movements'!E149</f>
        <v>52143.895533915893</v>
      </c>
      <c r="G149">
        <f>Portfolio!B$6*'CurrentPor-Rat Factor Movements'!F149</f>
        <v>3696.2945087936532</v>
      </c>
      <c r="H149">
        <f>Portfolio!B$7*'CurrentPor-Rat Factor Movements'!J149</f>
        <v>2148.0998964419859</v>
      </c>
      <c r="I149">
        <f t="shared" si="4"/>
        <v>96539.963121053341</v>
      </c>
      <c r="J149">
        <f t="shared" si="5"/>
        <v>-163.7480493770272</v>
      </c>
    </row>
    <row r="150" spans="1:10">
      <c r="A150" s="1">
        <v>45679</v>
      </c>
      <c r="B150">
        <f>(3/(1+('CurrentPor-Rat Factor Movements'!C150)/100)+103/POWER(1+('CurrentPor-Rat Factor Movements'!D150)/100,2))*100</f>
        <v>9741.9365345716233</v>
      </c>
      <c r="C150">
        <f>(3/(1+('CurrentPor-Rat Factor Movements'!C150+'CurrentPor-Rat Factor Movements'!G150)/100)+103/POWER(1+('CurrentPor-Rat Factor Movements'!D150+'CurrentPor-Rat Factor Movements'!G150)/100,2))*100</f>
        <v>9648.8124566605402</v>
      </c>
      <c r="D150">
        <f>(3/(1+('CurrentPor-Rat Factor Movements'!C150+'CurrentPor-Rat Factor Movements'!H150)/100)+103/POWER(1+('CurrentPor-Rat Factor Movements'!D150+'CurrentPor-Rat Factor Movements'!H150)/100,2))*100</f>
        <v>9635.009925762386</v>
      </c>
      <c r="E150">
        <f>(3/(1+('CurrentPor-Rat Factor Movements'!C150+'CurrentPor-Rat Factor Movements'!I150)/100)+103/POWER(1+('CurrentPor-Rat Factor Movements'!D150+'CurrentPor-Rat Factor Movements'!I150)/100,2))*100</f>
        <v>9615.1174810404991</v>
      </c>
      <c r="F150">
        <f>Portfolio!B$5*'CurrentPor-Rat Factor Movements'!E150</f>
        <v>52143.895533915893</v>
      </c>
      <c r="G150">
        <f>Portfolio!B$6*'CurrentPor-Rat Factor Movements'!F150</f>
        <v>3696.2945087936532</v>
      </c>
      <c r="H150">
        <f>Portfolio!B$7*'CurrentPor-Rat Factor Movements'!J150</f>
        <v>2148.0998964419859</v>
      </c>
      <c r="I150">
        <f t="shared" si="4"/>
        <v>96629.166337186572</v>
      </c>
      <c r="J150">
        <f t="shared" si="5"/>
        <v>-299.5835812324076</v>
      </c>
    </row>
    <row r="151" spans="1:10">
      <c r="A151" s="1">
        <v>45680</v>
      </c>
      <c r="B151">
        <f>(3/(1+('CurrentPor-Rat Factor Movements'!C151)/100)+103/POWER(1+('CurrentPor-Rat Factor Movements'!D151)/100,2))*100</f>
        <v>9773.3007015465228</v>
      </c>
      <c r="C151">
        <f>(3/(1+('CurrentPor-Rat Factor Movements'!C151+'CurrentPor-Rat Factor Movements'!G151)/100)+103/POWER(1+('CurrentPor-Rat Factor Movements'!D151+'CurrentPor-Rat Factor Movements'!G151)/100,2))*100</f>
        <v>9679.7208202582715</v>
      </c>
      <c r="D151">
        <f>(3/(1+('CurrentPor-Rat Factor Movements'!C151+'CurrentPor-Rat Factor Movements'!H151)/100)+103/POWER(1+('CurrentPor-Rat Factor Movements'!D151+'CurrentPor-Rat Factor Movements'!H151)/100,2))*100</f>
        <v>9665.8509245597616</v>
      </c>
      <c r="E151">
        <f>(3/(1+('CurrentPor-Rat Factor Movements'!C151+'CurrentPor-Rat Factor Movements'!I151)/100)+103/POWER(1+('CurrentPor-Rat Factor Movements'!D151+'CurrentPor-Rat Factor Movements'!I151)/100,2))*100</f>
        <v>9645.8614802869997</v>
      </c>
      <c r="F151">
        <f>Portfolio!B$5*'CurrentPor-Rat Factor Movements'!E151</f>
        <v>52143.895533915893</v>
      </c>
      <c r="G151">
        <f>Portfolio!B$6*'CurrentPor-Rat Factor Movements'!F151</f>
        <v>3696.2945087936532</v>
      </c>
      <c r="H151">
        <f>Portfolio!B$7*'CurrentPor-Rat Factor Movements'!J151</f>
        <v>2148.0998964419859</v>
      </c>
      <c r="I151">
        <f t="shared" si="4"/>
        <v>96753.023865803087</v>
      </c>
      <c r="J151">
        <f t="shared" si="5"/>
        <v>959.11249751536525</v>
      </c>
    </row>
    <row r="152" spans="1:10">
      <c r="A152" s="1">
        <v>45681</v>
      </c>
      <c r="B152">
        <f>(3/(1+('CurrentPor-Rat Factor Movements'!C152)/100)+103/POWER(1+('CurrentPor-Rat Factor Movements'!D152)/100,2))*100</f>
        <v>9769.436266223136</v>
      </c>
      <c r="C152">
        <f>(3/(1+('CurrentPor-Rat Factor Movements'!C152+'CurrentPor-Rat Factor Movements'!G152)/100)+103/POWER(1+('CurrentPor-Rat Factor Movements'!D152+'CurrentPor-Rat Factor Movements'!G152)/100,2))*100</f>
        <v>9675.9202187980227</v>
      </c>
      <c r="D152">
        <f>(3/(1+('CurrentPor-Rat Factor Movements'!C152+'CurrentPor-Rat Factor Movements'!H152)/100)+103/POWER(1+('CurrentPor-Rat Factor Movements'!D152+'CurrentPor-Rat Factor Movements'!H152)/100,2))*100</f>
        <v>9662.0597508654919</v>
      </c>
      <c r="E152">
        <f>(3/(1+('CurrentPor-Rat Factor Movements'!C152+'CurrentPor-Rat Factor Movements'!I152)/100)+103/POWER(1+('CurrentPor-Rat Factor Movements'!D152+'CurrentPor-Rat Factor Movements'!I152)/100,2))*100</f>
        <v>9642.0838788177243</v>
      </c>
      <c r="F152">
        <f>Portfolio!B$5*'CurrentPor-Rat Factor Movements'!E152</f>
        <v>52143.895533915893</v>
      </c>
      <c r="G152">
        <f>Portfolio!B$6*'CurrentPor-Rat Factor Movements'!F152</f>
        <v>3696.2945087936532</v>
      </c>
      <c r="H152">
        <f>Portfolio!B$7*'CurrentPor-Rat Factor Movements'!J152</f>
        <v>2148.0998964419859</v>
      </c>
      <c r="I152">
        <f t="shared" si="4"/>
        <v>96737.790053855904</v>
      </c>
      <c r="J152">
        <f t="shared" si="5"/>
        <v>-113.43841606815113</v>
      </c>
    </row>
    <row r="153" spans="1:10">
      <c r="A153" s="1">
        <v>45684</v>
      </c>
      <c r="B153">
        <f>(3/(1+('CurrentPor-Rat Factor Movements'!C153)/100)+103/POWER(1+('CurrentPor-Rat Factor Movements'!D153)/100,2))*100</f>
        <v>9580.5300117486586</v>
      </c>
      <c r="C153">
        <f>(3/(1+('CurrentPor-Rat Factor Movements'!C153+'CurrentPor-Rat Factor Movements'!G153)/100)+103/POWER(1+('CurrentPor-Rat Factor Movements'!D153+'CurrentPor-Rat Factor Movements'!G153)/100,2))*100</f>
        <v>9489.747253545007</v>
      </c>
      <c r="D153">
        <f>(3/(1+('CurrentPor-Rat Factor Movements'!C153+'CurrentPor-Rat Factor Movements'!H153)/100)+103/POWER(1+('CurrentPor-Rat Factor Movements'!D153+'CurrentPor-Rat Factor Movements'!H153)/100,2))*100</f>
        <v>9476.2907681867455</v>
      </c>
      <c r="E153">
        <f>(3/(1+('CurrentPor-Rat Factor Movements'!C153+'CurrentPor-Rat Factor Movements'!I153)/100)+103/POWER(1+('CurrentPor-Rat Factor Movements'!D153+'CurrentPor-Rat Factor Movements'!I153)/100,2))*100</f>
        <v>9456.8966056049503</v>
      </c>
      <c r="F153">
        <f>Portfolio!B$5*'CurrentPor-Rat Factor Movements'!E153</f>
        <v>52143.895533915893</v>
      </c>
      <c r="G153">
        <f>Portfolio!B$6*'CurrentPor-Rat Factor Movements'!F153</f>
        <v>3696.2945087936532</v>
      </c>
      <c r="H153">
        <f>Portfolio!B$7*'CurrentPor-Rat Factor Movements'!J153</f>
        <v>2148.0998964419859</v>
      </c>
      <c r="I153">
        <f t="shared" si="4"/>
        <v>95991.754578236883</v>
      </c>
      <c r="J153">
        <f t="shared" si="5"/>
        <v>160.18319230532506</v>
      </c>
    </row>
    <row r="154" spans="1:10">
      <c r="A154" s="1">
        <v>45685</v>
      </c>
      <c r="B154">
        <f>(3/(1+('CurrentPor-Rat Factor Movements'!C154)/100)+103/POWER(1+('CurrentPor-Rat Factor Movements'!D154)/100,2))*100</f>
        <v>9823.1130936145109</v>
      </c>
      <c r="C154">
        <f>(3/(1+('CurrentPor-Rat Factor Movements'!C154+'CurrentPor-Rat Factor Movements'!G154)/100)+103/POWER(1+('CurrentPor-Rat Factor Movements'!D154+'CurrentPor-Rat Factor Movements'!G154)/100,2))*100</f>
        <v>9728.8181790763938</v>
      </c>
      <c r="D154">
        <f>(3/(1+('CurrentPor-Rat Factor Movements'!C154+'CurrentPor-Rat Factor Movements'!H154)/100)+103/POWER(1+('CurrentPor-Rat Factor Movements'!D154+'CurrentPor-Rat Factor Movements'!H154)/100,2))*100</f>
        <v>9714.8425998475686</v>
      </c>
      <c r="E154">
        <f>(3/(1+('CurrentPor-Rat Factor Movements'!C154+'CurrentPor-Rat Factor Movements'!I154)/100)+103/POWER(1+('CurrentPor-Rat Factor Movements'!D154+'CurrentPor-Rat Factor Movements'!I154)/100,2))*100</f>
        <v>9694.7009774835187</v>
      </c>
      <c r="F154">
        <f>Portfolio!B$5*'CurrentPor-Rat Factor Movements'!E154</f>
        <v>52143.895533915893</v>
      </c>
      <c r="G154">
        <f>Portfolio!B$6*'CurrentPor-Rat Factor Movements'!F154</f>
        <v>3696.2945087936532</v>
      </c>
      <c r="H154">
        <f>Portfolio!B$7*'CurrentPor-Rat Factor Movements'!J154</f>
        <v>2148.0998964419859</v>
      </c>
      <c r="I154">
        <f t="shared" si="4"/>
        <v>96949.764789173525</v>
      </c>
      <c r="J154">
        <f t="shared" si="5"/>
        <v>155.2503243725223</v>
      </c>
    </row>
    <row r="155" spans="1:10">
      <c r="A155" s="1">
        <v>45686</v>
      </c>
      <c r="B155">
        <f>(3/(1+('CurrentPor-Rat Factor Movements'!C155)/100)+103/POWER(1+('CurrentPor-Rat Factor Movements'!D155)/100,2))*100</f>
        <v>9567.1109278717249</v>
      </c>
      <c r="C155">
        <f>(3/(1+('CurrentPor-Rat Factor Movements'!C155+'CurrentPor-Rat Factor Movements'!G155)/100)+103/POWER(1+('CurrentPor-Rat Factor Movements'!D155+'CurrentPor-Rat Factor Movements'!G155)/100,2))*100</f>
        <v>9476.5236167791572</v>
      </c>
      <c r="D155">
        <f>(3/(1+('CurrentPor-Rat Factor Movements'!C155+'CurrentPor-Rat Factor Movements'!H155)/100)+103/POWER(1+('CurrentPor-Rat Factor Movements'!D155+'CurrentPor-Rat Factor Movements'!H155)/100,2))*100</f>
        <v>9463.0960184962169</v>
      </c>
      <c r="E155">
        <f>(3/(1+('CurrentPor-Rat Factor Movements'!C155+'CurrentPor-Rat Factor Movements'!I155)/100)+103/POWER(1+('CurrentPor-Rat Factor Movements'!D155+'CurrentPor-Rat Factor Movements'!I155)/100,2))*100</f>
        <v>9443.7434513974022</v>
      </c>
      <c r="F155">
        <f>Portfolio!B$5*'CurrentPor-Rat Factor Movements'!E155</f>
        <v>52143.895533915893</v>
      </c>
      <c r="G155">
        <f>Portfolio!B$6*'CurrentPor-Rat Factor Movements'!F155</f>
        <v>3696.2945087936532</v>
      </c>
      <c r="H155">
        <f>Portfolio!B$7*'CurrentPor-Rat Factor Movements'!J155</f>
        <v>2148.0998964419859</v>
      </c>
      <c r="I155">
        <f t="shared" si="4"/>
        <v>95938.763953696034</v>
      </c>
      <c r="J155">
        <f t="shared" si="5"/>
        <v>-157.03839519147004</v>
      </c>
    </row>
    <row r="156" spans="1:10">
      <c r="A156" s="1">
        <v>45687</v>
      </c>
      <c r="B156">
        <f>(3/(1+('CurrentPor-Rat Factor Movements'!C156)/100)+103/POWER(1+('CurrentPor-Rat Factor Movements'!D156)/100,2))*100</f>
        <v>9562.0305218773556</v>
      </c>
      <c r="C156">
        <f>(3/(1+('CurrentPor-Rat Factor Movements'!C156+'CurrentPor-Rat Factor Movements'!G156)/100)+103/POWER(1+('CurrentPor-Rat Factor Movements'!D156+'CurrentPor-Rat Factor Movements'!G156)/100,2))*100</f>
        <v>9471.5088064470692</v>
      </c>
      <c r="D156">
        <f>(3/(1+('CurrentPor-Rat Factor Movements'!C156+'CurrentPor-Rat Factor Movements'!H156)/100)+103/POWER(1+('CurrentPor-Rat Factor Movements'!D156+'CurrentPor-Rat Factor Movements'!H156)/100,2))*100</f>
        <v>9458.0909100960434</v>
      </c>
      <c r="E156">
        <f>(3/(1+('CurrentPor-Rat Factor Movements'!C156+'CurrentPor-Rat Factor Movements'!I156)/100)+103/POWER(1+('CurrentPor-Rat Factor Movements'!D156+'CurrentPor-Rat Factor Movements'!I156)/100,2))*100</f>
        <v>9438.7523162868711</v>
      </c>
      <c r="F156">
        <f>Portfolio!B$5*'CurrentPor-Rat Factor Movements'!E156</f>
        <v>52143.895533915893</v>
      </c>
      <c r="G156">
        <f>Portfolio!B$6*'CurrentPor-Rat Factor Movements'!F156</f>
        <v>3696.2945087936532</v>
      </c>
      <c r="H156">
        <f>Portfolio!B$7*'CurrentPor-Rat Factor Movements'!J156</f>
        <v>2148.0998964419859</v>
      </c>
      <c r="I156">
        <f t="shared" si="4"/>
        <v>95918.67249385886</v>
      </c>
      <c r="J156">
        <f t="shared" si="5"/>
        <v>-89.782083213271108</v>
      </c>
    </row>
    <row r="157" spans="1:10">
      <c r="A157" s="1">
        <v>45688</v>
      </c>
      <c r="B157">
        <f>(3/(1+('CurrentPor-Rat Factor Movements'!C157)/100)+103/POWER(1+('CurrentPor-Rat Factor Movements'!D157)/100,2))*100</f>
        <v>9822.6356089839392</v>
      </c>
      <c r="C157">
        <f>(3/(1+('CurrentPor-Rat Factor Movements'!C157+'CurrentPor-Rat Factor Movements'!G157)/100)+103/POWER(1+('CurrentPor-Rat Factor Movements'!D157+'CurrentPor-Rat Factor Movements'!G157)/100,2))*100</f>
        <v>9728.3630964683489</v>
      </c>
      <c r="D157">
        <f>(3/(1+('CurrentPor-Rat Factor Movements'!C157+'CurrentPor-Rat Factor Movements'!H157)/100)+103/POWER(1+('CurrentPor-Rat Factor Movements'!D157+'CurrentPor-Rat Factor Movements'!H157)/100,2))*100</f>
        <v>9714.3908150290008</v>
      </c>
      <c r="E157">
        <f>(3/(1+('CurrentPor-Rat Factor Movements'!C157+'CurrentPor-Rat Factor Movements'!I157)/100)+103/POWER(1+('CurrentPor-Rat Factor Movements'!D157+'CurrentPor-Rat Factor Movements'!I157)/100,2))*100</f>
        <v>9694.2539352280564</v>
      </c>
      <c r="F157">
        <f>Portfolio!B$5*'CurrentPor-Rat Factor Movements'!E157</f>
        <v>52143.895533915893</v>
      </c>
      <c r="G157">
        <f>Portfolio!B$6*'CurrentPor-Rat Factor Movements'!F157</f>
        <v>3696.2945087936532</v>
      </c>
      <c r="H157">
        <f>Portfolio!B$7*'CurrentPor-Rat Factor Movements'!J157</f>
        <v>2148.0998964419859</v>
      </c>
      <c r="I157">
        <f t="shared" si="4"/>
        <v>96947.933394860869</v>
      </c>
      <c r="J157">
        <f t="shared" si="5"/>
        <v>284.74333435625886</v>
      </c>
    </row>
    <row r="158" spans="1:10">
      <c r="A158" s="1">
        <v>45691</v>
      </c>
      <c r="B158">
        <f>(3/(1+('CurrentPor-Rat Factor Movements'!C158)/100)+103/POWER(1+('CurrentPor-Rat Factor Movements'!D158)/100,2))*100</f>
        <v>9666.972505455813</v>
      </c>
      <c r="C158">
        <f>(3/(1+('CurrentPor-Rat Factor Movements'!C158+'CurrentPor-Rat Factor Movements'!G158)/100)+103/POWER(1+('CurrentPor-Rat Factor Movements'!D158+'CurrentPor-Rat Factor Movements'!G158)/100,2))*100</f>
        <v>9574.9570913358802</v>
      </c>
      <c r="D158">
        <f>(3/(1+('CurrentPor-Rat Factor Movements'!C158+'CurrentPor-Rat Factor Movements'!H158)/100)+103/POWER(1+('CurrentPor-Rat Factor Movements'!D158+'CurrentPor-Rat Factor Movements'!H158)/100,2))*100</f>
        <v>9561.3184004864597</v>
      </c>
      <c r="E158">
        <f>(3/(1+('CurrentPor-Rat Factor Movements'!C158+'CurrentPor-Rat Factor Movements'!I158)/100)+103/POWER(1+('CurrentPor-Rat Factor Movements'!D158+'CurrentPor-Rat Factor Movements'!I158)/100,2))*100</f>
        <v>9541.6618653348232</v>
      </c>
      <c r="F158">
        <f>Portfolio!B$5*'CurrentPor-Rat Factor Movements'!E158</f>
        <v>52143.895533915893</v>
      </c>
      <c r="G158">
        <f>Portfolio!B$6*'CurrentPor-Rat Factor Movements'!F158</f>
        <v>3696.2945087936532</v>
      </c>
      <c r="H158">
        <f>Portfolio!B$7*'CurrentPor-Rat Factor Movements'!J158</f>
        <v>2148.0998964419859</v>
      </c>
      <c r="I158">
        <f t="shared" si="4"/>
        <v>96333.199801764495</v>
      </c>
      <c r="J158">
        <f t="shared" si="5"/>
        <v>-76.658139148406917</v>
      </c>
    </row>
    <row r="159" spans="1:10">
      <c r="A159" s="1">
        <v>45692</v>
      </c>
      <c r="B159">
        <f>(3/(1+('CurrentPor-Rat Factor Movements'!C159)/100)+103/POWER(1+('CurrentPor-Rat Factor Movements'!D159)/100,2))*100</f>
        <v>9837.6556723709946</v>
      </c>
      <c r="C159">
        <f>(3/(1+('CurrentPor-Rat Factor Movements'!C159+'CurrentPor-Rat Factor Movements'!G159)/100)+103/POWER(1+('CurrentPor-Rat Factor Movements'!D159+'CurrentPor-Rat Factor Movements'!G159)/100,2))*100</f>
        <v>9743.1600217924024</v>
      </c>
      <c r="D159">
        <f>(3/(1+('CurrentPor-Rat Factor Movements'!C159+'CurrentPor-Rat Factor Movements'!H159)/100)+103/POWER(1+('CurrentPor-Rat Factor Movements'!D159+'CurrentPor-Rat Factor Movements'!H159)/100,2))*100</f>
        <v>9729.1547667344421</v>
      </c>
      <c r="E159">
        <f>(3/(1+('CurrentPor-Rat Factor Movements'!C159+'CurrentPor-Rat Factor Movements'!I159)/100)+103/POWER(1+('CurrentPor-Rat Factor Movements'!D159+'CurrentPor-Rat Factor Movements'!I159)/100,2))*100</f>
        <v>9708.9704099073806</v>
      </c>
      <c r="F159">
        <f>Portfolio!B$5*'CurrentPor-Rat Factor Movements'!E159</f>
        <v>52143.895533915893</v>
      </c>
      <c r="G159">
        <f>Portfolio!B$6*'CurrentPor-Rat Factor Movements'!F159</f>
        <v>3696.2945087936532</v>
      </c>
      <c r="H159">
        <f>Portfolio!B$7*'CurrentPor-Rat Factor Movements'!J159</f>
        <v>2148.0998964419859</v>
      </c>
      <c r="I159">
        <f t="shared" si="4"/>
        <v>97007.230809956745</v>
      </c>
      <c r="J159">
        <f t="shared" si="5"/>
        <v>467.26768890340463</v>
      </c>
    </row>
    <row r="160" spans="1:10">
      <c r="A160" s="1">
        <v>45693</v>
      </c>
      <c r="B160">
        <f>(3/(1+('CurrentPor-Rat Factor Movements'!C160)/100)+103/POWER(1+('CurrentPor-Rat Factor Movements'!D160)/100,2))*100</f>
        <v>9778.0187864617074</v>
      </c>
      <c r="C160">
        <f>(3/(1+('CurrentPor-Rat Factor Movements'!C160+'CurrentPor-Rat Factor Movements'!G160)/100)+103/POWER(1+('CurrentPor-Rat Factor Movements'!D160+'CurrentPor-Rat Factor Movements'!G160)/100,2))*100</f>
        <v>9684.3980825897797</v>
      </c>
      <c r="D160">
        <f>(3/(1+('CurrentPor-Rat Factor Movements'!C160+'CurrentPor-Rat Factor Movements'!H160)/100)+103/POWER(1+('CurrentPor-Rat Factor Movements'!D160+'CurrentPor-Rat Factor Movements'!H160)/100,2))*100</f>
        <v>9670.5221303482431</v>
      </c>
      <c r="E160">
        <f>(3/(1+('CurrentPor-Rat Factor Movements'!C160+'CurrentPor-Rat Factor Movements'!I160)/100)+103/POWER(1+('CurrentPor-Rat Factor Movements'!D160+'CurrentPor-Rat Factor Movements'!I160)/100,2))*100</f>
        <v>9650.5239545696677</v>
      </c>
      <c r="F160">
        <f>Portfolio!B$5*'CurrentPor-Rat Factor Movements'!E160</f>
        <v>52143.895533915893</v>
      </c>
      <c r="G160">
        <f>Portfolio!B$6*'CurrentPor-Rat Factor Movements'!F160</f>
        <v>3696.2945087936532</v>
      </c>
      <c r="H160">
        <f>Portfolio!B$7*'CurrentPor-Rat Factor Movements'!J160</f>
        <v>2148.0998964419859</v>
      </c>
      <c r="I160">
        <f t="shared" si="4"/>
        <v>96771.752893120938</v>
      </c>
      <c r="J160">
        <f t="shared" si="5"/>
        <v>142.58655593436561</v>
      </c>
    </row>
    <row r="161" spans="1:10">
      <c r="A161" s="1">
        <v>45694</v>
      </c>
      <c r="B161">
        <f>(3/(1+('CurrentPor-Rat Factor Movements'!C161)/100)+103/POWER(1+('CurrentPor-Rat Factor Movements'!D161)/100,2))*100</f>
        <v>9781.0231241835772</v>
      </c>
      <c r="C161">
        <f>(3/(1+('CurrentPor-Rat Factor Movements'!C161+'CurrentPor-Rat Factor Movements'!G161)/100)+103/POWER(1+('CurrentPor-Rat Factor Movements'!D161+'CurrentPor-Rat Factor Movements'!G161)/100,2))*100</f>
        <v>9687.3342496669738</v>
      </c>
      <c r="D161">
        <f>(3/(1+('CurrentPor-Rat Factor Movements'!C161+'CurrentPor-Rat Factor Movements'!H161)/100)+103/POWER(1+('CurrentPor-Rat Factor Movements'!D161+'CurrentPor-Rat Factor Movements'!H161)/100,2))*100</f>
        <v>9673.4482428512274</v>
      </c>
      <c r="E161">
        <f>(3/(1+('CurrentPor-Rat Factor Movements'!C161+'CurrentPor-Rat Factor Movements'!I161)/100)+103/POWER(1+('CurrentPor-Rat Factor Movements'!D161+'CurrentPor-Rat Factor Movements'!I161)/100,2))*100</f>
        <v>9653.4355987510644</v>
      </c>
      <c r="F161">
        <f>Portfolio!B$5*'CurrentPor-Rat Factor Movements'!E161</f>
        <v>52143.895533915893</v>
      </c>
      <c r="G161">
        <f>Portfolio!B$6*'CurrentPor-Rat Factor Movements'!F161</f>
        <v>3696.2945087936532</v>
      </c>
      <c r="H161">
        <f>Portfolio!B$7*'CurrentPor-Rat Factor Movements'!J161</f>
        <v>2148.0998964419859</v>
      </c>
      <c r="I161">
        <f t="shared" si="4"/>
        <v>96783.531154604381</v>
      </c>
      <c r="J161">
        <f t="shared" si="5"/>
        <v>30.507288801294635</v>
      </c>
    </row>
    <row r="162" spans="1:10">
      <c r="A162" s="1">
        <v>45695</v>
      </c>
      <c r="B162">
        <f>(3/(1+('CurrentPor-Rat Factor Movements'!C162)/100)+103/POWER(1+('CurrentPor-Rat Factor Movements'!D162)/100,2))*100</f>
        <v>9674.9682195391797</v>
      </c>
      <c r="C162">
        <f>(3/(1+('CurrentPor-Rat Factor Movements'!C162+'CurrentPor-Rat Factor Movements'!G162)/100)+103/POWER(1+('CurrentPor-Rat Factor Movements'!D162+'CurrentPor-Rat Factor Movements'!G162)/100,2))*100</f>
        <v>9582.8260224373898</v>
      </c>
      <c r="D162">
        <f>(3/(1+('CurrentPor-Rat Factor Movements'!C162+'CurrentPor-Rat Factor Movements'!H162)/100)+103/POWER(1+('CurrentPor-Rat Factor Movements'!D162+'CurrentPor-Rat Factor Movements'!H162)/100,2))*100</f>
        <v>9569.1686021494006</v>
      </c>
      <c r="E162">
        <f>(3/(1+('CurrentPor-Rat Factor Movements'!C162+'CurrentPor-Rat Factor Movements'!I162)/100)+103/POWER(1+('CurrentPor-Rat Factor Movements'!D162+'CurrentPor-Rat Factor Movements'!I162)/100,2))*100</f>
        <v>9549.4851019845137</v>
      </c>
      <c r="F162">
        <f>Portfolio!B$5*'CurrentPor-Rat Factor Movements'!E162</f>
        <v>52143.895533915893</v>
      </c>
      <c r="G162">
        <f>Portfolio!B$6*'CurrentPor-Rat Factor Movements'!F162</f>
        <v>3696.2945087936532</v>
      </c>
      <c r="H162">
        <f>Portfolio!B$7*'CurrentPor-Rat Factor Movements'!J162</f>
        <v>2148.0998964419859</v>
      </c>
      <c r="I162">
        <f t="shared" si="4"/>
        <v>96364.737885262017</v>
      </c>
      <c r="J162">
        <f t="shared" si="5"/>
        <v>-373.05216859388747</v>
      </c>
    </row>
    <row r="163" spans="1:10">
      <c r="A163" s="1">
        <v>45698</v>
      </c>
      <c r="B163">
        <f>(3/(1+('CurrentPor-Rat Factor Movements'!C163)/100)+103/POWER(1+('CurrentPor-Rat Factor Movements'!D163)/100,2))*100</f>
        <v>9686.88908998435</v>
      </c>
      <c r="C163">
        <f>(3/(1+('CurrentPor-Rat Factor Movements'!C163+'CurrentPor-Rat Factor Movements'!G163)/100)+103/POWER(1+('CurrentPor-Rat Factor Movements'!D163+'CurrentPor-Rat Factor Movements'!G163)/100,2))*100</f>
        <v>9594.572960073443</v>
      </c>
      <c r="D163">
        <f>(3/(1+('CurrentPor-Rat Factor Movements'!C163+'CurrentPor-Rat Factor Movements'!H163)/100)+103/POWER(1+('CurrentPor-Rat Factor Movements'!D163+'CurrentPor-Rat Factor Movements'!H163)/100,2))*100</f>
        <v>9580.8898336090042</v>
      </c>
      <c r="E163">
        <f>(3/(1+('CurrentPor-Rat Factor Movements'!C163+'CurrentPor-Rat Factor Movements'!I163)/100)+103/POWER(1+('CurrentPor-Rat Factor Movements'!D163+'CurrentPor-Rat Factor Movements'!I163)/100,2))*100</f>
        <v>9561.1693187379933</v>
      </c>
      <c r="F163">
        <f>Portfolio!B$5*'CurrentPor-Rat Factor Movements'!E163</f>
        <v>52143.895533915893</v>
      </c>
      <c r="G163">
        <f>Portfolio!B$6*'CurrentPor-Rat Factor Movements'!F163</f>
        <v>3696.2945087936532</v>
      </c>
      <c r="H163">
        <f>Portfolio!B$7*'CurrentPor-Rat Factor Movements'!J163</f>
        <v>2148.0998964419859</v>
      </c>
      <c r="I163">
        <f t="shared" si="4"/>
        <v>96411.811141556318</v>
      </c>
      <c r="J163">
        <f t="shared" si="5"/>
        <v>420.05656331943464</v>
      </c>
    </row>
    <row r="164" spans="1:10">
      <c r="A164" s="1">
        <v>45699</v>
      </c>
      <c r="B164">
        <f>(3/(1+('CurrentPor-Rat Factor Movements'!C164)/100)+103/POWER(1+('CurrentPor-Rat Factor Movements'!D164)/100,2))*100</f>
        <v>9604.8214891565804</v>
      </c>
      <c r="C164">
        <f>(3/(1+('CurrentPor-Rat Factor Movements'!C164+'CurrentPor-Rat Factor Movements'!G164)/100)+103/POWER(1+('CurrentPor-Rat Factor Movements'!D164+'CurrentPor-Rat Factor Movements'!G164)/100,2))*100</f>
        <v>9513.6930316899925</v>
      </c>
      <c r="D164">
        <f>(3/(1+('CurrentPor-Rat Factor Movements'!C164+'CurrentPor-Rat Factor Movements'!H164)/100)+103/POWER(1+('CurrentPor-Rat Factor Movements'!D164+'CurrentPor-Rat Factor Movements'!H164)/100,2))*100</f>
        <v>9500.1854456391393</v>
      </c>
      <c r="E164">
        <f>(3/(1+('CurrentPor-Rat Factor Movements'!C164+'CurrentPor-Rat Factor Movements'!I164)/100)+103/POWER(1+('CurrentPor-Rat Factor Movements'!D164+'CurrentPor-Rat Factor Movements'!I164)/100,2))*100</f>
        <v>9480.7176985286769</v>
      </c>
      <c r="F164">
        <f>Portfolio!B$5*'CurrentPor-Rat Factor Movements'!E164</f>
        <v>52143.895533915893</v>
      </c>
      <c r="G164">
        <f>Portfolio!B$6*'CurrentPor-Rat Factor Movements'!F164</f>
        <v>3696.2945087936532</v>
      </c>
      <c r="H164">
        <f>Portfolio!B$7*'CurrentPor-Rat Factor Movements'!J164</f>
        <v>2148.0998964419859</v>
      </c>
      <c r="I164">
        <f t="shared" si="4"/>
        <v>96087.707604165931</v>
      </c>
      <c r="J164">
        <f t="shared" si="5"/>
        <v>-862.05718500759394</v>
      </c>
    </row>
    <row r="165" spans="1:10">
      <c r="A165" s="1">
        <v>45700</v>
      </c>
      <c r="B165">
        <f>(3/(1+('CurrentPor-Rat Factor Movements'!C165)/100)+103/POWER(1+('CurrentPor-Rat Factor Movements'!D165)/100,2))*100</f>
        <v>9982.4879861810932</v>
      </c>
      <c r="C165">
        <f>(3/(1+('CurrentPor-Rat Factor Movements'!C165+'CurrentPor-Rat Factor Movements'!G165)/100)+103/POWER(1+('CurrentPor-Rat Factor Movements'!D165+'CurrentPor-Rat Factor Movements'!G165)/100,2))*100</f>
        <v>9885.8685114666077</v>
      </c>
      <c r="D165">
        <f>(3/(1+('CurrentPor-Rat Factor Movements'!C165+'CurrentPor-Rat Factor Movements'!H165)/100)+103/POWER(1+('CurrentPor-Rat Factor Movements'!D165+'CurrentPor-Rat Factor Movements'!H165)/100,2))*100</f>
        <v>9871.549398661391</v>
      </c>
      <c r="E165">
        <f>(3/(1+('CurrentPor-Rat Factor Movements'!C165+'CurrentPor-Rat Factor Movements'!I165)/100)+103/POWER(1+('CurrentPor-Rat Factor Movements'!D165+'CurrentPor-Rat Factor Movements'!I165)/100,2))*100</f>
        <v>9850.9131270514627</v>
      </c>
      <c r="F165">
        <f>Portfolio!B$5*'CurrentPor-Rat Factor Movements'!E165</f>
        <v>52143.895533915893</v>
      </c>
      <c r="G165">
        <f>Portfolio!B$6*'CurrentPor-Rat Factor Movements'!F165</f>
        <v>3696.2945087936532</v>
      </c>
      <c r="H165">
        <f>Portfolio!B$7*'CurrentPor-Rat Factor Movements'!J165</f>
        <v>2148.0998964419859</v>
      </c>
      <c r="I165">
        <f t="shared" si="4"/>
        <v>97579.108962512095</v>
      </c>
      <c r="J165">
        <f t="shared" si="5"/>
        <v>1640.3450088160607</v>
      </c>
    </row>
    <row r="166" spans="1:10">
      <c r="A166" s="1">
        <v>45701</v>
      </c>
      <c r="B166">
        <f>(3/(1+('CurrentPor-Rat Factor Movements'!C166)/100)+103/POWER(1+('CurrentPor-Rat Factor Movements'!D166)/100,2))*100</f>
        <v>9622.6238257540717</v>
      </c>
      <c r="C166">
        <f>(3/(1+('CurrentPor-Rat Factor Movements'!C166+'CurrentPor-Rat Factor Movements'!G166)/100)+103/POWER(1+('CurrentPor-Rat Factor Movements'!D166+'CurrentPor-Rat Factor Movements'!G166)/100,2))*100</f>
        <v>9531.2326108752713</v>
      </c>
      <c r="D166">
        <f>(3/(1+('CurrentPor-Rat Factor Movements'!C166+'CurrentPor-Rat Factor Movements'!H166)/100)+103/POWER(1+('CurrentPor-Rat Factor Movements'!D166+'CurrentPor-Rat Factor Movements'!H166)/100,2))*100</f>
        <v>9517.6861926132951</v>
      </c>
      <c r="E166">
        <f>(3/(1+('CurrentPor-Rat Factor Movements'!C166+'CurrentPor-Rat Factor Movements'!I166)/100)+103/POWER(1+('CurrentPor-Rat Factor Movements'!D166+'CurrentPor-Rat Factor Movements'!I166)/100,2))*100</f>
        <v>9498.1625311957196</v>
      </c>
      <c r="F166">
        <f>Portfolio!B$5*'CurrentPor-Rat Factor Movements'!E166</f>
        <v>52143.895533915893</v>
      </c>
      <c r="G166">
        <f>Portfolio!B$6*'CurrentPor-Rat Factor Movements'!F166</f>
        <v>3696.2945087936532</v>
      </c>
      <c r="H166">
        <f>Portfolio!B$7*'CurrentPor-Rat Factor Movements'!J166</f>
        <v>2148.0998964419859</v>
      </c>
      <c r="I166">
        <f t="shared" si="4"/>
        <v>96157.995099589883</v>
      </c>
      <c r="J166">
        <f t="shared" si="5"/>
        <v>239.32260573102394</v>
      </c>
    </row>
    <row r="167" spans="1:10">
      <c r="A167" s="1">
        <v>45702</v>
      </c>
      <c r="B167">
        <f>(3/(1+('CurrentPor-Rat Factor Movements'!C167)/100)+103/POWER(1+('CurrentPor-Rat Factor Movements'!D167)/100,2))*100</f>
        <v>9698.3240101978536</v>
      </c>
      <c r="C167">
        <f>(3/(1+('CurrentPor-Rat Factor Movements'!C167+'CurrentPor-Rat Factor Movements'!G167)/100)+103/POWER(1+('CurrentPor-Rat Factor Movements'!D167+'CurrentPor-Rat Factor Movements'!G167)/100,2))*100</f>
        <v>9605.8396502200267</v>
      </c>
      <c r="D167">
        <f>(3/(1+('CurrentPor-Rat Factor Movements'!C167+'CurrentPor-Rat Factor Movements'!H167)/100)+103/POWER(1+('CurrentPor-Rat Factor Movements'!D167+'CurrentPor-Rat Factor Movements'!H167)/100,2))*100</f>
        <v>9592.1316616479016</v>
      </c>
      <c r="E167">
        <f>(3/(1+('CurrentPor-Rat Factor Movements'!C167+'CurrentPor-Rat Factor Movements'!I167)/100)+103/POWER(1+('CurrentPor-Rat Factor Movements'!D167+'CurrentPor-Rat Factor Movements'!I167)/100,2))*100</f>
        <v>9572.3753480232608</v>
      </c>
      <c r="F167">
        <f>Portfolio!B$5*'CurrentPor-Rat Factor Movements'!E167</f>
        <v>52143.895533915893</v>
      </c>
      <c r="G167">
        <f>Portfolio!B$6*'CurrentPor-Rat Factor Movements'!F167</f>
        <v>3696.2945087936532</v>
      </c>
      <c r="H167">
        <f>Portfolio!B$7*'CurrentPor-Rat Factor Movements'!J167</f>
        <v>2148.0998964419859</v>
      </c>
      <c r="I167">
        <f t="shared" si="4"/>
        <v>96456.960609240574</v>
      </c>
      <c r="J167">
        <f t="shared" si="5"/>
        <v>-490.97278562029533</v>
      </c>
    </row>
    <row r="168" spans="1:10">
      <c r="A168" s="1">
        <v>45705</v>
      </c>
      <c r="B168">
        <f>(3/(1+('CurrentPor-Rat Factor Movements'!C168)/100)+103/POWER(1+('CurrentPor-Rat Factor Movements'!D168)/100,2))*100</f>
        <v>9638.5148287316151</v>
      </c>
      <c r="C168">
        <f>(3/(1+('CurrentPor-Rat Factor Movements'!C168+'CurrentPor-Rat Factor Movements'!G168)/100)+103/POWER(1+('CurrentPor-Rat Factor Movements'!D168+'CurrentPor-Rat Factor Movements'!G168)/100,2))*100</f>
        <v>9546.9016376873151</v>
      </c>
      <c r="D168">
        <f>(3/(1+('CurrentPor-Rat Factor Movements'!C168+'CurrentPor-Rat Factor Movements'!H168)/100)+103/POWER(1+('CurrentPor-Rat Factor Movements'!D168+'CurrentPor-Rat Factor Movements'!H168)/100,2))*100</f>
        <v>9533.3224041184239</v>
      </c>
      <c r="E168">
        <f>(3/(1+('CurrentPor-Rat Factor Movements'!C168+'CurrentPor-Rat Factor Movements'!I168)/100)+103/POWER(1+('CurrentPor-Rat Factor Movements'!D168+'CurrentPor-Rat Factor Movements'!I168)/100,2))*100</f>
        <v>9513.7514875172092</v>
      </c>
      <c r="F168">
        <f>Portfolio!B$5*'CurrentPor-Rat Factor Movements'!E168</f>
        <v>52143.895533915893</v>
      </c>
      <c r="G168">
        <f>Portfolio!B$6*'CurrentPor-Rat Factor Movements'!F168</f>
        <v>3696.2945087936532</v>
      </c>
      <c r="H168">
        <f>Portfolio!B$7*'CurrentPor-Rat Factor Movements'!J168</f>
        <v>2148.0998964419859</v>
      </c>
      <c r="I168">
        <f t="shared" si="4"/>
        <v>96220.780297206089</v>
      </c>
      <c r="J168">
        <f t="shared" si="5"/>
        <v>-112.41950455840561</v>
      </c>
    </row>
    <row r="169" spans="1:10">
      <c r="A169" s="1">
        <v>45706</v>
      </c>
      <c r="B169">
        <f>(3/(1+('CurrentPor-Rat Factor Movements'!C169)/100)+103/POWER(1+('CurrentPor-Rat Factor Movements'!D169)/100,2))*100</f>
        <v>9710.1356425860849</v>
      </c>
      <c r="C169">
        <f>(3/(1+('CurrentPor-Rat Factor Movements'!C169+'CurrentPor-Rat Factor Movements'!G169)/100)+103/POWER(1+('CurrentPor-Rat Factor Movements'!D169+'CurrentPor-Rat Factor Movements'!G169)/100,2))*100</f>
        <v>9617.4775295548479</v>
      </c>
      <c r="D169">
        <f>(3/(1+('CurrentPor-Rat Factor Movements'!C169+'CurrentPor-Rat Factor Movements'!H169)/100)+103/POWER(1+('CurrentPor-Rat Factor Movements'!D169+'CurrentPor-Rat Factor Movements'!H169)/100,2))*100</f>
        <v>9603.7438627327865</v>
      </c>
      <c r="E169">
        <f>(3/(1+('CurrentPor-Rat Factor Movements'!C169+'CurrentPor-Rat Factor Movements'!I169)/100)+103/POWER(1+('CurrentPor-Rat Factor Movements'!D169+'CurrentPor-Rat Factor Movements'!I169)/100,2))*100</f>
        <v>9583.9505752337282</v>
      </c>
      <c r="F169">
        <f>Portfolio!B$5*'CurrentPor-Rat Factor Movements'!E169</f>
        <v>52143.895533915893</v>
      </c>
      <c r="G169">
        <f>Portfolio!B$6*'CurrentPor-Rat Factor Movements'!F169</f>
        <v>3696.2945087936532</v>
      </c>
      <c r="H169">
        <f>Portfolio!B$7*'CurrentPor-Rat Factor Movements'!J169</f>
        <v>2148.0998964419859</v>
      </c>
      <c r="I169">
        <f t="shared" si="4"/>
        <v>96503.597549258979</v>
      </c>
      <c r="J169">
        <f t="shared" si="5"/>
        <v>-503.63326069776667</v>
      </c>
    </row>
    <row r="170" spans="1:10">
      <c r="A170" s="1">
        <v>45707</v>
      </c>
      <c r="B170">
        <f>(3/(1+('CurrentPor-Rat Factor Movements'!C170)/100)+103/POWER(1+('CurrentPor-Rat Factor Movements'!D170)/100,2))*100</f>
        <v>9678.8263043520146</v>
      </c>
      <c r="C170">
        <f>(3/(1+('CurrentPor-Rat Factor Movements'!C170+'CurrentPor-Rat Factor Movements'!G170)/100)+103/POWER(1+('CurrentPor-Rat Factor Movements'!D170+'CurrentPor-Rat Factor Movements'!G170)/100,2))*100</f>
        <v>9586.6246031297378</v>
      </c>
      <c r="D170">
        <f>(3/(1+('CurrentPor-Rat Factor Movements'!C170+'CurrentPor-Rat Factor Movements'!H170)/100)+103/POWER(1+('CurrentPor-Rat Factor Movements'!D170+'CurrentPor-Rat Factor Movements'!H170)/100,2))*100</f>
        <v>9572.9583911510508</v>
      </c>
      <c r="E170">
        <f>(3/(1+('CurrentPor-Rat Factor Movements'!C170+'CurrentPor-Rat Factor Movements'!I170)/100)+103/POWER(1+('CurrentPor-Rat Factor Movements'!D170+'CurrentPor-Rat Factor Movements'!I170)/100,2))*100</f>
        <v>9553.2622329069909</v>
      </c>
      <c r="F170">
        <f>Portfolio!B$5*'CurrentPor-Rat Factor Movements'!E170</f>
        <v>52143.895533915893</v>
      </c>
      <c r="G170">
        <f>Portfolio!B$6*'CurrentPor-Rat Factor Movements'!F170</f>
        <v>3696.2945087936532</v>
      </c>
      <c r="H170">
        <f>Portfolio!B$7*'CurrentPor-Rat Factor Movements'!J170</f>
        <v>2148.0998964419859</v>
      </c>
      <c r="I170">
        <f t="shared" si="4"/>
        <v>96379.961470691327</v>
      </c>
      <c r="J170">
        <f t="shared" si="5"/>
        <v>-391.79142242961098</v>
      </c>
    </row>
    <row r="171" spans="1:10">
      <c r="A171" s="1">
        <v>45708</v>
      </c>
      <c r="B171">
        <f>(3/(1+('CurrentPor-Rat Factor Movements'!C171)/100)+103/POWER(1+('CurrentPor-Rat Factor Movements'!D171)/100,2))*100</f>
        <v>9614.0748119106865</v>
      </c>
      <c r="C171">
        <f>(3/(1+('CurrentPor-Rat Factor Movements'!C171+'CurrentPor-Rat Factor Movements'!G171)/100)+103/POWER(1+('CurrentPor-Rat Factor Movements'!D171+'CurrentPor-Rat Factor Movements'!G171)/100,2))*100</f>
        <v>9522.8045982724943</v>
      </c>
      <c r="D171">
        <f>(3/(1+('CurrentPor-Rat Factor Movements'!C171+'CurrentPor-Rat Factor Movements'!H171)/100)+103/POWER(1+('CurrentPor-Rat Factor Movements'!D171+'CurrentPor-Rat Factor Movements'!H171)/100,2))*100</f>
        <v>9509.2760666328904</v>
      </c>
      <c r="E171">
        <f>(3/(1+('CurrentPor-Rat Factor Movements'!C171+'CurrentPor-Rat Factor Movements'!I171)/100)+103/POWER(1+('CurrentPor-Rat Factor Movements'!D171+'CurrentPor-Rat Factor Movements'!I171)/100,2))*100</f>
        <v>9489.7781619794478</v>
      </c>
      <c r="F171">
        <f>Portfolio!B$5*'CurrentPor-Rat Factor Movements'!E171</f>
        <v>52143.895533915893</v>
      </c>
      <c r="G171">
        <f>Portfolio!B$6*'CurrentPor-Rat Factor Movements'!F171</f>
        <v>3696.2945087936532</v>
      </c>
      <c r="H171">
        <f>Portfolio!B$7*'CurrentPor-Rat Factor Movements'!J171</f>
        <v>2148.0998964419859</v>
      </c>
      <c r="I171">
        <f t="shared" si="4"/>
        <v>96124.22357794705</v>
      </c>
      <c r="J171">
        <f t="shared" si="5"/>
        <v>-659.30757665733108</v>
      </c>
    </row>
    <row r="172" spans="1:10">
      <c r="A172" s="1">
        <v>45709</v>
      </c>
      <c r="B172">
        <f>(3/(1+('CurrentPor-Rat Factor Movements'!C172)/100)+103/POWER(1+('CurrentPor-Rat Factor Movements'!D172)/100,2))*100</f>
        <v>9730.0168412492876</v>
      </c>
      <c r="C172">
        <f>(3/(1+('CurrentPor-Rat Factor Movements'!C172+'CurrentPor-Rat Factor Movements'!G172)/100)+103/POWER(1+('CurrentPor-Rat Factor Movements'!D172+'CurrentPor-Rat Factor Movements'!G172)/100,2))*100</f>
        <v>9637.0755291526584</v>
      </c>
      <c r="D172">
        <f>(3/(1+('CurrentPor-Rat Factor Movements'!C172+'CurrentPor-Rat Factor Movements'!H172)/100)+103/POWER(1+('CurrentPor-Rat Factor Movements'!D172+'CurrentPor-Rat Factor Movements'!H172)/100,2))*100</f>
        <v>9623.300002077176</v>
      </c>
      <c r="E172">
        <f>(3/(1+('CurrentPor-Rat Factor Movements'!C172+'CurrentPor-Rat Factor Movements'!I172)/100)+103/POWER(1+('CurrentPor-Rat Factor Movements'!D172+'CurrentPor-Rat Factor Movements'!I172)/100,2))*100</f>
        <v>9603.446436995695</v>
      </c>
      <c r="F172">
        <f>Portfolio!B$5*'CurrentPor-Rat Factor Movements'!E172</f>
        <v>52143.895533915893</v>
      </c>
      <c r="G172">
        <f>Portfolio!B$6*'CurrentPor-Rat Factor Movements'!F172</f>
        <v>3696.2945087936532</v>
      </c>
      <c r="H172">
        <f>Portfolio!B$7*'CurrentPor-Rat Factor Movements'!J172</f>
        <v>2148.0998964419859</v>
      </c>
      <c r="I172">
        <f t="shared" si="4"/>
        <v>96582.128748626346</v>
      </c>
      <c r="J172">
        <f t="shared" si="5"/>
        <v>217.39086336432956</v>
      </c>
    </row>
    <row r="173" spans="1:10">
      <c r="A173" s="1">
        <v>45712</v>
      </c>
      <c r="B173">
        <f>(3/(1+('CurrentPor-Rat Factor Movements'!C173)/100)+103/POWER(1+('CurrentPor-Rat Factor Movements'!D173)/100,2))*100</f>
        <v>9738.6141947659235</v>
      </c>
      <c r="C173">
        <f>(3/(1+('CurrentPor-Rat Factor Movements'!C173+'CurrentPor-Rat Factor Movements'!G173)/100)+103/POWER(1+('CurrentPor-Rat Factor Movements'!D173+'CurrentPor-Rat Factor Movements'!G173)/100,2))*100</f>
        <v>9645.5634896231513</v>
      </c>
      <c r="D173">
        <f>(3/(1+('CurrentPor-Rat Factor Movements'!C173+'CurrentPor-Rat Factor Movements'!H173)/100)+103/POWER(1+('CurrentPor-Rat Factor Movements'!D173+'CurrentPor-Rat Factor Movements'!H173)/100,2))*100</f>
        <v>9631.7717818573274</v>
      </c>
      <c r="E173">
        <f>(3/(1+('CurrentPor-Rat Factor Movements'!C173+'CurrentPor-Rat Factor Movements'!I173)/100)+103/POWER(1+('CurrentPor-Rat Factor Movements'!D173+'CurrentPor-Rat Factor Movements'!I173)/100,2))*100</f>
        <v>9611.8949119853751</v>
      </c>
      <c r="F173">
        <f>Portfolio!B$5*'CurrentPor-Rat Factor Movements'!E173</f>
        <v>52143.895533915893</v>
      </c>
      <c r="G173">
        <f>Portfolio!B$6*'CurrentPor-Rat Factor Movements'!F173</f>
        <v>3696.2945087936532</v>
      </c>
      <c r="H173">
        <f>Portfolio!B$7*'CurrentPor-Rat Factor Movements'!J173</f>
        <v>2148.0998964419859</v>
      </c>
      <c r="I173">
        <f t="shared" si="4"/>
        <v>96616.134317383301</v>
      </c>
      <c r="J173">
        <f t="shared" si="5"/>
        <v>204.32317582698306</v>
      </c>
    </row>
    <row r="174" spans="1:10">
      <c r="A174" s="1">
        <v>45713</v>
      </c>
      <c r="B174">
        <f>(3/(1+('CurrentPor-Rat Factor Movements'!C174)/100)+103/POWER(1+('CurrentPor-Rat Factor Movements'!D174)/100,2))*100</f>
        <v>9691.6172102460569</v>
      </c>
      <c r="C174">
        <f>(3/(1+('CurrentPor-Rat Factor Movements'!C174+'CurrentPor-Rat Factor Movements'!G174)/100)+103/POWER(1+('CurrentPor-Rat Factor Movements'!D174+'CurrentPor-Rat Factor Movements'!G174)/100,2))*100</f>
        <v>9599.2228984788489</v>
      </c>
      <c r="D174">
        <f>(3/(1+('CurrentPor-Rat Factor Movements'!C174+'CurrentPor-Rat Factor Movements'!H174)/100)+103/POWER(1+('CurrentPor-Rat Factor Movements'!D174+'CurrentPor-Rat Factor Movements'!H174)/100,2))*100</f>
        <v>9585.5282248706226</v>
      </c>
      <c r="E174">
        <f>(3/(1+('CurrentPor-Rat Factor Movements'!C174+'CurrentPor-Rat Factor Movements'!I174)/100)+103/POWER(1+('CurrentPor-Rat Factor Movements'!D174+'CurrentPor-Rat Factor Movements'!I174)/100,2))*100</f>
        <v>9565.7910865840895</v>
      </c>
      <c r="F174">
        <f>Portfolio!B$5*'CurrentPor-Rat Factor Movements'!E174</f>
        <v>52143.895533915893</v>
      </c>
      <c r="G174">
        <f>Portfolio!B$6*'CurrentPor-Rat Factor Movements'!F174</f>
        <v>3696.2945087936532</v>
      </c>
      <c r="H174">
        <f>Portfolio!B$7*'CurrentPor-Rat Factor Movements'!J174</f>
        <v>2148.0998964419859</v>
      </c>
      <c r="I174">
        <f t="shared" si="4"/>
        <v>96430.449359331149</v>
      </c>
      <c r="J174">
        <f t="shared" si="5"/>
        <v>342.74175516521791</v>
      </c>
    </row>
    <row r="175" spans="1:10">
      <c r="A175" s="1">
        <v>45714</v>
      </c>
      <c r="B175">
        <f>(3/(1+('CurrentPor-Rat Factor Movements'!C175)/100)+103/POWER(1+('CurrentPor-Rat Factor Movements'!D175)/100,2))*100</f>
        <v>9668.8195866045298</v>
      </c>
      <c r="C175">
        <f>(3/(1+('CurrentPor-Rat Factor Movements'!C175+'CurrentPor-Rat Factor Movements'!G175)/100)+103/POWER(1+('CurrentPor-Rat Factor Movements'!D175+'CurrentPor-Rat Factor Movements'!G175)/100,2))*100</f>
        <v>9576.7701308247451</v>
      </c>
      <c r="D175">
        <f>(3/(1+('CurrentPor-Rat Factor Movements'!C175+'CurrentPor-Rat Factor Movements'!H175)/100)+103/POWER(1+('CurrentPor-Rat Factor Movements'!D175+'CurrentPor-Rat Factor Movements'!H175)/100,2))*100</f>
        <v>9563.1264146600552</v>
      </c>
      <c r="E175">
        <f>(3/(1+('CurrentPor-Rat Factor Movements'!C175+'CurrentPor-Rat Factor Movements'!I175)/100)+103/POWER(1+('CurrentPor-Rat Factor Movements'!D175+'CurrentPor-Rat Factor Movements'!I175)/100,2))*100</f>
        <v>9543.4626461425923</v>
      </c>
      <c r="F175">
        <f>Portfolio!B$5*'CurrentPor-Rat Factor Movements'!E175</f>
        <v>52143.895533915893</v>
      </c>
      <c r="G175">
        <f>Portfolio!B$6*'CurrentPor-Rat Factor Movements'!F175</f>
        <v>3696.2945087936532</v>
      </c>
      <c r="H175">
        <f>Portfolio!B$7*'CurrentPor-Rat Factor Movements'!J175</f>
        <v>2148.0998964419859</v>
      </c>
      <c r="I175">
        <f t="shared" si="4"/>
        <v>96340.468717383454</v>
      </c>
      <c r="J175">
        <f t="shared" si="5"/>
        <v>-1238.6402451286413</v>
      </c>
    </row>
    <row r="176" spans="1:10">
      <c r="A176" s="1">
        <v>45715</v>
      </c>
      <c r="B176">
        <f>(3/(1+('CurrentPor-Rat Factor Movements'!C176)/100)+103/POWER(1+('CurrentPor-Rat Factor Movements'!D176)/100,2))*100</f>
        <v>9694.510974241126</v>
      </c>
      <c r="C176">
        <f>(3/(1+('CurrentPor-Rat Factor Movements'!C176+'CurrentPor-Rat Factor Movements'!G176)/100)+103/POWER(1+('CurrentPor-Rat Factor Movements'!D176+'CurrentPor-Rat Factor Movements'!G176)/100,2))*100</f>
        <v>9602.0830714381682</v>
      </c>
      <c r="D176">
        <f>(3/(1+('CurrentPor-Rat Factor Movements'!C176+'CurrentPor-Rat Factor Movements'!H176)/100)+103/POWER(1+('CurrentPor-Rat Factor Movements'!D176+'CurrentPor-Rat Factor Movements'!H176)/100,2))*100</f>
        <v>9588.3834261601514</v>
      </c>
      <c r="E176">
        <f>(3/(1+('CurrentPor-Rat Factor Movements'!C176+'CurrentPor-Rat Factor Movements'!I176)/100)+103/POWER(1+('CurrentPor-Rat Factor Movements'!D176+'CurrentPor-Rat Factor Movements'!I176)/100,2))*100</f>
        <v>9568.6391258396634</v>
      </c>
      <c r="F176">
        <f>Portfolio!B$5*'CurrentPor-Rat Factor Movements'!E176</f>
        <v>52143.895533915893</v>
      </c>
      <c r="G176">
        <f>Portfolio!B$6*'CurrentPor-Rat Factor Movements'!F176</f>
        <v>3696.2945087936532</v>
      </c>
      <c r="H176">
        <f>Portfolio!B$7*'CurrentPor-Rat Factor Movements'!J176</f>
        <v>2148.0998964419859</v>
      </c>
      <c r="I176">
        <f t="shared" si="4"/>
        <v>96441.906536830633</v>
      </c>
      <c r="J176">
        <f t="shared" si="5"/>
        <v>283.91143724074936</v>
      </c>
    </row>
    <row r="177" spans="1:10">
      <c r="A177" s="1">
        <v>45716</v>
      </c>
      <c r="B177">
        <f>(3/(1+('CurrentPor-Rat Factor Movements'!C177)/100)+103/POWER(1+('CurrentPor-Rat Factor Movements'!D177)/100,2))*100</f>
        <v>10029.156419484374</v>
      </c>
      <c r="C177">
        <f>(3/(1+('CurrentPor-Rat Factor Movements'!C177+'CurrentPor-Rat Factor Movements'!G177)/100)+103/POWER(1+('CurrentPor-Rat Factor Movements'!D177+'CurrentPor-Rat Factor Movements'!G177)/100,2))*100</f>
        <v>9931.8442659507436</v>
      </c>
      <c r="D177">
        <f>(3/(1+('CurrentPor-Rat Factor Movements'!C177+'CurrentPor-Rat Factor Movements'!H177)/100)+103/POWER(1+('CurrentPor-Rat Factor Movements'!D177+'CurrentPor-Rat Factor Movements'!H177)/100,2))*100</f>
        <v>9917.422799358199</v>
      </c>
      <c r="E177">
        <f>(3/(1+('CurrentPor-Rat Factor Movements'!C177+'CurrentPor-Rat Factor Movements'!I177)/100)+103/POWER(1+('CurrentPor-Rat Factor Movements'!D177+'CurrentPor-Rat Factor Movements'!I177)/100,2))*100</f>
        <v>9896.6391559979929</v>
      </c>
      <c r="F177">
        <f>Portfolio!B$5*'CurrentPor-Rat Factor Movements'!E177</f>
        <v>52143.895533915893</v>
      </c>
      <c r="G177">
        <f>Portfolio!B$6*'CurrentPor-Rat Factor Movements'!F177</f>
        <v>3696.2945087936532</v>
      </c>
      <c r="H177">
        <f>Portfolio!B$7*'CurrentPor-Rat Factor Movements'!J177</f>
        <v>2148.0998964419859</v>
      </c>
      <c r="I177">
        <f t="shared" si="4"/>
        <v>97763.352579942832</v>
      </c>
      <c r="J177">
        <f t="shared" si="5"/>
        <v>1306.3919707022578</v>
      </c>
    </row>
    <row r="178" spans="1:10">
      <c r="A178" s="1">
        <v>45719</v>
      </c>
      <c r="B178">
        <f>(3/(1+('CurrentPor-Rat Factor Movements'!C178)/100)+103/POWER(1+('CurrentPor-Rat Factor Movements'!D178)/100,2))*100</f>
        <v>9646.2216588090414</v>
      </c>
      <c r="C178">
        <f>(3/(1+('CurrentPor-Rat Factor Movements'!C178+'CurrentPor-Rat Factor Movements'!G178)/100)+103/POWER(1+('CurrentPor-Rat Factor Movements'!D178+'CurrentPor-Rat Factor Movements'!G178)/100,2))*100</f>
        <v>9554.4882528897979</v>
      </c>
      <c r="D178">
        <f>(3/(1+('CurrentPor-Rat Factor Movements'!C178+'CurrentPor-Rat Factor Movements'!H178)/100)+103/POWER(1+('CurrentPor-Rat Factor Movements'!D178+'CurrentPor-Rat Factor Movements'!H178)/100,2))*100</f>
        <v>9540.8912585072558</v>
      </c>
      <c r="E178">
        <f>(3/(1+('CurrentPor-Rat Factor Movements'!C178+'CurrentPor-Rat Factor Movements'!I178)/100)+103/POWER(1+('CurrentPor-Rat Factor Movements'!D178+'CurrentPor-Rat Factor Movements'!I178)/100,2))*100</f>
        <v>9521.2947706722953</v>
      </c>
      <c r="F178">
        <f>Portfolio!B$5*'CurrentPor-Rat Factor Movements'!E178</f>
        <v>52143.895533915893</v>
      </c>
      <c r="G178">
        <f>Portfolio!B$6*'CurrentPor-Rat Factor Movements'!F178</f>
        <v>3696.2945087936532</v>
      </c>
      <c r="H178">
        <f>Portfolio!B$7*'CurrentPor-Rat Factor Movements'!J178</f>
        <v>2148.0998964419859</v>
      </c>
      <c r="I178">
        <f t="shared" si="4"/>
        <v>96251.185880029909</v>
      </c>
      <c r="J178">
        <f t="shared" si="5"/>
        <v>30.405582823819714</v>
      </c>
    </row>
    <row r="179" spans="1:10">
      <c r="A179" s="1">
        <v>45720</v>
      </c>
      <c r="B179">
        <f>(3/(1+('CurrentPor-Rat Factor Movements'!C179)/100)+103/POWER(1+('CurrentPor-Rat Factor Movements'!D179)/100,2))*100</f>
        <v>9719.9595065680696</v>
      </c>
      <c r="C179">
        <f>(3/(1+('CurrentPor-Rat Factor Movements'!C179+'CurrentPor-Rat Factor Movements'!G179)/100)+103/POWER(1+('CurrentPor-Rat Factor Movements'!D179+'CurrentPor-Rat Factor Movements'!G179)/100,2))*100</f>
        <v>9627.1594659942148</v>
      </c>
      <c r="D179">
        <f>(3/(1+('CurrentPor-Rat Factor Movements'!C179+'CurrentPor-Rat Factor Movements'!H179)/100)+103/POWER(1+('CurrentPor-Rat Factor Movements'!D179+'CurrentPor-Rat Factor Movements'!H179)/100,2))*100</f>
        <v>9613.4048222266701</v>
      </c>
      <c r="E179">
        <f>(3/(1+('CurrentPor-Rat Factor Movements'!C179+'CurrentPor-Rat Factor Movements'!I179)/100)+103/POWER(1+('CurrentPor-Rat Factor Movements'!D179+'CurrentPor-Rat Factor Movements'!I179)/100,2))*100</f>
        <v>9593.5813292787097</v>
      </c>
      <c r="F179">
        <f>Portfolio!B$5*'CurrentPor-Rat Factor Movements'!E179</f>
        <v>52143.895533915893</v>
      </c>
      <c r="G179">
        <f>Portfolio!B$6*'CurrentPor-Rat Factor Movements'!F179</f>
        <v>3696.2945087936532</v>
      </c>
      <c r="H179">
        <f>Portfolio!B$7*'CurrentPor-Rat Factor Movements'!J179</f>
        <v>2148.0998964419859</v>
      </c>
      <c r="I179">
        <f t="shared" si="4"/>
        <v>96542.395063219199</v>
      </c>
      <c r="J179">
        <f t="shared" si="5"/>
        <v>38.797513960220385</v>
      </c>
    </row>
    <row r="180" spans="1:10">
      <c r="A180" s="1">
        <v>45721</v>
      </c>
      <c r="B180">
        <f>(3/(1+('CurrentPor-Rat Factor Movements'!C180)/100)+103/POWER(1+('CurrentPor-Rat Factor Movements'!D180)/100,2))*100</f>
        <v>9791.6800518887121</v>
      </c>
      <c r="C180">
        <f>(3/(1+('CurrentPor-Rat Factor Movements'!C180+'CurrentPor-Rat Factor Movements'!G180)/100)+103/POWER(1+('CurrentPor-Rat Factor Movements'!D180+'CurrentPor-Rat Factor Movements'!G180)/100,2))*100</f>
        <v>9697.8547386727041</v>
      </c>
      <c r="D180">
        <f>(3/(1+('CurrentPor-Rat Factor Movements'!C180+'CurrentPor-Rat Factor Movements'!H180)/100)+103/POWER(1+('CurrentPor-Rat Factor Movements'!D180+'CurrentPor-Rat Factor Movements'!H180)/100,2))*100</f>
        <v>9683.948551780737</v>
      </c>
      <c r="E180">
        <f>(3/(1+('CurrentPor-Rat Factor Movements'!C180+'CurrentPor-Rat Factor Movements'!I180)/100)+103/POWER(1+('CurrentPor-Rat Factor Movements'!D180+'CurrentPor-Rat Factor Movements'!I180)/100,2))*100</f>
        <v>9663.9068431057567</v>
      </c>
      <c r="F180">
        <f>Portfolio!B$5*'CurrentPor-Rat Factor Movements'!E180</f>
        <v>52143.895533915893</v>
      </c>
      <c r="G180">
        <f>Portfolio!B$6*'CurrentPor-Rat Factor Movements'!F180</f>
        <v>3696.2945087936532</v>
      </c>
      <c r="H180">
        <f>Portfolio!B$7*'CurrentPor-Rat Factor Movements'!J180</f>
        <v>2148.0998964419859</v>
      </c>
      <c r="I180">
        <f t="shared" si="4"/>
        <v>96825.680124599443</v>
      </c>
      <c r="J180">
        <f t="shared" si="5"/>
        <v>445.71865390811581</v>
      </c>
    </row>
    <row r="181" spans="1:10">
      <c r="A181" s="1">
        <v>45722</v>
      </c>
      <c r="B181">
        <f>(3/(1+('CurrentPor-Rat Factor Movements'!C181)/100)+103/POWER(1+('CurrentPor-Rat Factor Movements'!D181)/100,2))*100</f>
        <v>9617.4207193437924</v>
      </c>
      <c r="C181">
        <f>(3/(1+('CurrentPor-Rat Factor Movements'!C181+'CurrentPor-Rat Factor Movements'!G181)/100)+103/POWER(1+('CurrentPor-Rat Factor Movements'!D181+'CurrentPor-Rat Factor Movements'!G181)/100,2))*100</f>
        <v>9526.1128744779326</v>
      </c>
      <c r="D181">
        <f>(3/(1+('CurrentPor-Rat Factor Movements'!C181+'CurrentPor-Rat Factor Movements'!H181)/100)+103/POWER(1+('CurrentPor-Rat Factor Movements'!D181+'CurrentPor-Rat Factor Movements'!H181)/100,2))*100</f>
        <v>9512.5787718861939</v>
      </c>
      <c r="E181">
        <f>(3/(1+('CurrentPor-Rat Factor Movements'!C181+'CurrentPor-Rat Factor Movements'!I181)/100)+103/POWER(1+('CurrentPor-Rat Factor Movements'!D181+'CurrentPor-Rat Factor Movements'!I181)/100,2))*100</f>
        <v>9493.0728412941571</v>
      </c>
      <c r="F181">
        <f>Portfolio!B$5*'CurrentPor-Rat Factor Movements'!E181</f>
        <v>52143.895533915893</v>
      </c>
      <c r="G181">
        <f>Portfolio!B$6*'CurrentPor-Rat Factor Movements'!F181</f>
        <v>3696.2945087936532</v>
      </c>
      <c r="H181">
        <f>Portfolio!B$7*'CurrentPor-Rat Factor Movements'!J181</f>
        <v>2148.0998964419859</v>
      </c>
      <c r="I181">
        <f t="shared" si="4"/>
        <v>96137.475146153607</v>
      </c>
      <c r="J181">
        <f t="shared" si="5"/>
        <v>13.25156820655684</v>
      </c>
    </row>
    <row r="182" spans="1:10">
      <c r="A182" s="1">
        <v>45723</v>
      </c>
      <c r="B182">
        <f>(3/(1+('CurrentPor-Rat Factor Movements'!C182)/100)+103/POWER(1+('CurrentPor-Rat Factor Movements'!D182)/100,2))*100</f>
        <v>9568.3244855349712</v>
      </c>
      <c r="C182">
        <f>(3/(1+('CurrentPor-Rat Factor Movements'!C182+'CurrentPor-Rat Factor Movements'!G182)/100)+103/POWER(1+('CurrentPor-Rat Factor Movements'!D182+'CurrentPor-Rat Factor Movements'!G182)/100,2))*100</f>
        <v>9477.7146666948192</v>
      </c>
      <c r="D182">
        <f>(3/(1+('CurrentPor-Rat Factor Movements'!C182+'CurrentPor-Rat Factor Movements'!H182)/100)+103/POWER(1+('CurrentPor-Rat Factor Movements'!D182+'CurrentPor-Rat Factor Movements'!H182)/100,2))*100</f>
        <v>9464.2837457151236</v>
      </c>
      <c r="E182">
        <f>(3/(1+('CurrentPor-Rat Factor Movements'!C182+'CurrentPor-Rat Factor Movements'!I182)/100)+103/POWER(1+('CurrentPor-Rat Factor Movements'!D182+'CurrentPor-Rat Factor Movements'!I182)/100,2))*100</f>
        <v>9444.9263959541295</v>
      </c>
      <c r="F182">
        <f>Portfolio!B$5*'CurrentPor-Rat Factor Movements'!E182</f>
        <v>52143.895533915893</v>
      </c>
      <c r="G182">
        <f>Portfolio!B$6*'CurrentPor-Rat Factor Movements'!F182</f>
        <v>3696.2945087936532</v>
      </c>
      <c r="H182">
        <f>Portfolio!B$7*'CurrentPor-Rat Factor Movements'!J182</f>
        <v>2148.0998964419859</v>
      </c>
      <c r="I182">
        <f t="shared" si="4"/>
        <v>95943.539233050571</v>
      </c>
      <c r="J182">
        <f t="shared" si="5"/>
        <v>-638.58951557577529</v>
      </c>
    </row>
    <row r="183" spans="1:10">
      <c r="A183" s="1">
        <v>45726</v>
      </c>
      <c r="B183">
        <f>(3/(1+('CurrentPor-Rat Factor Movements'!C183)/100)+103/POWER(1+('CurrentPor-Rat Factor Movements'!D183)/100,2))*100</f>
        <v>9675.5281442716514</v>
      </c>
      <c r="C183">
        <f>(3/(1+('CurrentPor-Rat Factor Movements'!C183+'CurrentPor-Rat Factor Movements'!G183)/100)+103/POWER(1+('CurrentPor-Rat Factor Movements'!D183+'CurrentPor-Rat Factor Movements'!G183)/100,2))*100</f>
        <v>9583.3654988434064</v>
      </c>
      <c r="D183">
        <f>(3/(1+('CurrentPor-Rat Factor Movements'!C183+'CurrentPor-Rat Factor Movements'!H183)/100)+103/POWER(1+('CurrentPor-Rat Factor Movements'!D183+'CurrentPor-Rat Factor Movements'!H183)/100,2))*100</f>
        <v>9569.7050665636452</v>
      </c>
      <c r="E183">
        <f>(3/(1+('CurrentPor-Rat Factor Movements'!C183+'CurrentPor-Rat Factor Movements'!I183)/100)+103/POWER(1+('CurrentPor-Rat Factor Movements'!D183+'CurrentPor-Rat Factor Movements'!I183)/100,2))*100</f>
        <v>9550.01723401655</v>
      </c>
      <c r="F183">
        <f>Portfolio!B$5*'CurrentPor-Rat Factor Movements'!E183</f>
        <v>52143.895533915893</v>
      </c>
      <c r="G183">
        <f>Portfolio!B$6*'CurrentPor-Rat Factor Movements'!F183</f>
        <v>3696.2945087936532</v>
      </c>
      <c r="H183">
        <f>Portfolio!B$7*'CurrentPor-Rat Factor Movements'!J183</f>
        <v>2148.0998964419859</v>
      </c>
      <c r="I183">
        <f t="shared" si="4"/>
        <v>96366.905882846782</v>
      </c>
      <c r="J183">
        <f t="shared" si="5"/>
        <v>-249.22843453651876</v>
      </c>
    </row>
    <row r="184" spans="1:10">
      <c r="A184" s="1">
        <v>45727</v>
      </c>
      <c r="B184">
        <f>(3/(1+('CurrentPor-Rat Factor Movements'!C184)/100)+103/POWER(1+('CurrentPor-Rat Factor Movements'!D184)/100,2))*100</f>
        <v>9696.4082583911204</v>
      </c>
      <c r="C184">
        <f>(3/(1+('CurrentPor-Rat Factor Movements'!C184+'CurrentPor-Rat Factor Movements'!G184)/100)+103/POWER(1+('CurrentPor-Rat Factor Movements'!D184+'CurrentPor-Rat Factor Movements'!G184)/100,2))*100</f>
        <v>9603.9444387187086</v>
      </c>
      <c r="D184">
        <f>(3/(1+('CurrentPor-Rat Factor Movements'!C184+'CurrentPor-Rat Factor Movements'!H184)/100)+103/POWER(1+('CurrentPor-Rat Factor Movements'!D184+'CurrentPor-Rat Factor Movements'!H184)/100,2))*100</f>
        <v>9590.2394919977778</v>
      </c>
      <c r="E184">
        <f>(3/(1+('CurrentPor-Rat Factor Movements'!C184+'CurrentPor-Rat Factor Movements'!I184)/100)+103/POWER(1+('CurrentPor-Rat Factor Movements'!D184+'CurrentPor-Rat Factor Movements'!I184)/100,2))*100</f>
        <v>9570.4875611748867</v>
      </c>
      <c r="F184">
        <f>Portfolio!B$5*'CurrentPor-Rat Factor Movements'!E184</f>
        <v>52143.895533915893</v>
      </c>
      <c r="G184">
        <f>Portfolio!B$6*'CurrentPor-Rat Factor Movements'!F184</f>
        <v>3696.2945087936532</v>
      </c>
      <c r="H184">
        <f>Portfolio!B$7*'CurrentPor-Rat Factor Movements'!J184</f>
        <v>2148.0998964419859</v>
      </c>
      <c r="I184">
        <f t="shared" si="4"/>
        <v>96449.369689434025</v>
      </c>
      <c r="J184">
        <f t="shared" si="5"/>
        <v>18.920330102875596</v>
      </c>
    </row>
    <row r="185" spans="1:10">
      <c r="A185" s="1">
        <v>45728</v>
      </c>
      <c r="B185">
        <f>(3/(1+('CurrentPor-Rat Factor Movements'!C185)/100)+103/POWER(1+('CurrentPor-Rat Factor Movements'!D185)/100,2))*100</f>
        <v>9798.1885830310421</v>
      </c>
      <c r="C185">
        <f>(3/(1+('CurrentPor-Rat Factor Movements'!C185+'CurrentPor-Rat Factor Movements'!G185)/100)+103/POWER(1+('CurrentPor-Rat Factor Movements'!D185+'CurrentPor-Rat Factor Movements'!G185)/100,2))*100</f>
        <v>9704.2466414374157</v>
      </c>
      <c r="D185">
        <f>(3/(1+('CurrentPor-Rat Factor Movements'!C185+'CurrentPor-Rat Factor Movements'!H185)/100)+103/POWER(1+('CurrentPor-Rat Factor Movements'!D185+'CurrentPor-Rat Factor Movements'!H185)/100,2))*100</f>
        <v>9690.3232363174138</v>
      </c>
      <c r="E185">
        <f>(3/(1+('CurrentPor-Rat Factor Movements'!C185+'CurrentPor-Rat Factor Movements'!I185)/100)+103/POWER(1+('CurrentPor-Rat Factor Movements'!D185+'CurrentPor-Rat Factor Movements'!I185)/100,2))*100</f>
        <v>9670.2567433981276</v>
      </c>
      <c r="F185">
        <f>Portfolio!B$5*'CurrentPor-Rat Factor Movements'!E185</f>
        <v>52143.895533915893</v>
      </c>
      <c r="G185">
        <f>Portfolio!B$6*'CurrentPor-Rat Factor Movements'!F185</f>
        <v>3696.2945087936532</v>
      </c>
      <c r="H185">
        <f>Portfolio!B$7*'CurrentPor-Rat Factor Movements'!J185</f>
        <v>2148.0998964419859</v>
      </c>
      <c r="I185">
        <f t="shared" si="4"/>
        <v>96851.305143335529</v>
      </c>
      <c r="J185">
        <f t="shared" si="5"/>
        <v>510.83642595207493</v>
      </c>
    </row>
    <row r="186" spans="1:10">
      <c r="A186" s="1">
        <v>45729</v>
      </c>
      <c r="B186">
        <f>(3/(1+('CurrentPor-Rat Factor Movements'!C186)/100)+103/POWER(1+('CurrentPor-Rat Factor Movements'!D186)/100,2))*100</f>
        <v>10068.182971385562</v>
      </c>
      <c r="C186">
        <f>(3/(1+('CurrentPor-Rat Factor Movements'!C186+'CurrentPor-Rat Factor Movements'!G186)/100)+103/POWER(1+('CurrentPor-Rat Factor Movements'!D186+'CurrentPor-Rat Factor Movements'!G186)/100,2))*100</f>
        <v>9970.273839745134</v>
      </c>
      <c r="D186">
        <f>(3/(1+('CurrentPor-Rat Factor Movements'!C186+'CurrentPor-Rat Factor Movements'!H186)/100)+103/POWER(1+('CurrentPor-Rat Factor Movements'!D186+'CurrentPor-Rat Factor Movements'!H186)/100,2))*100</f>
        <v>9955.7641767314435</v>
      </c>
      <c r="E186">
        <f>(3/(1+('CurrentPor-Rat Factor Movements'!C186+'CurrentPor-Rat Factor Movements'!I186)/100)+103/POWER(1+('CurrentPor-Rat Factor Movements'!D186+'CurrentPor-Rat Factor Movements'!I186)/100,2))*100</f>
        <v>9934.8535531391735</v>
      </c>
      <c r="F186">
        <f>Portfolio!B$5*'CurrentPor-Rat Factor Movements'!E186</f>
        <v>52143.895533915893</v>
      </c>
      <c r="G186">
        <f>Portfolio!B$6*'CurrentPor-Rat Factor Movements'!F186</f>
        <v>3696.2945087936532</v>
      </c>
      <c r="H186">
        <f>Portfolio!B$7*'CurrentPor-Rat Factor Movements'!J186</f>
        <v>2148.0998964419859</v>
      </c>
      <c r="I186">
        <f t="shared" si="4"/>
        <v>97917.364480152843</v>
      </c>
      <c r="J186">
        <f t="shared" si="5"/>
        <v>1475.4579433222098</v>
      </c>
    </row>
    <row r="187" spans="1:10">
      <c r="A187" s="1">
        <v>45730</v>
      </c>
      <c r="B187">
        <f>(3/(1+('CurrentPor-Rat Factor Movements'!C187)/100)+103/POWER(1+('CurrentPor-Rat Factor Movements'!D187)/100,2))*100</f>
        <v>9680.230519800356</v>
      </c>
      <c r="C187">
        <f>(3/(1+('CurrentPor-Rat Factor Movements'!C187+'CurrentPor-Rat Factor Movements'!G187)/100)+103/POWER(1+('CurrentPor-Rat Factor Movements'!D187+'CurrentPor-Rat Factor Movements'!G187)/100,2))*100</f>
        <v>9588.0245480582471</v>
      </c>
      <c r="D187">
        <f>(3/(1+('CurrentPor-Rat Factor Movements'!C187+'CurrentPor-Rat Factor Movements'!H187)/100)+103/POWER(1+('CurrentPor-Rat Factor Movements'!D187+'CurrentPor-Rat Factor Movements'!H187)/100,2))*100</f>
        <v>9574.3576915229532</v>
      </c>
      <c r="E187">
        <f>(3/(1+('CurrentPor-Rat Factor Movements'!C187+'CurrentPor-Rat Factor Movements'!I187)/100)+103/POWER(1+('CurrentPor-Rat Factor Movements'!D187+'CurrentPor-Rat Factor Movements'!I187)/100,2))*100</f>
        <v>9554.6605990554672</v>
      </c>
      <c r="F187">
        <f>Portfolio!B$5*'CurrentPor-Rat Factor Movements'!E187</f>
        <v>52143.895533915893</v>
      </c>
      <c r="G187">
        <f>Portfolio!B$6*'CurrentPor-Rat Factor Movements'!F187</f>
        <v>3696.2945087936532</v>
      </c>
      <c r="H187">
        <f>Portfolio!B$7*'CurrentPor-Rat Factor Movements'!J187</f>
        <v>2148.0998964419859</v>
      </c>
      <c r="I187">
        <f t="shared" si="4"/>
        <v>96385.563297588567</v>
      </c>
      <c r="J187">
        <f t="shared" si="5"/>
        <v>-1377.7892823542643</v>
      </c>
    </row>
    <row r="188" spans="1:10">
      <c r="A188" s="13">
        <v>45733</v>
      </c>
      <c r="B188">
        <f>(3/(1+('CurrentPor-Rat Factor Movements'!C188)/100)+103/POWER(1+('CurrentPor-Rat Factor Movements'!D188)/100,2))*100</f>
        <v>9610.4800324393091</v>
      </c>
      <c r="C188">
        <f>(3/(1+('CurrentPor-Rat Factor Movements'!C188+'CurrentPor-Rat Factor Movements'!G188)/100)+103/POWER(1+('CurrentPor-Rat Factor Movements'!D188+'CurrentPor-Rat Factor Movements'!G188)/100,2))*100</f>
        <v>9519.2672177746226</v>
      </c>
      <c r="D188">
        <f>(3/(1+('CurrentPor-Rat Factor Movements'!C188+'CurrentPor-Rat Factor Movements'!H188)/100)+103/POWER(1+('CurrentPor-Rat Factor Movements'!D188+'CurrentPor-Rat Factor Movements'!H188)/100,2))*100</f>
        <v>9505.7471654552337</v>
      </c>
      <c r="E188">
        <f>(3/(1+('CurrentPor-Rat Factor Movements'!C188+'CurrentPor-Rat Factor Movements'!I188)/100)+103/POWER(1+('CurrentPor-Rat Factor Movements'!D188+'CurrentPor-Rat Factor Movements'!I188)/100,2))*100</f>
        <v>9486.2614685259305</v>
      </c>
      <c r="F188">
        <f>Portfolio!B$5*'CurrentPor-Rat Factor Movements'!E188</f>
        <v>52143.895533915893</v>
      </c>
      <c r="G188">
        <f>Portfolio!B$6*'CurrentPor-Rat Factor Movements'!F188</f>
        <v>3696.2945087936532</v>
      </c>
      <c r="H188">
        <f>Portfolio!B$7*'CurrentPor-Rat Factor Movements'!J188</f>
        <v>2148.0998964419859</v>
      </c>
      <c r="I188">
        <f t="shared" ref="I188:I251" si="6">SUM(B188:H188)</f>
        <v>96110.045823346634</v>
      </c>
      <c r="J188">
        <f t="shared" ref="J188:J251" si="7">I188-I178</f>
        <v>-141.14005668327445</v>
      </c>
    </row>
    <row r="189" spans="1:10">
      <c r="A189" s="1">
        <v>45734</v>
      </c>
      <c r="B189">
        <f>(3/(1+('CurrentPor-Rat Factor Movements'!C189)/100)+103/POWER(1+('CurrentPor-Rat Factor Movements'!D189)/100,2))*100</f>
        <v>9978.329930468808</v>
      </c>
      <c r="C189">
        <f>(3/(1+('CurrentPor-Rat Factor Movements'!C189+'CurrentPor-Rat Factor Movements'!G189)/100)+103/POWER(1+('CurrentPor-Rat Factor Movements'!D189+'CurrentPor-Rat Factor Movements'!G189)/100,2))*100</f>
        <v>9881.7682738582371</v>
      </c>
      <c r="D189">
        <f>(3/(1+('CurrentPor-Rat Factor Movements'!C189+'CurrentPor-Rat Factor Movements'!H189)/100)+103/POWER(1+('CurrentPor-Rat Factor Movements'!D189+'CurrentPor-Rat Factor Movements'!H189)/100,2))*100</f>
        <v>9867.4577078866514</v>
      </c>
      <c r="E189">
        <f>(3/(1+('CurrentPor-Rat Factor Movements'!C189+'CurrentPor-Rat Factor Movements'!I189)/100)+103/POWER(1+('CurrentPor-Rat Factor Movements'!D189+'CurrentPor-Rat Factor Movements'!I189)/100,2))*100</f>
        <v>9846.8337437598238</v>
      </c>
      <c r="F189">
        <f>Portfolio!B$5*'CurrentPor-Rat Factor Movements'!E189</f>
        <v>52143.895533915893</v>
      </c>
      <c r="G189">
        <f>Portfolio!B$6*'CurrentPor-Rat Factor Movements'!F189</f>
        <v>3696.2945087936532</v>
      </c>
      <c r="H189">
        <f>Portfolio!B$7*'CurrentPor-Rat Factor Movements'!J189</f>
        <v>2148.0998964419859</v>
      </c>
      <c r="I189">
        <f t="shared" si="6"/>
        <v>97562.679595125053</v>
      </c>
      <c r="J189">
        <f t="shared" si="7"/>
        <v>1020.2845319058542</v>
      </c>
    </row>
    <row r="190" spans="1:10">
      <c r="A190" s="1">
        <v>45735</v>
      </c>
      <c r="B190">
        <f>(3/(1+('CurrentPor-Rat Factor Movements'!C190)/100)+103/POWER(1+('CurrentPor-Rat Factor Movements'!D190)/100,2))*100</f>
        <v>9831.1819697277988</v>
      </c>
      <c r="C190">
        <f>(3/(1+('CurrentPor-Rat Factor Movements'!C190+'CurrentPor-Rat Factor Movements'!G190)/100)+103/POWER(1+('CurrentPor-Rat Factor Movements'!D190+'CurrentPor-Rat Factor Movements'!G190)/100,2))*100</f>
        <v>9736.7816845870602</v>
      </c>
      <c r="D190">
        <f>(3/(1+('CurrentPor-Rat Factor Movements'!C190+'CurrentPor-Rat Factor Movements'!H190)/100)+103/POWER(1+('CurrentPor-Rat Factor Movements'!D190+'CurrentPor-Rat Factor Movements'!H190)/100,2))*100</f>
        <v>9722.790522543095</v>
      </c>
      <c r="E190">
        <f>(3/(1+('CurrentPor-Rat Factor Movements'!C190+'CurrentPor-Rat Factor Movements'!I190)/100)+103/POWER(1+('CurrentPor-Rat Factor Movements'!D190+'CurrentPor-Rat Factor Movements'!I190)/100,2))*100</f>
        <v>9702.6264578209157</v>
      </c>
      <c r="F190">
        <f>Portfolio!B$5*'CurrentPor-Rat Factor Movements'!E190</f>
        <v>52143.895533915893</v>
      </c>
      <c r="G190">
        <f>Portfolio!B$6*'CurrentPor-Rat Factor Movements'!F190</f>
        <v>3696.2945087936532</v>
      </c>
      <c r="H190">
        <f>Portfolio!B$7*'CurrentPor-Rat Factor Movements'!J190</f>
        <v>2148.0998964419859</v>
      </c>
      <c r="I190">
        <f t="shared" si="6"/>
        <v>96981.670573830401</v>
      </c>
      <c r="J190">
        <f t="shared" si="7"/>
        <v>155.99044923095789</v>
      </c>
    </row>
    <row r="191" spans="1:10">
      <c r="A191" s="1">
        <v>45736</v>
      </c>
      <c r="B191">
        <f>(3/(1+('CurrentPor-Rat Factor Movements'!C191)/100)+103/POWER(1+('CurrentPor-Rat Factor Movements'!D191)/100,2))*100</f>
        <v>9726.6733540799614</v>
      </c>
      <c r="C191">
        <f>(3/(1+('CurrentPor-Rat Factor Movements'!C191+'CurrentPor-Rat Factor Movements'!G191)/100)+103/POWER(1+('CurrentPor-Rat Factor Movements'!D191+'CurrentPor-Rat Factor Movements'!G191)/100,2))*100</f>
        <v>9633.7768021354641</v>
      </c>
      <c r="D191">
        <f>(3/(1+('CurrentPor-Rat Factor Movements'!C191+'CurrentPor-Rat Factor Movements'!H191)/100)+103/POWER(1+('CurrentPor-Rat Factor Movements'!D191+'CurrentPor-Rat Factor Movements'!H191)/100,2))*100</f>
        <v>9620.0078935772763</v>
      </c>
      <c r="E191">
        <f>(3/(1+('CurrentPor-Rat Factor Movements'!C191+'CurrentPor-Rat Factor Movements'!I191)/100)+103/POWER(1+('CurrentPor-Rat Factor Movements'!D191+'CurrentPor-Rat Factor Movements'!I191)/100,2))*100</f>
        <v>9600.163860080258</v>
      </c>
      <c r="F191">
        <f>Portfolio!B$5*'CurrentPor-Rat Factor Movements'!E191</f>
        <v>52143.895533915893</v>
      </c>
      <c r="G191">
        <f>Portfolio!B$6*'CurrentPor-Rat Factor Movements'!F191</f>
        <v>3696.2945087936532</v>
      </c>
      <c r="H191">
        <f>Portfolio!B$7*'CurrentPor-Rat Factor Movements'!J191</f>
        <v>2148.0998964419859</v>
      </c>
      <c r="I191">
        <f t="shared" si="6"/>
        <v>96568.911849024487</v>
      </c>
      <c r="J191">
        <f t="shared" si="7"/>
        <v>431.43670287088025</v>
      </c>
    </row>
    <row r="192" spans="1:10">
      <c r="A192" s="1">
        <v>45737</v>
      </c>
      <c r="B192">
        <f>(3/(1+('CurrentPor-Rat Factor Movements'!C192)/100)+103/POWER(1+('CurrentPor-Rat Factor Movements'!D192)/100,2))*100</f>
        <v>9664.9550263738511</v>
      </c>
      <c r="C192">
        <f>(3/(1+('CurrentPor-Rat Factor Movements'!C192+'CurrentPor-Rat Factor Movements'!G192)/100)+103/POWER(1+('CurrentPor-Rat Factor Movements'!D192+'CurrentPor-Rat Factor Movements'!G192)/100,2))*100</f>
        <v>9572.9556381874027</v>
      </c>
      <c r="D192">
        <f>(3/(1+('CurrentPor-Rat Factor Movements'!C192+'CurrentPor-Rat Factor Movements'!H192)/100)+103/POWER(1+('CurrentPor-Rat Factor Movements'!D192+'CurrentPor-Rat Factor Movements'!H192)/100,2))*100</f>
        <v>9559.3193269456642</v>
      </c>
      <c r="E192">
        <f>(3/(1+('CurrentPor-Rat Factor Movements'!C192+'CurrentPor-Rat Factor Movements'!I192)/100)+103/POWER(1+('CurrentPor-Rat Factor Movements'!D192+'CurrentPor-Rat Factor Movements'!I192)/100,2))*100</f>
        <v>9539.6662232819999</v>
      </c>
      <c r="F192">
        <f>Portfolio!B$5*'CurrentPor-Rat Factor Movements'!E192</f>
        <v>52143.895533915893</v>
      </c>
      <c r="G192">
        <f>Portfolio!B$6*'CurrentPor-Rat Factor Movements'!F192</f>
        <v>3696.2945087936532</v>
      </c>
      <c r="H192">
        <f>Portfolio!B$7*'CurrentPor-Rat Factor Movements'!J192</f>
        <v>2148.0998964419859</v>
      </c>
      <c r="I192">
        <f t="shared" si="6"/>
        <v>96325.186153940449</v>
      </c>
      <c r="J192">
        <f t="shared" si="7"/>
        <v>381.64692088987795</v>
      </c>
    </row>
    <row r="193" spans="1:10">
      <c r="A193" s="1">
        <v>45740</v>
      </c>
      <c r="B193">
        <f>(3/(1+('CurrentPor-Rat Factor Movements'!C193)/100)+103/POWER(1+('CurrentPor-Rat Factor Movements'!D193)/100,2))*100</f>
        <v>9672.8286868137748</v>
      </c>
      <c r="C193">
        <f>(3/(1+('CurrentPor-Rat Factor Movements'!C193+'CurrentPor-Rat Factor Movements'!G193)/100)+103/POWER(1+('CurrentPor-Rat Factor Movements'!D193+'CurrentPor-Rat Factor Movements'!G193)/100,2))*100</f>
        <v>9580.7264903617761</v>
      </c>
      <c r="D193">
        <f>(3/(1+('CurrentPor-Rat Factor Movements'!C193+'CurrentPor-Rat Factor Movements'!H193)/100)+103/POWER(1+('CurrentPor-Rat Factor Movements'!D193+'CurrentPor-Rat Factor Movements'!H193)/100,2))*100</f>
        <v>9567.0749746800066</v>
      </c>
      <c r="E193">
        <f>(3/(1+('CurrentPor-Rat Factor Movements'!C193+'CurrentPor-Rat Factor Movements'!I193)/100)+103/POWER(1+('CurrentPor-Rat Factor Movements'!D193+'CurrentPor-Rat Factor Movements'!I193)/100,2))*100</f>
        <v>9547.3999733413766</v>
      </c>
      <c r="F193">
        <f>Portfolio!B$5*'CurrentPor-Rat Factor Movements'!E193</f>
        <v>52143.895533915893</v>
      </c>
      <c r="G193">
        <f>Portfolio!B$6*'CurrentPor-Rat Factor Movements'!F193</f>
        <v>3696.2945087936532</v>
      </c>
      <c r="H193">
        <f>Portfolio!B$7*'CurrentPor-Rat Factor Movements'!J193</f>
        <v>2148.0998964419859</v>
      </c>
      <c r="I193">
        <f t="shared" si="6"/>
        <v>96356.320064348474</v>
      </c>
      <c r="J193">
        <f t="shared" si="7"/>
        <v>-10.585818498308072</v>
      </c>
    </row>
    <row r="194" spans="1:10">
      <c r="A194" s="1">
        <v>45741</v>
      </c>
      <c r="B194">
        <f>(3/(1+('CurrentPor-Rat Factor Movements'!C194)/100)+103/POWER(1+('CurrentPor-Rat Factor Movements'!D194)/100,2))*100</f>
        <v>9723.3483292383698</v>
      </c>
      <c r="C194">
        <f>(3/(1+('CurrentPor-Rat Factor Movements'!C194+'CurrentPor-Rat Factor Movements'!G194)/100)+103/POWER(1+('CurrentPor-Rat Factor Movements'!D194+'CurrentPor-Rat Factor Movements'!G194)/100,2))*100</f>
        <v>9630.5137861514195</v>
      </c>
      <c r="D194">
        <f>(3/(1+('CurrentPor-Rat Factor Movements'!C194+'CurrentPor-Rat Factor Movements'!H194)/100)+103/POWER(1+('CurrentPor-Rat Factor Movements'!D194+'CurrentPor-Rat Factor Movements'!H194)/100,2))*100</f>
        <v>9616.7540307856088</v>
      </c>
      <c r="E194">
        <f>(3/(1+('CurrentPor-Rat Factor Movements'!C194+'CurrentPor-Rat Factor Movements'!I194)/100)+103/POWER(1+('CurrentPor-Rat Factor Movements'!D194+'CurrentPor-Rat Factor Movements'!I194)/100,2))*100</f>
        <v>9596.9231719368927</v>
      </c>
      <c r="F194">
        <f>Portfolio!B$5*'CurrentPor-Rat Factor Movements'!E194</f>
        <v>52143.895533915893</v>
      </c>
      <c r="G194">
        <f>Portfolio!B$6*'CurrentPor-Rat Factor Movements'!F194</f>
        <v>3696.2945087936532</v>
      </c>
      <c r="H194">
        <f>Portfolio!B$7*'CurrentPor-Rat Factor Movements'!J194</f>
        <v>2148.0998964419859</v>
      </c>
      <c r="I194">
        <f t="shared" si="6"/>
        <v>96555.829257263817</v>
      </c>
      <c r="J194">
        <f t="shared" si="7"/>
        <v>106.45956782979192</v>
      </c>
    </row>
    <row r="195" spans="1:10">
      <c r="A195" s="1">
        <v>45742</v>
      </c>
      <c r="B195">
        <f>(3/(1+('CurrentPor-Rat Factor Movements'!C195)/100)+103/POWER(1+('CurrentPor-Rat Factor Movements'!D195)/100,2))*100</f>
        <v>9635.9689859646605</v>
      </c>
      <c r="C195">
        <f>(3/(1+('CurrentPor-Rat Factor Movements'!C195+'CurrentPor-Rat Factor Movements'!G195)/100)+103/POWER(1+('CurrentPor-Rat Factor Movements'!D195+'CurrentPor-Rat Factor Movements'!G195)/100,2))*100</f>
        <v>9544.3893313805838</v>
      </c>
      <c r="D195">
        <f>(3/(1+('CurrentPor-Rat Factor Movements'!C195+'CurrentPor-Rat Factor Movements'!H195)/100)+103/POWER(1+('CurrentPor-Rat Factor Movements'!D195+'CurrentPor-Rat Factor Movements'!H195)/100,2))*100</f>
        <v>9530.8150573247767</v>
      </c>
      <c r="E195">
        <f>(3/(1+('CurrentPor-Rat Factor Movements'!C195+'CurrentPor-Rat Factor Movements'!I195)/100)+103/POWER(1+('CurrentPor-Rat Factor Movements'!D195+'CurrentPor-Rat Factor Movements'!I195)/100,2))*100</f>
        <v>9511.2512833853816</v>
      </c>
      <c r="F195">
        <f>Portfolio!B$5*'CurrentPor-Rat Factor Movements'!E195</f>
        <v>52143.895533915893</v>
      </c>
      <c r="G195">
        <f>Portfolio!B$6*'CurrentPor-Rat Factor Movements'!F195</f>
        <v>3696.2945087936532</v>
      </c>
      <c r="H195">
        <f>Portfolio!B$7*'CurrentPor-Rat Factor Movements'!J195</f>
        <v>2148.0998964419859</v>
      </c>
      <c r="I195">
        <f t="shared" si="6"/>
        <v>96210.714597206927</v>
      </c>
      <c r="J195">
        <f t="shared" si="7"/>
        <v>-640.590546128602</v>
      </c>
    </row>
    <row r="196" spans="1:10">
      <c r="A196" s="1">
        <v>45743</v>
      </c>
      <c r="B196">
        <f>(3/(1+('CurrentPor-Rat Factor Movements'!C196)/100)+103/POWER(1+('CurrentPor-Rat Factor Movements'!D196)/100,2))*100</f>
        <v>9819.2293006958698</v>
      </c>
      <c r="C196">
        <f>(3/(1+('CurrentPor-Rat Factor Movements'!C196+'CurrentPor-Rat Factor Movements'!G196)/100)+103/POWER(1+('CurrentPor-Rat Factor Movements'!D196+'CurrentPor-Rat Factor Movements'!G196)/100,2))*100</f>
        <v>9724.9925811351586</v>
      </c>
      <c r="D196">
        <f>(3/(1+('CurrentPor-Rat Factor Movements'!C196+'CurrentPor-Rat Factor Movements'!H196)/100)+103/POWER(1+('CurrentPor-Rat Factor Movements'!D196+'CurrentPor-Rat Factor Movements'!H196)/100,2))*100</f>
        <v>9711.0256011170168</v>
      </c>
      <c r="E196">
        <f>(3/(1+('CurrentPor-Rat Factor Movements'!C196+'CurrentPor-Rat Factor Movements'!I196)/100)+103/POWER(1+('CurrentPor-Rat Factor Movements'!D196+'CurrentPor-Rat Factor Movements'!I196)/100,2))*100</f>
        <v>9690.8963601367686</v>
      </c>
      <c r="F196">
        <f>Portfolio!B$5*'CurrentPor-Rat Factor Movements'!E196</f>
        <v>52143.895533915893</v>
      </c>
      <c r="G196">
        <f>Portfolio!B$6*'CurrentPor-Rat Factor Movements'!F196</f>
        <v>3696.2945087936532</v>
      </c>
      <c r="H196">
        <f>Portfolio!B$7*'CurrentPor-Rat Factor Movements'!J196</f>
        <v>2148.0998964419859</v>
      </c>
      <c r="I196">
        <f t="shared" si="6"/>
        <v>96934.433782236345</v>
      </c>
      <c r="J196">
        <f t="shared" si="7"/>
        <v>-982.93069791649759</v>
      </c>
    </row>
    <row r="197" spans="1:10">
      <c r="A197" s="1">
        <v>45744</v>
      </c>
      <c r="B197">
        <f>(3/(1+('CurrentPor-Rat Factor Movements'!C197)/100)+103/POWER(1+('CurrentPor-Rat Factor Movements'!D197)/100,2))*100</f>
        <v>9786.4968619971987</v>
      </c>
      <c r="C197">
        <f>(3/(1+('CurrentPor-Rat Factor Movements'!C197+'CurrentPor-Rat Factor Movements'!G197)/100)+103/POWER(1+('CurrentPor-Rat Factor Movements'!D197+'CurrentPor-Rat Factor Movements'!G197)/100,2))*100</f>
        <v>9692.7227340612117</v>
      </c>
      <c r="D197">
        <f>(3/(1+('CurrentPor-Rat Factor Movements'!C197+'CurrentPor-Rat Factor Movements'!H197)/100)+103/POWER(1+('CurrentPor-Rat Factor Movements'!D197+'CurrentPor-Rat Factor Movements'!H197)/100,2))*100</f>
        <v>9678.8241322245976</v>
      </c>
      <c r="E197">
        <f>(3/(1+('CurrentPor-Rat Factor Movements'!C197+'CurrentPor-Rat Factor Movements'!I197)/100)+103/POWER(1+('CurrentPor-Rat Factor Movements'!D197+'CurrentPor-Rat Factor Movements'!I197)/100,2))*100</f>
        <v>9658.7933546007225</v>
      </c>
      <c r="F197">
        <f>Portfolio!B$5*'CurrentPor-Rat Factor Movements'!E197</f>
        <v>52143.895533915893</v>
      </c>
      <c r="G197">
        <f>Portfolio!B$6*'CurrentPor-Rat Factor Movements'!F197</f>
        <v>3696.2945087936532</v>
      </c>
      <c r="H197">
        <f>Portfolio!B$7*'CurrentPor-Rat Factor Movements'!J197</f>
        <v>2148.0998964419859</v>
      </c>
      <c r="I197">
        <f t="shared" si="6"/>
        <v>96805.12702203526</v>
      </c>
      <c r="J197">
        <f t="shared" si="7"/>
        <v>419.5637244466925</v>
      </c>
    </row>
    <row r="198" spans="1:10">
      <c r="A198" s="1">
        <v>45747</v>
      </c>
      <c r="B198">
        <f>(3/(1+('CurrentPor-Rat Factor Movements'!C198)/100)+103/POWER(1+('CurrentPor-Rat Factor Movements'!D198)/100,2))*100</f>
        <v>9603.302510614747</v>
      </c>
      <c r="C198">
        <f>(3/(1+('CurrentPor-Rat Factor Movements'!C198+'CurrentPor-Rat Factor Movements'!G198)/100)+103/POWER(1+('CurrentPor-Rat Factor Movements'!D198+'CurrentPor-Rat Factor Movements'!G198)/100,2))*100</f>
        <v>9512.1913026086368</v>
      </c>
      <c r="D198">
        <f>(3/(1+('CurrentPor-Rat Factor Movements'!C198+'CurrentPor-Rat Factor Movements'!H198)/100)+103/POWER(1+('CurrentPor-Rat Factor Movements'!D198+'CurrentPor-Rat Factor Movements'!H198)/100,2))*100</f>
        <v>9498.6862700069978</v>
      </c>
      <c r="E198">
        <f>(3/(1+('CurrentPor-Rat Factor Movements'!C198+'CurrentPor-Rat Factor Movements'!I198)/100)+103/POWER(1+('CurrentPor-Rat Factor Movements'!D198+'CurrentPor-Rat Factor Movements'!I198)/100,2))*100</f>
        <v>9479.2222015116295</v>
      </c>
      <c r="F198">
        <f>Portfolio!B$5*'CurrentPor-Rat Factor Movements'!E198</f>
        <v>52143.895533915893</v>
      </c>
      <c r="G198">
        <f>Portfolio!B$6*'CurrentPor-Rat Factor Movements'!F198</f>
        <v>3696.2945087936532</v>
      </c>
      <c r="H198">
        <f>Portfolio!B$7*'CurrentPor-Rat Factor Movements'!J198</f>
        <v>2148.0998964419859</v>
      </c>
      <c r="I198">
        <f t="shared" si="6"/>
        <v>96081.692223893551</v>
      </c>
      <c r="J198">
        <f t="shared" si="7"/>
        <v>-28.353599453083007</v>
      </c>
    </row>
    <row r="199" spans="1:10">
      <c r="A199" s="1">
        <v>45748</v>
      </c>
      <c r="B199">
        <f>(3/(1+('CurrentPor-Rat Factor Movements'!C199)/100)+103/POWER(1+('CurrentPor-Rat Factor Movements'!D199)/100,2))*100</f>
        <v>9502.9987020603803</v>
      </c>
      <c r="C199">
        <f>(3/(1+('CurrentPor-Rat Factor Movements'!C199+'CurrentPor-Rat Factor Movements'!G199)/100)+103/POWER(1+('CurrentPor-Rat Factor Movements'!D199+'CurrentPor-Rat Factor Movements'!G199)/100,2))*100</f>
        <v>9413.3399826375226</v>
      </c>
      <c r="D199">
        <f>(3/(1+('CurrentPor-Rat Factor Movements'!C199+'CurrentPor-Rat Factor Movements'!H199)/100)+103/POWER(1+('CurrentPor-Rat Factor Movements'!D199+'CurrentPor-Rat Factor Movements'!H199)/100,2))*100</f>
        <v>9400.0496360803681</v>
      </c>
      <c r="E199">
        <f>(3/(1+('CurrentPor-Rat Factor Movements'!C199+'CurrentPor-Rat Factor Movements'!I199)/100)+103/POWER(1+('CurrentPor-Rat Factor Movements'!D199+'CurrentPor-Rat Factor Movements'!I199)/100,2))*100</f>
        <v>9380.8947051059131</v>
      </c>
      <c r="F199">
        <f>Portfolio!B$5*'CurrentPor-Rat Factor Movements'!E199</f>
        <v>52143.895533915893</v>
      </c>
      <c r="G199">
        <f>Portfolio!B$6*'CurrentPor-Rat Factor Movements'!F199</f>
        <v>3696.2945087936532</v>
      </c>
      <c r="H199">
        <f>Portfolio!B$7*'CurrentPor-Rat Factor Movements'!J199</f>
        <v>2148.0998964419859</v>
      </c>
      <c r="I199">
        <f t="shared" si="6"/>
        <v>95685.572965035724</v>
      </c>
      <c r="J199">
        <f t="shared" si="7"/>
        <v>-1877.106630089329</v>
      </c>
    </row>
    <row r="200" spans="1:10">
      <c r="A200" s="1">
        <v>45749</v>
      </c>
      <c r="B200">
        <f>(3/(1+('CurrentPor-Rat Factor Movements'!C200)/100)+103/POWER(1+('CurrentPor-Rat Factor Movements'!D200)/100,2))*100</f>
        <v>9671.6050492450722</v>
      </c>
      <c r="C200">
        <f>(3/(1+('CurrentPor-Rat Factor Movements'!C200+'CurrentPor-Rat Factor Movements'!G200)/100)+103/POWER(1+('CurrentPor-Rat Factor Movements'!D200+'CurrentPor-Rat Factor Movements'!G200)/100,2))*100</f>
        <v>9579.5131444443941</v>
      </c>
      <c r="D200">
        <f>(3/(1+('CurrentPor-Rat Factor Movements'!C200+'CurrentPor-Rat Factor Movements'!H200)/100)+103/POWER(1+('CurrentPor-Rat Factor Movements'!D200+'CurrentPor-Rat Factor Movements'!H200)/100,2))*100</f>
        <v>9565.8631560514877</v>
      </c>
      <c r="E200">
        <f>(3/(1+('CurrentPor-Rat Factor Movements'!C200+'CurrentPor-Rat Factor Movements'!I200)/100)+103/POWER(1+('CurrentPor-Rat Factor Movements'!D200+'CurrentPor-Rat Factor Movements'!I200)/100,2))*100</f>
        <v>9546.1903567305271</v>
      </c>
      <c r="F200">
        <f>Portfolio!B$5*'CurrentPor-Rat Factor Movements'!E200</f>
        <v>52143.895533915893</v>
      </c>
      <c r="G200">
        <f>Portfolio!B$6*'CurrentPor-Rat Factor Movements'!F200</f>
        <v>3696.2945087936532</v>
      </c>
      <c r="H200">
        <f>Portfolio!B$7*'CurrentPor-Rat Factor Movements'!J200</f>
        <v>2148.0998964419859</v>
      </c>
      <c r="I200">
        <f t="shared" si="6"/>
        <v>96351.461645623014</v>
      </c>
      <c r="J200">
        <f t="shared" si="7"/>
        <v>-630.20892820738663</v>
      </c>
    </row>
    <row r="201" spans="1:10">
      <c r="A201" s="1">
        <v>45750</v>
      </c>
      <c r="B201">
        <f>(3/(1+('CurrentPor-Rat Factor Movements'!C201)/100)+103/POWER(1+('CurrentPor-Rat Factor Movements'!D201)/100,2))*100</f>
        <v>9929.9307645146946</v>
      </c>
      <c r="C201">
        <f>(3/(1+('CurrentPor-Rat Factor Movements'!C201+'CurrentPor-Rat Factor Movements'!G201)/100)+103/POWER(1+('CurrentPor-Rat Factor Movements'!D201+'CurrentPor-Rat Factor Movements'!G201)/100,2))*100</f>
        <v>9834.0686514724348</v>
      </c>
      <c r="D201">
        <f>(3/(1+('CurrentPor-Rat Factor Movements'!C201+'CurrentPor-Rat Factor Movements'!H201)/100)+103/POWER(1+('CurrentPor-Rat Factor Movements'!D201+'CurrentPor-Rat Factor Movements'!H201)/100,2))*100</f>
        <v>9819.8614709510475</v>
      </c>
      <c r="E201">
        <f>(3/(1+('CurrentPor-Rat Factor Movements'!C201+'CurrentPor-Rat Factor Movements'!I201)/100)+103/POWER(1+('CurrentPor-Rat Factor Movements'!D201+'CurrentPor-Rat Factor Movements'!I201)/100,2))*100</f>
        <v>9799.3863718767989</v>
      </c>
      <c r="F201">
        <f>Portfolio!B$5*'CurrentPor-Rat Factor Movements'!E201</f>
        <v>52143.895533915893</v>
      </c>
      <c r="G201">
        <f>Portfolio!B$6*'CurrentPor-Rat Factor Movements'!F201</f>
        <v>3696.2945087936532</v>
      </c>
      <c r="H201">
        <f>Portfolio!B$7*'CurrentPor-Rat Factor Movements'!J201</f>
        <v>2148.0998964419859</v>
      </c>
      <c r="I201">
        <f t="shared" si="6"/>
        <v>97371.537197966507</v>
      </c>
      <c r="J201">
        <f t="shared" si="7"/>
        <v>802.62534894201963</v>
      </c>
    </row>
    <row r="202" spans="1:10">
      <c r="A202" s="1">
        <v>45751</v>
      </c>
      <c r="B202">
        <f>(3/(1+('CurrentPor-Rat Factor Movements'!C202)/100)+103/POWER(1+('CurrentPor-Rat Factor Movements'!D202)/100,2))*100</f>
        <v>9695.7383340087454</v>
      </c>
      <c r="C202">
        <f>(3/(1+('CurrentPor-Rat Factor Movements'!C202+'CurrentPor-Rat Factor Movements'!G202)/100)+103/POWER(1+('CurrentPor-Rat Factor Movements'!D202+'CurrentPor-Rat Factor Movements'!G202)/100,2))*100</f>
        <v>9603.2911425860311</v>
      </c>
      <c r="D202">
        <f>(3/(1+('CurrentPor-Rat Factor Movements'!C202+'CurrentPor-Rat Factor Movements'!H202)/100)+103/POWER(1+('CurrentPor-Rat Factor Movements'!D202+'CurrentPor-Rat Factor Movements'!H202)/100,2))*100</f>
        <v>9589.5886477271797</v>
      </c>
      <c r="E202">
        <f>(3/(1+('CurrentPor-Rat Factor Movements'!C202+'CurrentPor-Rat Factor Movements'!I202)/100)+103/POWER(1+('CurrentPor-Rat Factor Movements'!D202+'CurrentPor-Rat Factor Movements'!I202)/100,2))*100</f>
        <v>9569.8402447804274</v>
      </c>
      <c r="F202">
        <f>Portfolio!B$5*'CurrentPor-Rat Factor Movements'!E202</f>
        <v>52143.895533915893</v>
      </c>
      <c r="G202">
        <f>Portfolio!B$6*'CurrentPor-Rat Factor Movements'!F202</f>
        <v>3696.2945087936532</v>
      </c>
      <c r="H202">
        <f>Portfolio!B$7*'CurrentPor-Rat Factor Movements'!J202</f>
        <v>2148.0998964419859</v>
      </c>
      <c r="I202">
        <f t="shared" si="6"/>
        <v>96446.748308253911</v>
      </c>
      <c r="J202">
        <f t="shared" si="7"/>
        <v>121.56215431346209</v>
      </c>
    </row>
    <row r="203" spans="1:10">
      <c r="A203" s="1">
        <v>45754</v>
      </c>
      <c r="B203">
        <f>(3/(1+('CurrentPor-Rat Factor Movements'!C203)/100)+103/POWER(1+('CurrentPor-Rat Factor Movements'!D203)/100,2))*100</f>
        <v>9719.9233052917662</v>
      </c>
      <c r="C203">
        <f>(3/(1+('CurrentPor-Rat Factor Movements'!C203+'CurrentPor-Rat Factor Movements'!G203)/100)+103/POWER(1+('CurrentPor-Rat Factor Movements'!D203+'CurrentPor-Rat Factor Movements'!G203)/100,2))*100</f>
        <v>9627.1114020975383</v>
      </c>
      <c r="D203">
        <f>(3/(1+('CurrentPor-Rat Factor Movements'!C203+'CurrentPor-Rat Factor Movements'!H203)/100)+103/POWER(1+('CurrentPor-Rat Factor Movements'!D203+'CurrentPor-Rat Factor Movements'!H203)/100,2))*100</f>
        <v>9613.3550154198892</v>
      </c>
      <c r="E203">
        <f>(3/(1+('CurrentPor-Rat Factor Movements'!C203+'CurrentPor-Rat Factor Movements'!I203)/100)+103/POWER(1+('CurrentPor-Rat Factor Movements'!D203+'CurrentPor-Rat Factor Movements'!I203)/100,2))*100</f>
        <v>9593.5290175357859</v>
      </c>
      <c r="F203">
        <f>Portfolio!B$5*'CurrentPor-Rat Factor Movements'!E203</f>
        <v>52143.895533915893</v>
      </c>
      <c r="G203">
        <f>Portfolio!B$6*'CurrentPor-Rat Factor Movements'!F203</f>
        <v>3696.2945087936532</v>
      </c>
      <c r="H203">
        <f>Portfolio!B$7*'CurrentPor-Rat Factor Movements'!J203</f>
        <v>2148.0998964419859</v>
      </c>
      <c r="I203">
        <f t="shared" si="6"/>
        <v>96542.208679496514</v>
      </c>
      <c r="J203">
        <f t="shared" si="7"/>
        <v>185.88861514804012</v>
      </c>
    </row>
    <row r="204" spans="1:10">
      <c r="A204" s="1">
        <v>45755</v>
      </c>
      <c r="B204">
        <f>(3/(1+('CurrentPor-Rat Factor Movements'!C204)/100)+103/POWER(1+('CurrentPor-Rat Factor Movements'!D204)/100,2))*100</f>
        <v>9839.9397276409509</v>
      </c>
      <c r="C204">
        <f>(3/(1+('CurrentPor-Rat Factor Movements'!C204+'CurrentPor-Rat Factor Movements'!G204)/100)+103/POWER(1+('CurrentPor-Rat Factor Movements'!D204+'CurrentPor-Rat Factor Movements'!G204)/100,2))*100</f>
        <v>9745.4066762940329</v>
      </c>
      <c r="D204">
        <f>(3/(1+('CurrentPor-Rat Factor Movements'!C204+'CurrentPor-Rat Factor Movements'!H204)/100)+103/POWER(1+('CurrentPor-Rat Factor Movements'!D204+'CurrentPor-Rat Factor Movements'!H204)/100,2))*100</f>
        <v>9731.3958973187218</v>
      </c>
      <c r="E204">
        <f>(3/(1+('CurrentPor-Rat Factor Movements'!C204+'CurrentPor-Rat Factor Movements'!I204)/100)+103/POWER(1+('CurrentPor-Rat Factor Movements'!D204+'CurrentPor-Rat Factor Movements'!I204)/100,2))*100</f>
        <v>9711.2035881998836</v>
      </c>
      <c r="F204">
        <f>Portfolio!B$5*'CurrentPor-Rat Factor Movements'!E204</f>
        <v>52143.895533915893</v>
      </c>
      <c r="G204">
        <f>Portfolio!B$6*'CurrentPor-Rat Factor Movements'!F204</f>
        <v>3696.2945087936532</v>
      </c>
      <c r="H204">
        <f>Portfolio!B$7*'CurrentPor-Rat Factor Movements'!J204</f>
        <v>2148.0998964419859</v>
      </c>
      <c r="I204">
        <f t="shared" si="6"/>
        <v>97016.235828605117</v>
      </c>
      <c r="J204">
        <f t="shared" si="7"/>
        <v>460.40657134130015</v>
      </c>
    </row>
    <row r="205" spans="1:10">
      <c r="A205" s="1">
        <v>45756</v>
      </c>
      <c r="B205">
        <f>(3/(1+('CurrentPor-Rat Factor Movements'!C205)/100)+103/POWER(1+('CurrentPor-Rat Factor Movements'!D205)/100,2))*100</f>
        <v>9662.9396462392469</v>
      </c>
      <c r="C205">
        <f>(3/(1+('CurrentPor-Rat Factor Movements'!C205+'CurrentPor-Rat Factor Movements'!G205)/100)+103/POWER(1+('CurrentPor-Rat Factor Movements'!D205+'CurrentPor-Rat Factor Movements'!G205)/100,2))*100</f>
        <v>9570.9643395964995</v>
      </c>
      <c r="D205">
        <f>(3/(1+('CurrentPor-Rat Factor Movements'!C205+'CurrentPor-Rat Factor Movements'!H205)/100)+103/POWER(1+('CurrentPor-Rat Factor Movements'!D205+'CurrentPor-Rat Factor Movements'!H205)/100,2))*100</f>
        <v>9557.3315918670269</v>
      </c>
      <c r="E205">
        <f>(3/(1+('CurrentPor-Rat Factor Movements'!C205+'CurrentPor-Rat Factor Movements'!I205)/100)+103/POWER(1+('CurrentPor-Rat Factor Movements'!D205+'CurrentPor-Rat Factor Movements'!I205)/100,2))*100</f>
        <v>9537.683621371285</v>
      </c>
      <c r="F205">
        <f>Portfolio!B$5*'CurrentPor-Rat Factor Movements'!E205</f>
        <v>52143.895533915893</v>
      </c>
      <c r="G205">
        <f>Portfolio!B$6*'CurrentPor-Rat Factor Movements'!F205</f>
        <v>3696.2945087936532</v>
      </c>
      <c r="H205">
        <f>Portfolio!B$7*'CurrentPor-Rat Factor Movements'!J205</f>
        <v>2148.0998964419859</v>
      </c>
      <c r="I205">
        <f t="shared" si="6"/>
        <v>96317.209138225589</v>
      </c>
      <c r="J205">
        <f t="shared" si="7"/>
        <v>106.49454101866286</v>
      </c>
    </row>
    <row r="206" spans="1:10">
      <c r="A206" s="1">
        <v>45757</v>
      </c>
      <c r="B206">
        <f>(3/(1+('CurrentPor-Rat Factor Movements'!C206)/100)+103/POWER(1+('CurrentPor-Rat Factor Movements'!D206)/100,2))*100</f>
        <v>9758.4691899058234</v>
      </c>
      <c r="C206">
        <f>(3/(1+('CurrentPor-Rat Factor Movements'!C206+'CurrentPor-Rat Factor Movements'!G206)/100)+103/POWER(1+('CurrentPor-Rat Factor Movements'!D206+'CurrentPor-Rat Factor Movements'!G206)/100,2))*100</f>
        <v>9665.1250633855561</v>
      </c>
      <c r="D206">
        <f>(3/(1+('CurrentPor-Rat Factor Movements'!C206+'CurrentPor-Rat Factor Movements'!H206)/100)+103/POWER(1+('CurrentPor-Rat Factor Movements'!D206+'CurrentPor-Rat Factor Movements'!H206)/100,2))*100</f>
        <v>9651.2899937287912</v>
      </c>
      <c r="E206">
        <f>(3/(1+('CurrentPor-Rat Factor Movements'!C206+'CurrentPor-Rat Factor Movements'!I206)/100)+103/POWER(1+('CurrentPor-Rat Factor Movements'!D206+'CurrentPor-Rat Factor Movements'!I206)/100,2))*100</f>
        <v>9631.3506882218953</v>
      </c>
      <c r="F206">
        <f>Portfolio!B$5*'CurrentPor-Rat Factor Movements'!E206</f>
        <v>52143.895533915893</v>
      </c>
      <c r="G206">
        <f>Portfolio!B$6*'CurrentPor-Rat Factor Movements'!F206</f>
        <v>3696.2945087936532</v>
      </c>
      <c r="H206">
        <f>Portfolio!B$7*'CurrentPor-Rat Factor Movements'!J206</f>
        <v>2148.0998964419859</v>
      </c>
      <c r="I206">
        <f t="shared" si="6"/>
        <v>96694.524874393595</v>
      </c>
      <c r="J206">
        <f t="shared" si="7"/>
        <v>-239.90890784274961</v>
      </c>
    </row>
    <row r="207" spans="1:10">
      <c r="A207" s="1">
        <v>45758</v>
      </c>
      <c r="B207">
        <f>(3/(1+('CurrentPor-Rat Factor Movements'!C207)/100)+103/POWER(1+('CurrentPor-Rat Factor Movements'!D207)/100,2))*100</f>
        <v>9649.1491953692257</v>
      </c>
      <c r="C207">
        <f>(3/(1+('CurrentPor-Rat Factor Movements'!C207+'CurrentPor-Rat Factor Movements'!G207)/100)+103/POWER(1+('CurrentPor-Rat Factor Movements'!D207+'CurrentPor-Rat Factor Movements'!G207)/100,2))*100</f>
        <v>9557.3903875957421</v>
      </c>
      <c r="D207">
        <f>(3/(1+('CurrentPor-Rat Factor Movements'!C207+'CurrentPor-Rat Factor Movements'!H207)/100)+103/POWER(1+('CurrentPor-Rat Factor Movements'!D207+'CurrentPor-Rat Factor Movements'!H207)/100,2))*100</f>
        <v>9543.7896246828477</v>
      </c>
      <c r="E207">
        <f>(3/(1+('CurrentPor-Rat Factor Movements'!C207+'CurrentPor-Rat Factor Movements'!I207)/100)+103/POWER(1+('CurrentPor-Rat Factor Movements'!D207+'CurrentPor-Rat Factor Movements'!I207)/100,2))*100</f>
        <v>9524.1877039594547</v>
      </c>
      <c r="F207">
        <f>Portfolio!B$5*'CurrentPor-Rat Factor Movements'!E207</f>
        <v>52143.895533915893</v>
      </c>
      <c r="G207">
        <f>Portfolio!B$6*'CurrentPor-Rat Factor Movements'!F207</f>
        <v>3696.2945087936532</v>
      </c>
      <c r="H207">
        <f>Portfolio!B$7*'CurrentPor-Rat Factor Movements'!J207</f>
        <v>2148.0998964419859</v>
      </c>
      <c r="I207">
        <f t="shared" si="6"/>
        <v>96262.806850758803</v>
      </c>
      <c r="J207">
        <f t="shared" si="7"/>
        <v>-542.32017127645668</v>
      </c>
    </row>
    <row r="208" spans="1:10">
      <c r="A208" s="1">
        <v>45761</v>
      </c>
      <c r="B208">
        <f>(3/(1+('CurrentPor-Rat Factor Movements'!C208)/100)+103/POWER(1+('CurrentPor-Rat Factor Movements'!D208)/100,2))*100</f>
        <v>9733.9394489334009</v>
      </c>
      <c r="C208">
        <f>(3/(1+('CurrentPor-Rat Factor Movements'!C208+'CurrentPor-Rat Factor Movements'!G208)/100)+103/POWER(1+('CurrentPor-Rat Factor Movements'!D208+'CurrentPor-Rat Factor Movements'!G208)/100,2))*100</f>
        <v>9640.9325277170574</v>
      </c>
      <c r="D208">
        <f>(3/(1+('CurrentPor-Rat Factor Movements'!C208+'CurrentPor-Rat Factor Movements'!H208)/100)+103/POWER(1+('CurrentPor-Rat Factor Movements'!D208+'CurrentPor-Rat Factor Movements'!H208)/100,2))*100</f>
        <v>9627.1473111407995</v>
      </c>
      <c r="E208">
        <f>(3/(1+('CurrentPor-Rat Factor Movements'!C208+'CurrentPor-Rat Factor Movements'!I208)/100)+103/POWER(1+('CurrentPor-Rat Factor Movements'!D208+'CurrentPor-Rat Factor Movements'!I208)/100,2))*100</f>
        <v>9607.2797972497847</v>
      </c>
      <c r="F208">
        <f>Portfolio!B$5*'CurrentPor-Rat Factor Movements'!E208</f>
        <v>52143.895533915893</v>
      </c>
      <c r="G208">
        <f>Portfolio!B$6*'CurrentPor-Rat Factor Movements'!F208</f>
        <v>3696.2945087936532</v>
      </c>
      <c r="H208">
        <f>Portfolio!B$7*'CurrentPor-Rat Factor Movements'!J208</f>
        <v>2148.0998964419859</v>
      </c>
      <c r="I208">
        <f t="shared" si="6"/>
        <v>96597.589024192581</v>
      </c>
      <c r="J208">
        <f t="shared" si="7"/>
        <v>515.89680029902956</v>
      </c>
    </row>
    <row r="209" spans="1:10">
      <c r="A209" s="1">
        <v>45762</v>
      </c>
      <c r="B209">
        <f>(3/(1+('CurrentPor-Rat Factor Movements'!C209)/100)+103/POWER(1+('CurrentPor-Rat Factor Movements'!D209)/100,2))*100</f>
        <v>9922.6409834137212</v>
      </c>
      <c r="C209">
        <f>(3/(1+('CurrentPor-Rat Factor Movements'!C209+'CurrentPor-Rat Factor Movements'!G209)/100)+103/POWER(1+('CurrentPor-Rat Factor Movements'!D209+'CurrentPor-Rat Factor Movements'!G209)/100,2))*100</f>
        <v>9826.8738624606376</v>
      </c>
      <c r="D209">
        <f>(3/(1+('CurrentPor-Rat Factor Movements'!C209+'CurrentPor-Rat Factor Movements'!H209)/100)+103/POWER(1+('CurrentPor-Rat Factor Movements'!D209+'CurrentPor-Rat Factor Movements'!H209)/100,2))*100</f>
        <v>9812.6807297862306</v>
      </c>
      <c r="E209">
        <f>(3/(1+('CurrentPor-Rat Factor Movements'!C209+'CurrentPor-Rat Factor Movements'!I209)/100)+103/POWER(1+('CurrentPor-Rat Factor Movements'!D209+'CurrentPor-Rat Factor Movements'!I209)/100,2))*100</f>
        <v>9792.2258623506314</v>
      </c>
      <c r="F209">
        <f>Portfolio!B$5*'CurrentPor-Rat Factor Movements'!E209</f>
        <v>52143.895533915893</v>
      </c>
      <c r="G209">
        <f>Portfolio!B$6*'CurrentPor-Rat Factor Movements'!F209</f>
        <v>3696.2945087936532</v>
      </c>
      <c r="H209">
        <f>Portfolio!B$7*'CurrentPor-Rat Factor Movements'!J209</f>
        <v>2148.0998964419859</v>
      </c>
      <c r="I209">
        <f t="shared" si="6"/>
        <v>97342.711377162763</v>
      </c>
      <c r="J209">
        <f t="shared" si="7"/>
        <v>1657.1384121270385</v>
      </c>
    </row>
    <row r="210" spans="1:10">
      <c r="A210" s="1">
        <v>45763</v>
      </c>
      <c r="B210">
        <f>(3/(1+('CurrentPor-Rat Factor Movements'!C210)/100)+103/POWER(1+('CurrentPor-Rat Factor Movements'!D210)/100,2))*100</f>
        <v>9772.6094099047168</v>
      </c>
      <c r="C210">
        <f>(3/(1+('CurrentPor-Rat Factor Movements'!C210+'CurrentPor-Rat Factor Movements'!G210)/100)+103/POWER(1+('CurrentPor-Rat Factor Movements'!D210+'CurrentPor-Rat Factor Movements'!G210)/100,2))*100</f>
        <v>9679.0578022537338</v>
      </c>
      <c r="D210">
        <f>(3/(1+('CurrentPor-Rat Factor Movements'!C210+'CurrentPor-Rat Factor Movements'!H210)/100)+103/POWER(1+('CurrentPor-Rat Factor Movements'!D210+'CurrentPor-Rat Factor Movements'!H210)/100,2))*100</f>
        <v>9665.1920699224411</v>
      </c>
      <c r="E210">
        <f>(3/(1+('CurrentPor-Rat Factor Movements'!C210+'CurrentPor-Rat Factor Movements'!I210)/100)+103/POWER(1+('CurrentPor-Rat Factor Movements'!D210+'CurrentPor-Rat Factor Movements'!I210)/100,2))*100</f>
        <v>9645.2086135620193</v>
      </c>
      <c r="F210">
        <f>Portfolio!B$5*'CurrentPor-Rat Factor Movements'!E210</f>
        <v>52143.895533915893</v>
      </c>
      <c r="G210">
        <f>Portfolio!B$6*'CurrentPor-Rat Factor Movements'!F210</f>
        <v>3696.2945087936532</v>
      </c>
      <c r="H210">
        <f>Portfolio!B$7*'CurrentPor-Rat Factor Movements'!J210</f>
        <v>2148.0998964419859</v>
      </c>
      <c r="I210">
        <f t="shared" si="6"/>
        <v>96750.357834794442</v>
      </c>
      <c r="J210">
        <f t="shared" si="7"/>
        <v>398.89618917142798</v>
      </c>
    </row>
    <row r="211" spans="1:10">
      <c r="A211" s="1">
        <v>45764</v>
      </c>
      <c r="B211">
        <f>(3/(1+('CurrentPor-Rat Factor Movements'!C211)/100)+103/POWER(1+('CurrentPor-Rat Factor Movements'!D211)/100,2))*100</f>
        <v>9679.4974239421372</v>
      </c>
      <c r="C211">
        <f>(3/(1+('CurrentPor-Rat Factor Movements'!C211+'CurrentPor-Rat Factor Movements'!G211)/100)+103/POWER(1+('CurrentPor-Rat Factor Movements'!D211+'CurrentPor-Rat Factor Movements'!G211)/100,2))*100</f>
        <v>9587.282985926513</v>
      </c>
      <c r="D211">
        <f>(3/(1+('CurrentPor-Rat Factor Movements'!C211+'CurrentPor-Rat Factor Movements'!H211)/100)+103/POWER(1+('CurrentPor-Rat Factor Movements'!D211+'CurrentPor-Rat Factor Movements'!H211)/100,2))*100</f>
        <v>9573.6148939637114</v>
      </c>
      <c r="E211">
        <f>(3/(1+('CurrentPor-Rat Factor Movements'!C211+'CurrentPor-Rat Factor Movements'!I211)/100)+103/POWER(1+('CurrentPor-Rat Factor Movements'!D211+'CurrentPor-Rat Factor Movements'!I211)/100,2))*100</f>
        <v>9553.9160298135193</v>
      </c>
      <c r="F211">
        <f>Portfolio!B$5*'CurrentPor-Rat Factor Movements'!E211</f>
        <v>52143.895533915893</v>
      </c>
      <c r="G211">
        <f>Portfolio!B$6*'CurrentPor-Rat Factor Movements'!F211</f>
        <v>3696.2945087936532</v>
      </c>
      <c r="H211">
        <f>Portfolio!B$7*'CurrentPor-Rat Factor Movements'!J211</f>
        <v>2148.0998964419859</v>
      </c>
      <c r="I211">
        <f t="shared" si="6"/>
        <v>96382.601272797401</v>
      </c>
      <c r="J211">
        <f t="shared" si="7"/>
        <v>-988.93592516910576</v>
      </c>
    </row>
    <row r="212" spans="1:10">
      <c r="A212" s="1">
        <v>45765</v>
      </c>
      <c r="B212">
        <f>(3/(1+('CurrentPor-Rat Factor Movements'!C212)/100)+103/POWER(1+('CurrentPor-Rat Factor Movements'!D212)/100,2))*100</f>
        <v>9897.7437038846765</v>
      </c>
      <c r="C212">
        <f>(3/(1+('CurrentPor-Rat Factor Movements'!C212+'CurrentPor-Rat Factor Movements'!G212)/100)+103/POWER(1+('CurrentPor-Rat Factor Movements'!D212+'CurrentPor-Rat Factor Movements'!G212)/100,2))*100</f>
        <v>9802.3544901758814</v>
      </c>
      <c r="D212">
        <f>(3/(1+('CurrentPor-Rat Factor Movements'!C212+'CurrentPor-Rat Factor Movements'!H212)/100)+103/POWER(1+('CurrentPor-Rat Factor Movements'!D212+'CurrentPor-Rat Factor Movements'!H212)/100,2))*100</f>
        <v>9788.2171935974857</v>
      </c>
      <c r="E212">
        <f>(3/(1+('CurrentPor-Rat Factor Movements'!C212+'CurrentPor-Rat Factor Movements'!I212)/100)+103/POWER(1+('CurrentPor-Rat Factor Movements'!D212+'CurrentPor-Rat Factor Movements'!I212)/100,2))*100</f>
        <v>9767.8427180007129</v>
      </c>
      <c r="F212">
        <f>Portfolio!B$5*'CurrentPor-Rat Factor Movements'!E212</f>
        <v>52143.895533915893</v>
      </c>
      <c r="G212">
        <f>Portfolio!B$6*'CurrentPor-Rat Factor Movements'!F212</f>
        <v>3696.2945087936532</v>
      </c>
      <c r="H212">
        <f>Portfolio!B$7*'CurrentPor-Rat Factor Movements'!J212</f>
        <v>2148.0998964419859</v>
      </c>
      <c r="I212">
        <f t="shared" si="6"/>
        <v>97244.448044810284</v>
      </c>
      <c r="J212">
        <f t="shared" si="7"/>
        <v>797.69973655637295</v>
      </c>
    </row>
    <row r="213" spans="1:10">
      <c r="A213" s="1">
        <v>45768</v>
      </c>
      <c r="B213">
        <f>(3/(1+('CurrentPor-Rat Factor Movements'!C213)/100)+103/POWER(1+('CurrentPor-Rat Factor Movements'!D213)/100,2))*100</f>
        <v>9866.0819697441839</v>
      </c>
      <c r="C213">
        <f>(3/(1+('CurrentPor-Rat Factor Movements'!C213+'CurrentPor-Rat Factor Movements'!G213)/100)+103/POWER(1+('CurrentPor-Rat Factor Movements'!D213+'CurrentPor-Rat Factor Movements'!G213)/100,2))*100</f>
        <v>9771.1602113920071</v>
      </c>
      <c r="D213">
        <f>(3/(1+('CurrentPor-Rat Factor Movements'!C213+'CurrentPor-Rat Factor Movements'!H213)/100)+103/POWER(1+('CurrentPor-Rat Factor Movements'!D213+'CurrentPor-Rat Factor Movements'!H213)/100,2))*100</f>
        <v>9757.0919930145992</v>
      </c>
      <c r="E213">
        <f>(3/(1+('CurrentPor-Rat Factor Movements'!C213+'CurrentPor-Rat Factor Movements'!I213)/100)+103/POWER(1+('CurrentPor-Rat Factor Movements'!D213+'CurrentPor-Rat Factor Movements'!I213)/100,2))*100</f>
        <v>9736.8169801647018</v>
      </c>
      <c r="F213">
        <f>Portfolio!B$5*'CurrentPor-Rat Factor Movements'!E213</f>
        <v>52143.895533915893</v>
      </c>
      <c r="G213">
        <f>Portfolio!B$6*'CurrentPor-Rat Factor Movements'!F213</f>
        <v>3696.2945087936532</v>
      </c>
      <c r="H213">
        <f>Portfolio!B$7*'CurrentPor-Rat Factor Movements'!J213</f>
        <v>2148.0998964419859</v>
      </c>
      <c r="I213">
        <f t="shared" si="6"/>
        <v>97119.441093467016</v>
      </c>
      <c r="J213">
        <f t="shared" si="7"/>
        <v>577.23241397050151</v>
      </c>
    </row>
    <row r="214" spans="1:10">
      <c r="A214" s="1">
        <v>45769</v>
      </c>
      <c r="B214">
        <f>(3/(1+('CurrentPor-Rat Factor Movements'!C214)/100)+103/POWER(1+('CurrentPor-Rat Factor Movements'!D214)/100,2))*100</f>
        <v>9791.0405735748955</v>
      </c>
      <c r="C214">
        <f>(3/(1+('CurrentPor-Rat Factor Movements'!C214+'CurrentPor-Rat Factor Movements'!G214)/100)+103/POWER(1+('CurrentPor-Rat Factor Movements'!D214+'CurrentPor-Rat Factor Movements'!G214)/100,2))*100</f>
        <v>9697.2097672275886</v>
      </c>
      <c r="D214">
        <f>(3/(1+('CurrentPor-Rat Factor Movements'!C214+'CurrentPor-Rat Factor Movements'!H214)/100)+103/POWER(1+('CurrentPor-Rat Factor Movements'!D214+'CurrentPor-Rat Factor Movements'!H214)/100,2))*100</f>
        <v>9683.3027809091782</v>
      </c>
      <c r="E214">
        <f>(3/(1+('CurrentPor-Rat Factor Movements'!C214+'CurrentPor-Rat Factor Movements'!I214)/100)+103/POWER(1+('CurrentPor-Rat Factor Movements'!D214+'CurrentPor-Rat Factor Movements'!I214)/100,2))*100</f>
        <v>9663.2599267983715</v>
      </c>
      <c r="F214">
        <f>Portfolio!B$5*'CurrentPor-Rat Factor Movements'!E214</f>
        <v>52143.895533915893</v>
      </c>
      <c r="G214">
        <f>Portfolio!B$6*'CurrentPor-Rat Factor Movements'!F214</f>
        <v>3696.2945087936532</v>
      </c>
      <c r="H214">
        <f>Portfolio!B$7*'CurrentPor-Rat Factor Movements'!J214</f>
        <v>2148.0998964419859</v>
      </c>
      <c r="I214">
        <f t="shared" si="6"/>
        <v>96823.102987661565</v>
      </c>
      <c r="J214">
        <f t="shared" si="7"/>
        <v>-193.13284094355186</v>
      </c>
    </row>
    <row r="215" spans="1:10">
      <c r="A215" s="1">
        <v>45770</v>
      </c>
      <c r="B215">
        <f>(3/(1+('CurrentPor-Rat Factor Movements'!C215)/100)+103/POWER(1+('CurrentPor-Rat Factor Movements'!D215)/100,2))*100</f>
        <v>9758.4813726695265</v>
      </c>
      <c r="C215">
        <f>(3/(1+('CurrentPor-Rat Factor Movements'!C215+'CurrentPor-Rat Factor Movements'!G215)/100)+103/POWER(1+('CurrentPor-Rat Factor Movements'!D215+'CurrentPor-Rat Factor Movements'!G215)/100,2))*100</f>
        <v>9665.1235495756064</v>
      </c>
      <c r="D215">
        <f>(3/(1+('CurrentPor-Rat Factor Movements'!C215+'CurrentPor-Rat Factor Movements'!H215)/100)+103/POWER(1+('CurrentPor-Rat Factor Movements'!D215+'CurrentPor-Rat Factor Movements'!H215)/100,2))*100</f>
        <v>9651.2864669652754</v>
      </c>
      <c r="E215">
        <f>(3/(1+('CurrentPor-Rat Factor Movements'!C215+'CurrentPor-Rat Factor Movements'!I215)/100)+103/POWER(1+('CurrentPor-Rat Factor Movements'!D215+'CurrentPor-Rat Factor Movements'!I215)/100,2))*100</f>
        <v>9631.344268140323</v>
      </c>
      <c r="F215">
        <f>Portfolio!B$5*'CurrentPor-Rat Factor Movements'!E215</f>
        <v>52143.895533915893</v>
      </c>
      <c r="G215">
        <f>Portfolio!B$6*'CurrentPor-Rat Factor Movements'!F215</f>
        <v>3696.2945087936532</v>
      </c>
      <c r="H215">
        <f>Portfolio!B$7*'CurrentPor-Rat Factor Movements'!J215</f>
        <v>2148.0998964419859</v>
      </c>
      <c r="I215">
        <f t="shared" si="6"/>
        <v>96694.525596502266</v>
      </c>
      <c r="J215">
        <f t="shared" si="7"/>
        <v>377.31645827667671</v>
      </c>
    </row>
    <row r="216" spans="1:10">
      <c r="A216" s="1">
        <v>45771</v>
      </c>
      <c r="B216">
        <f>(3/(1+('CurrentPor-Rat Factor Movements'!C216)/100)+103/POWER(1+('CurrentPor-Rat Factor Movements'!D216)/100,2))*100</f>
        <v>9527.520203894881</v>
      </c>
      <c r="C216">
        <f>(3/(1+('CurrentPor-Rat Factor Movements'!C216+'CurrentPor-Rat Factor Movements'!G216)/100)+103/POWER(1+('CurrentPor-Rat Factor Movements'!D216+'CurrentPor-Rat Factor Movements'!G216)/100,2))*100</f>
        <v>9437.488724372306</v>
      </c>
      <c r="D216">
        <f>(3/(1+('CurrentPor-Rat Factor Movements'!C216+'CurrentPor-Rat Factor Movements'!H216)/100)+103/POWER(1+('CurrentPor-Rat Factor Movements'!D216+'CurrentPor-Rat Factor Movements'!H216)/100,2))*100</f>
        <v>9424.1432955937453</v>
      </c>
      <c r="E216">
        <f>(3/(1+('CurrentPor-Rat Factor Movements'!C216+'CurrentPor-Rat Factor Movements'!I216)/100)+103/POWER(1+('CurrentPor-Rat Factor Movements'!D216+'CurrentPor-Rat Factor Movements'!I216)/100,2))*100</f>
        <v>9404.909055202017</v>
      </c>
      <c r="F216">
        <f>Portfolio!B$5*'CurrentPor-Rat Factor Movements'!E216</f>
        <v>52143.895533915893</v>
      </c>
      <c r="G216">
        <f>Portfolio!B$6*'CurrentPor-Rat Factor Movements'!F216</f>
        <v>3696.2945087936532</v>
      </c>
      <c r="H216">
        <f>Portfolio!B$7*'CurrentPor-Rat Factor Movements'!J216</f>
        <v>2148.0998964419859</v>
      </c>
      <c r="I216">
        <f t="shared" si="6"/>
        <v>95782.351218214477</v>
      </c>
      <c r="J216">
        <f t="shared" si="7"/>
        <v>-912.17365617911855</v>
      </c>
    </row>
    <row r="217" spans="1:10">
      <c r="A217" s="1">
        <v>45772</v>
      </c>
      <c r="B217">
        <f>(3/(1+('CurrentPor-Rat Factor Movements'!C217)/100)+103/POWER(1+('CurrentPor-Rat Factor Movements'!D217)/100,2))*100</f>
        <v>9588.1764544876241</v>
      </c>
      <c r="C217">
        <f>(3/(1+('CurrentPor-Rat Factor Movements'!C217+'CurrentPor-Rat Factor Movements'!G217)/100)+103/POWER(1+('CurrentPor-Rat Factor Movements'!D217+'CurrentPor-Rat Factor Movements'!G217)/100,2))*100</f>
        <v>9497.2988063285648</v>
      </c>
      <c r="D217">
        <f>(3/(1+('CurrentPor-Rat Factor Movements'!C217+'CurrentPor-Rat Factor Movements'!H217)/100)+103/POWER(1+('CurrentPor-Rat Factor Movements'!D217+'CurrentPor-Rat Factor Movements'!H217)/100,2))*100</f>
        <v>9483.8282827802886</v>
      </c>
      <c r="E217">
        <f>(3/(1+('CurrentPor-Rat Factor Movements'!C217+'CurrentPor-Rat Factor Movements'!I217)/100)+103/POWER(1+('CurrentPor-Rat Factor Movements'!D217+'CurrentPor-Rat Factor Movements'!I217)/100,2))*100</f>
        <v>9464.4138999872757</v>
      </c>
      <c r="F217">
        <f>Portfolio!B$5*'CurrentPor-Rat Factor Movements'!E217</f>
        <v>52143.895533915893</v>
      </c>
      <c r="G217">
        <f>Portfolio!B$6*'CurrentPor-Rat Factor Movements'!F217</f>
        <v>3696.2945087936532</v>
      </c>
      <c r="H217">
        <f>Portfolio!B$7*'CurrentPor-Rat Factor Movements'!J217</f>
        <v>2148.0998964419859</v>
      </c>
      <c r="I217">
        <f t="shared" si="6"/>
        <v>96022.007382735275</v>
      </c>
      <c r="J217">
        <f t="shared" si="7"/>
        <v>-240.79946802352788</v>
      </c>
    </row>
    <row r="218" spans="1:10">
      <c r="A218" s="1">
        <v>45775</v>
      </c>
      <c r="B218">
        <f>(3/(1+('CurrentPor-Rat Factor Movements'!C218)/100)+103/POWER(1+('CurrentPor-Rat Factor Movements'!D218)/100,2))*100</f>
        <v>9679.9433860654863</v>
      </c>
      <c r="C218">
        <f>(3/(1+('CurrentPor-Rat Factor Movements'!C218+'CurrentPor-Rat Factor Movements'!G218)/100)+103/POWER(1+('CurrentPor-Rat Factor Movements'!D218+'CurrentPor-Rat Factor Movements'!G218)/100,2))*100</f>
        <v>9587.7239532692784</v>
      </c>
      <c r="D218">
        <f>(3/(1+('CurrentPor-Rat Factor Movements'!C218+'CurrentPor-Rat Factor Movements'!H218)/100)+103/POWER(1+('CurrentPor-Rat Factor Movements'!D218+'CurrentPor-Rat Factor Movements'!H218)/100,2))*100</f>
        <v>9574.0551218591409</v>
      </c>
      <c r="E218">
        <f>(3/(1+('CurrentPor-Rat Factor Movements'!C218+'CurrentPor-Rat Factor Movements'!I218)/100)+103/POWER(1+('CurrentPor-Rat Factor Movements'!D218+'CurrentPor-Rat Factor Movements'!I218)/100,2))*100</f>
        <v>9554.3551923970881</v>
      </c>
      <c r="F218">
        <f>Portfolio!B$5*'CurrentPor-Rat Factor Movements'!E218</f>
        <v>52143.895533915893</v>
      </c>
      <c r="G218">
        <f>Portfolio!B$6*'CurrentPor-Rat Factor Movements'!F218</f>
        <v>3696.2945087936532</v>
      </c>
      <c r="H218">
        <f>Portfolio!B$7*'CurrentPor-Rat Factor Movements'!J218</f>
        <v>2148.0998964419859</v>
      </c>
      <c r="I218">
        <f t="shared" si="6"/>
        <v>96384.367592742536</v>
      </c>
      <c r="J218">
        <f t="shared" si="7"/>
        <v>-213.2214314500452</v>
      </c>
    </row>
    <row r="219" spans="1:10">
      <c r="A219" s="1">
        <v>45776</v>
      </c>
      <c r="B219">
        <f>(3/(1+('CurrentPor-Rat Factor Movements'!C219)/100)+103/POWER(1+('CurrentPor-Rat Factor Movements'!D219)/100,2))*100</f>
        <v>9936.5576427011838</v>
      </c>
      <c r="C219">
        <f>(3/(1+('CurrentPor-Rat Factor Movements'!C219+'CurrentPor-Rat Factor Movements'!G219)/100)+103/POWER(1+('CurrentPor-Rat Factor Movements'!D219+'CurrentPor-Rat Factor Movements'!G219)/100,2))*100</f>
        <v>9840.6016866837053</v>
      </c>
      <c r="D219">
        <f>(3/(1+('CurrentPor-Rat Factor Movements'!C219+'CurrentPor-Rat Factor Movements'!H219)/100)+103/POWER(1+('CurrentPor-Rat Factor Movements'!D219+'CurrentPor-Rat Factor Movements'!H219)/100,2))*100</f>
        <v>9826.380635380905</v>
      </c>
      <c r="E219">
        <f>(3/(1+('CurrentPor-Rat Factor Movements'!C219+'CurrentPor-Rat Factor Movements'!I219)/100)+103/POWER(1+('CurrentPor-Rat Factor Movements'!D219+'CurrentPor-Rat Factor Movements'!I219)/100,2))*100</f>
        <v>9805.8855629284626</v>
      </c>
      <c r="F219">
        <f>Portfolio!B$5*'CurrentPor-Rat Factor Movements'!E219</f>
        <v>52143.895533915893</v>
      </c>
      <c r="G219">
        <f>Portfolio!B$6*'CurrentPor-Rat Factor Movements'!F219</f>
        <v>3696.2945087936532</v>
      </c>
      <c r="H219">
        <f>Portfolio!B$7*'CurrentPor-Rat Factor Movements'!J219</f>
        <v>2148.0998964419859</v>
      </c>
      <c r="I219">
        <f t="shared" si="6"/>
        <v>97397.715466845795</v>
      </c>
      <c r="J219">
        <f t="shared" si="7"/>
        <v>55.004089683032362</v>
      </c>
    </row>
    <row r="220" spans="1:10">
      <c r="A220" s="1">
        <v>45777</v>
      </c>
      <c r="B220">
        <f>(3/(1+('CurrentPor-Rat Factor Movements'!C220)/100)+103/POWER(1+('CurrentPor-Rat Factor Movements'!D220)/100,2))*100</f>
        <v>9817.374165305313</v>
      </c>
      <c r="C220">
        <f>(3/(1+('CurrentPor-Rat Factor Movements'!C220+'CurrentPor-Rat Factor Movements'!G220)/100)+103/POWER(1+('CurrentPor-Rat Factor Movements'!D220+'CurrentPor-Rat Factor Movements'!G220)/100,2))*100</f>
        <v>9723.1558609022341</v>
      </c>
      <c r="D220">
        <f>(3/(1+('CurrentPor-Rat Factor Movements'!C220+'CurrentPor-Rat Factor Movements'!H220)/100)+103/POWER(1+('CurrentPor-Rat Factor Movements'!D220+'CurrentPor-Rat Factor Movements'!H220)/100,2))*100</f>
        <v>9709.1916096746645</v>
      </c>
      <c r="E220">
        <f>(3/(1+('CurrentPor-Rat Factor Movements'!C220+'CurrentPor-Rat Factor Movements'!I220)/100)+103/POWER(1+('CurrentPor-Rat Factor Movements'!D220+'CurrentPor-Rat Factor Movements'!I220)/100,2))*100</f>
        <v>9689.0663011824108</v>
      </c>
      <c r="F220">
        <f>Portfolio!B$5*'CurrentPor-Rat Factor Movements'!E220</f>
        <v>52143.895533915893</v>
      </c>
      <c r="G220">
        <f>Portfolio!B$6*'CurrentPor-Rat Factor Movements'!F220</f>
        <v>3696.2945087936532</v>
      </c>
      <c r="H220">
        <f>Portfolio!B$7*'CurrentPor-Rat Factor Movements'!J220</f>
        <v>2148.0998964419859</v>
      </c>
      <c r="I220">
        <f t="shared" si="6"/>
        <v>96927.077876216164</v>
      </c>
      <c r="J220">
        <f t="shared" si="7"/>
        <v>176.72004142172227</v>
      </c>
    </row>
    <row r="221" spans="1:10">
      <c r="A221" s="1">
        <v>45778</v>
      </c>
      <c r="B221">
        <f>(3/(1+('CurrentPor-Rat Factor Movements'!C221)/100)+103/POWER(1+('CurrentPor-Rat Factor Movements'!D221)/100,2))*100</f>
        <v>9783.387034737545</v>
      </c>
      <c r="C221">
        <f>(3/(1+('CurrentPor-Rat Factor Movements'!C221+'CurrentPor-Rat Factor Movements'!G221)/100)+103/POWER(1+('CurrentPor-Rat Factor Movements'!D221+'CurrentPor-Rat Factor Movements'!G221)/100,2))*100</f>
        <v>9689.6528780977351</v>
      </c>
      <c r="D221">
        <f>(3/(1+('CurrentPor-Rat Factor Movements'!C221+'CurrentPor-Rat Factor Movements'!H221)/100)+103/POWER(1+('CurrentPor-Rat Factor Movements'!D221+'CurrentPor-Rat Factor Movements'!H221)/100,2))*100</f>
        <v>9675.7601880947768</v>
      </c>
      <c r="E221">
        <f>(3/(1+('CurrentPor-Rat Factor Movements'!C221+'CurrentPor-Rat Factor Movements'!I221)/100)+103/POWER(1+('CurrentPor-Rat Factor Movements'!D221+'CurrentPor-Rat Factor Movements'!I221)/100,2))*100</f>
        <v>9655.7379249839087</v>
      </c>
      <c r="F221">
        <f>Portfolio!B$5*'CurrentPor-Rat Factor Movements'!E221</f>
        <v>52143.895533915893</v>
      </c>
      <c r="G221">
        <f>Portfolio!B$6*'CurrentPor-Rat Factor Movements'!F221</f>
        <v>3696.2945087936532</v>
      </c>
      <c r="H221">
        <f>Portfolio!B$7*'CurrentPor-Rat Factor Movements'!J221</f>
        <v>2148.0998964419859</v>
      </c>
      <c r="I221">
        <f t="shared" si="6"/>
        <v>96792.827965065502</v>
      </c>
      <c r="J221">
        <f t="shared" si="7"/>
        <v>410.22669226810103</v>
      </c>
    </row>
    <row r="222" spans="1:10">
      <c r="A222" s="1">
        <v>45779</v>
      </c>
      <c r="B222">
        <f>(3/(1+('CurrentPor-Rat Factor Movements'!C222)/100)+103/POWER(1+('CurrentPor-Rat Factor Movements'!D222)/100,2))*100</f>
        <v>9769.7161482133015</v>
      </c>
      <c r="C222">
        <f>(3/(1+('CurrentPor-Rat Factor Movements'!C222+'CurrentPor-Rat Factor Movements'!G222)/100)+103/POWER(1+('CurrentPor-Rat Factor Movements'!D222+'CurrentPor-Rat Factor Movements'!G222)/100,2))*100</f>
        <v>9676.2004343768949</v>
      </c>
      <c r="D222">
        <f>(3/(1+('CurrentPor-Rat Factor Movements'!C222+'CurrentPor-Rat Factor Movements'!H222)/100)+103/POWER(1+('CurrentPor-Rat Factor Movements'!D222+'CurrentPor-Rat Factor Movements'!H222)/100,2))*100</f>
        <v>9662.3400120589431</v>
      </c>
      <c r="E222">
        <f>(3/(1+('CurrentPor-Rat Factor Movements'!C222+'CurrentPor-Rat Factor Movements'!I222)/100)+103/POWER(1+('CurrentPor-Rat Factor Movements'!D222+'CurrentPor-Rat Factor Movements'!I222)/100,2))*100</f>
        <v>9642.364204009149</v>
      </c>
      <c r="F222">
        <f>Portfolio!B$5*'CurrentPor-Rat Factor Movements'!E222</f>
        <v>52143.895533915893</v>
      </c>
      <c r="G222">
        <f>Portfolio!B$6*'CurrentPor-Rat Factor Movements'!F222</f>
        <v>3696.2945087936532</v>
      </c>
      <c r="H222">
        <f>Portfolio!B$7*'CurrentPor-Rat Factor Movements'!J222</f>
        <v>2148.0998964419859</v>
      </c>
      <c r="I222">
        <f t="shared" si="6"/>
        <v>96738.910737809827</v>
      </c>
      <c r="J222">
        <f t="shared" si="7"/>
        <v>-505.53730700045708</v>
      </c>
    </row>
    <row r="223" spans="1:10">
      <c r="A223" s="1">
        <v>45782</v>
      </c>
      <c r="B223">
        <f>(3/(1+('CurrentPor-Rat Factor Movements'!C223)/100)+103/POWER(1+('CurrentPor-Rat Factor Movements'!D223)/100,2))*100</f>
        <v>9469.0444122459921</v>
      </c>
      <c r="C223">
        <f>(3/(1+('CurrentPor-Rat Factor Movements'!C223+'CurrentPor-Rat Factor Movements'!G223)/100)+103/POWER(1+('CurrentPor-Rat Factor Movements'!D223+'CurrentPor-Rat Factor Movements'!G223)/100,2))*100</f>
        <v>9379.8699508435893</v>
      </c>
      <c r="D223">
        <f>(3/(1+('CurrentPor-Rat Factor Movements'!C223+'CurrentPor-Rat Factor Movements'!H223)/100)+103/POWER(1+('CurrentPor-Rat Factor Movements'!D223+'CurrentPor-Rat Factor Movements'!H223)/100,2))*100</f>
        <v>9366.6511879081136</v>
      </c>
      <c r="E223">
        <f>(3/(1+('CurrentPor-Rat Factor Movements'!C223+'CurrentPor-Rat Factor Movements'!I223)/100)+103/POWER(1+('CurrentPor-Rat Factor Movements'!D223+'CurrentPor-Rat Factor Movements'!I223)/100,2))*100</f>
        <v>9347.5993373236506</v>
      </c>
      <c r="F223">
        <f>Portfolio!B$5*'CurrentPor-Rat Factor Movements'!E223</f>
        <v>52143.895533915893</v>
      </c>
      <c r="G223">
        <f>Portfolio!B$6*'CurrentPor-Rat Factor Movements'!F223</f>
        <v>3696.2945087936532</v>
      </c>
      <c r="H223">
        <f>Portfolio!B$7*'CurrentPor-Rat Factor Movements'!J223</f>
        <v>2148.0998964419859</v>
      </c>
      <c r="I223">
        <f t="shared" si="6"/>
        <v>95551.454827472873</v>
      </c>
      <c r="J223">
        <f t="shared" si="7"/>
        <v>-1567.9862659941427</v>
      </c>
    </row>
    <row r="224" spans="1:10">
      <c r="A224" s="1">
        <v>45783</v>
      </c>
      <c r="B224">
        <f>(3/(1+('CurrentPor-Rat Factor Movements'!C224)/100)+103/POWER(1+('CurrentPor-Rat Factor Movements'!D224)/100,2))*100</f>
        <v>9899.2489279370202</v>
      </c>
      <c r="C224">
        <f>(3/(1+('CurrentPor-Rat Factor Movements'!C224+'CurrentPor-Rat Factor Movements'!G224)/100)+103/POWER(1+('CurrentPor-Rat Factor Movements'!D224+'CurrentPor-Rat Factor Movements'!G224)/100,2))*100</f>
        <v>9803.8393064218162</v>
      </c>
      <c r="D224">
        <f>(3/(1+('CurrentPor-Rat Factor Movements'!C224+'CurrentPor-Rat Factor Movements'!H224)/100)+103/POWER(1+('CurrentPor-Rat Factor Movements'!D224+'CurrentPor-Rat Factor Movements'!H224)/100,2))*100</f>
        <v>9789.6989925783055</v>
      </c>
      <c r="E224">
        <f>(3/(1+('CurrentPor-Rat Factor Movements'!C224+'CurrentPor-Rat Factor Movements'!I224)/100)+103/POWER(1+('CurrentPor-Rat Factor Movements'!D224+'CurrentPor-Rat Factor Movements'!I224)/100,2))*100</f>
        <v>9769.320171864887</v>
      </c>
      <c r="F224">
        <f>Portfolio!B$5*'CurrentPor-Rat Factor Movements'!E224</f>
        <v>52143.895533915893</v>
      </c>
      <c r="G224">
        <f>Portfolio!B$6*'CurrentPor-Rat Factor Movements'!F224</f>
        <v>3696.2945087936532</v>
      </c>
      <c r="H224">
        <f>Portfolio!B$7*'CurrentPor-Rat Factor Movements'!J224</f>
        <v>2148.0998964419859</v>
      </c>
      <c r="I224">
        <f t="shared" si="6"/>
        <v>97250.39733795356</v>
      </c>
      <c r="J224">
        <f t="shared" si="7"/>
        <v>427.29435029199522</v>
      </c>
    </row>
    <row r="225" spans="1:10">
      <c r="A225" s="1">
        <v>45784</v>
      </c>
      <c r="B225">
        <f>(3/(1+('CurrentPor-Rat Factor Movements'!C225)/100)+103/POWER(1+('CurrentPor-Rat Factor Movements'!D225)/100,2))*100</f>
        <v>9893.350847644886</v>
      </c>
      <c r="C225">
        <f>(3/(1+('CurrentPor-Rat Factor Movements'!C225+'CurrentPor-Rat Factor Movements'!G225)/100)+103/POWER(1+('CurrentPor-Rat Factor Movements'!D225+'CurrentPor-Rat Factor Movements'!G225)/100,2))*100</f>
        <v>9798.0295213347054</v>
      </c>
      <c r="D225">
        <f>(3/(1+('CurrentPor-Rat Factor Movements'!C225+'CurrentPor-Rat Factor Movements'!H225)/100)+103/POWER(1+('CurrentPor-Rat Factor Movements'!D225+'CurrentPor-Rat Factor Movements'!H225)/100,2))*100</f>
        <v>9783.9022542408748</v>
      </c>
      <c r="E225">
        <f>(3/(1+('CurrentPor-Rat Factor Movements'!C225+'CurrentPor-Rat Factor Movements'!I225)/100)+103/POWER(1+('CurrentPor-Rat Factor Movements'!D225+'CurrentPor-Rat Factor Movements'!I225)/100,2))*100</f>
        <v>9763.5422184954205</v>
      </c>
      <c r="F225">
        <f>Portfolio!B$5*'CurrentPor-Rat Factor Movements'!E225</f>
        <v>52143.895533915893</v>
      </c>
      <c r="G225">
        <f>Portfolio!B$6*'CurrentPor-Rat Factor Movements'!F225</f>
        <v>3696.2945087936532</v>
      </c>
      <c r="H225">
        <f>Portfolio!B$7*'CurrentPor-Rat Factor Movements'!J225</f>
        <v>2148.0998964419859</v>
      </c>
      <c r="I225">
        <f t="shared" si="6"/>
        <v>97227.114780867414</v>
      </c>
      <c r="J225">
        <f t="shared" si="7"/>
        <v>532.58918436514796</v>
      </c>
    </row>
    <row r="226" spans="1:10">
      <c r="A226" s="1">
        <v>45785</v>
      </c>
      <c r="B226">
        <f>(3/(1+('CurrentPor-Rat Factor Movements'!C226)/100)+103/POWER(1+('CurrentPor-Rat Factor Movements'!D226)/100,2))*100</f>
        <v>9719.4198084045456</v>
      </c>
      <c r="C226">
        <f>(3/(1+('CurrentPor-Rat Factor Movements'!C226+'CurrentPor-Rat Factor Movements'!G226)/100)+103/POWER(1+('CurrentPor-Rat Factor Movements'!D226+'CurrentPor-Rat Factor Movements'!G226)/100,2))*100</f>
        <v>9626.6366820317799</v>
      </c>
      <c r="D226">
        <f>(3/(1+('CurrentPor-Rat Factor Movements'!C226+'CurrentPor-Rat Factor Movements'!H226)/100)+103/POWER(1+('CurrentPor-Rat Factor Movements'!D226+'CurrentPor-Rat Factor Movements'!H226)/100,2))*100</f>
        <v>9612.8845305433479</v>
      </c>
      <c r="E226">
        <f>(3/(1+('CurrentPor-Rat Factor Movements'!C226+'CurrentPor-Rat Factor Movements'!I226)/100)+103/POWER(1+('CurrentPor-Rat Factor Movements'!D226+'CurrentPor-Rat Factor Movements'!I226)/100,2))*100</f>
        <v>9593.0646228267196</v>
      </c>
      <c r="F226">
        <f>Portfolio!B$5*'CurrentPor-Rat Factor Movements'!E226</f>
        <v>52143.895533915893</v>
      </c>
      <c r="G226">
        <f>Portfolio!B$6*'CurrentPor-Rat Factor Movements'!F226</f>
        <v>3696.2945087936532</v>
      </c>
      <c r="H226">
        <f>Portfolio!B$7*'CurrentPor-Rat Factor Movements'!J226</f>
        <v>2148.0998964419859</v>
      </c>
      <c r="I226">
        <f t="shared" si="6"/>
        <v>96540.29558295793</v>
      </c>
      <c r="J226">
        <f t="shared" si="7"/>
        <v>757.94436474345275</v>
      </c>
    </row>
    <row r="227" spans="1:10">
      <c r="A227" s="1">
        <v>45786</v>
      </c>
      <c r="B227">
        <f>(3/(1+('CurrentPor-Rat Factor Movements'!C227)/100)+103/POWER(1+('CurrentPor-Rat Factor Movements'!D227)/100,2))*100</f>
        <v>9612.8104672108657</v>
      </c>
      <c r="C227">
        <f>(3/(1+('CurrentPor-Rat Factor Movements'!C227+'CurrentPor-Rat Factor Movements'!G227)/100)+103/POWER(1+('CurrentPor-Rat Factor Movements'!D227+'CurrentPor-Rat Factor Movements'!G227)/100,2))*100</f>
        <v>9521.5697130848221</v>
      </c>
      <c r="D227">
        <f>(3/(1+('CurrentPor-Rat Factor Movements'!C227+'CurrentPor-Rat Factor Movements'!H227)/100)+103/POWER(1+('CurrentPor-Rat Factor Movements'!D227+'CurrentPor-Rat Factor Movements'!H227)/100,2))*100</f>
        <v>9508.0455264276316</v>
      </c>
      <c r="E227">
        <f>(3/(1+('CurrentPor-Rat Factor Movements'!C227+'CurrentPor-Rat Factor Movements'!I227)/100)+103/POWER(1+('CurrentPor-Rat Factor Movements'!D227+'CurrentPor-Rat Factor Movements'!I227)/100,2))*100</f>
        <v>9488.5538740938755</v>
      </c>
      <c r="F227">
        <f>Portfolio!B$5*'CurrentPor-Rat Factor Movements'!E227</f>
        <v>52143.895533915893</v>
      </c>
      <c r="G227">
        <f>Portfolio!B$6*'CurrentPor-Rat Factor Movements'!F227</f>
        <v>3696.2945087936532</v>
      </c>
      <c r="H227">
        <f>Portfolio!B$7*'CurrentPor-Rat Factor Movements'!J227</f>
        <v>2148.0998964419859</v>
      </c>
      <c r="I227">
        <f t="shared" si="6"/>
        <v>96119.26951996873</v>
      </c>
      <c r="J227">
        <f t="shared" si="7"/>
        <v>97.262137233454268</v>
      </c>
    </row>
    <row r="228" spans="1:10">
      <c r="A228" s="1">
        <v>45789</v>
      </c>
      <c r="B228">
        <f>(3/(1+('CurrentPor-Rat Factor Movements'!C228)/100)+103/POWER(1+('CurrentPor-Rat Factor Movements'!D228)/100,2))*100</f>
        <v>9622.0317945585375</v>
      </c>
      <c r="C228">
        <f>(3/(1+('CurrentPor-Rat Factor Movements'!C228+'CurrentPor-Rat Factor Movements'!G228)/100)+103/POWER(1+('CurrentPor-Rat Factor Movements'!D228+'CurrentPor-Rat Factor Movements'!G228)/100,2))*100</f>
        <v>9530.6426984851678</v>
      </c>
      <c r="D228">
        <f>(3/(1+('CurrentPor-Rat Factor Movements'!C228+'CurrentPor-Rat Factor Movements'!H228)/100)+103/POWER(1+('CurrentPor-Rat Factor Movements'!D228+'CurrentPor-Rat Factor Movements'!H228)/100,2))*100</f>
        <v>9517.0965987320051</v>
      </c>
      <c r="E228">
        <f>(3/(1+('CurrentPor-Rat Factor Movements'!C228+'CurrentPor-Rat Factor Movements'!I228)/100)+103/POWER(1+('CurrentPor-Rat Factor Movements'!D228+'CurrentPor-Rat Factor Movements'!I228)/100,2))*100</f>
        <v>9497.5733983879327</v>
      </c>
      <c r="F228">
        <f>Portfolio!B$5*'CurrentPor-Rat Factor Movements'!E228</f>
        <v>52143.895533915893</v>
      </c>
      <c r="G228">
        <f>Portfolio!B$6*'CurrentPor-Rat Factor Movements'!F228</f>
        <v>3696.2945087936532</v>
      </c>
      <c r="H228">
        <f>Portfolio!B$7*'CurrentPor-Rat Factor Movements'!J228</f>
        <v>2148.0998964419859</v>
      </c>
      <c r="I228">
        <f t="shared" si="6"/>
        <v>96155.634429315178</v>
      </c>
      <c r="J228">
        <f t="shared" si="7"/>
        <v>-228.73316342735779</v>
      </c>
    </row>
    <row r="229" spans="1:10">
      <c r="A229" s="1">
        <v>45790</v>
      </c>
      <c r="B229">
        <f>(3/(1+('CurrentPor-Rat Factor Movements'!C229)/100)+103/POWER(1+('CurrentPor-Rat Factor Movements'!D229)/100,2))*100</f>
        <v>9646.5256433674058</v>
      </c>
      <c r="C229">
        <f>(3/(1+('CurrentPor-Rat Factor Movements'!C229+'CurrentPor-Rat Factor Movements'!G229)/100)+103/POWER(1+('CurrentPor-Rat Factor Movements'!D229+'CurrentPor-Rat Factor Movements'!G229)/100,2))*100</f>
        <v>9554.7797620436431</v>
      </c>
      <c r="D229">
        <f>(3/(1+('CurrentPor-Rat Factor Movements'!C229+'CurrentPor-Rat Factor Movements'!H229)/100)+103/POWER(1+('CurrentPor-Rat Factor Movements'!D229+'CurrentPor-Rat Factor Movements'!H229)/100,2))*100</f>
        <v>9541.180930481205</v>
      </c>
      <c r="E229">
        <f>(3/(1+('CurrentPor-Rat Factor Movements'!C229+'CurrentPor-Rat Factor Movements'!I229)/100)+103/POWER(1+('CurrentPor-Rat Factor Movements'!D229+'CurrentPor-Rat Factor Movements'!I229)/100,2))*100</f>
        <v>9521.5818002793021</v>
      </c>
      <c r="F229">
        <f>Portfolio!B$5*'CurrentPor-Rat Factor Movements'!E229</f>
        <v>52143.895533915893</v>
      </c>
      <c r="G229">
        <f>Portfolio!B$6*'CurrentPor-Rat Factor Movements'!F229</f>
        <v>3696.2945087936532</v>
      </c>
      <c r="H229">
        <f>Portfolio!B$7*'CurrentPor-Rat Factor Movements'!J229</f>
        <v>2148.0998964419859</v>
      </c>
      <c r="I229">
        <f t="shared" si="6"/>
        <v>96252.358075323093</v>
      </c>
      <c r="J229">
        <f t="shared" si="7"/>
        <v>-1145.3573915227025</v>
      </c>
    </row>
    <row r="230" spans="1:10">
      <c r="A230" s="1">
        <v>45791</v>
      </c>
      <c r="B230">
        <f>(3/(1+('CurrentPor-Rat Factor Movements'!C230)/100)+103/POWER(1+('CurrentPor-Rat Factor Movements'!D230)/100,2))*100</f>
        <v>9820.0336876052243</v>
      </c>
      <c r="C230">
        <f>(3/(1+('CurrentPor-Rat Factor Movements'!C230+'CurrentPor-Rat Factor Movements'!G230)/100)+103/POWER(1+('CurrentPor-Rat Factor Movements'!D230+'CurrentPor-Rat Factor Movements'!G230)/100,2))*100</f>
        <v>9725.7700792517717</v>
      </c>
      <c r="D230">
        <f>(3/(1+('CurrentPor-Rat Factor Movements'!C230+'CurrentPor-Rat Factor Movements'!H230)/100)+103/POWER(1+('CurrentPor-Rat Factor Movements'!D230+'CurrentPor-Rat Factor Movements'!H230)/100,2))*100</f>
        <v>9711.7991381166812</v>
      </c>
      <c r="E230">
        <f>(3/(1+('CurrentPor-Rat Factor Movements'!C230+'CurrentPor-Rat Factor Movements'!I230)/100)+103/POWER(1+('CurrentPor-Rat Factor Movements'!D230+'CurrentPor-Rat Factor Movements'!I230)/100,2))*100</f>
        <v>9691.6641993418125</v>
      </c>
      <c r="F230">
        <f>Portfolio!B$5*'CurrentPor-Rat Factor Movements'!E230</f>
        <v>52143.895533915893</v>
      </c>
      <c r="G230">
        <f>Portfolio!B$6*'CurrentPor-Rat Factor Movements'!F230</f>
        <v>3696.2945087936532</v>
      </c>
      <c r="H230">
        <f>Portfolio!B$7*'CurrentPor-Rat Factor Movements'!J230</f>
        <v>2148.0998964419859</v>
      </c>
      <c r="I230">
        <f t="shared" si="6"/>
        <v>96937.557043467023</v>
      </c>
      <c r="J230">
        <f t="shared" si="7"/>
        <v>10.479167250858154</v>
      </c>
    </row>
    <row r="231" spans="1:10">
      <c r="A231" s="1">
        <v>45792</v>
      </c>
      <c r="B231">
        <f>(3/(1+('CurrentPor-Rat Factor Movements'!C231)/100)+103/POWER(1+('CurrentPor-Rat Factor Movements'!D231)/100,2))*100</f>
        <v>9626.2962943334896</v>
      </c>
      <c r="C231">
        <f>(3/(1+('CurrentPor-Rat Factor Movements'!C231+'CurrentPor-Rat Factor Movements'!G231)/100)+103/POWER(1+('CurrentPor-Rat Factor Movements'!D231+'CurrentPor-Rat Factor Movements'!G231)/100,2))*100</f>
        <v>9534.8513753730967</v>
      </c>
      <c r="D231">
        <f>(3/(1+('CurrentPor-Rat Factor Movements'!C231+'CurrentPor-Rat Factor Movements'!H231)/100)+103/POWER(1+('CurrentPor-Rat Factor Movements'!D231+'CurrentPor-Rat Factor Movements'!H231)/100,2))*100</f>
        <v>9521.297019951171</v>
      </c>
      <c r="E231">
        <f>(3/(1+('CurrentPor-Rat Factor Movements'!C231+'CurrentPor-Rat Factor Movements'!I231)/100)+103/POWER(1+('CurrentPor-Rat Factor Movements'!D231+'CurrentPor-Rat Factor Movements'!I231)/100,2))*100</f>
        <v>9501.7619296838111</v>
      </c>
      <c r="F231">
        <f>Portfolio!B$5*'CurrentPor-Rat Factor Movements'!E231</f>
        <v>52143.895533915893</v>
      </c>
      <c r="G231">
        <f>Portfolio!B$6*'CurrentPor-Rat Factor Movements'!F231</f>
        <v>3696.2945087936532</v>
      </c>
      <c r="H231">
        <f>Portfolio!B$7*'CurrentPor-Rat Factor Movements'!J231</f>
        <v>2148.0998964419859</v>
      </c>
      <c r="I231">
        <f t="shared" si="6"/>
        <v>96172.496558493105</v>
      </c>
      <c r="J231">
        <f t="shared" si="7"/>
        <v>-620.3314065723971</v>
      </c>
    </row>
    <row r="232" spans="1:10">
      <c r="A232" s="1">
        <v>45793</v>
      </c>
      <c r="B232">
        <f>(3/(1+('CurrentPor-Rat Factor Movements'!C232)/100)+103/POWER(1+('CurrentPor-Rat Factor Movements'!D232)/100,2))*100</f>
        <v>9820.9294844705091</v>
      </c>
      <c r="C232">
        <f>(3/(1+('CurrentPor-Rat Factor Movements'!C232+'CurrentPor-Rat Factor Movements'!G232)/100)+103/POWER(1+('CurrentPor-Rat Factor Movements'!D232+'CurrentPor-Rat Factor Movements'!G232)/100,2))*100</f>
        <v>9726.6674194810694</v>
      </c>
      <c r="D232">
        <f>(3/(1+('CurrentPor-Rat Factor Movements'!C232+'CurrentPor-Rat Factor Movements'!H232)/100)+103/POWER(1+('CurrentPor-Rat Factor Movements'!D232+'CurrentPor-Rat Factor Movements'!H232)/100,2))*100</f>
        <v>9712.6966941748815</v>
      </c>
      <c r="E232">
        <f>(3/(1+('CurrentPor-Rat Factor Movements'!C232+'CurrentPor-Rat Factor Movements'!I232)/100)+103/POWER(1+('CurrentPor-Rat Factor Movements'!D232+'CurrentPor-Rat Factor Movements'!I232)/100,2))*100</f>
        <v>9692.5620605750773</v>
      </c>
      <c r="F232">
        <f>Portfolio!B$5*'CurrentPor-Rat Factor Movements'!E232</f>
        <v>52143.895533915893</v>
      </c>
      <c r="G232">
        <f>Portfolio!B$6*'CurrentPor-Rat Factor Movements'!F232</f>
        <v>3696.2945087936532</v>
      </c>
      <c r="H232">
        <f>Portfolio!B$7*'CurrentPor-Rat Factor Movements'!J232</f>
        <v>2148.0998964419859</v>
      </c>
      <c r="I232">
        <f t="shared" si="6"/>
        <v>96941.145597853072</v>
      </c>
      <c r="J232">
        <f t="shared" si="7"/>
        <v>202.23486004324513</v>
      </c>
    </row>
    <row r="233" spans="1:10">
      <c r="A233" s="1">
        <v>45796</v>
      </c>
      <c r="B233">
        <f>(3/(1+('CurrentPor-Rat Factor Movements'!C233)/100)+103/POWER(1+('CurrentPor-Rat Factor Movements'!D233)/100,2))*100</f>
        <v>9769.9992254898043</v>
      </c>
      <c r="C233">
        <f>(3/(1+('CurrentPor-Rat Factor Movements'!C233+'CurrentPor-Rat Factor Movements'!G233)/100)+103/POWER(1+('CurrentPor-Rat Factor Movements'!D233+'CurrentPor-Rat Factor Movements'!G233)/100,2))*100</f>
        <v>9676.4921189442466</v>
      </c>
      <c r="D233">
        <f>(3/(1+('CurrentPor-Rat Factor Movements'!C233+'CurrentPor-Rat Factor Movements'!H233)/100)+103/POWER(1+('CurrentPor-Rat Factor Movements'!D233+'CurrentPor-Rat Factor Movements'!H233)/100,2))*100</f>
        <v>9662.6329580700658</v>
      </c>
      <c r="E233">
        <f>(3/(1+('CurrentPor-Rat Factor Movements'!C233+'CurrentPor-Rat Factor Movements'!I233)/100)+103/POWER(1+('CurrentPor-Rat Factor Movements'!D233+'CurrentPor-Rat Factor Movements'!I233)/100,2))*100</f>
        <v>9642.6589615267749</v>
      </c>
      <c r="F233">
        <f>Portfolio!B$5*'CurrentPor-Rat Factor Movements'!E233</f>
        <v>52143.895533915893</v>
      </c>
      <c r="G233">
        <f>Portfolio!B$6*'CurrentPor-Rat Factor Movements'!F233</f>
        <v>3696.2945087936532</v>
      </c>
      <c r="H233">
        <f>Portfolio!B$7*'CurrentPor-Rat Factor Movements'!J233</f>
        <v>2148.0998964419859</v>
      </c>
      <c r="I233">
        <f t="shared" si="6"/>
        <v>96740.073203182415</v>
      </c>
      <c r="J233">
        <f t="shared" si="7"/>
        <v>1188.6183757095423</v>
      </c>
    </row>
    <row r="234" spans="1:10">
      <c r="A234" s="1">
        <v>45797</v>
      </c>
      <c r="B234">
        <f>(3/(1+('CurrentPor-Rat Factor Movements'!C234)/100)+103/POWER(1+('CurrentPor-Rat Factor Movements'!D234)/100,2))*100</f>
        <v>9771.7108245971758</v>
      </c>
      <c r="C234">
        <f>(3/(1+('CurrentPor-Rat Factor Movements'!C234+'CurrentPor-Rat Factor Movements'!G234)/100)+103/POWER(1+('CurrentPor-Rat Factor Movements'!D234+'CurrentPor-Rat Factor Movements'!G234)/100,2))*100</f>
        <v>9678.1693243482223</v>
      </c>
      <c r="D234">
        <f>(3/(1+('CurrentPor-Rat Factor Movements'!C234+'CurrentPor-Rat Factor Movements'!H234)/100)+103/POWER(1+('CurrentPor-Rat Factor Movements'!D234+'CurrentPor-Rat Factor Movements'!H234)/100,2))*100</f>
        <v>9664.3050882938605</v>
      </c>
      <c r="E234">
        <f>(3/(1+('CurrentPor-Rat Factor Movements'!C234+'CurrentPor-Rat Factor Movements'!I234)/100)+103/POWER(1+('CurrentPor-Rat Factor Movements'!D234+'CurrentPor-Rat Factor Movements'!I234)/100,2))*100</f>
        <v>9644.3237875707327</v>
      </c>
      <c r="F234">
        <f>Portfolio!B$5*'CurrentPor-Rat Factor Movements'!E234</f>
        <v>52143.895533915893</v>
      </c>
      <c r="G234">
        <f>Portfolio!B$6*'CurrentPor-Rat Factor Movements'!F234</f>
        <v>3696.2945087936532</v>
      </c>
      <c r="H234">
        <f>Portfolio!B$7*'CurrentPor-Rat Factor Movements'!J234</f>
        <v>2148.0998964419859</v>
      </c>
      <c r="I234">
        <f t="shared" si="6"/>
        <v>96746.798963961526</v>
      </c>
      <c r="J234">
        <f t="shared" si="7"/>
        <v>-503.59837399203388</v>
      </c>
    </row>
    <row r="235" spans="1:10">
      <c r="A235" s="1">
        <v>45798</v>
      </c>
      <c r="B235">
        <f>(3/(1+('CurrentPor-Rat Factor Movements'!C235)/100)+103/POWER(1+('CurrentPor-Rat Factor Movements'!D235)/100,2))*100</f>
        <v>9709.7867623795373</v>
      </c>
      <c r="C235">
        <f>(3/(1+('CurrentPor-Rat Factor Movements'!C235+'CurrentPor-Rat Factor Movements'!G235)/100)+103/POWER(1+('CurrentPor-Rat Factor Movements'!D235+'CurrentPor-Rat Factor Movements'!G235)/100,2))*100</f>
        <v>9617.1390228919481</v>
      </c>
      <c r="D235">
        <f>(3/(1+('CurrentPor-Rat Factor Movements'!C235+'CurrentPor-Rat Factor Movements'!H235)/100)+103/POWER(1+('CurrentPor-Rat Factor Movements'!D235+'CurrentPor-Rat Factor Movements'!H235)/100,2))*100</f>
        <v>9603.4068848190673</v>
      </c>
      <c r="E235">
        <f>(3/(1+('CurrentPor-Rat Factor Movements'!C235+'CurrentPor-Rat Factor Movements'!I235)/100)+103/POWER(1+('CurrentPor-Rat Factor Movements'!D235+'CurrentPor-Rat Factor Movements'!I235)/100,2))*100</f>
        <v>9583.6157965825187</v>
      </c>
      <c r="F235">
        <f>Portfolio!B$5*'CurrentPor-Rat Factor Movements'!E235</f>
        <v>52143.895533915893</v>
      </c>
      <c r="G235">
        <f>Portfolio!B$6*'CurrentPor-Rat Factor Movements'!F235</f>
        <v>3696.2945087936532</v>
      </c>
      <c r="H235">
        <f>Portfolio!B$7*'CurrentPor-Rat Factor Movements'!J235</f>
        <v>2148.0998964419859</v>
      </c>
      <c r="I235">
        <f t="shared" si="6"/>
        <v>96502.238405824595</v>
      </c>
      <c r="J235">
        <f t="shared" si="7"/>
        <v>-724.87637504281884</v>
      </c>
    </row>
    <row r="236" spans="1:10">
      <c r="A236" s="1">
        <v>45799</v>
      </c>
      <c r="B236">
        <f>(3/(1+('CurrentPor-Rat Factor Movements'!C236)/100)+103/POWER(1+('CurrentPor-Rat Factor Movements'!D236)/100,2))*100</f>
        <v>9573.3179244477888</v>
      </c>
      <c r="C236">
        <f>(3/(1+('CurrentPor-Rat Factor Movements'!C236+'CurrentPor-Rat Factor Movements'!G236)/100)+103/POWER(1+('CurrentPor-Rat Factor Movements'!D236+'CurrentPor-Rat Factor Movements'!G236)/100,2))*100</f>
        <v>9482.6233225008673</v>
      </c>
      <c r="D236">
        <f>(3/(1+('CurrentPor-Rat Factor Movements'!C236+'CurrentPor-Rat Factor Movements'!H236)/100)+103/POWER(1+('CurrentPor-Rat Factor Movements'!D236+'CurrentPor-Rat Factor Movements'!H236)/100,2))*100</f>
        <v>9469.1798804482241</v>
      </c>
      <c r="E236">
        <f>(3/(1+('CurrentPor-Rat Factor Movements'!C236+'CurrentPor-Rat Factor Movements'!I236)/100)+103/POWER(1+('CurrentPor-Rat Factor Movements'!D236+'CurrentPor-Rat Factor Movements'!I236)/100,2))*100</f>
        <v>9449.8045056721767</v>
      </c>
      <c r="F236">
        <f>Portfolio!B$5*'CurrentPor-Rat Factor Movements'!E236</f>
        <v>52143.895533915893</v>
      </c>
      <c r="G236">
        <f>Portfolio!B$6*'CurrentPor-Rat Factor Movements'!F236</f>
        <v>3696.2945087936532</v>
      </c>
      <c r="H236">
        <f>Portfolio!B$7*'CurrentPor-Rat Factor Movements'!J236</f>
        <v>2148.0998964419859</v>
      </c>
      <c r="I236">
        <f t="shared" si="6"/>
        <v>95963.215572220579</v>
      </c>
      <c r="J236">
        <f t="shared" si="7"/>
        <v>-577.08001073735068</v>
      </c>
    </row>
    <row r="237" spans="1:10">
      <c r="A237" s="1">
        <v>45800</v>
      </c>
      <c r="B237">
        <f>(3/(1+('CurrentPor-Rat Factor Movements'!C237)/100)+103/POWER(1+('CurrentPor-Rat Factor Movements'!D237)/100,2))*100</f>
        <v>9682.7193917914447</v>
      </c>
      <c r="C237">
        <f>(3/(1+('CurrentPor-Rat Factor Movements'!C237+'CurrentPor-Rat Factor Movements'!G237)/100)+103/POWER(1+('CurrentPor-Rat Factor Movements'!D237+'CurrentPor-Rat Factor Movements'!G237)/100,2))*100</f>
        <v>9590.4654901149406</v>
      </c>
      <c r="D237">
        <f>(3/(1+('CurrentPor-Rat Factor Movements'!C237+'CurrentPor-Rat Factor Movements'!H237)/100)+103/POWER(1+('CurrentPor-Rat Factor Movements'!D237+'CurrentPor-Rat Factor Movements'!H237)/100,2))*100</f>
        <v>9576.7915594326205</v>
      </c>
      <c r="E237">
        <f>(3/(1+('CurrentPor-Rat Factor Movements'!C237+'CurrentPor-Rat Factor Movements'!I237)/100)+103/POWER(1+('CurrentPor-Rat Factor Movements'!D237+'CurrentPor-Rat Factor Movements'!I237)/100,2))*100</f>
        <v>9557.0842851757516</v>
      </c>
      <c r="F237">
        <f>Portfolio!B$5*'CurrentPor-Rat Factor Movements'!E237</f>
        <v>52143.895533915893</v>
      </c>
      <c r="G237">
        <f>Portfolio!B$6*'CurrentPor-Rat Factor Movements'!F237</f>
        <v>3696.2945087936532</v>
      </c>
      <c r="H237">
        <f>Portfolio!B$7*'CurrentPor-Rat Factor Movements'!J237</f>
        <v>2148.0998964419859</v>
      </c>
      <c r="I237">
        <f t="shared" si="6"/>
        <v>96395.350665666294</v>
      </c>
      <c r="J237">
        <f t="shared" si="7"/>
        <v>276.08114569756435</v>
      </c>
    </row>
    <row r="238" spans="1:10">
      <c r="A238" s="1">
        <v>45803</v>
      </c>
      <c r="B238">
        <f>(3/(1+('CurrentPor-Rat Factor Movements'!C238)/100)+103/POWER(1+('CurrentPor-Rat Factor Movements'!D238)/100,2))*100</f>
        <v>9686.3985401126974</v>
      </c>
      <c r="C238">
        <f>(3/(1+('CurrentPor-Rat Factor Movements'!C238+'CurrentPor-Rat Factor Movements'!G238)/100)+103/POWER(1+('CurrentPor-Rat Factor Movements'!D238+'CurrentPor-Rat Factor Movements'!G238)/100,2))*100</f>
        <v>9594.0819765046635</v>
      </c>
      <c r="D238">
        <f>(3/(1+('CurrentPor-Rat Factor Movements'!C238+'CurrentPor-Rat Factor Movements'!H238)/100)+103/POWER(1+('CurrentPor-Rat Factor Movements'!D238+'CurrentPor-Rat Factor Movements'!H238)/100,2))*100</f>
        <v>9580.3987922230881</v>
      </c>
      <c r="E238">
        <f>(3/(1+('CurrentPor-Rat Factor Movements'!C238+'CurrentPor-Rat Factor Movements'!I238)/100)+103/POWER(1+('CurrentPor-Rat Factor Movements'!D238+'CurrentPor-Rat Factor Movements'!I238)/100,2))*100</f>
        <v>9560.6781969671083</v>
      </c>
      <c r="F238">
        <f>Portfolio!B$5*'CurrentPor-Rat Factor Movements'!E238</f>
        <v>52143.895533915893</v>
      </c>
      <c r="G238">
        <f>Portfolio!B$6*'CurrentPor-Rat Factor Movements'!F238</f>
        <v>3696.2945087936532</v>
      </c>
      <c r="H238">
        <f>Portfolio!B$7*'CurrentPor-Rat Factor Movements'!J238</f>
        <v>2148.0998964419859</v>
      </c>
      <c r="I238">
        <f t="shared" si="6"/>
        <v>96409.847444959087</v>
      </c>
      <c r="J238">
        <f t="shared" si="7"/>
        <v>254.21301564390888</v>
      </c>
    </row>
    <row r="239" spans="1:10">
      <c r="A239" s="1">
        <v>45804</v>
      </c>
      <c r="B239">
        <f>(3/(1+('CurrentPor-Rat Factor Movements'!C239)/100)+103/POWER(1+('CurrentPor-Rat Factor Movements'!D239)/100,2))*100</f>
        <v>9596.8655676916751</v>
      </c>
      <c r="C239">
        <f>(3/(1+('CurrentPor-Rat Factor Movements'!C239+'CurrentPor-Rat Factor Movements'!G239)/100)+103/POWER(1+('CurrentPor-Rat Factor Movements'!D239+'CurrentPor-Rat Factor Movements'!G239)/100,2))*100</f>
        <v>9505.8504027374474</v>
      </c>
      <c r="D239">
        <f>(3/(1+('CurrentPor-Rat Factor Movements'!C239+'CurrentPor-Rat Factor Movements'!H239)/100)+103/POWER(1+('CurrentPor-Rat Factor Movements'!D239+'CurrentPor-Rat Factor Movements'!H239)/100,2))*100</f>
        <v>9492.3595633015721</v>
      </c>
      <c r="E239">
        <f>(3/(1+('CurrentPor-Rat Factor Movements'!C239+'CurrentPor-Rat Factor Movements'!I239)/100)+103/POWER(1+('CurrentPor-Rat Factor Movements'!D239+'CurrentPor-Rat Factor Movements'!I239)/100,2))*100</f>
        <v>9472.9159311191543</v>
      </c>
      <c r="F239">
        <f>Portfolio!B$5*'CurrentPor-Rat Factor Movements'!E239</f>
        <v>52143.895533915893</v>
      </c>
      <c r="G239">
        <f>Portfolio!B$6*'CurrentPor-Rat Factor Movements'!F239</f>
        <v>3696.2945087936532</v>
      </c>
      <c r="H239">
        <f>Portfolio!B$7*'CurrentPor-Rat Factor Movements'!J239</f>
        <v>2148.0998964419859</v>
      </c>
      <c r="I239">
        <f t="shared" si="6"/>
        <v>96056.281404001391</v>
      </c>
      <c r="J239">
        <f t="shared" si="7"/>
        <v>-196.07667132170172</v>
      </c>
    </row>
    <row r="240" spans="1:10">
      <c r="A240" s="1">
        <v>45805</v>
      </c>
      <c r="B240">
        <f>(3/(1+('CurrentPor-Rat Factor Movements'!C240)/100)+103/POWER(1+('CurrentPor-Rat Factor Movements'!D240)/100,2))*100</f>
        <v>9705.6301728506151</v>
      </c>
      <c r="C240">
        <f>(3/(1+('CurrentPor-Rat Factor Movements'!C240+'CurrentPor-Rat Factor Movements'!G240)/100)+103/POWER(1+('CurrentPor-Rat Factor Movements'!D240+'CurrentPor-Rat Factor Movements'!G240)/100,2))*100</f>
        <v>9613.0470570829457</v>
      </c>
      <c r="D240">
        <f>(3/(1+('CurrentPor-Rat Factor Movements'!C240+'CurrentPor-Rat Factor Movements'!H240)/100)+103/POWER(1+('CurrentPor-Rat Factor Movements'!D240+'CurrentPor-Rat Factor Movements'!H240)/100,2))*100</f>
        <v>9599.3244666173596</v>
      </c>
      <c r="E240">
        <f>(3/(1+('CurrentPor-Rat Factor Movements'!C240+'CurrentPor-Rat Factor Movements'!I240)/100)+103/POWER(1+('CurrentPor-Rat Factor Movements'!D240+'CurrentPor-Rat Factor Movements'!I240)/100,2))*100</f>
        <v>9579.5471245836288</v>
      </c>
      <c r="F240">
        <f>Portfolio!B$5*'CurrentPor-Rat Factor Movements'!E240</f>
        <v>52143.895533915893</v>
      </c>
      <c r="G240">
        <f>Portfolio!B$6*'CurrentPor-Rat Factor Movements'!F240</f>
        <v>3696.2945087936532</v>
      </c>
      <c r="H240">
        <f>Portfolio!B$7*'CurrentPor-Rat Factor Movements'!J240</f>
        <v>2148.0998964419859</v>
      </c>
      <c r="I240">
        <f t="shared" si="6"/>
        <v>96485.838760286089</v>
      </c>
      <c r="J240">
        <f t="shared" si="7"/>
        <v>-451.71828318093321</v>
      </c>
    </row>
    <row r="241" spans="1:10">
      <c r="A241" s="1">
        <v>45806</v>
      </c>
      <c r="B241">
        <f>(3/(1+('CurrentPor-Rat Factor Movements'!C241)/100)+103/POWER(1+('CurrentPor-Rat Factor Movements'!D241)/100,2))*100</f>
        <v>9695.7335439165454</v>
      </c>
      <c r="C241">
        <f>(3/(1+('CurrentPor-Rat Factor Movements'!C241+'CurrentPor-Rat Factor Movements'!G241)/100)+103/POWER(1+('CurrentPor-Rat Factor Movements'!D241+'CurrentPor-Rat Factor Movements'!G241)/100,2))*100</f>
        <v>9603.2979993767094</v>
      </c>
      <c r="D241">
        <f>(3/(1+('CurrentPor-Rat Factor Movements'!C241+'CurrentPor-Rat Factor Movements'!H241)/100)+103/POWER(1+('CurrentPor-Rat Factor Movements'!D241+'CurrentPor-Rat Factor Movements'!H241)/100,2))*100</f>
        <v>9589.5972162620983</v>
      </c>
      <c r="E241">
        <f>(3/(1+('CurrentPor-Rat Factor Movements'!C241+'CurrentPor-Rat Factor Movements'!I241)/100)+103/POWER(1+('CurrentPor-Rat Factor Movements'!D241+'CurrentPor-Rat Factor Movements'!I241)/100,2))*100</f>
        <v>9569.8512737031997</v>
      </c>
      <c r="F241">
        <f>Portfolio!B$5*'CurrentPor-Rat Factor Movements'!E241</f>
        <v>52143.895533915893</v>
      </c>
      <c r="G241">
        <f>Portfolio!B$6*'CurrentPor-Rat Factor Movements'!F241</f>
        <v>3696.2945087936532</v>
      </c>
      <c r="H241">
        <f>Portfolio!B$7*'CurrentPor-Rat Factor Movements'!J241</f>
        <v>2148.0998964419859</v>
      </c>
      <c r="I241">
        <f t="shared" si="6"/>
        <v>96446.769972410082</v>
      </c>
      <c r="J241">
        <f t="shared" si="7"/>
        <v>274.27341391697701</v>
      </c>
    </row>
    <row r="242" spans="1:10">
      <c r="A242" s="1">
        <v>45807</v>
      </c>
      <c r="B242">
        <f>(3/(1+('CurrentPor-Rat Factor Movements'!C242)/100)+103/POWER(1+('CurrentPor-Rat Factor Movements'!D242)/100,2))*100</f>
        <v>9664.799228322132</v>
      </c>
      <c r="C242">
        <f>(3/(1+('CurrentPor-Rat Factor Movements'!C242+'CurrentPor-Rat Factor Movements'!G242)/100)+103/POWER(1+('CurrentPor-Rat Factor Movements'!D242+'CurrentPor-Rat Factor Movements'!G242)/100,2))*100</f>
        <v>9572.8022734678034</v>
      </c>
      <c r="D242">
        <f>(3/(1+('CurrentPor-Rat Factor Movements'!C242+'CurrentPor-Rat Factor Movements'!H242)/100)+103/POWER(1+('CurrentPor-Rat Factor Movements'!D242+'CurrentPor-Rat Factor Movements'!H242)/100,2))*100</f>
        <v>9559.1663217268142</v>
      </c>
      <c r="E242">
        <f>(3/(1+('CurrentPor-Rat Factor Movements'!C242+'CurrentPor-Rat Factor Movements'!I242)/100)+103/POWER(1+('CurrentPor-Rat Factor Movements'!D242+'CurrentPor-Rat Factor Movements'!I242)/100,2))*100</f>
        <v>9539.5137356540763</v>
      </c>
      <c r="F242">
        <f>Portfolio!B$5*'CurrentPor-Rat Factor Movements'!E242</f>
        <v>52143.895533915893</v>
      </c>
      <c r="G242">
        <f>Portfolio!B$6*'CurrentPor-Rat Factor Movements'!F242</f>
        <v>3696.2945087936532</v>
      </c>
      <c r="H242">
        <f>Portfolio!B$7*'CurrentPor-Rat Factor Movements'!J242</f>
        <v>2148.0998964419859</v>
      </c>
      <c r="I242">
        <f t="shared" si="6"/>
        <v>96324.571498322344</v>
      </c>
      <c r="J242">
        <f t="shared" si="7"/>
        <v>-616.57409953072784</v>
      </c>
    </row>
    <row r="243" spans="1:10">
      <c r="A243" s="1">
        <v>45810</v>
      </c>
      <c r="B243">
        <f>(3/(1+('CurrentPor-Rat Factor Movements'!C243)/100)+103/POWER(1+('CurrentPor-Rat Factor Movements'!D243)/100,2))*100</f>
        <v>9672.3650757404375</v>
      </c>
      <c r="C243">
        <f>(3/(1+('CurrentPor-Rat Factor Movements'!C243+'CurrentPor-Rat Factor Movements'!G243)/100)+103/POWER(1+('CurrentPor-Rat Factor Movements'!D243+'CurrentPor-Rat Factor Movements'!G243)/100,2))*100</f>
        <v>9580.2602728311504</v>
      </c>
      <c r="D243">
        <f>(3/(1+('CurrentPor-Rat Factor Movements'!C243+'CurrentPor-Rat Factor Movements'!H243)/100)+103/POWER(1+('CurrentPor-Rat Factor Movements'!D243+'CurrentPor-Rat Factor Movements'!H243)/100,2))*100</f>
        <v>9566.6083796672829</v>
      </c>
      <c r="E243">
        <f>(3/(1+('CurrentPor-Rat Factor Movements'!C243+'CurrentPor-Rat Factor Movements'!I243)/100)+103/POWER(1+('CurrentPor-Rat Factor Movements'!D243+'CurrentPor-Rat Factor Movements'!I243)/100,2))*100</f>
        <v>9546.9328383176835</v>
      </c>
      <c r="F243">
        <f>Portfolio!B$5*'CurrentPor-Rat Factor Movements'!E243</f>
        <v>52143.895533915893</v>
      </c>
      <c r="G243">
        <f>Portfolio!B$6*'CurrentPor-Rat Factor Movements'!F243</f>
        <v>3696.2945087936532</v>
      </c>
      <c r="H243">
        <f>Portfolio!B$7*'CurrentPor-Rat Factor Movements'!J243</f>
        <v>2148.0998964419859</v>
      </c>
      <c r="I243">
        <f t="shared" si="6"/>
        <v>96354.456505708091</v>
      </c>
      <c r="J243">
        <f t="shared" si="7"/>
        <v>-385.61669747432461</v>
      </c>
    </row>
    <row r="244" spans="1:10">
      <c r="A244" s="1">
        <v>45811</v>
      </c>
      <c r="B244">
        <f>(3/(1+('CurrentPor-Rat Factor Movements'!C244)/100)+103/POWER(1+('CurrentPor-Rat Factor Movements'!D244)/100,2))*100</f>
        <v>9698.6814783144873</v>
      </c>
      <c r="C244">
        <f>(3/(1+('CurrentPor-Rat Factor Movements'!C244+'CurrentPor-Rat Factor Movements'!G244)/100)+103/POWER(1+('CurrentPor-Rat Factor Movements'!D244+'CurrentPor-Rat Factor Movements'!G244)/100,2))*100</f>
        <v>9606.2019073018346</v>
      </c>
      <c r="D244">
        <f>(3/(1+('CurrentPor-Rat Factor Movements'!C244+'CurrentPor-Rat Factor Movements'!H244)/100)+103/POWER(1+('CurrentPor-Rat Factor Movements'!D244+'CurrentPor-Rat Factor Movements'!H244)/100,2))*100</f>
        <v>9592.4946182195235</v>
      </c>
      <c r="E244">
        <f>(3/(1+('CurrentPor-Rat Factor Movements'!C244+'CurrentPor-Rat Factor Movements'!I244)/100)+103/POWER(1+('CurrentPor-Rat Factor Movements'!D244+'CurrentPor-Rat Factor Movements'!I244)/100,2))*100</f>
        <v>9572.739308017146</v>
      </c>
      <c r="F244">
        <f>Portfolio!B$5*'CurrentPor-Rat Factor Movements'!E244</f>
        <v>52143.895533915893</v>
      </c>
      <c r="G244">
        <f>Portfolio!B$6*'CurrentPor-Rat Factor Movements'!F244</f>
        <v>3696.2945087936532</v>
      </c>
      <c r="H244">
        <f>Portfolio!B$7*'CurrentPor-Rat Factor Movements'!J244</f>
        <v>2148.0998964419859</v>
      </c>
      <c r="I244">
        <f t="shared" si="6"/>
        <v>96458.407251004523</v>
      </c>
      <c r="J244">
        <f t="shared" si="7"/>
        <v>-288.39171295700362</v>
      </c>
    </row>
    <row r="245" spans="1:10">
      <c r="A245" s="1">
        <v>45812</v>
      </c>
      <c r="B245">
        <f>(3/(1+('CurrentPor-Rat Factor Movements'!C245)/100)+103/POWER(1+('CurrentPor-Rat Factor Movements'!D245)/100,2))*100</f>
        <v>9658.3051629786842</v>
      </c>
      <c r="C245">
        <f>(3/(1+('CurrentPor-Rat Factor Movements'!C245+'CurrentPor-Rat Factor Movements'!G245)/100)+103/POWER(1+('CurrentPor-Rat Factor Movements'!D245+'CurrentPor-Rat Factor Movements'!G245)/100,2))*100</f>
        <v>9566.4028079428917</v>
      </c>
      <c r="D245">
        <f>(3/(1+('CurrentPor-Rat Factor Movements'!C245+'CurrentPor-Rat Factor Movements'!H245)/100)+103/POWER(1+('CurrentPor-Rat Factor Movements'!D245+'CurrentPor-Rat Factor Movements'!H245)/100,2))*100</f>
        <v>9552.7808376677021</v>
      </c>
      <c r="E245">
        <f>(3/(1+('CurrentPor-Rat Factor Movements'!C245+'CurrentPor-Rat Factor Movements'!I245)/100)+103/POWER(1+('CurrentPor-Rat Factor Movements'!D245+'CurrentPor-Rat Factor Movements'!I245)/100,2))*100</f>
        <v>9533.1483838098393</v>
      </c>
      <c r="F245">
        <f>Portfolio!B$5*'CurrentPor-Rat Factor Movements'!E245</f>
        <v>52143.895533915893</v>
      </c>
      <c r="G245">
        <f>Portfolio!B$6*'CurrentPor-Rat Factor Movements'!F245</f>
        <v>3696.2945087936532</v>
      </c>
      <c r="H245">
        <f>Portfolio!B$7*'CurrentPor-Rat Factor Movements'!J245</f>
        <v>2148.0998964419859</v>
      </c>
      <c r="I245">
        <f t="shared" si="6"/>
        <v>96298.927131550648</v>
      </c>
      <c r="J245">
        <f t="shared" si="7"/>
        <v>-203.31127427394676</v>
      </c>
    </row>
    <row r="246" spans="1:10">
      <c r="A246" s="1">
        <v>45813</v>
      </c>
      <c r="B246">
        <f>(3/(1+('CurrentPor-Rat Factor Movements'!C246)/100)+103/POWER(1+('CurrentPor-Rat Factor Movements'!D246)/100,2))*100</f>
        <v>9634.6676883047403</v>
      </c>
      <c r="C246">
        <f>(3/(1+('CurrentPor-Rat Factor Movements'!C246+'CurrentPor-Rat Factor Movements'!G246)/100)+103/POWER(1+('CurrentPor-Rat Factor Movements'!D246+'CurrentPor-Rat Factor Movements'!G246)/100,2))*100</f>
        <v>9543.1030278380076</v>
      </c>
      <c r="D246">
        <f>(3/(1+('CurrentPor-Rat Factor Movements'!C246+'CurrentPor-Rat Factor Movements'!H246)/100)+103/POWER(1+('CurrentPor-Rat Factor Movements'!D246+'CurrentPor-Rat Factor Movements'!H246)/100,2))*100</f>
        <v>9529.5309731335019</v>
      </c>
      <c r="E246">
        <f>(3/(1+('CurrentPor-Rat Factor Movements'!C246+'CurrentPor-Rat Factor Movements'!I246)/100)+103/POWER(1+('CurrentPor-Rat Factor Movements'!D246+'CurrentPor-Rat Factor Movements'!I246)/100,2))*100</f>
        <v>9509.9703963841494</v>
      </c>
      <c r="F246">
        <f>Portfolio!B$5*'CurrentPor-Rat Factor Movements'!E246</f>
        <v>52143.895533915893</v>
      </c>
      <c r="G246">
        <f>Portfolio!B$6*'CurrentPor-Rat Factor Movements'!F246</f>
        <v>3696.2945087936532</v>
      </c>
      <c r="H246">
        <f>Portfolio!B$7*'CurrentPor-Rat Factor Movements'!J246</f>
        <v>2148.0998964419859</v>
      </c>
      <c r="I246">
        <f t="shared" si="6"/>
        <v>96205.562024811938</v>
      </c>
      <c r="J246">
        <f t="shared" si="7"/>
        <v>242.34645259135868</v>
      </c>
    </row>
    <row r="247" spans="1:10">
      <c r="A247" s="1">
        <v>45814</v>
      </c>
      <c r="B247">
        <f>(3/(1+('CurrentPor-Rat Factor Movements'!C247)/100)+103/POWER(1+('CurrentPor-Rat Factor Movements'!D247)/100,2))*100</f>
        <v>9979.1416348545918</v>
      </c>
      <c r="C247">
        <f>(3/(1+('CurrentPor-Rat Factor Movements'!C247+'CurrentPor-Rat Factor Movements'!G247)/100)+103/POWER(1+('CurrentPor-Rat Factor Movements'!D247+'CurrentPor-Rat Factor Movements'!G247)/100,2))*100</f>
        <v>9882.5584464369167</v>
      </c>
      <c r="D247">
        <f>(3/(1+('CurrentPor-Rat Factor Movements'!C247+'CurrentPor-Rat Factor Movements'!H247)/100)+103/POWER(1+('CurrentPor-Rat Factor Movements'!D247+'CurrentPor-Rat Factor Movements'!H247)/100,2))*100</f>
        <v>9868.2447067390403</v>
      </c>
      <c r="E247">
        <f>(3/(1+('CurrentPor-Rat Factor Movements'!C247+'CurrentPor-Rat Factor Movements'!I247)/100)+103/POWER(1+('CurrentPor-Rat Factor Movements'!D247+'CurrentPor-Rat Factor Movements'!I247)/100,2))*100</f>
        <v>9847.6161766121841</v>
      </c>
      <c r="F247">
        <f>Portfolio!B$5*'CurrentPor-Rat Factor Movements'!E247</f>
        <v>52143.895533915893</v>
      </c>
      <c r="G247">
        <f>Portfolio!B$6*'CurrentPor-Rat Factor Movements'!F247</f>
        <v>3696.2945087936532</v>
      </c>
      <c r="H247">
        <f>Portfolio!B$7*'CurrentPor-Rat Factor Movements'!J247</f>
        <v>2148.0998964419859</v>
      </c>
      <c r="I247">
        <f t="shared" si="6"/>
        <v>97565.850903794271</v>
      </c>
      <c r="J247">
        <f t="shared" si="7"/>
        <v>1170.5002381279774</v>
      </c>
    </row>
    <row r="248" spans="1:10">
      <c r="A248" s="1">
        <v>45817</v>
      </c>
      <c r="B248">
        <f>(3/(1+('CurrentPor-Rat Factor Movements'!C248)/100)+103/POWER(1+('CurrentPor-Rat Factor Movements'!D248)/100,2))*100</f>
        <v>9551.2784076649259</v>
      </c>
      <c r="C248">
        <f>(3/(1+('CurrentPor-Rat Factor Movements'!C248+'CurrentPor-Rat Factor Movements'!G248)/100)+103/POWER(1+('CurrentPor-Rat Factor Movements'!D248+'CurrentPor-Rat Factor Movements'!G248)/100,2))*100</f>
        <v>9460.9161428665466</v>
      </c>
      <c r="D248">
        <f>(3/(1+('CurrentPor-Rat Factor Movements'!C248+'CurrentPor-Rat Factor Movements'!H248)/100)+103/POWER(1+('CurrentPor-Rat Factor Movements'!D248+'CurrentPor-Rat Factor Movements'!H248)/100,2))*100</f>
        <v>9447.5218111030663</v>
      </c>
      <c r="E248">
        <f>(3/(1+('CurrentPor-Rat Factor Movements'!C248+'CurrentPor-Rat Factor Movements'!I248)/100)+103/POWER(1+('CurrentPor-Rat Factor Movements'!D248+'CurrentPor-Rat Factor Movements'!I248)/100,2))*100</f>
        <v>9428.2171477364409</v>
      </c>
      <c r="F248">
        <f>Portfolio!B$5*'CurrentPor-Rat Factor Movements'!E248</f>
        <v>52143.895533915893</v>
      </c>
      <c r="G248">
        <f>Portfolio!B$6*'CurrentPor-Rat Factor Movements'!F248</f>
        <v>3696.2945087936532</v>
      </c>
      <c r="H248">
        <f>Portfolio!B$7*'CurrentPor-Rat Factor Movements'!J248</f>
        <v>2148.0998964419859</v>
      </c>
      <c r="I248">
        <f t="shared" si="6"/>
        <v>95876.22344852252</v>
      </c>
      <c r="J248">
        <f t="shared" si="7"/>
        <v>-533.62399643656681</v>
      </c>
    </row>
    <row r="249" spans="1:10">
      <c r="A249" s="1">
        <v>45818</v>
      </c>
      <c r="B249">
        <f>(3/(1+('CurrentPor-Rat Factor Movements'!C249)/100)+103/POWER(1+('CurrentPor-Rat Factor Movements'!D249)/100,2))*100</f>
        <v>9751.6575554605588</v>
      </c>
      <c r="C249">
        <f>(3/(1+('CurrentPor-Rat Factor Movements'!C249+'CurrentPor-Rat Factor Movements'!G249)/100)+103/POWER(1+('CurrentPor-Rat Factor Movements'!D249+'CurrentPor-Rat Factor Movements'!G249)/100,2))*100</f>
        <v>9658.4042020558918</v>
      </c>
      <c r="D249">
        <f>(3/(1+('CurrentPor-Rat Factor Movements'!C249+'CurrentPor-Rat Factor Movements'!H249)/100)+103/POWER(1+('CurrentPor-Rat Factor Movements'!D249+'CurrentPor-Rat Factor Movements'!H249)/100,2))*100</f>
        <v>9644.5825549768851</v>
      </c>
      <c r="E249">
        <f>(3/(1+('CurrentPor-Rat Factor Movements'!C249+'CurrentPor-Rat Factor Movements'!I249)/100)+103/POWER(1+('CurrentPor-Rat Factor Movements'!D249+'CurrentPor-Rat Factor Movements'!I249)/100,2))*100</f>
        <v>9624.6625799815938</v>
      </c>
      <c r="F249">
        <f>Portfolio!B$5*'CurrentPor-Rat Factor Movements'!E249</f>
        <v>52143.895533915893</v>
      </c>
      <c r="G249">
        <f>Portfolio!B$6*'CurrentPor-Rat Factor Movements'!F249</f>
        <v>3696.2945087936532</v>
      </c>
      <c r="H249">
        <f>Portfolio!B$7*'CurrentPor-Rat Factor Movements'!J249</f>
        <v>2148.0998964419859</v>
      </c>
      <c r="I249">
        <f t="shared" si="6"/>
        <v>96667.596831626463</v>
      </c>
      <c r="J249">
        <f t="shared" si="7"/>
        <v>611.31542762507161</v>
      </c>
    </row>
    <row r="250" spans="1:10">
      <c r="A250" s="1">
        <v>45819</v>
      </c>
      <c r="B250">
        <f>(3/(1+('CurrentPor-Rat Factor Movements'!C250)/100)+103/POWER(1+('CurrentPor-Rat Factor Movements'!D250)/100,2))*100</f>
        <v>9923.5976805965965</v>
      </c>
      <c r="C250">
        <f>(3/(1+('CurrentPor-Rat Factor Movements'!C250+'CurrentPor-Rat Factor Movements'!G250)/100)+103/POWER(1+('CurrentPor-Rat Factor Movements'!D250+'CurrentPor-Rat Factor Movements'!G250)/100,2))*100</f>
        <v>9827.8207624471033</v>
      </c>
      <c r="D250">
        <f>(3/(1+('CurrentPor-Rat Factor Movements'!C250+'CurrentPor-Rat Factor Movements'!H250)/100)+103/POWER(1+('CurrentPor-Rat Factor Movements'!D250+'CurrentPor-Rat Factor Movements'!H250)/100,2))*100</f>
        <v>9813.6261783866357</v>
      </c>
      <c r="E250">
        <f>(3/(1+('CurrentPor-Rat Factor Movements'!C250+'CurrentPor-Rat Factor Movements'!I250)/100)+103/POWER(1+('CurrentPor-Rat Factor Movements'!D250+'CurrentPor-Rat Factor Movements'!I250)/100,2))*100</f>
        <v>9793.1692195165961</v>
      </c>
      <c r="F250">
        <f>Portfolio!B$5*'CurrentPor-Rat Factor Movements'!E250</f>
        <v>52143.895533915893</v>
      </c>
      <c r="G250">
        <f>Portfolio!B$6*'CurrentPor-Rat Factor Movements'!F250</f>
        <v>3696.2945087936532</v>
      </c>
      <c r="H250">
        <f>Portfolio!B$7*'CurrentPor-Rat Factor Movements'!J250</f>
        <v>2148.0998964419859</v>
      </c>
      <c r="I250">
        <f t="shared" si="6"/>
        <v>97346.503780098472</v>
      </c>
      <c r="J250">
        <f t="shared" si="7"/>
        <v>860.66501981238252</v>
      </c>
    </row>
    <row r="251" spans="1:10">
      <c r="A251" s="1">
        <v>45820</v>
      </c>
      <c r="B251">
        <f>(3/(1+('CurrentPor-Rat Factor Movements'!C251)/100)+103/POWER(1+('CurrentPor-Rat Factor Movements'!D251)/100,2))*100</f>
        <v>9539.527918233287</v>
      </c>
      <c r="C251">
        <f>(3/(1+('CurrentPor-Rat Factor Movements'!C251+'CurrentPor-Rat Factor Movements'!G251)/100)+103/POWER(1+('CurrentPor-Rat Factor Movements'!D251+'CurrentPor-Rat Factor Movements'!G251)/100,2))*100</f>
        <v>9449.328122079105</v>
      </c>
      <c r="D251">
        <f>(3/(1+('CurrentPor-Rat Factor Movements'!C251+'CurrentPor-Rat Factor Movements'!H251)/100)+103/POWER(1+('CurrentPor-Rat Factor Movements'!D251+'CurrentPor-Rat Factor Movements'!H251)/100,2))*100</f>
        <v>9435.9578104577304</v>
      </c>
      <c r="E251">
        <f>(3/(1+('CurrentPor-Rat Factor Movements'!C251+'CurrentPor-Rat Factor Movements'!I251)/100)+103/POWER(1+('CurrentPor-Rat Factor Movements'!D251+'CurrentPor-Rat Factor Movements'!I251)/100,2))*100</f>
        <v>9416.6877378350764</v>
      </c>
      <c r="F251">
        <f>Portfolio!B$5*'CurrentPor-Rat Factor Movements'!E251</f>
        <v>52143.895533915893</v>
      </c>
      <c r="G251">
        <f>Portfolio!B$6*'CurrentPor-Rat Factor Movements'!F251</f>
        <v>3696.2945087936532</v>
      </c>
      <c r="H251">
        <f>Portfolio!B$7*'CurrentPor-Rat Factor Movements'!J251</f>
        <v>2148.0998964419859</v>
      </c>
      <c r="I251">
        <f t="shared" si="6"/>
        <v>95829.791527756737</v>
      </c>
      <c r="J251">
        <f t="shared" si="7"/>
        <v>-616.97844465334492</v>
      </c>
    </row>
    <row r="252" spans="1:10">
      <c r="A252" s="1">
        <v>45821</v>
      </c>
      <c r="B252">
        <f>(3/(1+('CurrentPor-Rat Factor Movements'!C252)/100)+103/POWER(1+('CurrentPor-Rat Factor Movements'!D252)/100,2))*100</f>
        <v>9670.2777652893528</v>
      </c>
      <c r="C252">
        <f>(3/(1+('CurrentPor-Rat Factor Movements'!C252+'CurrentPor-Rat Factor Movements'!G252)/100)+103/POWER(1+('CurrentPor-Rat Factor Movements'!D252+'CurrentPor-Rat Factor Movements'!G252)/100,2))*100</f>
        <v>9578.1910535684474</v>
      </c>
      <c r="D252">
        <f>(3/(1+('CurrentPor-Rat Factor Movements'!C252+'CurrentPor-Rat Factor Movements'!H252)/100)+103/POWER(1+('CurrentPor-Rat Factor Movements'!D252+'CurrentPor-Rat Factor Movements'!H252)/100,2))*100</f>
        <v>9564.541844388119</v>
      </c>
      <c r="E252">
        <f>(3/(1+('CurrentPor-Rat Factor Movements'!C252+'CurrentPor-Rat Factor Movements'!I252)/100)+103/POWER(1+('CurrentPor-Rat Factor Movements'!D252+'CurrentPor-Rat Factor Movements'!I252)/100,2))*100</f>
        <v>9544.8701724111415</v>
      </c>
      <c r="F252">
        <f>Portfolio!B$5*'CurrentPor-Rat Factor Movements'!E252</f>
        <v>52143.895533915893</v>
      </c>
      <c r="G252">
        <f>Portfolio!B$6*'CurrentPor-Rat Factor Movements'!F252</f>
        <v>3696.2945087936532</v>
      </c>
      <c r="H252">
        <f>Portfolio!B$7*'CurrentPor-Rat Factor Movements'!J252</f>
        <v>2148.0998964419859</v>
      </c>
      <c r="I252">
        <f t="shared" ref="I252:I263" si="8">SUM(B252:H252)</f>
        <v>96346.170774808605</v>
      </c>
      <c r="J252">
        <f t="shared" ref="J252:J263" si="9">I252-I242</f>
        <v>21.599276486260351</v>
      </c>
    </row>
    <row r="253" spans="1:10">
      <c r="A253" s="1">
        <v>45824</v>
      </c>
      <c r="B253">
        <f>(3/(1+('CurrentPor-Rat Factor Movements'!C253)/100)+103/POWER(1+('CurrentPor-Rat Factor Movements'!D253)/100,2))*100</f>
        <v>9765.0759297995246</v>
      </c>
      <c r="C253">
        <f>(3/(1+('CurrentPor-Rat Factor Movements'!C253+'CurrentPor-Rat Factor Movements'!G253)/100)+103/POWER(1+('CurrentPor-Rat Factor Movements'!D253+'CurrentPor-Rat Factor Movements'!G253)/100,2))*100</f>
        <v>9671.6201807237576</v>
      </c>
      <c r="D253">
        <f>(3/(1+('CurrentPor-Rat Factor Movements'!C253+'CurrentPor-Rat Factor Movements'!H253)/100)+103/POWER(1+('CurrentPor-Rat Factor Movements'!D253+'CurrentPor-Rat Factor Movements'!H253)/100,2))*100</f>
        <v>9657.7686270473005</v>
      </c>
      <c r="E253">
        <f>(3/(1+('CurrentPor-Rat Factor Movements'!C253+'CurrentPor-Rat Factor Movements'!I253)/100)+103/POWER(1+('CurrentPor-Rat Factor Movements'!D253+'CurrentPor-Rat Factor Movements'!I253)/100,2))*100</f>
        <v>9637.805591929251</v>
      </c>
      <c r="F253">
        <f>Portfolio!B$5*'CurrentPor-Rat Factor Movements'!E253</f>
        <v>52143.895533915893</v>
      </c>
      <c r="G253">
        <f>Portfolio!B$6*'CurrentPor-Rat Factor Movements'!F253</f>
        <v>3696.2945087936532</v>
      </c>
      <c r="H253">
        <f>Portfolio!B$7*'CurrentPor-Rat Factor Movements'!J253</f>
        <v>2148.0998964419859</v>
      </c>
      <c r="I253">
        <f t="shared" si="8"/>
        <v>96720.560268651359</v>
      </c>
      <c r="J253">
        <f t="shared" si="9"/>
        <v>366.10376294326852</v>
      </c>
    </row>
    <row r="254" spans="1:10">
      <c r="A254" s="1">
        <v>45825</v>
      </c>
      <c r="B254">
        <f>(3/(1+('CurrentPor-Rat Factor Movements'!C254)/100)+103/POWER(1+('CurrentPor-Rat Factor Movements'!D254)/100,2))*100</f>
        <v>9961.501702875441</v>
      </c>
      <c r="C254">
        <f>(3/(1+('CurrentPor-Rat Factor Movements'!C254+'CurrentPor-Rat Factor Movements'!G254)/100)+103/POWER(1+('CurrentPor-Rat Factor Movements'!D254+'CurrentPor-Rat Factor Movements'!G254)/100,2))*100</f>
        <v>9865.1873196922534</v>
      </c>
      <c r="D254">
        <f>(3/(1+('CurrentPor-Rat Factor Movements'!C254+'CurrentPor-Rat Factor Movements'!H254)/100)+103/POWER(1+('CurrentPor-Rat Factor Movements'!D254+'CurrentPor-Rat Factor Movements'!H254)/100,2))*100</f>
        <v>9850.9132945981328</v>
      </c>
      <c r="E254">
        <f>(3/(1+('CurrentPor-Rat Factor Movements'!C254+'CurrentPor-Rat Factor Movements'!I254)/100)+103/POWER(1+('CurrentPor-Rat Factor Movements'!D254+'CurrentPor-Rat Factor Movements'!I254)/100,2))*100</f>
        <v>9830.3419441463884</v>
      </c>
      <c r="F254">
        <f>Portfolio!B$5*'CurrentPor-Rat Factor Movements'!E254</f>
        <v>52143.895533915893</v>
      </c>
      <c r="G254">
        <f>Portfolio!B$6*'CurrentPor-Rat Factor Movements'!F254</f>
        <v>3696.2945087936532</v>
      </c>
      <c r="H254">
        <f>Portfolio!B$7*'CurrentPor-Rat Factor Movements'!J254</f>
        <v>2148.0998964419859</v>
      </c>
      <c r="I254">
        <f t="shared" si="8"/>
        <v>97496.234200463747</v>
      </c>
      <c r="J254">
        <f t="shared" si="9"/>
        <v>1037.8269494592241</v>
      </c>
    </row>
    <row r="255" spans="1:10">
      <c r="A255" s="1">
        <v>45826</v>
      </c>
      <c r="B255">
        <f>(3/(1+('CurrentPor-Rat Factor Movements'!C255)/100)+103/POWER(1+('CurrentPor-Rat Factor Movements'!D255)/100,2))*100</f>
        <v>9698.7441391900065</v>
      </c>
      <c r="C255">
        <f>(3/(1+('CurrentPor-Rat Factor Movements'!C255+'CurrentPor-Rat Factor Movements'!G255)/100)+103/POWER(1+('CurrentPor-Rat Factor Movements'!D255+'CurrentPor-Rat Factor Movements'!G255)/100,2))*100</f>
        <v>9606.257901820396</v>
      </c>
      <c r="D255">
        <f>(3/(1+('CurrentPor-Rat Factor Movements'!C255+'CurrentPor-Rat Factor Movements'!H255)/100)+103/POWER(1+('CurrentPor-Rat Factor Movements'!D255+'CurrentPor-Rat Factor Movements'!H255)/100,2))*100</f>
        <v>9592.5496322606996</v>
      </c>
      <c r="E255">
        <f>(3/(1+('CurrentPor-Rat Factor Movements'!C255+'CurrentPor-Rat Factor Movements'!I255)/100)+103/POWER(1+('CurrentPor-Rat Factor Movements'!D255+'CurrentPor-Rat Factor Movements'!I255)/100,2))*100</f>
        <v>9572.7929124307811</v>
      </c>
      <c r="F255">
        <f>Portfolio!B$5*'CurrentPor-Rat Factor Movements'!E255</f>
        <v>52143.895533915893</v>
      </c>
      <c r="G255">
        <f>Portfolio!B$6*'CurrentPor-Rat Factor Movements'!F255</f>
        <v>3696.2945087936532</v>
      </c>
      <c r="H255">
        <f>Portfolio!B$7*'CurrentPor-Rat Factor Movements'!J255</f>
        <v>2148.0998964419859</v>
      </c>
      <c r="I255">
        <f t="shared" si="8"/>
        <v>96458.63452485342</v>
      </c>
      <c r="J255">
        <f t="shared" si="9"/>
        <v>159.70739330277138</v>
      </c>
    </row>
    <row r="256" spans="1:10">
      <c r="A256" s="1">
        <v>45827</v>
      </c>
      <c r="B256">
        <f>(3/(1+('CurrentPor-Rat Factor Movements'!C256)/100)+103/POWER(1+('CurrentPor-Rat Factor Movements'!D256)/100,2))*100</f>
        <v>9862.5934557188102</v>
      </c>
      <c r="C256">
        <f>(3/(1+('CurrentPor-Rat Factor Movements'!C256+'CurrentPor-Rat Factor Movements'!G256)/100)+103/POWER(1+('CurrentPor-Rat Factor Movements'!D256+'CurrentPor-Rat Factor Movements'!G256)/100,2))*100</f>
        <v>9767.729630944048</v>
      </c>
      <c r="D256">
        <f>(3/(1+('CurrentPor-Rat Factor Movements'!C256+'CurrentPor-Rat Factor Movements'!H256)/100)+103/POWER(1+('CurrentPor-Rat Factor Movements'!D256+'CurrentPor-Rat Factor Movements'!H256)/100,2))*100</f>
        <v>9753.6699683927654</v>
      </c>
      <c r="E256">
        <f>(3/(1+('CurrentPor-Rat Factor Movements'!C256+'CurrentPor-Rat Factor Movements'!I256)/100)+103/POWER(1+('CurrentPor-Rat Factor Movements'!D256+'CurrentPor-Rat Factor Movements'!I256)/100,2))*100</f>
        <v>9733.4072722886849</v>
      </c>
      <c r="F256">
        <f>Portfolio!B$5*'CurrentPor-Rat Factor Movements'!E256</f>
        <v>52143.895533915893</v>
      </c>
      <c r="G256">
        <f>Portfolio!B$6*'CurrentPor-Rat Factor Movements'!F256</f>
        <v>3696.2945087936532</v>
      </c>
      <c r="H256">
        <f>Portfolio!B$7*'CurrentPor-Rat Factor Movements'!J256</f>
        <v>2148.0998964419859</v>
      </c>
      <c r="I256">
        <f t="shared" si="8"/>
        <v>97105.690266495847</v>
      </c>
      <c r="J256">
        <f t="shared" si="9"/>
        <v>900.12824168390944</v>
      </c>
    </row>
    <row r="257" spans="1:10">
      <c r="A257" s="1">
        <v>45828</v>
      </c>
      <c r="B257">
        <f>(3/(1+('CurrentPor-Rat Factor Movements'!C257)/100)+103/POWER(1+('CurrentPor-Rat Factor Movements'!D257)/100,2))*100</f>
        <v>9780.1299679056629</v>
      </c>
      <c r="C257">
        <f>(3/(1+('CurrentPor-Rat Factor Movements'!C257+'CurrentPor-Rat Factor Movements'!G257)/100)+103/POWER(1+('CurrentPor-Rat Factor Movements'!D257+'CurrentPor-Rat Factor Movements'!G257)/100,2))*100</f>
        <v>9686.4589677724871</v>
      </c>
      <c r="D257">
        <f>(3/(1+('CurrentPor-Rat Factor Movements'!C257+'CurrentPor-Rat Factor Movements'!H257)/100)+103/POWER(1+('CurrentPor-Rat Factor Movements'!D257+'CurrentPor-Rat Factor Movements'!H257)/100,2))*100</f>
        <v>9672.5755985523556</v>
      </c>
      <c r="E257">
        <f>(3/(1+('CurrentPor-Rat Factor Movements'!C257+'CurrentPor-Rat Factor Movements'!I257)/100)+103/POWER(1+('CurrentPor-Rat Factor Movements'!D257+'CurrentPor-Rat Factor Movements'!I257)/100,2))*100</f>
        <v>9652.5667504825797</v>
      </c>
      <c r="F257">
        <f>Portfolio!B$5*'CurrentPor-Rat Factor Movements'!E257</f>
        <v>52143.895533915893</v>
      </c>
      <c r="G257">
        <f>Portfolio!B$6*'CurrentPor-Rat Factor Movements'!F257</f>
        <v>3696.2945087936532</v>
      </c>
      <c r="H257">
        <f>Portfolio!B$7*'CurrentPor-Rat Factor Movements'!J257</f>
        <v>2148.0998964419859</v>
      </c>
      <c r="I257">
        <f t="shared" si="8"/>
        <v>96780.02122386462</v>
      </c>
      <c r="J257">
        <f t="shared" si="9"/>
        <v>-785.82967992965132</v>
      </c>
    </row>
    <row r="258" spans="1:10">
      <c r="A258" s="1">
        <v>45831</v>
      </c>
      <c r="B258">
        <f>(3/(1+('CurrentPor-Rat Factor Movements'!C258)/100)+103/POWER(1+('CurrentPor-Rat Factor Movements'!D258)/100,2))*100</f>
        <v>9707.0035443986362</v>
      </c>
      <c r="C258">
        <f>(3/(1+('CurrentPor-Rat Factor Movements'!C258+'CurrentPor-Rat Factor Movements'!G258)/100)+103/POWER(1+('CurrentPor-Rat Factor Movements'!D258+'CurrentPor-Rat Factor Movements'!G258)/100,2))*100</f>
        <v>9614.4001725620601</v>
      </c>
      <c r="D258">
        <f>(3/(1+('CurrentPor-Rat Factor Movements'!C258+'CurrentPor-Rat Factor Movements'!H258)/100)+103/POWER(1+('CurrentPor-Rat Factor Movements'!D258+'CurrentPor-Rat Factor Movements'!H258)/100,2))*100</f>
        <v>9600.6745885793753</v>
      </c>
      <c r="E258">
        <f>(3/(1+('CurrentPor-Rat Factor Movements'!C258+'CurrentPor-Rat Factor Movements'!I258)/100)+103/POWER(1+('CurrentPor-Rat Factor Movements'!D258+'CurrentPor-Rat Factor Movements'!I258)/100,2))*100</f>
        <v>9580.8929362282124</v>
      </c>
      <c r="F258">
        <f>Portfolio!B$5*'CurrentPor-Rat Factor Movements'!E258</f>
        <v>52143.895533915893</v>
      </c>
      <c r="G258">
        <f>Portfolio!B$6*'CurrentPor-Rat Factor Movements'!F258</f>
        <v>3696.2945087936532</v>
      </c>
      <c r="H258">
        <f>Portfolio!B$7*'CurrentPor-Rat Factor Movements'!J258</f>
        <v>2148.0998964419859</v>
      </c>
      <c r="I258">
        <f t="shared" si="8"/>
        <v>96491.261180919813</v>
      </c>
      <c r="J258">
        <f t="shared" si="9"/>
        <v>615.03773239729344</v>
      </c>
    </row>
    <row r="259" spans="1:10">
      <c r="A259" s="1">
        <v>45832</v>
      </c>
      <c r="B259">
        <f>(3/(1+('CurrentPor-Rat Factor Movements'!C259)/100)+103/POWER(1+('CurrentPor-Rat Factor Movements'!D259)/100,2))*100</f>
        <v>9602.3628445888462</v>
      </c>
      <c r="C259">
        <f>(3/(1+('CurrentPor-Rat Factor Movements'!C259+'CurrentPor-Rat Factor Movements'!G259)/100)+103/POWER(1+('CurrentPor-Rat Factor Movements'!D259+'CurrentPor-Rat Factor Movements'!G259)/100,2))*100</f>
        <v>9511.2794330461929</v>
      </c>
      <c r="D259">
        <f>(3/(1+('CurrentPor-Rat Factor Movements'!C259+'CurrentPor-Rat Factor Movements'!H259)/100)+103/POWER(1+('CurrentPor-Rat Factor Movements'!D259+'CurrentPor-Rat Factor Movements'!H259)/100,2))*100</f>
        <v>9497.7784971441743</v>
      </c>
      <c r="E259">
        <f>(3/(1+('CurrentPor-Rat Factor Movements'!C259+'CurrentPor-Rat Factor Movements'!I259)/100)+103/POWER(1+('CurrentPor-Rat Factor Movements'!D259+'CurrentPor-Rat Factor Movements'!I259)/100,2))*100</f>
        <v>9478.320322323545</v>
      </c>
      <c r="F259">
        <f>Portfolio!B$5*'CurrentPor-Rat Factor Movements'!E259</f>
        <v>52143.895533915893</v>
      </c>
      <c r="G259">
        <f>Portfolio!B$6*'CurrentPor-Rat Factor Movements'!F259</f>
        <v>3696.2945087936532</v>
      </c>
      <c r="H259">
        <f>Portfolio!B$7*'CurrentPor-Rat Factor Movements'!J259</f>
        <v>2148.0998964419859</v>
      </c>
      <c r="I259">
        <f t="shared" si="8"/>
        <v>96078.031036254295</v>
      </c>
      <c r="J259">
        <f t="shared" si="9"/>
        <v>-589.56579537216749</v>
      </c>
    </row>
    <row r="260" spans="1:10">
      <c r="A260" s="1">
        <v>45833</v>
      </c>
      <c r="B260">
        <f>(3/(1+('CurrentPor-Rat Factor Movements'!C260)/100)+103/POWER(1+('CurrentPor-Rat Factor Movements'!D260)/100,2))*100</f>
        <v>9675.1531731647046</v>
      </c>
      <c r="C260">
        <f>(3/(1+('CurrentPor-Rat Factor Movements'!C260+'CurrentPor-Rat Factor Movements'!G260)/100)+103/POWER(1+('CurrentPor-Rat Factor Movements'!D260+'CurrentPor-Rat Factor Movements'!G260)/100,2))*100</f>
        <v>9582.9988499510109</v>
      </c>
      <c r="D260">
        <f>(3/(1+('CurrentPor-Rat Factor Movements'!C260+'CurrentPor-Rat Factor Movements'!H260)/100)+103/POWER(1+('CurrentPor-Rat Factor Movements'!D260+'CurrentPor-Rat Factor Movements'!H260)/100,2))*100</f>
        <v>9569.3396452871057</v>
      </c>
      <c r="E260">
        <f>(3/(1+('CurrentPor-Rat Factor Movements'!C260+'CurrentPor-Rat Factor Movements'!I260)/100)+103/POWER(1+('CurrentPor-Rat Factor Movements'!D260+'CurrentPor-Rat Factor Movements'!I260)/100,2))*100</f>
        <v>9549.6535793273251</v>
      </c>
      <c r="F260">
        <f>Portfolio!B$5*'CurrentPor-Rat Factor Movements'!E260</f>
        <v>52143.895533915893</v>
      </c>
      <c r="G260">
        <f>Portfolio!B$6*'CurrentPor-Rat Factor Movements'!F260</f>
        <v>3696.2945087936532</v>
      </c>
      <c r="H260">
        <f>Portfolio!B$7*'CurrentPor-Rat Factor Movements'!J260</f>
        <v>2148.0998964419859</v>
      </c>
      <c r="I260">
        <f t="shared" si="8"/>
        <v>96365.435186881674</v>
      </c>
      <c r="J260">
        <f t="shared" si="9"/>
        <v>-981.06859321679804</v>
      </c>
    </row>
    <row r="261" spans="1:10">
      <c r="A261" s="1">
        <v>45834</v>
      </c>
      <c r="B261">
        <f>(3/(1+('CurrentPor-Rat Factor Movements'!C261)/100)+103/POWER(1+('CurrentPor-Rat Factor Movements'!D261)/100,2))*100</f>
        <v>9608.2192961272867</v>
      </c>
      <c r="C261">
        <f>(3/(1+('CurrentPor-Rat Factor Movements'!C261+'CurrentPor-Rat Factor Movements'!G261)/100)+103/POWER(1+('CurrentPor-Rat Factor Movements'!D261+'CurrentPor-Rat Factor Movements'!G261)/100,2))*100</f>
        <v>9517.0161203021707</v>
      </c>
      <c r="D261">
        <f>(3/(1+('CurrentPor-Rat Factor Movements'!C261+'CurrentPor-Rat Factor Movements'!H261)/100)+103/POWER(1+('CurrentPor-Rat Factor Movements'!D261+'CurrentPor-Rat Factor Movements'!H261)/100,2))*100</f>
        <v>9503.497511733085</v>
      </c>
      <c r="E261">
        <f>(3/(1+('CurrentPor-Rat Factor Movements'!C261+'CurrentPor-Rat Factor Movements'!I261)/100)+103/POWER(1+('CurrentPor-Rat Factor Movements'!D261+'CurrentPor-Rat Factor Movements'!I261)/100,2))*100</f>
        <v>9484.0139024412729</v>
      </c>
      <c r="F261">
        <f>Portfolio!B$5*'CurrentPor-Rat Factor Movements'!E261</f>
        <v>52143.895533915893</v>
      </c>
      <c r="G261">
        <f>Portfolio!B$6*'CurrentPor-Rat Factor Movements'!F261</f>
        <v>3696.2945087936532</v>
      </c>
      <c r="H261">
        <f>Portfolio!B$7*'CurrentPor-Rat Factor Movements'!J261</f>
        <v>2148.0998964419859</v>
      </c>
      <c r="I261">
        <f t="shared" si="8"/>
        <v>96101.036769755345</v>
      </c>
      <c r="J261">
        <f t="shared" si="9"/>
        <v>271.24524199860753</v>
      </c>
    </row>
    <row r="262" spans="1:10">
      <c r="A262" s="1">
        <v>45835</v>
      </c>
      <c r="B262">
        <f>(3/(1+('CurrentPor-Rat Factor Movements'!C262)/100)+103/POWER(1+('CurrentPor-Rat Factor Movements'!D262)/100,2))*100</f>
        <v>9705.5470732942122</v>
      </c>
      <c r="C262">
        <f>(3/(1+('CurrentPor-Rat Factor Movements'!C262+'CurrentPor-Rat Factor Movements'!G262)/100)+103/POWER(1+('CurrentPor-Rat Factor Movements'!D262+'CurrentPor-Rat Factor Movements'!G262)/100,2))*100</f>
        <v>9612.9583986463585</v>
      </c>
      <c r="D262">
        <f>(3/(1+('CurrentPor-Rat Factor Movements'!C262+'CurrentPor-Rat Factor Movements'!H262)/100)+103/POWER(1+('CurrentPor-Rat Factor Movements'!D262+'CurrentPor-Rat Factor Movements'!H262)/100,2))*100</f>
        <v>9599.2349922317517</v>
      </c>
      <c r="E262">
        <f>(3/(1+('CurrentPor-Rat Factor Movements'!C262+'CurrentPor-Rat Factor Movements'!I262)/100)+103/POWER(1+('CurrentPor-Rat Factor Movements'!D262+'CurrentPor-Rat Factor Movements'!I262)/100,2))*100</f>
        <v>9579.4564778654076</v>
      </c>
      <c r="F262">
        <f>Portfolio!B$5*'CurrentPor-Rat Factor Movements'!E262</f>
        <v>52143.895533915893</v>
      </c>
      <c r="G262">
        <f>Portfolio!B$6*'CurrentPor-Rat Factor Movements'!F262</f>
        <v>3696.2945087936532</v>
      </c>
      <c r="H262">
        <f>Portfolio!B$7*'CurrentPor-Rat Factor Movements'!J262</f>
        <v>2148.0998964419859</v>
      </c>
      <c r="I262">
        <f t="shared" si="8"/>
        <v>96485.486881189267</v>
      </c>
      <c r="J262">
        <f t="shared" si="9"/>
        <v>139.31610638066195</v>
      </c>
    </row>
    <row r="263" spans="1:10">
      <c r="A263" s="1">
        <v>45838</v>
      </c>
      <c r="B263">
        <f>(3/(1+('CurrentPor-Rat Factor Movements'!C263)/100)+103/POWER(1+('CurrentPor-Rat Factor Movements'!D263)/100,2))*100</f>
        <v>9685.3179388279077</v>
      </c>
      <c r="C263">
        <f>(3/(1+('CurrentPor-Rat Factor Movements'!C263+'CurrentPor-Rat Factor Movements'!G263)/100)+103/POWER(1+('CurrentPor-Rat Factor Movements'!D263+'CurrentPor-Rat Factor Movements'!G263)/100,2))*100</f>
        <v>9593.0186962923526</v>
      </c>
      <c r="D263">
        <f>(3/(1+('CurrentPor-Rat Factor Movements'!C263+'CurrentPor-Rat Factor Movements'!H263)/100)+103/POWER(1+('CurrentPor-Rat Factor Movements'!D263+'CurrentPor-Rat Factor Movements'!H263)/100,2))*100</f>
        <v>9579.3380706653879</v>
      </c>
      <c r="E263">
        <f>(3/(1+('CurrentPor-Rat Factor Movements'!C263+'CurrentPor-Rat Factor Movements'!I263)/100)+103/POWER(1+('CurrentPor-Rat Factor Movements'!D263+'CurrentPor-Rat Factor Movements'!I263)/100,2))*100</f>
        <v>9559.6211590649709</v>
      </c>
      <c r="F263">
        <f>Portfolio!B$5*'CurrentPor-Rat Factor Movements'!E263</f>
        <v>52143.895533915893</v>
      </c>
      <c r="G263">
        <f>Portfolio!B$6*'CurrentPor-Rat Factor Movements'!F263</f>
        <v>3696.2945087936532</v>
      </c>
      <c r="H263">
        <f>Portfolio!B$7*'CurrentPor-Rat Factor Movements'!J263</f>
        <v>2148.0998964419859</v>
      </c>
      <c r="I263">
        <f t="shared" si="8"/>
        <v>96405.585804002141</v>
      </c>
      <c r="J263">
        <f t="shared" si="9"/>
        <v>-314.97446464921813</v>
      </c>
    </row>
  </sheetData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9E5D-E2F0-4EC0-A8E9-F893AA81EA0D}">
  <dimension ref="A1:A501"/>
  <sheetViews>
    <sheetView topLeftCell="A27" workbookViewId="0">
      <selection activeCell="J39" sqref="J39"/>
    </sheetView>
  </sheetViews>
  <sheetFormatPr defaultRowHeight="14.5"/>
  <cols>
    <col min="1" max="1" width="16.1796875" customWidth="1"/>
  </cols>
  <sheetData>
    <row r="1" spans="1:1" ht="23.5">
      <c r="A1" s="2" t="s">
        <v>3</v>
      </c>
    </row>
    <row r="3" spans="1:1" ht="17.5">
      <c r="A3" s="3" t="s">
        <v>4</v>
      </c>
    </row>
    <row r="4" spans="1:1">
      <c r="A4" s="4"/>
    </row>
    <row r="5" spans="1:1">
      <c r="A5" s="5" t="s">
        <v>5</v>
      </c>
    </row>
    <row r="6" spans="1:1">
      <c r="A6" s="5" t="s">
        <v>6</v>
      </c>
    </row>
    <row r="8" spans="1:1" ht="17.5">
      <c r="A8" s="3" t="s">
        <v>7</v>
      </c>
    </row>
    <row r="9" spans="1:1">
      <c r="A9" s="4"/>
    </row>
    <row r="10" spans="1:1">
      <c r="A10" s="4" t="s">
        <v>8</v>
      </c>
    </row>
    <row r="11" spans="1:1">
      <c r="A11" s="4" t="s">
        <v>9</v>
      </c>
    </row>
    <row r="12" spans="1:1">
      <c r="A12" s="4" t="s">
        <v>10</v>
      </c>
    </row>
    <row r="13" spans="1:1">
      <c r="A13" s="4" t="s">
        <v>11</v>
      </c>
    </row>
    <row r="15" spans="1:1" ht="17.5">
      <c r="A15" s="3" t="s">
        <v>12</v>
      </c>
    </row>
    <row r="16" spans="1:1">
      <c r="A16" s="4"/>
    </row>
    <row r="17" spans="1:1">
      <c r="A17" s="4" t="s">
        <v>13</v>
      </c>
    </row>
    <row r="18" spans="1:1">
      <c r="A18" s="4" t="s">
        <v>14</v>
      </c>
    </row>
    <row r="19" spans="1:1">
      <c r="A19" s="4" t="s">
        <v>15</v>
      </c>
    </row>
    <row r="20" spans="1:1">
      <c r="A20" s="6" t="s">
        <v>16</v>
      </c>
    </row>
    <row r="21" spans="1:1">
      <c r="A21" s="6" t="s">
        <v>17</v>
      </c>
    </row>
    <row r="22" spans="1:1">
      <c r="A22" s="6" t="s">
        <v>18</v>
      </c>
    </row>
    <row r="26" spans="1:1" ht="23.5">
      <c r="A26" s="2" t="s">
        <v>19</v>
      </c>
    </row>
    <row r="28" spans="1:1" ht="17.5">
      <c r="A28" s="3" t="s">
        <v>4</v>
      </c>
    </row>
    <row r="29" spans="1:1">
      <c r="A29" s="4"/>
    </row>
    <row r="30" spans="1:1">
      <c r="A30" s="5" t="s">
        <v>20</v>
      </c>
    </row>
    <row r="32" spans="1:1" ht="17.5">
      <c r="A32" s="3" t="s">
        <v>7</v>
      </c>
    </row>
    <row r="33" spans="1:1">
      <c r="A33" s="4"/>
    </row>
    <row r="34" spans="1:1">
      <c r="A34" s="4" t="s">
        <v>21</v>
      </c>
    </row>
    <row r="35" spans="1:1">
      <c r="A35" s="4" t="s">
        <v>22</v>
      </c>
    </row>
    <row r="36" spans="1:1">
      <c r="A36" s="4" t="s">
        <v>23</v>
      </c>
    </row>
    <row r="37" spans="1:1">
      <c r="A37" s="4" t="s">
        <v>24</v>
      </c>
    </row>
    <row r="38" spans="1:1">
      <c r="A38" s="1"/>
    </row>
    <row r="39" spans="1:1">
      <c r="A39" s="1" t="s">
        <v>25</v>
      </c>
    </row>
    <row r="40" spans="1:1">
      <c r="A40" s="1"/>
    </row>
    <row r="41" spans="1:1">
      <c r="A41" s="1" t="s">
        <v>26</v>
      </c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FB39-AAA9-4D5A-A2CE-896AA4D4A686}">
  <dimension ref="A1:A2"/>
  <sheetViews>
    <sheetView workbookViewId="0"/>
  </sheetViews>
  <sheetFormatPr defaultRowHeight="14.5"/>
  <sheetData>
    <row r="1" spans="1:1">
      <c r="A1" t="s">
        <v>29</v>
      </c>
    </row>
    <row r="2" spans="1:1">
      <c r="A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CurrentPor-Rat Factor Movements</vt:lpstr>
      <vt:lpstr>Portfolio</vt:lpstr>
      <vt:lpstr>ES, Rates factor movement</vt:lpstr>
      <vt:lpstr>NMRF</vt:lpstr>
      <vt:lpstr>formulae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Office</cp:lastModifiedBy>
  <dcterms:created xsi:type="dcterms:W3CDTF">2025-10-25T09:15:32Z</dcterms:created>
  <dcterms:modified xsi:type="dcterms:W3CDTF">2025-11-07T20:19:22Z</dcterms:modified>
</cp:coreProperties>
</file>