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-IMA,modellable risk factors\IMCCCi\Interest rates\"/>
    </mc:Choice>
  </mc:AlternateContent>
  <xr:revisionPtr revIDLastSave="0" documentId="13_ncr:1_{5A2A0F76-493D-45A6-8884-33718B4DFF4C}" xr6:coauthVersionLast="47" xr6:coauthVersionMax="47" xr10:uidLastSave="{00000000-0000-0000-0000-000000000000}"/>
  <bookViews>
    <workbookView xWindow="-110" yWindow="-110" windowWidth="19420" windowHeight="10300" tabRatio="928" activeTab="1" xr2:uid="{DC1F76F4-8BE6-409E-AD1E-84625C47D90D}"/>
  </bookViews>
  <sheets>
    <sheet name="CurrentPor-Rat Factor Movements" sheetId="4" r:id="rId1"/>
    <sheet name="Portfolio" sheetId="5" r:id="rId2"/>
    <sheet name="ES, Rates factor movement" sheetId="7" r:id="rId3"/>
    <sheet name="NMRF" sheetId="2" r:id="rId4"/>
    <sheet name="formulae" sheetId="3" r:id="rId5"/>
  </sheets>
  <definedNames>
    <definedName name="_xlnm._FilterDatabase" localSheetId="0" hidden="1">'CurrentPor-Rat Factor Movements'!$A$3:$J$263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0" i="7" l="1"/>
  <c r="H193" i="7"/>
  <c r="H194" i="7"/>
  <c r="H195" i="7"/>
  <c r="H206" i="7"/>
  <c r="H209" i="7"/>
  <c r="H210" i="7"/>
  <c r="H211" i="7"/>
  <c r="H222" i="7"/>
  <c r="H225" i="7"/>
  <c r="H226" i="7"/>
  <c r="H227" i="7"/>
  <c r="H238" i="7"/>
  <c r="H240" i="7"/>
  <c r="H241" i="7"/>
  <c r="H242" i="7"/>
  <c r="H254" i="7"/>
  <c r="H256" i="7"/>
  <c r="H257" i="7"/>
  <c r="H258" i="7"/>
  <c r="H259" i="7"/>
  <c r="L5" i="4"/>
  <c r="M5" i="4"/>
  <c r="N5" i="4"/>
  <c r="O5" i="4"/>
  <c r="P5" i="4"/>
  <c r="Q5" i="4"/>
  <c r="K5" i="4"/>
  <c r="L3" i="4"/>
  <c r="M3" i="4"/>
  <c r="N3" i="4"/>
  <c r="O3" i="4"/>
  <c r="P3" i="4"/>
  <c r="Q3" i="4"/>
  <c r="K3" i="4"/>
  <c r="B188" i="7"/>
  <c r="C188" i="7"/>
  <c r="D188" i="7"/>
  <c r="B189" i="7"/>
  <c r="C189" i="7"/>
  <c r="D189" i="7"/>
  <c r="B190" i="7"/>
  <c r="C190" i="7"/>
  <c r="D190" i="7"/>
  <c r="B191" i="7"/>
  <c r="C191" i="7"/>
  <c r="D191" i="7"/>
  <c r="B192" i="7"/>
  <c r="C192" i="7"/>
  <c r="D192" i="7"/>
  <c r="B193" i="7"/>
  <c r="C193" i="7"/>
  <c r="D193" i="7"/>
  <c r="B194" i="7"/>
  <c r="C194" i="7"/>
  <c r="D194" i="7"/>
  <c r="B195" i="7"/>
  <c r="C195" i="7"/>
  <c r="D195" i="7"/>
  <c r="B196" i="7"/>
  <c r="C196" i="7"/>
  <c r="D196" i="7"/>
  <c r="B197" i="7"/>
  <c r="C197" i="7"/>
  <c r="D197" i="7"/>
  <c r="B198" i="7"/>
  <c r="C198" i="7"/>
  <c r="D198" i="7"/>
  <c r="B199" i="7"/>
  <c r="C199" i="7"/>
  <c r="D199" i="7"/>
  <c r="B200" i="7"/>
  <c r="C200" i="7"/>
  <c r="D200" i="7"/>
  <c r="B201" i="7"/>
  <c r="C201" i="7"/>
  <c r="D201" i="7"/>
  <c r="B202" i="7"/>
  <c r="C202" i="7"/>
  <c r="D202" i="7"/>
  <c r="B203" i="7"/>
  <c r="C203" i="7"/>
  <c r="D203" i="7"/>
  <c r="B204" i="7"/>
  <c r="C204" i="7"/>
  <c r="D204" i="7"/>
  <c r="B205" i="7"/>
  <c r="C205" i="7"/>
  <c r="D205" i="7"/>
  <c r="B206" i="7"/>
  <c r="C206" i="7"/>
  <c r="D206" i="7"/>
  <c r="B207" i="7"/>
  <c r="C207" i="7"/>
  <c r="D207" i="7"/>
  <c r="B208" i="7"/>
  <c r="C208" i="7"/>
  <c r="D208" i="7"/>
  <c r="B209" i="7"/>
  <c r="C209" i="7"/>
  <c r="D209" i="7"/>
  <c r="B210" i="7"/>
  <c r="C210" i="7"/>
  <c r="D210" i="7"/>
  <c r="B211" i="7"/>
  <c r="C211" i="7"/>
  <c r="D211" i="7"/>
  <c r="B212" i="7"/>
  <c r="C212" i="7"/>
  <c r="D212" i="7"/>
  <c r="B213" i="7"/>
  <c r="C213" i="7"/>
  <c r="D213" i="7"/>
  <c r="B214" i="7"/>
  <c r="C214" i="7"/>
  <c r="D214" i="7"/>
  <c r="B215" i="7"/>
  <c r="C215" i="7"/>
  <c r="D215" i="7"/>
  <c r="B216" i="7"/>
  <c r="C216" i="7"/>
  <c r="D216" i="7"/>
  <c r="B217" i="7"/>
  <c r="C217" i="7"/>
  <c r="D217" i="7"/>
  <c r="B218" i="7"/>
  <c r="C218" i="7"/>
  <c r="D218" i="7"/>
  <c r="B219" i="7"/>
  <c r="C219" i="7"/>
  <c r="D219" i="7"/>
  <c r="B220" i="7"/>
  <c r="C220" i="7"/>
  <c r="D220" i="7"/>
  <c r="B221" i="7"/>
  <c r="C221" i="7"/>
  <c r="D221" i="7"/>
  <c r="B222" i="7"/>
  <c r="C222" i="7"/>
  <c r="D222" i="7"/>
  <c r="B223" i="7"/>
  <c r="C223" i="7"/>
  <c r="D223" i="7"/>
  <c r="B224" i="7"/>
  <c r="C224" i="7"/>
  <c r="D224" i="7"/>
  <c r="B225" i="7"/>
  <c r="C225" i="7"/>
  <c r="D225" i="7"/>
  <c r="B226" i="7"/>
  <c r="C226" i="7"/>
  <c r="D226" i="7"/>
  <c r="B227" i="7"/>
  <c r="C227" i="7"/>
  <c r="D227" i="7"/>
  <c r="B228" i="7"/>
  <c r="C228" i="7"/>
  <c r="D228" i="7"/>
  <c r="B229" i="7"/>
  <c r="C229" i="7"/>
  <c r="D229" i="7"/>
  <c r="B230" i="7"/>
  <c r="C230" i="7"/>
  <c r="D230" i="7"/>
  <c r="B231" i="7"/>
  <c r="C231" i="7"/>
  <c r="D231" i="7"/>
  <c r="B232" i="7"/>
  <c r="C232" i="7"/>
  <c r="D232" i="7"/>
  <c r="B233" i="7"/>
  <c r="C233" i="7"/>
  <c r="D233" i="7"/>
  <c r="B234" i="7"/>
  <c r="C234" i="7"/>
  <c r="D234" i="7"/>
  <c r="B235" i="7"/>
  <c r="C235" i="7"/>
  <c r="D235" i="7"/>
  <c r="B236" i="7"/>
  <c r="C236" i="7"/>
  <c r="D236" i="7"/>
  <c r="B237" i="7"/>
  <c r="C237" i="7"/>
  <c r="D237" i="7"/>
  <c r="B238" i="7"/>
  <c r="C238" i="7"/>
  <c r="D238" i="7"/>
  <c r="B239" i="7"/>
  <c r="C239" i="7"/>
  <c r="D239" i="7"/>
  <c r="B240" i="7"/>
  <c r="C240" i="7"/>
  <c r="D240" i="7"/>
  <c r="B241" i="7"/>
  <c r="C241" i="7"/>
  <c r="D241" i="7"/>
  <c r="B242" i="7"/>
  <c r="C242" i="7"/>
  <c r="D242" i="7"/>
  <c r="B243" i="7"/>
  <c r="C243" i="7"/>
  <c r="D243" i="7"/>
  <c r="B244" i="7"/>
  <c r="C244" i="7"/>
  <c r="D244" i="7"/>
  <c r="B245" i="7"/>
  <c r="C245" i="7"/>
  <c r="D245" i="7"/>
  <c r="B246" i="7"/>
  <c r="C246" i="7"/>
  <c r="D246" i="7"/>
  <c r="B247" i="7"/>
  <c r="C247" i="7"/>
  <c r="D247" i="7"/>
  <c r="B248" i="7"/>
  <c r="C248" i="7"/>
  <c r="D248" i="7"/>
  <c r="B249" i="7"/>
  <c r="C249" i="7"/>
  <c r="D249" i="7"/>
  <c r="B250" i="7"/>
  <c r="C250" i="7"/>
  <c r="D250" i="7"/>
  <c r="B251" i="7"/>
  <c r="C251" i="7"/>
  <c r="D251" i="7"/>
  <c r="B252" i="7"/>
  <c r="C252" i="7"/>
  <c r="D252" i="7"/>
  <c r="B253" i="7"/>
  <c r="C253" i="7"/>
  <c r="D253" i="7"/>
  <c r="B254" i="7"/>
  <c r="C254" i="7"/>
  <c r="D254" i="7"/>
  <c r="B255" i="7"/>
  <c r="C255" i="7"/>
  <c r="D255" i="7"/>
  <c r="B256" i="7"/>
  <c r="C256" i="7"/>
  <c r="D256" i="7"/>
  <c r="B257" i="7"/>
  <c r="C257" i="7"/>
  <c r="D257" i="7"/>
  <c r="B258" i="7"/>
  <c r="C258" i="7"/>
  <c r="D258" i="7"/>
  <c r="B259" i="7"/>
  <c r="C259" i="7"/>
  <c r="D259" i="7"/>
  <c r="B260" i="7"/>
  <c r="C260" i="7"/>
  <c r="D260" i="7"/>
  <c r="B261" i="7"/>
  <c r="C261" i="7"/>
  <c r="D261" i="7"/>
  <c r="B262" i="7"/>
  <c r="C262" i="7"/>
  <c r="D262" i="7"/>
  <c r="B263" i="7"/>
  <c r="C263" i="7"/>
  <c r="D263" i="7"/>
  <c r="F188" i="7"/>
  <c r="G188" i="7"/>
  <c r="H188" i="7"/>
  <c r="F189" i="7"/>
  <c r="G189" i="7"/>
  <c r="H189" i="7"/>
  <c r="F190" i="7"/>
  <c r="G190" i="7"/>
  <c r="F191" i="7"/>
  <c r="G191" i="7"/>
  <c r="H191" i="7"/>
  <c r="F192" i="7"/>
  <c r="G192" i="7"/>
  <c r="H192" i="7"/>
  <c r="F193" i="7"/>
  <c r="G193" i="7"/>
  <c r="F194" i="7"/>
  <c r="G194" i="7"/>
  <c r="F195" i="7"/>
  <c r="G195" i="7"/>
  <c r="F196" i="7"/>
  <c r="G196" i="7"/>
  <c r="H196" i="7"/>
  <c r="F197" i="7"/>
  <c r="G197" i="7"/>
  <c r="H197" i="7"/>
  <c r="F198" i="7"/>
  <c r="G198" i="7"/>
  <c r="H198" i="7"/>
  <c r="F199" i="7"/>
  <c r="G199" i="7"/>
  <c r="H199" i="7"/>
  <c r="F200" i="7"/>
  <c r="G200" i="7"/>
  <c r="H200" i="7"/>
  <c r="F201" i="7"/>
  <c r="G201" i="7"/>
  <c r="H201" i="7"/>
  <c r="F202" i="7"/>
  <c r="G202" i="7"/>
  <c r="H202" i="7"/>
  <c r="F203" i="7"/>
  <c r="G203" i="7"/>
  <c r="H203" i="7"/>
  <c r="F204" i="7"/>
  <c r="G204" i="7"/>
  <c r="H204" i="7"/>
  <c r="F205" i="7"/>
  <c r="G205" i="7"/>
  <c r="H205" i="7"/>
  <c r="F206" i="7"/>
  <c r="G206" i="7"/>
  <c r="F207" i="7"/>
  <c r="G207" i="7"/>
  <c r="H207" i="7"/>
  <c r="F208" i="7"/>
  <c r="G208" i="7"/>
  <c r="H208" i="7"/>
  <c r="F209" i="7"/>
  <c r="G209" i="7"/>
  <c r="F210" i="7"/>
  <c r="G210" i="7"/>
  <c r="F211" i="7"/>
  <c r="G211" i="7"/>
  <c r="F212" i="7"/>
  <c r="G212" i="7"/>
  <c r="H212" i="7"/>
  <c r="F213" i="7"/>
  <c r="G213" i="7"/>
  <c r="H213" i="7"/>
  <c r="F214" i="7"/>
  <c r="G214" i="7"/>
  <c r="H214" i="7"/>
  <c r="F215" i="7"/>
  <c r="G215" i="7"/>
  <c r="H215" i="7"/>
  <c r="F216" i="7"/>
  <c r="G216" i="7"/>
  <c r="H216" i="7"/>
  <c r="F217" i="7"/>
  <c r="G217" i="7"/>
  <c r="H217" i="7"/>
  <c r="F218" i="7"/>
  <c r="G218" i="7"/>
  <c r="H218" i="7"/>
  <c r="F219" i="7"/>
  <c r="G219" i="7"/>
  <c r="H219" i="7"/>
  <c r="F220" i="7"/>
  <c r="G220" i="7"/>
  <c r="H220" i="7"/>
  <c r="F221" i="7"/>
  <c r="G221" i="7"/>
  <c r="H221" i="7"/>
  <c r="F222" i="7"/>
  <c r="G222" i="7"/>
  <c r="F223" i="7"/>
  <c r="G223" i="7"/>
  <c r="H223" i="7"/>
  <c r="F224" i="7"/>
  <c r="G224" i="7"/>
  <c r="H224" i="7"/>
  <c r="F225" i="7"/>
  <c r="G225" i="7"/>
  <c r="F226" i="7"/>
  <c r="G226" i="7"/>
  <c r="F227" i="7"/>
  <c r="G227" i="7"/>
  <c r="F228" i="7"/>
  <c r="G228" i="7"/>
  <c r="H228" i="7"/>
  <c r="F229" i="7"/>
  <c r="G229" i="7"/>
  <c r="H229" i="7"/>
  <c r="F230" i="7"/>
  <c r="G230" i="7"/>
  <c r="H230" i="7"/>
  <c r="F231" i="7"/>
  <c r="G231" i="7"/>
  <c r="H231" i="7"/>
  <c r="F232" i="7"/>
  <c r="G232" i="7"/>
  <c r="H232" i="7"/>
  <c r="F233" i="7"/>
  <c r="G233" i="7"/>
  <c r="H233" i="7"/>
  <c r="F234" i="7"/>
  <c r="G234" i="7"/>
  <c r="H234" i="7"/>
  <c r="F235" i="7"/>
  <c r="G235" i="7"/>
  <c r="H235" i="7"/>
  <c r="F236" i="7"/>
  <c r="G236" i="7"/>
  <c r="H236" i="7"/>
  <c r="F237" i="7"/>
  <c r="G237" i="7"/>
  <c r="H237" i="7"/>
  <c r="F238" i="7"/>
  <c r="G238" i="7"/>
  <c r="F239" i="7"/>
  <c r="G239" i="7"/>
  <c r="H239" i="7"/>
  <c r="F240" i="7"/>
  <c r="G240" i="7"/>
  <c r="F241" i="7"/>
  <c r="G241" i="7"/>
  <c r="F242" i="7"/>
  <c r="G242" i="7"/>
  <c r="F243" i="7"/>
  <c r="G243" i="7"/>
  <c r="H243" i="7"/>
  <c r="F244" i="7"/>
  <c r="G244" i="7"/>
  <c r="H244" i="7"/>
  <c r="F245" i="7"/>
  <c r="G245" i="7"/>
  <c r="H245" i="7"/>
  <c r="F246" i="7"/>
  <c r="G246" i="7"/>
  <c r="H246" i="7"/>
  <c r="F247" i="7"/>
  <c r="G247" i="7"/>
  <c r="H247" i="7"/>
  <c r="F248" i="7"/>
  <c r="G248" i="7"/>
  <c r="H248" i="7"/>
  <c r="F249" i="7"/>
  <c r="G249" i="7"/>
  <c r="H249" i="7"/>
  <c r="F250" i="7"/>
  <c r="G250" i="7"/>
  <c r="H250" i="7"/>
  <c r="F251" i="7"/>
  <c r="G251" i="7"/>
  <c r="H251" i="7"/>
  <c r="F252" i="7"/>
  <c r="G252" i="7"/>
  <c r="H252" i="7"/>
  <c r="F253" i="7"/>
  <c r="G253" i="7"/>
  <c r="H253" i="7"/>
  <c r="F254" i="7"/>
  <c r="G254" i="7"/>
  <c r="F255" i="7"/>
  <c r="G255" i="7"/>
  <c r="H255" i="7"/>
  <c r="F256" i="7"/>
  <c r="G256" i="7"/>
  <c r="F257" i="7"/>
  <c r="G257" i="7"/>
  <c r="F258" i="7"/>
  <c r="G258" i="7"/>
  <c r="F259" i="7"/>
  <c r="G259" i="7"/>
  <c r="F260" i="7"/>
  <c r="G260" i="7"/>
  <c r="H260" i="7"/>
  <c r="F261" i="7"/>
  <c r="G261" i="7"/>
  <c r="H261" i="7"/>
  <c r="F262" i="7"/>
  <c r="G262" i="7"/>
  <c r="H262" i="7"/>
  <c r="F263" i="7"/>
  <c r="G263" i="7"/>
  <c r="H263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I233" i="7" l="1"/>
  <c r="I236" i="7"/>
  <c r="I204" i="7"/>
  <c r="I231" i="7"/>
  <c r="I199" i="7"/>
  <c r="I252" i="7"/>
  <c r="I212" i="7"/>
  <c r="I217" i="7"/>
  <c r="I207" i="7"/>
  <c r="I253" i="7"/>
  <c r="I201" i="7"/>
  <c r="I215" i="7"/>
  <c r="I237" i="7"/>
  <c r="I263" i="7"/>
  <c r="I247" i="7"/>
  <c r="I196" i="7"/>
  <c r="I227" i="7"/>
  <c r="I211" i="7"/>
  <c r="I262" i="7"/>
  <c r="I223" i="7"/>
  <c r="I251" i="7"/>
  <c r="I219" i="7"/>
  <c r="I190" i="7"/>
  <c r="I234" i="7"/>
  <c r="I250" i="7"/>
  <c r="I218" i="7"/>
  <c r="I260" i="7"/>
  <c r="J260" i="7" s="1"/>
  <c r="I249" i="7"/>
  <c r="I222" i="7"/>
  <c r="R5" i="4"/>
  <c r="R3" i="4"/>
  <c r="I230" i="7"/>
  <c r="I244" i="7"/>
  <c r="I261" i="7"/>
  <c r="I257" i="7"/>
  <c r="I241" i="7"/>
  <c r="I225" i="7"/>
  <c r="I209" i="7"/>
  <c r="I193" i="7"/>
  <c r="I255" i="7"/>
  <c r="I239" i="7"/>
  <c r="I254" i="7"/>
  <c r="I238" i="7"/>
  <c r="I206" i="7"/>
  <c r="I229" i="7"/>
  <c r="I228" i="7"/>
  <c r="I235" i="7"/>
  <c r="I203" i="7"/>
  <c r="I202" i="7"/>
  <c r="I192" i="7"/>
  <c r="I248" i="7"/>
  <c r="I205" i="7"/>
  <c r="I226" i="7"/>
  <c r="I213" i="7"/>
  <c r="I256" i="7"/>
  <c r="I243" i="7"/>
  <c r="J243" i="7" s="1"/>
  <c r="I200" i="7"/>
  <c r="I191" i="7"/>
  <c r="I208" i="7"/>
  <c r="I195" i="7"/>
  <c r="I246" i="7"/>
  <c r="J246" i="7" s="1"/>
  <c r="I242" i="7"/>
  <c r="J252" i="7" s="1"/>
  <c r="I221" i="7"/>
  <c r="I220" i="7"/>
  <c r="I259" i="7"/>
  <c r="I216" i="7"/>
  <c r="I198" i="7"/>
  <c r="I194" i="7"/>
  <c r="I224" i="7"/>
  <c r="I258" i="7"/>
  <c r="I245" i="7"/>
  <c r="I189" i="7"/>
  <c r="J199" i="7" s="1"/>
  <c r="I232" i="7"/>
  <c r="I188" i="7"/>
  <c r="I214" i="7"/>
  <c r="J214" i="7" s="1"/>
  <c r="I210" i="7"/>
  <c r="I197" i="7"/>
  <c r="I240" i="7"/>
  <c r="J233" i="7" l="1"/>
  <c r="J227" i="7"/>
  <c r="J201" i="7"/>
  <c r="J217" i="7"/>
  <c r="J263" i="7"/>
  <c r="J222" i="7"/>
  <c r="J207" i="7"/>
  <c r="J212" i="7"/>
  <c r="J262" i="7"/>
  <c r="J211" i="7"/>
  <c r="J247" i="7"/>
  <c r="J237" i="7"/>
  <c r="J250" i="7"/>
  <c r="J219" i="7"/>
  <c r="J225" i="7"/>
  <c r="J198" i="7"/>
  <c r="J205" i="7"/>
  <c r="J257" i="7"/>
  <c r="J253" i="7"/>
  <c r="J221" i="7"/>
  <c r="J251" i="7"/>
  <c r="J249" i="7"/>
  <c r="J209" i="7"/>
  <c r="J208" i="7"/>
  <c r="J203" i="7"/>
  <c r="J235" i="7"/>
  <c r="J200" i="7"/>
  <c r="J228" i="7"/>
  <c r="J244" i="7"/>
  <c r="J229" i="7"/>
  <c r="J206" i="7"/>
  <c r="J240" i="7"/>
  <c r="J248" i="7"/>
  <c r="J238" i="7"/>
  <c r="J202" i="7"/>
  <c r="J254" i="7"/>
  <c r="J216" i="7"/>
  <c r="J259" i="7"/>
  <c r="J210" i="7"/>
  <c r="J230" i="7"/>
  <c r="J213" i="7"/>
  <c r="J218" i="7"/>
  <c r="J232" i="7"/>
  <c r="J261" i="7"/>
  <c r="J239" i="7"/>
  <c r="J245" i="7"/>
  <c r="J241" i="7"/>
  <c r="J231" i="7"/>
  <c r="J242" i="7"/>
  <c r="J224" i="7"/>
  <c r="J226" i="7"/>
  <c r="J220" i="7"/>
  <c r="J223" i="7"/>
  <c r="J255" i="7"/>
  <c r="J236" i="7"/>
  <c r="J215" i="7"/>
  <c r="J258" i="7"/>
  <c r="J234" i="7"/>
  <c r="J256" i="7"/>
  <c r="J204" i="7"/>
  <c r="F8" i="5" l="1"/>
  <c r="F6" i="5"/>
  <c r="F7" i="5"/>
  <c r="F5" i="5"/>
  <c r="F3" i="5"/>
  <c r="F4" i="5"/>
  <c r="F2" i="5"/>
  <c r="F9" i="5" s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3" i="7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3" i="7"/>
  <c r="I115" i="7" l="1"/>
  <c r="I56" i="7"/>
  <c r="I179" i="7"/>
  <c r="J189" i="7" s="1"/>
  <c r="I163" i="7"/>
  <c r="I147" i="7"/>
  <c r="I131" i="7"/>
  <c r="I99" i="7"/>
  <c r="I67" i="7"/>
  <c r="I51" i="7"/>
  <c r="I35" i="7"/>
  <c r="I19" i="7"/>
  <c r="I130" i="7"/>
  <c r="I177" i="7"/>
  <c r="I161" i="7"/>
  <c r="I145" i="7"/>
  <c r="I129" i="7"/>
  <c r="I113" i="7"/>
  <c r="I97" i="7"/>
  <c r="I81" i="7"/>
  <c r="I187" i="7"/>
  <c r="J197" i="7" s="1"/>
  <c r="I171" i="7"/>
  <c r="I155" i="7"/>
  <c r="I139" i="7"/>
  <c r="I123" i="7"/>
  <c r="I107" i="7"/>
  <c r="I91" i="7"/>
  <c r="I75" i="7"/>
  <c r="I59" i="7"/>
  <c r="I43" i="7"/>
  <c r="I27" i="7"/>
  <c r="I11" i="7"/>
  <c r="I185" i="7"/>
  <c r="J195" i="7" s="1"/>
  <c r="I169" i="7"/>
  <c r="I153" i="7"/>
  <c r="I137" i="7"/>
  <c r="I121" i="7"/>
  <c r="I105" i="7"/>
  <c r="I89" i="7"/>
  <c r="I73" i="7"/>
  <c r="I57" i="7"/>
  <c r="I41" i="7"/>
  <c r="I25" i="7"/>
  <c r="I9" i="7"/>
  <c r="I83" i="7"/>
  <c r="I174" i="7"/>
  <c r="I158" i="7"/>
  <c r="I142" i="7"/>
  <c r="I126" i="7"/>
  <c r="I110" i="7"/>
  <c r="I94" i="7"/>
  <c r="I78" i="7"/>
  <c r="I62" i="7"/>
  <c r="I46" i="7"/>
  <c r="I30" i="7"/>
  <c r="I14" i="7"/>
  <c r="I162" i="7"/>
  <c r="I173" i="7"/>
  <c r="I157" i="7"/>
  <c r="I141" i="7"/>
  <c r="I125" i="7"/>
  <c r="I109" i="7"/>
  <c r="I93" i="7"/>
  <c r="I77" i="7"/>
  <c r="I61" i="7"/>
  <c r="I45" i="7"/>
  <c r="I29" i="7"/>
  <c r="I13" i="7"/>
  <c r="I178" i="7"/>
  <c r="J188" i="7" s="1"/>
  <c r="I3" i="7"/>
  <c r="I172" i="7"/>
  <c r="I156" i="7"/>
  <c r="I140" i="7"/>
  <c r="I124" i="7"/>
  <c r="I108" i="7"/>
  <c r="I92" i="7"/>
  <c r="I76" i="7"/>
  <c r="I60" i="7"/>
  <c r="I44" i="7"/>
  <c r="I28" i="7"/>
  <c r="I12" i="7"/>
  <c r="I186" i="7"/>
  <c r="J196" i="7" s="1"/>
  <c r="I170" i="7"/>
  <c r="I154" i="7"/>
  <c r="I138" i="7"/>
  <c r="I122" i="7"/>
  <c r="I106" i="7"/>
  <c r="I90" i="7"/>
  <c r="I74" i="7"/>
  <c r="I58" i="7"/>
  <c r="I42" i="7"/>
  <c r="I26" i="7"/>
  <c r="I10" i="7"/>
  <c r="I40" i="7"/>
  <c r="I24" i="7"/>
  <c r="I8" i="7"/>
  <c r="I152" i="7"/>
  <c r="I120" i="7"/>
  <c r="J120" i="7" s="1"/>
  <c r="I72" i="7"/>
  <c r="I183" i="7"/>
  <c r="J193" i="7" s="1"/>
  <c r="I167" i="7"/>
  <c r="I151" i="7"/>
  <c r="I135" i="7"/>
  <c r="I119" i="7"/>
  <c r="I103" i="7"/>
  <c r="I87" i="7"/>
  <c r="I71" i="7"/>
  <c r="I55" i="7"/>
  <c r="I39" i="7"/>
  <c r="I23" i="7"/>
  <c r="I7" i="7"/>
  <c r="I168" i="7"/>
  <c r="I136" i="7"/>
  <c r="I88" i="7"/>
  <c r="I182" i="7"/>
  <c r="J192" i="7" s="1"/>
  <c r="I166" i="7"/>
  <c r="I150" i="7"/>
  <c r="I134" i="7"/>
  <c r="I118" i="7"/>
  <c r="I102" i="7"/>
  <c r="I86" i="7"/>
  <c r="I70" i="7"/>
  <c r="I54" i="7"/>
  <c r="I38" i="7"/>
  <c r="I22" i="7"/>
  <c r="I6" i="7"/>
  <c r="I181" i="7"/>
  <c r="J191" i="7" s="1"/>
  <c r="I165" i="7"/>
  <c r="I149" i="7"/>
  <c r="I133" i="7"/>
  <c r="I117" i="7"/>
  <c r="I101" i="7"/>
  <c r="I85" i="7"/>
  <c r="I69" i="7"/>
  <c r="I53" i="7"/>
  <c r="I37" i="7"/>
  <c r="I21" i="7"/>
  <c r="I5" i="7"/>
  <c r="I184" i="7"/>
  <c r="J194" i="7" s="1"/>
  <c r="I104" i="7"/>
  <c r="I180" i="7"/>
  <c r="J190" i="7" s="1"/>
  <c r="I164" i="7"/>
  <c r="I148" i="7"/>
  <c r="I132" i="7"/>
  <c r="I116" i="7"/>
  <c r="I100" i="7"/>
  <c r="I84" i="7"/>
  <c r="I68" i="7"/>
  <c r="I52" i="7"/>
  <c r="I36" i="7"/>
  <c r="I20" i="7"/>
  <c r="I4" i="7"/>
  <c r="I114" i="7"/>
  <c r="I98" i="7"/>
  <c r="I82" i="7"/>
  <c r="I66" i="7"/>
  <c r="I50" i="7"/>
  <c r="I34" i="7"/>
  <c r="I18" i="7"/>
  <c r="I65" i="7"/>
  <c r="I49" i="7"/>
  <c r="I33" i="7"/>
  <c r="I17" i="7"/>
  <c r="I176" i="7"/>
  <c r="I160" i="7"/>
  <c r="I144" i="7"/>
  <c r="I128" i="7"/>
  <c r="I112" i="7"/>
  <c r="I96" i="7"/>
  <c r="I80" i="7"/>
  <c r="I64" i="7"/>
  <c r="I48" i="7"/>
  <c r="I32" i="7"/>
  <c r="I16" i="7"/>
  <c r="I146" i="7"/>
  <c r="I175" i="7"/>
  <c r="I159" i="7"/>
  <c r="I143" i="7"/>
  <c r="I127" i="7"/>
  <c r="I111" i="7"/>
  <c r="I95" i="7"/>
  <c r="I79" i="7"/>
  <c r="I63" i="7"/>
  <c r="I47" i="7"/>
  <c r="I31" i="7"/>
  <c r="I15" i="7"/>
  <c r="J143" i="7" l="1"/>
  <c r="J47" i="7"/>
  <c r="J183" i="7"/>
  <c r="J182" i="7"/>
  <c r="J113" i="7"/>
  <c r="J116" i="7"/>
  <c r="J31" i="7"/>
  <c r="J66" i="7"/>
  <c r="J104" i="7"/>
  <c r="J125" i="7"/>
  <c r="J83" i="7"/>
  <c r="J59" i="7"/>
  <c r="J159" i="7"/>
  <c r="J55" i="7"/>
  <c r="J115" i="7"/>
  <c r="J163" i="7"/>
  <c r="J179" i="7"/>
  <c r="J181" i="7"/>
  <c r="J77" i="7"/>
  <c r="J145" i="7"/>
  <c r="J105" i="7"/>
  <c r="J42" i="7"/>
  <c r="J43" i="7"/>
  <c r="J141" i="7"/>
  <c r="J107" i="7"/>
  <c r="J100" i="7"/>
  <c r="J132" i="7"/>
  <c r="J165" i="7"/>
  <c r="J109" i="7"/>
  <c r="J157" i="7"/>
  <c r="J123" i="7"/>
  <c r="J146" i="7"/>
  <c r="J93" i="7"/>
  <c r="J27" i="7"/>
  <c r="J177" i="7"/>
  <c r="J91" i="7"/>
  <c r="J75" i="7"/>
  <c r="J144" i="7"/>
  <c r="J68" i="7"/>
  <c r="J84" i="7"/>
  <c r="J117" i="7"/>
  <c r="J26" i="7"/>
  <c r="J19" i="7"/>
  <c r="J99" i="7"/>
  <c r="J69" i="7"/>
  <c r="J101" i="7"/>
  <c r="J150" i="7"/>
  <c r="J167" i="7"/>
  <c r="J138" i="7"/>
  <c r="J166" i="7"/>
  <c r="J175" i="7"/>
  <c r="J32" i="7"/>
  <c r="J185" i="7"/>
  <c r="J23" i="7"/>
  <c r="J54" i="7"/>
  <c r="J81" i="7"/>
  <c r="J35" i="7"/>
  <c r="J114" i="7"/>
  <c r="J21" i="7"/>
  <c r="J70" i="7"/>
  <c r="J87" i="7"/>
  <c r="J58" i="7"/>
  <c r="J173" i="7"/>
  <c r="J41" i="7"/>
  <c r="J158" i="7"/>
  <c r="J121" i="7"/>
  <c r="J160" i="7"/>
  <c r="J37" i="7"/>
  <c r="J86" i="7"/>
  <c r="J74" i="7"/>
  <c r="J162" i="7"/>
  <c r="J137" i="7"/>
  <c r="J176" i="7"/>
  <c r="J63" i="7"/>
  <c r="J102" i="7"/>
  <c r="J90" i="7"/>
  <c r="J73" i="7"/>
  <c r="J36" i="7"/>
  <c r="J118" i="7"/>
  <c r="J131" i="7"/>
  <c r="J57" i="7"/>
  <c r="J52" i="7"/>
  <c r="J85" i="7"/>
  <c r="J134" i="7"/>
  <c r="J147" i="7"/>
  <c r="J103" i="7"/>
  <c r="J133" i="7"/>
  <c r="J33" i="7"/>
  <c r="J149" i="7"/>
  <c r="J129" i="7"/>
  <c r="J20" i="7"/>
  <c r="J97" i="7"/>
  <c r="J135" i="7"/>
  <c r="J140" i="7"/>
  <c r="J161" i="7"/>
  <c r="J51" i="7"/>
  <c r="J80" i="7"/>
  <c r="J119" i="7"/>
  <c r="J67" i="7"/>
  <c r="J14" i="7"/>
  <c r="J139" i="7"/>
  <c r="J53" i="7"/>
  <c r="J25" i="7"/>
  <c r="J168" i="7"/>
  <c r="J154" i="7"/>
  <c r="J178" i="7"/>
  <c r="J30" i="7"/>
  <c r="J155" i="7"/>
  <c r="J152" i="7"/>
  <c r="J170" i="7"/>
  <c r="J46" i="7"/>
  <c r="J171" i="7"/>
  <c r="J50" i="7"/>
  <c r="J180" i="7"/>
  <c r="J16" i="7"/>
  <c r="J186" i="7"/>
  <c r="J13" i="7"/>
  <c r="J62" i="7"/>
  <c r="J187" i="7"/>
  <c r="J71" i="7"/>
  <c r="J151" i="7"/>
  <c r="J106" i="7"/>
  <c r="J22" i="7"/>
  <c r="J29" i="7"/>
  <c r="J79" i="7"/>
  <c r="J122" i="7"/>
  <c r="J82" i="7"/>
  <c r="J184" i="7"/>
  <c r="J48" i="7"/>
  <c r="J18" i="7"/>
  <c r="J28" i="7"/>
  <c r="J45" i="7"/>
  <c r="J111" i="7"/>
  <c r="J95" i="7"/>
  <c r="J128" i="7"/>
  <c r="J98" i="7"/>
  <c r="J15" i="7"/>
  <c r="J39" i="7"/>
  <c r="J44" i="7"/>
  <c r="J61" i="7"/>
  <c r="J96" i="7"/>
  <c r="J169" i="7"/>
  <c r="J89" i="7"/>
  <c r="J112" i="7"/>
  <c r="J153" i="7"/>
  <c r="J148" i="7"/>
  <c r="J56" i="7"/>
  <c r="J60" i="7"/>
  <c r="J78" i="7"/>
  <c r="J24" i="7"/>
  <c r="J164" i="7"/>
  <c r="J76" i="7"/>
  <c r="J94" i="7"/>
  <c r="J127" i="7"/>
  <c r="J17" i="7"/>
  <c r="J92" i="7"/>
  <c r="J110" i="7"/>
  <c r="J40" i="7"/>
  <c r="J38" i="7"/>
  <c r="J108" i="7"/>
  <c r="J126" i="7"/>
  <c r="J49" i="7"/>
  <c r="J124" i="7"/>
  <c r="J142" i="7"/>
  <c r="J130" i="7"/>
  <c r="J65" i="7"/>
  <c r="J88" i="7"/>
  <c r="J156" i="7"/>
  <c r="J174" i="7"/>
  <c r="J64" i="7"/>
  <c r="J136" i="7"/>
  <c r="J172" i="7"/>
  <c r="J34" i="7"/>
  <c r="J72" i="7"/>
  <c r="K3" i="7" l="1"/>
  <c r="L3" i="7" s="1"/>
  <c r="O2" i="5" s="1"/>
  <c r="P2" i="5" s="1"/>
  <c r="Q2" i="5" s="1"/>
  <c r="Q3" i="5" l="1"/>
</calcChain>
</file>

<file path=xl/sharedStrings.xml><?xml version="1.0" encoding="utf-8"?>
<sst xmlns="http://schemas.openxmlformats.org/spreadsheetml/2006/main" count="90" uniqueCount="75">
  <si>
    <t>DATE</t>
  </si>
  <si>
    <t>1Y_Treasury</t>
  </si>
  <si>
    <t>2Y_Treasury</t>
  </si>
  <si>
    <t>8. 🔋 Lithium / Rare Earth Commodity Futures</t>
  </si>
  <si>
    <t>The Risk Factor:</t>
  </si>
  <si>
    <r>
      <t>Lithium carbonate</t>
    </r>
    <r>
      <rPr>
        <sz val="11"/>
        <color theme="1"/>
        <rFont val="Aptos Narrow"/>
        <family val="2"/>
        <scheme val="minor"/>
      </rPr>
      <t xml:space="preserve"> futures</t>
    </r>
  </si>
  <si>
    <r>
      <t>Cobalt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rare earth element</t>
    </r>
    <r>
      <rPr>
        <sz val="11"/>
        <color theme="1"/>
        <rFont val="Aptos Narrow"/>
        <family val="2"/>
        <scheme val="minor"/>
      </rPr>
      <t xml:space="preserve"> derivatives</t>
    </r>
  </si>
  <si>
    <t>Why NMRF in 2007:</t>
  </si>
  <si>
    <t>❌ No lithium futures (demand was minimal - pre-EV boom)</t>
  </si>
  <si>
    <t>❌ Rare earths traded OTC only</t>
  </si>
  <si>
    <t>❌ China monopoly = no transparent pricing</t>
  </si>
  <si>
    <t>❌ No derivatives exchanges</t>
  </si>
  <si>
    <t>Today:</t>
  </si>
  <si>
    <t>✅ CME lithium futures launched (2021)</t>
  </si>
  <si>
    <t>✅ LME cobalt futures exist</t>
  </si>
  <si>
    <t>✅ But often NMRF:</t>
  </si>
  <si>
    <t>Only 2-3 years of data (lithium)</t>
  </si>
  <si>
    <t>Extreme price manipulation concerns</t>
  </si>
  <si>
    <t>Concentration risk (few producers)</t>
  </si>
  <si>
    <t>9. 🌐 Sovereign CDS for Frontier Markets</t>
  </si>
  <si>
    <r>
      <t>CDS spreads</t>
    </r>
    <r>
      <rPr>
        <sz val="11"/>
        <color theme="1"/>
        <rFont val="Aptos Narrow"/>
        <family val="2"/>
        <scheme val="minor"/>
      </rPr>
      <t xml:space="preserve"> for countries like </t>
    </r>
    <r>
      <rPr>
        <b/>
        <sz val="11"/>
        <color theme="1"/>
        <rFont val="Aptos Narrow"/>
        <family val="2"/>
        <scheme val="minor"/>
      </rPr>
      <t>Nigeria, Kenya, Bangladesh</t>
    </r>
  </si>
  <si>
    <t>⚠️ EM CDS existed but limited to major EMs (Brazil, Russia, Turkey)</t>
  </si>
  <si>
    <r>
      <t xml:space="preserve">❌ </t>
    </r>
    <r>
      <rPr>
        <b/>
        <sz val="11"/>
        <color theme="1"/>
        <rFont val="Aptos Narrow"/>
        <family val="2"/>
        <scheme val="minor"/>
      </rPr>
      <t>Frontier markets:</t>
    </r>
    <r>
      <rPr>
        <sz val="11"/>
        <color theme="1"/>
        <rFont val="Aptos Narrow"/>
        <family val="2"/>
        <scheme val="minor"/>
      </rPr>
      <t xml:space="preserve"> No CDS market at all</t>
    </r>
  </si>
  <si>
    <t>❌ Illiquid sovereign bonds = no spread derivatives</t>
  </si>
  <si>
    <t>❌ Post-2008, some markets developed</t>
  </si>
  <si>
    <t>Carbon credits</t>
  </si>
  <si>
    <t>ESG/Green Bond Spreads</t>
  </si>
  <si>
    <t>MSFT price</t>
  </si>
  <si>
    <t>Intel price</t>
  </si>
  <si>
    <t>NORM.INV(RAND(), 38, 5)</t>
  </si>
  <si>
    <t>Coupon</t>
  </si>
  <si>
    <t>FILTER(A2, WEEKDAY(A2, 2) &lt;= 5)</t>
  </si>
  <si>
    <t>Credit Spread: Corporate(HY)</t>
  </si>
  <si>
    <t>Credit spread: sovereign (high yield, or HY)</t>
  </si>
  <si>
    <t>Credit spread: sovereign (investment grade, or IG)</t>
  </si>
  <si>
    <t>Carbon Credits</t>
  </si>
  <si>
    <t>Treasury bonds</t>
  </si>
  <si>
    <t>Holding</t>
  </si>
  <si>
    <t>Quantity</t>
  </si>
  <si>
    <t>Notional</t>
  </si>
  <si>
    <t>Sovereign Bonds IG</t>
  </si>
  <si>
    <t>Sovereign Bonds HY</t>
  </si>
  <si>
    <t>Price</t>
  </si>
  <si>
    <t>MSFT stocks</t>
  </si>
  <si>
    <t>Intel Stock</t>
  </si>
  <si>
    <t>Treasury Bonds IG valuation</t>
  </si>
  <si>
    <t>Credit spread: Sovereign Bonds IG valuation</t>
  </si>
  <si>
    <t>MSFT</t>
  </si>
  <si>
    <t>Intel</t>
  </si>
  <si>
    <t>carbon credits</t>
  </si>
  <si>
    <t>Portfolio value</t>
  </si>
  <si>
    <t>10 day PnL</t>
  </si>
  <si>
    <t>ES</t>
  </si>
  <si>
    <t>VaR</t>
  </si>
  <si>
    <t>Credit Spread:Corporate HY</t>
  </si>
  <si>
    <t>Credit Spread Corporate HY</t>
  </si>
  <si>
    <t>ES, Q(pi,1)</t>
  </si>
  <si>
    <t>LH  = 10</t>
  </si>
  <si>
    <t>LH  = 20</t>
  </si>
  <si>
    <t>LH  = 40</t>
  </si>
  <si>
    <t>LH  = 60</t>
  </si>
  <si>
    <t>Absolute ES</t>
  </si>
  <si>
    <t>Calculated value</t>
  </si>
  <si>
    <t>LH</t>
  </si>
  <si>
    <r>
      <t>ES</t>
    </r>
    <r>
      <rPr>
        <vertAlign val="subscript"/>
        <sz val="14"/>
        <color theme="1"/>
        <rFont val="Aptos Narrow"/>
        <family val="2"/>
        <scheme val="minor"/>
      </rPr>
      <t>F,C</t>
    </r>
  </si>
  <si>
    <t>Total</t>
  </si>
  <si>
    <t>T</t>
  </si>
  <si>
    <r>
      <t>ES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(P)</t>
    </r>
  </si>
  <si>
    <t>LH=10</t>
  </si>
  <si>
    <t>LH=10, 20</t>
  </si>
  <si>
    <t>LH=10, 40</t>
  </si>
  <si>
    <t>LH=10, 60</t>
  </si>
  <si>
    <t>LH=20</t>
  </si>
  <si>
    <t>Standard deviation of factors</t>
  </si>
  <si>
    <t>Standard deviation/Average%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</si>
</sst>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000"/>
    <numFmt numFmtId="165" formatCode="0.0000%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9"/>
      <color rgb="FF0A0A0A"/>
      <name val="Courier New"/>
      <family val="3"/>
    </font>
    <font>
      <sz val="10"/>
      <color rgb="FF0A0A0A"/>
      <name val="Arial Unicode MS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wrapText="1"/>
    </xf>
    <xf numFmtId="0" fontId="20" fillId="0" borderId="0" xfId="0" applyFont="1"/>
    <xf numFmtId="0" fontId="21" fillId="0" borderId="0" xfId="0" applyFont="1" applyAlignment="1">
      <alignment vertical="center"/>
    </xf>
    <xf numFmtId="43" fontId="0" fillId="0" borderId="0" xfId="42" applyFont="1"/>
    <xf numFmtId="0" fontId="24" fillId="0" borderId="0" xfId="0" applyFont="1"/>
    <xf numFmtId="43" fontId="0" fillId="33" borderId="0" xfId="0" applyNumberFormat="1" applyFill="1"/>
    <xf numFmtId="14" fontId="0" fillId="34" borderId="0" xfId="0" applyNumberFormat="1" applyFill="1"/>
    <xf numFmtId="0" fontId="0" fillId="34" borderId="0" xfId="0" applyFill="1"/>
    <xf numFmtId="164" fontId="0" fillId="34" borderId="0" xfId="0" applyNumberFormat="1" applyFill="1"/>
    <xf numFmtId="165" fontId="0" fillId="0" borderId="0" xfId="43" applyNumberFormat="1" applyFont="1"/>
    <xf numFmtId="0" fontId="0" fillId="0" borderId="0" xfId="0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11</xdr:col>
      <xdr:colOff>286125</xdr:colOff>
      <xdr:row>32</xdr:row>
      <xdr:rowOff>63702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989512-043E-A50A-52C3-EFAB8120A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25650"/>
          <a:ext cx="7296525" cy="3930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1105-A324-4D8E-BCD3-D819580EE136}">
  <dimension ref="A1:R263"/>
  <sheetViews>
    <sheetView workbookViewId="0">
      <selection activeCell="F3" sqref="F3:F263"/>
    </sheetView>
  </sheetViews>
  <sheetFormatPr defaultColWidth="14.36328125" defaultRowHeight="14.5"/>
  <cols>
    <col min="2" max="2" width="10.453125" style="1" customWidth="1"/>
    <col min="3" max="3" width="12.08984375" customWidth="1"/>
    <col min="4" max="4" width="18.81640625" customWidth="1"/>
    <col min="5" max="5" width="15.7265625" customWidth="1"/>
    <col min="7" max="7" width="17.453125" customWidth="1"/>
    <col min="8" max="8" width="16.6328125" customWidth="1"/>
    <col min="9" max="9" width="17.453125" customWidth="1"/>
    <col min="10" max="10" width="18.7265625" customWidth="1"/>
  </cols>
  <sheetData>
    <row r="1" spans="1:18">
      <c r="C1" s="17" t="s">
        <v>57</v>
      </c>
      <c r="D1" s="17"/>
      <c r="E1" s="17"/>
      <c r="F1" s="17"/>
      <c r="G1" t="s">
        <v>58</v>
      </c>
      <c r="H1" t="s">
        <v>59</v>
      </c>
      <c r="I1" t="s">
        <v>60</v>
      </c>
      <c r="J1" t="s">
        <v>58</v>
      </c>
      <c r="K1" s="17" t="s">
        <v>73</v>
      </c>
      <c r="L1" s="17"/>
      <c r="M1" s="17"/>
      <c r="N1" s="17"/>
      <c r="O1" s="17"/>
      <c r="P1" s="17"/>
      <c r="Q1" s="17"/>
      <c r="R1" s="17"/>
    </row>
    <row r="2" spans="1:18" ht="69" customHeight="1">
      <c r="A2" t="s">
        <v>0</v>
      </c>
      <c r="C2" t="s">
        <v>1</v>
      </c>
      <c r="D2" t="s">
        <v>2</v>
      </c>
      <c r="E2" t="s">
        <v>27</v>
      </c>
      <c r="F2" t="s">
        <v>28</v>
      </c>
      <c r="G2" s="7" t="s">
        <v>34</v>
      </c>
      <c r="H2" s="7" t="s">
        <v>33</v>
      </c>
      <c r="I2" s="7" t="s">
        <v>32</v>
      </c>
      <c r="J2" t="s">
        <v>35</v>
      </c>
      <c r="K2" t="s">
        <v>1</v>
      </c>
      <c r="L2" t="s">
        <v>2</v>
      </c>
      <c r="M2" t="s">
        <v>27</v>
      </c>
      <c r="N2" t="s">
        <v>28</v>
      </c>
      <c r="O2" s="7" t="s">
        <v>34</v>
      </c>
      <c r="P2" s="7" t="s">
        <v>33</v>
      </c>
      <c r="Q2" s="7" t="s">
        <v>32</v>
      </c>
      <c r="R2" t="s">
        <v>35</v>
      </c>
    </row>
    <row r="3" spans="1:18">
      <c r="A3" s="1">
        <v>45474</v>
      </c>
      <c r="B3" s="1">
        <v>45474</v>
      </c>
      <c r="C3">
        <v>4.2673966662970146</v>
      </c>
      <c r="D3">
        <v>4.5673966662970145</v>
      </c>
      <c r="E3">
        <v>521.43895533915895</v>
      </c>
      <c r="F3">
        <v>36.962945087936532</v>
      </c>
      <c r="G3">
        <v>0.51</v>
      </c>
      <c r="H3">
        <v>0.58622522308595848</v>
      </c>
      <c r="I3">
        <v>0.69637380533808979</v>
      </c>
      <c r="J3">
        <v>21.480998964419861</v>
      </c>
      <c r="K3">
        <f>_xlfn.STDEV.P(C3:C263)</f>
        <v>4.5375174590141058E-3</v>
      </c>
      <c r="L3">
        <f t="shared" ref="L3:R3" si="0">_xlfn.STDEV.P(D3:D263)</f>
        <v>4.4961098806757431E-3</v>
      </c>
      <c r="M3">
        <f t="shared" si="0"/>
        <v>2.9558577807620168E-12</v>
      </c>
      <c r="N3">
        <f t="shared" si="0"/>
        <v>0</v>
      </c>
      <c r="O3">
        <f t="shared" si="0"/>
        <v>1.7763568394002505E-15</v>
      </c>
      <c r="P3">
        <f t="shared" si="0"/>
        <v>1.8873791418627661E-15</v>
      </c>
      <c r="Q3">
        <f t="shared" si="0"/>
        <v>3.6637359812630166E-15</v>
      </c>
      <c r="R3">
        <f t="shared" si="0"/>
        <v>6.7501559897209518E-14</v>
      </c>
    </row>
    <row r="4" spans="1:18">
      <c r="A4" s="1">
        <v>45475</v>
      </c>
      <c r="B4" s="1">
        <v>45475</v>
      </c>
      <c r="C4">
        <v>4.2693680456226319</v>
      </c>
      <c r="D4">
        <v>4.5693680456226318</v>
      </c>
      <c r="E4">
        <v>521.43895533915895</v>
      </c>
      <c r="F4">
        <v>36.962945087936532</v>
      </c>
      <c r="G4">
        <v>0.51</v>
      </c>
      <c r="H4">
        <v>0.58622522308595848</v>
      </c>
      <c r="I4">
        <v>0.69637380533808979</v>
      </c>
      <c r="J4">
        <v>21.480998964419861</v>
      </c>
      <c r="K4" s="17" t="s">
        <v>74</v>
      </c>
      <c r="L4" s="17"/>
      <c r="M4" s="17"/>
      <c r="N4" s="17"/>
      <c r="O4" s="17"/>
      <c r="P4" s="17"/>
      <c r="Q4" s="17"/>
      <c r="R4" s="17"/>
    </row>
    <row r="5" spans="1:18">
      <c r="A5" s="1">
        <v>45476</v>
      </c>
      <c r="B5" s="1">
        <v>45476</v>
      </c>
      <c r="C5">
        <v>4.2604933822940332</v>
      </c>
      <c r="D5">
        <v>4.560493382294033</v>
      </c>
      <c r="E5">
        <v>521.43895533915895</v>
      </c>
      <c r="F5">
        <v>36.962945087936532</v>
      </c>
      <c r="G5">
        <v>0.51</v>
      </c>
      <c r="H5">
        <v>0.58622522308595848</v>
      </c>
      <c r="I5">
        <v>0.69637380533808979</v>
      </c>
      <c r="J5">
        <v>21.480998964419861</v>
      </c>
      <c r="K5" s="16">
        <f>_xlfn.STDEV.P(C3:C263)/AVERAGE(C3:C263)</f>
        <v>1.0627636033977989E-3</v>
      </c>
      <c r="L5" s="16">
        <f t="shared" ref="L5:R5" si="1">_xlfn.STDEV.P(D3:D263)/AVERAGE(D3:D263)</f>
        <v>9.8390708903707937E-4</v>
      </c>
      <c r="M5" s="16">
        <f t="shared" si="1"/>
        <v>5.6686554590833327E-15</v>
      </c>
      <c r="N5" s="16">
        <f t="shared" si="1"/>
        <v>0</v>
      </c>
      <c r="O5" s="16">
        <f t="shared" si="1"/>
        <v>3.4830526262749885E-15</v>
      </c>
      <c r="P5" s="16">
        <f t="shared" si="1"/>
        <v>3.2195461190280665E-15</v>
      </c>
      <c r="Q5" s="16">
        <f t="shared" si="1"/>
        <v>5.2611628311956544E-15</v>
      </c>
      <c r="R5" s="16">
        <f t="shared" si="1"/>
        <v>3.1423845794609358E-15</v>
      </c>
    </row>
    <row r="6" spans="1:18">
      <c r="A6" s="1">
        <v>45477</v>
      </c>
      <c r="B6" s="1">
        <v>45477</v>
      </c>
      <c r="C6">
        <v>4.2669614641547948</v>
      </c>
      <c r="D6">
        <v>4.5669614641547946</v>
      </c>
      <c r="E6">
        <v>521.43895533915895</v>
      </c>
      <c r="F6">
        <v>36.962945087936532</v>
      </c>
      <c r="G6">
        <v>0.51</v>
      </c>
      <c r="H6">
        <v>0.58622522308595848</v>
      </c>
      <c r="I6">
        <v>0.69637380533808979</v>
      </c>
      <c r="J6">
        <v>21.480998964419861</v>
      </c>
    </row>
    <row r="7" spans="1:18">
      <c r="A7" s="1">
        <v>45478</v>
      </c>
      <c r="B7" s="1">
        <v>45478</v>
      </c>
      <c r="C7">
        <v>4.2761961078121002</v>
      </c>
      <c r="D7">
        <v>4.5761961078121001</v>
      </c>
      <c r="E7">
        <v>521.43895533915895</v>
      </c>
      <c r="F7">
        <v>36.962945087936532</v>
      </c>
      <c r="G7">
        <v>0.51</v>
      </c>
      <c r="H7">
        <v>0.58622522308595848</v>
      </c>
      <c r="I7">
        <v>0.69637380533808979</v>
      </c>
      <c r="J7">
        <v>21.480998964419861</v>
      </c>
    </row>
    <row r="8" spans="1:18">
      <c r="A8" s="1">
        <v>45481</v>
      </c>
      <c r="B8" s="1">
        <v>45481</v>
      </c>
      <c r="C8">
        <v>4.277452636718122</v>
      </c>
      <c r="D8">
        <v>4.5774526367181219</v>
      </c>
      <c r="E8">
        <v>521.43895533915895</v>
      </c>
      <c r="F8">
        <v>36.962945087936532</v>
      </c>
      <c r="G8">
        <v>0.51</v>
      </c>
      <c r="H8">
        <v>0.58622522308595848</v>
      </c>
      <c r="I8">
        <v>0.69637380533808979</v>
      </c>
      <c r="J8">
        <v>21.480998964419861</v>
      </c>
    </row>
    <row r="9" spans="1:18">
      <c r="A9" s="1">
        <v>45482</v>
      </c>
      <c r="B9" s="1">
        <v>45482</v>
      </c>
      <c r="C9">
        <v>4.2662062692595519</v>
      </c>
      <c r="D9">
        <v>4.5662062692595518</v>
      </c>
      <c r="E9">
        <v>521.43895533915895</v>
      </c>
      <c r="F9">
        <v>36.962945087936532</v>
      </c>
      <c r="G9">
        <v>0.51</v>
      </c>
      <c r="H9">
        <v>0.58622522308595848</v>
      </c>
      <c r="I9">
        <v>0.69637380533808979</v>
      </c>
      <c r="J9">
        <v>21.480998964419861</v>
      </c>
    </row>
    <row r="10" spans="1:18">
      <c r="A10" s="1">
        <v>45483</v>
      </c>
      <c r="B10" s="1">
        <v>45483</v>
      </c>
      <c r="C10">
        <v>4.2698552197216539</v>
      </c>
      <c r="D10">
        <v>4.5698552197216538</v>
      </c>
      <c r="E10">
        <v>521.43895533915895</v>
      </c>
      <c r="F10">
        <v>36.962945087936532</v>
      </c>
      <c r="G10">
        <v>0.51</v>
      </c>
      <c r="H10">
        <v>0.58622522308595848</v>
      </c>
      <c r="I10">
        <v>0.69637380533808979</v>
      </c>
      <c r="J10">
        <v>21.480998964419861</v>
      </c>
    </row>
    <row r="11" spans="1:18">
      <c r="A11" s="1">
        <v>45484</v>
      </c>
      <c r="B11" s="1">
        <v>45484</v>
      </c>
      <c r="C11">
        <v>4.2725652328067998</v>
      </c>
      <c r="D11">
        <v>4.5725652328067996</v>
      </c>
      <c r="E11">
        <v>521.43895533915895</v>
      </c>
      <c r="F11">
        <v>36.962945087936532</v>
      </c>
      <c r="G11">
        <v>0.51</v>
      </c>
      <c r="H11">
        <v>0.58622522308595848</v>
      </c>
      <c r="I11">
        <v>0.69637380533808979</v>
      </c>
      <c r="J11">
        <v>21.480998964419861</v>
      </c>
    </row>
    <row r="12" spans="1:18">
      <c r="A12" s="1">
        <v>45485</v>
      </c>
      <c r="B12" s="1">
        <v>45485</v>
      </c>
      <c r="C12">
        <v>4.267594107102334</v>
      </c>
      <c r="D12">
        <v>4.5675941071023338</v>
      </c>
      <c r="E12">
        <v>521.43895533915895</v>
      </c>
      <c r="F12">
        <v>36.962945087936532</v>
      </c>
      <c r="G12">
        <v>0.51</v>
      </c>
      <c r="H12">
        <v>0.58622522308595848</v>
      </c>
      <c r="I12">
        <v>0.69637380533808979</v>
      </c>
      <c r="J12">
        <v>21.480998964419861</v>
      </c>
    </row>
    <row r="13" spans="1:18">
      <c r="A13" s="1">
        <v>45488</v>
      </c>
      <c r="B13" s="1">
        <v>45488</v>
      </c>
      <c r="C13">
        <v>4.2642740494894369</v>
      </c>
      <c r="D13">
        <v>4.5642740494894367</v>
      </c>
      <c r="E13">
        <v>521.43895533915895</v>
      </c>
      <c r="F13">
        <v>36.962945087936532</v>
      </c>
      <c r="G13">
        <v>0.51</v>
      </c>
      <c r="H13">
        <v>0.58622522308595848</v>
      </c>
      <c r="I13">
        <v>0.69637380533808979</v>
      </c>
      <c r="J13">
        <v>21.480998964419861</v>
      </c>
    </row>
    <row r="14" spans="1:18">
      <c r="A14" s="1">
        <v>45489</v>
      </c>
      <c r="B14" s="1">
        <v>45489</v>
      </c>
      <c r="C14">
        <v>4.2577580097793719</v>
      </c>
      <c r="D14">
        <v>4.5577580097793717</v>
      </c>
      <c r="E14">
        <v>521.43895533915895</v>
      </c>
      <c r="F14">
        <v>36.962945087936532</v>
      </c>
      <c r="G14">
        <v>0.51</v>
      </c>
      <c r="H14">
        <v>0.58622522308595848</v>
      </c>
      <c r="I14">
        <v>0.69637380533808979</v>
      </c>
      <c r="J14">
        <v>21.480998964419861</v>
      </c>
    </row>
    <row r="15" spans="1:18">
      <c r="A15" s="1">
        <v>45490</v>
      </c>
      <c r="B15" s="1">
        <v>45490</v>
      </c>
      <c r="C15">
        <v>4.2781558453295006</v>
      </c>
      <c r="D15">
        <v>4.5781558453295004</v>
      </c>
      <c r="E15">
        <v>521.43895533915895</v>
      </c>
      <c r="F15">
        <v>36.962945087936532</v>
      </c>
      <c r="G15">
        <v>0.51</v>
      </c>
      <c r="H15">
        <v>0.58622522308595848</v>
      </c>
      <c r="I15">
        <v>0.69637380533808979</v>
      </c>
      <c r="J15">
        <v>21.480998964419861</v>
      </c>
    </row>
    <row r="16" spans="1:18">
      <c r="A16" s="1">
        <v>45491</v>
      </c>
      <c r="B16" s="1">
        <v>45491</v>
      </c>
      <c r="C16">
        <v>4.2698508434478191</v>
      </c>
      <c r="D16">
        <v>4.5698508434478189</v>
      </c>
      <c r="E16">
        <v>521.43895533915895</v>
      </c>
      <c r="F16">
        <v>36.962945087936532</v>
      </c>
      <c r="G16">
        <v>0.51</v>
      </c>
      <c r="H16">
        <v>0.58622522308595848</v>
      </c>
      <c r="I16">
        <v>0.69637380533808979</v>
      </c>
      <c r="J16">
        <v>21.480998964419861</v>
      </c>
    </row>
    <row r="17" spans="1:10">
      <c r="A17" s="1">
        <v>45492</v>
      </c>
      <c r="B17" s="1">
        <v>45492</v>
      </c>
      <c r="C17">
        <v>4.2720218002074803</v>
      </c>
      <c r="D17">
        <v>4.5720218002074802</v>
      </c>
      <c r="E17">
        <v>521.43895533915895</v>
      </c>
      <c r="F17">
        <v>36.962945087936532</v>
      </c>
      <c r="G17">
        <v>0.51</v>
      </c>
      <c r="H17">
        <v>0.58622522308595848</v>
      </c>
      <c r="I17">
        <v>0.69637380533808979</v>
      </c>
      <c r="J17">
        <v>21.480998964419861</v>
      </c>
    </row>
    <row r="18" spans="1:10">
      <c r="A18" s="1">
        <v>45495</v>
      </c>
      <c r="B18" s="1">
        <v>45495</v>
      </c>
      <c r="C18">
        <v>4.2679522907967389</v>
      </c>
      <c r="D18">
        <v>4.5679522907967387</v>
      </c>
      <c r="E18">
        <v>521.43895533915895</v>
      </c>
      <c r="F18">
        <v>36.962945087936532</v>
      </c>
      <c r="G18">
        <v>0.51</v>
      </c>
      <c r="H18">
        <v>0.58622522308595848</v>
      </c>
      <c r="I18">
        <v>0.69637380533808979</v>
      </c>
      <c r="J18">
        <v>21.480998964419861</v>
      </c>
    </row>
    <row r="19" spans="1:10">
      <c r="A19" s="1">
        <v>45496</v>
      </c>
      <c r="B19" s="1">
        <v>45496</v>
      </c>
      <c r="C19">
        <v>4.2673965005135441</v>
      </c>
      <c r="D19">
        <v>4.567396500513544</v>
      </c>
      <c r="E19">
        <v>521.43895533915895</v>
      </c>
      <c r="F19">
        <v>36.962945087936532</v>
      </c>
      <c r="G19">
        <v>0.51</v>
      </c>
      <c r="H19">
        <v>0.58622522308595848</v>
      </c>
      <c r="I19">
        <v>0.69637380533808979</v>
      </c>
      <c r="J19">
        <v>21.480998964419861</v>
      </c>
    </row>
    <row r="20" spans="1:10">
      <c r="A20" s="1">
        <v>45497</v>
      </c>
      <c r="B20" s="1">
        <v>45497</v>
      </c>
      <c r="C20">
        <v>4.2701843070695036</v>
      </c>
      <c r="D20">
        <v>4.5701843070695034</v>
      </c>
      <c r="E20">
        <v>521.43895533915895</v>
      </c>
      <c r="F20">
        <v>36.962945087936532</v>
      </c>
      <c r="G20">
        <v>0.51</v>
      </c>
      <c r="H20">
        <v>0.58622522308595848</v>
      </c>
      <c r="I20">
        <v>0.69637380533808979</v>
      </c>
      <c r="J20">
        <v>21.480998964419861</v>
      </c>
    </row>
    <row r="21" spans="1:10">
      <c r="A21" s="1">
        <v>45498</v>
      </c>
      <c r="B21" s="1">
        <v>45498</v>
      </c>
      <c r="C21">
        <v>4.2719100809991772</v>
      </c>
      <c r="D21">
        <v>4.5719100809991771</v>
      </c>
      <c r="E21">
        <v>521.43895533915895</v>
      </c>
      <c r="F21">
        <v>36.962945087936532</v>
      </c>
      <c r="G21">
        <v>0.51</v>
      </c>
      <c r="H21">
        <v>0.58622522308595848</v>
      </c>
      <c r="I21">
        <v>0.69637380533808979</v>
      </c>
      <c r="J21">
        <v>21.480998964419861</v>
      </c>
    </row>
    <row r="22" spans="1:10">
      <c r="A22" s="1">
        <v>45499</v>
      </c>
      <c r="B22" s="1">
        <v>45499</v>
      </c>
      <c r="C22">
        <v>4.2681933033662691</v>
      </c>
      <c r="D22">
        <v>4.5681933033662689</v>
      </c>
      <c r="E22">
        <v>521.43895533915895</v>
      </c>
      <c r="F22">
        <v>36.962945087936532</v>
      </c>
      <c r="G22">
        <v>0.51</v>
      </c>
      <c r="H22">
        <v>0.58622522308595848</v>
      </c>
      <c r="I22">
        <v>0.69637380533808979</v>
      </c>
      <c r="J22">
        <v>21.480998964419861</v>
      </c>
    </row>
    <row r="23" spans="1:10">
      <c r="A23" s="1">
        <v>45502</v>
      </c>
      <c r="B23" s="1">
        <v>45502</v>
      </c>
      <c r="C23">
        <v>4.2642631932414243</v>
      </c>
      <c r="D23">
        <v>4.5642631932414242</v>
      </c>
      <c r="E23">
        <v>521.43895533915895</v>
      </c>
      <c r="F23">
        <v>36.962945087936532</v>
      </c>
      <c r="G23">
        <v>0.51</v>
      </c>
      <c r="H23">
        <v>0.58622522308595848</v>
      </c>
      <c r="I23">
        <v>0.69637380533808979</v>
      </c>
      <c r="J23">
        <v>21.480998964419861</v>
      </c>
    </row>
    <row r="24" spans="1:10">
      <c r="A24" s="1">
        <v>45503</v>
      </c>
      <c r="B24" s="1">
        <v>45503</v>
      </c>
      <c r="C24">
        <v>4.2660029259033969</v>
      </c>
      <c r="D24">
        <v>4.5660029259033967</v>
      </c>
      <c r="E24">
        <v>521.43895533915895</v>
      </c>
      <c r="F24">
        <v>36.962945087936532</v>
      </c>
      <c r="G24">
        <v>0.51</v>
      </c>
      <c r="H24">
        <v>0.58622522308595848</v>
      </c>
      <c r="I24">
        <v>0.69637380533808979</v>
      </c>
      <c r="J24">
        <v>21.480998964419861</v>
      </c>
    </row>
    <row r="25" spans="1:10">
      <c r="A25" s="1">
        <v>45504</v>
      </c>
      <c r="B25" s="1">
        <v>45504</v>
      </c>
      <c r="C25">
        <v>4.2688968310090853</v>
      </c>
      <c r="D25">
        <v>4.5688968310090852</v>
      </c>
      <c r="E25">
        <v>521.43895533915895</v>
      </c>
      <c r="F25">
        <v>36.962945087936532</v>
      </c>
      <c r="G25">
        <v>0.51</v>
      </c>
      <c r="H25">
        <v>0.58622522308595848</v>
      </c>
      <c r="I25">
        <v>0.69637380533808979</v>
      </c>
      <c r="J25">
        <v>21.480998964419861</v>
      </c>
    </row>
    <row r="26" spans="1:10">
      <c r="A26" s="1">
        <v>45505</v>
      </c>
      <c r="B26" s="1">
        <v>45505</v>
      </c>
      <c r="C26">
        <v>4.2649780261180572</v>
      </c>
      <c r="D26">
        <v>4.564978026118057</v>
      </c>
      <c r="E26">
        <v>521.43895533915895</v>
      </c>
      <c r="F26">
        <v>36.962945087936532</v>
      </c>
      <c r="G26">
        <v>0.51</v>
      </c>
      <c r="H26">
        <v>0.58622522308595848</v>
      </c>
      <c r="I26">
        <v>0.69637380533808979</v>
      </c>
      <c r="J26">
        <v>21.480998964419861</v>
      </c>
    </row>
    <row r="27" spans="1:10">
      <c r="A27" s="1">
        <v>45506</v>
      </c>
      <c r="B27" s="1">
        <v>45506</v>
      </c>
      <c r="C27">
        <v>4.2660862276521936</v>
      </c>
      <c r="D27">
        <v>4.5660862276521934</v>
      </c>
      <c r="E27">
        <v>521.43895533915895</v>
      </c>
      <c r="F27">
        <v>36.962945087936532</v>
      </c>
      <c r="G27">
        <v>0.51</v>
      </c>
      <c r="H27">
        <v>0.58622522308595848</v>
      </c>
      <c r="I27">
        <v>0.69637380533808979</v>
      </c>
      <c r="J27">
        <v>21.480998964419861</v>
      </c>
    </row>
    <row r="28" spans="1:10">
      <c r="A28" s="1">
        <v>45509</v>
      </c>
      <c r="B28" s="1">
        <v>45509</v>
      </c>
      <c r="C28">
        <v>4.2714196457761533</v>
      </c>
      <c r="D28">
        <v>4.5714196457761531</v>
      </c>
      <c r="E28">
        <v>521.43895533915895</v>
      </c>
      <c r="F28">
        <v>36.962945087936532</v>
      </c>
      <c r="G28">
        <v>0.51</v>
      </c>
      <c r="H28">
        <v>0.58622522308595848</v>
      </c>
      <c r="I28">
        <v>0.69637380533808979</v>
      </c>
      <c r="J28">
        <v>21.480998964419861</v>
      </c>
    </row>
    <row r="29" spans="1:10">
      <c r="A29" s="1">
        <v>45510</v>
      </c>
      <c r="B29" s="1">
        <v>45510</v>
      </c>
      <c r="C29">
        <v>4.2646362239302302</v>
      </c>
      <c r="D29">
        <v>4.5646362239302301</v>
      </c>
      <c r="E29">
        <v>521.43895533915895</v>
      </c>
      <c r="F29">
        <v>36.962945087936532</v>
      </c>
      <c r="G29">
        <v>0.51</v>
      </c>
      <c r="H29">
        <v>0.58622522308595848</v>
      </c>
      <c r="I29">
        <v>0.69637380533808979</v>
      </c>
      <c r="J29">
        <v>21.480998964419861</v>
      </c>
    </row>
    <row r="30" spans="1:10">
      <c r="A30" s="1">
        <v>45511</v>
      </c>
      <c r="B30" s="1">
        <v>45511</v>
      </c>
      <c r="C30">
        <v>4.273870626059642</v>
      </c>
      <c r="D30">
        <v>4.5738706260596418</v>
      </c>
      <c r="E30">
        <v>521.43895533915895</v>
      </c>
      <c r="F30">
        <v>36.962945087936532</v>
      </c>
      <c r="G30">
        <v>0.51</v>
      </c>
      <c r="H30">
        <v>0.58622522308595848</v>
      </c>
      <c r="I30">
        <v>0.69637380533808979</v>
      </c>
      <c r="J30">
        <v>21.480998964419861</v>
      </c>
    </row>
    <row r="31" spans="1:10">
      <c r="A31" s="1">
        <v>45512</v>
      </c>
      <c r="B31" s="1">
        <v>45512</v>
      </c>
      <c r="C31">
        <v>4.2693270591209895</v>
      </c>
      <c r="D31">
        <v>4.5693270591209894</v>
      </c>
      <c r="E31">
        <v>521.43895533915895</v>
      </c>
      <c r="F31">
        <v>36.962945087936532</v>
      </c>
      <c r="G31">
        <v>0.51</v>
      </c>
      <c r="H31">
        <v>0.58622522308595848</v>
      </c>
      <c r="I31">
        <v>0.69637380533808979</v>
      </c>
      <c r="J31">
        <v>21.480998964419861</v>
      </c>
    </row>
    <row r="32" spans="1:10">
      <c r="A32" s="1">
        <v>45513</v>
      </c>
      <c r="B32" s="1">
        <v>45513</v>
      </c>
      <c r="C32">
        <v>4.2685018357564459</v>
      </c>
      <c r="D32">
        <v>4.5685018357564458</v>
      </c>
      <c r="E32">
        <v>521.43895533915895</v>
      </c>
      <c r="F32">
        <v>36.962945087936532</v>
      </c>
      <c r="G32">
        <v>0.51</v>
      </c>
      <c r="H32">
        <v>0.58622522308595848</v>
      </c>
      <c r="I32">
        <v>0.69637380533808979</v>
      </c>
      <c r="J32">
        <v>21.480998964419861</v>
      </c>
    </row>
    <row r="33" spans="1:10">
      <c r="A33" s="1">
        <v>45516</v>
      </c>
      <c r="B33" s="1">
        <v>45516</v>
      </c>
      <c r="C33">
        <v>4.2664061664272941</v>
      </c>
      <c r="D33">
        <v>4.5664061664272939</v>
      </c>
      <c r="E33">
        <v>521.43895533915895</v>
      </c>
      <c r="F33">
        <v>36.962945087936532</v>
      </c>
      <c r="G33">
        <v>0.51</v>
      </c>
      <c r="H33">
        <v>0.58622522308595848</v>
      </c>
      <c r="I33">
        <v>0.69637380533808979</v>
      </c>
      <c r="J33">
        <v>21.480998964419861</v>
      </c>
    </row>
    <row r="34" spans="1:10">
      <c r="A34" s="1">
        <v>45517</v>
      </c>
      <c r="B34" s="1">
        <v>45517</v>
      </c>
      <c r="C34">
        <v>4.2689477511397547</v>
      </c>
      <c r="D34">
        <v>4.5689477511397545</v>
      </c>
      <c r="E34">
        <v>521.43895533915895</v>
      </c>
      <c r="F34">
        <v>36.962945087936532</v>
      </c>
      <c r="G34">
        <v>0.51</v>
      </c>
      <c r="H34">
        <v>0.58622522308595848</v>
      </c>
      <c r="I34">
        <v>0.69637380533808979</v>
      </c>
      <c r="J34">
        <v>21.480998964419861</v>
      </c>
    </row>
    <row r="35" spans="1:10">
      <c r="A35" s="1">
        <v>45518</v>
      </c>
      <c r="B35" s="1">
        <v>45518</v>
      </c>
      <c r="C35">
        <v>4.2803974983687469</v>
      </c>
      <c r="D35">
        <v>4.5803974983687468</v>
      </c>
      <c r="E35">
        <v>521.43895533915895</v>
      </c>
      <c r="F35">
        <v>36.962945087936532</v>
      </c>
      <c r="G35">
        <v>0.51</v>
      </c>
      <c r="H35">
        <v>0.58622522308595848</v>
      </c>
      <c r="I35">
        <v>0.69637380533808979</v>
      </c>
      <c r="J35">
        <v>21.480998964419861</v>
      </c>
    </row>
    <row r="36" spans="1:10">
      <c r="A36" s="1">
        <v>45519</v>
      </c>
      <c r="B36" s="1">
        <v>45519</v>
      </c>
      <c r="C36">
        <v>4.2742847939537025</v>
      </c>
      <c r="D36">
        <v>4.5742847939537024</v>
      </c>
      <c r="E36">
        <v>521.43895533915895</v>
      </c>
      <c r="F36">
        <v>36.962945087936532</v>
      </c>
      <c r="G36">
        <v>0.51</v>
      </c>
      <c r="H36">
        <v>0.58622522308595848</v>
      </c>
      <c r="I36">
        <v>0.69637380533808979</v>
      </c>
      <c r="J36">
        <v>21.480998964419861</v>
      </c>
    </row>
    <row r="37" spans="1:10">
      <c r="A37" s="1">
        <v>45520</v>
      </c>
      <c r="B37" s="1">
        <v>45520</v>
      </c>
      <c r="C37">
        <v>4.2802444123086705</v>
      </c>
      <c r="D37">
        <v>4.5802444123086703</v>
      </c>
      <c r="E37">
        <v>521.43895533915895</v>
      </c>
      <c r="F37">
        <v>36.962945087936532</v>
      </c>
      <c r="G37">
        <v>0.51</v>
      </c>
      <c r="H37">
        <v>0.58622522308595848</v>
      </c>
      <c r="I37">
        <v>0.69637380533808979</v>
      </c>
      <c r="J37">
        <v>21.480998964419861</v>
      </c>
    </row>
    <row r="38" spans="1:10">
      <c r="A38" s="1">
        <v>45523</v>
      </c>
      <c r="B38" s="1">
        <v>45523</v>
      </c>
      <c r="C38">
        <v>4.2729676590100754</v>
      </c>
      <c r="D38">
        <v>4.5729676590100752</v>
      </c>
      <c r="E38">
        <v>521.43895533915895</v>
      </c>
      <c r="F38">
        <v>36.962945087936532</v>
      </c>
      <c r="G38">
        <v>0.51</v>
      </c>
      <c r="H38">
        <v>0.58622522308595848</v>
      </c>
      <c r="I38">
        <v>0.69637380533808979</v>
      </c>
      <c r="J38">
        <v>21.480998964419861</v>
      </c>
    </row>
    <row r="39" spans="1:10">
      <c r="A39" s="1">
        <v>45524</v>
      </c>
      <c r="B39" s="1">
        <v>45524</v>
      </c>
      <c r="C39">
        <v>4.2674997307313207</v>
      </c>
      <c r="D39">
        <v>4.5674997307313205</v>
      </c>
      <c r="E39">
        <v>521.43895533915895</v>
      </c>
      <c r="F39">
        <v>36.962945087936532</v>
      </c>
      <c r="G39">
        <v>0.51</v>
      </c>
      <c r="H39">
        <v>0.58622522308595848</v>
      </c>
      <c r="I39">
        <v>0.69637380533808979</v>
      </c>
      <c r="J39">
        <v>21.480998964419861</v>
      </c>
    </row>
    <row r="40" spans="1:10">
      <c r="A40" s="1">
        <v>45525</v>
      </c>
      <c r="B40" s="1">
        <v>45525</v>
      </c>
      <c r="C40">
        <v>4.2777667510635426</v>
      </c>
      <c r="D40">
        <v>4.5777667510635425</v>
      </c>
      <c r="E40">
        <v>521.43895533915895</v>
      </c>
      <c r="F40">
        <v>36.962945087936532</v>
      </c>
      <c r="G40">
        <v>0.51</v>
      </c>
      <c r="H40">
        <v>0.58622522308595848</v>
      </c>
      <c r="I40">
        <v>0.69637380533808979</v>
      </c>
      <c r="J40">
        <v>21.480998964419861</v>
      </c>
    </row>
    <row r="41" spans="1:10">
      <c r="A41" s="1">
        <v>45526</v>
      </c>
      <c r="B41" s="1">
        <v>45526</v>
      </c>
      <c r="C41">
        <v>4.2739835446936558</v>
      </c>
      <c r="D41">
        <v>4.5739835446936556</v>
      </c>
      <c r="E41">
        <v>521.43895533915895</v>
      </c>
      <c r="F41">
        <v>36.962945087936532</v>
      </c>
      <c r="G41">
        <v>0.51</v>
      </c>
      <c r="H41">
        <v>0.58622522308595848</v>
      </c>
      <c r="I41">
        <v>0.69637380533808979</v>
      </c>
      <c r="J41">
        <v>21.480998964419861</v>
      </c>
    </row>
    <row r="42" spans="1:10">
      <c r="A42" s="1">
        <v>45527</v>
      </c>
      <c r="B42" s="1">
        <v>45527</v>
      </c>
      <c r="C42">
        <v>4.2694755617284805</v>
      </c>
      <c r="D42">
        <v>4.5694755617284804</v>
      </c>
      <c r="E42">
        <v>521.43895533915895</v>
      </c>
      <c r="F42">
        <v>36.962945087936532</v>
      </c>
      <c r="G42">
        <v>0.51</v>
      </c>
      <c r="H42">
        <v>0.58622522308595848</v>
      </c>
      <c r="I42">
        <v>0.69637380533808979</v>
      </c>
      <c r="J42">
        <v>21.480998964419861</v>
      </c>
    </row>
    <row r="43" spans="1:10">
      <c r="A43" s="1">
        <v>45530</v>
      </c>
      <c r="B43" s="1">
        <v>45530</v>
      </c>
      <c r="C43">
        <v>4.2700857357198894</v>
      </c>
      <c r="D43">
        <v>4.5700857357198892</v>
      </c>
      <c r="E43">
        <v>521.43895533915895</v>
      </c>
      <c r="F43">
        <v>36.962945087936532</v>
      </c>
      <c r="G43">
        <v>0.51</v>
      </c>
      <c r="H43">
        <v>0.58622522308595848</v>
      </c>
      <c r="I43">
        <v>0.69637380533808979</v>
      </c>
      <c r="J43">
        <v>21.480998964419861</v>
      </c>
    </row>
    <row r="44" spans="1:10">
      <c r="A44" s="1">
        <v>45531</v>
      </c>
      <c r="B44" s="1">
        <v>45531</v>
      </c>
      <c r="C44">
        <v>4.2719533046324552</v>
      </c>
      <c r="D44">
        <v>4.571953304632455</v>
      </c>
      <c r="E44">
        <v>521.43895533915895</v>
      </c>
      <c r="F44">
        <v>36.962945087936532</v>
      </c>
      <c r="G44">
        <v>0.51</v>
      </c>
      <c r="H44">
        <v>0.58622522308595848</v>
      </c>
      <c r="I44">
        <v>0.69637380533808979</v>
      </c>
      <c r="J44">
        <v>21.480998964419861</v>
      </c>
    </row>
    <row r="45" spans="1:10">
      <c r="A45" s="1">
        <v>45532</v>
      </c>
      <c r="B45" s="1">
        <v>45532</v>
      </c>
      <c r="C45">
        <v>4.2637220177836737</v>
      </c>
      <c r="D45">
        <v>4.5637220177836735</v>
      </c>
      <c r="E45">
        <v>521.43895533915895</v>
      </c>
      <c r="F45">
        <v>36.962945087936532</v>
      </c>
      <c r="G45">
        <v>0.51</v>
      </c>
      <c r="H45">
        <v>0.58622522308595848</v>
      </c>
      <c r="I45">
        <v>0.69637380533808979</v>
      </c>
      <c r="J45">
        <v>21.480998964419861</v>
      </c>
    </row>
    <row r="46" spans="1:10">
      <c r="A46" s="1">
        <v>45533</v>
      </c>
      <c r="B46" s="1">
        <v>45533</v>
      </c>
      <c r="C46">
        <v>4.2653564098054888</v>
      </c>
      <c r="D46">
        <v>4.5653564098054886</v>
      </c>
      <c r="E46">
        <v>521.43895533915895</v>
      </c>
      <c r="F46">
        <v>36.962945087936532</v>
      </c>
      <c r="G46">
        <v>0.51</v>
      </c>
      <c r="H46">
        <v>0.58622522308595848</v>
      </c>
      <c r="I46">
        <v>0.69637380533808979</v>
      </c>
      <c r="J46">
        <v>21.480998964419861</v>
      </c>
    </row>
    <row r="47" spans="1:10">
      <c r="A47" s="1">
        <v>45534</v>
      </c>
      <c r="B47" s="1">
        <v>45534</v>
      </c>
      <c r="C47">
        <v>4.2676533661215617</v>
      </c>
      <c r="D47">
        <v>4.5676533661215615</v>
      </c>
      <c r="E47">
        <v>521.43895533915895</v>
      </c>
      <c r="F47">
        <v>36.962945087936532</v>
      </c>
      <c r="G47">
        <v>0.51</v>
      </c>
      <c r="H47">
        <v>0.58622522308595848</v>
      </c>
      <c r="I47">
        <v>0.69637380533808979</v>
      </c>
      <c r="J47">
        <v>21.480998964419861</v>
      </c>
    </row>
    <row r="48" spans="1:10">
      <c r="A48" s="1">
        <v>45537</v>
      </c>
      <c r="B48" s="1">
        <v>45537</v>
      </c>
      <c r="C48">
        <v>4.2739325357710047</v>
      </c>
      <c r="D48">
        <v>4.5739325357710046</v>
      </c>
      <c r="E48">
        <v>521.43895533915895</v>
      </c>
      <c r="F48">
        <v>36.962945087936532</v>
      </c>
      <c r="G48">
        <v>0.51</v>
      </c>
      <c r="H48">
        <v>0.58622522308595848</v>
      </c>
      <c r="I48">
        <v>0.69637380533808979</v>
      </c>
      <c r="J48">
        <v>21.480998964419861</v>
      </c>
    </row>
    <row r="49" spans="1:10">
      <c r="A49" s="1">
        <v>45538</v>
      </c>
      <c r="B49" s="1">
        <v>45538</v>
      </c>
      <c r="C49">
        <v>4.2697776509502798</v>
      </c>
      <c r="D49">
        <v>4.5697776509502797</v>
      </c>
      <c r="E49">
        <v>521.43895533915895</v>
      </c>
      <c r="F49">
        <v>36.962945087936532</v>
      </c>
      <c r="G49">
        <v>0.51</v>
      </c>
      <c r="H49">
        <v>0.58622522308595848</v>
      </c>
      <c r="I49">
        <v>0.69637380533808979</v>
      </c>
      <c r="J49">
        <v>21.480998964419861</v>
      </c>
    </row>
    <row r="50" spans="1:10">
      <c r="A50" s="1">
        <v>45539</v>
      </c>
      <c r="B50" s="1">
        <v>45539</v>
      </c>
      <c r="C50">
        <v>4.277079770089057</v>
      </c>
      <c r="D50">
        <v>4.5770797700890569</v>
      </c>
      <c r="E50">
        <v>521.43895533915895</v>
      </c>
      <c r="F50">
        <v>36.962945087936532</v>
      </c>
      <c r="G50">
        <v>0.51</v>
      </c>
      <c r="H50">
        <v>0.58622522308595848</v>
      </c>
      <c r="I50">
        <v>0.69637380533808979</v>
      </c>
      <c r="J50">
        <v>21.480998964419861</v>
      </c>
    </row>
    <row r="51" spans="1:10">
      <c r="A51" s="1">
        <v>45540</v>
      </c>
      <c r="B51" s="1">
        <v>45540</v>
      </c>
      <c r="C51">
        <v>4.2677893320129874</v>
      </c>
      <c r="D51">
        <v>4.5677893320129872</v>
      </c>
      <c r="E51">
        <v>521.43895533915895</v>
      </c>
      <c r="F51">
        <v>36.962945087936532</v>
      </c>
      <c r="G51">
        <v>0.51</v>
      </c>
      <c r="H51">
        <v>0.58622522308595848</v>
      </c>
      <c r="I51">
        <v>0.69637380533808979</v>
      </c>
      <c r="J51">
        <v>21.480998964419861</v>
      </c>
    </row>
    <row r="52" spans="1:10">
      <c r="A52" s="1">
        <v>45541</v>
      </c>
      <c r="B52" s="1">
        <v>45541</v>
      </c>
      <c r="C52">
        <v>4.2742847450595933</v>
      </c>
      <c r="D52">
        <v>4.5742847450595931</v>
      </c>
      <c r="E52">
        <v>521.43895533915895</v>
      </c>
      <c r="F52">
        <v>36.962945087936532</v>
      </c>
      <c r="G52">
        <v>0.51</v>
      </c>
      <c r="H52">
        <v>0.58622522308595848</v>
      </c>
      <c r="I52">
        <v>0.69637380533808979</v>
      </c>
      <c r="J52">
        <v>21.480998964419861</v>
      </c>
    </row>
    <row r="53" spans="1:10">
      <c r="A53" s="1">
        <v>45544</v>
      </c>
      <c r="B53" s="1">
        <v>45544</v>
      </c>
      <c r="C53">
        <v>4.2776995972279774</v>
      </c>
      <c r="D53">
        <v>4.5776995972279773</v>
      </c>
      <c r="E53">
        <v>521.43895533915895</v>
      </c>
      <c r="F53">
        <v>36.962945087936532</v>
      </c>
      <c r="G53">
        <v>0.51</v>
      </c>
      <c r="H53">
        <v>0.58622522308595848</v>
      </c>
      <c r="I53">
        <v>0.69637380533808979</v>
      </c>
      <c r="J53">
        <v>21.480998964419861</v>
      </c>
    </row>
    <row r="54" spans="1:10">
      <c r="A54" s="1">
        <v>45545</v>
      </c>
      <c r="B54" s="1">
        <v>45545</v>
      </c>
      <c r="C54">
        <v>4.263011952157143</v>
      </c>
      <c r="D54">
        <v>4.5630119521571428</v>
      </c>
      <c r="E54">
        <v>521.43895533915895</v>
      </c>
      <c r="F54">
        <v>36.962945087936532</v>
      </c>
      <c r="G54">
        <v>0.51</v>
      </c>
      <c r="H54">
        <v>0.58622522308595848</v>
      </c>
      <c r="I54">
        <v>0.69637380533808979</v>
      </c>
      <c r="J54">
        <v>21.480998964419861</v>
      </c>
    </row>
    <row r="55" spans="1:10">
      <c r="A55" s="1">
        <v>45546</v>
      </c>
      <c r="B55" s="1">
        <v>45546</v>
      </c>
      <c r="C55">
        <v>4.2655633198352039</v>
      </c>
      <c r="D55">
        <v>4.5655633198352037</v>
      </c>
      <c r="E55">
        <v>521.43895533915895</v>
      </c>
      <c r="F55">
        <v>36.962945087936532</v>
      </c>
      <c r="G55">
        <v>0.51</v>
      </c>
      <c r="H55">
        <v>0.58622522308595848</v>
      </c>
      <c r="I55">
        <v>0.69637380533808979</v>
      </c>
      <c r="J55">
        <v>21.480998964419861</v>
      </c>
    </row>
    <row r="56" spans="1:10">
      <c r="A56" s="1">
        <v>45547</v>
      </c>
      <c r="B56" s="1">
        <v>45547</v>
      </c>
      <c r="C56">
        <v>4.2710179318608219</v>
      </c>
      <c r="D56">
        <v>4.5710179318608217</v>
      </c>
      <c r="E56">
        <v>521.43895533915895</v>
      </c>
      <c r="F56">
        <v>36.962945087936532</v>
      </c>
      <c r="G56">
        <v>0.51</v>
      </c>
      <c r="H56">
        <v>0.58622522308595848</v>
      </c>
      <c r="I56">
        <v>0.69637380533808979</v>
      </c>
      <c r="J56">
        <v>21.480998964419861</v>
      </c>
    </row>
    <row r="57" spans="1:10">
      <c r="A57" s="1">
        <v>45548</v>
      </c>
      <c r="B57" s="1">
        <v>45548</v>
      </c>
      <c r="C57">
        <v>4.2722414135531981</v>
      </c>
      <c r="D57">
        <v>4.5722414135531979</v>
      </c>
      <c r="E57">
        <v>521.43895533915895</v>
      </c>
      <c r="F57">
        <v>36.962945087936532</v>
      </c>
      <c r="G57">
        <v>0.51</v>
      </c>
      <c r="H57">
        <v>0.58622522308595848</v>
      </c>
      <c r="I57">
        <v>0.69637380533808979</v>
      </c>
      <c r="J57">
        <v>21.480998964419861</v>
      </c>
    </row>
    <row r="58" spans="1:10">
      <c r="A58" s="1">
        <v>45551</v>
      </c>
      <c r="B58" s="1">
        <v>45551</v>
      </c>
      <c r="C58">
        <v>4.2688911911727496</v>
      </c>
      <c r="D58">
        <v>4.5688911911727494</v>
      </c>
      <c r="E58">
        <v>521.43895533915895</v>
      </c>
      <c r="F58">
        <v>36.962945087936532</v>
      </c>
      <c r="G58">
        <v>0.51</v>
      </c>
      <c r="H58">
        <v>0.58622522308595848</v>
      </c>
      <c r="I58">
        <v>0.69637380533808979</v>
      </c>
      <c r="J58">
        <v>21.480998964419861</v>
      </c>
    </row>
    <row r="59" spans="1:10">
      <c r="A59" s="1">
        <v>45552</v>
      </c>
      <c r="B59" s="1">
        <v>45552</v>
      </c>
      <c r="C59">
        <v>4.264647725977424</v>
      </c>
      <c r="D59">
        <v>4.5646477259774239</v>
      </c>
      <c r="E59">
        <v>521.43895533915895</v>
      </c>
      <c r="F59">
        <v>36.962945087936532</v>
      </c>
      <c r="G59">
        <v>0.51</v>
      </c>
      <c r="H59">
        <v>0.58622522308595848</v>
      </c>
      <c r="I59">
        <v>0.69637380533808979</v>
      </c>
      <c r="J59">
        <v>21.480998964419861</v>
      </c>
    </row>
    <row r="60" spans="1:10">
      <c r="A60" s="1">
        <v>45553</v>
      </c>
      <c r="B60" s="1">
        <v>45553</v>
      </c>
      <c r="C60">
        <v>4.2677754400774148</v>
      </c>
      <c r="D60">
        <v>4.5677754400774147</v>
      </c>
      <c r="E60">
        <v>521.43895533915895</v>
      </c>
      <c r="F60">
        <v>36.962945087936532</v>
      </c>
      <c r="G60">
        <v>0.51</v>
      </c>
      <c r="H60">
        <v>0.58622522308595848</v>
      </c>
      <c r="I60">
        <v>0.69637380533808979</v>
      </c>
      <c r="J60">
        <v>21.480998964419861</v>
      </c>
    </row>
    <row r="61" spans="1:10">
      <c r="A61" s="1">
        <v>45554</v>
      </c>
      <c r="B61" s="1">
        <v>45554</v>
      </c>
      <c r="C61">
        <v>4.273741118820543</v>
      </c>
      <c r="D61">
        <v>4.5737411188205428</v>
      </c>
      <c r="E61">
        <v>521.43895533915895</v>
      </c>
      <c r="F61">
        <v>36.962945087936532</v>
      </c>
      <c r="G61">
        <v>0.51</v>
      </c>
      <c r="H61">
        <v>0.58622522308595848</v>
      </c>
      <c r="I61">
        <v>0.69637380533808979</v>
      </c>
      <c r="J61">
        <v>21.480998964419861</v>
      </c>
    </row>
    <row r="62" spans="1:10">
      <c r="A62" s="1">
        <v>45555</v>
      </c>
      <c r="B62" s="1">
        <v>45555</v>
      </c>
      <c r="C62">
        <v>4.2678705171851865</v>
      </c>
      <c r="D62">
        <v>4.5678705171851863</v>
      </c>
      <c r="E62">
        <v>521.43895533915895</v>
      </c>
      <c r="F62">
        <v>36.962945087936532</v>
      </c>
      <c r="G62">
        <v>0.51</v>
      </c>
      <c r="H62">
        <v>0.58622522308595848</v>
      </c>
      <c r="I62">
        <v>0.69637380533808979</v>
      </c>
      <c r="J62">
        <v>21.480998964419861</v>
      </c>
    </row>
    <row r="63" spans="1:10">
      <c r="A63" s="1">
        <v>45558</v>
      </c>
      <c r="B63" s="1">
        <v>45558</v>
      </c>
      <c r="C63">
        <v>4.2784809000888231</v>
      </c>
      <c r="D63">
        <v>4.5784809000888229</v>
      </c>
      <c r="E63">
        <v>521.43895533915895</v>
      </c>
      <c r="F63">
        <v>36.962945087936532</v>
      </c>
      <c r="G63">
        <v>0.51</v>
      </c>
      <c r="H63">
        <v>0.58622522308595848</v>
      </c>
      <c r="I63">
        <v>0.69637380533808979</v>
      </c>
      <c r="J63">
        <v>21.480998964419861</v>
      </c>
    </row>
    <row r="64" spans="1:10">
      <c r="A64" s="1">
        <v>45559</v>
      </c>
      <c r="B64" s="1">
        <v>45559</v>
      </c>
      <c r="C64">
        <v>4.271442678821213</v>
      </c>
      <c r="D64">
        <v>4.5714426788212128</v>
      </c>
      <c r="E64">
        <v>521.43895533915895</v>
      </c>
      <c r="F64">
        <v>36.962945087936532</v>
      </c>
      <c r="G64">
        <v>0.51</v>
      </c>
      <c r="H64">
        <v>0.58622522308595848</v>
      </c>
      <c r="I64">
        <v>0.69637380533808979</v>
      </c>
      <c r="J64">
        <v>21.480998964419861</v>
      </c>
    </row>
    <row r="65" spans="1:10">
      <c r="A65" s="1">
        <v>45560</v>
      </c>
      <c r="B65" s="1">
        <v>45560</v>
      </c>
      <c r="C65">
        <v>4.2747570806575075</v>
      </c>
      <c r="D65">
        <v>4.5747570806575073</v>
      </c>
      <c r="E65">
        <v>521.43895533915895</v>
      </c>
      <c r="F65">
        <v>36.962945087936532</v>
      </c>
      <c r="G65">
        <v>0.51</v>
      </c>
      <c r="H65">
        <v>0.58622522308595848</v>
      </c>
      <c r="I65">
        <v>0.69637380533808979</v>
      </c>
      <c r="J65">
        <v>21.480998964419861</v>
      </c>
    </row>
    <row r="66" spans="1:10">
      <c r="A66" s="1">
        <v>45561</v>
      </c>
      <c r="B66" s="1">
        <v>45561</v>
      </c>
      <c r="C66">
        <v>4.2680552051001399</v>
      </c>
      <c r="D66">
        <v>4.5680552051001397</v>
      </c>
      <c r="E66">
        <v>521.43895533915895</v>
      </c>
      <c r="F66">
        <v>36.962945087936532</v>
      </c>
      <c r="G66">
        <v>0.51</v>
      </c>
      <c r="H66">
        <v>0.58622522308595848</v>
      </c>
      <c r="I66">
        <v>0.69637380533808979</v>
      </c>
      <c r="J66">
        <v>21.480998964419861</v>
      </c>
    </row>
    <row r="67" spans="1:10">
      <c r="A67" s="1">
        <v>45562</v>
      </c>
      <c r="B67" s="1">
        <v>45562</v>
      </c>
      <c r="C67">
        <v>4.2675499068010989</v>
      </c>
      <c r="D67">
        <v>4.5675499068010987</v>
      </c>
      <c r="E67">
        <v>521.43895533915895</v>
      </c>
      <c r="F67">
        <v>36.962945087936532</v>
      </c>
      <c r="G67">
        <v>0.51</v>
      </c>
      <c r="H67">
        <v>0.58622522308595848</v>
      </c>
      <c r="I67">
        <v>0.69637380533808979</v>
      </c>
      <c r="J67">
        <v>21.480998964419861</v>
      </c>
    </row>
    <row r="68" spans="1:10">
      <c r="A68" s="1">
        <v>45565</v>
      </c>
      <c r="B68" s="1">
        <v>45565</v>
      </c>
      <c r="C68">
        <v>4.2737448595184908</v>
      </c>
      <c r="D68">
        <v>4.5737448595184906</v>
      </c>
      <c r="E68">
        <v>521.43895533915895</v>
      </c>
      <c r="F68">
        <v>36.962945087936532</v>
      </c>
      <c r="G68">
        <v>0.51</v>
      </c>
      <c r="H68">
        <v>0.58622522308595848</v>
      </c>
      <c r="I68">
        <v>0.69637380533808979</v>
      </c>
      <c r="J68">
        <v>21.480998964419861</v>
      </c>
    </row>
    <row r="69" spans="1:10">
      <c r="A69" s="1">
        <v>45566</v>
      </c>
      <c r="B69" s="1">
        <v>45566</v>
      </c>
      <c r="C69">
        <v>4.2724493406549833</v>
      </c>
      <c r="D69">
        <v>4.5724493406549831</v>
      </c>
      <c r="E69">
        <v>521.43895533915895</v>
      </c>
      <c r="F69">
        <v>36.962945087936532</v>
      </c>
      <c r="G69">
        <v>0.51</v>
      </c>
      <c r="H69">
        <v>0.58622522308595848</v>
      </c>
      <c r="I69">
        <v>0.69637380533808979</v>
      </c>
      <c r="J69">
        <v>21.480998964419861</v>
      </c>
    </row>
    <row r="70" spans="1:10">
      <c r="A70" s="1">
        <v>45567</v>
      </c>
      <c r="B70" s="1">
        <v>45567</v>
      </c>
      <c r="C70">
        <v>4.2663290463152146</v>
      </c>
      <c r="D70">
        <v>4.5663290463152144</v>
      </c>
      <c r="E70">
        <v>521.43895533915895</v>
      </c>
      <c r="F70">
        <v>36.962945087936532</v>
      </c>
      <c r="G70">
        <v>0.51</v>
      </c>
      <c r="H70">
        <v>0.58622522308595848</v>
      </c>
      <c r="I70">
        <v>0.69637380533808979</v>
      </c>
      <c r="J70">
        <v>21.480998964419861</v>
      </c>
    </row>
    <row r="71" spans="1:10">
      <c r="A71" s="1">
        <v>45568</v>
      </c>
      <c r="B71" s="1">
        <v>45568</v>
      </c>
      <c r="C71">
        <v>4.2685759588525034</v>
      </c>
      <c r="D71">
        <v>4.5685759588525032</v>
      </c>
      <c r="E71">
        <v>521.43895533915895</v>
      </c>
      <c r="F71">
        <v>36.962945087936532</v>
      </c>
      <c r="G71">
        <v>0.51</v>
      </c>
      <c r="H71">
        <v>0.58622522308595848</v>
      </c>
      <c r="I71">
        <v>0.69637380533808979</v>
      </c>
      <c r="J71">
        <v>21.480998964419861</v>
      </c>
    </row>
    <row r="72" spans="1:10">
      <c r="A72" s="1">
        <v>45569</v>
      </c>
      <c r="B72" s="1">
        <v>45569</v>
      </c>
      <c r="C72">
        <v>4.2669718008011479</v>
      </c>
      <c r="D72">
        <v>4.5669718008011477</v>
      </c>
      <c r="E72">
        <v>521.43895533915895</v>
      </c>
      <c r="F72">
        <v>36.962945087936532</v>
      </c>
      <c r="G72">
        <v>0.51</v>
      </c>
      <c r="H72">
        <v>0.58622522308595848</v>
      </c>
      <c r="I72">
        <v>0.69637380533808979</v>
      </c>
      <c r="J72">
        <v>21.480998964419861</v>
      </c>
    </row>
    <row r="73" spans="1:10">
      <c r="A73" s="1">
        <v>45572</v>
      </c>
      <c r="B73" s="1">
        <v>45572</v>
      </c>
      <c r="C73">
        <v>4.2736277470094235</v>
      </c>
      <c r="D73">
        <v>4.5736277470094233</v>
      </c>
      <c r="E73">
        <v>521.43895533915895</v>
      </c>
      <c r="F73">
        <v>36.962945087936532</v>
      </c>
      <c r="G73">
        <v>0.51</v>
      </c>
      <c r="H73">
        <v>0.58622522308595848</v>
      </c>
      <c r="I73">
        <v>0.69637380533808979</v>
      </c>
      <c r="J73">
        <v>21.480998964419861</v>
      </c>
    </row>
    <row r="74" spans="1:10">
      <c r="A74" s="1">
        <v>45573</v>
      </c>
      <c r="B74" s="1">
        <v>45573</v>
      </c>
      <c r="C74">
        <v>4.2687139747134788</v>
      </c>
      <c r="D74">
        <v>4.5687139747134786</v>
      </c>
      <c r="E74">
        <v>521.43895533915895</v>
      </c>
      <c r="F74">
        <v>36.962945087936532</v>
      </c>
      <c r="G74">
        <v>0.51</v>
      </c>
      <c r="H74">
        <v>0.58622522308595848</v>
      </c>
      <c r="I74">
        <v>0.69637380533808979</v>
      </c>
      <c r="J74">
        <v>21.480998964419861</v>
      </c>
    </row>
    <row r="75" spans="1:10">
      <c r="A75" s="1">
        <v>45574</v>
      </c>
      <c r="B75" s="1">
        <v>45574</v>
      </c>
      <c r="C75">
        <v>4.2730315727696162</v>
      </c>
      <c r="D75">
        <v>4.573031572769616</v>
      </c>
      <c r="E75">
        <v>521.43895533915895</v>
      </c>
      <c r="F75">
        <v>36.962945087936532</v>
      </c>
      <c r="G75">
        <v>0.51</v>
      </c>
      <c r="H75">
        <v>0.58622522308595848</v>
      </c>
      <c r="I75">
        <v>0.69637380533808979</v>
      </c>
      <c r="J75">
        <v>21.480998964419861</v>
      </c>
    </row>
    <row r="76" spans="1:10">
      <c r="A76" s="1">
        <v>45575</v>
      </c>
      <c r="B76" s="1">
        <v>45575</v>
      </c>
      <c r="C76">
        <v>4.2748175249825078</v>
      </c>
      <c r="D76">
        <v>4.5748175249825076</v>
      </c>
      <c r="E76">
        <v>521.43895533915895</v>
      </c>
      <c r="F76">
        <v>36.962945087936532</v>
      </c>
      <c r="G76">
        <v>0.51</v>
      </c>
      <c r="H76">
        <v>0.58622522308595848</v>
      </c>
      <c r="I76">
        <v>0.69637380533808979</v>
      </c>
      <c r="J76">
        <v>21.480998964419861</v>
      </c>
    </row>
    <row r="77" spans="1:10">
      <c r="A77" s="1">
        <v>45576</v>
      </c>
      <c r="B77" s="1">
        <v>45576</v>
      </c>
      <c r="C77">
        <v>4.2651472364752987</v>
      </c>
      <c r="D77">
        <v>4.5651472364752985</v>
      </c>
      <c r="E77">
        <v>521.43895533915895</v>
      </c>
      <c r="F77">
        <v>36.962945087936532</v>
      </c>
      <c r="G77">
        <v>0.51</v>
      </c>
      <c r="H77">
        <v>0.58622522308595848</v>
      </c>
      <c r="I77">
        <v>0.69637380533808979</v>
      </c>
      <c r="J77">
        <v>21.480998964419861</v>
      </c>
    </row>
    <row r="78" spans="1:10">
      <c r="A78" s="1">
        <v>45579</v>
      </c>
      <c r="B78" s="1">
        <v>45579</v>
      </c>
      <c r="C78">
        <v>4.2776490862314134</v>
      </c>
      <c r="D78">
        <v>4.5776490862314132</v>
      </c>
      <c r="E78">
        <v>521.43895533915895</v>
      </c>
      <c r="F78">
        <v>36.962945087936532</v>
      </c>
      <c r="G78">
        <v>0.51</v>
      </c>
      <c r="H78">
        <v>0.58622522308595848</v>
      </c>
      <c r="I78">
        <v>0.69637380533808979</v>
      </c>
      <c r="J78">
        <v>21.480998964419861</v>
      </c>
    </row>
    <row r="79" spans="1:10">
      <c r="A79" s="1">
        <v>45580</v>
      </c>
      <c r="B79" s="1">
        <v>45580</v>
      </c>
      <c r="C79">
        <v>4.2669766918930874</v>
      </c>
      <c r="D79">
        <v>4.5669766918930872</v>
      </c>
      <c r="E79">
        <v>521.43895533915895</v>
      </c>
      <c r="F79">
        <v>36.962945087936532</v>
      </c>
      <c r="G79">
        <v>0.51</v>
      </c>
      <c r="H79">
        <v>0.58622522308595848</v>
      </c>
      <c r="I79">
        <v>0.69637380533808979</v>
      </c>
      <c r="J79">
        <v>21.480998964419861</v>
      </c>
    </row>
    <row r="80" spans="1:10">
      <c r="A80" s="1">
        <v>45581</v>
      </c>
      <c r="B80" s="1">
        <v>45581</v>
      </c>
      <c r="C80">
        <v>4.2682065674773515</v>
      </c>
      <c r="D80">
        <v>4.5682065674773513</v>
      </c>
      <c r="E80">
        <v>521.43895533915895</v>
      </c>
      <c r="F80">
        <v>36.962945087936532</v>
      </c>
      <c r="G80">
        <v>0.51</v>
      </c>
      <c r="H80">
        <v>0.58622522308595848</v>
      </c>
      <c r="I80">
        <v>0.69637380533808979</v>
      </c>
      <c r="J80">
        <v>21.480998964419861</v>
      </c>
    </row>
    <row r="81" spans="1:10">
      <c r="A81" s="1">
        <v>45582</v>
      </c>
      <c r="B81" s="1">
        <v>45582</v>
      </c>
      <c r="C81">
        <v>4.2623481089147051</v>
      </c>
      <c r="D81">
        <v>4.5623481089147049</v>
      </c>
      <c r="E81">
        <v>521.43895533915895</v>
      </c>
      <c r="F81">
        <v>36.962945087936532</v>
      </c>
      <c r="G81">
        <v>0.51</v>
      </c>
      <c r="H81">
        <v>0.58622522308595848</v>
      </c>
      <c r="I81">
        <v>0.69637380533808979</v>
      </c>
      <c r="J81">
        <v>21.480998964419861</v>
      </c>
    </row>
    <row r="82" spans="1:10">
      <c r="A82" s="1">
        <v>45583</v>
      </c>
      <c r="B82" s="1">
        <v>45583</v>
      </c>
      <c r="C82">
        <v>4.26255816327504</v>
      </c>
      <c r="D82">
        <v>4.5625581632750398</v>
      </c>
      <c r="E82">
        <v>521.43895533915895</v>
      </c>
      <c r="F82">
        <v>36.962945087936532</v>
      </c>
      <c r="G82">
        <v>0.51</v>
      </c>
      <c r="H82">
        <v>0.58622522308595848</v>
      </c>
      <c r="I82">
        <v>0.69637380533808979</v>
      </c>
      <c r="J82">
        <v>21.480998964419861</v>
      </c>
    </row>
    <row r="83" spans="1:10">
      <c r="A83" s="1">
        <v>45586</v>
      </c>
      <c r="B83" s="1">
        <v>45586</v>
      </c>
      <c r="C83">
        <v>4.2714606705818072</v>
      </c>
      <c r="D83">
        <v>4.5714606705818071</v>
      </c>
      <c r="E83">
        <v>521.43895533915895</v>
      </c>
      <c r="F83">
        <v>36.962945087936532</v>
      </c>
      <c r="G83">
        <v>0.51</v>
      </c>
      <c r="H83">
        <v>0.58622522308595848</v>
      </c>
      <c r="I83">
        <v>0.69637380533808979</v>
      </c>
      <c r="J83">
        <v>21.480998964419861</v>
      </c>
    </row>
    <row r="84" spans="1:10">
      <c r="A84" s="1">
        <v>45587</v>
      </c>
      <c r="B84" s="1">
        <v>45587</v>
      </c>
      <c r="C84">
        <v>4.2718656698616879</v>
      </c>
      <c r="D84">
        <v>4.5718656698616877</v>
      </c>
      <c r="E84">
        <v>521.43895533915895</v>
      </c>
      <c r="F84">
        <v>36.962945087936532</v>
      </c>
      <c r="G84">
        <v>0.51</v>
      </c>
      <c r="H84">
        <v>0.58622522308595848</v>
      </c>
      <c r="I84">
        <v>0.69637380533808979</v>
      </c>
      <c r="J84">
        <v>21.480998964419861</v>
      </c>
    </row>
    <row r="85" spans="1:10">
      <c r="A85" s="1">
        <v>45588</v>
      </c>
      <c r="B85" s="1">
        <v>45588</v>
      </c>
      <c r="C85">
        <v>4.2670495820777079</v>
      </c>
      <c r="D85">
        <v>4.5670495820777077</v>
      </c>
      <c r="E85">
        <v>521.43895533915895</v>
      </c>
      <c r="F85">
        <v>36.962945087936532</v>
      </c>
      <c r="G85">
        <v>0.51</v>
      </c>
      <c r="H85">
        <v>0.58622522308595848</v>
      </c>
      <c r="I85">
        <v>0.69637380533808979</v>
      </c>
      <c r="J85">
        <v>21.480998964419861</v>
      </c>
    </row>
    <row r="86" spans="1:10">
      <c r="A86" s="1">
        <v>45589</v>
      </c>
      <c r="B86" s="1">
        <v>45589</v>
      </c>
      <c r="C86">
        <v>4.2675592480440248</v>
      </c>
      <c r="D86">
        <v>4.5675592480440246</v>
      </c>
      <c r="E86">
        <v>521.43895533915895</v>
      </c>
      <c r="F86">
        <v>36.962945087936532</v>
      </c>
      <c r="G86">
        <v>0.51</v>
      </c>
      <c r="H86">
        <v>0.58622522308595848</v>
      </c>
      <c r="I86">
        <v>0.69637380533808979</v>
      </c>
      <c r="J86">
        <v>21.480998964419861</v>
      </c>
    </row>
    <row r="87" spans="1:10">
      <c r="A87" s="1">
        <v>45590</v>
      </c>
      <c r="B87" s="1">
        <v>45590</v>
      </c>
      <c r="C87">
        <v>4.280929108569028</v>
      </c>
      <c r="D87">
        <v>4.5809291085690278</v>
      </c>
      <c r="E87">
        <v>521.43895533915895</v>
      </c>
      <c r="F87">
        <v>36.962945087936532</v>
      </c>
      <c r="G87">
        <v>0.51</v>
      </c>
      <c r="H87">
        <v>0.58622522308595848</v>
      </c>
      <c r="I87">
        <v>0.69637380533808979</v>
      </c>
      <c r="J87">
        <v>21.480998964419861</v>
      </c>
    </row>
    <row r="88" spans="1:10">
      <c r="A88" s="1">
        <v>45593</v>
      </c>
      <c r="B88" s="1">
        <v>45593</v>
      </c>
      <c r="C88">
        <v>4.268811755218537</v>
      </c>
      <c r="D88">
        <v>4.5688117552185368</v>
      </c>
      <c r="E88">
        <v>521.43895533915895</v>
      </c>
      <c r="F88">
        <v>36.962945087936532</v>
      </c>
      <c r="G88">
        <v>0.51</v>
      </c>
      <c r="H88">
        <v>0.58622522308595848</v>
      </c>
      <c r="I88">
        <v>0.69637380533808979</v>
      </c>
      <c r="J88">
        <v>21.480998964419861</v>
      </c>
    </row>
    <row r="89" spans="1:10">
      <c r="A89" s="1">
        <v>45594</v>
      </c>
      <c r="B89" s="1">
        <v>45594</v>
      </c>
      <c r="C89">
        <v>4.2699421025832152</v>
      </c>
      <c r="D89">
        <v>4.569942102583215</v>
      </c>
      <c r="E89">
        <v>521.43895533915895</v>
      </c>
      <c r="F89">
        <v>36.962945087936532</v>
      </c>
      <c r="G89">
        <v>0.51</v>
      </c>
      <c r="H89">
        <v>0.58622522308595848</v>
      </c>
      <c r="I89">
        <v>0.69637380533808979</v>
      </c>
      <c r="J89">
        <v>21.480998964419861</v>
      </c>
    </row>
    <row r="90" spans="1:10">
      <c r="A90" s="1">
        <v>45595</v>
      </c>
      <c r="B90" s="1">
        <v>45595</v>
      </c>
      <c r="C90">
        <v>4.2697802014349788</v>
      </c>
      <c r="D90">
        <v>4.5697802014349787</v>
      </c>
      <c r="E90">
        <v>521.43895533915895</v>
      </c>
      <c r="F90">
        <v>36.962945087936532</v>
      </c>
      <c r="G90">
        <v>0.51</v>
      </c>
      <c r="H90">
        <v>0.58622522308595848</v>
      </c>
      <c r="I90">
        <v>0.69637380533808979</v>
      </c>
      <c r="J90">
        <v>21.480998964419861</v>
      </c>
    </row>
    <row r="91" spans="1:10">
      <c r="A91" s="1">
        <v>45596</v>
      </c>
      <c r="B91" s="1">
        <v>45596</v>
      </c>
      <c r="C91">
        <v>4.2630218126097663</v>
      </c>
      <c r="D91">
        <v>4.5630218126097661</v>
      </c>
      <c r="E91">
        <v>521.43895533915895</v>
      </c>
      <c r="F91">
        <v>36.962945087936532</v>
      </c>
      <c r="G91">
        <v>0.51</v>
      </c>
      <c r="H91">
        <v>0.58622522308595848</v>
      </c>
      <c r="I91">
        <v>0.69637380533808979</v>
      </c>
      <c r="J91">
        <v>21.480998964419861</v>
      </c>
    </row>
    <row r="92" spans="1:10">
      <c r="A92" s="1">
        <v>45597</v>
      </c>
      <c r="B92" s="1">
        <v>45597</v>
      </c>
      <c r="C92">
        <v>4.2680630499093111</v>
      </c>
      <c r="D92">
        <v>4.5680630499093109</v>
      </c>
      <c r="E92">
        <v>521.43895533915895</v>
      </c>
      <c r="F92">
        <v>36.962945087936532</v>
      </c>
      <c r="G92">
        <v>0.51</v>
      </c>
      <c r="H92">
        <v>0.58622522308595848</v>
      </c>
      <c r="I92">
        <v>0.69637380533808979</v>
      </c>
      <c r="J92">
        <v>21.480998964419861</v>
      </c>
    </row>
    <row r="93" spans="1:10">
      <c r="A93" s="1">
        <v>45600</v>
      </c>
      <c r="B93" s="1">
        <v>45600</v>
      </c>
      <c r="C93">
        <v>4.2674604544939223</v>
      </c>
      <c r="D93">
        <v>4.5674604544939221</v>
      </c>
      <c r="E93">
        <v>521.43895533915895</v>
      </c>
      <c r="F93">
        <v>36.962945087936532</v>
      </c>
      <c r="G93">
        <v>0.51</v>
      </c>
      <c r="H93">
        <v>0.58622522308595848</v>
      </c>
      <c r="I93">
        <v>0.69637380533808979</v>
      </c>
      <c r="J93">
        <v>21.480998964419861</v>
      </c>
    </row>
    <row r="94" spans="1:10">
      <c r="A94" s="1">
        <v>45601</v>
      </c>
      <c r="B94" s="1">
        <v>45601</v>
      </c>
      <c r="C94">
        <v>4.2680550544087117</v>
      </c>
      <c r="D94">
        <v>4.5680550544087115</v>
      </c>
      <c r="E94">
        <v>521.43895533915895</v>
      </c>
      <c r="F94">
        <v>36.962945087936532</v>
      </c>
      <c r="G94">
        <v>0.51</v>
      </c>
      <c r="H94">
        <v>0.58622522308595848</v>
      </c>
      <c r="I94">
        <v>0.69637380533808979</v>
      </c>
      <c r="J94">
        <v>21.480998964419861</v>
      </c>
    </row>
    <row r="95" spans="1:10">
      <c r="A95" s="1">
        <v>45602</v>
      </c>
      <c r="B95" s="1">
        <v>45602</v>
      </c>
      <c r="C95">
        <v>4.2709597659456682</v>
      </c>
      <c r="D95">
        <v>4.570959765945668</v>
      </c>
      <c r="E95">
        <v>521.43895533915895</v>
      </c>
      <c r="F95">
        <v>36.962945087936532</v>
      </c>
      <c r="G95">
        <v>0.51</v>
      </c>
      <c r="H95">
        <v>0.58622522308595848</v>
      </c>
      <c r="I95">
        <v>0.69637380533808979</v>
      </c>
      <c r="J95">
        <v>21.480998964419861</v>
      </c>
    </row>
    <row r="96" spans="1:10">
      <c r="A96" s="1">
        <v>45603</v>
      </c>
      <c r="B96" s="1">
        <v>45603</v>
      </c>
      <c r="C96">
        <v>4.2703071816817832</v>
      </c>
      <c r="D96">
        <v>4.5703071816817831</v>
      </c>
      <c r="E96">
        <v>521.43895533915895</v>
      </c>
      <c r="F96">
        <v>36.962945087936532</v>
      </c>
      <c r="G96">
        <v>0.51</v>
      </c>
      <c r="H96">
        <v>0.58622522308595848</v>
      </c>
      <c r="I96">
        <v>0.69637380533808979</v>
      </c>
      <c r="J96">
        <v>21.480998964419861</v>
      </c>
    </row>
    <row r="97" spans="1:10">
      <c r="A97" s="1">
        <v>45604</v>
      </c>
      <c r="B97" s="1">
        <v>45604</v>
      </c>
      <c r="C97">
        <v>4.2674886878644172</v>
      </c>
      <c r="D97">
        <v>4.567488687864417</v>
      </c>
      <c r="E97">
        <v>521.43895533915895</v>
      </c>
      <c r="F97">
        <v>36.962945087936532</v>
      </c>
      <c r="G97">
        <v>0.51</v>
      </c>
      <c r="H97">
        <v>0.58622522308595848</v>
      </c>
      <c r="I97">
        <v>0.69637380533808979</v>
      </c>
      <c r="J97">
        <v>21.480998964419861</v>
      </c>
    </row>
    <row r="98" spans="1:10">
      <c r="A98" s="1">
        <v>45607</v>
      </c>
      <c r="B98" s="1">
        <v>45607</v>
      </c>
      <c r="C98">
        <v>4.2696031052357784</v>
      </c>
      <c r="D98">
        <v>4.5696031052357782</v>
      </c>
      <c r="E98">
        <v>521.43895533915895</v>
      </c>
      <c r="F98">
        <v>36.962945087936532</v>
      </c>
      <c r="G98">
        <v>0.51</v>
      </c>
      <c r="H98">
        <v>0.58622522308595848</v>
      </c>
      <c r="I98">
        <v>0.69637380533808979</v>
      </c>
      <c r="J98">
        <v>21.480998964419861</v>
      </c>
    </row>
    <row r="99" spans="1:10">
      <c r="A99" s="1">
        <v>45608</v>
      </c>
      <c r="B99" s="1">
        <v>45608</v>
      </c>
      <c r="C99">
        <v>4.2742314151799059</v>
      </c>
      <c r="D99">
        <v>4.5742314151799057</v>
      </c>
      <c r="E99">
        <v>521.43895533915895</v>
      </c>
      <c r="F99">
        <v>36.962945087936532</v>
      </c>
      <c r="G99">
        <v>0.51</v>
      </c>
      <c r="H99">
        <v>0.58622522308595848</v>
      </c>
      <c r="I99">
        <v>0.69637380533808979</v>
      </c>
      <c r="J99">
        <v>21.480998964419861</v>
      </c>
    </row>
    <row r="100" spans="1:10">
      <c r="A100" s="1">
        <v>45609</v>
      </c>
      <c r="B100" s="1">
        <v>45609</v>
      </c>
      <c r="C100">
        <v>4.2657104703205828</v>
      </c>
      <c r="D100">
        <v>4.5657104703205826</v>
      </c>
      <c r="E100">
        <v>521.43895533915895</v>
      </c>
      <c r="F100">
        <v>36.962945087936532</v>
      </c>
      <c r="G100">
        <v>0.51</v>
      </c>
      <c r="H100">
        <v>0.58622522308595848</v>
      </c>
      <c r="I100">
        <v>0.69637380533808979</v>
      </c>
      <c r="J100">
        <v>21.480998964419861</v>
      </c>
    </row>
    <row r="101" spans="1:10">
      <c r="A101" s="1">
        <v>45610</v>
      </c>
      <c r="B101" s="1">
        <v>45610</v>
      </c>
      <c r="C101">
        <v>4.2706829387365337</v>
      </c>
      <c r="D101">
        <v>4.5706829387365335</v>
      </c>
      <c r="E101">
        <v>521.43895533915895</v>
      </c>
      <c r="F101">
        <v>36.962945087936532</v>
      </c>
      <c r="G101">
        <v>0.51</v>
      </c>
      <c r="H101">
        <v>0.58622522308595848</v>
      </c>
      <c r="I101">
        <v>0.69637380533808979</v>
      </c>
      <c r="J101">
        <v>21.480998964419861</v>
      </c>
    </row>
    <row r="102" spans="1:10">
      <c r="A102" s="1">
        <v>45611</v>
      </c>
      <c r="B102" s="1">
        <v>45611</v>
      </c>
      <c r="C102">
        <v>4.2636221385689046</v>
      </c>
      <c r="D102">
        <v>4.5636221385689044</v>
      </c>
      <c r="E102">
        <v>521.43895533915895</v>
      </c>
      <c r="F102">
        <v>36.962945087936532</v>
      </c>
      <c r="G102">
        <v>0.51</v>
      </c>
      <c r="H102">
        <v>0.58622522308595848</v>
      </c>
      <c r="I102">
        <v>0.69637380533808979</v>
      </c>
      <c r="J102">
        <v>21.480998964419861</v>
      </c>
    </row>
    <row r="103" spans="1:10">
      <c r="A103" s="1">
        <v>45614</v>
      </c>
      <c r="B103" s="1">
        <v>45614</v>
      </c>
      <c r="C103">
        <v>4.2657049142429466</v>
      </c>
      <c r="D103">
        <v>4.5657049142429464</v>
      </c>
      <c r="E103">
        <v>521.43895533915895</v>
      </c>
      <c r="F103">
        <v>36.962945087936532</v>
      </c>
      <c r="G103">
        <v>0.51</v>
      </c>
      <c r="H103">
        <v>0.58622522308595848</v>
      </c>
      <c r="I103">
        <v>0.69637380533808979</v>
      </c>
      <c r="J103">
        <v>21.480998964419861</v>
      </c>
    </row>
    <row r="104" spans="1:10">
      <c r="A104" s="1">
        <v>45615</v>
      </c>
      <c r="B104" s="1">
        <v>45615</v>
      </c>
      <c r="C104">
        <v>4.2797445601337873</v>
      </c>
      <c r="D104">
        <v>4.5797445601337872</v>
      </c>
      <c r="E104">
        <v>521.43895533915895</v>
      </c>
      <c r="F104">
        <v>36.962945087936532</v>
      </c>
      <c r="G104">
        <v>0.51</v>
      </c>
      <c r="H104">
        <v>0.58622522308595848</v>
      </c>
      <c r="I104">
        <v>0.69637380533808979</v>
      </c>
      <c r="J104">
        <v>21.480998964419861</v>
      </c>
    </row>
    <row r="105" spans="1:10">
      <c r="A105" s="1">
        <v>45616</v>
      </c>
      <c r="B105" s="1">
        <v>45616</v>
      </c>
      <c r="C105">
        <v>4.2645392710719872</v>
      </c>
      <c r="D105">
        <v>4.564539271071987</v>
      </c>
      <c r="E105">
        <v>521.43895533915895</v>
      </c>
      <c r="F105">
        <v>36.962945087936532</v>
      </c>
      <c r="G105">
        <v>0.51</v>
      </c>
      <c r="H105">
        <v>0.58622522308595848</v>
      </c>
      <c r="I105">
        <v>0.69637380533808979</v>
      </c>
      <c r="J105">
        <v>21.480998964419861</v>
      </c>
    </row>
    <row r="106" spans="1:10">
      <c r="A106" s="1">
        <v>45617</v>
      </c>
      <c r="B106" s="1">
        <v>45617</v>
      </c>
      <c r="C106">
        <v>4.2748556106434945</v>
      </c>
      <c r="D106">
        <v>4.5748556106434943</v>
      </c>
      <c r="E106">
        <v>521.43895533915895</v>
      </c>
      <c r="F106">
        <v>36.962945087936532</v>
      </c>
      <c r="G106">
        <v>0.51</v>
      </c>
      <c r="H106">
        <v>0.58622522308595848</v>
      </c>
      <c r="I106">
        <v>0.69637380533808979</v>
      </c>
      <c r="J106">
        <v>21.480998964419861</v>
      </c>
    </row>
    <row r="107" spans="1:10">
      <c r="A107" s="1">
        <v>45618</v>
      </c>
      <c r="B107" s="1">
        <v>45618</v>
      </c>
      <c r="C107">
        <v>4.271187288893767</v>
      </c>
      <c r="D107">
        <v>4.5711872888937668</v>
      </c>
      <c r="E107">
        <v>521.43895533915895</v>
      </c>
      <c r="F107">
        <v>36.962945087936532</v>
      </c>
      <c r="G107">
        <v>0.51</v>
      </c>
      <c r="H107">
        <v>0.58622522308595848</v>
      </c>
      <c r="I107">
        <v>0.69637380533808979</v>
      </c>
      <c r="J107">
        <v>21.480998964419861</v>
      </c>
    </row>
    <row r="108" spans="1:10">
      <c r="A108" s="1">
        <v>45621</v>
      </c>
      <c r="B108" s="1">
        <v>45621</v>
      </c>
      <c r="C108">
        <v>4.2686001206127564</v>
      </c>
      <c r="D108">
        <v>4.5686001206127562</v>
      </c>
      <c r="E108">
        <v>521.43895533915895</v>
      </c>
      <c r="F108">
        <v>36.962945087936532</v>
      </c>
      <c r="G108">
        <v>0.51</v>
      </c>
      <c r="H108">
        <v>0.58622522308595848</v>
      </c>
      <c r="I108">
        <v>0.69637380533808979</v>
      </c>
      <c r="J108">
        <v>21.480998964419861</v>
      </c>
    </row>
    <row r="109" spans="1:10">
      <c r="A109" s="1">
        <v>45622</v>
      </c>
      <c r="B109" s="1">
        <v>45622</v>
      </c>
      <c r="C109">
        <v>4.2690958504078322</v>
      </c>
      <c r="D109">
        <v>4.5690958504078321</v>
      </c>
      <c r="E109">
        <v>521.43895533915895</v>
      </c>
      <c r="F109">
        <v>36.962945087936532</v>
      </c>
      <c r="G109">
        <v>0.51</v>
      </c>
      <c r="H109">
        <v>0.58622522308595848</v>
      </c>
      <c r="I109">
        <v>0.69637380533808979</v>
      </c>
      <c r="J109">
        <v>21.480998964419861</v>
      </c>
    </row>
    <row r="110" spans="1:10">
      <c r="A110" s="1">
        <v>45623</v>
      </c>
      <c r="B110" s="1">
        <v>45623</v>
      </c>
      <c r="C110">
        <v>4.2652248033459639</v>
      </c>
      <c r="D110">
        <v>4.5652248033459637</v>
      </c>
      <c r="E110">
        <v>521.43895533915895</v>
      </c>
      <c r="F110">
        <v>36.962945087936532</v>
      </c>
      <c r="G110">
        <v>0.51</v>
      </c>
      <c r="H110">
        <v>0.58622522308595848</v>
      </c>
      <c r="I110">
        <v>0.69637380533808979</v>
      </c>
      <c r="J110">
        <v>21.480998964419861</v>
      </c>
    </row>
    <row r="111" spans="1:10">
      <c r="A111" s="1">
        <v>45624</v>
      </c>
      <c r="B111" s="1">
        <v>45624</v>
      </c>
      <c r="C111">
        <v>4.2660743626143258</v>
      </c>
      <c r="D111">
        <v>4.5660743626143256</v>
      </c>
      <c r="E111">
        <v>521.43895533915895</v>
      </c>
      <c r="F111">
        <v>36.962945087936532</v>
      </c>
      <c r="G111">
        <v>0.51</v>
      </c>
      <c r="H111">
        <v>0.58622522308595848</v>
      </c>
      <c r="I111">
        <v>0.69637380533808979</v>
      </c>
      <c r="J111">
        <v>21.480998964419861</v>
      </c>
    </row>
    <row r="112" spans="1:10">
      <c r="A112" s="1">
        <v>45625</v>
      </c>
      <c r="B112" s="1">
        <v>45625</v>
      </c>
      <c r="C112">
        <v>4.2695152363839934</v>
      </c>
      <c r="D112">
        <v>4.5695152363839933</v>
      </c>
      <c r="E112">
        <v>521.43895533915895</v>
      </c>
      <c r="F112">
        <v>36.962945087936532</v>
      </c>
      <c r="G112">
        <v>0.51</v>
      </c>
      <c r="H112">
        <v>0.58622522308595848</v>
      </c>
      <c r="I112">
        <v>0.69637380533808979</v>
      </c>
      <c r="J112">
        <v>21.480998964419861</v>
      </c>
    </row>
    <row r="113" spans="1:10">
      <c r="A113" s="1">
        <v>45628</v>
      </c>
      <c r="B113" s="1">
        <v>45628</v>
      </c>
      <c r="C113">
        <v>4.2743581106142212</v>
      </c>
      <c r="D113">
        <v>4.574358110614221</v>
      </c>
      <c r="E113">
        <v>521.43895533915895</v>
      </c>
      <c r="F113">
        <v>36.962945087936532</v>
      </c>
      <c r="G113">
        <v>0.51</v>
      </c>
      <c r="H113">
        <v>0.58622522308595848</v>
      </c>
      <c r="I113">
        <v>0.69637380533808979</v>
      </c>
      <c r="J113">
        <v>21.480998964419861</v>
      </c>
    </row>
    <row r="114" spans="1:10">
      <c r="A114" s="1">
        <v>45629</v>
      </c>
      <c r="B114" s="1">
        <v>45629</v>
      </c>
      <c r="C114">
        <v>4.2806052750867476</v>
      </c>
      <c r="D114">
        <v>4.5806052750867474</v>
      </c>
      <c r="E114">
        <v>521.43895533915895</v>
      </c>
      <c r="F114">
        <v>36.962945087936532</v>
      </c>
      <c r="G114">
        <v>0.51</v>
      </c>
      <c r="H114">
        <v>0.58622522308595848</v>
      </c>
      <c r="I114">
        <v>0.69637380533808979</v>
      </c>
      <c r="J114">
        <v>21.480998964419861</v>
      </c>
    </row>
    <row r="115" spans="1:10">
      <c r="A115" s="1">
        <v>45630</v>
      </c>
      <c r="B115" s="1">
        <v>45630</v>
      </c>
      <c r="C115">
        <v>4.2679035436261161</v>
      </c>
      <c r="D115">
        <v>4.5679035436261159</v>
      </c>
      <c r="E115">
        <v>521.43895533915895</v>
      </c>
      <c r="F115">
        <v>36.962945087936532</v>
      </c>
      <c r="G115">
        <v>0.51</v>
      </c>
      <c r="H115">
        <v>0.58622522308595848</v>
      </c>
      <c r="I115">
        <v>0.69637380533808979</v>
      </c>
      <c r="J115">
        <v>21.480998964419861</v>
      </c>
    </row>
    <row r="116" spans="1:10">
      <c r="A116" s="1">
        <v>45631</v>
      </c>
      <c r="B116" s="1">
        <v>45631</v>
      </c>
      <c r="C116">
        <v>4.2653785570160423</v>
      </c>
      <c r="D116">
        <v>4.5653785570160421</v>
      </c>
      <c r="E116">
        <v>521.43895533915895</v>
      </c>
      <c r="F116">
        <v>36.962945087936532</v>
      </c>
      <c r="G116">
        <v>0.51</v>
      </c>
      <c r="H116">
        <v>0.58622522308595848</v>
      </c>
      <c r="I116">
        <v>0.69637380533808979</v>
      </c>
      <c r="J116">
        <v>21.480998964419861</v>
      </c>
    </row>
    <row r="117" spans="1:10">
      <c r="A117" s="1">
        <v>45632</v>
      </c>
      <c r="B117" s="1">
        <v>45632</v>
      </c>
      <c r="C117">
        <v>4.2683484983766151</v>
      </c>
      <c r="D117">
        <v>4.5683484983766149</v>
      </c>
      <c r="E117">
        <v>521.43895533915895</v>
      </c>
      <c r="F117">
        <v>36.962945087936532</v>
      </c>
      <c r="G117">
        <v>0.51</v>
      </c>
      <c r="H117">
        <v>0.58622522308595848</v>
      </c>
      <c r="I117">
        <v>0.69637380533808979</v>
      </c>
      <c r="J117">
        <v>21.480998964419861</v>
      </c>
    </row>
    <row r="118" spans="1:10">
      <c r="A118" s="1">
        <v>45635</v>
      </c>
      <c r="B118" s="1">
        <v>45635</v>
      </c>
      <c r="C118">
        <v>4.2784413212711216</v>
      </c>
      <c r="D118">
        <v>4.5784413212711215</v>
      </c>
      <c r="E118">
        <v>521.43895533915895</v>
      </c>
      <c r="F118">
        <v>36.962945087936532</v>
      </c>
      <c r="G118">
        <v>0.51</v>
      </c>
      <c r="H118">
        <v>0.58622522308595848</v>
      </c>
      <c r="I118">
        <v>0.69637380533808979</v>
      </c>
      <c r="J118">
        <v>21.480998964419861</v>
      </c>
    </row>
    <row r="119" spans="1:10">
      <c r="A119" s="1">
        <v>45636</v>
      </c>
      <c r="B119" s="1">
        <v>45636</v>
      </c>
      <c r="C119">
        <v>4.2707866063231341</v>
      </c>
      <c r="D119">
        <v>4.5707866063231339</v>
      </c>
      <c r="E119">
        <v>521.43895533915895</v>
      </c>
      <c r="F119">
        <v>36.962945087936532</v>
      </c>
      <c r="G119">
        <v>0.51</v>
      </c>
      <c r="H119">
        <v>0.58622522308595848</v>
      </c>
      <c r="I119">
        <v>0.69637380533808979</v>
      </c>
      <c r="J119">
        <v>21.480998964419861</v>
      </c>
    </row>
    <row r="120" spans="1:10">
      <c r="A120" s="1">
        <v>45637</v>
      </c>
      <c r="B120" s="1">
        <v>45637</v>
      </c>
      <c r="C120">
        <v>4.2743110013789849</v>
      </c>
      <c r="D120">
        <v>4.5743110013789847</v>
      </c>
      <c r="E120">
        <v>521.43895533915895</v>
      </c>
      <c r="F120">
        <v>36.962945087936532</v>
      </c>
      <c r="G120">
        <v>0.51</v>
      </c>
      <c r="H120">
        <v>0.58622522308595848</v>
      </c>
      <c r="I120">
        <v>0.69637380533808979</v>
      </c>
      <c r="J120">
        <v>21.480998964419861</v>
      </c>
    </row>
    <row r="121" spans="1:10">
      <c r="A121" s="1">
        <v>45638</v>
      </c>
      <c r="B121" s="1">
        <v>45638</v>
      </c>
      <c r="C121">
        <v>4.2707366204627331</v>
      </c>
      <c r="D121">
        <v>4.5707366204627329</v>
      </c>
      <c r="E121">
        <v>521.43895533915895</v>
      </c>
      <c r="F121">
        <v>36.962945087936532</v>
      </c>
      <c r="G121">
        <v>0.51</v>
      </c>
      <c r="H121">
        <v>0.58622522308595848</v>
      </c>
      <c r="I121">
        <v>0.69637380533808979</v>
      </c>
      <c r="J121">
        <v>21.480998964419861</v>
      </c>
    </row>
    <row r="122" spans="1:10">
      <c r="A122" s="1">
        <v>45639</v>
      </c>
      <c r="B122" s="1">
        <v>45639</v>
      </c>
      <c r="C122">
        <v>4.2693871490819157</v>
      </c>
      <c r="D122">
        <v>4.5693871490819156</v>
      </c>
      <c r="E122">
        <v>521.43895533915895</v>
      </c>
      <c r="F122">
        <v>36.962945087936532</v>
      </c>
      <c r="G122">
        <v>0.51</v>
      </c>
      <c r="H122">
        <v>0.58622522308595848</v>
      </c>
      <c r="I122">
        <v>0.69637380533808979</v>
      </c>
      <c r="J122">
        <v>21.480998964419861</v>
      </c>
    </row>
    <row r="123" spans="1:10">
      <c r="A123" s="1">
        <v>45642</v>
      </c>
      <c r="B123" s="1">
        <v>45642</v>
      </c>
      <c r="C123">
        <v>4.2661650421927195</v>
      </c>
      <c r="D123">
        <v>4.5661650421927193</v>
      </c>
      <c r="E123">
        <v>521.43895533915895</v>
      </c>
      <c r="F123">
        <v>36.962945087936532</v>
      </c>
      <c r="G123">
        <v>0.51</v>
      </c>
      <c r="H123">
        <v>0.58622522308595848</v>
      </c>
      <c r="I123">
        <v>0.69637380533808979</v>
      </c>
      <c r="J123">
        <v>21.480998964419861</v>
      </c>
    </row>
    <row r="124" spans="1:10">
      <c r="A124" s="1">
        <v>45643</v>
      </c>
      <c r="B124" s="1">
        <v>45643</v>
      </c>
      <c r="C124">
        <v>4.2694708773569827</v>
      </c>
      <c r="D124">
        <v>4.5694708773569825</v>
      </c>
      <c r="E124">
        <v>521.43895533915895</v>
      </c>
      <c r="F124">
        <v>36.962945087936532</v>
      </c>
      <c r="G124">
        <v>0.51</v>
      </c>
      <c r="H124">
        <v>0.58622522308595848</v>
      </c>
      <c r="I124">
        <v>0.69637380533808979</v>
      </c>
      <c r="J124">
        <v>21.480998964419861</v>
      </c>
    </row>
    <row r="125" spans="1:10">
      <c r="A125" s="1">
        <v>45644</v>
      </c>
      <c r="B125" s="1">
        <v>45644</v>
      </c>
      <c r="C125">
        <v>4.2692077938600477</v>
      </c>
      <c r="D125">
        <v>4.5692077938600475</v>
      </c>
      <c r="E125">
        <v>521.43895533915895</v>
      </c>
      <c r="F125">
        <v>36.962945087936532</v>
      </c>
      <c r="G125">
        <v>0.51</v>
      </c>
      <c r="H125">
        <v>0.58622522308595848</v>
      </c>
      <c r="I125">
        <v>0.69637380533808979</v>
      </c>
      <c r="J125">
        <v>21.480998964419861</v>
      </c>
    </row>
    <row r="126" spans="1:10">
      <c r="A126" s="1">
        <v>45645</v>
      </c>
      <c r="B126" s="1">
        <v>45645</v>
      </c>
      <c r="C126">
        <v>4.2743486455256443</v>
      </c>
      <c r="D126">
        <v>4.5743486455256441</v>
      </c>
      <c r="E126">
        <v>521.43895533915895</v>
      </c>
      <c r="F126">
        <v>36.962945087936532</v>
      </c>
      <c r="G126">
        <v>0.51</v>
      </c>
      <c r="H126">
        <v>0.58622522308595848</v>
      </c>
      <c r="I126">
        <v>0.69637380533808979</v>
      </c>
      <c r="J126">
        <v>21.480998964419861</v>
      </c>
    </row>
    <row r="127" spans="1:10">
      <c r="A127" s="1">
        <v>45646</v>
      </c>
      <c r="B127" s="1">
        <v>45646</v>
      </c>
      <c r="C127">
        <v>4.2736327741272184</v>
      </c>
      <c r="D127">
        <v>4.5736327741272182</v>
      </c>
      <c r="E127">
        <v>521.43895533915895</v>
      </c>
      <c r="F127">
        <v>36.962945087936532</v>
      </c>
      <c r="G127">
        <v>0.51</v>
      </c>
      <c r="H127">
        <v>0.58622522308595848</v>
      </c>
      <c r="I127">
        <v>0.69637380533808979</v>
      </c>
      <c r="J127">
        <v>21.480998964419861</v>
      </c>
    </row>
    <row r="128" spans="1:10">
      <c r="A128" s="1">
        <v>45649</v>
      </c>
      <c r="B128" s="1">
        <v>45649</v>
      </c>
      <c r="C128">
        <v>4.2680091041560733</v>
      </c>
      <c r="D128">
        <v>4.5680091041560731</v>
      </c>
      <c r="E128">
        <v>521.43895533915895</v>
      </c>
      <c r="F128">
        <v>36.962945087936532</v>
      </c>
      <c r="G128">
        <v>0.51</v>
      </c>
      <c r="H128">
        <v>0.58622522308595848</v>
      </c>
      <c r="I128">
        <v>0.69637380533808979</v>
      </c>
      <c r="J128">
        <v>21.480998964419861</v>
      </c>
    </row>
    <row r="129" spans="1:10">
      <c r="A129" s="1">
        <v>45650</v>
      </c>
      <c r="B129" s="1">
        <v>45650</v>
      </c>
      <c r="C129">
        <v>4.2682174480960864</v>
      </c>
      <c r="D129">
        <v>4.5682174480960862</v>
      </c>
      <c r="E129">
        <v>521.43895533915895</v>
      </c>
      <c r="F129">
        <v>36.962945087936532</v>
      </c>
      <c r="G129">
        <v>0.51</v>
      </c>
      <c r="H129">
        <v>0.58622522308595848</v>
      </c>
      <c r="I129">
        <v>0.69637380533808979</v>
      </c>
      <c r="J129">
        <v>21.480998964419861</v>
      </c>
    </row>
    <row r="130" spans="1:10">
      <c r="A130" s="1">
        <v>45651</v>
      </c>
      <c r="B130" s="1">
        <v>45651</v>
      </c>
      <c r="C130">
        <v>4.2651735731746152</v>
      </c>
      <c r="D130">
        <v>4.565173573174615</v>
      </c>
      <c r="E130">
        <v>521.43895533915895</v>
      </c>
      <c r="F130">
        <v>36.962945087936532</v>
      </c>
      <c r="G130">
        <v>0.51</v>
      </c>
      <c r="H130">
        <v>0.58622522308595848</v>
      </c>
      <c r="I130">
        <v>0.69637380533808979</v>
      </c>
      <c r="J130">
        <v>21.480998964419861</v>
      </c>
    </row>
    <row r="131" spans="1:10">
      <c r="A131" s="1">
        <v>45652</v>
      </c>
      <c r="B131" s="1">
        <v>45652</v>
      </c>
      <c r="C131">
        <v>4.2706880936450116</v>
      </c>
      <c r="D131">
        <v>4.5706880936450114</v>
      </c>
      <c r="E131">
        <v>521.43895533915895</v>
      </c>
      <c r="F131">
        <v>36.962945087936532</v>
      </c>
      <c r="G131">
        <v>0.51</v>
      </c>
      <c r="H131">
        <v>0.58622522308595848</v>
      </c>
      <c r="I131">
        <v>0.69637380533808979</v>
      </c>
      <c r="J131">
        <v>21.480998964419861</v>
      </c>
    </row>
    <row r="132" spans="1:10">
      <c r="A132" s="1">
        <v>45653</v>
      </c>
      <c r="B132" s="1">
        <v>45653</v>
      </c>
      <c r="C132">
        <v>4.2783142118316908</v>
      </c>
      <c r="D132">
        <v>4.5783142118316906</v>
      </c>
      <c r="E132">
        <v>521.43895533915895</v>
      </c>
      <c r="F132">
        <v>36.962945087936532</v>
      </c>
      <c r="G132">
        <v>0.51</v>
      </c>
      <c r="H132">
        <v>0.58622522308595848</v>
      </c>
      <c r="I132">
        <v>0.69637380533808979</v>
      </c>
      <c r="J132">
        <v>21.480998964419861</v>
      </c>
    </row>
    <row r="133" spans="1:10">
      <c r="A133" s="1">
        <v>45656</v>
      </c>
      <c r="B133" s="1">
        <v>45656</v>
      </c>
      <c r="C133">
        <v>4.2638270298953058</v>
      </c>
      <c r="D133">
        <v>4.5638270298953056</v>
      </c>
      <c r="E133">
        <v>521.43895533915895</v>
      </c>
      <c r="F133">
        <v>36.962945087936532</v>
      </c>
      <c r="G133">
        <v>0.51</v>
      </c>
      <c r="H133">
        <v>0.58622522308595848</v>
      </c>
      <c r="I133">
        <v>0.69637380533808979</v>
      </c>
      <c r="J133">
        <v>21.480998964419861</v>
      </c>
    </row>
    <row r="134" spans="1:10">
      <c r="A134" s="1">
        <v>45657</v>
      </c>
      <c r="B134" s="1">
        <v>45657</v>
      </c>
      <c r="C134">
        <v>4.2739305336558937</v>
      </c>
      <c r="D134">
        <v>4.5739305336558935</v>
      </c>
      <c r="E134">
        <v>521.43895533915895</v>
      </c>
      <c r="F134">
        <v>36.962945087936532</v>
      </c>
      <c r="G134">
        <v>0.51</v>
      </c>
      <c r="H134">
        <v>0.58622522308595848</v>
      </c>
      <c r="I134">
        <v>0.69637380533808979</v>
      </c>
      <c r="J134">
        <v>21.480998964419861</v>
      </c>
    </row>
    <row r="135" spans="1:10">
      <c r="A135" s="1">
        <v>45658</v>
      </c>
      <c r="B135" s="1">
        <v>45658</v>
      </c>
      <c r="C135">
        <v>4.2729502363372429</v>
      </c>
      <c r="D135">
        <v>4.5729502363372427</v>
      </c>
      <c r="E135">
        <v>521.43895533915895</v>
      </c>
      <c r="F135">
        <v>36.962945087936532</v>
      </c>
      <c r="G135">
        <v>0.51</v>
      </c>
      <c r="H135">
        <v>0.58622522308595848</v>
      </c>
      <c r="I135">
        <v>0.69637380533808979</v>
      </c>
      <c r="J135">
        <v>21.480998964419861</v>
      </c>
    </row>
    <row r="136" spans="1:10">
      <c r="A136" s="1">
        <v>45659</v>
      </c>
      <c r="B136" s="1">
        <v>45659</v>
      </c>
      <c r="C136">
        <v>4.2790512388299335</v>
      </c>
      <c r="D136">
        <v>4.5790512388299334</v>
      </c>
      <c r="E136">
        <v>521.43895533915895</v>
      </c>
      <c r="F136">
        <v>36.962945087936532</v>
      </c>
      <c r="G136">
        <v>0.51</v>
      </c>
      <c r="H136">
        <v>0.58622522308595848</v>
      </c>
      <c r="I136">
        <v>0.69637380533808979</v>
      </c>
      <c r="J136">
        <v>21.480998964419861</v>
      </c>
    </row>
    <row r="137" spans="1:10">
      <c r="A137" s="1">
        <v>45660</v>
      </c>
      <c r="B137" s="1">
        <v>45660</v>
      </c>
      <c r="C137">
        <v>4.2621225979573296</v>
      </c>
      <c r="D137">
        <v>4.5621225979573294</v>
      </c>
      <c r="E137">
        <v>521.43895533915895</v>
      </c>
      <c r="F137">
        <v>36.962945087936532</v>
      </c>
      <c r="G137">
        <v>0.51</v>
      </c>
      <c r="H137">
        <v>0.58622522308595848</v>
      </c>
      <c r="I137">
        <v>0.69637380533808979</v>
      </c>
      <c r="J137">
        <v>21.480998964419861</v>
      </c>
    </row>
    <row r="138" spans="1:10">
      <c r="A138" s="1">
        <v>45663</v>
      </c>
      <c r="B138" s="1">
        <v>45663</v>
      </c>
      <c r="C138">
        <v>4.2707573930023397</v>
      </c>
      <c r="D138">
        <v>4.5707573930023395</v>
      </c>
      <c r="E138">
        <v>521.43895533915895</v>
      </c>
      <c r="F138">
        <v>36.962945087936532</v>
      </c>
      <c r="G138">
        <v>0.51</v>
      </c>
      <c r="H138">
        <v>0.58622522308595848</v>
      </c>
      <c r="I138">
        <v>0.69637380533808979</v>
      </c>
      <c r="J138">
        <v>21.480998964419861</v>
      </c>
    </row>
    <row r="139" spans="1:10">
      <c r="A139" s="1">
        <v>45664</v>
      </c>
      <c r="B139" s="1">
        <v>45664</v>
      </c>
      <c r="C139">
        <v>4.2678761615234153</v>
      </c>
      <c r="D139">
        <v>4.5678761615234151</v>
      </c>
      <c r="E139">
        <v>521.43895533915895</v>
      </c>
      <c r="F139">
        <v>36.962945087936532</v>
      </c>
      <c r="G139">
        <v>0.51</v>
      </c>
      <c r="H139">
        <v>0.58622522308595848</v>
      </c>
      <c r="I139">
        <v>0.69637380533808979</v>
      </c>
      <c r="J139">
        <v>21.480998964419861</v>
      </c>
    </row>
    <row r="140" spans="1:10">
      <c r="A140" s="1">
        <v>45665</v>
      </c>
      <c r="B140" s="1">
        <v>45665</v>
      </c>
      <c r="C140">
        <v>4.2683737669032711</v>
      </c>
      <c r="D140">
        <v>4.5683737669032709</v>
      </c>
      <c r="E140">
        <v>521.43895533915895</v>
      </c>
      <c r="F140">
        <v>36.962945087936532</v>
      </c>
      <c r="G140">
        <v>0.51</v>
      </c>
      <c r="H140">
        <v>0.58622522308595848</v>
      </c>
      <c r="I140">
        <v>0.69637380533808979</v>
      </c>
      <c r="J140">
        <v>21.480998964419861</v>
      </c>
    </row>
    <row r="141" spans="1:10">
      <c r="A141" s="1">
        <v>45666</v>
      </c>
      <c r="B141" s="1">
        <v>45666</v>
      </c>
      <c r="C141">
        <v>4.2726659881879838</v>
      </c>
      <c r="D141">
        <v>4.5726659881879836</v>
      </c>
      <c r="E141">
        <v>521.43895533915895</v>
      </c>
      <c r="F141">
        <v>36.962945087936532</v>
      </c>
      <c r="G141">
        <v>0.51</v>
      </c>
      <c r="H141">
        <v>0.58622522308595848</v>
      </c>
      <c r="I141">
        <v>0.69637380533808979</v>
      </c>
      <c r="J141">
        <v>21.480998964419861</v>
      </c>
    </row>
    <row r="142" spans="1:10">
      <c r="A142" s="1">
        <v>45667</v>
      </c>
      <c r="B142" s="1">
        <v>45667</v>
      </c>
      <c r="C142">
        <v>4.2629884446250665</v>
      </c>
      <c r="D142">
        <v>4.5629884446250664</v>
      </c>
      <c r="E142">
        <v>521.43895533915895</v>
      </c>
      <c r="F142">
        <v>36.962945087936532</v>
      </c>
      <c r="G142">
        <v>0.51</v>
      </c>
      <c r="H142">
        <v>0.58622522308595848</v>
      </c>
      <c r="I142">
        <v>0.69637380533808979</v>
      </c>
      <c r="J142">
        <v>21.480998964419861</v>
      </c>
    </row>
    <row r="143" spans="1:10">
      <c r="A143" s="1">
        <v>45670</v>
      </c>
      <c r="B143" s="1">
        <v>45670</v>
      </c>
      <c r="C143">
        <v>4.2669173238057523</v>
      </c>
      <c r="D143">
        <v>4.5669173238057521</v>
      </c>
      <c r="E143">
        <v>521.43895533915895</v>
      </c>
      <c r="F143">
        <v>36.962945087936532</v>
      </c>
      <c r="G143">
        <v>0.51</v>
      </c>
      <c r="H143">
        <v>0.58622522308595848</v>
      </c>
      <c r="I143">
        <v>0.69637380533808979</v>
      </c>
      <c r="J143">
        <v>21.480998964419861</v>
      </c>
    </row>
    <row r="144" spans="1:10">
      <c r="A144" s="1">
        <v>45671</v>
      </c>
      <c r="B144" s="1">
        <v>45671</v>
      </c>
      <c r="C144">
        <v>4.2634501890310963</v>
      </c>
      <c r="D144">
        <v>4.5634501890310961</v>
      </c>
      <c r="E144">
        <v>521.43895533915895</v>
      </c>
      <c r="F144">
        <v>36.962945087936532</v>
      </c>
      <c r="G144">
        <v>0.51</v>
      </c>
      <c r="H144">
        <v>0.58622522308595848</v>
      </c>
      <c r="I144">
        <v>0.69637380533808979</v>
      </c>
      <c r="J144">
        <v>21.480998964419861</v>
      </c>
    </row>
    <row r="145" spans="1:10">
      <c r="A145" s="1">
        <v>45672</v>
      </c>
      <c r="B145" s="1">
        <v>45672</v>
      </c>
      <c r="C145">
        <v>4.2684652055004735</v>
      </c>
      <c r="D145">
        <v>4.5684652055004733</v>
      </c>
      <c r="E145">
        <v>521.43895533915895</v>
      </c>
      <c r="F145">
        <v>36.962945087936532</v>
      </c>
      <c r="G145">
        <v>0.51</v>
      </c>
      <c r="H145">
        <v>0.58622522308595848</v>
      </c>
      <c r="I145">
        <v>0.69637380533808979</v>
      </c>
      <c r="J145">
        <v>21.480998964419861</v>
      </c>
    </row>
    <row r="146" spans="1:10">
      <c r="A146" s="1">
        <v>45673</v>
      </c>
      <c r="B146" s="1">
        <v>45673</v>
      </c>
      <c r="C146">
        <v>4.2706076619300282</v>
      </c>
      <c r="D146">
        <v>4.570607661930028</v>
      </c>
      <c r="E146">
        <v>521.43895533915895</v>
      </c>
      <c r="F146">
        <v>36.962945087936532</v>
      </c>
      <c r="G146">
        <v>0.51</v>
      </c>
      <c r="H146">
        <v>0.58622522308595848</v>
      </c>
      <c r="I146">
        <v>0.69637380533808979</v>
      </c>
      <c r="J146">
        <v>21.480998964419861</v>
      </c>
    </row>
    <row r="147" spans="1:10">
      <c r="A147" s="1">
        <v>45674</v>
      </c>
      <c r="B147" s="1">
        <v>45674</v>
      </c>
      <c r="C147">
        <v>4.2616906400595793</v>
      </c>
      <c r="D147">
        <v>4.5616906400595791</v>
      </c>
      <c r="E147">
        <v>521.43895533915895</v>
      </c>
      <c r="F147">
        <v>36.962945087936532</v>
      </c>
      <c r="G147">
        <v>0.51</v>
      </c>
      <c r="H147">
        <v>0.58622522308595848</v>
      </c>
      <c r="I147">
        <v>0.69637380533808979</v>
      </c>
      <c r="J147">
        <v>21.480998964419861</v>
      </c>
    </row>
    <row r="148" spans="1:10">
      <c r="A148" s="1">
        <v>45677</v>
      </c>
      <c r="B148" s="1">
        <v>45677</v>
      </c>
      <c r="C148">
        <v>4.2630096138121116</v>
      </c>
      <c r="D148">
        <v>4.5630096138121115</v>
      </c>
      <c r="E148">
        <v>521.43895533915895</v>
      </c>
      <c r="F148">
        <v>36.962945087936532</v>
      </c>
      <c r="G148">
        <v>0.51</v>
      </c>
      <c r="H148">
        <v>0.58622522308595848</v>
      </c>
      <c r="I148">
        <v>0.69637380533808979</v>
      </c>
      <c r="J148">
        <v>21.480998964419861</v>
      </c>
    </row>
    <row r="149" spans="1:10">
      <c r="A149" s="1">
        <v>45678</v>
      </c>
      <c r="B149" s="1">
        <v>45678</v>
      </c>
      <c r="C149">
        <v>4.2831218099934363</v>
      </c>
      <c r="D149">
        <v>4.5831218099934361</v>
      </c>
      <c r="E149">
        <v>521.43895533915895</v>
      </c>
      <c r="F149">
        <v>36.962945087936532</v>
      </c>
      <c r="G149">
        <v>0.51</v>
      </c>
      <c r="H149">
        <v>0.58622522308595848</v>
      </c>
      <c r="I149">
        <v>0.69637380533808979</v>
      </c>
      <c r="J149">
        <v>21.480998964419861</v>
      </c>
    </row>
    <row r="150" spans="1:10">
      <c r="A150" s="1">
        <v>45679</v>
      </c>
      <c r="B150" s="1">
        <v>45679</v>
      </c>
      <c r="C150">
        <v>4.2654675755878912</v>
      </c>
      <c r="D150">
        <v>4.5654675755878911</v>
      </c>
      <c r="E150">
        <v>521.43895533915895</v>
      </c>
      <c r="F150">
        <v>36.962945087936532</v>
      </c>
      <c r="G150">
        <v>0.51</v>
      </c>
      <c r="H150">
        <v>0.58622522308595848</v>
      </c>
      <c r="I150">
        <v>0.69637380533808979</v>
      </c>
      <c r="J150">
        <v>21.480998964419861</v>
      </c>
    </row>
    <row r="151" spans="1:10">
      <c r="A151" s="1">
        <v>45680</v>
      </c>
      <c r="B151" s="1">
        <v>45680</v>
      </c>
      <c r="C151">
        <v>4.2598555620673562</v>
      </c>
      <c r="D151">
        <v>4.559855562067356</v>
      </c>
      <c r="E151">
        <v>521.43895533915895</v>
      </c>
      <c r="F151">
        <v>36.962945087936532</v>
      </c>
      <c r="G151">
        <v>0.51</v>
      </c>
      <c r="H151">
        <v>0.58622522308595848</v>
      </c>
      <c r="I151">
        <v>0.69637380533808979</v>
      </c>
      <c r="J151">
        <v>21.480998964419861</v>
      </c>
    </row>
    <row r="152" spans="1:10">
      <c r="A152" s="1">
        <v>45681</v>
      </c>
      <c r="B152" s="1">
        <v>45681</v>
      </c>
      <c r="C152">
        <v>4.2689577431604357</v>
      </c>
      <c r="D152">
        <v>4.5689577431604356</v>
      </c>
      <c r="E152">
        <v>521.43895533915895</v>
      </c>
      <c r="F152">
        <v>36.962945087936532</v>
      </c>
      <c r="G152">
        <v>0.51</v>
      </c>
      <c r="H152">
        <v>0.58622522308595848</v>
      </c>
      <c r="I152">
        <v>0.69637380533808979</v>
      </c>
      <c r="J152">
        <v>21.480998964419861</v>
      </c>
    </row>
    <row r="153" spans="1:10">
      <c r="A153" s="1">
        <v>45684</v>
      </c>
      <c r="B153" s="1">
        <v>45684</v>
      </c>
      <c r="C153">
        <v>4.2720101666637476</v>
      </c>
      <c r="D153">
        <v>4.5720101666637474</v>
      </c>
      <c r="E153">
        <v>521.43895533915895</v>
      </c>
      <c r="F153">
        <v>36.962945087936532</v>
      </c>
      <c r="G153">
        <v>0.51</v>
      </c>
      <c r="H153">
        <v>0.58622522308595848</v>
      </c>
      <c r="I153">
        <v>0.69637380533808979</v>
      </c>
      <c r="J153">
        <v>21.480998964419861</v>
      </c>
    </row>
    <row r="154" spans="1:10">
      <c r="A154" s="1">
        <v>45685</v>
      </c>
      <c r="B154" s="1">
        <v>45685</v>
      </c>
      <c r="C154">
        <v>4.2695212530382483</v>
      </c>
      <c r="D154">
        <v>4.5695212530382481</v>
      </c>
      <c r="E154">
        <v>521.43895533915895</v>
      </c>
      <c r="F154">
        <v>36.962945087936532</v>
      </c>
      <c r="G154">
        <v>0.51</v>
      </c>
      <c r="H154">
        <v>0.58622522308595848</v>
      </c>
      <c r="I154">
        <v>0.69637380533808979</v>
      </c>
      <c r="J154">
        <v>21.480998964419861</v>
      </c>
    </row>
    <row r="155" spans="1:10">
      <c r="A155" s="1">
        <v>45686</v>
      </c>
      <c r="B155" s="1">
        <v>45686</v>
      </c>
      <c r="C155">
        <v>4.2736908517436438</v>
      </c>
      <c r="D155">
        <v>4.5736908517436436</v>
      </c>
      <c r="E155">
        <v>521.43895533915895</v>
      </c>
      <c r="F155">
        <v>36.962945087936532</v>
      </c>
      <c r="G155">
        <v>0.51</v>
      </c>
      <c r="H155">
        <v>0.58622522308595848</v>
      </c>
      <c r="I155">
        <v>0.69637380533808979</v>
      </c>
      <c r="J155">
        <v>21.480998964419861</v>
      </c>
    </row>
    <row r="156" spans="1:10">
      <c r="A156" s="1">
        <v>45687</v>
      </c>
      <c r="B156" s="1">
        <v>45687</v>
      </c>
      <c r="C156">
        <v>4.2652374666084283</v>
      </c>
      <c r="D156">
        <v>4.5652374666084281</v>
      </c>
      <c r="E156">
        <v>521.43895533915895</v>
      </c>
      <c r="F156">
        <v>36.962945087936532</v>
      </c>
      <c r="G156">
        <v>0.51</v>
      </c>
      <c r="H156">
        <v>0.58622522308595848</v>
      </c>
      <c r="I156">
        <v>0.69637380533808979</v>
      </c>
      <c r="J156">
        <v>21.480998964419861</v>
      </c>
    </row>
    <row r="157" spans="1:10">
      <c r="A157" s="1">
        <v>45688</v>
      </c>
      <c r="B157" s="1">
        <v>45688</v>
      </c>
      <c r="C157">
        <v>4.2735565001791516</v>
      </c>
      <c r="D157">
        <v>4.5735565001791514</v>
      </c>
      <c r="E157">
        <v>521.43895533915895</v>
      </c>
      <c r="F157">
        <v>36.962945087936532</v>
      </c>
      <c r="G157">
        <v>0.51</v>
      </c>
      <c r="H157">
        <v>0.58622522308595848</v>
      </c>
      <c r="I157">
        <v>0.69637380533808979</v>
      </c>
      <c r="J157">
        <v>21.480998964419861</v>
      </c>
    </row>
    <row r="158" spans="1:10">
      <c r="A158" s="1">
        <v>45691</v>
      </c>
      <c r="B158" s="1">
        <v>45691</v>
      </c>
      <c r="C158">
        <v>4.2686798155006844</v>
      </c>
      <c r="D158">
        <v>4.5686798155006842</v>
      </c>
      <c r="E158">
        <v>521.43895533915895</v>
      </c>
      <c r="F158">
        <v>36.962945087936532</v>
      </c>
      <c r="G158">
        <v>0.51</v>
      </c>
      <c r="H158">
        <v>0.58622522308595848</v>
      </c>
      <c r="I158">
        <v>0.69637380533808979</v>
      </c>
      <c r="J158">
        <v>21.480998964419861</v>
      </c>
    </row>
    <row r="159" spans="1:10">
      <c r="A159" s="1">
        <v>45692</v>
      </c>
      <c r="B159" s="1">
        <v>45692</v>
      </c>
      <c r="C159">
        <v>4.2753274291138892</v>
      </c>
      <c r="D159">
        <v>4.575327429113889</v>
      </c>
      <c r="E159">
        <v>521.43895533915895</v>
      </c>
      <c r="F159">
        <v>36.962945087936532</v>
      </c>
      <c r="G159">
        <v>0.51</v>
      </c>
      <c r="H159">
        <v>0.58622522308595848</v>
      </c>
      <c r="I159">
        <v>0.69637380533808979</v>
      </c>
      <c r="J159">
        <v>21.480998964419861</v>
      </c>
    </row>
    <row r="160" spans="1:10">
      <c r="A160" s="1">
        <v>45693</v>
      </c>
      <c r="B160" s="1">
        <v>45693</v>
      </c>
      <c r="C160">
        <v>4.2654449736570941</v>
      </c>
      <c r="D160">
        <v>4.5654449736570939</v>
      </c>
      <c r="E160">
        <v>521.43895533915895</v>
      </c>
      <c r="F160">
        <v>36.962945087936532</v>
      </c>
      <c r="G160">
        <v>0.51</v>
      </c>
      <c r="H160">
        <v>0.58622522308595848</v>
      </c>
      <c r="I160">
        <v>0.69637380533808979</v>
      </c>
      <c r="J160">
        <v>21.480998964419861</v>
      </c>
    </row>
    <row r="161" spans="1:10">
      <c r="A161" s="1">
        <v>45694</v>
      </c>
      <c r="B161" s="1">
        <v>45694</v>
      </c>
      <c r="C161">
        <v>4.2652153302626656</v>
      </c>
      <c r="D161">
        <v>4.5652153302626655</v>
      </c>
      <c r="E161">
        <v>521.43895533915895</v>
      </c>
      <c r="F161">
        <v>36.962945087936532</v>
      </c>
      <c r="G161">
        <v>0.51</v>
      </c>
      <c r="H161">
        <v>0.58622522308595848</v>
      </c>
      <c r="I161">
        <v>0.69637380533808979</v>
      </c>
      <c r="J161">
        <v>21.480998964419861</v>
      </c>
    </row>
    <row r="162" spans="1:10">
      <c r="A162" s="1">
        <v>45695</v>
      </c>
      <c r="B162" s="1">
        <v>45695</v>
      </c>
      <c r="C162">
        <v>4.2683308200211432</v>
      </c>
      <c r="D162">
        <v>4.568330820021143</v>
      </c>
      <c r="E162">
        <v>521.43895533915895</v>
      </c>
      <c r="F162">
        <v>36.962945087936532</v>
      </c>
      <c r="G162">
        <v>0.51</v>
      </c>
      <c r="H162">
        <v>0.58622522308595848</v>
      </c>
      <c r="I162">
        <v>0.69637380533808979</v>
      </c>
      <c r="J162">
        <v>21.480998964419861</v>
      </c>
    </row>
    <row r="163" spans="1:10">
      <c r="A163" s="1">
        <v>45698</v>
      </c>
      <c r="B163" s="1">
        <v>45698</v>
      </c>
      <c r="C163">
        <v>4.2661371879603287</v>
      </c>
      <c r="D163">
        <v>4.5661371879603285</v>
      </c>
      <c r="E163">
        <v>521.43895533915895</v>
      </c>
      <c r="F163">
        <v>36.962945087936532</v>
      </c>
      <c r="G163">
        <v>0.51</v>
      </c>
      <c r="H163">
        <v>0.58622522308595848</v>
      </c>
      <c r="I163">
        <v>0.69637380533808979</v>
      </c>
      <c r="J163">
        <v>21.480998964419861</v>
      </c>
    </row>
    <row r="164" spans="1:10">
      <c r="A164" s="1">
        <v>45699</v>
      </c>
      <c r="B164" s="1">
        <v>45699</v>
      </c>
      <c r="C164">
        <v>4.2686451377714167</v>
      </c>
      <c r="D164">
        <v>4.5686451377714166</v>
      </c>
      <c r="E164">
        <v>521.43895533915895</v>
      </c>
      <c r="F164">
        <v>36.962945087936532</v>
      </c>
      <c r="G164">
        <v>0.51</v>
      </c>
      <c r="H164">
        <v>0.58622522308595848</v>
      </c>
      <c r="I164">
        <v>0.69637380533808979</v>
      </c>
      <c r="J164">
        <v>21.480998964419861</v>
      </c>
    </row>
    <row r="165" spans="1:10">
      <c r="A165" s="1">
        <v>45700</v>
      </c>
      <c r="B165" s="1">
        <v>45700</v>
      </c>
      <c r="C165">
        <v>4.2701781889080248</v>
      </c>
      <c r="D165">
        <v>4.5701781889080246</v>
      </c>
      <c r="E165">
        <v>521.43895533915895</v>
      </c>
      <c r="F165">
        <v>36.962945087936532</v>
      </c>
      <c r="G165">
        <v>0.51</v>
      </c>
      <c r="H165">
        <v>0.58622522308595848</v>
      </c>
      <c r="I165">
        <v>0.69637380533808979</v>
      </c>
      <c r="J165">
        <v>21.480998964419861</v>
      </c>
    </row>
    <row r="166" spans="1:10">
      <c r="A166" s="1">
        <v>45701</v>
      </c>
      <c r="B166" s="1">
        <v>45701</v>
      </c>
      <c r="C166">
        <v>4.2729425991545877</v>
      </c>
      <c r="D166">
        <v>4.5729425991545876</v>
      </c>
      <c r="E166">
        <v>521.43895533915895</v>
      </c>
      <c r="F166">
        <v>36.962945087936532</v>
      </c>
      <c r="G166">
        <v>0.51</v>
      </c>
      <c r="H166">
        <v>0.58622522308595848</v>
      </c>
      <c r="I166">
        <v>0.69637380533808979</v>
      </c>
      <c r="J166">
        <v>21.480998964419861</v>
      </c>
    </row>
    <row r="167" spans="1:10">
      <c r="A167" s="1">
        <v>45702</v>
      </c>
      <c r="B167" s="1">
        <v>45702</v>
      </c>
      <c r="C167">
        <v>4.2709247939870041</v>
      </c>
      <c r="D167">
        <v>4.5709247939870039</v>
      </c>
      <c r="E167">
        <v>521.43895533915895</v>
      </c>
      <c r="F167">
        <v>36.962945087936532</v>
      </c>
      <c r="G167">
        <v>0.51</v>
      </c>
      <c r="H167">
        <v>0.58622522308595848</v>
      </c>
      <c r="I167">
        <v>0.69637380533808979</v>
      </c>
      <c r="J167">
        <v>21.480998964419861</v>
      </c>
    </row>
    <row r="168" spans="1:10">
      <c r="A168" s="1">
        <v>45705</v>
      </c>
      <c r="B168" s="1">
        <v>45705</v>
      </c>
      <c r="C168">
        <v>4.2750945431964169</v>
      </c>
      <c r="D168">
        <v>4.5750945431964167</v>
      </c>
      <c r="E168">
        <v>521.43895533915895</v>
      </c>
      <c r="F168">
        <v>36.962945087936532</v>
      </c>
      <c r="G168">
        <v>0.51</v>
      </c>
      <c r="H168">
        <v>0.58622522308595848</v>
      </c>
      <c r="I168">
        <v>0.69637380533808979</v>
      </c>
      <c r="J168">
        <v>21.480998964419861</v>
      </c>
    </row>
    <row r="169" spans="1:10">
      <c r="A169" s="1">
        <v>45706</v>
      </c>
      <c r="B169" s="1">
        <v>45706</v>
      </c>
      <c r="C169">
        <v>4.2743018512831537</v>
      </c>
      <c r="D169">
        <v>4.5743018512831535</v>
      </c>
      <c r="E169">
        <v>521.43895533915895</v>
      </c>
      <c r="F169">
        <v>36.962945087936532</v>
      </c>
      <c r="G169">
        <v>0.51</v>
      </c>
      <c r="H169">
        <v>0.58622522308595848</v>
      </c>
      <c r="I169">
        <v>0.69637380533808979</v>
      </c>
      <c r="J169">
        <v>21.480998964419861</v>
      </c>
    </row>
    <row r="170" spans="1:10">
      <c r="A170" s="1">
        <v>45707</v>
      </c>
      <c r="B170" s="1">
        <v>45707</v>
      </c>
      <c r="C170">
        <v>4.2749511627284775</v>
      </c>
      <c r="D170">
        <v>4.5749511627284773</v>
      </c>
      <c r="E170">
        <v>521.43895533915895</v>
      </c>
      <c r="F170">
        <v>36.962945087936532</v>
      </c>
      <c r="G170">
        <v>0.51</v>
      </c>
      <c r="H170">
        <v>0.58622522308595848</v>
      </c>
      <c r="I170">
        <v>0.69637380533808979</v>
      </c>
      <c r="J170">
        <v>21.480998964419861</v>
      </c>
    </row>
    <row r="171" spans="1:10">
      <c r="A171" s="1">
        <v>45708</v>
      </c>
      <c r="B171" s="1">
        <v>45708</v>
      </c>
      <c r="C171">
        <v>4.2614007401500702</v>
      </c>
      <c r="D171">
        <v>4.56140074015007</v>
      </c>
      <c r="E171">
        <v>521.43895533915895</v>
      </c>
      <c r="F171">
        <v>36.962945087936532</v>
      </c>
      <c r="G171">
        <v>0.51</v>
      </c>
      <c r="H171">
        <v>0.58622522308595848</v>
      </c>
      <c r="I171">
        <v>0.69637380533808979</v>
      </c>
      <c r="J171">
        <v>21.480998964419861</v>
      </c>
    </row>
    <row r="172" spans="1:10">
      <c r="A172" s="1">
        <v>45709</v>
      </c>
      <c r="B172" s="1">
        <v>45709</v>
      </c>
      <c r="C172">
        <v>4.273370986947131</v>
      </c>
      <c r="D172">
        <v>4.5733709869471308</v>
      </c>
      <c r="E172">
        <v>521.43895533915895</v>
      </c>
      <c r="F172">
        <v>36.962945087936532</v>
      </c>
      <c r="G172">
        <v>0.51</v>
      </c>
      <c r="H172">
        <v>0.58622522308595848</v>
      </c>
      <c r="I172">
        <v>0.69637380533808979</v>
      </c>
      <c r="J172">
        <v>21.480998964419861</v>
      </c>
    </row>
    <row r="173" spans="1:10">
      <c r="A173" s="1">
        <v>45712</v>
      </c>
      <c r="B173" s="1">
        <v>45712</v>
      </c>
      <c r="C173">
        <v>4.2690005265914399</v>
      </c>
      <c r="D173">
        <v>4.5690005265914397</v>
      </c>
      <c r="E173">
        <v>521.43895533915895</v>
      </c>
      <c r="F173">
        <v>36.962945087936532</v>
      </c>
      <c r="G173">
        <v>0.51</v>
      </c>
      <c r="H173">
        <v>0.58622522308595848</v>
      </c>
      <c r="I173">
        <v>0.69637380533808979</v>
      </c>
      <c r="J173">
        <v>21.480998964419861</v>
      </c>
    </row>
    <row r="174" spans="1:10">
      <c r="A174" s="1">
        <v>45713</v>
      </c>
      <c r="B174" s="1">
        <v>45713</v>
      </c>
      <c r="C174">
        <v>4.2626762367539452</v>
      </c>
      <c r="D174">
        <v>4.5626762367539451</v>
      </c>
      <c r="E174">
        <v>521.43895533915895</v>
      </c>
      <c r="F174">
        <v>36.962945087936532</v>
      </c>
      <c r="G174">
        <v>0.51</v>
      </c>
      <c r="H174">
        <v>0.58622522308595848</v>
      </c>
      <c r="I174">
        <v>0.69637380533808979</v>
      </c>
      <c r="J174">
        <v>21.480998964419861</v>
      </c>
    </row>
    <row r="175" spans="1:10">
      <c r="A175" s="1">
        <v>45714</v>
      </c>
      <c r="B175" s="1">
        <v>45714</v>
      </c>
      <c r="C175">
        <v>4.264240905882283</v>
      </c>
      <c r="D175">
        <v>4.5642409058822828</v>
      </c>
      <c r="E175">
        <v>521.43895533915895</v>
      </c>
      <c r="F175">
        <v>36.962945087936532</v>
      </c>
      <c r="G175">
        <v>0.51</v>
      </c>
      <c r="H175">
        <v>0.58622522308595848</v>
      </c>
      <c r="I175">
        <v>0.69637380533808979</v>
      </c>
      <c r="J175">
        <v>21.480998964419861</v>
      </c>
    </row>
    <row r="176" spans="1:10">
      <c r="A176" s="1">
        <v>45715</v>
      </c>
      <c r="B176" s="1">
        <v>45715</v>
      </c>
      <c r="C176">
        <v>4.2613438397356971</v>
      </c>
      <c r="D176">
        <v>4.5613438397356969</v>
      </c>
      <c r="E176">
        <v>521.43895533915895</v>
      </c>
      <c r="F176">
        <v>36.962945087936532</v>
      </c>
      <c r="G176">
        <v>0.51</v>
      </c>
      <c r="H176">
        <v>0.58622522308595848</v>
      </c>
      <c r="I176">
        <v>0.69637380533808979</v>
      </c>
      <c r="J176">
        <v>21.480998964419861</v>
      </c>
    </row>
    <row r="177" spans="1:11">
      <c r="A177" s="1">
        <v>45716</v>
      </c>
      <c r="B177" s="1">
        <v>45716</v>
      </c>
      <c r="C177">
        <v>4.2783131973331354</v>
      </c>
      <c r="D177">
        <v>4.5783131973331352</v>
      </c>
      <c r="E177">
        <v>521.43895533915895</v>
      </c>
      <c r="F177">
        <v>36.962945087936532</v>
      </c>
      <c r="G177">
        <v>0.51</v>
      </c>
      <c r="H177">
        <v>0.58622522308595848</v>
      </c>
      <c r="I177">
        <v>0.69637380533808979</v>
      </c>
      <c r="J177">
        <v>21.480998964419861</v>
      </c>
    </row>
    <row r="178" spans="1:11">
      <c r="A178" s="1">
        <v>45719</v>
      </c>
      <c r="B178" s="1">
        <v>45719</v>
      </c>
      <c r="C178">
        <v>4.2752133815665898</v>
      </c>
      <c r="D178">
        <v>4.5752133815665896</v>
      </c>
      <c r="E178">
        <v>521.43895533915895</v>
      </c>
      <c r="F178">
        <v>36.962945087936532</v>
      </c>
      <c r="G178">
        <v>0.51</v>
      </c>
      <c r="H178">
        <v>0.58622522308595848</v>
      </c>
      <c r="I178">
        <v>0.69637380533808979</v>
      </c>
      <c r="J178">
        <v>21.480998964419861</v>
      </c>
    </row>
    <row r="179" spans="1:11">
      <c r="A179" s="1">
        <v>45720</v>
      </c>
      <c r="B179" s="1">
        <v>45720</v>
      </c>
      <c r="C179">
        <v>4.2749491573405987</v>
      </c>
      <c r="D179">
        <v>4.5749491573405985</v>
      </c>
      <c r="E179">
        <v>521.43895533915895</v>
      </c>
      <c r="F179">
        <v>36.962945087936532</v>
      </c>
      <c r="G179">
        <v>0.51</v>
      </c>
      <c r="H179">
        <v>0.58622522308595848</v>
      </c>
      <c r="I179">
        <v>0.69637380533808979</v>
      </c>
      <c r="J179">
        <v>21.480998964419861</v>
      </c>
    </row>
    <row r="180" spans="1:11">
      <c r="A180" s="1">
        <v>45721</v>
      </c>
      <c r="B180" s="1">
        <v>45721</v>
      </c>
      <c r="C180">
        <v>4.2758492107026349</v>
      </c>
      <c r="D180">
        <v>4.5758492107026347</v>
      </c>
      <c r="E180">
        <v>521.43895533915895</v>
      </c>
      <c r="F180">
        <v>36.962945087936532</v>
      </c>
      <c r="G180">
        <v>0.51</v>
      </c>
      <c r="H180">
        <v>0.58622522308595848</v>
      </c>
      <c r="I180">
        <v>0.69637380533808979</v>
      </c>
      <c r="J180">
        <v>21.480998964419861</v>
      </c>
    </row>
    <row r="181" spans="1:11">
      <c r="A181" s="1">
        <v>45722</v>
      </c>
      <c r="B181" s="1">
        <v>45722</v>
      </c>
      <c r="C181">
        <v>4.2669670232413859</v>
      </c>
      <c r="D181">
        <v>4.5669670232413857</v>
      </c>
      <c r="E181">
        <v>521.43895533915895</v>
      </c>
      <c r="F181">
        <v>36.962945087936532</v>
      </c>
      <c r="G181">
        <v>0.51</v>
      </c>
      <c r="H181">
        <v>0.58622522308595848</v>
      </c>
      <c r="I181">
        <v>0.69637380533808979</v>
      </c>
      <c r="J181">
        <v>21.480998964419861</v>
      </c>
    </row>
    <row r="182" spans="1:11">
      <c r="A182" s="1">
        <v>45723</v>
      </c>
      <c r="B182" s="1">
        <v>45723</v>
      </c>
      <c r="C182">
        <v>4.2716494026989427</v>
      </c>
      <c r="D182">
        <v>4.5716494026989425</v>
      </c>
      <c r="E182">
        <v>521.43895533915895</v>
      </c>
      <c r="F182">
        <v>36.962945087936532</v>
      </c>
      <c r="G182">
        <v>0.51</v>
      </c>
      <c r="H182">
        <v>0.58622522308595848</v>
      </c>
      <c r="I182">
        <v>0.69637380533808979</v>
      </c>
      <c r="J182">
        <v>21.480998964419861</v>
      </c>
    </row>
    <row r="183" spans="1:11">
      <c r="A183" s="1">
        <v>45726</v>
      </c>
      <c r="B183" s="1">
        <v>45726</v>
      </c>
      <c r="C183">
        <v>4.2700235743649415</v>
      </c>
      <c r="D183">
        <v>4.5700235743649413</v>
      </c>
      <c r="E183">
        <v>521.43895533915895</v>
      </c>
      <c r="F183">
        <v>36.962945087936532</v>
      </c>
      <c r="G183">
        <v>0.51</v>
      </c>
      <c r="H183">
        <v>0.58622522308595848</v>
      </c>
      <c r="I183">
        <v>0.69637380533808979</v>
      </c>
      <c r="J183">
        <v>21.480998964419861</v>
      </c>
    </row>
    <row r="184" spans="1:11">
      <c r="A184" s="1">
        <v>45727</v>
      </c>
      <c r="B184" s="1">
        <v>45727</v>
      </c>
      <c r="C184">
        <v>4.2707893263159171</v>
      </c>
      <c r="D184">
        <v>4.5707893263159169</v>
      </c>
      <c r="E184">
        <v>521.43895533915895</v>
      </c>
      <c r="F184">
        <v>36.962945087936532</v>
      </c>
      <c r="G184">
        <v>0.51</v>
      </c>
      <c r="H184">
        <v>0.58622522308595848</v>
      </c>
      <c r="I184">
        <v>0.69637380533808979</v>
      </c>
      <c r="J184">
        <v>21.480998964419861</v>
      </c>
    </row>
    <row r="185" spans="1:11">
      <c r="A185" s="1">
        <v>45728</v>
      </c>
      <c r="B185" s="1">
        <v>45728</v>
      </c>
      <c r="C185">
        <v>4.2737127874531735</v>
      </c>
      <c r="D185">
        <v>4.5737127874531733</v>
      </c>
      <c r="E185">
        <v>521.43895533915895</v>
      </c>
      <c r="F185">
        <v>36.962945087936532</v>
      </c>
      <c r="G185">
        <v>0.51</v>
      </c>
      <c r="H185">
        <v>0.58622522308595848</v>
      </c>
      <c r="I185">
        <v>0.69637380533808979</v>
      </c>
      <c r="J185">
        <v>21.480998964419861</v>
      </c>
    </row>
    <row r="186" spans="1:11">
      <c r="A186" s="1">
        <v>45729</v>
      </c>
      <c r="B186" s="1">
        <v>45729</v>
      </c>
      <c r="C186">
        <v>4.2636425589406937</v>
      </c>
      <c r="D186">
        <v>4.5636425589406935</v>
      </c>
      <c r="E186">
        <v>521.43895533915895</v>
      </c>
      <c r="F186">
        <v>36.962945087936532</v>
      </c>
      <c r="G186">
        <v>0.51</v>
      </c>
      <c r="H186">
        <v>0.58622522308595848</v>
      </c>
      <c r="I186">
        <v>0.69637380533808979</v>
      </c>
      <c r="J186">
        <v>21.480998964419861</v>
      </c>
    </row>
    <row r="187" spans="1:11">
      <c r="A187" s="1">
        <v>45730</v>
      </c>
      <c r="B187" s="1">
        <v>45730</v>
      </c>
      <c r="C187">
        <v>4.2693831049952111</v>
      </c>
      <c r="D187">
        <v>4.5693831049952109</v>
      </c>
      <c r="E187">
        <v>521.43895533915895</v>
      </c>
      <c r="F187">
        <v>36.962945087936532</v>
      </c>
      <c r="G187">
        <v>0.51</v>
      </c>
      <c r="H187">
        <v>0.58622522308595848</v>
      </c>
      <c r="I187">
        <v>0.69637380533808979</v>
      </c>
      <c r="J187">
        <v>21.480998964419861</v>
      </c>
    </row>
    <row r="188" spans="1:11" s="14" customFormat="1">
      <c r="A188" s="13">
        <v>45733</v>
      </c>
      <c r="B188" s="13">
        <v>45733</v>
      </c>
      <c r="C188" s="14">
        <v>4.2653184504674275</v>
      </c>
      <c r="D188" s="14">
        <v>4.5694676668290235</v>
      </c>
      <c r="E188">
        <v>521.43895533915895</v>
      </c>
      <c r="F188">
        <v>36.962945087936532</v>
      </c>
      <c r="G188">
        <v>0.51</v>
      </c>
      <c r="H188">
        <v>0.58622522308595848</v>
      </c>
      <c r="I188">
        <v>0.69637380533808979</v>
      </c>
      <c r="J188">
        <v>21.480998964419861</v>
      </c>
      <c r="K188" s="15"/>
    </row>
    <row r="189" spans="1:11">
      <c r="A189" s="1">
        <v>45734</v>
      </c>
      <c r="B189" s="1">
        <v>45734</v>
      </c>
      <c r="C189">
        <v>4.2674352048032249</v>
      </c>
      <c r="D189">
        <v>4.572278423827739</v>
      </c>
      <c r="E189">
        <v>521.43895533915895</v>
      </c>
      <c r="F189">
        <v>36.962945087936532</v>
      </c>
      <c r="G189">
        <v>0.51</v>
      </c>
      <c r="H189">
        <v>0.58622522308595848</v>
      </c>
      <c r="I189">
        <v>0.69637380533808979</v>
      </c>
      <c r="J189">
        <v>21.480998964419861</v>
      </c>
    </row>
    <row r="190" spans="1:11">
      <c r="A190" s="1">
        <v>45735</v>
      </c>
      <c r="B190" s="1">
        <v>45735</v>
      </c>
      <c r="C190">
        <v>4.2662713794562039</v>
      </c>
      <c r="D190">
        <v>4.5654443961510189</v>
      </c>
      <c r="E190">
        <v>521.43895533915895</v>
      </c>
      <c r="F190">
        <v>36.962945087936532</v>
      </c>
      <c r="G190">
        <v>0.51</v>
      </c>
      <c r="H190">
        <v>0.58622522308595848</v>
      </c>
      <c r="I190">
        <v>0.69637380533808979</v>
      </c>
      <c r="J190">
        <v>21.480998964419861</v>
      </c>
    </row>
    <row r="191" spans="1:11">
      <c r="A191" s="1">
        <v>45736</v>
      </c>
      <c r="B191" s="1">
        <v>45736</v>
      </c>
      <c r="C191">
        <v>4.2705239805716202</v>
      </c>
      <c r="D191">
        <v>4.5769883137685055</v>
      </c>
      <c r="E191">
        <v>521.43895533915895</v>
      </c>
      <c r="F191">
        <v>36.962945087936532</v>
      </c>
      <c r="G191">
        <v>0.51</v>
      </c>
      <c r="H191">
        <v>0.58622522308595848</v>
      </c>
      <c r="I191">
        <v>0.69637380533808979</v>
      </c>
      <c r="J191">
        <v>21.480998964419861</v>
      </c>
    </row>
    <row r="192" spans="1:11">
      <c r="A192" s="1">
        <v>45737</v>
      </c>
      <c r="B192" s="1">
        <v>45737</v>
      </c>
      <c r="C192">
        <v>4.260103420275847</v>
      </c>
      <c r="D192">
        <v>4.5694471413289506</v>
      </c>
      <c r="E192">
        <v>521.43895533915895</v>
      </c>
      <c r="F192">
        <v>36.962945087936532</v>
      </c>
      <c r="G192">
        <v>0.51</v>
      </c>
      <c r="H192">
        <v>0.58622522308595848</v>
      </c>
      <c r="I192">
        <v>0.69637380533808979</v>
      </c>
      <c r="J192">
        <v>21.480998964419861</v>
      </c>
    </row>
    <row r="193" spans="1:10">
      <c r="A193" s="1">
        <v>45740</v>
      </c>
      <c r="B193" s="1">
        <v>45740</v>
      </c>
      <c r="C193">
        <v>4.2645674823219855</v>
      </c>
      <c r="D193">
        <v>4.5713291736731687</v>
      </c>
      <c r="E193">
        <v>521.43895533915895</v>
      </c>
      <c r="F193">
        <v>36.962945087936532</v>
      </c>
      <c r="G193">
        <v>0.51</v>
      </c>
      <c r="H193">
        <v>0.58622522308595848</v>
      </c>
      <c r="I193">
        <v>0.69637380533808979</v>
      </c>
      <c r="J193">
        <v>21.480998964419861</v>
      </c>
    </row>
    <row r="194" spans="1:10">
      <c r="A194" s="1">
        <v>45741</v>
      </c>
      <c r="B194" s="1">
        <v>45741</v>
      </c>
      <c r="C194">
        <v>4.2709066802721312</v>
      </c>
      <c r="D194">
        <v>4.5731716034881904</v>
      </c>
      <c r="E194">
        <v>521.43895533915895</v>
      </c>
      <c r="F194">
        <v>36.962945087936532</v>
      </c>
      <c r="G194">
        <v>0.51</v>
      </c>
      <c r="H194">
        <v>0.58622522308595848</v>
      </c>
      <c r="I194">
        <v>0.69637380533808979</v>
      </c>
      <c r="J194">
        <v>21.480998964419861</v>
      </c>
    </row>
    <row r="195" spans="1:10">
      <c r="A195" s="1">
        <v>45742</v>
      </c>
      <c r="B195" s="1">
        <v>45742</v>
      </c>
      <c r="C195">
        <v>4.2650386667122584</v>
      </c>
      <c r="D195">
        <v>4.5689246519490334</v>
      </c>
      <c r="E195">
        <v>521.43895533915895</v>
      </c>
      <c r="F195">
        <v>36.962945087936532</v>
      </c>
      <c r="G195">
        <v>0.51</v>
      </c>
      <c r="H195">
        <v>0.58622522308595848</v>
      </c>
      <c r="I195">
        <v>0.69637380533808979</v>
      </c>
      <c r="J195">
        <v>21.480998964419861</v>
      </c>
    </row>
    <row r="196" spans="1:10">
      <c r="A196" s="1">
        <v>45743</v>
      </c>
      <c r="B196" s="1">
        <v>45743</v>
      </c>
      <c r="C196">
        <v>4.265174275325565</v>
      </c>
      <c r="D196">
        <v>4.5690003096520817</v>
      </c>
      <c r="E196">
        <v>521.43895533915895</v>
      </c>
      <c r="F196">
        <v>36.962945087936532</v>
      </c>
      <c r="G196">
        <v>0.51</v>
      </c>
      <c r="H196">
        <v>0.58622522308595848</v>
      </c>
      <c r="I196">
        <v>0.69637380533808979</v>
      </c>
      <c r="J196">
        <v>21.480998964419861</v>
      </c>
    </row>
    <row r="197" spans="1:10">
      <c r="A197" s="1">
        <v>45744</v>
      </c>
      <c r="B197" s="1">
        <v>45744</v>
      </c>
      <c r="C197">
        <v>4.2633059158039313</v>
      </c>
      <c r="D197">
        <v>4.5701921522792315</v>
      </c>
      <c r="E197">
        <v>521.43895533915895</v>
      </c>
      <c r="F197">
        <v>36.962945087936532</v>
      </c>
      <c r="G197">
        <v>0.51</v>
      </c>
      <c r="H197">
        <v>0.58622522308595848</v>
      </c>
      <c r="I197">
        <v>0.69637380533808979</v>
      </c>
      <c r="J197">
        <v>21.480998964419861</v>
      </c>
    </row>
    <row r="198" spans="1:10">
      <c r="A198" s="1">
        <v>45747</v>
      </c>
      <c r="B198" s="1">
        <v>45747</v>
      </c>
      <c r="C198">
        <v>4.2743137830593811</v>
      </c>
      <c r="D198">
        <v>4.5704656065910862</v>
      </c>
      <c r="E198">
        <v>521.43895533915895</v>
      </c>
      <c r="F198">
        <v>36.962945087936532</v>
      </c>
      <c r="G198">
        <v>0.51</v>
      </c>
      <c r="H198">
        <v>0.58622522308595848</v>
      </c>
      <c r="I198">
        <v>0.69637380533808979</v>
      </c>
      <c r="J198">
        <v>21.480998964419861</v>
      </c>
    </row>
    <row r="199" spans="1:10">
      <c r="A199" s="1">
        <v>45748</v>
      </c>
      <c r="B199" s="1">
        <v>45748</v>
      </c>
      <c r="C199">
        <v>4.2614152758326798</v>
      </c>
      <c r="D199">
        <v>4.5728091667448263</v>
      </c>
      <c r="E199">
        <v>521.43895533915895</v>
      </c>
      <c r="F199">
        <v>36.962945087936532</v>
      </c>
      <c r="G199">
        <v>0.51</v>
      </c>
      <c r="H199">
        <v>0.58622522308595848</v>
      </c>
      <c r="I199">
        <v>0.69637380533808979</v>
      </c>
      <c r="J199">
        <v>21.480998964419861</v>
      </c>
    </row>
    <row r="200" spans="1:10">
      <c r="A200" s="1">
        <v>45749</v>
      </c>
      <c r="B200" s="1">
        <v>45749</v>
      </c>
      <c r="C200">
        <v>4.2705688702311271</v>
      </c>
      <c r="D200">
        <v>4.5647952287066191</v>
      </c>
      <c r="E200">
        <v>521.43895533915895</v>
      </c>
      <c r="F200">
        <v>36.962945087936532</v>
      </c>
      <c r="G200">
        <v>0.51</v>
      </c>
      <c r="H200">
        <v>0.58622522308595848</v>
      </c>
      <c r="I200">
        <v>0.69637380533808979</v>
      </c>
      <c r="J200">
        <v>21.480998964419861</v>
      </c>
    </row>
    <row r="201" spans="1:10">
      <c r="A201" s="1">
        <v>45750</v>
      </c>
      <c r="B201" s="1">
        <v>45750</v>
      </c>
      <c r="C201">
        <v>4.2755987019966089</v>
      </c>
      <c r="D201">
        <v>4.5697749582535154</v>
      </c>
      <c r="E201">
        <v>521.43895533915895</v>
      </c>
      <c r="F201">
        <v>36.962945087936532</v>
      </c>
      <c r="G201">
        <v>0.51</v>
      </c>
      <c r="H201">
        <v>0.58622522308595848</v>
      </c>
      <c r="I201">
        <v>0.69637380533808979</v>
      </c>
      <c r="J201">
        <v>21.480998964419861</v>
      </c>
    </row>
    <row r="202" spans="1:10">
      <c r="A202" s="1">
        <v>45751</v>
      </c>
      <c r="B202" s="1">
        <v>45751</v>
      </c>
      <c r="C202">
        <v>4.2669556782389826</v>
      </c>
      <c r="D202">
        <v>4.570397659037595</v>
      </c>
      <c r="E202">
        <v>521.43895533915895</v>
      </c>
      <c r="F202">
        <v>36.962945087936532</v>
      </c>
      <c r="G202">
        <v>0.51</v>
      </c>
      <c r="H202">
        <v>0.58622522308595848</v>
      </c>
      <c r="I202">
        <v>0.69637380533808979</v>
      </c>
      <c r="J202">
        <v>21.480998964419861</v>
      </c>
    </row>
    <row r="203" spans="1:10">
      <c r="A203" s="1">
        <v>45754</v>
      </c>
      <c r="B203" s="1">
        <v>45754</v>
      </c>
      <c r="C203">
        <v>4.2725710824742356</v>
      </c>
      <c r="D203">
        <v>4.5663481396140808</v>
      </c>
      <c r="E203">
        <v>521.43895533915895</v>
      </c>
      <c r="F203">
        <v>36.962945087936532</v>
      </c>
      <c r="G203">
        <v>0.51</v>
      </c>
      <c r="H203">
        <v>0.58622522308595848</v>
      </c>
      <c r="I203">
        <v>0.69637380533808979</v>
      </c>
      <c r="J203">
        <v>21.480998964419861</v>
      </c>
    </row>
    <row r="204" spans="1:10">
      <c r="A204" s="1">
        <v>45755</v>
      </c>
      <c r="B204" s="1">
        <v>45755</v>
      </c>
      <c r="C204">
        <v>4.2657488380706203</v>
      </c>
      <c r="D204">
        <v>4.5692996869166613</v>
      </c>
      <c r="E204">
        <v>521.43895533915895</v>
      </c>
      <c r="F204">
        <v>36.962945087936532</v>
      </c>
      <c r="G204">
        <v>0.51</v>
      </c>
      <c r="H204">
        <v>0.58622522308595848</v>
      </c>
      <c r="I204">
        <v>0.69637380533808979</v>
      </c>
      <c r="J204">
        <v>21.480998964419861</v>
      </c>
    </row>
    <row r="205" spans="1:10">
      <c r="A205" s="1">
        <v>45756</v>
      </c>
      <c r="B205" s="1">
        <v>45756</v>
      </c>
      <c r="C205">
        <v>4.2757096327323163</v>
      </c>
      <c r="D205">
        <v>4.5696914044939971</v>
      </c>
      <c r="E205">
        <v>521.43895533915895</v>
      </c>
      <c r="F205">
        <v>36.962945087936532</v>
      </c>
      <c r="G205">
        <v>0.51</v>
      </c>
      <c r="H205">
        <v>0.58622522308595848</v>
      </c>
      <c r="I205">
        <v>0.69637380533808979</v>
      </c>
      <c r="J205">
        <v>21.480998964419861</v>
      </c>
    </row>
    <row r="206" spans="1:10">
      <c r="A206" s="1">
        <v>45757</v>
      </c>
      <c r="B206" s="1">
        <v>45757</v>
      </c>
      <c r="C206">
        <v>4.2723956853135432</v>
      </c>
      <c r="D206">
        <v>4.5666382785923156</v>
      </c>
      <c r="E206">
        <v>521.43895533915895</v>
      </c>
      <c r="F206">
        <v>36.962945087936532</v>
      </c>
      <c r="G206">
        <v>0.51</v>
      </c>
      <c r="H206">
        <v>0.58622522308595848</v>
      </c>
      <c r="I206">
        <v>0.69637380533808979</v>
      </c>
      <c r="J206">
        <v>21.480998964419861</v>
      </c>
    </row>
    <row r="207" spans="1:10">
      <c r="A207" s="1">
        <v>45758</v>
      </c>
      <c r="B207" s="1">
        <v>45758</v>
      </c>
      <c r="C207">
        <v>4.273568362227639</v>
      </c>
      <c r="D207">
        <v>4.5768770566555359</v>
      </c>
      <c r="E207">
        <v>521.43895533915895</v>
      </c>
      <c r="F207">
        <v>36.962945087936532</v>
      </c>
      <c r="G207">
        <v>0.51</v>
      </c>
      <c r="H207">
        <v>0.58622522308595848</v>
      </c>
      <c r="I207">
        <v>0.69637380533808979</v>
      </c>
      <c r="J207">
        <v>21.480998964419861</v>
      </c>
    </row>
    <row r="208" spans="1:10">
      <c r="A208" s="1">
        <v>45761</v>
      </c>
      <c r="B208" s="1">
        <v>45761</v>
      </c>
      <c r="C208">
        <v>4.26717546999022</v>
      </c>
      <c r="D208">
        <v>4.5773218624140188</v>
      </c>
      <c r="E208">
        <v>521.43895533915895</v>
      </c>
      <c r="F208">
        <v>36.962945087936532</v>
      </c>
      <c r="G208">
        <v>0.51</v>
      </c>
      <c r="H208">
        <v>0.58622522308595848</v>
      </c>
      <c r="I208">
        <v>0.69637380533808979</v>
      </c>
      <c r="J208">
        <v>21.480998964419861</v>
      </c>
    </row>
    <row r="209" spans="1:10">
      <c r="A209" s="1">
        <v>45762</v>
      </c>
      <c r="B209" s="1">
        <v>45762</v>
      </c>
      <c r="C209">
        <v>4.2635871342620089</v>
      </c>
      <c r="D209">
        <v>4.5732670392971073</v>
      </c>
      <c r="E209">
        <v>521.43895533915895</v>
      </c>
      <c r="F209">
        <v>36.962945087936532</v>
      </c>
      <c r="G209">
        <v>0.51</v>
      </c>
      <c r="H209">
        <v>0.58622522308595848</v>
      </c>
      <c r="I209">
        <v>0.69637380533808979</v>
      </c>
      <c r="J209">
        <v>21.480998964419861</v>
      </c>
    </row>
    <row r="210" spans="1:10">
      <c r="A210" s="1">
        <v>45763</v>
      </c>
      <c r="B210" s="1">
        <v>45763</v>
      </c>
      <c r="C210">
        <v>4.2677180657609455</v>
      </c>
      <c r="D210">
        <v>4.5691098990437364</v>
      </c>
      <c r="E210">
        <v>521.43895533915895</v>
      </c>
      <c r="F210">
        <v>36.962945087936532</v>
      </c>
      <c r="G210">
        <v>0.51</v>
      </c>
      <c r="H210">
        <v>0.58622522308595848</v>
      </c>
      <c r="I210">
        <v>0.69637380533808979</v>
      </c>
      <c r="J210">
        <v>21.480998964419861</v>
      </c>
    </row>
    <row r="211" spans="1:10">
      <c r="A211" s="1">
        <v>45764</v>
      </c>
      <c r="B211" s="1">
        <v>45764</v>
      </c>
      <c r="C211">
        <v>4.2640587624646917</v>
      </c>
      <c r="D211">
        <v>4.56889428571957</v>
      </c>
      <c r="E211">
        <v>521.43895533915895</v>
      </c>
      <c r="F211">
        <v>36.962945087936532</v>
      </c>
      <c r="G211">
        <v>0.51</v>
      </c>
      <c r="H211">
        <v>0.58622522308595848</v>
      </c>
      <c r="I211">
        <v>0.69637380533808979</v>
      </c>
      <c r="J211">
        <v>21.480998964419861</v>
      </c>
    </row>
    <row r="212" spans="1:10">
      <c r="A212" s="1">
        <v>45765</v>
      </c>
      <c r="B212" s="1">
        <v>45765</v>
      </c>
      <c r="C212">
        <v>4.2683428719586525</v>
      </c>
      <c r="D212">
        <v>4.5730388955926511</v>
      </c>
      <c r="E212">
        <v>521.43895533915895</v>
      </c>
      <c r="F212">
        <v>36.962945087936532</v>
      </c>
      <c r="G212">
        <v>0.51</v>
      </c>
      <c r="H212">
        <v>0.58622522308595848</v>
      </c>
      <c r="I212">
        <v>0.69637380533808979</v>
      </c>
      <c r="J212">
        <v>21.480998964419861</v>
      </c>
    </row>
    <row r="213" spans="1:10">
      <c r="A213" s="1">
        <v>45768</v>
      </c>
      <c r="B213" s="1">
        <v>45768</v>
      </c>
      <c r="C213">
        <v>4.2672874453541301</v>
      </c>
      <c r="D213">
        <v>4.5634481132665075</v>
      </c>
      <c r="E213">
        <v>521.43895533915895</v>
      </c>
      <c r="F213">
        <v>36.962945087936532</v>
      </c>
      <c r="G213">
        <v>0.51</v>
      </c>
      <c r="H213">
        <v>0.58622522308595848</v>
      </c>
      <c r="I213">
        <v>0.69637380533808979</v>
      </c>
      <c r="J213">
        <v>21.480998964419861</v>
      </c>
    </row>
    <row r="214" spans="1:10">
      <c r="A214" s="1">
        <v>45769</v>
      </c>
      <c r="B214" s="1">
        <v>45769</v>
      </c>
      <c r="C214">
        <v>4.2643500730698722</v>
      </c>
      <c r="D214">
        <v>4.5695869537883604</v>
      </c>
      <c r="E214">
        <v>521.43895533915895</v>
      </c>
      <c r="F214">
        <v>36.962945087936532</v>
      </c>
      <c r="G214">
        <v>0.51</v>
      </c>
      <c r="H214">
        <v>0.58622522308595848</v>
      </c>
      <c r="I214">
        <v>0.69637380533808979</v>
      </c>
      <c r="J214">
        <v>21.480998964419861</v>
      </c>
    </row>
    <row r="215" spans="1:10">
      <c r="A215" s="1">
        <v>45770</v>
      </c>
      <c r="B215" s="1">
        <v>45770</v>
      </c>
      <c r="C215">
        <v>4.2710118505959409</v>
      </c>
      <c r="D215">
        <v>4.56838436847152</v>
      </c>
      <c r="E215">
        <v>521.43895533915895</v>
      </c>
      <c r="F215">
        <v>36.962945087936532</v>
      </c>
      <c r="G215">
        <v>0.51</v>
      </c>
      <c r="H215">
        <v>0.58622522308595848</v>
      </c>
      <c r="I215">
        <v>0.69637380533808979</v>
      </c>
      <c r="J215">
        <v>21.480998964419861</v>
      </c>
    </row>
    <row r="216" spans="1:10">
      <c r="A216" s="1">
        <v>45771</v>
      </c>
      <c r="B216" s="1">
        <v>45771</v>
      </c>
      <c r="C216">
        <v>4.2685858041873992</v>
      </c>
      <c r="D216">
        <v>4.5769301337069717</v>
      </c>
      <c r="E216">
        <v>521.43895533915895</v>
      </c>
      <c r="F216">
        <v>36.962945087936532</v>
      </c>
      <c r="G216">
        <v>0.51</v>
      </c>
      <c r="H216">
        <v>0.58622522308595848</v>
      </c>
      <c r="I216">
        <v>0.69637380533808979</v>
      </c>
      <c r="J216">
        <v>21.480998964419861</v>
      </c>
    </row>
    <row r="217" spans="1:10">
      <c r="A217" s="1">
        <v>45772</v>
      </c>
      <c r="B217" s="1">
        <v>45772</v>
      </c>
      <c r="C217">
        <v>4.273132118315103</v>
      </c>
      <c r="D217">
        <v>4.5758363297246625</v>
      </c>
      <c r="E217">
        <v>521.43895533915895</v>
      </c>
      <c r="F217">
        <v>36.962945087936532</v>
      </c>
      <c r="G217">
        <v>0.51</v>
      </c>
      <c r="H217">
        <v>0.58622522308595848</v>
      </c>
      <c r="I217">
        <v>0.69637380533808979</v>
      </c>
      <c r="J217">
        <v>21.480998964419861</v>
      </c>
    </row>
    <row r="218" spans="1:10">
      <c r="A218" s="1">
        <v>45775</v>
      </c>
      <c r="B218" s="1">
        <v>45775</v>
      </c>
      <c r="C218">
        <v>4.2651311158421654</v>
      </c>
      <c r="D218">
        <v>4.5696620460854129</v>
      </c>
      <c r="E218">
        <v>521.43895533915895</v>
      </c>
      <c r="F218">
        <v>36.962945087936532</v>
      </c>
      <c r="G218">
        <v>0.51</v>
      </c>
      <c r="H218">
        <v>0.58622522308595848</v>
      </c>
      <c r="I218">
        <v>0.69637380533808979</v>
      </c>
      <c r="J218">
        <v>21.480998964419861</v>
      </c>
    </row>
    <row r="219" spans="1:10">
      <c r="A219" s="1">
        <v>45776</v>
      </c>
      <c r="B219" s="1">
        <v>45776</v>
      </c>
      <c r="C219">
        <v>4.2631520100172811</v>
      </c>
      <c r="D219">
        <v>4.5710359198156256</v>
      </c>
      <c r="E219">
        <v>521.43895533915895</v>
      </c>
      <c r="F219">
        <v>36.962945087936532</v>
      </c>
      <c r="G219">
        <v>0.51</v>
      </c>
      <c r="H219">
        <v>0.58622522308595848</v>
      </c>
      <c r="I219">
        <v>0.69637380533808979</v>
      </c>
      <c r="J219">
        <v>21.480998964419861</v>
      </c>
    </row>
    <row r="220" spans="1:10">
      <c r="A220" s="1">
        <v>45777</v>
      </c>
      <c r="B220" s="1">
        <v>45777</v>
      </c>
      <c r="C220">
        <v>4.2744488372071405</v>
      </c>
      <c r="D220">
        <v>4.571008535696552</v>
      </c>
      <c r="E220">
        <v>521.43895533915895</v>
      </c>
      <c r="F220">
        <v>36.962945087936532</v>
      </c>
      <c r="G220">
        <v>0.51</v>
      </c>
      <c r="H220">
        <v>0.58622522308595848</v>
      </c>
      <c r="I220">
        <v>0.69637380533808979</v>
      </c>
      <c r="J220">
        <v>21.480998964419861</v>
      </c>
    </row>
    <row r="221" spans="1:10">
      <c r="A221" s="1">
        <v>45778</v>
      </c>
      <c r="B221" s="1">
        <v>45778</v>
      </c>
      <c r="C221">
        <v>4.2722876307779565</v>
      </c>
      <c r="D221">
        <v>4.5688528162118356</v>
      </c>
      <c r="E221">
        <v>521.43895533915895</v>
      </c>
      <c r="F221">
        <v>36.962945087936532</v>
      </c>
      <c r="G221">
        <v>0.51</v>
      </c>
      <c r="H221">
        <v>0.58622522308595848</v>
      </c>
      <c r="I221">
        <v>0.69637380533808979</v>
      </c>
      <c r="J221">
        <v>21.480998964419861</v>
      </c>
    </row>
    <row r="222" spans="1:10">
      <c r="A222" s="1">
        <v>45779</v>
      </c>
      <c r="B222" s="1">
        <v>45779</v>
      </c>
      <c r="C222">
        <v>4.2649058460585643</v>
      </c>
      <c r="D222">
        <v>4.5714492939617175</v>
      </c>
      <c r="E222">
        <v>521.43895533915895</v>
      </c>
      <c r="F222">
        <v>36.962945087936532</v>
      </c>
      <c r="G222">
        <v>0.51</v>
      </c>
      <c r="H222">
        <v>0.58622522308595848</v>
      </c>
      <c r="I222">
        <v>0.69637380533808979</v>
      </c>
      <c r="J222">
        <v>21.480998964419861</v>
      </c>
    </row>
    <row r="223" spans="1:10">
      <c r="A223" s="1">
        <v>45782</v>
      </c>
      <c r="B223" s="1">
        <v>45782</v>
      </c>
      <c r="C223">
        <v>4.2728291611647062</v>
      </c>
      <c r="D223">
        <v>4.5675165776620119</v>
      </c>
      <c r="E223">
        <v>521.43895533915895</v>
      </c>
      <c r="F223">
        <v>36.962945087936532</v>
      </c>
      <c r="G223">
        <v>0.51</v>
      </c>
      <c r="H223">
        <v>0.58622522308595848</v>
      </c>
      <c r="I223">
        <v>0.69637380533808979</v>
      </c>
      <c r="J223">
        <v>21.480998964419861</v>
      </c>
    </row>
    <row r="224" spans="1:10">
      <c r="A224" s="1">
        <v>45783</v>
      </c>
      <c r="B224" s="1">
        <v>45783</v>
      </c>
      <c r="C224">
        <v>4.2660311419936328</v>
      </c>
      <c r="D224">
        <v>4.5683884920324394</v>
      </c>
      <c r="E224">
        <v>521.43895533915895</v>
      </c>
      <c r="F224">
        <v>36.962945087936532</v>
      </c>
      <c r="G224">
        <v>0.51</v>
      </c>
      <c r="H224">
        <v>0.58622522308595848</v>
      </c>
      <c r="I224">
        <v>0.69637380533808979</v>
      </c>
      <c r="J224">
        <v>21.480998964419861</v>
      </c>
    </row>
    <row r="225" spans="1:10">
      <c r="A225" s="1">
        <v>45784</v>
      </c>
      <c r="B225" s="1">
        <v>45784</v>
      </c>
      <c r="C225">
        <v>4.271008584621919</v>
      </c>
      <c r="D225">
        <v>4.5695720767793659</v>
      </c>
      <c r="E225">
        <v>521.43895533915895</v>
      </c>
      <c r="F225">
        <v>36.962945087936532</v>
      </c>
      <c r="G225">
        <v>0.51</v>
      </c>
      <c r="H225">
        <v>0.58622522308595848</v>
      </c>
      <c r="I225">
        <v>0.69637380533808979</v>
      </c>
      <c r="J225">
        <v>21.480998964419861</v>
      </c>
    </row>
    <row r="226" spans="1:10">
      <c r="A226" s="1">
        <v>45785</v>
      </c>
      <c r="B226" s="1">
        <v>45785</v>
      </c>
      <c r="C226">
        <v>4.2772188869151151</v>
      </c>
      <c r="D226">
        <v>4.5645128285173975</v>
      </c>
      <c r="E226">
        <v>521.43895533915895</v>
      </c>
      <c r="F226">
        <v>36.962945087936532</v>
      </c>
      <c r="G226">
        <v>0.51</v>
      </c>
      <c r="H226">
        <v>0.58622522308595848</v>
      </c>
      <c r="I226">
        <v>0.69637380533808979</v>
      </c>
      <c r="J226">
        <v>21.480998964419861</v>
      </c>
    </row>
    <row r="227" spans="1:10">
      <c r="A227" s="1">
        <v>45786</v>
      </c>
      <c r="B227" s="1">
        <v>45786</v>
      </c>
      <c r="C227">
        <v>4.2771173485302096</v>
      </c>
      <c r="D227">
        <v>4.5635436730573389</v>
      </c>
      <c r="E227">
        <v>521.43895533915895</v>
      </c>
      <c r="F227">
        <v>36.962945087936532</v>
      </c>
      <c r="G227">
        <v>0.51</v>
      </c>
      <c r="H227">
        <v>0.58622522308595848</v>
      </c>
      <c r="I227">
        <v>0.69637380533808979</v>
      </c>
      <c r="J227">
        <v>21.480998964419861</v>
      </c>
    </row>
    <row r="228" spans="1:10">
      <c r="A228" s="1">
        <v>45789</v>
      </c>
      <c r="B228" s="1">
        <v>45789</v>
      </c>
      <c r="C228">
        <v>4.2658144967955511</v>
      </c>
      <c r="D228">
        <v>4.5747205923405092</v>
      </c>
      <c r="E228">
        <v>521.43895533915895</v>
      </c>
      <c r="F228">
        <v>36.962945087936532</v>
      </c>
      <c r="G228">
        <v>0.51</v>
      </c>
      <c r="H228">
        <v>0.58622522308595848</v>
      </c>
      <c r="I228">
        <v>0.69637380533808979</v>
      </c>
      <c r="J228">
        <v>21.480998964419861</v>
      </c>
    </row>
    <row r="229" spans="1:10">
      <c r="A229" s="1">
        <v>45790</v>
      </c>
      <c r="B229" s="1">
        <v>45790</v>
      </c>
      <c r="C229">
        <v>4.2698108784408779</v>
      </c>
      <c r="D229">
        <v>4.5676948022756445</v>
      </c>
      <c r="E229">
        <v>521.43895533915895</v>
      </c>
      <c r="F229">
        <v>36.962945087936532</v>
      </c>
      <c r="G229">
        <v>0.51</v>
      </c>
      <c r="H229">
        <v>0.58622522308595848</v>
      </c>
      <c r="I229">
        <v>0.69637380533808979</v>
      </c>
      <c r="J229">
        <v>21.480998964419861</v>
      </c>
    </row>
    <row r="230" spans="1:10">
      <c r="A230" s="1">
        <v>45791</v>
      </c>
      <c r="B230" s="1">
        <v>45791</v>
      </c>
      <c r="C230">
        <v>4.2695171570387922</v>
      </c>
      <c r="D230">
        <v>4.5727990779051604</v>
      </c>
      <c r="E230">
        <v>521.43895533915895</v>
      </c>
      <c r="F230">
        <v>36.962945087936532</v>
      </c>
      <c r="G230">
        <v>0.51</v>
      </c>
      <c r="H230">
        <v>0.58622522308595848</v>
      </c>
      <c r="I230">
        <v>0.69637380533808979</v>
      </c>
      <c r="J230">
        <v>21.480998964419861</v>
      </c>
    </row>
    <row r="231" spans="1:10">
      <c r="A231" s="1">
        <v>45792</v>
      </c>
      <c r="B231" s="1">
        <v>45792</v>
      </c>
      <c r="C231">
        <v>4.2655704656464755</v>
      </c>
      <c r="D231">
        <v>4.567916582309155</v>
      </c>
      <c r="E231">
        <v>521.43895533915895</v>
      </c>
      <c r="F231">
        <v>36.962945087936532</v>
      </c>
      <c r="G231">
        <v>0.51</v>
      </c>
      <c r="H231">
        <v>0.58622522308595848</v>
      </c>
      <c r="I231">
        <v>0.69637380533808979</v>
      </c>
      <c r="J231">
        <v>21.480998964419861</v>
      </c>
    </row>
    <row r="232" spans="1:10">
      <c r="A232" s="1">
        <v>45793</v>
      </c>
      <c r="B232" s="1">
        <v>45793</v>
      </c>
      <c r="C232">
        <v>4.2658092797785256</v>
      </c>
      <c r="D232">
        <v>4.5651146969510323</v>
      </c>
      <c r="E232">
        <v>521.43895533915895</v>
      </c>
      <c r="F232">
        <v>36.962945087936532</v>
      </c>
      <c r="G232">
        <v>0.51</v>
      </c>
      <c r="H232">
        <v>0.58622522308595848</v>
      </c>
      <c r="I232">
        <v>0.69637380533808979</v>
      </c>
      <c r="J232">
        <v>21.480998964419861</v>
      </c>
    </row>
    <row r="233" spans="1:10">
      <c r="A233" s="1">
        <v>45796</v>
      </c>
      <c r="B233" s="1">
        <v>45796</v>
      </c>
      <c r="C233">
        <v>4.267909953484347</v>
      </c>
      <c r="D233">
        <v>4.5716322794397035</v>
      </c>
      <c r="E233">
        <v>521.43895533915895</v>
      </c>
      <c r="F233">
        <v>36.962945087936532</v>
      </c>
      <c r="G233">
        <v>0.51</v>
      </c>
      <c r="H233">
        <v>0.58622522308595848</v>
      </c>
      <c r="I233">
        <v>0.69637380533808979</v>
      </c>
      <c r="J233">
        <v>21.480998964419861</v>
      </c>
    </row>
    <row r="234" spans="1:10">
      <c r="A234" s="1">
        <v>45797</v>
      </c>
      <c r="B234" s="1">
        <v>45797</v>
      </c>
      <c r="C234">
        <v>4.2691610331323382</v>
      </c>
      <c r="D234">
        <v>4.5729910757946488</v>
      </c>
      <c r="E234">
        <v>521.43895533915895</v>
      </c>
      <c r="F234">
        <v>36.962945087936532</v>
      </c>
      <c r="G234">
        <v>0.51</v>
      </c>
      <c r="H234">
        <v>0.58622522308595848</v>
      </c>
      <c r="I234">
        <v>0.69637380533808979</v>
      </c>
      <c r="J234">
        <v>21.480998964419861</v>
      </c>
    </row>
    <row r="235" spans="1:10">
      <c r="A235" s="1">
        <v>45798</v>
      </c>
      <c r="B235" s="1">
        <v>45798</v>
      </c>
      <c r="C235">
        <v>4.2633510769190712</v>
      </c>
      <c r="D235">
        <v>4.5689311917300888</v>
      </c>
      <c r="E235">
        <v>521.43895533915895</v>
      </c>
      <c r="F235">
        <v>36.962945087936532</v>
      </c>
      <c r="G235">
        <v>0.51</v>
      </c>
      <c r="H235">
        <v>0.58622522308595848</v>
      </c>
      <c r="I235">
        <v>0.69637380533808979</v>
      </c>
      <c r="J235">
        <v>21.480998964419861</v>
      </c>
    </row>
    <row r="236" spans="1:10">
      <c r="A236" s="1">
        <v>45799</v>
      </c>
      <c r="B236" s="1">
        <v>45799</v>
      </c>
      <c r="C236">
        <v>4.2756255549890465</v>
      </c>
      <c r="D236">
        <v>4.5760828746320961</v>
      </c>
      <c r="E236">
        <v>521.43895533915895</v>
      </c>
      <c r="F236">
        <v>36.962945087936532</v>
      </c>
      <c r="G236">
        <v>0.51</v>
      </c>
      <c r="H236">
        <v>0.58622522308595848</v>
      </c>
      <c r="I236">
        <v>0.69637380533808979</v>
      </c>
      <c r="J236">
        <v>21.480998964419861</v>
      </c>
    </row>
    <row r="237" spans="1:10">
      <c r="A237" s="1">
        <v>45800</v>
      </c>
      <c r="B237" s="1">
        <v>45800</v>
      </c>
      <c r="C237">
        <v>4.2599725068780829</v>
      </c>
      <c r="D237">
        <v>4.5755341187947449</v>
      </c>
      <c r="E237">
        <v>521.43895533915895</v>
      </c>
      <c r="F237">
        <v>36.962945087936532</v>
      </c>
      <c r="G237">
        <v>0.51</v>
      </c>
      <c r="H237">
        <v>0.58622522308595848</v>
      </c>
      <c r="I237">
        <v>0.69637380533808979</v>
      </c>
      <c r="J237">
        <v>21.480998964419861</v>
      </c>
    </row>
    <row r="238" spans="1:10">
      <c r="A238" s="1">
        <v>45803</v>
      </c>
      <c r="B238" s="1">
        <v>45803</v>
      </c>
      <c r="C238">
        <v>4.2678040845968361</v>
      </c>
      <c r="D238">
        <v>4.562875610342207</v>
      </c>
      <c r="E238">
        <v>521.43895533915895</v>
      </c>
      <c r="F238">
        <v>36.962945087936532</v>
      </c>
      <c r="G238">
        <v>0.51</v>
      </c>
      <c r="H238">
        <v>0.58622522308595848</v>
      </c>
      <c r="I238">
        <v>0.69637380533808979</v>
      </c>
      <c r="J238">
        <v>21.480998964419861</v>
      </c>
    </row>
    <row r="239" spans="1:10">
      <c r="A239" s="1">
        <v>45804</v>
      </c>
      <c r="B239" s="1">
        <v>45804</v>
      </c>
      <c r="C239">
        <v>4.2747562277540965</v>
      </c>
      <c r="D239">
        <v>4.5675667862222156</v>
      </c>
      <c r="E239">
        <v>521.43895533915895</v>
      </c>
      <c r="F239">
        <v>36.962945087936532</v>
      </c>
      <c r="G239">
        <v>0.51</v>
      </c>
      <c r="H239">
        <v>0.58622522308595848</v>
      </c>
      <c r="I239">
        <v>0.69637380533808979</v>
      </c>
      <c r="J239">
        <v>21.480998964419861</v>
      </c>
    </row>
    <row r="240" spans="1:10">
      <c r="A240" s="1">
        <v>45805</v>
      </c>
      <c r="B240" s="1">
        <v>45805</v>
      </c>
      <c r="C240">
        <v>4.2631243297444437</v>
      </c>
      <c r="D240">
        <v>4.5692154389975279</v>
      </c>
      <c r="E240">
        <v>521.43895533915895</v>
      </c>
      <c r="F240">
        <v>36.962945087936532</v>
      </c>
      <c r="G240">
        <v>0.51</v>
      </c>
      <c r="H240">
        <v>0.58622522308595848</v>
      </c>
      <c r="I240">
        <v>0.69637380533808979</v>
      </c>
      <c r="J240">
        <v>21.480998964419861</v>
      </c>
    </row>
    <row r="241" spans="1:10">
      <c r="A241" s="1">
        <v>45806</v>
      </c>
      <c r="B241" s="1">
        <v>45806</v>
      </c>
      <c r="C241">
        <v>4.2717990648098239</v>
      </c>
      <c r="D241">
        <v>4.5698484897333085</v>
      </c>
      <c r="E241">
        <v>521.43895533915895</v>
      </c>
      <c r="F241">
        <v>36.962945087936532</v>
      </c>
      <c r="G241">
        <v>0.51</v>
      </c>
      <c r="H241">
        <v>0.58622522308595848</v>
      </c>
      <c r="I241">
        <v>0.69637380533808979</v>
      </c>
      <c r="J241">
        <v>21.480998964419861</v>
      </c>
    </row>
    <row r="242" spans="1:10">
      <c r="A242" s="1">
        <v>45807</v>
      </c>
      <c r="B242" s="1">
        <v>45807</v>
      </c>
      <c r="C242">
        <v>4.2704933527230882</v>
      </c>
      <c r="D242">
        <v>4.5613708219090947</v>
      </c>
      <c r="E242">
        <v>521.43895533915895</v>
      </c>
      <c r="F242">
        <v>36.962945087936532</v>
      </c>
      <c r="G242">
        <v>0.51</v>
      </c>
      <c r="H242">
        <v>0.58622522308595848</v>
      </c>
      <c r="I242">
        <v>0.69637380533808979</v>
      </c>
      <c r="J242">
        <v>21.480998964419861</v>
      </c>
    </row>
    <row r="243" spans="1:10">
      <c r="A243" s="1">
        <v>45810</v>
      </c>
      <c r="B243" s="1">
        <v>45810</v>
      </c>
      <c r="C243">
        <v>4.27109009693514</v>
      </c>
      <c r="D243">
        <v>4.5723969210336204</v>
      </c>
      <c r="E243">
        <v>521.43895533915895</v>
      </c>
      <c r="F243">
        <v>36.962945087936532</v>
      </c>
      <c r="G243">
        <v>0.51</v>
      </c>
      <c r="H243">
        <v>0.58622522308595848</v>
      </c>
      <c r="I243">
        <v>0.69637380533808979</v>
      </c>
      <c r="J243">
        <v>21.480998964419861</v>
      </c>
    </row>
    <row r="244" spans="1:10">
      <c r="A244" s="1">
        <v>45811</v>
      </c>
      <c r="B244" s="1">
        <v>45811</v>
      </c>
      <c r="C244">
        <v>4.2703758451395837</v>
      </c>
      <c r="D244">
        <v>4.5626847347313753</v>
      </c>
      <c r="E244">
        <v>521.43895533915895</v>
      </c>
      <c r="F244">
        <v>36.962945087936532</v>
      </c>
      <c r="G244">
        <v>0.51</v>
      </c>
      <c r="H244">
        <v>0.58622522308595848</v>
      </c>
      <c r="I244">
        <v>0.69637380533808979</v>
      </c>
      <c r="J244">
        <v>21.480998964419861</v>
      </c>
    </row>
    <row r="245" spans="1:10">
      <c r="A245" s="1">
        <v>45812</v>
      </c>
      <c r="B245" s="1">
        <v>45812</v>
      </c>
      <c r="C245">
        <v>4.268330881035225</v>
      </c>
      <c r="D245">
        <v>4.5713658392535166</v>
      </c>
      <c r="E245">
        <v>521.43895533915895</v>
      </c>
      <c r="F245">
        <v>36.962945087936532</v>
      </c>
      <c r="G245">
        <v>0.51</v>
      </c>
      <c r="H245">
        <v>0.58622522308595848</v>
      </c>
      <c r="I245">
        <v>0.69637380533808979</v>
      </c>
      <c r="J245">
        <v>21.480998964419861</v>
      </c>
    </row>
    <row r="246" spans="1:10">
      <c r="A246" s="1">
        <v>45813</v>
      </c>
      <c r="B246" s="1">
        <v>45813</v>
      </c>
      <c r="C246">
        <v>4.2677143643826021</v>
      </c>
      <c r="D246">
        <v>4.561952101870359</v>
      </c>
      <c r="E246">
        <v>521.43895533915895</v>
      </c>
      <c r="F246">
        <v>36.962945087936532</v>
      </c>
      <c r="G246">
        <v>0.51</v>
      </c>
      <c r="H246">
        <v>0.58622522308595848</v>
      </c>
      <c r="I246">
        <v>0.69637380533808979</v>
      </c>
      <c r="J246">
        <v>21.480998964419861</v>
      </c>
    </row>
    <row r="247" spans="1:10">
      <c r="A247" s="1">
        <v>45814</v>
      </c>
      <c r="B247" s="1">
        <v>45814</v>
      </c>
      <c r="C247">
        <v>4.2657725384267184</v>
      </c>
      <c r="D247">
        <v>4.5674627814150854</v>
      </c>
      <c r="E247">
        <v>521.43895533915895</v>
      </c>
      <c r="F247">
        <v>36.962945087936532</v>
      </c>
      <c r="G247">
        <v>0.51</v>
      </c>
      <c r="H247">
        <v>0.58622522308595848</v>
      </c>
      <c r="I247">
        <v>0.69637380533808979</v>
      </c>
      <c r="J247">
        <v>21.480998964419861</v>
      </c>
    </row>
    <row r="248" spans="1:10">
      <c r="A248" s="1">
        <v>45817</v>
      </c>
      <c r="B248" s="1">
        <v>45817</v>
      </c>
      <c r="C248">
        <v>4.27372289736011</v>
      </c>
      <c r="D248">
        <v>4.5704505638044068</v>
      </c>
      <c r="E248">
        <v>521.43895533915895</v>
      </c>
      <c r="F248">
        <v>36.962945087936532</v>
      </c>
      <c r="G248">
        <v>0.51</v>
      </c>
      <c r="H248">
        <v>0.58622522308595848</v>
      </c>
      <c r="I248">
        <v>0.69637380533808979</v>
      </c>
      <c r="J248">
        <v>21.480998964419861</v>
      </c>
    </row>
    <row r="249" spans="1:10">
      <c r="A249" s="1">
        <v>45818</v>
      </c>
      <c r="B249" s="1">
        <v>45818</v>
      </c>
      <c r="C249">
        <v>4.2701679506813388</v>
      </c>
      <c r="D249">
        <v>4.572218069184439</v>
      </c>
      <c r="E249">
        <v>521.43895533915895</v>
      </c>
      <c r="F249">
        <v>36.962945087936532</v>
      </c>
      <c r="G249">
        <v>0.51</v>
      </c>
      <c r="H249">
        <v>0.58622522308595848</v>
      </c>
      <c r="I249">
        <v>0.69637380533808979</v>
      </c>
      <c r="J249">
        <v>21.480998964419861</v>
      </c>
    </row>
    <row r="250" spans="1:10">
      <c r="A250" s="1">
        <v>45819</v>
      </c>
      <c r="B250" s="1">
        <v>45819</v>
      </c>
      <c r="C250">
        <v>4.2682194959048418</v>
      </c>
      <c r="D250">
        <v>4.5743834408745938</v>
      </c>
      <c r="E250">
        <v>521.43895533915895</v>
      </c>
      <c r="F250">
        <v>36.962945087936532</v>
      </c>
      <c r="G250">
        <v>0.51</v>
      </c>
      <c r="H250">
        <v>0.58622522308595848</v>
      </c>
      <c r="I250">
        <v>0.69637380533808979</v>
      </c>
      <c r="J250">
        <v>21.480998964419861</v>
      </c>
    </row>
    <row r="251" spans="1:10">
      <c r="A251" s="1">
        <v>45820</v>
      </c>
      <c r="B251" s="1">
        <v>45820</v>
      </c>
      <c r="C251">
        <v>4.2718714154532913</v>
      </c>
      <c r="D251">
        <v>4.5650057622793998</v>
      </c>
      <c r="E251">
        <v>521.43895533915895</v>
      </c>
      <c r="F251">
        <v>36.962945087936532</v>
      </c>
      <c r="G251">
        <v>0.51</v>
      </c>
      <c r="H251">
        <v>0.58622522308595848</v>
      </c>
      <c r="I251">
        <v>0.69637380533808979</v>
      </c>
      <c r="J251">
        <v>21.480998964419861</v>
      </c>
    </row>
    <row r="252" spans="1:10">
      <c r="A252" s="1">
        <v>45821</v>
      </c>
      <c r="B252" s="1">
        <v>45821</v>
      </c>
      <c r="C252">
        <v>4.2704308216809919</v>
      </c>
      <c r="D252">
        <v>4.5676107892561655</v>
      </c>
      <c r="E252">
        <v>521.43895533915895</v>
      </c>
      <c r="F252">
        <v>36.962945087936532</v>
      </c>
      <c r="G252">
        <v>0.51</v>
      </c>
      <c r="H252">
        <v>0.58622522308595848</v>
      </c>
      <c r="I252">
        <v>0.69637380533808979</v>
      </c>
      <c r="J252">
        <v>21.480998964419861</v>
      </c>
    </row>
    <row r="253" spans="1:10">
      <c r="A253" s="1">
        <v>45824</v>
      </c>
      <c r="B253" s="1">
        <v>45824</v>
      </c>
      <c r="C253">
        <v>4.2663704976610655</v>
      </c>
      <c r="D253">
        <v>4.5663381004363242</v>
      </c>
      <c r="E253">
        <v>521.43895533915895</v>
      </c>
      <c r="F253">
        <v>36.962945087936532</v>
      </c>
      <c r="G253">
        <v>0.51</v>
      </c>
      <c r="H253">
        <v>0.58622522308595848</v>
      </c>
      <c r="I253">
        <v>0.69637380533808979</v>
      </c>
      <c r="J253">
        <v>21.480998964419861</v>
      </c>
    </row>
    <row r="254" spans="1:10">
      <c r="A254" s="1">
        <v>45825</v>
      </c>
      <c r="B254" s="1">
        <v>45825</v>
      </c>
      <c r="C254">
        <v>4.2720860197248722</v>
      </c>
      <c r="D254">
        <v>4.5584858584710206</v>
      </c>
      <c r="E254">
        <v>521.43895533915895</v>
      </c>
      <c r="F254">
        <v>36.962945087936532</v>
      </c>
      <c r="G254">
        <v>0.51</v>
      </c>
      <c r="H254">
        <v>0.58622522308595848</v>
      </c>
      <c r="I254">
        <v>0.69637380533808979</v>
      </c>
      <c r="J254">
        <v>21.480998964419861</v>
      </c>
    </row>
    <row r="255" spans="1:10">
      <c r="A255" s="1">
        <v>45826</v>
      </c>
      <c r="B255" s="1">
        <v>45826</v>
      </c>
      <c r="C255">
        <v>4.2746622754308516</v>
      </c>
      <c r="D255">
        <v>4.5657341404783072</v>
      </c>
      <c r="E255">
        <v>521.43895533915895</v>
      </c>
      <c r="F255">
        <v>36.962945087936532</v>
      </c>
      <c r="G255">
        <v>0.51</v>
      </c>
      <c r="H255">
        <v>0.58622522308595848</v>
      </c>
      <c r="I255">
        <v>0.69637380533808979</v>
      </c>
      <c r="J255">
        <v>21.480998964419861</v>
      </c>
    </row>
    <row r="256" spans="1:10">
      <c r="A256" s="1">
        <v>45827</v>
      </c>
      <c r="B256" s="1">
        <v>45827</v>
      </c>
      <c r="C256">
        <v>4.2666570655152078</v>
      </c>
      <c r="D256">
        <v>4.5616394639083424</v>
      </c>
      <c r="E256">
        <v>521.43895533915895</v>
      </c>
      <c r="F256">
        <v>36.962945087936532</v>
      </c>
      <c r="G256">
        <v>0.51</v>
      </c>
      <c r="H256">
        <v>0.58622522308595848</v>
      </c>
      <c r="I256">
        <v>0.69637380533808979</v>
      </c>
      <c r="J256">
        <v>21.480998964419861</v>
      </c>
    </row>
    <row r="257" spans="1:10">
      <c r="A257" s="1">
        <v>45828</v>
      </c>
      <c r="B257" s="1">
        <v>45828</v>
      </c>
      <c r="C257">
        <v>4.2658497472839194</v>
      </c>
      <c r="D257">
        <v>4.5699953621881146</v>
      </c>
      <c r="E257">
        <v>521.43895533915895</v>
      </c>
      <c r="F257">
        <v>36.962945087936532</v>
      </c>
      <c r="G257">
        <v>0.51</v>
      </c>
      <c r="H257">
        <v>0.58622522308595848</v>
      </c>
      <c r="I257">
        <v>0.69637380533808979</v>
      </c>
      <c r="J257">
        <v>21.480998964419861</v>
      </c>
    </row>
    <row r="258" spans="1:10">
      <c r="A258" s="1">
        <v>45831</v>
      </c>
      <c r="B258" s="1">
        <v>45831</v>
      </c>
      <c r="C258">
        <v>4.2738942205933839</v>
      </c>
      <c r="D258">
        <v>4.5688942905517118</v>
      </c>
      <c r="E258">
        <v>521.43895533915895</v>
      </c>
      <c r="F258">
        <v>36.962945087936532</v>
      </c>
      <c r="G258">
        <v>0.51</v>
      </c>
      <c r="H258">
        <v>0.58622522308595848</v>
      </c>
      <c r="I258">
        <v>0.69637380533808979</v>
      </c>
      <c r="J258">
        <v>21.480998964419861</v>
      </c>
    </row>
    <row r="259" spans="1:10">
      <c r="A259" s="1">
        <v>45832</v>
      </c>
      <c r="B259" s="1">
        <v>45832</v>
      </c>
      <c r="C259">
        <v>4.2720529396334781</v>
      </c>
      <c r="D259">
        <v>4.5649824926207634</v>
      </c>
      <c r="E259">
        <v>521.43895533915895</v>
      </c>
      <c r="F259">
        <v>36.962945087936532</v>
      </c>
      <c r="G259">
        <v>0.51</v>
      </c>
      <c r="H259">
        <v>0.58622522308595848</v>
      </c>
      <c r="I259">
        <v>0.69637380533808979</v>
      </c>
      <c r="J259">
        <v>21.480998964419861</v>
      </c>
    </row>
    <row r="260" spans="1:10">
      <c r="A260" s="1">
        <v>45833</v>
      </c>
      <c r="B260" s="1">
        <v>45833</v>
      </c>
      <c r="C260">
        <v>4.275736042568556</v>
      </c>
      <c r="D260">
        <v>4.5709123795051791</v>
      </c>
      <c r="E260">
        <v>521.43895533915895</v>
      </c>
      <c r="F260">
        <v>36.962945087936532</v>
      </c>
      <c r="G260">
        <v>0.51</v>
      </c>
      <c r="H260">
        <v>0.58622522308595848</v>
      </c>
      <c r="I260">
        <v>0.69637380533808979</v>
      </c>
      <c r="J260">
        <v>21.480998964419861</v>
      </c>
    </row>
    <row r="261" spans="1:10">
      <c r="A261" s="1">
        <v>45834</v>
      </c>
      <c r="B261" s="1">
        <v>45834</v>
      </c>
      <c r="C261">
        <v>4.2710399827175163</v>
      </c>
      <c r="D261">
        <v>4.564199765846098</v>
      </c>
      <c r="E261">
        <v>521.43895533915895</v>
      </c>
      <c r="F261">
        <v>36.962945087936532</v>
      </c>
      <c r="G261">
        <v>0.51</v>
      </c>
      <c r="H261">
        <v>0.58622522308595848</v>
      </c>
      <c r="I261">
        <v>0.69637380533808979</v>
      </c>
      <c r="J261">
        <v>21.480998964419861</v>
      </c>
    </row>
    <row r="262" spans="1:10">
      <c r="A262" s="1">
        <v>45835</v>
      </c>
      <c r="B262" s="1">
        <v>45835</v>
      </c>
      <c r="C262">
        <v>4.2712069782298245</v>
      </c>
      <c r="D262">
        <v>4.5716680468525075</v>
      </c>
      <c r="E262">
        <v>521.43895533915895</v>
      </c>
      <c r="F262">
        <v>36.962945087936532</v>
      </c>
      <c r="G262">
        <v>0.51</v>
      </c>
      <c r="H262">
        <v>0.58622522308595848</v>
      </c>
      <c r="I262">
        <v>0.69637380533808979</v>
      </c>
      <c r="J262">
        <v>21.480998964419861</v>
      </c>
    </row>
    <row r="263" spans="1:10">
      <c r="A263" s="1">
        <v>45838</v>
      </c>
      <c r="B263" s="1">
        <v>45838</v>
      </c>
      <c r="C263">
        <v>4.2660029426908439</v>
      </c>
      <c r="D263">
        <v>4.5702641894488396</v>
      </c>
      <c r="E263">
        <v>521.43895533915895</v>
      </c>
      <c r="F263">
        <v>36.962945087936532</v>
      </c>
      <c r="G263">
        <v>0.51</v>
      </c>
      <c r="H263">
        <v>0.58622522308595848</v>
      </c>
      <c r="I263">
        <v>0.69637380533808979</v>
      </c>
      <c r="J263">
        <v>21.480998964419861</v>
      </c>
    </row>
  </sheetData>
  <mergeCells count="3">
    <mergeCell ref="C1:F1"/>
    <mergeCell ref="K1:R1"/>
    <mergeCell ref="K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8AE0-CA6B-4E3E-92D1-315BC7639D76}">
  <dimension ref="A1:Q9"/>
  <sheetViews>
    <sheetView tabSelected="1" workbookViewId="0">
      <selection activeCell="M4" sqref="M4"/>
    </sheetView>
  </sheetViews>
  <sheetFormatPr defaultRowHeight="14.5"/>
  <cols>
    <col min="1" max="1" width="13.08984375" bestFit="1" customWidth="1"/>
    <col min="16" max="16" width="11.1796875" customWidth="1"/>
    <col min="17" max="17" width="12.6328125" customWidth="1"/>
  </cols>
  <sheetData>
    <row r="1" spans="1:17">
      <c r="A1" t="s">
        <v>37</v>
      </c>
      <c r="B1" t="s">
        <v>38</v>
      </c>
      <c r="C1" t="s">
        <v>30</v>
      </c>
      <c r="D1" t="s">
        <v>39</v>
      </c>
      <c r="E1" t="s">
        <v>42</v>
      </c>
      <c r="F1" t="s">
        <v>65</v>
      </c>
      <c r="J1" t="s">
        <v>66</v>
      </c>
      <c r="N1" t="s">
        <v>63</v>
      </c>
      <c r="O1" t="s">
        <v>52</v>
      </c>
      <c r="P1" t="s">
        <v>61</v>
      </c>
      <c r="Q1" t="s">
        <v>62</v>
      </c>
    </row>
    <row r="2" spans="1:17" ht="16.5">
      <c r="A2" t="s">
        <v>36</v>
      </c>
      <c r="B2">
        <v>100</v>
      </c>
      <c r="C2">
        <v>3</v>
      </c>
      <c r="D2">
        <v>100</v>
      </c>
      <c r="F2">
        <f>B2*D2</f>
        <v>10000</v>
      </c>
      <c r="J2">
        <v>10</v>
      </c>
      <c r="M2" t="s">
        <v>67</v>
      </c>
      <c r="N2">
        <v>10</v>
      </c>
      <c r="O2">
        <f>'ES, Rates factor movement'!L3</f>
        <v>-10.108250735695558</v>
      </c>
      <c r="P2">
        <f>ABS(O2)</f>
        <v>10.108250735695558</v>
      </c>
      <c r="Q2" s="10">
        <f>P2*P2</f>
        <v>102.17673293568978</v>
      </c>
    </row>
    <row r="3" spans="1:17" ht="20.5">
      <c r="A3" t="s">
        <v>41</v>
      </c>
      <c r="B3">
        <v>100</v>
      </c>
      <c r="C3">
        <v>3</v>
      </c>
      <c r="D3">
        <v>100</v>
      </c>
      <c r="F3">
        <f t="shared" ref="F3:F4" si="0">B3*D3</f>
        <v>10000</v>
      </c>
      <c r="P3" s="11" t="s">
        <v>64</v>
      </c>
      <c r="Q3" s="12">
        <f>SQRT(SUM(Q2:Q2))</f>
        <v>10.108250735695558</v>
      </c>
    </row>
    <row r="4" spans="1:17">
      <c r="A4" t="s">
        <v>40</v>
      </c>
      <c r="B4">
        <v>100</v>
      </c>
      <c r="C4">
        <v>3</v>
      </c>
      <c r="D4">
        <v>100</v>
      </c>
      <c r="F4">
        <f t="shared" si="0"/>
        <v>10000</v>
      </c>
    </row>
    <row r="5" spans="1:17">
      <c r="A5" t="s">
        <v>43</v>
      </c>
      <c r="B5">
        <v>100</v>
      </c>
      <c r="E5">
        <v>500</v>
      </c>
      <c r="F5">
        <f>B5*E5</f>
        <v>50000</v>
      </c>
    </row>
    <row r="6" spans="1:17">
      <c r="A6" t="s">
        <v>44</v>
      </c>
      <c r="B6">
        <v>100</v>
      </c>
      <c r="E6">
        <v>36</v>
      </c>
      <c r="F6">
        <f t="shared" ref="F6:F7" si="1">B6*E6</f>
        <v>3600</v>
      </c>
    </row>
    <row r="7" spans="1:17">
      <c r="A7" t="s">
        <v>25</v>
      </c>
      <c r="B7">
        <v>100</v>
      </c>
      <c r="E7">
        <v>20</v>
      </c>
      <c r="F7">
        <f t="shared" si="1"/>
        <v>2000</v>
      </c>
    </row>
    <row r="8" spans="1:17">
      <c r="A8" t="s">
        <v>55</v>
      </c>
      <c r="B8">
        <v>100</v>
      </c>
      <c r="C8">
        <v>3</v>
      </c>
      <c r="D8">
        <v>100</v>
      </c>
      <c r="F8">
        <f>B8*D8</f>
        <v>10000</v>
      </c>
    </row>
    <row r="9" spans="1:17">
      <c r="F9">
        <f>SUM(F2:F8)</f>
        <v>95600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5BA3-9776-4831-9E2C-7512B0C766B7}">
  <dimension ref="A1:L263"/>
  <sheetViews>
    <sheetView topLeftCell="C1" workbookViewId="0">
      <selection activeCell="G14" sqref="G14"/>
    </sheetView>
  </sheetViews>
  <sheetFormatPr defaultRowHeight="14.5"/>
  <cols>
    <col min="1" max="1" width="13.6328125" customWidth="1"/>
    <col min="2" max="2" width="26.08984375" customWidth="1"/>
    <col min="3" max="3" width="30.6328125" customWidth="1"/>
    <col min="4" max="4" width="21.54296875" customWidth="1"/>
    <col min="5" max="5" width="17.26953125" customWidth="1"/>
    <col min="6" max="6" width="15.36328125" customWidth="1"/>
    <col min="7" max="7" width="12.90625" customWidth="1"/>
    <col min="8" max="8" width="14.36328125" customWidth="1"/>
    <col min="9" max="9" width="12.453125" customWidth="1"/>
  </cols>
  <sheetData>
    <row r="1" spans="1:12">
      <c r="B1" t="s">
        <v>68</v>
      </c>
      <c r="C1" t="s">
        <v>69</v>
      </c>
      <c r="D1" t="s">
        <v>70</v>
      </c>
      <c r="E1" t="s">
        <v>71</v>
      </c>
      <c r="F1" t="s">
        <v>68</v>
      </c>
      <c r="G1" t="s">
        <v>68</v>
      </c>
      <c r="H1" t="s">
        <v>72</v>
      </c>
    </row>
    <row r="2" spans="1:12">
      <c r="B2" t="s">
        <v>45</v>
      </c>
      <c r="C2" t="s">
        <v>46</v>
      </c>
      <c r="D2" t="s">
        <v>33</v>
      </c>
      <c r="E2" t="s">
        <v>54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53</v>
      </c>
      <c r="L2" s="9" t="s">
        <v>56</v>
      </c>
    </row>
    <row r="3" spans="1:12">
      <c r="A3" s="1">
        <v>45474</v>
      </c>
      <c r="B3">
        <f>(3/(1+('CurrentPor-Rat Factor Movements'!C3)/100)+103/POWER(1+('CurrentPor-Rat Factor Movements'!D3)/100,2))*100</f>
        <v>9707.5857774288397</v>
      </c>
      <c r="C3">
        <f>(3/(1+('CurrentPor-Rat Factor Movements'!C3+'CurrentPor-Rat Factor Movements'!G3)/100)+103/POWER(1+('CurrentPor-Rat Factor Movements'!D3+'CurrentPor-Rat Factor Movements'!G3)/100,2))*100</f>
        <v>9614.9673582483465</v>
      </c>
      <c r="D3">
        <f>(3/(1+('CurrentPor-Rat Factor Movements'!C3+'CurrentPor-Rat Factor Movements'!H3)/100)+103/POWER(1+('CurrentPor-Rat Factor Movements'!D3+'CurrentPor-Rat Factor Movements'!H3)/100,2))*100</f>
        <v>9601.2395558122898</v>
      </c>
      <c r="E3">
        <f>(3/(1+('CurrentPor-Rat Factor Movements'!C3+'CurrentPor-Rat Factor Movements'!I3)/100)+103/POWER(1+('CurrentPor-Rat Factor Movements'!D3+'CurrentPor-Rat Factor Movements'!I3)/100,2))*100</f>
        <v>9581.4547115644182</v>
      </c>
      <c r="F3">
        <f>Portfolio!B$5*'CurrentPor-Rat Factor Movements'!E3</f>
        <v>52143.895533915893</v>
      </c>
      <c r="G3">
        <f>Portfolio!B$6*'CurrentPor-Rat Factor Movements'!F3</f>
        <v>3696.2945087936532</v>
      </c>
      <c r="H3">
        <f>Portfolio!B$7*'CurrentPor-Rat Factor Movements'!J3</f>
        <v>2148.0998964419859</v>
      </c>
      <c r="I3">
        <f>SUM(B3:H3)</f>
        <v>96493.537342205425</v>
      </c>
      <c r="K3" s="8">
        <f>_xlfn.PERCENTILE.INC(J13:J263, 0.025)</f>
        <v>-8.3341736151305668</v>
      </c>
      <c r="L3">
        <f>AVERAGEIF(J13:J263, "&lt;="&amp;K3,J13:J263)</f>
        <v>-10.108250735695558</v>
      </c>
    </row>
    <row r="4" spans="1:12">
      <c r="A4" s="1">
        <v>45475</v>
      </c>
      <c r="B4">
        <f>(3/(1+('CurrentPor-Rat Factor Movements'!C4)/100)+103/POWER(1+('CurrentPor-Rat Factor Movements'!D4)/100,2))*100</f>
        <v>9707.2251676095184</v>
      </c>
      <c r="C4">
        <f>(3/(1+('CurrentPor-Rat Factor Movements'!C4+'CurrentPor-Rat Factor Movements'!G4)/100)+103/POWER(1+('CurrentPor-Rat Factor Movements'!D4+'CurrentPor-Rat Factor Movements'!G4)/100,2))*100</f>
        <v>9614.611947670317</v>
      </c>
      <c r="D4">
        <f>(3/(1+('CurrentPor-Rat Factor Movements'!C4+'CurrentPor-Rat Factor Movements'!H4)/100)+103/POWER(1+('CurrentPor-Rat Factor Movements'!D4+'CurrentPor-Rat Factor Movements'!H4)/100,2))*100</f>
        <v>9600.8849136948229</v>
      </c>
      <c r="E4">
        <f>(3/(1+('CurrentPor-Rat Factor Movements'!C4+'CurrentPor-Rat Factor Movements'!I4)/100)+103/POWER(1+('CurrentPor-Rat Factor Movements'!D4+'CurrentPor-Rat Factor Movements'!I4)/100,2))*100</f>
        <v>9581.1011759854773</v>
      </c>
      <c r="F4">
        <f>Portfolio!B$5*'CurrentPor-Rat Factor Movements'!E4</f>
        <v>52143.895533915893</v>
      </c>
      <c r="G4">
        <f>Portfolio!B$6*'CurrentPor-Rat Factor Movements'!F4</f>
        <v>3696.2945087936532</v>
      </c>
      <c r="H4">
        <f>Portfolio!B$7*'CurrentPor-Rat Factor Movements'!J4</f>
        <v>2148.0998964419859</v>
      </c>
      <c r="I4">
        <f t="shared" ref="I4:I67" si="0">SUM(B4:H4)</f>
        <v>96492.113144111659</v>
      </c>
    </row>
    <row r="5" spans="1:12">
      <c r="A5" s="1">
        <v>45476</v>
      </c>
      <c r="B5">
        <f>(3/(1+('CurrentPor-Rat Factor Movements'!C5)/100)+103/POWER(1+('CurrentPor-Rat Factor Movements'!D5)/100,2))*100</f>
        <v>9708.848704011285</v>
      </c>
      <c r="C5">
        <f>(3/(1+('CurrentPor-Rat Factor Movements'!C5+'CurrentPor-Rat Factor Movements'!G5)/100)+103/POWER(1+('CurrentPor-Rat Factor Movements'!D5+'CurrentPor-Rat Factor Movements'!G5)/100,2))*100</f>
        <v>9616.2120752950959</v>
      </c>
      <c r="D5">
        <f>(3/(1+('CurrentPor-Rat Factor Movements'!C5+'CurrentPor-Rat Factor Movements'!H5)/100)+103/POWER(1+('CurrentPor-Rat Factor Movements'!D5+'CurrentPor-Rat Factor Movements'!H5)/100,2))*100</f>
        <v>9602.4815814464746</v>
      </c>
      <c r="E5">
        <f>(3/(1+('CurrentPor-Rat Factor Movements'!C5+'CurrentPor-Rat Factor Movements'!I5)/100)+103/POWER(1+('CurrentPor-Rat Factor Movements'!D5+'CurrentPor-Rat Factor Movements'!I5)/100,2))*100</f>
        <v>9582.692861721569</v>
      </c>
      <c r="F5">
        <f>Portfolio!B$5*'CurrentPor-Rat Factor Movements'!E5</f>
        <v>52143.895533915893</v>
      </c>
      <c r="G5">
        <f>Portfolio!B$6*'CurrentPor-Rat Factor Movements'!F5</f>
        <v>3696.2945087936532</v>
      </c>
      <c r="H5">
        <f>Portfolio!B$7*'CurrentPor-Rat Factor Movements'!J5</f>
        <v>2148.0998964419859</v>
      </c>
      <c r="I5">
        <f t="shared" si="0"/>
        <v>96498.525161625948</v>
      </c>
    </row>
    <row r="6" spans="1:12">
      <c r="A6" s="1">
        <v>45477</v>
      </c>
      <c r="B6">
        <f>(3/(1+('CurrentPor-Rat Factor Movements'!C6)/100)+103/POWER(1+('CurrentPor-Rat Factor Movements'!D6)/100,2))*100</f>
        <v>9707.6653884679818</v>
      </c>
      <c r="C6">
        <f>(3/(1+('CurrentPor-Rat Factor Movements'!C6+'CurrentPor-Rat Factor Movements'!G6)/100)+103/POWER(1+('CurrentPor-Rat Factor Movements'!D6+'CurrentPor-Rat Factor Movements'!G6)/100,2))*100</f>
        <v>9615.0458214492392</v>
      </c>
      <c r="D6">
        <f>(3/(1+('CurrentPor-Rat Factor Movements'!C6+'CurrentPor-Rat Factor Movements'!H6)/100)+103/POWER(1+('CurrentPor-Rat Factor Movements'!D6+'CurrentPor-Rat Factor Movements'!H6)/100,2))*100</f>
        <v>9601.317849359908</v>
      </c>
      <c r="E6">
        <f>(3/(1+('CurrentPor-Rat Factor Movements'!C6+'CurrentPor-Rat Factor Movements'!I6)/100)+103/POWER(1+('CurrentPor-Rat Factor Movements'!D6+'CurrentPor-Rat Factor Movements'!I6)/100,2))*100</f>
        <v>9581.532760821201</v>
      </c>
      <c r="F6">
        <f>Portfolio!B$5*'CurrentPor-Rat Factor Movements'!E6</f>
        <v>52143.895533915893</v>
      </c>
      <c r="G6">
        <f>Portfolio!B$6*'CurrentPor-Rat Factor Movements'!F6</f>
        <v>3696.2945087936532</v>
      </c>
      <c r="H6">
        <f>Portfolio!B$7*'CurrentPor-Rat Factor Movements'!J6</f>
        <v>2148.0998964419859</v>
      </c>
      <c r="I6">
        <f t="shared" si="0"/>
        <v>96493.851759249854</v>
      </c>
    </row>
    <row r="7" spans="1:12">
      <c r="A7" s="1">
        <v>45478</v>
      </c>
      <c r="B7">
        <f>(3/(1+('CurrentPor-Rat Factor Movements'!C7)/100)+103/POWER(1+('CurrentPor-Rat Factor Movements'!D7)/100,2))*100</f>
        <v>9705.9763176164961</v>
      </c>
      <c r="C7">
        <f>(3/(1+('CurrentPor-Rat Factor Movements'!C7+'CurrentPor-Rat Factor Movements'!G7)/100)+103/POWER(1+('CurrentPor-Rat Factor Movements'!D7+'CurrentPor-Rat Factor Movements'!G7)/100,2))*100</f>
        <v>9613.3811027349147</v>
      </c>
      <c r="D7">
        <f>(3/(1+('CurrentPor-Rat Factor Movements'!C7+'CurrentPor-Rat Factor Movements'!H7)/100)+103/POWER(1+('CurrentPor-Rat Factor Movements'!D7+'CurrentPor-Rat Factor Movements'!H7)/100,2))*100</f>
        <v>9599.6567299521448</v>
      </c>
      <c r="E7">
        <f>(3/(1+('CurrentPor-Rat Factor Movements'!C7+'CurrentPor-Rat Factor Movements'!I7)/100)+103/POWER(1+('CurrentPor-Rat Factor Movements'!D7+'CurrentPor-Rat Factor Movements'!I7)/100,2))*100</f>
        <v>9579.8768242061778</v>
      </c>
      <c r="F7">
        <f>Portfolio!B$5*'CurrentPor-Rat Factor Movements'!E7</f>
        <v>52143.895533915893</v>
      </c>
      <c r="G7">
        <f>Portfolio!B$6*'CurrentPor-Rat Factor Movements'!F7</f>
        <v>3696.2945087936532</v>
      </c>
      <c r="H7">
        <f>Portfolio!B$7*'CurrentPor-Rat Factor Movements'!J7</f>
        <v>2148.0998964419859</v>
      </c>
      <c r="I7">
        <f t="shared" si="0"/>
        <v>96487.180913661272</v>
      </c>
    </row>
    <row r="8" spans="1:12">
      <c r="A8" s="1">
        <v>45481</v>
      </c>
      <c r="B8">
        <f>(3/(1+('CurrentPor-Rat Factor Movements'!C8)/100)+103/POWER(1+('CurrentPor-Rat Factor Movements'!D8)/100,2))*100</f>
        <v>9705.7465254709605</v>
      </c>
      <c r="C8">
        <f>(3/(1+('CurrentPor-Rat Factor Movements'!C8+'CurrentPor-Rat Factor Movements'!G8)/100)+103/POWER(1+('CurrentPor-Rat Factor Movements'!D8+'CurrentPor-Rat Factor Movements'!G8)/100,2))*100</f>
        <v>9613.1546234465368</v>
      </c>
      <c r="D8">
        <f>(3/(1+('CurrentPor-Rat Factor Movements'!C8+'CurrentPor-Rat Factor Movements'!H8)/100)+103/POWER(1+('CurrentPor-Rat Factor Movements'!D8+'CurrentPor-Rat Factor Movements'!H8)/100,2))*100</f>
        <v>9599.4307403125895</v>
      </c>
      <c r="E8">
        <f>(3/(1+('CurrentPor-Rat Factor Movements'!C8+'CurrentPor-Rat Factor Movements'!I8)/100)+103/POWER(1+('CurrentPor-Rat Factor Movements'!D8+'CurrentPor-Rat Factor Movements'!I8)/100,2))*100</f>
        <v>9579.6515396326577</v>
      </c>
      <c r="F8">
        <f>Portfolio!B$5*'CurrentPor-Rat Factor Movements'!E8</f>
        <v>52143.895533915893</v>
      </c>
      <c r="G8">
        <f>Portfolio!B$6*'CurrentPor-Rat Factor Movements'!F8</f>
        <v>3696.2945087936532</v>
      </c>
      <c r="H8">
        <f>Portfolio!B$7*'CurrentPor-Rat Factor Movements'!J8</f>
        <v>2148.0998964419859</v>
      </c>
      <c r="I8">
        <f t="shared" si="0"/>
        <v>96486.27336801427</v>
      </c>
    </row>
    <row r="9" spans="1:12">
      <c r="A9" s="1">
        <v>45482</v>
      </c>
      <c r="B9">
        <f>(3/(1+('CurrentPor-Rat Factor Movements'!C9)/100)+103/POWER(1+('CurrentPor-Rat Factor Movements'!D9)/100,2))*100</f>
        <v>9707.8035377693177</v>
      </c>
      <c r="C9">
        <f>(3/(1+('CurrentPor-Rat Factor Movements'!C9+'CurrentPor-Rat Factor Movements'!G9)/100)+103/POWER(1+('CurrentPor-Rat Factor Movements'!D9+'CurrentPor-Rat Factor Movements'!G9)/100,2))*100</f>
        <v>9615.1819788917601</v>
      </c>
      <c r="D9">
        <f>(3/(1+('CurrentPor-Rat Factor Movements'!C9+'CurrentPor-Rat Factor Movements'!H9)/100)+103/POWER(1+('CurrentPor-Rat Factor Movements'!D9+'CurrentPor-Rat Factor Movements'!H9)/100,2))*100</f>
        <v>9601.4537124008912</v>
      </c>
      <c r="E9">
        <f>(3/(1+('CurrentPor-Rat Factor Movements'!C9+'CurrentPor-Rat Factor Movements'!I9)/100)+103/POWER(1+('CurrentPor-Rat Factor Movements'!D9+'CurrentPor-Rat Factor Movements'!I9)/100,2))*100</f>
        <v>9581.668199941103</v>
      </c>
      <c r="F9">
        <f>Portfolio!B$5*'CurrentPor-Rat Factor Movements'!E9</f>
        <v>52143.895533915893</v>
      </c>
      <c r="G9">
        <f>Portfolio!B$6*'CurrentPor-Rat Factor Movements'!F9</f>
        <v>3696.2945087936532</v>
      </c>
      <c r="H9">
        <f>Portfolio!B$7*'CurrentPor-Rat Factor Movements'!J9</f>
        <v>2148.0998964419859</v>
      </c>
      <c r="I9">
        <f t="shared" si="0"/>
        <v>96494.397368154605</v>
      </c>
    </row>
    <row r="10" spans="1:12">
      <c r="A10" s="1">
        <v>45483</v>
      </c>
      <c r="B10">
        <f>(3/(1+('CurrentPor-Rat Factor Movements'!C10)/100)+103/POWER(1+('CurrentPor-Rat Factor Movements'!D10)/100,2))*100</f>
        <v>9707.1360555868268</v>
      </c>
      <c r="C10">
        <f>(3/(1+('CurrentPor-Rat Factor Movements'!C10+'CurrentPor-Rat Factor Movements'!G10)/100)+103/POWER(1+('CurrentPor-Rat Factor Movements'!D10+'CurrentPor-Rat Factor Movements'!G10)/100,2))*100</f>
        <v>9614.5241204420618</v>
      </c>
      <c r="D10">
        <f>(3/(1+('CurrentPor-Rat Factor Movements'!C10+'CurrentPor-Rat Factor Movements'!H10)/100)+103/POWER(1+('CurrentPor-Rat Factor Movements'!D10+'CurrentPor-Rat Factor Movements'!H10)/100,2))*100</f>
        <v>9600.7972763623384</v>
      </c>
      <c r="E10">
        <f>(3/(1+('CurrentPor-Rat Factor Movements'!C10+'CurrentPor-Rat Factor Movements'!I10)/100)+103/POWER(1+('CurrentPor-Rat Factor Movements'!D10+'CurrentPor-Rat Factor Movements'!I10)/100,2))*100</f>
        <v>9581.0138120918873</v>
      </c>
      <c r="F10">
        <f>Portfolio!B$5*'CurrentPor-Rat Factor Movements'!E10</f>
        <v>52143.895533915893</v>
      </c>
      <c r="G10">
        <f>Portfolio!B$6*'CurrentPor-Rat Factor Movements'!F10</f>
        <v>3696.2945087936532</v>
      </c>
      <c r="H10">
        <f>Portfolio!B$7*'CurrentPor-Rat Factor Movements'!J10</f>
        <v>2148.0998964419859</v>
      </c>
      <c r="I10">
        <f t="shared" si="0"/>
        <v>96491.761203634655</v>
      </c>
    </row>
    <row r="11" spans="1:12">
      <c r="A11" s="1">
        <v>45484</v>
      </c>
      <c r="B11">
        <f>(3/(1+('CurrentPor-Rat Factor Movements'!C11)/100)+103/POWER(1+('CurrentPor-Rat Factor Movements'!D11)/100,2))*100</f>
        <v>9706.64037297902</v>
      </c>
      <c r="C11">
        <f>(3/(1+('CurrentPor-Rat Factor Movements'!C11+'CurrentPor-Rat Factor Movements'!G11)/100)+103/POWER(1+('CurrentPor-Rat Factor Movements'!D11+'CurrentPor-Rat Factor Movements'!G11)/100,2))*100</f>
        <v>9614.0355843510224</v>
      </c>
      <c r="D11">
        <f>(3/(1+('CurrentPor-Rat Factor Movements'!C11+'CurrentPor-Rat Factor Movements'!H11)/100)+103/POWER(1+('CurrentPor-Rat Factor Movements'!D11+'CurrentPor-Rat Factor Movements'!H11)/100,2))*100</f>
        <v>9600.3097965442485</v>
      </c>
      <c r="E11">
        <f>(3/(1+('CurrentPor-Rat Factor Movements'!C11+'CurrentPor-Rat Factor Movements'!I11)/100)+103/POWER(1+('CurrentPor-Rat Factor Movements'!D11+'CurrentPor-Rat Factor Movements'!I11)/100,2))*100</f>
        <v>9580.5278532455777</v>
      </c>
      <c r="F11">
        <f>Portfolio!B$5*'CurrentPor-Rat Factor Movements'!E11</f>
        <v>52143.895533915893</v>
      </c>
      <c r="G11">
        <f>Portfolio!B$6*'CurrentPor-Rat Factor Movements'!F11</f>
        <v>3696.2945087936532</v>
      </c>
      <c r="H11">
        <f>Portfolio!B$7*'CurrentPor-Rat Factor Movements'!J11</f>
        <v>2148.0998964419859</v>
      </c>
      <c r="I11">
        <f t="shared" si="0"/>
        <v>96489.803546271403</v>
      </c>
    </row>
    <row r="12" spans="1:12">
      <c r="A12" s="1">
        <v>45485</v>
      </c>
      <c r="B12">
        <f>(3/(1+('CurrentPor-Rat Factor Movements'!C12)/100)+103/POWER(1+('CurrentPor-Rat Factor Movements'!D12)/100,2))*100</f>
        <v>9707.5496601301875</v>
      </c>
      <c r="C12">
        <f>(3/(1+('CurrentPor-Rat Factor Movements'!C12+'CurrentPor-Rat Factor Movements'!G12)/100)+103/POWER(1+('CurrentPor-Rat Factor Movements'!D12+'CurrentPor-Rat Factor Movements'!G12)/100,2))*100</f>
        <v>9614.9317616901862</v>
      </c>
      <c r="D12">
        <f>(3/(1+('CurrentPor-Rat Factor Movements'!C12+'CurrentPor-Rat Factor Movements'!H12)/100)+103/POWER(1+('CurrentPor-Rat Factor Movements'!D12+'CurrentPor-Rat Factor Movements'!H12)/100,2))*100</f>
        <v>9601.2040362208372</v>
      </c>
      <c r="E12">
        <f>(3/(1+('CurrentPor-Rat Factor Movements'!C12+'CurrentPor-Rat Factor Movements'!I12)/100)+103/POWER(1+('CurrentPor-Rat Factor Movements'!D12+'CurrentPor-Rat Factor Movements'!I12)/100,2))*100</f>
        <v>9581.419302800552</v>
      </c>
      <c r="F12">
        <f>Portfolio!B$5*'CurrentPor-Rat Factor Movements'!E12</f>
        <v>52143.895533915893</v>
      </c>
      <c r="G12">
        <f>Portfolio!B$6*'CurrentPor-Rat Factor Movements'!F12</f>
        <v>3696.2945087936532</v>
      </c>
      <c r="H12">
        <f>Portfolio!B$7*'CurrentPor-Rat Factor Movements'!J12</f>
        <v>2148.0998964419859</v>
      </c>
      <c r="I12">
        <f t="shared" si="0"/>
        <v>96493.394699993296</v>
      </c>
    </row>
    <row r="13" spans="1:12">
      <c r="A13" s="1">
        <v>45488</v>
      </c>
      <c r="B13">
        <f>(3/(1+('CurrentPor-Rat Factor Movements'!C13)/100)+103/POWER(1+('CurrentPor-Rat Factor Movements'!D13)/100,2))*100</f>
        <v>9708.1570161261534</v>
      </c>
      <c r="C13">
        <f>(3/(1+('CurrentPor-Rat Factor Movements'!C13+'CurrentPor-Rat Factor Movements'!G13)/100)+103/POWER(1+('CurrentPor-Rat Factor Movements'!D13+'CurrentPor-Rat Factor Movements'!G13)/100,2))*100</f>
        <v>9615.5303606756952</v>
      </c>
      <c r="D13">
        <f>(3/(1+('CurrentPor-Rat Factor Movements'!C13+'CurrentPor-Rat Factor Movements'!H13)/100)+103/POWER(1+('CurrentPor-Rat Factor Movements'!D13+'CurrentPor-Rat Factor Movements'!H13)/100,2))*100</f>
        <v>9601.8013408991555</v>
      </c>
      <c r="E13">
        <f>(3/(1+('CurrentPor-Rat Factor Movements'!C13+'CurrentPor-Rat Factor Movements'!I13)/100)+103/POWER(1+('CurrentPor-Rat Factor Movements'!D13+'CurrentPor-Rat Factor Movements'!I13)/100,2))*100</f>
        <v>9582.014743751919</v>
      </c>
      <c r="F13">
        <f>Portfolio!B$5*'CurrentPor-Rat Factor Movements'!E13</f>
        <v>52143.895533915893</v>
      </c>
      <c r="G13">
        <f>Portfolio!B$6*'CurrentPor-Rat Factor Movements'!F13</f>
        <v>3696.2945087936532</v>
      </c>
      <c r="H13">
        <f>Portfolio!B$7*'CurrentPor-Rat Factor Movements'!J13</f>
        <v>2148.0998964419859</v>
      </c>
      <c r="I13">
        <f t="shared" si="0"/>
        <v>96495.793400604452</v>
      </c>
      <c r="J13">
        <f>I13-I3</f>
        <v>2.256058399027097</v>
      </c>
    </row>
    <row r="14" spans="1:12">
      <c r="A14" s="1">
        <v>45489</v>
      </c>
      <c r="B14">
        <f>(3/(1+('CurrentPor-Rat Factor Movements'!C14)/100)+103/POWER(1+('CurrentPor-Rat Factor Movements'!D14)/100,2))*100</f>
        <v>9709.3491976852019</v>
      </c>
      <c r="C14">
        <f>(3/(1+('CurrentPor-Rat Factor Movements'!C14+'CurrentPor-Rat Factor Movements'!G14)/100)+103/POWER(1+('CurrentPor-Rat Factor Movements'!D14+'CurrentPor-Rat Factor Movements'!G14)/100,2))*100</f>
        <v>9616.705352258552</v>
      </c>
      <c r="D14">
        <f>(3/(1+('CurrentPor-Rat Factor Movements'!C14+'CurrentPor-Rat Factor Movements'!H14)/100)+103/POWER(1+('CurrentPor-Rat Factor Movements'!D14+'CurrentPor-Rat Factor Movements'!H14)/100,2))*100</f>
        <v>9602.9737917635521</v>
      </c>
      <c r="E14">
        <f>(3/(1+('CurrentPor-Rat Factor Movements'!C14+'CurrentPor-Rat Factor Movements'!I14)/100)+103/POWER(1+('CurrentPor-Rat Factor Movements'!D14+'CurrentPor-Rat Factor Movements'!I14)/100,2))*100</f>
        <v>9583.1835361303583</v>
      </c>
      <c r="F14">
        <f>Portfolio!B$5*'CurrentPor-Rat Factor Movements'!E14</f>
        <v>52143.895533915893</v>
      </c>
      <c r="G14">
        <f>Portfolio!B$6*'CurrentPor-Rat Factor Movements'!F14</f>
        <v>3696.2945087936532</v>
      </c>
      <c r="H14">
        <f>Portfolio!B$7*'CurrentPor-Rat Factor Movements'!J14</f>
        <v>2148.0998964419859</v>
      </c>
      <c r="I14">
        <f t="shared" si="0"/>
        <v>96500.501816989199</v>
      </c>
      <c r="J14">
        <f t="shared" ref="J14:J77" si="1">I14-I4</f>
        <v>8.3886728775396477</v>
      </c>
    </row>
    <row r="15" spans="1:12">
      <c r="A15" s="1">
        <v>45490</v>
      </c>
      <c r="B15">
        <f>(3/(1+('CurrentPor-Rat Factor Movements'!C15)/100)+103/POWER(1+('CurrentPor-Rat Factor Movements'!D15)/100,2))*100</f>
        <v>9705.6179273182952</v>
      </c>
      <c r="C15">
        <f>(3/(1+('CurrentPor-Rat Factor Movements'!C15+'CurrentPor-Rat Factor Movements'!G15)/100)+103/POWER(1+('CurrentPor-Rat Factor Movements'!D15+'CurrentPor-Rat Factor Movements'!G15)/100,2))*100</f>
        <v>9613.0278792447007</v>
      </c>
      <c r="D15">
        <f>(3/(1+('CurrentPor-Rat Factor Movements'!C15+'CurrentPor-Rat Factor Movements'!H15)/100)+103/POWER(1+('CurrentPor-Rat Factor Movements'!D15+'CurrentPor-Rat Factor Movements'!H15)/100,2))*100</f>
        <v>9599.3042701294871</v>
      </c>
      <c r="E15">
        <f>(3/(1+('CurrentPor-Rat Factor Movements'!C15+'CurrentPor-Rat Factor Movements'!I15)/100)+103/POWER(1+('CurrentPor-Rat Factor Movements'!D15+'CurrentPor-Rat Factor Movements'!I15)/100,2))*100</f>
        <v>9579.5254640207258</v>
      </c>
      <c r="F15">
        <f>Portfolio!B$5*'CurrentPor-Rat Factor Movements'!E15</f>
        <v>52143.895533915893</v>
      </c>
      <c r="G15">
        <f>Portfolio!B$6*'CurrentPor-Rat Factor Movements'!F15</f>
        <v>3696.2945087936532</v>
      </c>
      <c r="H15">
        <f>Portfolio!B$7*'CurrentPor-Rat Factor Movements'!J15</f>
        <v>2148.0998964419859</v>
      </c>
      <c r="I15">
        <f t="shared" si="0"/>
        <v>96485.765479864742</v>
      </c>
      <c r="J15">
        <f t="shared" si="1"/>
        <v>-12.759681761206593</v>
      </c>
    </row>
    <row r="16" spans="1:12">
      <c r="A16" s="1">
        <v>45491</v>
      </c>
      <c r="B16">
        <f>(3/(1+('CurrentPor-Rat Factor Movements'!C16)/100)+103/POWER(1+('CurrentPor-Rat Factor Movements'!D16)/100,2))*100</f>
        <v>9707.1368560725878</v>
      </c>
      <c r="C16">
        <f>(3/(1+('CurrentPor-Rat Factor Movements'!C16+'CurrentPor-Rat Factor Movements'!G16)/100)+103/POWER(1+('CurrentPor-Rat Factor Movements'!D16+'CurrentPor-Rat Factor Movements'!G16)/100,2))*100</f>
        <v>9614.5249093866405</v>
      </c>
      <c r="D16">
        <f>(3/(1+('CurrentPor-Rat Factor Movements'!C16+'CurrentPor-Rat Factor Movements'!H16)/100)+103/POWER(1+('CurrentPor-Rat Factor Movements'!D16+'CurrentPor-Rat Factor Movements'!H16)/100,2))*100</f>
        <v>9600.7980636011052</v>
      </c>
      <c r="E16">
        <f>(3/(1+('CurrentPor-Rat Factor Movements'!C16+'CurrentPor-Rat Factor Movements'!I16)/100)+103/POWER(1+('CurrentPor-Rat Factor Movements'!D16+'CurrentPor-Rat Factor Movements'!I16)/100,2))*100</f>
        <v>9581.0145968743855</v>
      </c>
      <c r="F16">
        <f>Portfolio!B$5*'CurrentPor-Rat Factor Movements'!E16</f>
        <v>52143.895533915893</v>
      </c>
      <c r="G16">
        <f>Portfolio!B$6*'CurrentPor-Rat Factor Movements'!F16</f>
        <v>3696.2945087936532</v>
      </c>
      <c r="H16">
        <f>Portfolio!B$7*'CurrentPor-Rat Factor Movements'!J16</f>
        <v>2148.0998964419859</v>
      </c>
      <c r="I16">
        <f t="shared" si="0"/>
        <v>96491.764365086259</v>
      </c>
      <c r="J16">
        <f t="shared" si="1"/>
        <v>-2.0873941635945812</v>
      </c>
    </row>
    <row r="17" spans="1:10">
      <c r="A17" s="1">
        <v>45492</v>
      </c>
      <c r="B17">
        <f>(3/(1+('CurrentPor-Rat Factor Movements'!C17)/100)+103/POWER(1+('CurrentPor-Rat Factor Movements'!D17)/100,2))*100</f>
        <v>9706.7397679819114</v>
      </c>
      <c r="C17">
        <f>(3/(1+('CurrentPor-Rat Factor Movements'!C17+'CurrentPor-Rat Factor Movements'!G17)/100)+103/POWER(1+('CurrentPor-Rat Factor Movements'!D17+'CurrentPor-Rat Factor Movements'!G17)/100,2))*100</f>
        <v>9614.1335463386731</v>
      </c>
      <c r="D17">
        <f>(3/(1+('CurrentPor-Rat Factor Movements'!C17+'CurrentPor-Rat Factor Movements'!H17)/100)+103/POWER(1+('CurrentPor-Rat Factor Movements'!D17+'CurrentPor-Rat Factor Movements'!H17)/100,2))*100</f>
        <v>9600.4075467286602</v>
      </c>
      <c r="E17">
        <f>(3/(1+('CurrentPor-Rat Factor Movements'!C17+'CurrentPor-Rat Factor Movements'!I17)/100)+103/POWER(1+('CurrentPor-Rat Factor Movements'!D17+'CurrentPor-Rat Factor Movements'!I17)/100,2))*100</f>
        <v>9580.6252984455969</v>
      </c>
      <c r="F17">
        <f>Portfolio!B$5*'CurrentPor-Rat Factor Movements'!E17</f>
        <v>52143.895533915893</v>
      </c>
      <c r="G17">
        <f>Portfolio!B$6*'CurrentPor-Rat Factor Movements'!F17</f>
        <v>3696.2945087936532</v>
      </c>
      <c r="H17">
        <f>Portfolio!B$7*'CurrentPor-Rat Factor Movements'!J17</f>
        <v>2148.0998964419859</v>
      </c>
      <c r="I17">
        <f t="shared" si="0"/>
        <v>96490.196098646367</v>
      </c>
      <c r="J17">
        <f t="shared" si="1"/>
        <v>3.0151849850954022</v>
      </c>
    </row>
    <row r="18" spans="1:10">
      <c r="A18" s="1">
        <v>45495</v>
      </c>
      <c r="B18">
        <f>(3/(1+('CurrentPor-Rat Factor Movements'!C18)/100)+103/POWER(1+('CurrentPor-Rat Factor Movements'!D18)/100,2))*100</f>
        <v>9707.4841391004757</v>
      </c>
      <c r="C18">
        <f>(3/(1+('CurrentPor-Rat Factor Movements'!C18+'CurrentPor-Rat Factor Movements'!G18)/100)+103/POWER(1+('CurrentPor-Rat Factor Movements'!D18+'CurrentPor-Rat Factor Movements'!G18)/100,2))*100</f>
        <v>9614.8671853425149</v>
      </c>
      <c r="D18">
        <f>(3/(1+('CurrentPor-Rat Factor Movements'!C18+'CurrentPor-Rat Factor Movements'!H18)/100)+103/POWER(1+('CurrentPor-Rat Factor Movements'!D18+'CurrentPor-Rat Factor Movements'!H18)/100,2))*100</f>
        <v>9601.1395994994673</v>
      </c>
      <c r="E18">
        <f>(3/(1+('CurrentPor-Rat Factor Movements'!C18+'CurrentPor-Rat Factor Movements'!I18)/100)+103/POWER(1+('CurrentPor-Rat Factor Movements'!D18+'CurrentPor-Rat Factor Movements'!I18)/100,2))*100</f>
        <v>9581.3550671329322</v>
      </c>
      <c r="F18">
        <f>Portfolio!B$5*'CurrentPor-Rat Factor Movements'!E18</f>
        <v>52143.895533915893</v>
      </c>
      <c r="G18">
        <f>Portfolio!B$6*'CurrentPor-Rat Factor Movements'!F18</f>
        <v>3696.2945087936532</v>
      </c>
      <c r="H18">
        <f>Portfolio!B$7*'CurrentPor-Rat Factor Movements'!J18</f>
        <v>2148.0998964419859</v>
      </c>
      <c r="I18">
        <f t="shared" si="0"/>
        <v>96493.135930226927</v>
      </c>
      <c r="J18">
        <f t="shared" si="1"/>
        <v>6.8625622126564849</v>
      </c>
    </row>
    <row r="19" spans="1:10">
      <c r="A19" s="1">
        <v>45496</v>
      </c>
      <c r="B19">
        <f>(3/(1+('CurrentPor-Rat Factor Movements'!C19)/100)+103/POWER(1+('CurrentPor-Rat Factor Movements'!D19)/100,2))*100</f>
        <v>9707.5858077552384</v>
      </c>
      <c r="C19">
        <f>(3/(1+('CurrentPor-Rat Factor Movements'!C19+'CurrentPor-Rat Factor Movements'!G19)/100)+103/POWER(1+('CurrentPor-Rat Factor Movements'!D19+'CurrentPor-Rat Factor Movements'!G19)/100,2))*100</f>
        <v>9614.9673881374929</v>
      </c>
      <c r="D19">
        <f>(3/(1+('CurrentPor-Rat Factor Movements'!C19+'CurrentPor-Rat Factor Movements'!H19)/100)+103/POWER(1+('CurrentPor-Rat Factor Movements'!D19+'CurrentPor-Rat Factor Movements'!H19)/100,2))*100</f>
        <v>9601.2395856368112</v>
      </c>
      <c r="E19">
        <f>(3/(1+('CurrentPor-Rat Factor Movements'!C19+'CurrentPor-Rat Factor Movements'!I19)/100)+103/POWER(1+('CurrentPor-Rat Factor Movements'!D19+'CurrentPor-Rat Factor Movements'!I19)/100,2))*100</f>
        <v>9581.4547412958837</v>
      </c>
      <c r="F19">
        <f>Portfolio!B$5*'CurrentPor-Rat Factor Movements'!E19</f>
        <v>52143.895533915893</v>
      </c>
      <c r="G19">
        <f>Portfolio!B$6*'CurrentPor-Rat Factor Movements'!F19</f>
        <v>3696.2945087936532</v>
      </c>
      <c r="H19">
        <f>Portfolio!B$7*'CurrentPor-Rat Factor Movements'!J19</f>
        <v>2148.0998964419859</v>
      </c>
      <c r="I19">
        <f t="shared" si="0"/>
        <v>96493.537461976957</v>
      </c>
      <c r="J19">
        <f t="shared" si="1"/>
        <v>-0.85990617764764465</v>
      </c>
    </row>
    <row r="20" spans="1:10">
      <c r="A20" s="1">
        <v>45497</v>
      </c>
      <c r="B20">
        <f>(3/(1+('CurrentPor-Rat Factor Movements'!C20)/100)+103/POWER(1+('CurrentPor-Rat Factor Movements'!D20)/100,2))*100</f>
        <v>9707.0758608892556</v>
      </c>
      <c r="C20">
        <f>(3/(1+('CurrentPor-Rat Factor Movements'!C20+'CurrentPor-Rat Factor Movements'!G20)/100)+103/POWER(1+('CurrentPor-Rat Factor Movements'!D20+'CurrentPor-Rat Factor Movements'!G20)/100,2))*100</f>
        <v>9614.4647936129204</v>
      </c>
      <c r="D20">
        <f>(3/(1+('CurrentPor-Rat Factor Movements'!C20+'CurrentPor-Rat Factor Movements'!H20)/100)+103/POWER(1+('CurrentPor-Rat Factor Movements'!D20+'CurrentPor-Rat Factor Movements'!H20)/100,2))*100</f>
        <v>9600.7380778063016</v>
      </c>
      <c r="E20">
        <f>(3/(1+('CurrentPor-Rat Factor Movements'!C20+'CurrentPor-Rat Factor Movements'!I20)/100)+103/POWER(1+('CurrentPor-Rat Factor Movements'!D20+'CurrentPor-Rat Factor Movements'!I20)/100,2))*100</f>
        <v>9580.9547982416607</v>
      </c>
      <c r="F20">
        <f>Portfolio!B$5*'CurrentPor-Rat Factor Movements'!E20</f>
        <v>52143.895533915893</v>
      </c>
      <c r="G20">
        <f>Portfolio!B$6*'CurrentPor-Rat Factor Movements'!F20</f>
        <v>3696.2945087936532</v>
      </c>
      <c r="H20">
        <f>Portfolio!B$7*'CurrentPor-Rat Factor Movements'!J20</f>
        <v>2148.0998964419859</v>
      </c>
      <c r="I20">
        <f t="shared" si="0"/>
        <v>96491.523469701671</v>
      </c>
      <c r="J20">
        <f t="shared" si="1"/>
        <v>-0.23773393298324663</v>
      </c>
    </row>
    <row r="21" spans="1:10">
      <c r="A21" s="1">
        <v>45498</v>
      </c>
      <c r="B21">
        <f>(3/(1+('CurrentPor-Rat Factor Movements'!C21)/100)+103/POWER(1+('CurrentPor-Rat Factor Movements'!D21)/100,2))*100</f>
        <v>9706.7602018588641</v>
      </c>
      <c r="C21">
        <f>(3/(1+('CurrentPor-Rat Factor Movements'!C21+'CurrentPor-Rat Factor Movements'!G21)/100)+103/POWER(1+('CurrentPor-Rat Factor Movements'!D21+'CurrentPor-Rat Factor Movements'!G21)/100,2))*100</f>
        <v>9614.1536856117946</v>
      </c>
      <c r="D21">
        <f>(3/(1+('CurrentPor-Rat Factor Movements'!C21+'CurrentPor-Rat Factor Movements'!H21)/100)+103/POWER(1+('CurrentPor-Rat Factor Movements'!D21+'CurrentPor-Rat Factor Movements'!H21)/100,2))*100</f>
        <v>9600.4276424586023</v>
      </c>
      <c r="E21">
        <f>(3/(1+('CurrentPor-Rat Factor Movements'!C21+'CurrentPor-Rat Factor Movements'!I21)/100)+103/POWER(1+('CurrentPor-Rat Factor Movements'!D21+'CurrentPor-Rat Factor Movements'!I21)/100,2))*100</f>
        <v>9580.6453314758783</v>
      </c>
      <c r="F21">
        <f>Portfolio!B$5*'CurrentPor-Rat Factor Movements'!E21</f>
        <v>52143.895533915893</v>
      </c>
      <c r="G21">
        <f>Portfolio!B$6*'CurrentPor-Rat Factor Movements'!F21</f>
        <v>3696.2945087936532</v>
      </c>
      <c r="H21">
        <f>Portfolio!B$7*'CurrentPor-Rat Factor Movements'!J21</f>
        <v>2148.0998964419859</v>
      </c>
      <c r="I21">
        <f t="shared" si="0"/>
        <v>96490.276800556676</v>
      </c>
      <c r="J21">
        <f t="shared" si="1"/>
        <v>0.47325428527256008</v>
      </c>
    </row>
    <row r="22" spans="1:10">
      <c r="A22" s="1">
        <v>45499</v>
      </c>
      <c r="B22">
        <f>(3/(1+('CurrentPor-Rat Factor Movements'!C22)/100)+103/POWER(1+('CurrentPor-Rat Factor Movements'!D22)/100,2))*100</f>
        <v>9707.4400520665804</v>
      </c>
      <c r="C22">
        <f>(3/(1+('CurrentPor-Rat Factor Movements'!C22+'CurrentPor-Rat Factor Movements'!G22)/100)+103/POWER(1+('CurrentPor-Rat Factor Movements'!D22+'CurrentPor-Rat Factor Movements'!G22)/100,2))*100</f>
        <v>9614.8237339535444</v>
      </c>
      <c r="D22">
        <f>(3/(1+('CurrentPor-Rat Factor Movements'!C22+'CurrentPor-Rat Factor Movements'!H22)/100)+103/POWER(1+('CurrentPor-Rat Factor Movements'!D22+'CurrentPor-Rat Factor Movements'!H22)/100,2))*100</f>
        <v>9601.0962420603701</v>
      </c>
      <c r="E22">
        <f>(3/(1+('CurrentPor-Rat Factor Movements'!C22+'CurrentPor-Rat Factor Movements'!I22)/100)+103/POWER(1+('CurrentPor-Rat Factor Movements'!D22+'CurrentPor-Rat Factor Movements'!I22)/100,2))*100</f>
        <v>9581.3118449761841</v>
      </c>
      <c r="F22">
        <f>Portfolio!B$5*'CurrentPor-Rat Factor Movements'!E22</f>
        <v>52143.895533915893</v>
      </c>
      <c r="G22">
        <f>Portfolio!B$6*'CurrentPor-Rat Factor Movements'!F22</f>
        <v>3696.2945087936532</v>
      </c>
      <c r="H22">
        <f>Portfolio!B$7*'CurrentPor-Rat Factor Movements'!J22</f>
        <v>2148.0998964419859</v>
      </c>
      <c r="I22">
        <f t="shared" si="0"/>
        <v>96492.961812208217</v>
      </c>
      <c r="J22">
        <f t="shared" si="1"/>
        <v>-0.43288778507849202</v>
      </c>
    </row>
    <row r="23" spans="1:10">
      <c r="A23" s="1">
        <v>45502</v>
      </c>
      <c r="B23">
        <f>(3/(1+('CurrentPor-Rat Factor Movements'!C23)/100)+103/POWER(1+('CurrentPor-Rat Factor Movements'!D23)/100,2))*100</f>
        <v>9708.1590022124183</v>
      </c>
      <c r="C23">
        <f>(3/(1+('CurrentPor-Rat Factor Movements'!C23+'CurrentPor-Rat Factor Movements'!G23)/100)+103/POWER(1+('CurrentPor-Rat Factor Movements'!D23+'CurrentPor-Rat Factor Movements'!G23)/100,2))*100</f>
        <v>9615.5323181256117</v>
      </c>
      <c r="D23">
        <f>(3/(1+('CurrentPor-Rat Factor Movements'!C23+'CurrentPor-Rat Factor Movements'!H23)/100)+103/POWER(1+('CurrentPor-Rat Factor Movements'!D23+'CurrentPor-Rat Factor Movements'!H23)/100,2))*100</f>
        <v>9601.8032941165529</v>
      </c>
      <c r="E23">
        <f>(3/(1+('CurrentPor-Rat Factor Movements'!C23+'CurrentPor-Rat Factor Movements'!I23)/100)+103/POWER(1+('CurrentPor-Rat Factor Movements'!D23+'CurrentPor-Rat Factor Movements'!I23)/100,2))*100</f>
        <v>9582.016690874736</v>
      </c>
      <c r="F23">
        <f>Portfolio!B$5*'CurrentPor-Rat Factor Movements'!E23</f>
        <v>52143.895533915893</v>
      </c>
      <c r="G23">
        <f>Portfolio!B$6*'CurrentPor-Rat Factor Movements'!F23</f>
        <v>3696.2945087936532</v>
      </c>
      <c r="H23">
        <f>Portfolio!B$7*'CurrentPor-Rat Factor Movements'!J23</f>
        <v>2148.0998964419859</v>
      </c>
      <c r="I23">
        <f t="shared" si="0"/>
        <v>96495.801244480841</v>
      </c>
      <c r="J23">
        <f t="shared" si="1"/>
        <v>7.8438763885060325E-3</v>
      </c>
    </row>
    <row r="24" spans="1:10">
      <c r="A24" s="1">
        <v>45503</v>
      </c>
      <c r="B24">
        <f>(3/(1+('CurrentPor-Rat Factor Movements'!C24)/100)+103/POWER(1+('CurrentPor-Rat Factor Movements'!D24)/100,2))*100</f>
        <v>9707.8407362820435</v>
      </c>
      <c r="C24">
        <f>(3/(1+('CurrentPor-Rat Factor Movements'!C24+'CurrentPor-Rat Factor Movements'!G24)/100)+103/POWER(1+('CurrentPor-Rat Factor Movements'!D24+'CurrentPor-Rat Factor Movements'!G24)/100,2))*100</f>
        <v>9615.2186410679078</v>
      </c>
      <c r="D24">
        <f>(3/(1+('CurrentPor-Rat Factor Movements'!C24+'CurrentPor-Rat Factor Movements'!H24)/100)+103/POWER(1+('CurrentPor-Rat Factor Movements'!D24+'CurrentPor-Rat Factor Movements'!H24)/100,2))*100</f>
        <v>9601.4902953052024</v>
      </c>
      <c r="E24">
        <f>(3/(1+('CurrentPor-Rat Factor Movements'!C24+'CurrentPor-Rat Factor Movements'!I24)/100)+103/POWER(1+('CurrentPor-Rat Factor Movements'!D24+'CurrentPor-Rat Factor Movements'!I24)/100,2))*100</f>
        <v>9581.7046686985868</v>
      </c>
      <c r="F24">
        <f>Portfolio!B$5*'CurrentPor-Rat Factor Movements'!E24</f>
        <v>52143.895533915893</v>
      </c>
      <c r="G24">
        <f>Portfolio!B$6*'CurrentPor-Rat Factor Movements'!F24</f>
        <v>3696.2945087936532</v>
      </c>
      <c r="H24">
        <f>Portfolio!B$7*'CurrentPor-Rat Factor Movements'!J24</f>
        <v>2148.0998964419859</v>
      </c>
      <c r="I24">
        <f t="shared" si="0"/>
        <v>96494.544280505259</v>
      </c>
      <c r="J24">
        <f t="shared" si="1"/>
        <v>-5.9575364839402027</v>
      </c>
    </row>
    <row r="25" spans="1:10">
      <c r="A25" s="1">
        <v>45504</v>
      </c>
      <c r="B25">
        <f>(3/(1+('CurrentPor-Rat Factor Movements'!C25)/100)+103/POWER(1+('CurrentPor-Rat Factor Movements'!D25)/100,2))*100</f>
        <v>9707.3113615631992</v>
      </c>
      <c r="C25">
        <f>(3/(1+('CurrentPor-Rat Factor Movements'!C25+'CurrentPor-Rat Factor Movements'!G25)/100)+103/POWER(1+('CurrentPor-Rat Factor Movements'!D25+'CurrentPor-Rat Factor Movements'!G25)/100,2))*100</f>
        <v>9614.6968988958779</v>
      </c>
      <c r="D25">
        <f>(3/(1+('CurrentPor-Rat Factor Movements'!C25+'CurrentPor-Rat Factor Movements'!H25)/100)+103/POWER(1+('CurrentPor-Rat Factor Movements'!D25+'CurrentPor-Rat Factor Movements'!H25)/100,2))*100</f>
        <v>9600.9696812421134</v>
      </c>
      <c r="E25">
        <f>(3/(1+('CurrentPor-Rat Factor Movements'!C25+'CurrentPor-Rat Factor Movements'!I25)/100)+103/POWER(1+('CurrentPor-Rat Factor Movements'!D25+'CurrentPor-Rat Factor Movements'!I25)/100,2))*100</f>
        <v>9581.1856790467391</v>
      </c>
      <c r="F25">
        <f>Portfolio!B$5*'CurrentPor-Rat Factor Movements'!E25</f>
        <v>52143.895533915893</v>
      </c>
      <c r="G25">
        <f>Portfolio!B$6*'CurrentPor-Rat Factor Movements'!F25</f>
        <v>3696.2945087936532</v>
      </c>
      <c r="H25">
        <f>Portfolio!B$7*'CurrentPor-Rat Factor Movements'!J25</f>
        <v>2148.0998964419859</v>
      </c>
      <c r="I25">
        <f t="shared" si="0"/>
        <v>96492.453559899455</v>
      </c>
      <c r="J25">
        <f t="shared" si="1"/>
        <v>6.6880800347134937</v>
      </c>
    </row>
    <row r="26" spans="1:10">
      <c r="A26" s="1">
        <v>45505</v>
      </c>
      <c r="B26">
        <f>(3/(1+('CurrentPor-Rat Factor Movements'!C26)/100)+103/POWER(1+('CurrentPor-Rat Factor Movements'!D26)/100,2))*100</f>
        <v>9708.0282290863615</v>
      </c>
      <c r="C26">
        <f>(3/(1+('CurrentPor-Rat Factor Movements'!C26+'CurrentPor-Rat Factor Movements'!G26)/100)+103/POWER(1+('CurrentPor-Rat Factor Movements'!D26+'CurrentPor-Rat Factor Movements'!G26)/100,2))*100</f>
        <v>9615.4034305427285</v>
      </c>
      <c r="D26">
        <f>(3/(1+('CurrentPor-Rat Factor Movements'!C26+'CurrentPor-Rat Factor Movements'!H26)/100)+103/POWER(1+('CurrentPor-Rat Factor Movements'!D26+'CurrentPor-Rat Factor Movements'!H26)/100,2))*100</f>
        <v>9601.6746852214419</v>
      </c>
      <c r="E26">
        <f>(3/(1+('CurrentPor-Rat Factor Movements'!C26+'CurrentPor-Rat Factor Movements'!I26)/100)+103/POWER(1+('CurrentPor-Rat Factor Movements'!D26+'CurrentPor-Rat Factor Movements'!I26)/100,2))*100</f>
        <v>9581.8884832737604</v>
      </c>
      <c r="F26">
        <f>Portfolio!B$5*'CurrentPor-Rat Factor Movements'!E26</f>
        <v>52143.895533915893</v>
      </c>
      <c r="G26">
        <f>Portfolio!B$6*'CurrentPor-Rat Factor Movements'!F26</f>
        <v>3696.2945087936532</v>
      </c>
      <c r="H26">
        <f>Portfolio!B$7*'CurrentPor-Rat Factor Movements'!J26</f>
        <v>2148.0998964419859</v>
      </c>
      <c r="I26">
        <f t="shared" si="0"/>
        <v>96495.284767275822</v>
      </c>
      <c r="J26">
        <f t="shared" si="1"/>
        <v>3.5204021895624464</v>
      </c>
    </row>
    <row r="27" spans="1:10">
      <c r="A27" s="1">
        <v>45506</v>
      </c>
      <c r="B27">
        <f>(3/(1+('CurrentPor-Rat Factor Movements'!C27)/100)+103/POWER(1+('CurrentPor-Rat Factor Movements'!D27)/100,2))*100</f>
        <v>9707.8254974931733</v>
      </c>
      <c r="C27">
        <f>(3/(1+('CurrentPor-Rat Factor Movements'!C27+'CurrentPor-Rat Factor Movements'!G27)/100)+103/POWER(1+('CurrentPor-Rat Factor Movements'!D27+'CurrentPor-Rat Factor Movements'!G27)/100,2))*100</f>
        <v>9615.2036219954753</v>
      </c>
      <c r="D27">
        <f>(3/(1+('CurrentPor-Rat Factor Movements'!C27+'CurrentPor-Rat Factor Movements'!H27)/100)+103/POWER(1+('CurrentPor-Rat Factor Movements'!D27+'CurrentPor-Rat Factor Movements'!H27)/100,2))*100</f>
        <v>9601.4753087073841</v>
      </c>
      <c r="E27">
        <f>(3/(1+('CurrentPor-Rat Factor Movements'!C27+'CurrentPor-Rat Factor Movements'!I27)/100)+103/POWER(1+('CurrentPor-Rat Factor Movements'!D27+'CurrentPor-Rat Factor Movements'!I27)/100,2))*100</f>
        <v>9581.689728862324</v>
      </c>
      <c r="F27">
        <f>Portfolio!B$5*'CurrentPor-Rat Factor Movements'!E27</f>
        <v>52143.895533915893</v>
      </c>
      <c r="G27">
        <f>Portfolio!B$6*'CurrentPor-Rat Factor Movements'!F27</f>
        <v>3696.2945087936532</v>
      </c>
      <c r="H27">
        <f>Portfolio!B$7*'CurrentPor-Rat Factor Movements'!J27</f>
        <v>2148.0998964419859</v>
      </c>
      <c r="I27">
        <f t="shared" si="0"/>
        <v>96494.484096209882</v>
      </c>
      <c r="J27">
        <f t="shared" si="1"/>
        <v>4.2879975635150913</v>
      </c>
    </row>
    <row r="28" spans="1:10">
      <c r="A28" s="1">
        <v>45509</v>
      </c>
      <c r="B28">
        <f>(3/(1+('CurrentPor-Rat Factor Movements'!C28)/100)+103/POWER(1+('CurrentPor-Rat Factor Movements'!D28)/100,2))*100</f>
        <v>9706.8499051362087</v>
      </c>
      <c r="C28">
        <f>(3/(1+('CurrentPor-Rat Factor Movements'!C28+'CurrentPor-Rat Factor Movements'!G28)/100)+103/POWER(1+('CurrentPor-Rat Factor Movements'!D28+'CurrentPor-Rat Factor Movements'!G28)/100,2))*100</f>
        <v>9614.2420955954221</v>
      </c>
      <c r="D28">
        <f>(3/(1+('CurrentPor-Rat Factor Movements'!C28+'CurrentPor-Rat Factor Movements'!H28)/100)+103/POWER(1+('CurrentPor-Rat Factor Movements'!D28+'CurrentPor-Rat Factor Movements'!H28)/100,2))*100</f>
        <v>9600.5158612901905</v>
      </c>
      <c r="E28">
        <f>(3/(1+('CurrentPor-Rat Factor Movements'!C28+'CurrentPor-Rat Factor Movements'!I28)/100)+103/POWER(1+('CurrentPor-Rat Factor Movements'!D28+'CurrentPor-Rat Factor Movements'!I28)/100,2))*100</f>
        <v>9580.7332750596233</v>
      </c>
      <c r="F28">
        <f>Portfolio!B$5*'CurrentPor-Rat Factor Movements'!E28</f>
        <v>52143.895533915893</v>
      </c>
      <c r="G28">
        <f>Portfolio!B$6*'CurrentPor-Rat Factor Movements'!F28</f>
        <v>3696.2945087936532</v>
      </c>
      <c r="H28">
        <f>Portfolio!B$7*'CurrentPor-Rat Factor Movements'!J28</f>
        <v>2148.0998964419859</v>
      </c>
      <c r="I28">
        <f t="shared" si="0"/>
        <v>96490.631076232981</v>
      </c>
      <c r="J28">
        <f t="shared" si="1"/>
        <v>-2.5048539939452894</v>
      </c>
    </row>
    <row r="29" spans="1:10">
      <c r="A29" s="1">
        <v>45510</v>
      </c>
      <c r="B29">
        <f>(3/(1+('CurrentPor-Rat Factor Movements'!C29)/100)+103/POWER(1+('CurrentPor-Rat Factor Movements'!D29)/100,2))*100</f>
        <v>9708.0907588105256</v>
      </c>
      <c r="C29">
        <f>(3/(1+('CurrentPor-Rat Factor Movements'!C29+'CurrentPor-Rat Factor Movements'!G29)/100)+103/POWER(1+('CurrentPor-Rat Factor Movements'!D29+'CurrentPor-Rat Factor Movements'!G29)/100,2))*100</f>
        <v>9615.4650586880398</v>
      </c>
      <c r="D29">
        <f>(3/(1+('CurrentPor-Rat Factor Movements'!C29+'CurrentPor-Rat Factor Movements'!H29)/100)+103/POWER(1+('CurrentPor-Rat Factor Movements'!D29+'CurrentPor-Rat Factor Movements'!H29)/100,2))*100</f>
        <v>9601.7361801112474</v>
      </c>
      <c r="E29">
        <f>(3/(1+('CurrentPor-Rat Factor Movements'!C29+'CurrentPor-Rat Factor Movements'!I29)/100)+103/POWER(1+('CurrentPor-Rat Factor Movements'!D29+'CurrentPor-Rat Factor Movements'!I29)/100,2))*100</f>
        <v>9581.9497862834123</v>
      </c>
      <c r="F29">
        <f>Portfolio!B$5*'CurrentPor-Rat Factor Movements'!E29</f>
        <v>52143.895533915893</v>
      </c>
      <c r="G29">
        <f>Portfolio!B$6*'CurrentPor-Rat Factor Movements'!F29</f>
        <v>3696.2945087936532</v>
      </c>
      <c r="H29">
        <f>Portfolio!B$7*'CurrentPor-Rat Factor Movements'!J29</f>
        <v>2148.0998964419859</v>
      </c>
      <c r="I29">
        <f t="shared" si="0"/>
        <v>96495.531723044754</v>
      </c>
      <c r="J29">
        <f t="shared" si="1"/>
        <v>1.994261067797197</v>
      </c>
    </row>
    <row r="30" spans="1:10">
      <c r="A30" s="1">
        <v>45511</v>
      </c>
      <c r="B30">
        <f>(3/(1+('CurrentPor-Rat Factor Movements'!C30)/100)+103/POWER(1+('CurrentPor-Rat Factor Movements'!D30)/100,2))*100</f>
        <v>9706.4016200174883</v>
      </c>
      <c r="C30">
        <f>(3/(1+('CurrentPor-Rat Factor Movements'!C30+'CurrentPor-Rat Factor Movements'!G30)/100)+103/POWER(1+('CurrentPor-Rat Factor Movements'!D30+'CurrentPor-Rat Factor Movements'!G30)/100,2))*100</f>
        <v>9613.8002735506907</v>
      </c>
      <c r="D30">
        <f>(3/(1+('CurrentPor-Rat Factor Movements'!C30+'CurrentPor-Rat Factor Movements'!H30)/100)+103/POWER(1+('CurrentPor-Rat Factor Movements'!D30+'CurrentPor-Rat Factor Movements'!H30)/100,2))*100</f>
        <v>9600.0749945040116</v>
      </c>
      <c r="E30">
        <f>(3/(1+('CurrentPor-Rat Factor Movements'!C30+'CurrentPor-Rat Factor Movements'!I30)/100)+103/POWER(1+('CurrentPor-Rat Factor Movements'!D30+'CurrentPor-Rat Factor Movements'!I30)/100,2))*100</f>
        <v>9580.2937837904119</v>
      </c>
      <c r="F30">
        <f>Portfolio!B$5*'CurrentPor-Rat Factor Movements'!E30</f>
        <v>52143.895533915893</v>
      </c>
      <c r="G30">
        <f>Portfolio!B$6*'CurrentPor-Rat Factor Movements'!F30</f>
        <v>3696.2945087936532</v>
      </c>
      <c r="H30">
        <f>Portfolio!B$7*'CurrentPor-Rat Factor Movements'!J30</f>
        <v>2148.0998964419859</v>
      </c>
      <c r="I30">
        <f t="shared" si="0"/>
        <v>96488.860611014141</v>
      </c>
      <c r="J30">
        <f t="shared" si="1"/>
        <v>-2.6628586875303881</v>
      </c>
    </row>
    <row r="31" spans="1:10">
      <c r="A31" s="1">
        <v>45512</v>
      </c>
      <c r="B31">
        <f>(3/(1+('CurrentPor-Rat Factor Movements'!C31)/100)+103/POWER(1+('CurrentPor-Rat Factor Movements'!D31)/100,2))*100</f>
        <v>9707.2326647601367</v>
      </c>
      <c r="C31">
        <f>(3/(1+('CurrentPor-Rat Factor Movements'!C31+'CurrentPor-Rat Factor Movements'!G31)/100)+103/POWER(1+('CurrentPor-Rat Factor Movements'!D31+'CurrentPor-Rat Factor Movements'!G31)/100,2))*100</f>
        <v>9614.619336728656</v>
      </c>
      <c r="D31">
        <f>(3/(1+('CurrentPor-Rat Factor Movements'!C31+'CurrentPor-Rat Factor Movements'!H31)/100)+103/POWER(1+('CurrentPor-Rat Factor Movements'!D31+'CurrentPor-Rat Factor Movements'!H31)/100,2))*100</f>
        <v>9600.8922867768542</v>
      </c>
      <c r="E31">
        <f>(3/(1+('CurrentPor-Rat Factor Movements'!C31+'CurrentPor-Rat Factor Movements'!I31)/100)+103/POWER(1+('CurrentPor-Rat Factor Movements'!D31+'CurrentPor-Rat Factor Movements'!I31)/100,2))*100</f>
        <v>9581.1085260625605</v>
      </c>
      <c r="F31">
        <f>Portfolio!B$5*'CurrentPor-Rat Factor Movements'!E31</f>
        <v>52143.895533915893</v>
      </c>
      <c r="G31">
        <f>Portfolio!B$6*'CurrentPor-Rat Factor Movements'!F31</f>
        <v>3696.2945087936532</v>
      </c>
      <c r="H31">
        <f>Portfolio!B$7*'CurrentPor-Rat Factor Movements'!J31</f>
        <v>2148.0998964419859</v>
      </c>
      <c r="I31">
        <f t="shared" si="0"/>
        <v>96492.14275347974</v>
      </c>
      <c r="J31">
        <f t="shared" si="1"/>
        <v>1.8659529230644694</v>
      </c>
    </row>
    <row r="32" spans="1:10">
      <c r="A32" s="1">
        <v>45513</v>
      </c>
      <c r="B32">
        <f>(3/(1+('CurrentPor-Rat Factor Movements'!C32)/100)+103/POWER(1+('CurrentPor-Rat Factor Movements'!D32)/100,2))*100</f>
        <v>9707.383614465507</v>
      </c>
      <c r="C32">
        <f>(3/(1+('CurrentPor-Rat Factor Movements'!C32+'CurrentPor-Rat Factor Movements'!G32)/100)+103/POWER(1+('CurrentPor-Rat Factor Movements'!D32+'CurrentPor-Rat Factor Movements'!G32)/100,2))*100</f>
        <v>9614.7681100652098</v>
      </c>
      <c r="D32">
        <f>(3/(1+('CurrentPor-Rat Factor Movements'!C32+'CurrentPor-Rat Factor Movements'!H32)/100)+103/POWER(1+('CurrentPor-Rat Factor Movements'!D32+'CurrentPor-Rat Factor Movements'!H32)/100,2))*100</f>
        <v>9601.0407384407608</v>
      </c>
      <c r="E32">
        <f>(3/(1+('CurrentPor-Rat Factor Movements'!C32+'CurrentPor-Rat Factor Movements'!I32)/100)+103/POWER(1+('CurrentPor-Rat Factor Movements'!D32+'CurrentPor-Rat Factor Movements'!I32)/100,2))*100</f>
        <v>9581.2565145365534</v>
      </c>
      <c r="F32">
        <f>Portfolio!B$5*'CurrentPor-Rat Factor Movements'!E32</f>
        <v>52143.895533915893</v>
      </c>
      <c r="G32">
        <f>Portfolio!B$6*'CurrentPor-Rat Factor Movements'!F32</f>
        <v>3696.2945087936532</v>
      </c>
      <c r="H32">
        <f>Portfolio!B$7*'CurrentPor-Rat Factor Movements'!J32</f>
        <v>2148.0998964419859</v>
      </c>
      <c r="I32">
        <f t="shared" si="0"/>
        <v>96492.738916659568</v>
      </c>
      <c r="J32">
        <f t="shared" si="1"/>
        <v>-0.22289554864983074</v>
      </c>
    </row>
    <row r="33" spans="1:10">
      <c r="A33" s="1">
        <v>45516</v>
      </c>
      <c r="B33">
        <f>(3/(1+('CurrentPor-Rat Factor Movements'!C33)/100)+103/POWER(1+('CurrentPor-Rat Factor Movements'!D33)/100,2))*100</f>
        <v>9707.7669698937698</v>
      </c>
      <c r="C33">
        <f>(3/(1+('CurrentPor-Rat Factor Movements'!C33+'CurrentPor-Rat Factor Movements'!G33)/100)+103/POWER(1+('CurrentPor-Rat Factor Movements'!D33+'CurrentPor-Rat Factor Movements'!G33)/100,2))*100</f>
        <v>9615.1459382591129</v>
      </c>
      <c r="D33">
        <f>(3/(1+('CurrentPor-Rat Factor Movements'!C33+'CurrentPor-Rat Factor Movements'!H33)/100)+103/POWER(1+('CurrentPor-Rat Factor Movements'!D33+'CurrentPor-Rat Factor Movements'!H33)/100,2))*100</f>
        <v>9601.417749696011</v>
      </c>
      <c r="E33">
        <f>(3/(1+('CurrentPor-Rat Factor Movements'!C33+'CurrentPor-Rat Factor Movements'!I33)/100)+103/POWER(1+('CurrentPor-Rat Factor Movements'!D33+'CurrentPor-Rat Factor Movements'!I33)/100,2))*100</f>
        <v>9581.6323494476728</v>
      </c>
      <c r="F33">
        <f>Portfolio!B$5*'CurrentPor-Rat Factor Movements'!E33</f>
        <v>52143.895533915893</v>
      </c>
      <c r="G33">
        <f>Portfolio!B$6*'CurrentPor-Rat Factor Movements'!F33</f>
        <v>3696.2945087936532</v>
      </c>
      <c r="H33">
        <f>Portfolio!B$7*'CurrentPor-Rat Factor Movements'!J33</f>
        <v>2148.0998964419859</v>
      </c>
      <c r="I33">
        <f t="shared" si="0"/>
        <v>96494.25294644809</v>
      </c>
      <c r="J33">
        <f t="shared" si="1"/>
        <v>-1.5482980327506084</v>
      </c>
    </row>
    <row r="34" spans="1:10">
      <c r="A34" s="1">
        <v>45517</v>
      </c>
      <c r="B34">
        <f>(3/(1+('CurrentPor-Rat Factor Movements'!C34)/100)+103/POWER(1+('CurrentPor-Rat Factor Movements'!D34)/100,2))*100</f>
        <v>9707.3020472643911</v>
      </c>
      <c r="C34">
        <f>(3/(1+('CurrentPor-Rat Factor Movements'!C34+'CurrentPor-Rat Factor Movements'!G34)/100)+103/POWER(1+('CurrentPor-Rat Factor Movements'!D34+'CurrentPor-Rat Factor Movements'!G34)/100,2))*100</f>
        <v>9614.6877188891394</v>
      </c>
      <c r="D34">
        <f>(3/(1+('CurrentPor-Rat Factor Movements'!C34+'CurrentPor-Rat Factor Movements'!H34)/100)+103/POWER(1+('CurrentPor-Rat Factor Movements'!D34+'CurrentPor-Rat Factor Movements'!H34)/100,2))*100</f>
        <v>9600.9605210840709</v>
      </c>
      <c r="E34">
        <f>(3/(1+('CurrentPor-Rat Factor Movements'!C34+'CurrentPor-Rat Factor Movements'!I34)/100)+103/POWER(1+('CurrentPor-Rat Factor Movements'!D34+'CurrentPor-Rat Factor Movements'!I34)/100,2))*100</f>
        <v>9581.1765474696622</v>
      </c>
      <c r="F34">
        <f>Portfolio!B$5*'CurrentPor-Rat Factor Movements'!E34</f>
        <v>52143.895533915893</v>
      </c>
      <c r="G34">
        <f>Portfolio!B$6*'CurrentPor-Rat Factor Movements'!F34</f>
        <v>3696.2945087936532</v>
      </c>
      <c r="H34">
        <f>Portfolio!B$7*'CurrentPor-Rat Factor Movements'!J34</f>
        <v>2148.0998964419859</v>
      </c>
      <c r="I34">
        <f t="shared" si="0"/>
        <v>96492.416773858786</v>
      </c>
      <c r="J34">
        <f t="shared" si="1"/>
        <v>-2.1275066464731935</v>
      </c>
    </row>
    <row r="35" spans="1:10">
      <c r="A35" s="1">
        <v>45518</v>
      </c>
      <c r="B35">
        <f>(3/(1+('CurrentPor-Rat Factor Movements'!C35)/100)+103/POWER(1+('CurrentPor-Rat Factor Movements'!D35)/100,2))*100</f>
        <v>9705.2080058242263</v>
      </c>
      <c r="C35">
        <f>(3/(1+('CurrentPor-Rat Factor Movements'!C35+'CurrentPor-Rat Factor Movements'!G35)/100)+103/POWER(1+('CurrentPor-Rat Factor Movements'!D35+'CurrentPor-Rat Factor Movements'!G35)/100,2))*100</f>
        <v>9612.6238673506359</v>
      </c>
      <c r="D35">
        <f>(3/(1+('CurrentPor-Rat Factor Movements'!C35+'CurrentPor-Rat Factor Movements'!H35)/100)+103/POWER(1+('CurrentPor-Rat Factor Movements'!D35+'CurrentPor-Rat Factor Movements'!H35)/100,2))*100</f>
        <v>9598.9011316897522</v>
      </c>
      <c r="E35">
        <f>(3/(1+('CurrentPor-Rat Factor Movements'!C35+'CurrentPor-Rat Factor Movements'!I35)/100)+103/POWER(1+('CurrentPor-Rat Factor Movements'!D35+'CurrentPor-Rat Factor Movements'!I35)/100,2))*100</f>
        <v>9579.1235833049031</v>
      </c>
      <c r="F35">
        <f>Portfolio!B$5*'CurrentPor-Rat Factor Movements'!E35</f>
        <v>52143.895533915893</v>
      </c>
      <c r="G35">
        <f>Portfolio!B$6*'CurrentPor-Rat Factor Movements'!F35</f>
        <v>3696.2945087936532</v>
      </c>
      <c r="H35">
        <f>Portfolio!B$7*'CurrentPor-Rat Factor Movements'!J35</f>
        <v>2148.0998964419859</v>
      </c>
      <c r="I35">
        <f t="shared" si="0"/>
        <v>96484.146527321049</v>
      </c>
      <c r="J35">
        <f t="shared" si="1"/>
        <v>-8.3070325784065062</v>
      </c>
    </row>
    <row r="36" spans="1:10">
      <c r="A36" s="1">
        <v>45519</v>
      </c>
      <c r="B36">
        <f>(3/(1+('CurrentPor-Rat Factor Movements'!C36)/100)+103/POWER(1+('CurrentPor-Rat Factor Movements'!D36)/100,2))*100</f>
        <v>9706.3258716678811</v>
      </c>
      <c r="C36">
        <f>(3/(1+('CurrentPor-Rat Factor Movements'!C36+'CurrentPor-Rat Factor Movements'!G36)/100)+103/POWER(1+('CurrentPor-Rat Factor Movements'!D36+'CurrentPor-Rat Factor Movements'!G36)/100,2))*100</f>
        <v>9613.7256172750585</v>
      </c>
      <c r="D36">
        <f>(3/(1+('CurrentPor-Rat Factor Movements'!C36+'CurrentPor-Rat Factor Movements'!H36)/100)+103/POWER(1+('CurrentPor-Rat Factor Movements'!D36+'CurrentPor-Rat Factor Movements'!H36)/100,2))*100</f>
        <v>9600.0004996396801</v>
      </c>
      <c r="E36">
        <f>(3/(1+('CurrentPor-Rat Factor Movements'!C36+'CurrentPor-Rat Factor Movements'!I36)/100)+103/POWER(1+('CurrentPor-Rat Factor Movements'!D36+'CurrentPor-Rat Factor Movements'!I36)/100,2))*100</f>
        <v>9580.2195213490104</v>
      </c>
      <c r="F36">
        <f>Portfolio!B$5*'CurrentPor-Rat Factor Movements'!E36</f>
        <v>52143.895533915893</v>
      </c>
      <c r="G36">
        <f>Portfolio!B$6*'CurrentPor-Rat Factor Movements'!F36</f>
        <v>3696.2945087936532</v>
      </c>
      <c r="H36">
        <f>Portfolio!B$7*'CurrentPor-Rat Factor Movements'!J36</f>
        <v>2148.0998964419859</v>
      </c>
      <c r="I36">
        <f t="shared" si="0"/>
        <v>96488.561449083165</v>
      </c>
      <c r="J36">
        <f t="shared" si="1"/>
        <v>-6.723318192656734</v>
      </c>
    </row>
    <row r="37" spans="1:10">
      <c r="A37" s="1">
        <v>45520</v>
      </c>
      <c r="B37">
        <f>(3/(1+('CurrentPor-Rat Factor Movements'!C37)/100)+103/POWER(1+('CurrentPor-Rat Factor Movements'!D37)/100,2))*100</f>
        <v>9705.2359991822123</v>
      </c>
      <c r="C37">
        <f>(3/(1+('CurrentPor-Rat Factor Movements'!C37+'CurrentPor-Rat Factor Movements'!G37)/100)+103/POWER(1+('CurrentPor-Rat Factor Movements'!D37+'CurrentPor-Rat Factor Movements'!G37)/100,2))*100</f>
        <v>9612.6514571486532</v>
      </c>
      <c r="D37">
        <f>(3/(1+('CurrentPor-Rat Factor Movements'!C37+'CurrentPor-Rat Factor Movements'!H37)/100)+103/POWER(1+('CurrentPor-Rat Factor Movements'!D37+'CurrentPor-Rat Factor Movements'!H37)/100,2))*100</f>
        <v>9598.9286618405476</v>
      </c>
      <c r="E37">
        <f>(3/(1+('CurrentPor-Rat Factor Movements'!C37+'CurrentPor-Rat Factor Movements'!I37)/100)+103/POWER(1+('CurrentPor-Rat Factor Movements'!D37+'CurrentPor-Rat Factor Movements'!I37)/100,2))*100</f>
        <v>9579.151027567128</v>
      </c>
      <c r="F37">
        <f>Portfolio!B$5*'CurrentPor-Rat Factor Movements'!E37</f>
        <v>52143.895533915893</v>
      </c>
      <c r="G37">
        <f>Portfolio!B$6*'CurrentPor-Rat Factor Movements'!F37</f>
        <v>3696.2945087936532</v>
      </c>
      <c r="H37">
        <f>Portfolio!B$7*'CurrentPor-Rat Factor Movements'!J37</f>
        <v>2148.0998964419859</v>
      </c>
      <c r="I37">
        <f t="shared" si="0"/>
        <v>96484.25708489008</v>
      </c>
      <c r="J37">
        <f t="shared" si="1"/>
        <v>-10.227011319802841</v>
      </c>
    </row>
    <row r="38" spans="1:10">
      <c r="A38" s="1">
        <v>45523</v>
      </c>
      <c r="B38">
        <f>(3/(1+('CurrentPor-Rat Factor Movements'!C38)/100)+103/POWER(1+('CurrentPor-Rat Factor Movements'!D38)/100,2))*100</f>
        <v>9706.5667693459</v>
      </c>
      <c r="C38">
        <f>(3/(1+('CurrentPor-Rat Factor Movements'!C38+'CurrentPor-Rat Factor Movements'!G38)/100)+103/POWER(1+('CurrentPor-Rat Factor Movements'!D38+'CurrentPor-Rat Factor Movements'!G38)/100,2))*100</f>
        <v>9613.9630418844554</v>
      </c>
      <c r="D38">
        <f>(3/(1+('CurrentPor-Rat Factor Movements'!C38+'CurrentPor-Rat Factor Movements'!H38)/100)+103/POWER(1+('CurrentPor-Rat Factor Movements'!D38+'CurrentPor-Rat Factor Movements'!H38)/100,2))*100</f>
        <v>9600.2374109207685</v>
      </c>
      <c r="E38">
        <f>(3/(1+('CurrentPor-Rat Factor Movements'!C38+'CurrentPor-Rat Factor Movements'!I38)/100)+103/POWER(1+('CurrentPor-Rat Factor Movements'!D38+'CurrentPor-Rat Factor Movements'!I38)/100,2))*100</f>
        <v>9580.4556934670491</v>
      </c>
      <c r="F38">
        <f>Portfolio!B$5*'CurrentPor-Rat Factor Movements'!E38</f>
        <v>52143.895533915893</v>
      </c>
      <c r="G38">
        <f>Portfolio!B$6*'CurrentPor-Rat Factor Movements'!F38</f>
        <v>3696.2945087936532</v>
      </c>
      <c r="H38">
        <f>Portfolio!B$7*'CurrentPor-Rat Factor Movements'!J38</f>
        <v>2148.0998964419859</v>
      </c>
      <c r="I38">
        <f t="shared" si="0"/>
        <v>96489.512854769695</v>
      </c>
      <c r="J38">
        <f t="shared" si="1"/>
        <v>-1.1182214632863179</v>
      </c>
    </row>
    <row r="39" spans="1:10">
      <c r="A39" s="1">
        <v>45524</v>
      </c>
      <c r="B39">
        <f>(3/(1+('CurrentPor-Rat Factor Movements'!C39)/100)+103/POWER(1+('CurrentPor-Rat Factor Movements'!D39)/100,2))*100</f>
        <v>9707.5669241124633</v>
      </c>
      <c r="C39">
        <f>(3/(1+('CurrentPor-Rat Factor Movements'!C39+'CurrentPor-Rat Factor Movements'!G39)/100)+103/POWER(1+('CurrentPor-Rat Factor Movements'!D39+'CurrentPor-Rat Factor Movements'!G39)/100,2))*100</f>
        <v>9614.9487767598748</v>
      </c>
      <c r="D39">
        <f>(3/(1+('CurrentPor-Rat Factor Movements'!C39+'CurrentPor-Rat Factor Movements'!H39)/100)+103/POWER(1+('CurrentPor-Rat Factor Movements'!D39+'CurrentPor-Rat Factor Movements'!H39)/100,2))*100</f>
        <v>9601.2210145006429</v>
      </c>
      <c r="E39">
        <f>(3/(1+('CurrentPor-Rat Factor Movements'!C39+'CurrentPor-Rat Factor Movements'!I39)/100)+103/POWER(1+('CurrentPor-Rat Factor Movements'!D39+'CurrentPor-Rat Factor Movements'!I39)/100,2))*100</f>
        <v>9581.4362281050617</v>
      </c>
      <c r="F39">
        <f>Portfolio!B$5*'CurrentPor-Rat Factor Movements'!E39</f>
        <v>52143.895533915893</v>
      </c>
      <c r="G39">
        <f>Portfolio!B$6*'CurrentPor-Rat Factor Movements'!F39</f>
        <v>3696.2945087936532</v>
      </c>
      <c r="H39">
        <f>Portfolio!B$7*'CurrentPor-Rat Factor Movements'!J39</f>
        <v>2148.0998964419859</v>
      </c>
      <c r="I39">
        <f t="shared" si="0"/>
        <v>96493.462882629581</v>
      </c>
      <c r="J39">
        <f t="shared" si="1"/>
        <v>-2.0688404151733266</v>
      </c>
    </row>
    <row r="40" spans="1:10">
      <c r="A40" s="1">
        <v>45525</v>
      </c>
      <c r="B40">
        <f>(3/(1+('CurrentPor-Rat Factor Movements'!C40)/100)+103/POWER(1+('CurrentPor-Rat Factor Movements'!D40)/100,2))*100</f>
        <v>9705.6890819923028</v>
      </c>
      <c r="C40">
        <f>(3/(1+('CurrentPor-Rat Factor Movements'!C40+'CurrentPor-Rat Factor Movements'!G40)/100)+103/POWER(1+('CurrentPor-Rat Factor Movements'!D40+'CurrentPor-Rat Factor Movements'!G40)/100,2))*100</f>
        <v>9613.0980081102734</v>
      </c>
      <c r="D40">
        <f>(3/(1+('CurrentPor-Rat Factor Movements'!C40+'CurrentPor-Rat Factor Movements'!H40)/100)+103/POWER(1+('CurrentPor-Rat Factor Movements'!D40+'CurrentPor-Rat Factor Movements'!H40)/100,2))*100</f>
        <v>9599.3742473779166</v>
      </c>
      <c r="E40">
        <f>(3/(1+('CurrentPor-Rat Factor Movements'!C40+'CurrentPor-Rat Factor Movements'!I40)/100)+103/POWER(1+('CurrentPor-Rat Factor Movements'!D40+'CurrentPor-Rat Factor Movements'!I40)/100,2))*100</f>
        <v>9579.5952229492104</v>
      </c>
      <c r="F40">
        <f>Portfolio!B$5*'CurrentPor-Rat Factor Movements'!E40</f>
        <v>52143.895533915893</v>
      </c>
      <c r="G40">
        <f>Portfolio!B$6*'CurrentPor-Rat Factor Movements'!F40</f>
        <v>3696.2945087936532</v>
      </c>
      <c r="H40">
        <f>Portfolio!B$7*'CurrentPor-Rat Factor Movements'!J40</f>
        <v>2148.0998964419859</v>
      </c>
      <c r="I40">
        <f t="shared" si="0"/>
        <v>96486.046499581236</v>
      </c>
      <c r="J40">
        <f t="shared" si="1"/>
        <v>-2.8141114329046104</v>
      </c>
    </row>
    <row r="41" spans="1:10">
      <c r="A41" s="1">
        <v>45526</v>
      </c>
      <c r="B41">
        <f>(3/(1+('CurrentPor-Rat Factor Movements'!C41)/100)+103/POWER(1+('CurrentPor-Rat Factor Movements'!D41)/100,2))*100</f>
        <v>9706.3809679170627</v>
      </c>
      <c r="C41">
        <f>(3/(1+('CurrentPor-Rat Factor Movements'!C41+'CurrentPor-Rat Factor Movements'!G41)/100)+103/POWER(1+('CurrentPor-Rat Factor Movements'!D41+'CurrentPor-Rat Factor Movements'!G41)/100,2))*100</f>
        <v>9613.7799191947506</v>
      </c>
      <c r="D41">
        <f>(3/(1+('CurrentPor-Rat Factor Movements'!C41+'CurrentPor-Rat Factor Movements'!H41)/100)+103/POWER(1+('CurrentPor-Rat Factor Movements'!D41+'CurrentPor-Rat Factor Movements'!H41)/100,2))*100</f>
        <v>9600.054684155466</v>
      </c>
      <c r="E41">
        <f>(3/(1+('CurrentPor-Rat Factor Movements'!C41+'CurrentPor-Rat Factor Movements'!I41)/100)+103/POWER(1+('CurrentPor-Rat Factor Movements'!D41+'CurrentPor-Rat Factor Movements'!I41)/100,2))*100</f>
        <v>9580.2735368099602</v>
      </c>
      <c r="F41">
        <f>Portfolio!B$5*'CurrentPor-Rat Factor Movements'!E41</f>
        <v>52143.895533915893</v>
      </c>
      <c r="G41">
        <f>Portfolio!B$6*'CurrentPor-Rat Factor Movements'!F41</f>
        <v>3696.2945087936532</v>
      </c>
      <c r="H41">
        <f>Portfolio!B$7*'CurrentPor-Rat Factor Movements'!J41</f>
        <v>2148.0998964419859</v>
      </c>
      <c r="I41">
        <f t="shared" si="0"/>
        <v>96488.779047228774</v>
      </c>
      <c r="J41">
        <f t="shared" si="1"/>
        <v>-3.3637062509660609</v>
      </c>
    </row>
    <row r="42" spans="1:10">
      <c r="A42" s="1">
        <v>45527</v>
      </c>
      <c r="B42">
        <f>(3/(1+('CurrentPor-Rat Factor Movements'!C42)/100)+103/POWER(1+('CurrentPor-Rat Factor Movements'!D42)/100,2))*100</f>
        <v>9707.2055010681288</v>
      </c>
      <c r="C42">
        <f>(3/(1+('CurrentPor-Rat Factor Movements'!C42+'CurrentPor-Rat Factor Movements'!G42)/100)+103/POWER(1+('CurrentPor-Rat Factor Movements'!D42+'CurrentPor-Rat Factor Movements'!G42)/100,2))*100</f>
        <v>9614.5925646766264</v>
      </c>
      <c r="D42">
        <f>(3/(1+('CurrentPor-Rat Factor Movements'!C42+'CurrentPor-Rat Factor Movements'!H42)/100)+103/POWER(1+('CurrentPor-Rat Factor Movements'!D42+'CurrentPor-Rat Factor Movements'!H42)/100,2))*100</f>
        <v>9600.8655726101715</v>
      </c>
      <c r="E42">
        <f>(3/(1+('CurrentPor-Rat Factor Movements'!C42+'CurrentPor-Rat Factor Movements'!I42)/100)+103/POWER(1+('CurrentPor-Rat Factor Movements'!D42+'CurrentPor-Rat Factor Movements'!I42)/100,2))*100</f>
        <v>9581.0818952474183</v>
      </c>
      <c r="F42">
        <f>Portfolio!B$5*'CurrentPor-Rat Factor Movements'!E42</f>
        <v>52143.895533915893</v>
      </c>
      <c r="G42">
        <f>Portfolio!B$6*'CurrentPor-Rat Factor Movements'!F42</f>
        <v>3696.2945087936532</v>
      </c>
      <c r="H42">
        <f>Portfolio!B$7*'CurrentPor-Rat Factor Movements'!J42</f>
        <v>2148.0998964419859</v>
      </c>
      <c r="I42">
        <f t="shared" si="0"/>
        <v>96492.03547275388</v>
      </c>
      <c r="J42">
        <f t="shared" si="1"/>
        <v>-0.70344390568789095</v>
      </c>
    </row>
    <row r="43" spans="1:10">
      <c r="A43" s="1">
        <v>45530</v>
      </c>
      <c r="B43">
        <f>(3/(1+('CurrentPor-Rat Factor Movements'!C43)/100)+103/POWER(1+('CurrentPor-Rat Factor Movements'!D43)/100,2))*100</f>
        <v>9707.0938909141005</v>
      </c>
      <c r="C43">
        <f>(3/(1+('CurrentPor-Rat Factor Movements'!C43+'CurrentPor-Rat Factor Movements'!G43)/100)+103/POWER(1+('CurrentPor-Rat Factor Movements'!D43+'CurrentPor-Rat Factor Movements'!G43)/100,2))*100</f>
        <v>9614.4825636867572</v>
      </c>
      <c r="D43">
        <f>(3/(1+('CurrentPor-Rat Factor Movements'!C43+'CurrentPor-Rat Factor Movements'!H43)/100)+103/POWER(1+('CurrentPor-Rat Factor Movements'!D43+'CurrentPor-Rat Factor Movements'!H43)/100,2))*100</f>
        <v>9600.7558094587348</v>
      </c>
      <c r="E43">
        <f>(3/(1+('CurrentPor-Rat Factor Movements'!C43+'CurrentPor-Rat Factor Movements'!I43)/100)+103/POWER(1+('CurrentPor-Rat Factor Movements'!D43+'CurrentPor-Rat Factor Movements'!I43)/100,2))*100</f>
        <v>9580.9724745695094</v>
      </c>
      <c r="F43">
        <f>Portfolio!B$5*'CurrentPor-Rat Factor Movements'!E43</f>
        <v>52143.895533915893</v>
      </c>
      <c r="G43">
        <f>Portfolio!B$6*'CurrentPor-Rat Factor Movements'!F43</f>
        <v>3696.2945087936532</v>
      </c>
      <c r="H43">
        <f>Portfolio!B$7*'CurrentPor-Rat Factor Movements'!J43</f>
        <v>2148.0998964419859</v>
      </c>
      <c r="I43">
        <f t="shared" si="0"/>
        <v>96491.594677780624</v>
      </c>
      <c r="J43">
        <f t="shared" si="1"/>
        <v>-2.6582686674664728</v>
      </c>
    </row>
    <row r="44" spans="1:10">
      <c r="A44" s="1">
        <v>45531</v>
      </c>
      <c r="B44">
        <f>(3/(1+('CurrentPor-Rat Factor Movements'!C44)/100)+103/POWER(1+('CurrentPor-Rat Factor Movements'!D44)/100,2))*100</f>
        <v>9706.7522960807928</v>
      </c>
      <c r="C44">
        <f>(3/(1+('CurrentPor-Rat Factor Movements'!C44+'CurrentPor-Rat Factor Movements'!G44)/100)+103/POWER(1+('CurrentPor-Rat Factor Movements'!D44+'CurrentPor-Rat Factor Movements'!G44)/100,2))*100</f>
        <v>9614.1458938146989</v>
      </c>
      <c r="D44">
        <f>(3/(1+('CurrentPor-Rat Factor Movements'!C44+'CurrentPor-Rat Factor Movements'!H44)/100)+103/POWER(1+('CurrentPor-Rat Factor Movements'!D44+'CurrentPor-Rat Factor Movements'!H44)/100,2))*100</f>
        <v>9600.4198675081807</v>
      </c>
      <c r="E44">
        <f>(3/(1+('CurrentPor-Rat Factor Movements'!C44+'CurrentPor-Rat Factor Movements'!I44)/100)+103/POWER(1+('CurrentPor-Rat Factor Movements'!D44+'CurrentPor-Rat Factor Movements'!I44)/100,2))*100</f>
        <v>9580.6375807836903</v>
      </c>
      <c r="F44">
        <f>Portfolio!B$5*'CurrentPor-Rat Factor Movements'!E44</f>
        <v>52143.895533915893</v>
      </c>
      <c r="G44">
        <f>Portfolio!B$6*'CurrentPor-Rat Factor Movements'!F44</f>
        <v>3696.2945087936532</v>
      </c>
      <c r="H44">
        <f>Portfolio!B$7*'CurrentPor-Rat Factor Movements'!J44</f>
        <v>2148.0998964419859</v>
      </c>
      <c r="I44">
        <f t="shared" si="0"/>
        <v>96490.245577338894</v>
      </c>
      <c r="J44">
        <f t="shared" si="1"/>
        <v>-2.1711965198919643</v>
      </c>
    </row>
    <row r="45" spans="1:10">
      <c r="A45" s="1">
        <v>45532</v>
      </c>
      <c r="B45">
        <f>(3/(1+('CurrentPor-Rat Factor Movements'!C45)/100)+103/POWER(1+('CurrentPor-Rat Factor Movements'!D45)/100,2))*100</f>
        <v>9708.2580078365845</v>
      </c>
      <c r="C45">
        <f>(3/(1+('CurrentPor-Rat Factor Movements'!C45+'CurrentPor-Rat Factor Movements'!G45)/100)+103/POWER(1+('CurrentPor-Rat Factor Movements'!D45+'CurrentPor-Rat Factor Movements'!G45)/100,2))*100</f>
        <v>9615.6298962355868</v>
      </c>
      <c r="D45">
        <f>(3/(1+('CurrentPor-Rat Factor Movements'!C45+'CurrentPor-Rat Factor Movements'!H45)/100)+103/POWER(1+('CurrentPor-Rat Factor Movements'!D45+'CurrentPor-Rat Factor Movements'!H45)/100,2))*100</f>
        <v>9601.9006612365411</v>
      </c>
      <c r="E45">
        <f>(3/(1+('CurrentPor-Rat Factor Movements'!C45+'CurrentPor-Rat Factor Movements'!I45)/100)+103/POWER(1+('CurrentPor-Rat Factor Movements'!D45+'CurrentPor-Rat Factor Movements'!I45)/100,2))*100</f>
        <v>9582.1137541814533</v>
      </c>
      <c r="F45">
        <f>Portfolio!B$5*'CurrentPor-Rat Factor Movements'!E45</f>
        <v>52143.895533915893</v>
      </c>
      <c r="G45">
        <f>Portfolio!B$6*'CurrentPor-Rat Factor Movements'!F45</f>
        <v>3696.2945087936532</v>
      </c>
      <c r="H45">
        <f>Portfolio!B$7*'CurrentPor-Rat Factor Movements'!J45</f>
        <v>2148.0998964419859</v>
      </c>
      <c r="I45">
        <f t="shared" si="0"/>
        <v>96496.192258641691</v>
      </c>
      <c r="J45">
        <f t="shared" si="1"/>
        <v>12.045731320642517</v>
      </c>
    </row>
    <row r="46" spans="1:10">
      <c r="A46" s="1">
        <v>45533</v>
      </c>
      <c r="B46">
        <f>(3/(1+('CurrentPor-Rat Factor Movements'!C46)/100)+103/POWER(1+('CurrentPor-Rat Factor Movements'!D46)/100,2))*100</f>
        <v>9707.9590078079964</v>
      </c>
      <c r="C46">
        <f>(3/(1+('CurrentPor-Rat Factor Movements'!C46+'CurrentPor-Rat Factor Movements'!G46)/100)+103/POWER(1+('CurrentPor-Rat Factor Movements'!D46+'CurrentPor-Rat Factor Movements'!G46)/100,2))*100</f>
        <v>9615.3352073213282</v>
      </c>
      <c r="D46">
        <f>(3/(1+('CurrentPor-Rat Factor Movements'!C46+'CurrentPor-Rat Factor Movements'!H46)/100)+103/POWER(1+('CurrentPor-Rat Factor Movements'!D46+'CurrentPor-Rat Factor Movements'!H46)/100,2))*100</f>
        <v>9601.6066095152491</v>
      </c>
      <c r="E46">
        <f>(3/(1+('CurrentPor-Rat Factor Movements'!C46+'CurrentPor-Rat Factor Movements'!I46)/100)+103/POWER(1+('CurrentPor-Rat Factor Movements'!D46+'CurrentPor-Rat Factor Movements'!I46)/100,2))*100</f>
        <v>9581.8206199808683</v>
      </c>
      <c r="F46">
        <f>Portfolio!B$5*'CurrentPor-Rat Factor Movements'!E46</f>
        <v>52143.895533915893</v>
      </c>
      <c r="G46">
        <f>Portfolio!B$6*'CurrentPor-Rat Factor Movements'!F46</f>
        <v>3696.2945087936532</v>
      </c>
      <c r="H46">
        <f>Portfolio!B$7*'CurrentPor-Rat Factor Movements'!J46</f>
        <v>2148.0998964419859</v>
      </c>
      <c r="I46">
        <f t="shared" si="0"/>
        <v>96495.011383776975</v>
      </c>
      <c r="J46">
        <f t="shared" si="1"/>
        <v>6.4499346938100643</v>
      </c>
    </row>
    <row r="47" spans="1:10">
      <c r="A47" s="1">
        <v>45534</v>
      </c>
      <c r="B47">
        <f>(3/(1+('CurrentPor-Rat Factor Movements'!C47)/100)+103/POWER(1+('CurrentPor-Rat Factor Movements'!D47)/100,2))*100</f>
        <v>9707.5388200819452</v>
      </c>
      <c r="C47">
        <f>(3/(1+('CurrentPor-Rat Factor Movements'!C47+'CurrentPor-Rat Factor Movements'!G47)/100)+103/POWER(1+('CurrentPor-Rat Factor Movements'!D47+'CurrentPor-Rat Factor Movements'!G47)/100,2))*100</f>
        <v>9614.9210779339592</v>
      </c>
      <c r="D47">
        <f>(3/(1+('CurrentPor-Rat Factor Movements'!C47+'CurrentPor-Rat Factor Movements'!H47)/100)+103/POWER(1+('CurrentPor-Rat Factor Movements'!D47+'CurrentPor-Rat Factor Movements'!H47)/100,2))*100</f>
        <v>9601.1933755649479</v>
      </c>
      <c r="E47">
        <f>(3/(1+('CurrentPor-Rat Factor Movements'!C47+'CurrentPor-Rat Factor Movements'!I47)/100)+103/POWER(1+('CurrentPor-Rat Factor Movements'!D47+'CurrentPor-Rat Factor Movements'!I47)/100,2))*100</f>
        <v>9581.4086754078053</v>
      </c>
      <c r="F47">
        <f>Portfolio!B$5*'CurrentPor-Rat Factor Movements'!E47</f>
        <v>52143.895533915893</v>
      </c>
      <c r="G47">
        <f>Portfolio!B$6*'CurrentPor-Rat Factor Movements'!F47</f>
        <v>3696.2945087936532</v>
      </c>
      <c r="H47">
        <f>Portfolio!B$7*'CurrentPor-Rat Factor Movements'!J47</f>
        <v>2148.0998964419859</v>
      </c>
      <c r="I47">
        <f t="shared" si="0"/>
        <v>96493.351888140183</v>
      </c>
      <c r="J47">
        <f t="shared" si="1"/>
        <v>9.0948032501037233</v>
      </c>
    </row>
    <row r="48" spans="1:10">
      <c r="A48" s="1">
        <v>45537</v>
      </c>
      <c r="B48">
        <f>(3/(1+('CurrentPor-Rat Factor Movements'!C48)/100)+103/POWER(1+('CurrentPor-Rat Factor Movements'!D48)/100,2))*100</f>
        <v>9706.3902971165498</v>
      </c>
      <c r="C48">
        <f>(3/(1+('CurrentPor-Rat Factor Movements'!C48+'CurrentPor-Rat Factor Movements'!G48)/100)+103/POWER(1+('CurrentPor-Rat Factor Movements'!D48+'CurrentPor-Rat Factor Movements'!G48)/100,2))*100</f>
        <v>9613.7891138937848</v>
      </c>
      <c r="D48">
        <f>(3/(1+('CurrentPor-Rat Factor Movements'!C48+'CurrentPor-Rat Factor Movements'!H48)/100)+103/POWER(1+('CurrentPor-Rat Factor Movements'!D48+'CurrentPor-Rat Factor Movements'!H48)/100,2))*100</f>
        <v>9600.0638589749851</v>
      </c>
      <c r="E48">
        <f>(3/(1+('CurrentPor-Rat Factor Movements'!C48+'CurrentPor-Rat Factor Movements'!I48)/100)+103/POWER(1+('CurrentPor-Rat Factor Movements'!D48+'CurrentPor-Rat Factor Movements'!I48)/100,2))*100</f>
        <v>9580.2826830041395</v>
      </c>
      <c r="F48">
        <f>Portfolio!B$5*'CurrentPor-Rat Factor Movements'!E48</f>
        <v>52143.895533915893</v>
      </c>
      <c r="G48">
        <f>Portfolio!B$6*'CurrentPor-Rat Factor Movements'!F48</f>
        <v>3696.2945087936532</v>
      </c>
      <c r="H48">
        <f>Portfolio!B$7*'CurrentPor-Rat Factor Movements'!J48</f>
        <v>2148.0998964419859</v>
      </c>
      <c r="I48">
        <f t="shared" si="0"/>
        <v>96488.815892140992</v>
      </c>
      <c r="J48">
        <f t="shared" si="1"/>
        <v>-0.6969626287027495</v>
      </c>
    </row>
    <row r="49" spans="1:10">
      <c r="A49" s="1">
        <v>45538</v>
      </c>
      <c r="B49">
        <f>(3/(1+('CurrentPor-Rat Factor Movements'!C49)/100)+103/POWER(1+('CurrentPor-Rat Factor Movements'!D49)/100,2))*100</f>
        <v>9707.1502440868317</v>
      </c>
      <c r="C49">
        <f>(3/(1+('CurrentPor-Rat Factor Movements'!C49+'CurrentPor-Rat Factor Movements'!G49)/100)+103/POWER(1+('CurrentPor-Rat Factor Movements'!D49+'CurrentPor-Rat Factor Movements'!G49)/100,2))*100</f>
        <v>9614.5381043762791</v>
      </c>
      <c r="D49">
        <f>(3/(1+('CurrentPor-Rat Factor Movements'!C49+'CurrentPor-Rat Factor Movements'!H49)/100)+103/POWER(1+('CurrentPor-Rat Factor Movements'!D49+'CurrentPor-Rat Factor Movements'!H49)/100,2))*100</f>
        <v>9600.8112300612374</v>
      </c>
      <c r="E49">
        <f>(3/(1+('CurrentPor-Rat Factor Movements'!C49+'CurrentPor-Rat Factor Movements'!I49)/100)+103/POWER(1+('CurrentPor-Rat Factor Movements'!D49+'CurrentPor-Rat Factor Movements'!I49)/100,2))*100</f>
        <v>9581.0277222536733</v>
      </c>
      <c r="F49">
        <f>Portfolio!B$5*'CurrentPor-Rat Factor Movements'!E49</f>
        <v>52143.895533915893</v>
      </c>
      <c r="G49">
        <f>Portfolio!B$6*'CurrentPor-Rat Factor Movements'!F49</f>
        <v>3696.2945087936532</v>
      </c>
      <c r="H49">
        <f>Portfolio!B$7*'CurrentPor-Rat Factor Movements'!J49</f>
        <v>2148.0998964419859</v>
      </c>
      <c r="I49">
        <f t="shared" si="0"/>
        <v>96491.817239929558</v>
      </c>
      <c r="J49">
        <f t="shared" si="1"/>
        <v>-1.6456427000230178</v>
      </c>
    </row>
    <row r="50" spans="1:10">
      <c r="A50" s="1">
        <v>45539</v>
      </c>
      <c r="B50">
        <f>(3/(1+('CurrentPor-Rat Factor Movements'!C50)/100)+103/POWER(1+('CurrentPor-Rat Factor Movements'!D50)/100,2))*100</f>
        <v>9705.814713907941</v>
      </c>
      <c r="C50">
        <f>(3/(1+('CurrentPor-Rat Factor Movements'!C50+'CurrentPor-Rat Factor Movements'!G50)/100)+103/POWER(1+('CurrentPor-Rat Factor Movements'!D50+'CurrentPor-Rat Factor Movements'!G50)/100,2))*100</f>
        <v>9613.2218288316308</v>
      </c>
      <c r="D50">
        <f>(3/(1+('CurrentPor-Rat Factor Movements'!C50+'CurrentPor-Rat Factor Movements'!H50)/100)+103/POWER(1+('CurrentPor-Rat Factor Movements'!D50+'CurrentPor-Rat Factor Movements'!H50)/100,2))*100</f>
        <v>9599.4978004000768</v>
      </c>
      <c r="E50">
        <f>(3/(1+('CurrentPor-Rat Factor Movements'!C50+'CurrentPor-Rat Factor Movements'!I50)/100)+103/POWER(1+('CurrentPor-Rat Factor Movements'!D50+'CurrentPor-Rat Factor Movements'!I50)/100,2))*100</f>
        <v>9579.7183904999765</v>
      </c>
      <c r="F50">
        <f>Portfolio!B$5*'CurrentPor-Rat Factor Movements'!E50</f>
        <v>52143.895533915893</v>
      </c>
      <c r="G50">
        <f>Portfolio!B$6*'CurrentPor-Rat Factor Movements'!F50</f>
        <v>3696.2945087936532</v>
      </c>
      <c r="H50">
        <f>Portfolio!B$7*'CurrentPor-Rat Factor Movements'!J50</f>
        <v>2148.0998964419859</v>
      </c>
      <c r="I50">
        <f t="shared" si="0"/>
        <v>96486.542672791154</v>
      </c>
      <c r="J50">
        <f t="shared" si="1"/>
        <v>0.49617320991819724</v>
      </c>
    </row>
    <row r="51" spans="1:10">
      <c r="A51" s="1">
        <v>45540</v>
      </c>
      <c r="B51">
        <f>(3/(1+('CurrentPor-Rat Factor Movements'!C51)/100)+103/POWER(1+('CurrentPor-Rat Factor Movements'!D51)/100,2))*100</f>
        <v>9707.5139483791427</v>
      </c>
      <c r="C51">
        <f>(3/(1+('CurrentPor-Rat Factor Movements'!C51+'CurrentPor-Rat Factor Movements'!G51)/100)+103/POWER(1+('CurrentPor-Rat Factor Movements'!D51+'CurrentPor-Rat Factor Movements'!G51)/100,2))*100</f>
        <v>9614.8965648314734</v>
      </c>
      <c r="D51">
        <f>(3/(1+('CurrentPor-Rat Factor Movements'!C51+'CurrentPor-Rat Factor Movements'!H51)/100)+103/POWER(1+('CurrentPor-Rat Factor Movements'!D51+'CurrentPor-Rat Factor Movements'!H51)/100,2))*100</f>
        <v>9601.1689154644664</v>
      </c>
      <c r="E51">
        <f>(3/(1+('CurrentPor-Rat Factor Movements'!C51+'CurrentPor-Rat Factor Movements'!I51)/100)+103/POWER(1+('CurrentPor-Rat Factor Movements'!D51+'CurrentPor-Rat Factor Movements'!I51)/100,2))*100</f>
        <v>9581.3842916271205</v>
      </c>
      <c r="F51">
        <f>Portfolio!B$5*'CurrentPor-Rat Factor Movements'!E51</f>
        <v>52143.895533915893</v>
      </c>
      <c r="G51">
        <f>Portfolio!B$6*'CurrentPor-Rat Factor Movements'!F51</f>
        <v>3696.2945087936532</v>
      </c>
      <c r="H51">
        <f>Portfolio!B$7*'CurrentPor-Rat Factor Movements'!J51</f>
        <v>2148.0998964419859</v>
      </c>
      <c r="I51">
        <f t="shared" si="0"/>
        <v>96493.253659453723</v>
      </c>
      <c r="J51">
        <f t="shared" si="1"/>
        <v>4.4746122249489417</v>
      </c>
    </row>
    <row r="52" spans="1:10">
      <c r="A52" s="1">
        <v>45541</v>
      </c>
      <c r="B52">
        <f>(3/(1+('CurrentPor-Rat Factor Movements'!C52)/100)+103/POWER(1+('CurrentPor-Rat Factor Movements'!D52)/100,2))*100</f>
        <v>9706.3258806102112</v>
      </c>
      <c r="C52">
        <f>(3/(1+('CurrentPor-Rat Factor Movements'!C52+'CurrentPor-Rat Factor Movements'!G52)/100)+103/POWER(1+('CurrentPor-Rat Factor Movements'!D52+'CurrentPor-Rat Factor Movements'!G52)/100,2))*100</f>
        <v>9613.725626088466</v>
      </c>
      <c r="D52">
        <f>(3/(1+('CurrentPor-Rat Factor Movements'!C52+'CurrentPor-Rat Factor Movements'!H52)/100)+103/POWER(1+('CurrentPor-Rat Factor Movements'!D52+'CurrentPor-Rat Factor Movements'!H52)/100,2))*100</f>
        <v>9600.0005084340319</v>
      </c>
      <c r="E52">
        <f>(3/(1+('CurrentPor-Rat Factor Movements'!C52+'CurrentPor-Rat Factor Movements'!I52)/100)+103/POWER(1+('CurrentPor-Rat Factor Movements'!D52+'CurrentPor-Rat Factor Movements'!I52)/100,2))*100</f>
        <v>9580.2195301159263</v>
      </c>
      <c r="F52">
        <f>Portfolio!B$5*'CurrentPor-Rat Factor Movements'!E52</f>
        <v>52143.895533915893</v>
      </c>
      <c r="G52">
        <f>Portfolio!B$6*'CurrentPor-Rat Factor Movements'!F52</f>
        <v>3696.2945087936532</v>
      </c>
      <c r="H52">
        <f>Portfolio!B$7*'CurrentPor-Rat Factor Movements'!J52</f>
        <v>2148.0998964419859</v>
      </c>
      <c r="I52">
        <f t="shared" si="0"/>
        <v>96488.561484400168</v>
      </c>
      <c r="J52">
        <f t="shared" si="1"/>
        <v>-3.4739883537113201</v>
      </c>
    </row>
    <row r="53" spans="1:10">
      <c r="A53" s="1">
        <v>45544</v>
      </c>
      <c r="B53">
        <f>(3/(1+('CurrentPor-Rat Factor Movements'!C53)/100)+103/POWER(1+('CurrentPor-Rat Factor Movements'!D53)/100,2))*100</f>
        <v>9705.7013626677326</v>
      </c>
      <c r="C53">
        <f>(3/(1+('CurrentPor-Rat Factor Movements'!C53+'CurrentPor-Rat Factor Movements'!G53)/100)+103/POWER(1+('CurrentPor-Rat Factor Movements'!D53+'CurrentPor-Rat Factor Movements'!G53)/100,2))*100</f>
        <v>9613.1101117397448</v>
      </c>
      <c r="D53">
        <f>(3/(1+('CurrentPor-Rat Factor Movements'!C53+'CurrentPor-Rat Factor Movements'!H53)/100)+103/POWER(1+('CurrentPor-Rat Factor Movements'!D53+'CurrentPor-Rat Factor Movements'!H53)/100,2))*100</f>
        <v>9599.3863248395301</v>
      </c>
      <c r="E53">
        <f>(3/(1+('CurrentPor-Rat Factor Movements'!C53+'CurrentPor-Rat Factor Movements'!I53)/100)+103/POWER(1+('CurrentPor-Rat Factor Movements'!D53+'CurrentPor-Rat Factor Movements'!I53)/100,2))*100</f>
        <v>9579.6072627306276</v>
      </c>
      <c r="F53">
        <f>Portfolio!B$5*'CurrentPor-Rat Factor Movements'!E53</f>
        <v>52143.895533915893</v>
      </c>
      <c r="G53">
        <f>Portfolio!B$6*'CurrentPor-Rat Factor Movements'!F53</f>
        <v>3696.2945087936532</v>
      </c>
      <c r="H53">
        <f>Portfolio!B$7*'CurrentPor-Rat Factor Movements'!J53</f>
        <v>2148.0998964419859</v>
      </c>
      <c r="I53">
        <f t="shared" si="0"/>
        <v>96486.095001129157</v>
      </c>
      <c r="J53">
        <f t="shared" si="1"/>
        <v>-5.4996766514668707</v>
      </c>
    </row>
    <row r="54" spans="1:10">
      <c r="A54" s="1">
        <v>45545</v>
      </c>
      <c r="B54">
        <f>(3/(1+('CurrentPor-Rat Factor Movements'!C54)/100)+103/POWER(1+('CurrentPor-Rat Factor Movements'!D54)/100,2))*100</f>
        <v>9708.3879134801427</v>
      </c>
      <c r="C54">
        <f>(3/(1+('CurrentPor-Rat Factor Movements'!C54+'CurrentPor-Rat Factor Movements'!G54)/100)+103/POWER(1+('CurrentPor-Rat Factor Movements'!D54+'CurrentPor-Rat Factor Movements'!G54)/100,2))*100</f>
        <v>9615.7579288213565</v>
      </c>
      <c r="D54">
        <f>(3/(1+('CurrentPor-Rat Factor Movements'!C54+'CurrentPor-Rat Factor Movements'!H54)/100)+103/POWER(1+('CurrentPor-Rat Factor Movements'!D54+'CurrentPor-Rat Factor Movements'!H54)/100,2))*100</f>
        <v>9602.0284169799488</v>
      </c>
      <c r="E54">
        <f>(3/(1+('CurrentPor-Rat Factor Movements'!C54+'CurrentPor-Rat Factor Movements'!I54)/100)+103/POWER(1+('CurrentPor-Rat Factor Movements'!D54+'CurrentPor-Rat Factor Movements'!I54)/100,2))*100</f>
        <v>9582.2411112880181</v>
      </c>
      <c r="F54">
        <f>Portfolio!B$5*'CurrentPor-Rat Factor Movements'!E54</f>
        <v>52143.895533915893</v>
      </c>
      <c r="G54">
        <f>Portfolio!B$6*'CurrentPor-Rat Factor Movements'!F54</f>
        <v>3696.2945087936532</v>
      </c>
      <c r="H54">
        <f>Portfolio!B$7*'CurrentPor-Rat Factor Movements'!J54</f>
        <v>2148.0998964419859</v>
      </c>
      <c r="I54">
        <f t="shared" si="0"/>
        <v>96496.705309720986</v>
      </c>
      <c r="J54">
        <f t="shared" si="1"/>
        <v>6.4597323820926249</v>
      </c>
    </row>
    <row r="55" spans="1:10">
      <c r="A55" s="1">
        <v>45546</v>
      </c>
      <c r="B55">
        <f>(3/(1+('CurrentPor-Rat Factor Movements'!C55)/100)+103/POWER(1+('CurrentPor-Rat Factor Movements'!D55)/100,2))*100</f>
        <v>9707.9211561310185</v>
      </c>
      <c r="C55">
        <f>(3/(1+('CurrentPor-Rat Factor Movements'!C55+'CurrentPor-Rat Factor Movements'!G55)/100)+103/POWER(1+('CurrentPor-Rat Factor Movements'!D55+'CurrentPor-Rat Factor Movements'!G55)/100,2))*100</f>
        <v>9615.2979014017455</v>
      </c>
      <c r="D55">
        <f>(3/(1+('CurrentPor-Rat Factor Movements'!C55+'CurrentPor-Rat Factor Movements'!H55)/100)+103/POWER(1+('CurrentPor-Rat Factor Movements'!D55+'CurrentPor-Rat Factor Movements'!H55)/100,2))*100</f>
        <v>9601.5693842599194</v>
      </c>
      <c r="E55">
        <f>(3/(1+('CurrentPor-Rat Factor Movements'!C55+'CurrentPor-Rat Factor Movements'!I55)/100)+103/POWER(1+('CurrentPor-Rat Factor Movements'!D55+'CurrentPor-Rat Factor Movements'!I55)/100,2))*100</f>
        <v>9581.7835108773561</v>
      </c>
      <c r="F55">
        <f>Portfolio!B$5*'CurrentPor-Rat Factor Movements'!E55</f>
        <v>52143.895533915893</v>
      </c>
      <c r="G55">
        <f>Portfolio!B$6*'CurrentPor-Rat Factor Movements'!F55</f>
        <v>3696.2945087936532</v>
      </c>
      <c r="H55">
        <f>Portfolio!B$7*'CurrentPor-Rat Factor Movements'!J55</f>
        <v>2148.0998964419859</v>
      </c>
      <c r="I55">
        <f t="shared" si="0"/>
        <v>96494.861891821565</v>
      </c>
      <c r="J55">
        <f t="shared" si="1"/>
        <v>-1.3303668201260734</v>
      </c>
    </row>
    <row r="56" spans="1:10">
      <c r="A56" s="1">
        <v>45547</v>
      </c>
      <c r="B56">
        <f>(3/(1+('CurrentPor-Rat Factor Movements'!C56)/100)+103/POWER(1+('CurrentPor-Rat Factor Movements'!D56)/100,2))*100</f>
        <v>9706.9233817380355</v>
      </c>
      <c r="C56">
        <f>(3/(1+('CurrentPor-Rat Factor Movements'!C56+'CurrentPor-Rat Factor Movements'!G56)/100)+103/POWER(1+('CurrentPor-Rat Factor Movements'!D56+'CurrentPor-Rat Factor Movements'!G56)/100,2))*100</f>
        <v>9614.3145128465385</v>
      </c>
      <c r="D56">
        <f>(3/(1+('CurrentPor-Rat Factor Movements'!C56+'CurrentPor-Rat Factor Movements'!H56)/100)+103/POWER(1+('CurrentPor-Rat Factor Movements'!D56+'CurrentPor-Rat Factor Movements'!H56)/100,2))*100</f>
        <v>9600.5881219666389</v>
      </c>
      <c r="E56">
        <f>(3/(1+('CurrentPor-Rat Factor Movements'!C56+'CurrentPor-Rat Factor Movements'!I56)/100)+103/POWER(1+('CurrentPor-Rat Factor Movements'!D56+'CurrentPor-Rat Factor Movements'!I56)/100,2))*100</f>
        <v>9580.8053102776266</v>
      </c>
      <c r="F56">
        <f>Portfolio!B$5*'CurrentPor-Rat Factor Movements'!E56</f>
        <v>52143.895533915893</v>
      </c>
      <c r="G56">
        <f>Portfolio!B$6*'CurrentPor-Rat Factor Movements'!F56</f>
        <v>3696.2945087936532</v>
      </c>
      <c r="H56">
        <f>Portfolio!B$7*'CurrentPor-Rat Factor Movements'!J56</f>
        <v>2148.0998964419859</v>
      </c>
      <c r="I56">
        <f t="shared" si="0"/>
        <v>96490.92126598036</v>
      </c>
      <c r="J56">
        <f t="shared" si="1"/>
        <v>-4.0901177966152318</v>
      </c>
    </row>
    <row r="57" spans="1:10">
      <c r="A57" s="1">
        <v>45548</v>
      </c>
      <c r="B57">
        <f>(3/(1+('CurrentPor-Rat Factor Movements'!C57)/100)+103/POWER(1+('CurrentPor-Rat Factor Movements'!D57)/100,2))*100</f>
        <v>9706.6996000382824</v>
      </c>
      <c r="C57">
        <f>(3/(1+('CurrentPor-Rat Factor Movements'!C57+'CurrentPor-Rat Factor Movements'!G57)/100)+103/POWER(1+('CurrentPor-Rat Factor Movements'!D57+'CurrentPor-Rat Factor Movements'!G57)/100,2))*100</f>
        <v>9614.0939575123248</v>
      </c>
      <c r="D57">
        <f>(3/(1+('CurrentPor-Rat Factor Movements'!C57+'CurrentPor-Rat Factor Movements'!H57)/100)+103/POWER(1+('CurrentPor-Rat Factor Movements'!D57+'CurrentPor-Rat Factor Movements'!H57)/100,2))*100</f>
        <v>9600.3680434972957</v>
      </c>
      <c r="E57">
        <f>(3/(1+('CurrentPor-Rat Factor Movements'!C57+'CurrentPor-Rat Factor Movements'!I57)/100)+103/POWER(1+('CurrentPor-Rat Factor Movements'!D57+'CurrentPor-Rat Factor Movements'!I57)/100,2))*100</f>
        <v>9580.5859184660494</v>
      </c>
      <c r="F57">
        <f>Portfolio!B$5*'CurrentPor-Rat Factor Movements'!E57</f>
        <v>52143.895533915893</v>
      </c>
      <c r="G57">
        <f>Portfolio!B$6*'CurrentPor-Rat Factor Movements'!F57</f>
        <v>3696.2945087936532</v>
      </c>
      <c r="H57">
        <f>Portfolio!B$7*'CurrentPor-Rat Factor Movements'!J57</f>
        <v>2148.0998964419859</v>
      </c>
      <c r="I57">
        <f t="shared" si="0"/>
        <v>96490.03745866548</v>
      </c>
      <c r="J57">
        <f t="shared" si="1"/>
        <v>-3.3144294747035019</v>
      </c>
    </row>
    <row r="58" spans="1:10">
      <c r="A58" s="1">
        <v>45551</v>
      </c>
      <c r="B58">
        <f>(3/(1+('CurrentPor-Rat Factor Movements'!C58)/100)+103/POWER(1+('CurrentPor-Rat Factor Movements'!D58)/100,2))*100</f>
        <v>9707.312393201626</v>
      </c>
      <c r="C58">
        <f>(3/(1+('CurrentPor-Rat Factor Movements'!C58+'CurrentPor-Rat Factor Movements'!G58)/100)+103/POWER(1+('CurrentPor-Rat Factor Movements'!D58+'CurrentPor-Rat Factor Movements'!G58)/100,2))*100</f>
        <v>9614.6979156602993</v>
      </c>
      <c r="D58">
        <f>(3/(1+('CurrentPor-Rat Factor Movements'!C58+'CurrentPor-Rat Factor Movements'!H58)/100)+103/POWER(1+('CurrentPor-Rat Factor Movements'!D58+'CurrentPor-Rat Factor Movements'!H58)/100,2))*100</f>
        <v>9600.970695808126</v>
      </c>
      <c r="E58">
        <f>(3/(1+('CurrentPor-Rat Factor Movements'!C58+'CurrentPor-Rat Factor Movements'!I58)/100)+103/POWER(1+('CurrentPor-Rat Factor Movements'!D58+'CurrentPor-Rat Factor Movements'!I58)/100,2))*100</f>
        <v>9581.1866904471608</v>
      </c>
      <c r="F58">
        <f>Portfolio!B$5*'CurrentPor-Rat Factor Movements'!E58</f>
        <v>52143.895533915893</v>
      </c>
      <c r="G58">
        <f>Portfolio!B$6*'CurrentPor-Rat Factor Movements'!F58</f>
        <v>3696.2945087936532</v>
      </c>
      <c r="H58">
        <f>Portfolio!B$7*'CurrentPor-Rat Factor Movements'!J58</f>
        <v>2148.0998964419859</v>
      </c>
      <c r="I58">
        <f t="shared" si="0"/>
        <v>96492.457634268751</v>
      </c>
      <c r="J58">
        <f t="shared" si="1"/>
        <v>3.6417421277583344</v>
      </c>
    </row>
    <row r="59" spans="1:10">
      <c r="A59" s="1">
        <v>45552</v>
      </c>
      <c r="B59">
        <f>(3/(1+('CurrentPor-Rat Factor Movements'!C59)/100)+103/POWER(1+('CurrentPor-Rat Factor Movements'!D59)/100,2))*100</f>
        <v>9708.0886546015572</v>
      </c>
      <c r="C59">
        <f>(3/(1+('CurrentPor-Rat Factor Movements'!C59+'CurrentPor-Rat Factor Movements'!G59)/100)+103/POWER(1+('CurrentPor-Rat Factor Movements'!D59+'CurrentPor-Rat Factor Movements'!G59)/100,2))*100</f>
        <v>9615.4629848184522</v>
      </c>
      <c r="D59">
        <f>(3/(1+('CurrentPor-Rat Factor Movements'!C59+'CurrentPor-Rat Factor Movements'!H59)/100)+103/POWER(1+('CurrentPor-Rat Factor Movements'!D59+'CurrentPor-Rat Factor Movements'!H59)/100,2))*100</f>
        <v>9601.7341107258981</v>
      </c>
      <c r="E59">
        <f>(3/(1+('CurrentPor-Rat Factor Movements'!C59+'CurrentPor-Rat Factor Movements'!I59)/100)+103/POWER(1+('CurrentPor-Rat Factor Movements'!D59+'CurrentPor-Rat Factor Movements'!I59)/100,2))*100</f>
        <v>9581.9477233550933</v>
      </c>
      <c r="F59">
        <f>Portfolio!B$5*'CurrentPor-Rat Factor Movements'!E59</f>
        <v>52143.895533915893</v>
      </c>
      <c r="G59">
        <f>Portfolio!B$6*'CurrentPor-Rat Factor Movements'!F59</f>
        <v>3696.2945087936532</v>
      </c>
      <c r="H59">
        <f>Portfolio!B$7*'CurrentPor-Rat Factor Movements'!J59</f>
        <v>2148.0998964419859</v>
      </c>
      <c r="I59">
        <f t="shared" si="0"/>
        <v>96495.523412652532</v>
      </c>
      <c r="J59">
        <f t="shared" si="1"/>
        <v>3.7061727229738608</v>
      </c>
    </row>
    <row r="60" spans="1:10">
      <c r="A60" s="1">
        <v>45553</v>
      </c>
      <c r="B60">
        <f>(3/(1+('CurrentPor-Rat Factor Movements'!C60)/100)+103/POWER(1+('CurrentPor-Rat Factor Movements'!D60)/100,2))*100</f>
        <v>9707.5164895715516</v>
      </c>
      <c r="C60">
        <f>(3/(1+('CurrentPor-Rat Factor Movements'!C60+'CurrentPor-Rat Factor Movements'!G60)/100)+103/POWER(1+('CurrentPor-Rat Factor Movements'!D60+'CurrentPor-Rat Factor Movements'!G60)/100,2))*100</f>
        <v>9614.8990693849792</v>
      </c>
      <c r="D60">
        <f>(3/(1+('CurrentPor-Rat Factor Movements'!C60+'CurrentPor-Rat Factor Movements'!H60)/100)+103/POWER(1+('CurrentPor-Rat Factor Movements'!D60+'CurrentPor-Rat Factor Movements'!H60)/100,2))*100</f>
        <v>9601.1714146026497</v>
      </c>
      <c r="E60">
        <f>(3/(1+('CurrentPor-Rat Factor Movements'!C60+'CurrentPor-Rat Factor Movements'!I60)/100)+103/POWER(1+('CurrentPor-Rat Factor Movements'!D60+'CurrentPor-Rat Factor Movements'!I60)/100,2))*100</f>
        <v>9581.3867829675637</v>
      </c>
      <c r="F60">
        <f>Portfolio!B$5*'CurrentPor-Rat Factor Movements'!E60</f>
        <v>52143.895533915893</v>
      </c>
      <c r="G60">
        <f>Portfolio!B$6*'CurrentPor-Rat Factor Movements'!F60</f>
        <v>3696.2945087936532</v>
      </c>
      <c r="H60">
        <f>Portfolio!B$7*'CurrentPor-Rat Factor Movements'!J60</f>
        <v>2148.0998964419859</v>
      </c>
      <c r="I60">
        <f t="shared" si="0"/>
        <v>96493.263695678281</v>
      </c>
      <c r="J60">
        <f t="shared" si="1"/>
        <v>6.7210228871263098</v>
      </c>
    </row>
    <row r="61" spans="1:10">
      <c r="A61" s="1">
        <v>45554</v>
      </c>
      <c r="B61">
        <f>(3/(1+('CurrentPor-Rat Factor Movements'!C61)/100)+103/POWER(1+('CurrentPor-Rat Factor Movements'!D61)/100,2))*100</f>
        <v>9706.4253061503005</v>
      </c>
      <c r="C61">
        <f>(3/(1+('CurrentPor-Rat Factor Movements'!C61+'CurrentPor-Rat Factor Movements'!G61)/100)+103/POWER(1+('CurrentPor-Rat Factor Movements'!D61+'CurrentPor-Rat Factor Movements'!G61)/100,2))*100</f>
        <v>9613.823618196504</v>
      </c>
      <c r="D61">
        <f>(3/(1+('CurrentPor-Rat Factor Movements'!C61+'CurrentPor-Rat Factor Movements'!H61)/100)+103/POWER(1+('CurrentPor-Rat Factor Movements'!D61+'CurrentPor-Rat Factor Movements'!H61)/100,2))*100</f>
        <v>9600.0982886771872</v>
      </c>
      <c r="E61">
        <f>(3/(1+('CurrentPor-Rat Factor Movements'!C61+'CurrentPor-Rat Factor Movements'!I61)/100)+103/POWER(1+('CurrentPor-Rat Factor Movements'!D61+'CurrentPor-Rat Factor Movements'!I61)/100,2))*100</f>
        <v>9580.3170052859095</v>
      </c>
      <c r="F61">
        <f>Portfolio!B$5*'CurrentPor-Rat Factor Movements'!E61</f>
        <v>52143.895533915893</v>
      </c>
      <c r="G61">
        <f>Portfolio!B$6*'CurrentPor-Rat Factor Movements'!F61</f>
        <v>3696.2945087936532</v>
      </c>
      <c r="H61">
        <f>Portfolio!B$7*'CurrentPor-Rat Factor Movements'!J61</f>
        <v>2148.0998964419859</v>
      </c>
      <c r="I61">
        <f t="shared" si="0"/>
        <v>96488.954157461427</v>
      </c>
      <c r="J61">
        <f t="shared" si="1"/>
        <v>-4.2995019922964275</v>
      </c>
    </row>
    <row r="62" spans="1:10">
      <c r="A62" s="1">
        <v>45555</v>
      </c>
      <c r="B62">
        <f>(3/(1+('CurrentPor-Rat Factor Movements'!C62)/100)+103/POWER(1+('CurrentPor-Rat Factor Movements'!D62)/100,2))*100</f>
        <v>9707.4990975426863</v>
      </c>
      <c r="C62">
        <f>(3/(1+('CurrentPor-Rat Factor Movements'!C62+'CurrentPor-Rat Factor Movements'!G62)/100)+103/POWER(1+('CurrentPor-Rat Factor Movements'!D62+'CurrentPor-Rat Factor Movements'!G62)/100,2))*100</f>
        <v>9614.8819281142278</v>
      </c>
      <c r="D62">
        <f>(3/(1+('CurrentPor-Rat Factor Movements'!C62+'CurrentPor-Rat Factor Movements'!H62)/100)+103/POWER(1+('CurrentPor-Rat Factor Movements'!D62+'CurrentPor-Rat Factor Movements'!H62)/100,2))*100</f>
        <v>9601.1543103945569</v>
      </c>
      <c r="E62">
        <f>(3/(1+('CurrentPor-Rat Factor Movements'!C62+'CurrentPor-Rat Factor Movements'!I62)/100)+103/POWER(1+('CurrentPor-Rat Factor Movements'!D62+'CurrentPor-Rat Factor Movements'!I62)/100,2))*100</f>
        <v>9581.3697321275376</v>
      </c>
      <c r="F62">
        <f>Portfolio!B$5*'CurrentPor-Rat Factor Movements'!E62</f>
        <v>52143.895533915893</v>
      </c>
      <c r="G62">
        <f>Portfolio!B$6*'CurrentPor-Rat Factor Movements'!F62</f>
        <v>3696.2945087936532</v>
      </c>
      <c r="H62">
        <f>Portfolio!B$7*'CurrentPor-Rat Factor Movements'!J62</f>
        <v>2148.0998964419859</v>
      </c>
      <c r="I62">
        <f t="shared" si="0"/>
        <v>96493.195007330549</v>
      </c>
      <c r="J62">
        <f t="shared" si="1"/>
        <v>4.6335229303804226</v>
      </c>
    </row>
    <row r="63" spans="1:10">
      <c r="A63" s="1">
        <v>45558</v>
      </c>
      <c r="B63">
        <f>(3/(1+('CurrentPor-Rat Factor Movements'!C63)/100)+103/POWER(1+('CurrentPor-Rat Factor Movements'!D63)/100,2))*100</f>
        <v>9705.5584843202196</v>
      </c>
      <c r="C63">
        <f>(3/(1+('CurrentPor-Rat Factor Movements'!C63+'CurrentPor-Rat Factor Movements'!G63)/100)+103/POWER(1+('CurrentPor-Rat Factor Movements'!D63+'CurrentPor-Rat Factor Movements'!G63)/100,2))*100</f>
        <v>9612.9692932096077</v>
      </c>
      <c r="D63">
        <f>(3/(1+('CurrentPor-Rat Factor Movements'!C63+'CurrentPor-Rat Factor Movements'!H63)/100)+103/POWER(1+('CurrentPor-Rat Factor Movements'!D63+'CurrentPor-Rat Factor Movements'!H63)/100,2))*100</f>
        <v>9599.2458107557468</v>
      </c>
      <c r="E63">
        <f>(3/(1+('CurrentPor-Rat Factor Movements'!C63+'CurrentPor-Rat Factor Movements'!I63)/100)+103/POWER(1+('CurrentPor-Rat Factor Movements'!D63+'CurrentPor-Rat Factor Movements'!I63)/100,2))*100</f>
        <v>9579.4671870320381</v>
      </c>
      <c r="F63">
        <f>Portfolio!B$5*'CurrentPor-Rat Factor Movements'!E63</f>
        <v>52143.895533915893</v>
      </c>
      <c r="G63">
        <f>Portfolio!B$6*'CurrentPor-Rat Factor Movements'!F63</f>
        <v>3696.2945087936532</v>
      </c>
      <c r="H63">
        <f>Portfolio!B$7*'CurrentPor-Rat Factor Movements'!J63</f>
        <v>2148.0998964419859</v>
      </c>
      <c r="I63">
        <f t="shared" si="0"/>
        <v>96485.530714469132</v>
      </c>
      <c r="J63">
        <f t="shared" si="1"/>
        <v>-0.56428666002466343</v>
      </c>
    </row>
    <row r="64" spans="1:10">
      <c r="A64" s="1">
        <v>45559</v>
      </c>
      <c r="B64">
        <f>(3/(1+('CurrentPor-Rat Factor Movements'!C64)/100)+103/POWER(1+('CurrentPor-Rat Factor Movements'!D64)/100,2))*100</f>
        <v>9706.8456922385303</v>
      </c>
      <c r="C64">
        <f>(3/(1+('CurrentPor-Rat Factor Movements'!C64+'CurrentPor-Rat Factor Movements'!G64)/100)+103/POWER(1+('CurrentPor-Rat Factor Movements'!D64+'CurrentPor-Rat Factor Movements'!G64)/100,2))*100</f>
        <v>9614.2379434371796</v>
      </c>
      <c r="D64">
        <f>(3/(1+('CurrentPor-Rat Factor Movements'!C64+'CurrentPor-Rat Factor Movements'!H64)/100)+103/POWER(1+('CurrentPor-Rat Factor Movements'!D64+'CurrentPor-Rat Factor Movements'!H64)/100,2))*100</f>
        <v>9600.5117181093883</v>
      </c>
      <c r="E64">
        <f>(3/(1+('CurrentPor-Rat Factor Movements'!C64+'CurrentPor-Rat Factor Movements'!I64)/100)+103/POWER(1+('CurrentPor-Rat Factor Movements'!D64+'CurrentPor-Rat Factor Movements'!I64)/100,2))*100</f>
        <v>9580.7291448058077</v>
      </c>
      <c r="F64">
        <f>Portfolio!B$5*'CurrentPor-Rat Factor Movements'!E64</f>
        <v>52143.895533915893</v>
      </c>
      <c r="G64">
        <f>Portfolio!B$6*'CurrentPor-Rat Factor Movements'!F64</f>
        <v>3696.2945087936532</v>
      </c>
      <c r="H64">
        <f>Portfolio!B$7*'CurrentPor-Rat Factor Movements'!J64</f>
        <v>2148.0998964419859</v>
      </c>
      <c r="I64">
        <f t="shared" si="0"/>
        <v>96490.614437742435</v>
      </c>
      <c r="J64">
        <f t="shared" si="1"/>
        <v>-6.0908719785511494</v>
      </c>
    </row>
    <row r="65" spans="1:10">
      <c r="A65" s="1">
        <v>45560</v>
      </c>
      <c r="B65">
        <f>(3/(1+('CurrentPor-Rat Factor Movements'!C65)/100)+103/POWER(1+('CurrentPor-Rat Factor Movements'!D65)/100,2))*100</f>
        <v>9706.2394948958954</v>
      </c>
      <c r="C65">
        <f>(3/(1+('CurrentPor-Rat Factor Movements'!C65+'CurrentPor-Rat Factor Movements'!G65)/100)+103/POWER(1+('CurrentPor-Rat Factor Movements'!D65+'CurrentPor-Rat Factor Movements'!G65)/100,2))*100</f>
        <v>9613.640485803171</v>
      </c>
      <c r="D65">
        <f>(3/(1+('CurrentPor-Rat Factor Movements'!C65+'CurrentPor-Rat Factor Movements'!H65)/100)+103/POWER(1+('CurrentPor-Rat Factor Movements'!D65+'CurrentPor-Rat Factor Movements'!H65)/100,2))*100</f>
        <v>9599.9155522263063</v>
      </c>
      <c r="E65">
        <f>(3/(1+('CurrentPor-Rat Factor Movements'!C65+'CurrentPor-Rat Factor Movements'!I65)/100)+103/POWER(1+('CurrentPor-Rat Factor Movements'!D65+'CurrentPor-Rat Factor Movements'!I65)/100,2))*100</f>
        <v>9580.1348389692557</v>
      </c>
      <c r="F65">
        <f>Portfolio!B$5*'CurrentPor-Rat Factor Movements'!E65</f>
        <v>52143.895533915893</v>
      </c>
      <c r="G65">
        <f>Portfolio!B$6*'CurrentPor-Rat Factor Movements'!F65</f>
        <v>3696.2945087936532</v>
      </c>
      <c r="H65">
        <f>Portfolio!B$7*'CurrentPor-Rat Factor Movements'!J65</f>
        <v>2148.0998964419859</v>
      </c>
      <c r="I65">
        <f t="shared" si="0"/>
        <v>96488.220311046156</v>
      </c>
      <c r="J65">
        <f t="shared" si="1"/>
        <v>-6.6415807754092384</v>
      </c>
    </row>
    <row r="66" spans="1:10">
      <c r="A66" s="1">
        <v>45561</v>
      </c>
      <c r="B66">
        <f>(3/(1+('CurrentPor-Rat Factor Movements'!C66)/100)+103/POWER(1+('CurrentPor-Rat Factor Movements'!D66)/100,2))*100</f>
        <v>9707.4653135457174</v>
      </c>
      <c r="C66">
        <f>(3/(1+('CurrentPor-Rat Factor Movements'!C66+'CurrentPor-Rat Factor Movements'!G66)/100)+103/POWER(1+('CurrentPor-Rat Factor Movements'!D66+'CurrentPor-Rat Factor Movements'!G66)/100,2))*100</f>
        <v>9614.8486312139576</v>
      </c>
      <c r="D66">
        <f>(3/(1+('CurrentPor-Rat Factor Movements'!C66+'CurrentPor-Rat Factor Movements'!H66)/100)+103/POWER(1+('CurrentPor-Rat Factor Movements'!D66+'CurrentPor-Rat Factor Movements'!H66)/100,2))*100</f>
        <v>9601.121085488363</v>
      </c>
      <c r="E66">
        <f>(3/(1+('CurrentPor-Rat Factor Movements'!C66+'CurrentPor-Rat Factor Movements'!I66)/100)+103/POWER(1+('CurrentPor-Rat Factor Movements'!D66+'CurrentPor-Rat Factor Movements'!I66)/100,2))*100</f>
        <v>9581.3366108886348</v>
      </c>
      <c r="F66">
        <f>Portfolio!B$5*'CurrentPor-Rat Factor Movements'!E66</f>
        <v>52143.895533915893</v>
      </c>
      <c r="G66">
        <f>Portfolio!B$6*'CurrentPor-Rat Factor Movements'!F66</f>
        <v>3696.2945087936532</v>
      </c>
      <c r="H66">
        <f>Portfolio!B$7*'CurrentPor-Rat Factor Movements'!J66</f>
        <v>2148.0998964419859</v>
      </c>
      <c r="I66">
        <f t="shared" si="0"/>
        <v>96493.061580288209</v>
      </c>
      <c r="J66">
        <f t="shared" si="1"/>
        <v>2.1403143078496214</v>
      </c>
    </row>
    <row r="67" spans="1:10">
      <c r="A67" s="1">
        <v>45562</v>
      </c>
      <c r="B67">
        <f>(3/(1+('CurrentPor-Rat Factor Movements'!C67)/100)+103/POWER(1+('CurrentPor-Rat Factor Movements'!D67)/100,2))*100</f>
        <v>9707.5577455509574</v>
      </c>
      <c r="C67">
        <f>(3/(1+('CurrentPor-Rat Factor Movements'!C67+'CurrentPor-Rat Factor Movements'!G67)/100)+103/POWER(1+('CurrentPor-Rat Factor Movements'!D67+'CurrentPor-Rat Factor Movements'!G67)/100,2))*100</f>
        <v>9614.9397305351613</v>
      </c>
      <c r="D67">
        <f>(3/(1+('CurrentPor-Rat Factor Movements'!C67+'CurrentPor-Rat Factor Movements'!H67)/100)+103/POWER(1+('CurrentPor-Rat Factor Movements'!D67+'CurrentPor-Rat Factor Movements'!H67)/100,2))*100</f>
        <v>9601.2119878356261</v>
      </c>
      <c r="E67">
        <f>(3/(1+('CurrentPor-Rat Factor Movements'!C67+'CurrentPor-Rat Factor Movements'!I67)/100)+103/POWER(1+('CurrentPor-Rat Factor Movements'!D67+'CurrentPor-Rat Factor Movements'!I67)/100,2))*100</f>
        <v>9581.427229604873</v>
      </c>
      <c r="F67">
        <f>Portfolio!B$5*'CurrentPor-Rat Factor Movements'!E67</f>
        <v>52143.895533915893</v>
      </c>
      <c r="G67">
        <f>Portfolio!B$6*'CurrentPor-Rat Factor Movements'!F67</f>
        <v>3696.2945087936532</v>
      </c>
      <c r="H67">
        <f>Portfolio!B$7*'CurrentPor-Rat Factor Movements'!J67</f>
        <v>2148.0998964419859</v>
      </c>
      <c r="I67">
        <f t="shared" si="0"/>
        <v>96493.426632678151</v>
      </c>
      <c r="J67">
        <f t="shared" si="1"/>
        <v>3.3891740126709919</v>
      </c>
    </row>
    <row r="68" spans="1:10">
      <c r="A68" s="1">
        <v>45565</v>
      </c>
      <c r="B68">
        <f>(3/(1+('CurrentPor-Rat Factor Movements'!C68)/100)+103/POWER(1+('CurrentPor-Rat Factor Movements'!D68)/100,2))*100</f>
        <v>9706.4246219968263</v>
      </c>
      <c r="C68">
        <f>(3/(1+('CurrentPor-Rat Factor Movements'!C68+'CurrentPor-Rat Factor Movements'!G68)/100)+103/POWER(1+('CurrentPor-Rat Factor Movements'!D68+'CurrentPor-Rat Factor Movements'!G68)/100,2))*100</f>
        <v>9613.8229439065963</v>
      </c>
      <c r="D68">
        <f>(3/(1+('CurrentPor-Rat Factor Movements'!C68+'CurrentPor-Rat Factor Movements'!H68)/100)+103/POWER(1+('CurrentPor-Rat Factor Movements'!D68+'CurrentPor-Rat Factor Movements'!H68)/100,2))*100</f>
        <v>9600.0976158451358</v>
      </c>
      <c r="E68">
        <f>(3/(1+('CurrentPor-Rat Factor Movements'!C68+'CurrentPor-Rat Factor Movements'!I68)/100)+103/POWER(1+('CurrentPor-Rat Factor Movements'!D68+'CurrentPor-Rat Factor Movements'!I68)/100,2))*100</f>
        <v>9580.3163345530884</v>
      </c>
      <c r="F68">
        <f>Portfolio!B$5*'CurrentPor-Rat Factor Movements'!E68</f>
        <v>52143.895533915893</v>
      </c>
      <c r="G68">
        <f>Portfolio!B$6*'CurrentPor-Rat Factor Movements'!F68</f>
        <v>3696.2945087936532</v>
      </c>
      <c r="H68">
        <f>Portfolio!B$7*'CurrentPor-Rat Factor Movements'!J68</f>
        <v>2148.0998964419859</v>
      </c>
      <c r="I68">
        <f t="shared" ref="I68:I131" si="2">SUM(B68:H68)</f>
        <v>96488.951455453192</v>
      </c>
      <c r="J68">
        <f t="shared" si="1"/>
        <v>-3.5061788155580871</v>
      </c>
    </row>
    <row r="69" spans="1:10">
      <c r="A69" s="1">
        <v>45566</v>
      </c>
      <c r="B69">
        <f>(3/(1+('CurrentPor-Rat Factor Movements'!C69)/100)+103/POWER(1+('CurrentPor-Rat Factor Movements'!D69)/100,2))*100</f>
        <v>9706.661569775988</v>
      </c>
      <c r="C69">
        <f>(3/(1+('CurrentPor-Rat Factor Movements'!C69+'CurrentPor-Rat Factor Movements'!G69)/100)+103/POWER(1+('CurrentPor-Rat Factor Movements'!D69+'CurrentPor-Rat Factor Movements'!G69)/100,2))*100</f>
        <v>9614.0564755463984</v>
      </c>
      <c r="D69">
        <f>(3/(1+('CurrentPor-Rat Factor Movements'!C69+'CurrentPor-Rat Factor Movements'!H69)/100)+103/POWER(1+('CurrentPor-Rat Factor Movements'!D69+'CurrentPor-Rat Factor Movements'!H69)/100,2))*100</f>
        <v>9600.3306425709434</v>
      </c>
      <c r="E69">
        <f>(3/(1+('CurrentPor-Rat Factor Movements'!C69+'CurrentPor-Rat Factor Movements'!I69)/100)+103/POWER(1+('CurrentPor-Rat Factor Movements'!D69+'CurrentPor-Rat Factor Movements'!I69)/100,2))*100</f>
        <v>9580.5486342319891</v>
      </c>
      <c r="F69">
        <f>Portfolio!B$5*'CurrentPor-Rat Factor Movements'!E69</f>
        <v>52143.895533915893</v>
      </c>
      <c r="G69">
        <f>Portfolio!B$6*'CurrentPor-Rat Factor Movements'!F69</f>
        <v>3696.2945087936532</v>
      </c>
      <c r="H69">
        <f>Portfolio!B$7*'CurrentPor-Rat Factor Movements'!J69</f>
        <v>2148.0998964419859</v>
      </c>
      <c r="I69">
        <f t="shared" si="2"/>
        <v>96489.887261276846</v>
      </c>
      <c r="J69">
        <f t="shared" si="1"/>
        <v>-5.6361513756855857</v>
      </c>
    </row>
    <row r="70" spans="1:10">
      <c r="A70" s="1">
        <v>45567</v>
      </c>
      <c r="B70">
        <f>(3/(1+('CurrentPor-Rat Factor Movements'!C70)/100)+103/POWER(1+('CurrentPor-Rat Factor Movements'!D70)/100,2))*100</f>
        <v>9707.7810777160594</v>
      </c>
      <c r="C70">
        <f>(3/(1+('CurrentPor-Rat Factor Movements'!C70+'CurrentPor-Rat Factor Movements'!G70)/100)+103/POWER(1+('CurrentPor-Rat Factor Movements'!D70+'CurrentPor-Rat Factor Movements'!G70)/100,2))*100</f>
        <v>9615.1598426721339</v>
      </c>
      <c r="D70">
        <f>(3/(1+('CurrentPor-Rat Factor Movements'!C70+'CurrentPor-Rat Factor Movements'!H70)/100)+103/POWER(1+('CurrentPor-Rat Factor Movements'!D70+'CurrentPor-Rat Factor Movements'!H70)/100,2))*100</f>
        <v>9601.4316240446533</v>
      </c>
      <c r="E70">
        <f>(3/(1+('CurrentPor-Rat Factor Movements'!C70+'CurrentPor-Rat Factor Movements'!I70)/100)+103/POWER(1+('CurrentPor-Rat Factor Movements'!D70+'CurrentPor-Rat Factor Movements'!I70)/100,2))*100</f>
        <v>9581.6461805053586</v>
      </c>
      <c r="F70">
        <f>Portfolio!B$5*'CurrentPor-Rat Factor Movements'!E70</f>
        <v>52143.895533915893</v>
      </c>
      <c r="G70">
        <f>Portfolio!B$6*'CurrentPor-Rat Factor Movements'!F70</f>
        <v>3696.2945087936532</v>
      </c>
      <c r="H70">
        <f>Portfolio!B$7*'CurrentPor-Rat Factor Movements'!J70</f>
        <v>2148.0998964419859</v>
      </c>
      <c r="I70">
        <f t="shared" si="2"/>
        <v>96494.308664089738</v>
      </c>
      <c r="J70">
        <f t="shared" si="1"/>
        <v>1.0449684114573756</v>
      </c>
    </row>
    <row r="71" spans="1:10">
      <c r="A71" s="1">
        <v>45568</v>
      </c>
      <c r="B71">
        <f>(3/(1+('CurrentPor-Rat Factor Movements'!C71)/100)+103/POWER(1+('CurrentPor-Rat Factor Movements'!D71)/100,2))*100</f>
        <v>9707.3700557371212</v>
      </c>
      <c r="C71">
        <f>(3/(1+('CurrentPor-Rat Factor Movements'!C71+'CurrentPor-Rat Factor Movements'!G71)/100)+103/POWER(1+('CurrentPor-Rat Factor Movements'!D71+'CurrentPor-Rat Factor Movements'!G71)/100,2))*100</f>
        <v>9614.7547468251068</v>
      </c>
      <c r="D71">
        <f>(3/(1+('CurrentPor-Rat Factor Movements'!C71+'CurrentPor-Rat Factor Movements'!H71)/100)+103/POWER(1+('CurrentPor-Rat Factor Movements'!D71+'CurrentPor-Rat Factor Movements'!H71)/100,2))*100</f>
        <v>9601.0274040943095</v>
      </c>
      <c r="E71">
        <f>(3/(1+('CurrentPor-Rat Factor Movements'!C71+'CurrentPor-Rat Factor Movements'!I71)/100)+103/POWER(1+('CurrentPor-Rat Factor Movements'!D71+'CurrentPor-Rat Factor Movements'!I71)/100,2))*100</f>
        <v>9581.2432217952719</v>
      </c>
      <c r="F71">
        <f>Portfolio!B$5*'CurrentPor-Rat Factor Movements'!E71</f>
        <v>52143.895533915893</v>
      </c>
      <c r="G71">
        <f>Portfolio!B$6*'CurrentPor-Rat Factor Movements'!F71</f>
        <v>3696.2945087936532</v>
      </c>
      <c r="H71">
        <f>Portfolio!B$7*'CurrentPor-Rat Factor Movements'!J71</f>
        <v>2148.0998964419859</v>
      </c>
      <c r="I71">
        <f t="shared" si="2"/>
        <v>96492.685367603335</v>
      </c>
      <c r="J71">
        <f t="shared" si="1"/>
        <v>3.7312101419083774</v>
      </c>
    </row>
    <row r="72" spans="1:10">
      <c r="A72" s="1">
        <v>45569</v>
      </c>
      <c r="B72">
        <f>(3/(1+('CurrentPor-Rat Factor Movements'!C72)/100)+103/POWER(1+('CurrentPor-Rat Factor Movements'!D72)/100,2))*100</f>
        <v>9707.6634975854067</v>
      </c>
      <c r="C72">
        <f>(3/(1+('CurrentPor-Rat Factor Movements'!C72+'CurrentPor-Rat Factor Movements'!G72)/100)+103/POWER(1+('CurrentPor-Rat Factor Movements'!D72+'CurrentPor-Rat Factor Movements'!G72)/100,2))*100</f>
        <v>9615.0439578296118</v>
      </c>
      <c r="D72">
        <f>(3/(1+('CurrentPor-Rat Factor Movements'!C72+'CurrentPor-Rat Factor Movements'!H72)/100)+103/POWER(1+('CurrentPor-Rat Factor Movements'!D72+'CurrentPor-Rat Factor Movements'!H72)/100,2))*100</f>
        <v>9601.3159897698133</v>
      </c>
      <c r="E72">
        <f>(3/(1+('CurrentPor-Rat Factor Movements'!C72+'CurrentPor-Rat Factor Movements'!I72)/100)+103/POWER(1+('CurrentPor-Rat Factor Movements'!D72+'CurrentPor-Rat Factor Movements'!I72)/100,2))*100</f>
        <v>9581.5309070333897</v>
      </c>
      <c r="F72">
        <f>Portfolio!B$5*'CurrentPor-Rat Factor Movements'!E72</f>
        <v>52143.895533915893</v>
      </c>
      <c r="G72">
        <f>Portfolio!B$6*'CurrentPor-Rat Factor Movements'!F72</f>
        <v>3696.2945087936532</v>
      </c>
      <c r="H72">
        <f>Portfolio!B$7*'CurrentPor-Rat Factor Movements'!J72</f>
        <v>2148.0998964419859</v>
      </c>
      <c r="I72">
        <f t="shared" si="2"/>
        <v>96493.844291369751</v>
      </c>
      <c r="J72">
        <f t="shared" si="1"/>
        <v>0.64928403920202982</v>
      </c>
    </row>
    <row r="73" spans="1:10">
      <c r="A73" s="1">
        <v>45572</v>
      </c>
      <c r="B73">
        <f>(3/(1+('CurrentPor-Rat Factor Movements'!C73)/100)+103/POWER(1+('CurrentPor-Rat Factor Movements'!D73)/100,2))*100</f>
        <v>9706.4460412775588</v>
      </c>
      <c r="C73">
        <f>(3/(1+('CurrentPor-Rat Factor Movements'!C73+'CurrentPor-Rat Factor Movements'!G73)/100)+103/POWER(1+('CurrentPor-Rat Factor Movements'!D73+'CurrentPor-Rat Factor Movements'!G73)/100,2))*100</f>
        <v>9613.8440543815686</v>
      </c>
      <c r="D73">
        <f>(3/(1+('CurrentPor-Rat Factor Movements'!C73+'CurrentPor-Rat Factor Movements'!H73)/100)+103/POWER(1+('CurrentPor-Rat Factor Movements'!D73+'CurrentPor-Rat Factor Movements'!H73)/100,2))*100</f>
        <v>9600.1186806778442</v>
      </c>
      <c r="E73">
        <f>(3/(1+('CurrentPor-Rat Factor Movements'!C73+'CurrentPor-Rat Factor Movements'!I73)/100)+103/POWER(1+('CurrentPor-Rat Factor Movements'!D73+'CurrentPor-Rat Factor Movements'!I73)/100,2))*100</f>
        <v>9580.3373336635686</v>
      </c>
      <c r="F73">
        <f>Portfolio!B$5*'CurrentPor-Rat Factor Movements'!E73</f>
        <v>52143.895533915893</v>
      </c>
      <c r="G73">
        <f>Portfolio!B$6*'CurrentPor-Rat Factor Movements'!F73</f>
        <v>3696.2945087936532</v>
      </c>
      <c r="H73">
        <f>Portfolio!B$7*'CurrentPor-Rat Factor Movements'!J73</f>
        <v>2148.0998964419859</v>
      </c>
      <c r="I73">
        <f t="shared" si="2"/>
        <v>96489.03604915207</v>
      </c>
      <c r="J73">
        <f t="shared" si="1"/>
        <v>3.5053346829372458</v>
      </c>
    </row>
    <row r="74" spans="1:10">
      <c r="A74" s="1">
        <v>45573</v>
      </c>
      <c r="B74">
        <f>(3/(1+('CurrentPor-Rat Factor Movements'!C74)/100)+103/POWER(1+('CurrentPor-Rat Factor Movements'!D74)/100,2))*100</f>
        <v>9707.344809707125</v>
      </c>
      <c r="C74">
        <f>(3/(1+('CurrentPor-Rat Factor Movements'!C74+'CurrentPor-Rat Factor Movements'!G74)/100)+103/POWER(1+('CurrentPor-Rat Factor Movements'!D74+'CurrentPor-Rat Factor Movements'!G74)/100,2))*100</f>
        <v>9614.7298647892858</v>
      </c>
      <c r="D74">
        <f>(3/(1+('CurrentPor-Rat Factor Movements'!C74+'CurrentPor-Rat Factor Movements'!H74)/100)+103/POWER(1+('CurrentPor-Rat Factor Movements'!D74+'CurrentPor-Rat Factor Movements'!H74)/100,2))*100</f>
        <v>9601.0025758577176</v>
      </c>
      <c r="E74">
        <f>(3/(1+('CurrentPor-Rat Factor Movements'!C74+'CurrentPor-Rat Factor Movements'!I74)/100)+103/POWER(1+('CurrentPor-Rat Factor Movements'!D74+'CurrentPor-Rat Factor Movements'!I74)/100,2))*100</f>
        <v>9581.218471026441</v>
      </c>
      <c r="F74">
        <f>Portfolio!B$5*'CurrentPor-Rat Factor Movements'!E74</f>
        <v>52143.895533915893</v>
      </c>
      <c r="G74">
        <f>Portfolio!B$6*'CurrentPor-Rat Factor Movements'!F74</f>
        <v>3696.2945087936532</v>
      </c>
      <c r="H74">
        <f>Portfolio!B$7*'CurrentPor-Rat Factor Movements'!J74</f>
        <v>2148.0998964419859</v>
      </c>
      <c r="I74">
        <f t="shared" si="2"/>
        <v>96492.585660532102</v>
      </c>
      <c r="J74">
        <f t="shared" si="1"/>
        <v>1.9712227896670811</v>
      </c>
    </row>
    <row r="75" spans="1:10">
      <c r="A75" s="1">
        <v>45574</v>
      </c>
      <c r="B75">
        <f>(3/(1+('CurrentPor-Rat Factor Movements'!C75)/100)+103/POWER(1+('CurrentPor-Rat Factor Movements'!D75)/100,2))*100</f>
        <v>9706.5550796160533</v>
      </c>
      <c r="C75">
        <f>(3/(1+('CurrentPor-Rat Factor Movements'!C75+'CurrentPor-Rat Factor Movements'!G75)/100)+103/POWER(1+('CurrentPor-Rat Factor Movements'!D75+'CurrentPor-Rat Factor Movements'!G75)/100,2))*100</f>
        <v>9613.9515206887245</v>
      </c>
      <c r="D75">
        <f>(3/(1+('CurrentPor-Rat Factor Movements'!C75+'CurrentPor-Rat Factor Movements'!H75)/100)+103/POWER(1+('CurrentPor-Rat Factor Movements'!D75+'CurrentPor-Rat Factor Movements'!H75)/100,2))*100</f>
        <v>9600.2259146347988</v>
      </c>
      <c r="E75">
        <f>(3/(1+('CurrentPor-Rat Factor Movements'!C75+'CurrentPor-Rat Factor Movements'!I75)/100)+103/POWER(1+('CurrentPor-Rat Factor Movements'!D75+'CurrentPor-Rat Factor Movements'!I75)/100,2))*100</f>
        <v>9580.4442330497004</v>
      </c>
      <c r="F75">
        <f>Portfolio!B$5*'CurrentPor-Rat Factor Movements'!E75</f>
        <v>52143.895533915893</v>
      </c>
      <c r="G75">
        <f>Portfolio!B$6*'CurrentPor-Rat Factor Movements'!F75</f>
        <v>3696.2945087936532</v>
      </c>
      <c r="H75">
        <f>Portfolio!B$7*'CurrentPor-Rat Factor Movements'!J75</f>
        <v>2148.0998964419859</v>
      </c>
      <c r="I75">
        <f t="shared" si="2"/>
        <v>96489.466687140797</v>
      </c>
      <c r="J75">
        <f t="shared" si="1"/>
        <v>1.2463760946411639</v>
      </c>
    </row>
    <row r="76" spans="1:10">
      <c r="A76" s="1">
        <v>45575</v>
      </c>
      <c r="B76">
        <f>(3/(1+('CurrentPor-Rat Factor Movements'!C76)/100)+103/POWER(1+('CurrentPor-Rat Factor Movements'!D76)/100,2))*100</f>
        <v>9706.2284402844944</v>
      </c>
      <c r="C76">
        <f>(3/(1+('CurrentPor-Rat Factor Movements'!C76+'CurrentPor-Rat Factor Movements'!G76)/100)+103/POWER(1+('CurrentPor-Rat Factor Movements'!D76+'CurrentPor-Rat Factor Movements'!G76)/100,2))*100</f>
        <v>9613.6295905664847</v>
      </c>
      <c r="D76">
        <f>(3/(1+('CurrentPor-Rat Factor Movements'!C76+'CurrentPor-Rat Factor Movements'!H76)/100)+103/POWER(1+('CurrentPor-Rat Factor Movements'!D76+'CurrentPor-Rat Factor Movements'!H76)/100,2))*100</f>
        <v>9599.904680545611</v>
      </c>
      <c r="E76">
        <f>(3/(1+('CurrentPor-Rat Factor Movements'!C76+'CurrentPor-Rat Factor Movements'!I76)/100)+103/POWER(1+('CurrentPor-Rat Factor Movements'!D76+'CurrentPor-Rat Factor Movements'!I76)/100,2))*100</f>
        <v>9580.1240012078197</v>
      </c>
      <c r="F76">
        <f>Portfolio!B$5*'CurrentPor-Rat Factor Movements'!E76</f>
        <v>52143.895533915893</v>
      </c>
      <c r="G76">
        <f>Portfolio!B$6*'CurrentPor-Rat Factor Movements'!F76</f>
        <v>3696.2945087936532</v>
      </c>
      <c r="H76">
        <f>Portfolio!B$7*'CurrentPor-Rat Factor Movements'!J76</f>
        <v>2148.0998964419859</v>
      </c>
      <c r="I76">
        <f t="shared" si="2"/>
        <v>96488.176651755944</v>
      </c>
      <c r="J76">
        <f t="shared" si="1"/>
        <v>-4.8849285322648939</v>
      </c>
    </row>
    <row r="77" spans="1:10">
      <c r="A77" s="1">
        <v>45576</v>
      </c>
      <c r="B77">
        <f>(3/(1+('CurrentPor-Rat Factor Movements'!C77)/100)+103/POWER(1+('CurrentPor-Rat Factor Movements'!D77)/100,2))*100</f>
        <v>9707.9972737555672</v>
      </c>
      <c r="C77">
        <f>(3/(1+('CurrentPor-Rat Factor Movements'!C77+'CurrentPor-Rat Factor Movements'!G77)/100)+103/POWER(1+('CurrentPor-Rat Factor Movements'!D77+'CurrentPor-Rat Factor Movements'!G77)/100,2))*100</f>
        <v>9615.3729215373241</v>
      </c>
      <c r="D77">
        <f>(3/(1+('CurrentPor-Rat Factor Movements'!C77+'CurrentPor-Rat Factor Movements'!H77)/100)+103/POWER(1+('CurrentPor-Rat Factor Movements'!D77+'CurrentPor-Rat Factor Movements'!H77)/100,2))*100</f>
        <v>9601.644242184002</v>
      </c>
      <c r="E77">
        <f>(3/(1+('CurrentPor-Rat Factor Movements'!C77+'CurrentPor-Rat Factor Movements'!I77)/100)+103/POWER(1+('CurrentPor-Rat Factor Movements'!D77+'CurrentPor-Rat Factor Movements'!I77)/100,2))*100</f>
        <v>9581.8581352263373</v>
      </c>
      <c r="F77">
        <f>Portfolio!B$5*'CurrentPor-Rat Factor Movements'!E77</f>
        <v>52143.895533915893</v>
      </c>
      <c r="G77">
        <f>Portfolio!B$6*'CurrentPor-Rat Factor Movements'!F77</f>
        <v>3696.2945087936532</v>
      </c>
      <c r="H77">
        <f>Portfolio!B$7*'CurrentPor-Rat Factor Movements'!J77</f>
        <v>2148.0998964419859</v>
      </c>
      <c r="I77">
        <f t="shared" si="2"/>
        <v>96495.162511854767</v>
      </c>
      <c r="J77">
        <f t="shared" si="1"/>
        <v>1.7358791766164359</v>
      </c>
    </row>
    <row r="78" spans="1:10">
      <c r="A78" s="1">
        <v>45579</v>
      </c>
      <c r="B78">
        <f>(3/(1+('CurrentPor-Rat Factor Movements'!C78)/100)+103/POWER(1+('CurrentPor-Rat Factor Movements'!D78)/100,2))*100</f>
        <v>9705.7105998198749</v>
      </c>
      <c r="C78">
        <f>(3/(1+('CurrentPor-Rat Factor Movements'!C78+'CurrentPor-Rat Factor Movements'!G78)/100)+103/POWER(1+('CurrentPor-Rat Factor Movements'!D78+'CurrentPor-Rat Factor Movements'!G78)/100,2))*100</f>
        <v>9613.1192157231999</v>
      </c>
      <c r="D78">
        <f>(3/(1+('CurrentPor-Rat Factor Movements'!C78+'CurrentPor-Rat Factor Movements'!H78)/100)+103/POWER(1+('CurrentPor-Rat Factor Movements'!D78+'CurrentPor-Rat Factor Movements'!H78)/100,2))*100</f>
        <v>9599.3954091403102</v>
      </c>
      <c r="E78">
        <f>(3/(1+('CurrentPor-Rat Factor Movements'!C78+'CurrentPor-Rat Factor Movements'!I78)/100)+103/POWER(1+('CurrentPor-Rat Factor Movements'!D78+'CurrentPor-Rat Factor Movements'!I78)/100,2))*100</f>
        <v>9579.6163186894883</v>
      </c>
      <c r="F78">
        <f>Portfolio!B$5*'CurrentPor-Rat Factor Movements'!E78</f>
        <v>52143.895533915893</v>
      </c>
      <c r="G78">
        <f>Portfolio!B$6*'CurrentPor-Rat Factor Movements'!F78</f>
        <v>3696.2945087936532</v>
      </c>
      <c r="H78">
        <f>Portfolio!B$7*'CurrentPor-Rat Factor Movements'!J78</f>
        <v>2148.0998964419859</v>
      </c>
      <c r="I78">
        <f t="shared" si="2"/>
        <v>96486.131482524404</v>
      </c>
      <c r="J78">
        <f t="shared" ref="J78:J141" si="3">I78-I68</f>
        <v>-2.8199729287880473</v>
      </c>
    </row>
    <row r="79" spans="1:10">
      <c r="A79" s="1">
        <v>45580</v>
      </c>
      <c r="B79">
        <f>(3/(1+('CurrentPor-Rat Factor Movements'!C79)/100)+103/POWER(1+('CurrentPor-Rat Factor Movements'!D79)/100,2))*100</f>
        <v>9707.6626028582214</v>
      </c>
      <c r="C79">
        <f>(3/(1+('CurrentPor-Rat Factor Movements'!C79+'CurrentPor-Rat Factor Movements'!G79)/100)+103/POWER(1+('CurrentPor-Rat Factor Movements'!D79+'CurrentPor-Rat Factor Movements'!G79)/100,2))*100</f>
        <v>9615.0430760026993</v>
      </c>
      <c r="D79">
        <f>(3/(1+('CurrentPor-Rat Factor Movements'!C79+'CurrentPor-Rat Factor Movements'!H79)/100)+103/POWER(1+('CurrentPor-Rat Factor Movements'!D79+'CurrentPor-Rat Factor Movements'!H79)/100,2))*100</f>
        <v>9601.3151098495873</v>
      </c>
      <c r="E79">
        <f>(3/(1+('CurrentPor-Rat Factor Movements'!C79+'CurrentPor-Rat Factor Movements'!I79)/100)+103/POWER(1+('CurrentPor-Rat Factor Movements'!D79+'CurrentPor-Rat Factor Movements'!I79)/100,2))*100</f>
        <v>9581.5300298586899</v>
      </c>
      <c r="F79">
        <f>Portfolio!B$5*'CurrentPor-Rat Factor Movements'!E79</f>
        <v>52143.895533915893</v>
      </c>
      <c r="G79">
        <f>Portfolio!B$6*'CurrentPor-Rat Factor Movements'!F79</f>
        <v>3696.2945087936532</v>
      </c>
      <c r="H79">
        <f>Portfolio!B$7*'CurrentPor-Rat Factor Movements'!J79</f>
        <v>2148.0998964419859</v>
      </c>
      <c r="I79">
        <f t="shared" si="2"/>
        <v>96493.840757720725</v>
      </c>
      <c r="J79">
        <f t="shared" si="3"/>
        <v>3.9534964438789757</v>
      </c>
    </row>
    <row r="80" spans="1:10">
      <c r="A80" s="1">
        <v>45581</v>
      </c>
      <c r="B80">
        <f>(3/(1+('CurrentPor-Rat Factor Movements'!C80)/100)+103/POWER(1+('CurrentPor-Rat Factor Movements'!D80)/100,2))*100</f>
        <v>9707.4376257483418</v>
      </c>
      <c r="C80">
        <f>(3/(1+('CurrentPor-Rat Factor Movements'!C80+'CurrentPor-Rat Factor Movements'!G80)/100)+103/POWER(1+('CurrentPor-Rat Factor Movements'!D80+'CurrentPor-Rat Factor Movements'!G80)/100,2))*100</f>
        <v>9614.8213426178154</v>
      </c>
      <c r="D80">
        <f>(3/(1+('CurrentPor-Rat Factor Movements'!C80+'CurrentPor-Rat Factor Movements'!H80)/100)+103/POWER(1+('CurrentPor-Rat Factor Movements'!D80+'CurrentPor-Rat Factor Movements'!H80)/100,2))*100</f>
        <v>9601.0938558951402</v>
      </c>
      <c r="E80">
        <f>(3/(1+('CurrentPor-Rat Factor Movements'!C80+'CurrentPor-Rat Factor Movements'!I80)/100)+103/POWER(1+('CurrentPor-Rat Factor Movements'!D80+'CurrentPor-Rat Factor Movements'!I80)/100,2))*100</f>
        <v>9581.3094662561762</v>
      </c>
      <c r="F80">
        <f>Portfolio!B$5*'CurrentPor-Rat Factor Movements'!E80</f>
        <v>52143.895533915893</v>
      </c>
      <c r="G80">
        <f>Portfolio!B$6*'CurrentPor-Rat Factor Movements'!F80</f>
        <v>3696.2945087936532</v>
      </c>
      <c r="H80">
        <f>Portfolio!B$7*'CurrentPor-Rat Factor Movements'!J80</f>
        <v>2148.0998964419859</v>
      </c>
      <c r="I80">
        <f t="shared" si="2"/>
        <v>96492.952229669012</v>
      </c>
      <c r="J80">
        <f t="shared" si="3"/>
        <v>-1.3564344207261456</v>
      </c>
    </row>
    <row r="81" spans="1:10">
      <c r="A81" s="1">
        <v>45582</v>
      </c>
      <c r="B81">
        <f>(3/(1+('CurrentPor-Rat Factor Movements'!C81)/100)+103/POWER(1+('CurrentPor-Rat Factor Movements'!D81)/100,2))*100</f>
        <v>9708.5093651764291</v>
      </c>
      <c r="C81">
        <f>(3/(1+('CurrentPor-Rat Factor Movements'!C81+'CurrentPor-Rat Factor Movements'!G81)/100)+103/POWER(1+('CurrentPor-Rat Factor Movements'!D81+'CurrentPor-Rat Factor Movements'!G81)/100,2))*100</f>
        <v>9615.8776293425126</v>
      </c>
      <c r="D81">
        <f>(3/(1+('CurrentPor-Rat Factor Movements'!C81+'CurrentPor-Rat Factor Movements'!H81)/100)+103/POWER(1+('CurrentPor-Rat Factor Movements'!D81+'CurrentPor-Rat Factor Movements'!H81)/100,2))*100</f>
        <v>9602.1478586732992</v>
      </c>
      <c r="E81">
        <f>(3/(1+('CurrentPor-Rat Factor Movements'!C81+'CurrentPor-Rat Factor Movements'!I81)/100)+103/POWER(1+('CurrentPor-Rat Factor Movements'!D81+'CurrentPor-Rat Factor Movements'!I81)/100,2))*100</f>
        <v>9582.3601802844587</v>
      </c>
      <c r="F81">
        <f>Portfolio!B$5*'CurrentPor-Rat Factor Movements'!E81</f>
        <v>52143.895533915893</v>
      </c>
      <c r="G81">
        <f>Portfolio!B$6*'CurrentPor-Rat Factor Movements'!F81</f>
        <v>3696.2945087936532</v>
      </c>
      <c r="H81">
        <f>Portfolio!B$7*'CurrentPor-Rat Factor Movements'!J81</f>
        <v>2148.0998964419859</v>
      </c>
      <c r="I81">
        <f t="shared" si="2"/>
        <v>96497.184972628238</v>
      </c>
      <c r="J81">
        <f t="shared" si="3"/>
        <v>4.4996050249028485</v>
      </c>
    </row>
    <row r="82" spans="1:10">
      <c r="A82" s="1">
        <v>45583</v>
      </c>
      <c r="B82">
        <f>(3/(1+('CurrentPor-Rat Factor Movements'!C82)/100)+103/POWER(1+('CurrentPor-Rat Factor Movements'!D82)/100,2))*100</f>
        <v>9708.4709349838922</v>
      </c>
      <c r="C82">
        <f>(3/(1+('CurrentPor-Rat Factor Movements'!C82+'CurrentPor-Rat Factor Movements'!G82)/100)+103/POWER(1+('CurrentPor-Rat Factor Movements'!D82+'CurrentPor-Rat Factor Movements'!G82)/100,2))*100</f>
        <v>9615.8397532644522</v>
      </c>
      <c r="D82">
        <f>(3/(1+('CurrentPor-Rat Factor Movements'!C82+'CurrentPor-Rat Factor Movements'!H82)/100)+103/POWER(1+('CurrentPor-Rat Factor Movements'!D82+'CurrentPor-Rat Factor Movements'!H82)/100,2))*100</f>
        <v>9602.11006449466</v>
      </c>
      <c r="E82">
        <f>(3/(1+('CurrentPor-Rat Factor Movements'!C82+'CurrentPor-Rat Factor Movements'!I82)/100)+103/POWER(1+('CurrentPor-Rat Factor Movements'!D82+'CurrentPor-Rat Factor Movements'!I82)/100,2))*100</f>
        <v>9582.322504036194</v>
      </c>
      <c r="F82">
        <f>Portfolio!B$5*'CurrentPor-Rat Factor Movements'!E82</f>
        <v>52143.895533915893</v>
      </c>
      <c r="G82">
        <f>Portfolio!B$6*'CurrentPor-Rat Factor Movements'!F82</f>
        <v>3696.2945087936532</v>
      </c>
      <c r="H82">
        <f>Portfolio!B$7*'CurrentPor-Rat Factor Movements'!J82</f>
        <v>2148.0998964419859</v>
      </c>
      <c r="I82">
        <f t="shared" si="2"/>
        <v>96497.033195930722</v>
      </c>
      <c r="J82">
        <f t="shared" si="3"/>
        <v>3.1889045609714231</v>
      </c>
    </row>
    <row r="83" spans="1:10">
      <c r="A83" s="1">
        <v>45586</v>
      </c>
      <c r="B83">
        <f>(3/(1+('CurrentPor-Rat Factor Movements'!C83)/100)+103/POWER(1+('CurrentPor-Rat Factor Movements'!D83)/100,2))*100</f>
        <v>9706.8424014273551</v>
      </c>
      <c r="C83">
        <f>(3/(1+('CurrentPor-Rat Factor Movements'!C83+'CurrentPor-Rat Factor Movements'!G83)/100)+103/POWER(1+('CurrentPor-Rat Factor Movements'!D83+'CurrentPor-Rat Factor Movements'!G83)/100,2))*100</f>
        <v>9614.2347000712471</v>
      </c>
      <c r="D83">
        <f>(3/(1+('CurrentPor-Rat Factor Movements'!C83+'CurrentPor-Rat Factor Movements'!H83)/100)+103/POWER(1+('CurrentPor-Rat Factor Movements'!D83+'CurrentPor-Rat Factor Movements'!H83)/100,2))*100</f>
        <v>9600.5084817559855</v>
      </c>
      <c r="E83">
        <f>(3/(1+('CurrentPor-Rat Factor Movements'!C83+'CurrentPor-Rat Factor Movements'!I83)/100)+103/POWER(1+('CurrentPor-Rat Factor Movements'!D83+'CurrentPor-Rat Factor Movements'!I83)/100,2))*100</f>
        <v>9580.725918550037</v>
      </c>
      <c r="F83">
        <f>Portfolio!B$5*'CurrentPor-Rat Factor Movements'!E83</f>
        <v>52143.895533915893</v>
      </c>
      <c r="G83">
        <f>Portfolio!B$6*'CurrentPor-Rat Factor Movements'!F83</f>
        <v>3696.2945087936532</v>
      </c>
      <c r="H83">
        <f>Portfolio!B$7*'CurrentPor-Rat Factor Movements'!J83</f>
        <v>2148.0998964419859</v>
      </c>
      <c r="I83">
        <f t="shared" si="2"/>
        <v>96490.601440956161</v>
      </c>
      <c r="J83">
        <f t="shared" si="3"/>
        <v>1.5653918040916324</v>
      </c>
    </row>
    <row r="84" spans="1:10">
      <c r="A84" s="1">
        <v>45587</v>
      </c>
      <c r="B84">
        <f>(3/(1+('CurrentPor-Rat Factor Movements'!C84)/100)+103/POWER(1+('CurrentPor-Rat Factor Movements'!D84)/100,2))*100</f>
        <v>9706.7683248464346</v>
      </c>
      <c r="C84">
        <f>(3/(1+('CurrentPor-Rat Factor Movements'!C84+'CurrentPor-Rat Factor Movements'!G84)/100)+103/POWER(1+('CurrentPor-Rat Factor Movements'!D84+'CurrentPor-Rat Factor Movements'!G84)/100,2))*100</f>
        <v>9614.1616914867427</v>
      </c>
      <c r="D84">
        <f>(3/(1+('CurrentPor-Rat Factor Movements'!C84+'CurrentPor-Rat Factor Movements'!H84)/100)+103/POWER(1+('CurrentPor-Rat Factor Movements'!D84+'CurrentPor-Rat Factor Movements'!H84)/100,2))*100</f>
        <v>9600.4356310240091</v>
      </c>
      <c r="E84">
        <f>(3/(1+('CurrentPor-Rat Factor Movements'!C84+'CurrentPor-Rat Factor Movements'!I84)/100)+103/POWER(1+('CurrentPor-Rat Factor Movements'!D84+'CurrentPor-Rat Factor Movements'!I84)/100,2))*100</f>
        <v>9580.6532951165536</v>
      </c>
      <c r="F84">
        <f>Portfolio!B$5*'CurrentPor-Rat Factor Movements'!E84</f>
        <v>52143.895533915893</v>
      </c>
      <c r="G84">
        <f>Portfolio!B$6*'CurrentPor-Rat Factor Movements'!F84</f>
        <v>3696.2945087936532</v>
      </c>
      <c r="H84">
        <f>Portfolio!B$7*'CurrentPor-Rat Factor Movements'!J84</f>
        <v>2148.0998964419859</v>
      </c>
      <c r="I84">
        <f t="shared" si="2"/>
        <v>96490.308881625286</v>
      </c>
      <c r="J84">
        <f t="shared" si="3"/>
        <v>-2.2767789068166167</v>
      </c>
    </row>
    <row r="85" spans="1:10">
      <c r="A85" s="1">
        <v>45588</v>
      </c>
      <c r="B85">
        <f>(3/(1+('CurrentPor-Rat Factor Movements'!C85)/100)+103/POWER(1+('CurrentPor-Rat Factor Movements'!D85)/100,2))*100</f>
        <v>9707.6492690754476</v>
      </c>
      <c r="C85">
        <f>(3/(1+('CurrentPor-Rat Factor Movements'!C85+'CurrentPor-Rat Factor Movements'!G85)/100)+103/POWER(1+('CurrentPor-Rat Factor Movements'!D85+'CurrentPor-Rat Factor Movements'!G85)/100,2))*100</f>
        <v>9615.0299344677624</v>
      </c>
      <c r="D85">
        <f>(3/(1+('CurrentPor-Rat Factor Movements'!C85+'CurrentPor-Rat Factor Movements'!H85)/100)+103/POWER(1+('CurrentPor-Rat Factor Movements'!D85+'CurrentPor-Rat Factor Movements'!H85)/100,2))*100</f>
        <v>9601.3019967293458</v>
      </c>
      <c r="E85">
        <f>(3/(1+('CurrentPor-Rat Factor Movements'!C85+'CurrentPor-Rat Factor Movements'!I85)/100)+103/POWER(1+('CurrentPor-Rat Factor Movements'!D85+'CurrentPor-Rat Factor Movements'!I85)/100,2))*100</f>
        <v>9581.5169576539574</v>
      </c>
      <c r="F85">
        <f>Portfolio!B$5*'CurrentPor-Rat Factor Movements'!E85</f>
        <v>52143.895533915893</v>
      </c>
      <c r="G85">
        <f>Portfolio!B$6*'CurrentPor-Rat Factor Movements'!F85</f>
        <v>3696.2945087936532</v>
      </c>
      <c r="H85">
        <f>Portfolio!B$7*'CurrentPor-Rat Factor Movements'!J85</f>
        <v>2148.0998964419859</v>
      </c>
      <c r="I85">
        <f t="shared" si="2"/>
        <v>96493.788097078039</v>
      </c>
      <c r="J85">
        <f t="shared" si="3"/>
        <v>4.3214099372416968</v>
      </c>
    </row>
    <row r="86" spans="1:10">
      <c r="A86" s="1">
        <v>45589</v>
      </c>
      <c r="B86">
        <f>(3/(1+('CurrentPor-Rat Factor Movements'!C86)/100)+103/POWER(1+('CurrentPor-Rat Factor Movements'!D86)/100,2))*100</f>
        <v>9707.5560367861981</v>
      </c>
      <c r="C86">
        <f>(3/(1+('CurrentPor-Rat Factor Movements'!C86+'CurrentPor-Rat Factor Movements'!G86)/100)+103/POWER(1+('CurrentPor-Rat Factor Movements'!D86+'CurrentPor-Rat Factor Movements'!G86)/100,2))*100</f>
        <v>9614.9380464074147</v>
      </c>
      <c r="D86">
        <f>(3/(1+('CurrentPor-Rat Factor Movements'!C86+'CurrentPor-Rat Factor Movements'!H86)/100)+103/POWER(1+('CurrentPor-Rat Factor Movements'!D86+'CurrentPor-Rat Factor Movements'!H86)/100,2))*100</f>
        <v>9601.2103073492945</v>
      </c>
      <c r="E86">
        <f>(3/(1+('CurrentPor-Rat Factor Movements'!C86+'CurrentPor-Rat Factor Movements'!I86)/100)+103/POWER(1+('CurrentPor-Rat Factor Movements'!D86+'CurrentPor-Rat Factor Movements'!I86)/100,2))*100</f>
        <v>9581.4255543619602</v>
      </c>
      <c r="F86">
        <f>Portfolio!B$5*'CurrentPor-Rat Factor Movements'!E86</f>
        <v>52143.895533915893</v>
      </c>
      <c r="G86">
        <f>Portfolio!B$6*'CurrentPor-Rat Factor Movements'!F86</f>
        <v>3696.2945087936532</v>
      </c>
      <c r="H86">
        <f>Portfolio!B$7*'CurrentPor-Rat Factor Movements'!J86</f>
        <v>2148.0998964419859</v>
      </c>
      <c r="I86">
        <f t="shared" si="2"/>
        <v>96493.419884056391</v>
      </c>
      <c r="J86">
        <f t="shared" si="3"/>
        <v>5.2432323004468344</v>
      </c>
    </row>
    <row r="87" spans="1:10">
      <c r="A87" s="1">
        <v>45590</v>
      </c>
      <c r="B87">
        <f>(3/(1+('CurrentPor-Rat Factor Movements'!C87)/100)+103/POWER(1+('CurrentPor-Rat Factor Movements'!D87)/100,2))*100</f>
        <v>9705.1107963903687</v>
      </c>
      <c r="C87">
        <f>(3/(1+('CurrentPor-Rat Factor Movements'!C87+'CurrentPor-Rat Factor Movements'!G87)/100)+103/POWER(1+('CurrentPor-Rat Factor Movements'!D87+'CurrentPor-Rat Factor Movements'!G87)/100,2))*100</f>
        <v>9612.5280593102125</v>
      </c>
      <c r="D87">
        <f>(3/(1+('CurrentPor-Rat Factor Movements'!C87+'CurrentPor-Rat Factor Movements'!H87)/100)+103/POWER(1+('CurrentPor-Rat Factor Movements'!D87+'CurrentPor-Rat Factor Movements'!H87)/100,2))*100</f>
        <v>9598.8055307789728</v>
      </c>
      <c r="E87">
        <f>(3/(1+('CurrentPor-Rat Factor Movements'!C87+'CurrentPor-Rat Factor Movements'!I87)/100)+103/POWER(1+('CurrentPor-Rat Factor Movements'!D87+'CurrentPor-Rat Factor Movements'!I87)/100,2))*100</f>
        <v>9579.0282806488904</v>
      </c>
      <c r="F87">
        <f>Portfolio!B$5*'CurrentPor-Rat Factor Movements'!E87</f>
        <v>52143.895533915893</v>
      </c>
      <c r="G87">
        <f>Portfolio!B$6*'CurrentPor-Rat Factor Movements'!F87</f>
        <v>3696.2945087936532</v>
      </c>
      <c r="H87">
        <f>Portfolio!B$7*'CurrentPor-Rat Factor Movements'!J87</f>
        <v>2148.0998964419859</v>
      </c>
      <c r="I87">
        <f t="shared" si="2"/>
        <v>96483.762606279968</v>
      </c>
      <c r="J87">
        <f t="shared" si="3"/>
        <v>-11.39990557479905</v>
      </c>
    </row>
    <row r="88" spans="1:10">
      <c r="A88" s="1">
        <v>45593</v>
      </c>
      <c r="B88">
        <f>(3/(1+('CurrentPor-Rat Factor Movements'!C88)/100)+103/POWER(1+('CurrentPor-Rat Factor Movements'!D88)/100,2))*100</f>
        <v>9707.3269236378146</v>
      </c>
      <c r="C88">
        <f>(3/(1+('CurrentPor-Rat Factor Movements'!C88+'CurrentPor-Rat Factor Movements'!G88)/100)+103/POWER(1+('CurrentPor-Rat Factor Movements'!D88+'CurrentPor-Rat Factor Movements'!G88)/100,2))*100</f>
        <v>9614.7122365988471</v>
      </c>
      <c r="D88">
        <f>(3/(1+('CurrentPor-Rat Factor Movements'!C88+'CurrentPor-Rat Factor Movements'!H88)/100)+103/POWER(1+('CurrentPor-Rat Factor Movements'!D88+'CurrentPor-Rat Factor Movements'!H88)/100,2))*100</f>
        <v>9600.9849857824029</v>
      </c>
      <c r="E88">
        <f>(3/(1+('CurrentPor-Rat Factor Movements'!C88+'CurrentPor-Rat Factor Movements'!I88)/100)+103/POWER(1+('CurrentPor-Rat Factor Movements'!D88+'CurrentPor-Rat Factor Movements'!I88)/100,2))*100</f>
        <v>9581.2009358347022</v>
      </c>
      <c r="F88">
        <f>Portfolio!B$5*'CurrentPor-Rat Factor Movements'!E88</f>
        <v>52143.895533915893</v>
      </c>
      <c r="G88">
        <f>Portfolio!B$6*'CurrentPor-Rat Factor Movements'!F88</f>
        <v>3696.2945087936532</v>
      </c>
      <c r="H88">
        <f>Portfolio!B$7*'CurrentPor-Rat Factor Movements'!J88</f>
        <v>2148.0998964419859</v>
      </c>
      <c r="I88">
        <f t="shared" si="2"/>
        <v>96492.515021005311</v>
      </c>
      <c r="J88">
        <f t="shared" si="3"/>
        <v>6.3835384809062816</v>
      </c>
    </row>
    <row r="89" spans="1:10">
      <c r="A89" s="1">
        <v>45594</v>
      </c>
      <c r="B89">
        <f>(3/(1+('CurrentPor-Rat Factor Movements'!C89)/100)+103/POWER(1+('CurrentPor-Rat Factor Movements'!D89)/100,2))*100</f>
        <v>9707.1201634363424</v>
      </c>
      <c r="C89">
        <f>(3/(1+('CurrentPor-Rat Factor Movements'!C89+'CurrentPor-Rat Factor Movements'!G89)/100)+103/POWER(1+('CurrentPor-Rat Factor Movements'!D89+'CurrentPor-Rat Factor Movements'!G89)/100,2))*100</f>
        <v>9614.5084574199209</v>
      </c>
      <c r="D89">
        <f>(3/(1+('CurrentPor-Rat Factor Movements'!C89+'CurrentPor-Rat Factor Movements'!H89)/100)+103/POWER(1+('CurrentPor-Rat Factor Movements'!D89+'CurrentPor-Rat Factor Movements'!H89)/100,2))*100</f>
        <v>9600.7816472059385</v>
      </c>
      <c r="E89">
        <f>(3/(1+('CurrentPor-Rat Factor Movements'!C89+'CurrentPor-Rat Factor Movements'!I89)/100)+103/POWER(1+('CurrentPor-Rat Factor Movements'!D89+'CurrentPor-Rat Factor Movements'!I89)/100,2))*100</f>
        <v>9580.9982317001777</v>
      </c>
      <c r="F89">
        <f>Portfolio!B$5*'CurrentPor-Rat Factor Movements'!E89</f>
        <v>52143.895533915893</v>
      </c>
      <c r="G89">
        <f>Portfolio!B$6*'CurrentPor-Rat Factor Movements'!F89</f>
        <v>3696.2945087936532</v>
      </c>
      <c r="H89">
        <f>Portfolio!B$7*'CurrentPor-Rat Factor Movements'!J89</f>
        <v>2148.0998964419859</v>
      </c>
      <c r="I89">
        <f t="shared" si="2"/>
        <v>96491.698438913911</v>
      </c>
      <c r="J89">
        <f t="shared" si="3"/>
        <v>-2.1423188068147283</v>
      </c>
    </row>
    <row r="90" spans="1:10">
      <c r="A90" s="1">
        <v>45595</v>
      </c>
      <c r="B90">
        <f>(3/(1+('CurrentPor-Rat Factor Movements'!C90)/100)+103/POWER(1+('CurrentPor-Rat Factor Movements'!D90)/100,2))*100</f>
        <v>9707.1497775641528</v>
      </c>
      <c r="C90">
        <f>(3/(1+('CurrentPor-Rat Factor Movements'!C90+'CurrentPor-Rat Factor Movements'!G90)/100)+103/POWER(1+('CurrentPor-Rat Factor Movements'!D90+'CurrentPor-Rat Factor Movements'!G90)/100,2))*100</f>
        <v>9614.5376445797992</v>
      </c>
      <c r="D90">
        <f>(3/(1+('CurrentPor-Rat Factor Movements'!C90+'CurrentPor-Rat Factor Movements'!H90)/100)+103/POWER(1+('CurrentPor-Rat Factor Movements'!D90+'CurrentPor-Rat Factor Movements'!H90)/100,2))*100</f>
        <v>9600.8107712589044</v>
      </c>
      <c r="E90">
        <f>(3/(1+('CurrentPor-Rat Factor Movements'!C90+'CurrentPor-Rat Factor Movements'!I90)/100)+103/POWER(1+('CurrentPor-Rat Factor Movements'!D90+'CurrentPor-Rat Factor Movements'!I90)/100,2))*100</f>
        <v>9581.0272648828541</v>
      </c>
      <c r="F90">
        <f>Portfolio!B$5*'CurrentPor-Rat Factor Movements'!E90</f>
        <v>52143.895533915893</v>
      </c>
      <c r="G90">
        <f>Portfolio!B$6*'CurrentPor-Rat Factor Movements'!F90</f>
        <v>3696.2945087936532</v>
      </c>
      <c r="H90">
        <f>Portfolio!B$7*'CurrentPor-Rat Factor Movements'!J90</f>
        <v>2148.0998964419859</v>
      </c>
      <c r="I90">
        <f t="shared" si="2"/>
        <v>96491.81539743724</v>
      </c>
      <c r="J90">
        <f t="shared" si="3"/>
        <v>-1.1368322317721322</v>
      </c>
    </row>
    <row r="91" spans="1:10">
      <c r="A91" s="1">
        <v>45596</v>
      </c>
      <c r="B91">
        <f>(3/(1+('CurrentPor-Rat Factor Movements'!C91)/100)+103/POWER(1+('CurrentPor-Rat Factor Movements'!D91)/100,2))*100</f>
        <v>9708.3861095042867</v>
      </c>
      <c r="C91">
        <f>(3/(1+('CurrentPor-Rat Factor Movements'!C91+'CurrentPor-Rat Factor Movements'!G91)/100)+103/POWER(1+('CurrentPor-Rat Factor Movements'!D91+'CurrentPor-Rat Factor Movements'!G91)/100,2))*100</f>
        <v>9615.7561508563995</v>
      </c>
      <c r="D91">
        <f>(3/(1+('CurrentPor-Rat Factor Movements'!C91+'CurrentPor-Rat Factor Movements'!H91)/100)+103/POWER(1+('CurrentPor-Rat Factor Movements'!D91+'CurrentPor-Rat Factor Movements'!H91)/100,2))*100</f>
        <v>9602.0266428594623</v>
      </c>
      <c r="E91">
        <f>(3/(1+('CurrentPor-Rat Factor Movements'!C91+'CurrentPor-Rat Factor Movements'!I91)/100)+103/POWER(1+('CurrentPor-Rat Factor Movements'!D91+'CurrentPor-Rat Factor Movements'!I91)/100,2))*100</f>
        <v>9582.2393427033458</v>
      </c>
      <c r="F91">
        <f>Portfolio!B$5*'CurrentPor-Rat Factor Movements'!E91</f>
        <v>52143.895533915893</v>
      </c>
      <c r="G91">
        <f>Portfolio!B$6*'CurrentPor-Rat Factor Movements'!F91</f>
        <v>3696.2945087936532</v>
      </c>
      <c r="H91">
        <f>Portfolio!B$7*'CurrentPor-Rat Factor Movements'!J91</f>
        <v>2148.0998964419859</v>
      </c>
      <c r="I91">
        <f t="shared" si="2"/>
        <v>96496.698185075031</v>
      </c>
      <c r="J91">
        <f t="shared" si="3"/>
        <v>-0.48678755320725031</v>
      </c>
    </row>
    <row r="92" spans="1:10">
      <c r="A92" s="1">
        <v>45597</v>
      </c>
      <c r="B92">
        <f>(3/(1+('CurrentPor-Rat Factor Movements'!C92)/100)+103/POWER(1+('CurrentPor-Rat Factor Movements'!D92)/100,2))*100</f>
        <v>9707.4638785396346</v>
      </c>
      <c r="C92">
        <f>(3/(1+('CurrentPor-Rat Factor Movements'!C92+'CurrentPor-Rat Factor Movements'!G92)/100)+103/POWER(1+('CurrentPor-Rat Factor Movements'!D92+'CurrentPor-Rat Factor Movements'!G92)/100,2))*100</f>
        <v>9614.8472168977314</v>
      </c>
      <c r="D92">
        <f>(3/(1+('CurrentPor-Rat Factor Movements'!C92+'CurrentPor-Rat Factor Movements'!H92)/100)+103/POWER(1+('CurrentPor-Rat Factor Movements'!D92+'CurrentPor-Rat Factor Movements'!H92)/100,2))*100</f>
        <v>9601.1196742301545</v>
      </c>
      <c r="E92">
        <f>(3/(1+('CurrentPor-Rat Factor Movements'!C92+'CurrentPor-Rat Factor Movements'!I92)/100)+103/POWER(1+('CurrentPor-Rat Factor Movements'!D92+'CurrentPor-Rat Factor Movements'!I92)/100,2))*100</f>
        <v>9581.3352040337795</v>
      </c>
      <c r="F92">
        <f>Portfolio!B$5*'CurrentPor-Rat Factor Movements'!E92</f>
        <v>52143.895533915893</v>
      </c>
      <c r="G92">
        <f>Portfolio!B$6*'CurrentPor-Rat Factor Movements'!F92</f>
        <v>3696.2945087936532</v>
      </c>
      <c r="H92">
        <f>Portfolio!B$7*'CurrentPor-Rat Factor Movements'!J92</f>
        <v>2148.0998964419859</v>
      </c>
      <c r="I92">
        <f t="shared" si="2"/>
        <v>96493.055912852826</v>
      </c>
      <c r="J92">
        <f t="shared" si="3"/>
        <v>-3.9772830778965726</v>
      </c>
    </row>
    <row r="93" spans="1:10">
      <c r="A93" s="1">
        <v>45600</v>
      </c>
      <c r="B93">
        <f>(3/(1+('CurrentPor-Rat Factor Movements'!C93)/100)+103/POWER(1+('CurrentPor-Rat Factor Movements'!D93)/100,2))*100</f>
        <v>9707.5741088087216</v>
      </c>
      <c r="C93">
        <f>(3/(1+('CurrentPor-Rat Factor Movements'!C93+'CurrentPor-Rat Factor Movements'!G93)/100)+103/POWER(1+('CurrentPor-Rat Factor Movements'!D93+'CurrentPor-Rat Factor Movements'!G93)/100,2))*100</f>
        <v>9614.9558578669112</v>
      </c>
      <c r="D93">
        <f>(3/(1+('CurrentPor-Rat Factor Movements'!C93+'CurrentPor-Rat Factor Movements'!H93)/100)+103/POWER(1+('CurrentPor-Rat Factor Movements'!D93+'CurrentPor-Rat Factor Movements'!H93)/100,2))*100</f>
        <v>9601.2280802969435</v>
      </c>
      <c r="E93">
        <f>(3/(1+('CurrentPor-Rat Factor Movements'!C93+'CurrentPor-Rat Factor Movements'!I93)/100)+103/POWER(1+('CurrentPor-Rat Factor Movements'!D93+'CurrentPor-Rat Factor Movements'!I93)/100,2))*100</f>
        <v>9581.4432718547869</v>
      </c>
      <c r="F93">
        <f>Portfolio!B$5*'CurrentPor-Rat Factor Movements'!E93</f>
        <v>52143.895533915893</v>
      </c>
      <c r="G93">
        <f>Portfolio!B$6*'CurrentPor-Rat Factor Movements'!F93</f>
        <v>3696.2945087936532</v>
      </c>
      <c r="H93">
        <f>Portfolio!B$7*'CurrentPor-Rat Factor Movements'!J93</f>
        <v>2148.0998964419859</v>
      </c>
      <c r="I93">
        <f t="shared" si="2"/>
        <v>96493.491257978894</v>
      </c>
      <c r="J93">
        <f t="shared" si="3"/>
        <v>2.8898170227330411</v>
      </c>
    </row>
    <row r="94" spans="1:10">
      <c r="A94" s="1">
        <v>45601</v>
      </c>
      <c r="B94">
        <f>(3/(1+('CurrentPor-Rat Factor Movements'!C94)/100)+103/POWER(1+('CurrentPor-Rat Factor Movements'!D94)/100,2))*100</f>
        <v>9707.4653411108393</v>
      </c>
      <c r="C94">
        <f>(3/(1+('CurrentPor-Rat Factor Movements'!C94+'CurrentPor-Rat Factor Movements'!G94)/100)+103/POWER(1+('CurrentPor-Rat Factor Movements'!D94+'CurrentPor-Rat Factor Movements'!G94)/100,2))*100</f>
        <v>9614.8486583816484</v>
      </c>
      <c r="D94">
        <f>(3/(1+('CurrentPor-Rat Factor Movements'!C94+'CurrentPor-Rat Factor Movements'!H94)/100)+103/POWER(1+('CurrentPor-Rat Factor Movements'!D94+'CurrentPor-Rat Factor Movements'!H94)/100,2))*100</f>
        <v>9601.121112597315</v>
      </c>
      <c r="E94">
        <f>(3/(1+('CurrentPor-Rat Factor Movements'!C94+'CurrentPor-Rat Factor Movements'!I94)/100)+103/POWER(1+('CurrentPor-Rat Factor Movements'!D94+'CurrentPor-Rat Factor Movements'!I94)/100,2))*100</f>
        <v>9581.3366379129984</v>
      </c>
      <c r="F94">
        <f>Portfolio!B$5*'CurrentPor-Rat Factor Movements'!E94</f>
        <v>52143.895533915893</v>
      </c>
      <c r="G94">
        <f>Portfolio!B$6*'CurrentPor-Rat Factor Movements'!F94</f>
        <v>3696.2945087936532</v>
      </c>
      <c r="H94">
        <f>Portfolio!B$7*'CurrentPor-Rat Factor Movements'!J94</f>
        <v>2148.0998964419859</v>
      </c>
      <c r="I94">
        <f t="shared" si="2"/>
        <v>96493.061689154318</v>
      </c>
      <c r="J94">
        <f t="shared" si="3"/>
        <v>2.7528075290319975</v>
      </c>
    </row>
    <row r="95" spans="1:10">
      <c r="A95" s="1">
        <v>45602</v>
      </c>
      <c r="B95">
        <f>(3/(1+('CurrentPor-Rat Factor Movements'!C95)/100)+103/POWER(1+('CurrentPor-Rat Factor Movements'!D95)/100,2))*100</f>
        <v>9706.9340208064823</v>
      </c>
      <c r="C95">
        <f>(3/(1+('CurrentPor-Rat Factor Movements'!C95+'CurrentPor-Rat Factor Movements'!G95)/100)+103/POWER(1+('CurrentPor-Rat Factor Movements'!D95+'CurrentPor-Rat Factor Movements'!G95)/100,2))*100</f>
        <v>9614.3249985256152</v>
      </c>
      <c r="D95">
        <f>(3/(1+('CurrentPor-Rat Factor Movements'!C95+'CurrentPor-Rat Factor Movements'!H95)/100)+103/POWER(1+('CurrentPor-Rat Factor Movements'!D95+'CurrentPor-Rat Factor Movements'!H95)/100,2))*100</f>
        <v>9600.5985849743902</v>
      </c>
      <c r="E95">
        <f>(3/(1+('CurrentPor-Rat Factor Movements'!C95+'CurrentPor-Rat Factor Movements'!I95)/100)+103/POWER(1+('CurrentPor-Rat Factor Movements'!D95+'CurrentPor-Rat Factor Movements'!I95)/100,2))*100</f>
        <v>9580.815740639975</v>
      </c>
      <c r="F95">
        <f>Portfolio!B$5*'CurrentPor-Rat Factor Movements'!E95</f>
        <v>52143.895533915893</v>
      </c>
      <c r="G95">
        <f>Portfolio!B$6*'CurrentPor-Rat Factor Movements'!F95</f>
        <v>3696.2945087936532</v>
      </c>
      <c r="H95">
        <f>Portfolio!B$7*'CurrentPor-Rat Factor Movements'!J95</f>
        <v>2148.0998964419859</v>
      </c>
      <c r="I95">
        <f t="shared" si="2"/>
        <v>96490.963284098005</v>
      </c>
      <c r="J95">
        <f t="shared" si="3"/>
        <v>-2.8248129800340394</v>
      </c>
    </row>
    <row r="96" spans="1:10">
      <c r="A96" s="1">
        <v>45603</v>
      </c>
      <c r="B96">
        <f>(3/(1+('CurrentPor-Rat Factor Movements'!C96)/100)+103/POWER(1+('CurrentPor-Rat Factor Movements'!D96)/100,2))*100</f>
        <v>9707.0533855420199</v>
      </c>
      <c r="C96">
        <f>(3/(1+('CurrentPor-Rat Factor Movements'!C96+'CurrentPor-Rat Factor Movements'!G96)/100)+103/POWER(1+('CurrentPor-Rat Factor Movements'!D96+'CurrentPor-Rat Factor Movements'!G96)/100,2))*100</f>
        <v>9614.4426423075602</v>
      </c>
      <c r="D96">
        <f>(3/(1+('CurrentPor-Rat Factor Movements'!C96+'CurrentPor-Rat Factor Movements'!H96)/100)+103/POWER(1+('CurrentPor-Rat Factor Movements'!D96+'CurrentPor-Rat Factor Movements'!H96)/100,2))*100</f>
        <v>9600.715974395127</v>
      </c>
      <c r="E96">
        <f>(3/(1+('CurrentPor-Rat Factor Movements'!C96+'CurrentPor-Rat Factor Movements'!I96)/100)+103/POWER(1+('CurrentPor-Rat Factor Movements'!D96+'CurrentPor-Rat Factor Movements'!I96)/100,2))*100</f>
        <v>9580.9327637953375</v>
      </c>
      <c r="F96">
        <f>Portfolio!B$5*'CurrentPor-Rat Factor Movements'!E96</f>
        <v>52143.895533915893</v>
      </c>
      <c r="G96">
        <f>Portfolio!B$6*'CurrentPor-Rat Factor Movements'!F96</f>
        <v>3696.2945087936532</v>
      </c>
      <c r="H96">
        <f>Portfolio!B$7*'CurrentPor-Rat Factor Movements'!J96</f>
        <v>2148.0998964419859</v>
      </c>
      <c r="I96">
        <f t="shared" si="2"/>
        <v>96491.434705191568</v>
      </c>
      <c r="J96">
        <f t="shared" si="3"/>
        <v>-1.9851788648229558</v>
      </c>
    </row>
    <row r="97" spans="1:10">
      <c r="A97" s="1">
        <v>45604</v>
      </c>
      <c r="B97">
        <f>(3/(1+('CurrentPor-Rat Factor Movements'!C97)/100)+103/POWER(1+('CurrentPor-Rat Factor Movements'!D97)/100,2))*100</f>
        <v>9707.5689441535324</v>
      </c>
      <c r="C97">
        <f>(3/(1+('CurrentPor-Rat Factor Movements'!C97+'CurrentPor-Rat Factor Movements'!G97)/100)+103/POWER(1+('CurrentPor-Rat Factor Movements'!D97+'CurrentPor-Rat Factor Movements'!G97)/100,2))*100</f>
        <v>9614.9507676759185</v>
      </c>
      <c r="D97">
        <f>(3/(1+('CurrentPor-Rat Factor Movements'!C97+'CurrentPor-Rat Factor Movements'!H97)/100)+103/POWER(1+('CurrentPor-Rat Factor Movements'!D97+'CurrentPor-Rat Factor Movements'!H97)/100,2))*100</f>
        <v>9601.2230011119373</v>
      </c>
      <c r="E97">
        <f>(3/(1+('CurrentPor-Rat Factor Movements'!C97+'CurrentPor-Rat Factor Movements'!I97)/100)+103/POWER(1+('CurrentPor-Rat Factor Movements'!D97+'CurrentPor-Rat Factor Movements'!I97)/100,2))*100</f>
        <v>9581.4382085177695</v>
      </c>
      <c r="F97">
        <f>Portfolio!B$5*'CurrentPor-Rat Factor Movements'!E97</f>
        <v>52143.895533915893</v>
      </c>
      <c r="G97">
        <f>Portfolio!B$6*'CurrentPor-Rat Factor Movements'!F97</f>
        <v>3696.2945087936532</v>
      </c>
      <c r="H97">
        <f>Portfolio!B$7*'CurrentPor-Rat Factor Movements'!J97</f>
        <v>2148.0998964419859</v>
      </c>
      <c r="I97">
        <f t="shared" si="2"/>
        <v>96493.470860610701</v>
      </c>
      <c r="J97">
        <f t="shared" si="3"/>
        <v>9.7082543307333253</v>
      </c>
    </row>
    <row r="98" spans="1:10">
      <c r="A98" s="1">
        <v>45607</v>
      </c>
      <c r="B98">
        <f>(3/(1+('CurrentPor-Rat Factor Movements'!C98)/100)+103/POWER(1+('CurrentPor-Rat Factor Movements'!D98)/100,2))*100</f>
        <v>9707.1821712494984</v>
      </c>
      <c r="C98">
        <f>(3/(1+('CurrentPor-Rat Factor Movements'!C98+'CurrentPor-Rat Factor Movements'!G98)/100)+103/POWER(1+('CurrentPor-Rat Factor Movements'!D98+'CurrentPor-Rat Factor Movements'!G98)/100,2))*100</f>
        <v>9614.5695712216002</v>
      </c>
      <c r="D98">
        <f>(3/(1+('CurrentPor-Rat Factor Movements'!C98+'CurrentPor-Rat Factor Movements'!H98)/100)+103/POWER(1+('CurrentPor-Rat Factor Movements'!D98+'CurrentPor-Rat Factor Movements'!H98)/100,2))*100</f>
        <v>9600.8426288705214</v>
      </c>
      <c r="E98">
        <f>(3/(1+('CurrentPor-Rat Factor Movements'!C98+'CurrentPor-Rat Factor Movements'!I98)/100)+103/POWER(1+('CurrentPor-Rat Factor Movements'!D98+'CurrentPor-Rat Factor Movements'!I98)/100,2))*100</f>
        <v>9581.0590230950129</v>
      </c>
      <c r="F98">
        <f>Portfolio!B$5*'CurrentPor-Rat Factor Movements'!E98</f>
        <v>52143.895533915893</v>
      </c>
      <c r="G98">
        <f>Portfolio!B$6*'CurrentPor-Rat Factor Movements'!F98</f>
        <v>3696.2945087936532</v>
      </c>
      <c r="H98">
        <f>Portfolio!B$7*'CurrentPor-Rat Factor Movements'!J98</f>
        <v>2148.0998964419859</v>
      </c>
      <c r="I98">
        <f t="shared" si="2"/>
        <v>96491.943333588162</v>
      </c>
      <c r="J98">
        <f t="shared" si="3"/>
        <v>-0.57168741714849602</v>
      </c>
    </row>
    <row r="99" spans="1:10">
      <c r="A99" s="1">
        <v>45608</v>
      </c>
      <c r="B99">
        <f>(3/(1+('CurrentPor-Rat Factor Movements'!C99)/100)+103/POWER(1+('CurrentPor-Rat Factor Movements'!D99)/100,2))*100</f>
        <v>9706.3356342140778</v>
      </c>
      <c r="C99">
        <f>(3/(1+('CurrentPor-Rat Factor Movements'!C99+'CurrentPor-Rat Factor Movements'!G99)/100)+103/POWER(1+('CurrentPor-Rat Factor Movements'!D99+'CurrentPor-Rat Factor Movements'!G99)/100,2))*100</f>
        <v>9613.7352390735759</v>
      </c>
      <c r="D99">
        <f>(3/(1+('CurrentPor-Rat Factor Movements'!C99+'CurrentPor-Rat Factor Movements'!H99)/100)+103/POWER(1+('CurrentPor-Rat Factor Movements'!D99+'CurrentPor-Rat Factor Movements'!H99)/100,2))*100</f>
        <v>9600.0101006353361</v>
      </c>
      <c r="E99">
        <f>(3/(1+('CurrentPor-Rat Factor Movements'!C99+'CurrentPor-Rat Factor Movements'!I99)/100)+103/POWER(1+('CurrentPor-Rat Factor Movements'!D99+'CurrentPor-Rat Factor Movements'!I99)/100,2))*100</f>
        <v>9580.2290923897453</v>
      </c>
      <c r="F99">
        <f>Portfolio!B$5*'CurrentPor-Rat Factor Movements'!E99</f>
        <v>52143.895533915893</v>
      </c>
      <c r="G99">
        <f>Portfolio!B$6*'CurrentPor-Rat Factor Movements'!F99</f>
        <v>3696.2945087936532</v>
      </c>
      <c r="H99">
        <f>Portfolio!B$7*'CurrentPor-Rat Factor Movements'!J99</f>
        <v>2148.0998964419859</v>
      </c>
      <c r="I99">
        <f t="shared" si="2"/>
        <v>96488.600005464265</v>
      </c>
      <c r="J99">
        <f t="shared" si="3"/>
        <v>-3.0984334496461088</v>
      </c>
    </row>
    <row r="100" spans="1:10">
      <c r="A100" s="1">
        <v>45609</v>
      </c>
      <c r="B100">
        <f>(3/(1+('CurrentPor-Rat Factor Movements'!C100)/100)+103/POWER(1+('CurrentPor-Rat Factor Movements'!D100)/100,2))*100</f>
        <v>9707.8942368729258</v>
      </c>
      <c r="C100">
        <f>(3/(1+('CurrentPor-Rat Factor Movements'!C100+'CurrentPor-Rat Factor Movements'!G100)/100)+103/POWER(1+('CurrentPor-Rat Factor Movements'!D100+'CurrentPor-Rat Factor Movements'!G100)/100,2))*100</f>
        <v>9615.2713702733381</v>
      </c>
      <c r="D100">
        <f>(3/(1+('CurrentPor-Rat Factor Movements'!C100+'CurrentPor-Rat Factor Movements'!H100)/100)+103/POWER(1+('CurrentPor-Rat Factor Movements'!D100+'CurrentPor-Rat Factor Movements'!H100)/100,2))*100</f>
        <v>9601.5429104980067</v>
      </c>
      <c r="E100">
        <f>(3/(1+('CurrentPor-Rat Factor Movements'!C100+'CurrentPor-Rat Factor Movements'!I100)/100)+103/POWER(1+('CurrentPor-Rat Factor Movements'!D100+'CurrentPor-Rat Factor Movements'!I100)/100,2))*100</f>
        <v>9581.7571197198631</v>
      </c>
      <c r="F100">
        <f>Portfolio!B$5*'CurrentPor-Rat Factor Movements'!E100</f>
        <v>52143.895533915893</v>
      </c>
      <c r="G100">
        <f>Portfolio!B$6*'CurrentPor-Rat Factor Movements'!F100</f>
        <v>3696.2945087936532</v>
      </c>
      <c r="H100">
        <f>Portfolio!B$7*'CurrentPor-Rat Factor Movements'!J100</f>
        <v>2148.0998964419859</v>
      </c>
      <c r="I100">
        <f t="shared" si="2"/>
        <v>96494.755576515672</v>
      </c>
      <c r="J100">
        <f t="shared" si="3"/>
        <v>2.9401790784322657</v>
      </c>
    </row>
    <row r="101" spans="1:10">
      <c r="A101" s="1">
        <v>45610</v>
      </c>
      <c r="B101">
        <f>(3/(1+('CurrentPor-Rat Factor Movements'!C101)/100)+103/POWER(1+('CurrentPor-Rat Factor Movements'!D101)/100,2))*100</f>
        <v>9706.9846552321378</v>
      </c>
      <c r="C101">
        <f>(3/(1+('CurrentPor-Rat Factor Movements'!C101+'CurrentPor-Rat Factor Movements'!G101)/100)+103/POWER(1+('CurrentPor-Rat Factor Movements'!D101+'CurrentPor-Rat Factor Movements'!G101)/100,2))*100</f>
        <v>9614.3749029254359</v>
      </c>
      <c r="D101">
        <f>(3/(1+('CurrentPor-Rat Factor Movements'!C101+'CurrentPor-Rat Factor Movements'!H101)/100)+103/POWER(1+('CurrentPor-Rat Factor Movements'!D101+'CurrentPor-Rat Factor Movements'!H101)/100,2))*100</f>
        <v>9600.648381474577</v>
      </c>
      <c r="E101">
        <f>(3/(1+('CurrentPor-Rat Factor Movements'!C101+'CurrentPor-Rat Factor Movements'!I101)/100)+103/POWER(1+('CurrentPor-Rat Factor Movements'!D101+'CurrentPor-Rat Factor Movements'!I101)/100,2))*100</f>
        <v>9580.8653817709583</v>
      </c>
      <c r="F101">
        <f>Portfolio!B$5*'CurrentPor-Rat Factor Movements'!E101</f>
        <v>52143.895533915893</v>
      </c>
      <c r="G101">
        <f>Portfolio!B$6*'CurrentPor-Rat Factor Movements'!F101</f>
        <v>3696.2945087936532</v>
      </c>
      <c r="H101">
        <f>Portfolio!B$7*'CurrentPor-Rat Factor Movements'!J101</f>
        <v>2148.0998964419859</v>
      </c>
      <c r="I101">
        <f t="shared" si="2"/>
        <v>96491.163260554647</v>
      </c>
      <c r="J101">
        <f t="shared" si="3"/>
        <v>-5.5349245203833561</v>
      </c>
    </row>
    <row r="102" spans="1:10">
      <c r="A102" s="1">
        <v>45611</v>
      </c>
      <c r="B102">
        <f>(3/(1+('CurrentPor-Rat Factor Movements'!C102)/100)+103/POWER(1+('CurrentPor-Rat Factor Movements'!D102)/100,2))*100</f>
        <v>9708.2762804584127</v>
      </c>
      <c r="C102">
        <f>(3/(1+('CurrentPor-Rat Factor Movements'!C102+'CurrentPor-Rat Factor Movements'!G102)/100)+103/POWER(1+('CurrentPor-Rat Factor Movements'!D102+'CurrentPor-Rat Factor Movements'!G102)/100,2))*100</f>
        <v>9615.6479053925159</v>
      </c>
      <c r="D102">
        <f>(3/(1+('CurrentPor-Rat Factor Movements'!C102+'CurrentPor-Rat Factor Movements'!H102)/100)+103/POWER(1+('CurrentPor-Rat Factor Movements'!D102+'CurrentPor-Rat Factor Movements'!H102)/100,2))*100</f>
        <v>9601.9186314527342</v>
      </c>
      <c r="E102">
        <f>(3/(1+('CurrentPor-Rat Factor Movements'!C102+'CurrentPor-Rat Factor Movements'!I102)/100)+103/POWER(1+('CurrentPor-Rat Factor Movements'!D102+'CurrentPor-Rat Factor Movements'!I102)/100,2))*100</f>
        <v>9582.1316683252626</v>
      </c>
      <c r="F102">
        <f>Portfolio!B$5*'CurrentPor-Rat Factor Movements'!E102</f>
        <v>52143.895533915893</v>
      </c>
      <c r="G102">
        <f>Portfolio!B$6*'CurrentPor-Rat Factor Movements'!F102</f>
        <v>3696.2945087936532</v>
      </c>
      <c r="H102">
        <f>Portfolio!B$7*'CurrentPor-Rat Factor Movements'!J102</f>
        <v>2148.0998964419859</v>
      </c>
      <c r="I102">
        <f t="shared" si="2"/>
        <v>96496.264424780456</v>
      </c>
      <c r="J102">
        <f t="shared" si="3"/>
        <v>3.2085119276307523</v>
      </c>
    </row>
    <row r="103" spans="1:10">
      <c r="A103" s="1">
        <v>45614</v>
      </c>
      <c r="B103">
        <f>(3/(1+('CurrentPor-Rat Factor Movements'!C103)/100)+103/POWER(1+('CurrentPor-Rat Factor Movements'!D103)/100,2))*100</f>
        <v>9707.895253282657</v>
      </c>
      <c r="C103">
        <f>(3/(1+('CurrentPor-Rat Factor Movements'!C103+'CurrentPor-Rat Factor Movements'!G103)/100)+103/POWER(1+('CurrentPor-Rat Factor Movements'!D103+'CurrentPor-Rat Factor Movements'!G103)/100,2))*100</f>
        <v>9615.272372028192</v>
      </c>
      <c r="D103">
        <f>(3/(1+('CurrentPor-Rat Factor Movements'!C103+'CurrentPor-Rat Factor Movements'!H103)/100)+103/POWER(1+('CurrentPor-Rat Factor Movements'!D103+'CurrentPor-Rat Factor Movements'!H103)/100,2))*100</f>
        <v>9601.5439100868352</v>
      </c>
      <c r="E103">
        <f>(3/(1+('CurrentPor-Rat Factor Movements'!C103+'CurrentPor-Rat Factor Movements'!I103)/100)+103/POWER(1+('CurrentPor-Rat Factor Movements'!D103+'CurrentPor-Rat Factor Movements'!I103)/100,2))*100</f>
        <v>9581.7581161897342</v>
      </c>
      <c r="F103">
        <f>Portfolio!B$5*'CurrentPor-Rat Factor Movements'!E103</f>
        <v>52143.895533915893</v>
      </c>
      <c r="G103">
        <f>Portfolio!B$6*'CurrentPor-Rat Factor Movements'!F103</f>
        <v>3696.2945087936532</v>
      </c>
      <c r="H103">
        <f>Portfolio!B$7*'CurrentPor-Rat Factor Movements'!J103</f>
        <v>2148.0998964419859</v>
      </c>
      <c r="I103">
        <f t="shared" si="2"/>
        <v>96494.759590738948</v>
      </c>
      <c r="J103">
        <f t="shared" si="3"/>
        <v>1.268332760053454</v>
      </c>
    </row>
    <row r="104" spans="1:10">
      <c r="A104" s="1">
        <v>45615</v>
      </c>
      <c r="B104">
        <f>(3/(1+('CurrentPor-Rat Factor Movements'!C104)/100)+103/POWER(1+('CurrentPor-Rat Factor Movements'!D104)/100,2))*100</f>
        <v>9705.3274031366436</v>
      </c>
      <c r="C104">
        <f>(3/(1+('CurrentPor-Rat Factor Movements'!C104+'CurrentPor-Rat Factor Movements'!G104)/100)+103/POWER(1+('CurrentPor-Rat Factor Movements'!D104+'CurrentPor-Rat Factor Movements'!G104)/100,2))*100</f>
        <v>9612.7415433943897</v>
      </c>
      <c r="D104">
        <f>(3/(1+('CurrentPor-Rat Factor Movements'!C104+'CurrentPor-Rat Factor Movements'!H104)/100)+103/POWER(1+('CurrentPor-Rat Factor Movements'!D104+'CurrentPor-Rat Factor Movements'!H104)/100,2))*100</f>
        <v>9599.018553325468</v>
      </c>
      <c r="E104">
        <f>(3/(1+('CurrentPor-Rat Factor Movements'!C104+'CurrentPor-Rat Factor Movements'!I104)/100)+103/POWER(1+('CurrentPor-Rat Factor Movements'!D104+'CurrentPor-Rat Factor Movements'!I104)/100,2))*100</f>
        <v>9579.2406386077055</v>
      </c>
      <c r="F104">
        <f>Portfolio!B$5*'CurrentPor-Rat Factor Movements'!E104</f>
        <v>52143.895533915893</v>
      </c>
      <c r="G104">
        <f>Portfolio!B$6*'CurrentPor-Rat Factor Movements'!F104</f>
        <v>3696.2945087936532</v>
      </c>
      <c r="H104">
        <f>Portfolio!B$7*'CurrentPor-Rat Factor Movements'!J104</f>
        <v>2148.0998964419859</v>
      </c>
      <c r="I104">
        <f t="shared" si="2"/>
        <v>96484.618077615742</v>
      </c>
      <c r="J104">
        <f t="shared" si="3"/>
        <v>-8.4436115385760786</v>
      </c>
    </row>
    <row r="105" spans="1:10">
      <c r="A105" s="1">
        <v>45616</v>
      </c>
      <c r="B105">
        <f>(3/(1+('CurrentPor-Rat Factor Movements'!C105)/100)+103/POWER(1+('CurrentPor-Rat Factor Movements'!D105)/100,2))*100</f>
        <v>9708.108495600005</v>
      </c>
      <c r="C105">
        <f>(3/(1+('CurrentPor-Rat Factor Movements'!C105+'CurrentPor-Rat Factor Movements'!G105)/100)+103/POWER(1+('CurrentPor-Rat Factor Movements'!D105+'CurrentPor-Rat Factor Movements'!G105)/100,2))*100</f>
        <v>9615.482539740784</v>
      </c>
      <c r="D105">
        <f>(3/(1+('CurrentPor-Rat Factor Movements'!C105+'CurrentPor-Rat Factor Movements'!H105)/100)+103/POWER(1+('CurrentPor-Rat Factor Movements'!D105+'CurrentPor-Rat Factor Movements'!H105)/100,2))*100</f>
        <v>9601.7536233654919</v>
      </c>
      <c r="E105">
        <f>(3/(1+('CurrentPor-Rat Factor Movements'!C105+'CurrentPor-Rat Factor Movements'!I105)/100)+103/POWER(1+('CurrentPor-Rat Factor Movements'!D105+'CurrentPor-Rat Factor Movements'!I105)/100,2))*100</f>
        <v>9581.9671751100195</v>
      </c>
      <c r="F105">
        <f>Portfolio!B$5*'CurrentPor-Rat Factor Movements'!E105</f>
        <v>52143.895533915893</v>
      </c>
      <c r="G105">
        <f>Portfolio!B$6*'CurrentPor-Rat Factor Movements'!F105</f>
        <v>3696.2945087936532</v>
      </c>
      <c r="H105">
        <f>Portfolio!B$7*'CurrentPor-Rat Factor Movements'!J105</f>
        <v>2148.0998964419859</v>
      </c>
      <c r="I105">
        <f t="shared" si="2"/>
        <v>96495.601772967828</v>
      </c>
      <c r="J105">
        <f t="shared" si="3"/>
        <v>4.6384888698230498</v>
      </c>
    </row>
    <row r="106" spans="1:10">
      <c r="A106" s="1">
        <v>45617</v>
      </c>
      <c r="B106">
        <f>(3/(1+('CurrentPor-Rat Factor Movements'!C106)/100)+103/POWER(1+('CurrentPor-Rat Factor Movements'!D106)/100,2))*100</f>
        <v>9706.2214748400038</v>
      </c>
      <c r="C106">
        <f>(3/(1+('CurrentPor-Rat Factor Movements'!C106+'CurrentPor-Rat Factor Movements'!G106)/100)+103/POWER(1+('CurrentPor-Rat Factor Movements'!D106+'CurrentPor-Rat Factor Movements'!G106)/100,2))*100</f>
        <v>9613.6227255430094</v>
      </c>
      <c r="D106">
        <f>(3/(1+('CurrentPor-Rat Factor Movements'!C106+'CurrentPor-Rat Factor Movements'!H106)/100)+103/POWER(1+('CurrentPor-Rat Factor Movements'!D106+'CurrentPor-Rat Factor Movements'!H106)/100,2))*100</f>
        <v>9599.8978303646127</v>
      </c>
      <c r="E106">
        <f>(3/(1+('CurrentPor-Rat Factor Movements'!C106+'CurrentPor-Rat Factor Movements'!I106)/100)+103/POWER(1+('CurrentPor-Rat Factor Movements'!D106+'CurrentPor-Rat Factor Movements'!I106)/100,2))*100</f>
        <v>9580.1171723991374</v>
      </c>
      <c r="F106">
        <f>Portfolio!B$5*'CurrentPor-Rat Factor Movements'!E106</f>
        <v>52143.895533915893</v>
      </c>
      <c r="G106">
        <f>Portfolio!B$6*'CurrentPor-Rat Factor Movements'!F106</f>
        <v>3696.2945087936532</v>
      </c>
      <c r="H106">
        <f>Portfolio!B$7*'CurrentPor-Rat Factor Movements'!J106</f>
        <v>2148.0998964419859</v>
      </c>
      <c r="I106">
        <f t="shared" si="2"/>
        <v>96488.149142298294</v>
      </c>
      <c r="J106">
        <f t="shared" si="3"/>
        <v>-3.2855628932738909</v>
      </c>
    </row>
    <row r="107" spans="1:10">
      <c r="A107" s="1">
        <v>45618</v>
      </c>
      <c r="B107">
        <f>(3/(1+('CurrentPor-Rat Factor Movements'!C107)/100)+103/POWER(1+('CurrentPor-Rat Factor Movements'!D107)/100,2))*100</f>
        <v>9706.8924049158031</v>
      </c>
      <c r="C107">
        <f>(3/(1+('CurrentPor-Rat Factor Movements'!C107+'CurrentPor-Rat Factor Movements'!G107)/100)+103/POWER(1+('CurrentPor-Rat Factor Movements'!D107+'CurrentPor-Rat Factor Movements'!G107)/100,2))*100</f>
        <v>9614.2839826338932</v>
      </c>
      <c r="D107">
        <f>(3/(1+('CurrentPor-Rat Factor Movements'!C107+'CurrentPor-Rat Factor Movements'!H107)/100)+103/POWER(1+('CurrentPor-Rat Factor Movements'!D107+'CurrentPor-Rat Factor Movements'!H107)/100,2))*100</f>
        <v>9600.557657764004</v>
      </c>
      <c r="E107">
        <f>(3/(1+('CurrentPor-Rat Factor Movements'!C107+'CurrentPor-Rat Factor Movements'!I107)/100)+103/POWER(1+('CurrentPor-Rat Factor Movements'!D107+'CurrentPor-Rat Factor Movements'!I107)/100,2))*100</f>
        <v>9580.77494112557</v>
      </c>
      <c r="F107">
        <f>Portfolio!B$5*'CurrentPor-Rat Factor Movements'!E107</f>
        <v>52143.895533915893</v>
      </c>
      <c r="G107">
        <f>Portfolio!B$6*'CurrentPor-Rat Factor Movements'!F107</f>
        <v>3696.2945087936532</v>
      </c>
      <c r="H107">
        <f>Portfolio!B$7*'CurrentPor-Rat Factor Movements'!J107</f>
        <v>2148.0998964419859</v>
      </c>
      <c r="I107">
        <f t="shared" si="2"/>
        <v>96490.798925590803</v>
      </c>
      <c r="J107">
        <f t="shared" si="3"/>
        <v>-2.6719350198982283</v>
      </c>
    </row>
    <row r="108" spans="1:10">
      <c r="A108" s="1">
        <v>45621</v>
      </c>
      <c r="B108">
        <f>(3/(1+('CurrentPor-Rat Factor Movements'!C108)/100)+103/POWER(1+('CurrentPor-Rat Factor Movements'!D108)/100,2))*100</f>
        <v>9707.3656360312179</v>
      </c>
      <c r="C108">
        <f>(3/(1+('CurrentPor-Rat Factor Movements'!C108+'CurrentPor-Rat Factor Movements'!G108)/100)+103/POWER(1+('CurrentPor-Rat Factor Movements'!D108+'CurrentPor-Rat Factor Movements'!G108)/100,2))*100</f>
        <v>9614.7503908420167</v>
      </c>
      <c r="D108">
        <f>(3/(1+('CurrentPor-Rat Factor Movements'!C108+'CurrentPor-Rat Factor Movements'!H108)/100)+103/POWER(1+('CurrentPor-Rat Factor Movements'!D108+'CurrentPor-Rat Factor Movements'!H108)/100,2))*100</f>
        <v>9601.0230575296064</v>
      </c>
      <c r="E108">
        <f>(3/(1+('CurrentPor-Rat Factor Movements'!C108+'CurrentPor-Rat Factor Movements'!I108)/100)+103/POWER(1+('CurrentPor-Rat Factor Movements'!D108+'CurrentPor-Rat Factor Movements'!I108)/100,2))*100</f>
        <v>9581.238888792499</v>
      </c>
      <c r="F108">
        <f>Portfolio!B$5*'CurrentPor-Rat Factor Movements'!E108</f>
        <v>52143.895533915893</v>
      </c>
      <c r="G108">
        <f>Portfolio!B$6*'CurrentPor-Rat Factor Movements'!F108</f>
        <v>3696.2945087936532</v>
      </c>
      <c r="H108">
        <f>Portfolio!B$7*'CurrentPor-Rat Factor Movements'!J108</f>
        <v>2148.0998964419859</v>
      </c>
      <c r="I108">
        <f t="shared" si="2"/>
        <v>96492.667912346878</v>
      </c>
      <c r="J108">
        <f t="shared" si="3"/>
        <v>0.72457875871623401</v>
      </c>
    </row>
    <row r="109" spans="1:10">
      <c r="A109" s="1">
        <v>45622</v>
      </c>
      <c r="B109">
        <f>(3/(1+('CurrentPor-Rat Factor Movements'!C109)/100)+103/POWER(1+('CurrentPor-Rat Factor Movements'!D109)/100,2))*100</f>
        <v>9707.2749570566593</v>
      </c>
      <c r="C109">
        <f>(3/(1+('CurrentPor-Rat Factor Movements'!C109+'CurrentPor-Rat Factor Movements'!G109)/100)+103/POWER(1+('CurrentPor-Rat Factor Movements'!D109+'CurrentPor-Rat Factor Movements'!G109)/100,2))*100</f>
        <v>9614.661019263307</v>
      </c>
      <c r="D109">
        <f>(3/(1+('CurrentPor-Rat Factor Movements'!C109+'CurrentPor-Rat Factor Movements'!H109)/100)+103/POWER(1+('CurrentPor-Rat Factor Movements'!D109+'CurrentPor-Rat Factor Movements'!H109)/100,2))*100</f>
        <v>9600.9338791872015</v>
      </c>
      <c r="E109">
        <f>(3/(1+('CurrentPor-Rat Factor Movements'!C109+'CurrentPor-Rat Factor Movements'!I109)/100)+103/POWER(1+('CurrentPor-Rat Factor Movements'!D109+'CurrentPor-Rat Factor Movements'!I109)/100,2))*100</f>
        <v>9581.1499886991478</v>
      </c>
      <c r="F109">
        <f>Portfolio!B$5*'CurrentPor-Rat Factor Movements'!E109</f>
        <v>52143.895533915893</v>
      </c>
      <c r="G109">
        <f>Portfolio!B$6*'CurrentPor-Rat Factor Movements'!F109</f>
        <v>3696.2945087936532</v>
      </c>
      <c r="H109">
        <f>Portfolio!B$7*'CurrentPor-Rat Factor Movements'!J109</f>
        <v>2148.0998964419859</v>
      </c>
      <c r="I109">
        <f t="shared" si="2"/>
        <v>96492.30978335785</v>
      </c>
      <c r="J109">
        <f t="shared" si="3"/>
        <v>3.7097778935858514</v>
      </c>
    </row>
    <row r="110" spans="1:10">
      <c r="A110" s="1">
        <v>45623</v>
      </c>
      <c r="B110">
        <f>(3/(1+('CurrentPor-Rat Factor Movements'!C110)/100)+103/POWER(1+('CurrentPor-Rat Factor Movements'!D110)/100,2))*100</f>
        <v>9707.983083727715</v>
      </c>
      <c r="C110">
        <f>(3/(1+('CurrentPor-Rat Factor Movements'!C110+'CurrentPor-Rat Factor Movements'!G110)/100)+103/POWER(1+('CurrentPor-Rat Factor Movements'!D110+'CurrentPor-Rat Factor Movements'!G110)/100,2))*100</f>
        <v>9615.3589361062968</v>
      </c>
      <c r="D110">
        <f>(3/(1+('CurrentPor-Rat Factor Movements'!C110+'CurrentPor-Rat Factor Movements'!H110)/100)+103/POWER(1+('CurrentPor-Rat Factor Movements'!D110+'CurrentPor-Rat Factor Movements'!H110)/100,2))*100</f>
        <v>9601.6302869928732</v>
      </c>
      <c r="E110">
        <f>(3/(1+('CurrentPor-Rat Factor Movements'!C110+'CurrentPor-Rat Factor Movements'!I110)/100)+103/POWER(1+('CurrentPor-Rat Factor Movements'!D110+'CurrentPor-Rat Factor Movements'!I110)/100,2))*100</f>
        <v>9581.8442235788989</v>
      </c>
      <c r="F110">
        <f>Portfolio!B$5*'CurrentPor-Rat Factor Movements'!E110</f>
        <v>52143.895533915893</v>
      </c>
      <c r="G110">
        <f>Portfolio!B$6*'CurrentPor-Rat Factor Movements'!F110</f>
        <v>3696.2945087936532</v>
      </c>
      <c r="H110">
        <f>Portfolio!B$7*'CurrentPor-Rat Factor Movements'!J110</f>
        <v>2148.0998964419859</v>
      </c>
      <c r="I110">
        <f t="shared" si="2"/>
        <v>96495.106469557315</v>
      </c>
      <c r="J110">
        <f t="shared" si="3"/>
        <v>0.3508930416428484</v>
      </c>
    </row>
    <row r="111" spans="1:10">
      <c r="A111" s="1">
        <v>45624</v>
      </c>
      <c r="B111">
        <f>(3/(1+('CurrentPor-Rat Factor Movements'!C111)/100)+103/POWER(1+('CurrentPor-Rat Factor Movements'!D111)/100,2))*100</f>
        <v>9707.8276680193048</v>
      </c>
      <c r="C111">
        <f>(3/(1+('CurrentPor-Rat Factor Movements'!C111+'CurrentPor-Rat Factor Movements'!G111)/100)+103/POWER(1+('CurrentPor-Rat Factor Movements'!D111+'CurrentPor-Rat Factor Movements'!G111)/100,2))*100</f>
        <v>9615.2057612264634</v>
      </c>
      <c r="D111">
        <f>(3/(1+('CurrentPor-Rat Factor Movements'!C111+'CurrentPor-Rat Factor Movements'!H111)/100)+103/POWER(1+('CurrentPor-Rat Factor Movements'!D111+'CurrentPor-Rat Factor Movements'!H111)/100,2))*100</f>
        <v>9601.4774433128732</v>
      </c>
      <c r="E111">
        <f>(3/(1+('CurrentPor-Rat Factor Movements'!C111+'CurrentPor-Rat Factor Movements'!I111)/100)+103/POWER(1+('CurrentPor-Rat Factor Movements'!D111+'CurrentPor-Rat Factor Movements'!I111)/100,2))*100</f>
        <v>9581.6918568073706</v>
      </c>
      <c r="F111">
        <f>Portfolio!B$5*'CurrentPor-Rat Factor Movements'!E111</f>
        <v>52143.895533915893</v>
      </c>
      <c r="G111">
        <f>Portfolio!B$6*'CurrentPor-Rat Factor Movements'!F111</f>
        <v>3696.2945087936532</v>
      </c>
      <c r="H111">
        <f>Portfolio!B$7*'CurrentPor-Rat Factor Movements'!J111</f>
        <v>2148.0998964419859</v>
      </c>
      <c r="I111">
        <f t="shared" si="2"/>
        <v>96494.492668517545</v>
      </c>
      <c r="J111">
        <f t="shared" si="3"/>
        <v>3.329407962897676</v>
      </c>
    </row>
    <row r="112" spans="1:10">
      <c r="A112" s="1">
        <v>45625</v>
      </c>
      <c r="B112">
        <f>(3/(1+('CurrentPor-Rat Factor Movements'!C112)/100)+103/POWER(1+('CurrentPor-Rat Factor Movements'!D112)/100,2))*100</f>
        <v>9707.1982439078256</v>
      </c>
      <c r="C112">
        <f>(3/(1+('CurrentPor-Rat Factor Movements'!C112+'CurrentPor-Rat Factor Movements'!G112)/100)+103/POWER(1+('CurrentPor-Rat Factor Movements'!D112+'CurrentPor-Rat Factor Movements'!G112)/100,2))*100</f>
        <v>9614.5854121483244</v>
      </c>
      <c r="D112">
        <f>(3/(1+('CurrentPor-Rat Factor Movements'!C112+'CurrentPor-Rat Factor Movements'!H112)/100)+103/POWER(1+('CurrentPor-Rat Factor Movements'!D112+'CurrentPor-Rat Factor Movements'!H112)/100,2))*100</f>
        <v>9600.8584355467374</v>
      </c>
      <c r="E112">
        <f>(3/(1+('CurrentPor-Rat Factor Movements'!C112+'CurrentPor-Rat Factor Movements'!I112)/100)+103/POWER(1+('CurrentPor-Rat Factor Movements'!D112+'CurrentPor-Rat Factor Movements'!I112)/100,2))*100</f>
        <v>9581.0747804524945</v>
      </c>
      <c r="F112">
        <f>Portfolio!B$5*'CurrentPor-Rat Factor Movements'!E112</f>
        <v>52143.895533915893</v>
      </c>
      <c r="G112">
        <f>Portfolio!B$6*'CurrentPor-Rat Factor Movements'!F112</f>
        <v>3696.2945087936532</v>
      </c>
      <c r="H112">
        <f>Portfolio!B$7*'CurrentPor-Rat Factor Movements'!J112</f>
        <v>2148.0998964419859</v>
      </c>
      <c r="I112">
        <f t="shared" si="2"/>
        <v>96492.006811206913</v>
      </c>
      <c r="J112">
        <f t="shared" si="3"/>
        <v>-4.2576135735434946</v>
      </c>
    </row>
    <row r="113" spans="1:10">
      <c r="A113" s="1">
        <v>45628</v>
      </c>
      <c r="B113">
        <f>(3/(1+('CurrentPor-Rat Factor Movements'!C113)/100)+103/POWER(1+('CurrentPor-Rat Factor Movements'!D113)/100,2))*100</f>
        <v>9706.3124626676308</v>
      </c>
      <c r="C113">
        <f>(3/(1+('CurrentPor-Rat Factor Movements'!C113+'CurrentPor-Rat Factor Movements'!G113)/100)+103/POWER(1+('CurrentPor-Rat Factor Movements'!D113+'CurrentPor-Rat Factor Movements'!G113)/100,2))*100</f>
        <v>9613.7124015936897</v>
      </c>
      <c r="D113">
        <f>(3/(1+('CurrentPor-Rat Factor Movements'!C113+'CurrentPor-Rat Factor Movements'!H113)/100)+103/POWER(1+('CurrentPor-Rat Factor Movements'!D113+'CurrentPor-Rat Factor Movements'!H113)/100,2))*100</f>
        <v>9599.9873125313352</v>
      </c>
      <c r="E113">
        <f>(3/(1+('CurrentPor-Rat Factor Movements'!C113+'CurrentPor-Rat Factor Movements'!I113)/100)+103/POWER(1+('CurrentPor-Rat Factor Movements'!D113+'CurrentPor-Rat Factor Movements'!I113)/100,2))*100</f>
        <v>9580.206375384163</v>
      </c>
      <c r="F113">
        <f>Portfolio!B$5*'CurrentPor-Rat Factor Movements'!E113</f>
        <v>52143.895533915893</v>
      </c>
      <c r="G113">
        <f>Portfolio!B$6*'CurrentPor-Rat Factor Movements'!F113</f>
        <v>3696.2945087936532</v>
      </c>
      <c r="H113">
        <f>Portfolio!B$7*'CurrentPor-Rat Factor Movements'!J113</f>
        <v>2148.0998964419859</v>
      </c>
      <c r="I113">
        <f t="shared" si="2"/>
        <v>96488.50849132835</v>
      </c>
      <c r="J113">
        <f t="shared" si="3"/>
        <v>-6.251099410597817</v>
      </c>
    </row>
    <row r="114" spans="1:10">
      <c r="A114" s="1">
        <v>45629</v>
      </c>
      <c r="B114">
        <f>(3/(1+('CurrentPor-Rat Factor Movements'!C114)/100)+103/POWER(1+('CurrentPor-Rat Factor Movements'!D114)/100,2))*100</f>
        <v>9705.1700119135385</v>
      </c>
      <c r="C114">
        <f>(3/(1+('CurrentPor-Rat Factor Movements'!C114+'CurrentPor-Rat Factor Movements'!G114)/100)+103/POWER(1+('CurrentPor-Rat Factor Movements'!D114+'CurrentPor-Rat Factor Movements'!G114)/100,2))*100</f>
        <v>9612.5864211696971</v>
      </c>
      <c r="D114">
        <f>(3/(1+('CurrentPor-Rat Factor Movements'!C114+'CurrentPor-Rat Factor Movements'!H114)/100)+103/POWER(1+('CurrentPor-Rat Factor Movements'!D114+'CurrentPor-Rat Factor Movements'!H114)/100,2))*100</f>
        <v>9598.863766464714</v>
      </c>
      <c r="E114">
        <f>(3/(1+('CurrentPor-Rat Factor Movements'!C114+'CurrentPor-Rat Factor Movements'!I114)/100)+103/POWER(1+('CurrentPor-Rat Factor Movements'!D114+'CurrentPor-Rat Factor Movements'!I114)/100,2))*100</f>
        <v>9579.0863346516981</v>
      </c>
      <c r="F114">
        <f>Portfolio!B$5*'CurrentPor-Rat Factor Movements'!E114</f>
        <v>52143.895533915893</v>
      </c>
      <c r="G114">
        <f>Portfolio!B$6*'CurrentPor-Rat Factor Movements'!F114</f>
        <v>3696.2945087936532</v>
      </c>
      <c r="H114">
        <f>Portfolio!B$7*'CurrentPor-Rat Factor Movements'!J114</f>
        <v>2148.0998964419859</v>
      </c>
      <c r="I114">
        <f t="shared" si="2"/>
        <v>96483.996473351188</v>
      </c>
      <c r="J114">
        <f t="shared" si="3"/>
        <v>-0.62160426455375273</v>
      </c>
    </row>
    <row r="115" spans="1:10">
      <c r="A115" s="1">
        <v>45630</v>
      </c>
      <c r="B115">
        <f>(3/(1+('CurrentPor-Rat Factor Movements'!C115)/100)+103/POWER(1+('CurrentPor-Rat Factor Movements'!D115)/100,2))*100</f>
        <v>9707.4930561750352</v>
      </c>
      <c r="C115">
        <f>(3/(1+('CurrentPor-Rat Factor Movements'!C115+'CurrentPor-Rat Factor Movements'!G115)/100)+103/POWER(1+('CurrentPor-Rat Factor Movements'!D115+'CurrentPor-Rat Factor Movements'!G115)/100,2))*100</f>
        <v>9614.8759738508998</v>
      </c>
      <c r="D115">
        <f>(3/(1+('CurrentPor-Rat Factor Movements'!C115+'CurrentPor-Rat Factor Movements'!H115)/100)+103/POWER(1+('CurrentPor-Rat Factor Movements'!D115+'CurrentPor-Rat Factor Movements'!H115)/100,2))*100</f>
        <v>9601.1483690054611</v>
      </c>
      <c r="E115">
        <f>(3/(1+('CurrentPor-Rat Factor Movements'!C115+'CurrentPor-Rat Factor Movements'!I115)/100)+103/POWER(1+('CurrentPor-Rat Factor Movements'!D115+'CurrentPor-Rat Factor Movements'!I115)/100,2))*100</f>
        <v>9581.3638092765905</v>
      </c>
      <c r="F115">
        <f>Portfolio!B$5*'CurrentPor-Rat Factor Movements'!E115</f>
        <v>52143.895533915893</v>
      </c>
      <c r="G115">
        <f>Portfolio!B$6*'CurrentPor-Rat Factor Movements'!F115</f>
        <v>3696.2945087936532</v>
      </c>
      <c r="H115">
        <f>Portfolio!B$7*'CurrentPor-Rat Factor Movements'!J115</f>
        <v>2148.0998964419859</v>
      </c>
      <c r="I115">
        <f t="shared" si="2"/>
        <v>96493.171147459521</v>
      </c>
      <c r="J115">
        <f t="shared" si="3"/>
        <v>-2.430625508306548</v>
      </c>
    </row>
    <row r="116" spans="1:10">
      <c r="A116" s="1">
        <v>45631</v>
      </c>
      <c r="B116">
        <f>(3/(1+('CurrentPor-Rat Factor Movements'!C116)/100)+103/POWER(1+('CurrentPor-Rat Factor Movements'!D116)/100,2))*100</f>
        <v>9707.9549562341235</v>
      </c>
      <c r="C116">
        <f>(3/(1+('CurrentPor-Rat Factor Movements'!C116+'CurrentPor-Rat Factor Movements'!G116)/100)+103/POWER(1+('CurrentPor-Rat Factor Movements'!D116+'CurrentPor-Rat Factor Movements'!G116)/100,2))*100</f>
        <v>9615.3312141643746</v>
      </c>
      <c r="D116">
        <f>(3/(1+('CurrentPor-Rat Factor Movements'!C116+'CurrentPor-Rat Factor Movements'!H116)/100)+103/POWER(1+('CurrentPor-Rat Factor Movements'!D116+'CurrentPor-Rat Factor Movements'!H116)/100,2))*100</f>
        <v>9601.6026249924562</v>
      </c>
      <c r="E116">
        <f>(3/(1+('CurrentPor-Rat Factor Movements'!C116+'CurrentPor-Rat Factor Movements'!I116)/100)+103/POWER(1+('CurrentPor-Rat Factor Movements'!D116+'CurrentPor-Rat Factor Movements'!I116)/100,2))*100</f>
        <v>9581.8166478907624</v>
      </c>
      <c r="F116">
        <f>Portfolio!B$5*'CurrentPor-Rat Factor Movements'!E116</f>
        <v>52143.895533915893</v>
      </c>
      <c r="G116">
        <f>Portfolio!B$6*'CurrentPor-Rat Factor Movements'!F116</f>
        <v>3696.2945087936532</v>
      </c>
      <c r="H116">
        <f>Portfolio!B$7*'CurrentPor-Rat Factor Movements'!J116</f>
        <v>2148.0998964419859</v>
      </c>
      <c r="I116">
        <f t="shared" si="2"/>
        <v>96494.995382433248</v>
      </c>
      <c r="J116">
        <f t="shared" si="3"/>
        <v>6.8462401349534048</v>
      </c>
    </row>
    <row r="117" spans="1:10">
      <c r="A117" s="1">
        <v>45632</v>
      </c>
      <c r="B117">
        <f>(3/(1+('CurrentPor-Rat Factor Movements'!C117)/100)+103/POWER(1+('CurrentPor-Rat Factor Movements'!D117)/100,2))*100</f>
        <v>9707.4116633024496</v>
      </c>
      <c r="C117">
        <f>(3/(1+('CurrentPor-Rat Factor Movements'!C117+'CurrentPor-Rat Factor Movements'!G117)/100)+103/POWER(1+('CurrentPor-Rat Factor Movements'!D117+'CurrentPor-Rat Factor Movements'!G117)/100,2))*100</f>
        <v>9614.795754496603</v>
      </c>
      <c r="D117">
        <f>(3/(1+('CurrentPor-Rat Factor Movements'!C117+'CurrentPor-Rat Factor Movements'!H117)/100)+103/POWER(1+('CurrentPor-Rat Factor Movements'!D117+'CurrentPor-Rat Factor Movements'!H117)/100,2))*100</f>
        <v>9601.0683231000276</v>
      </c>
      <c r="E117">
        <f>(3/(1+('CurrentPor-Rat Factor Movements'!C117+'CurrentPor-Rat Factor Movements'!I117)/100)+103/POWER(1+('CurrentPor-Rat Factor Movements'!D117+'CurrentPor-Rat Factor Movements'!I117)/100,2))*100</f>
        <v>9581.2840131274297</v>
      </c>
      <c r="F117">
        <f>Portfolio!B$5*'CurrentPor-Rat Factor Movements'!E117</f>
        <v>52143.895533915893</v>
      </c>
      <c r="G117">
        <f>Portfolio!B$6*'CurrentPor-Rat Factor Movements'!F117</f>
        <v>3696.2945087936532</v>
      </c>
      <c r="H117">
        <f>Portfolio!B$7*'CurrentPor-Rat Factor Movements'!J117</f>
        <v>2148.0998964419859</v>
      </c>
      <c r="I117">
        <f t="shared" si="2"/>
        <v>96492.849693178039</v>
      </c>
      <c r="J117">
        <f t="shared" si="3"/>
        <v>2.0507675872358959</v>
      </c>
    </row>
    <row r="118" spans="1:10">
      <c r="A118" s="1">
        <v>45635</v>
      </c>
      <c r="B118">
        <f>(3/(1+('CurrentPor-Rat Factor Movements'!C118)/100)+103/POWER(1+('CurrentPor-Rat Factor Movements'!D118)/100,2))*100</f>
        <v>9705.5657220976464</v>
      </c>
      <c r="C118">
        <f>(3/(1+('CurrentPor-Rat Factor Movements'!C118+'CurrentPor-Rat Factor Movements'!G118)/100)+103/POWER(1+('CurrentPor-Rat Factor Movements'!D118+'CurrentPor-Rat Factor Movements'!G118)/100,2))*100</f>
        <v>9612.9764266433885</v>
      </c>
      <c r="D118">
        <f>(3/(1+('CurrentPor-Rat Factor Movements'!C118+'CurrentPor-Rat Factor Movements'!H118)/100)+103/POWER(1+('CurrentPor-Rat Factor Movements'!D118+'CurrentPor-Rat Factor Movements'!H118)/100,2))*100</f>
        <v>9599.2529287672733</v>
      </c>
      <c r="E118">
        <f>(3/(1+('CurrentPor-Rat Factor Movements'!C118+'CurrentPor-Rat Factor Movements'!I118)/100)+103/POWER(1+('CurrentPor-Rat Factor Movements'!D118+'CurrentPor-Rat Factor Movements'!I118)/100,2))*100</f>
        <v>9579.4742828363942</v>
      </c>
      <c r="F118">
        <f>Portfolio!B$5*'CurrentPor-Rat Factor Movements'!E118</f>
        <v>52143.895533915893</v>
      </c>
      <c r="G118">
        <f>Portfolio!B$6*'CurrentPor-Rat Factor Movements'!F118</f>
        <v>3696.2945087936532</v>
      </c>
      <c r="H118">
        <f>Portfolio!B$7*'CurrentPor-Rat Factor Movements'!J118</f>
        <v>2148.0998964419859</v>
      </c>
      <c r="I118">
        <f t="shared" si="2"/>
        <v>96485.559299496235</v>
      </c>
      <c r="J118">
        <f t="shared" si="3"/>
        <v>-7.1086128506431123</v>
      </c>
    </row>
    <row r="119" spans="1:10">
      <c r="A119" s="1">
        <v>45636</v>
      </c>
      <c r="B119">
        <f>(3/(1+('CurrentPor-Rat Factor Movements'!C119)/100)+103/POWER(1+('CurrentPor-Rat Factor Movements'!D119)/100,2))*100</f>
        <v>9706.965693361677</v>
      </c>
      <c r="C119">
        <f>(3/(1+('CurrentPor-Rat Factor Movements'!C119+'CurrentPor-Rat Factor Movements'!G119)/100)+103/POWER(1+('CurrentPor-Rat Factor Movements'!D119+'CurrentPor-Rat Factor Movements'!G119)/100,2))*100</f>
        <v>9614.3562144394673</v>
      </c>
      <c r="D119">
        <f>(3/(1+('CurrentPor-Rat Factor Movements'!C119+'CurrentPor-Rat Factor Movements'!H119)/100)+103/POWER(1+('CurrentPor-Rat Factor Movements'!D119+'CurrentPor-Rat Factor Movements'!H119)/100,2))*100</f>
        <v>9600.6297333955154</v>
      </c>
      <c r="E119">
        <f>(3/(1+('CurrentPor-Rat Factor Movements'!C119+'CurrentPor-Rat Factor Movements'!I119)/100)+103/POWER(1+('CurrentPor-Rat Factor Movements'!D119+'CurrentPor-Rat Factor Movements'!I119)/100,2))*100</f>
        <v>9580.8467918754941</v>
      </c>
      <c r="F119">
        <f>Portfolio!B$5*'CurrentPor-Rat Factor Movements'!E119</f>
        <v>52143.895533915893</v>
      </c>
      <c r="G119">
        <f>Portfolio!B$6*'CurrentPor-Rat Factor Movements'!F119</f>
        <v>3696.2945087936532</v>
      </c>
      <c r="H119">
        <f>Portfolio!B$7*'CurrentPor-Rat Factor Movements'!J119</f>
        <v>2148.0998964419859</v>
      </c>
      <c r="I119">
        <f t="shared" si="2"/>
        <v>96491.088372223676</v>
      </c>
      <c r="J119">
        <f t="shared" si="3"/>
        <v>-1.2214111341745593</v>
      </c>
    </row>
    <row r="120" spans="1:10">
      <c r="A120" s="1">
        <v>45637</v>
      </c>
      <c r="B120">
        <f>(3/(1+('CurrentPor-Rat Factor Movements'!C120)/100)+103/POWER(1+('CurrentPor-Rat Factor Movements'!D120)/100,2))*100</f>
        <v>9706.3210785471074</v>
      </c>
      <c r="C120">
        <f>(3/(1+('CurrentPor-Rat Factor Movements'!C120+'CurrentPor-Rat Factor Movements'!G120)/100)+103/POWER(1+('CurrentPor-Rat Factor Movements'!D120+'CurrentPor-Rat Factor Movements'!G120)/100,2))*100</f>
        <v>9613.7208932571994</v>
      </c>
      <c r="D120">
        <f>(3/(1+('CurrentPor-Rat Factor Movements'!C120+'CurrentPor-Rat Factor Movements'!H120)/100)+103/POWER(1+('CurrentPor-Rat Factor Movements'!D120+'CurrentPor-Rat Factor Movements'!H120)/100,2))*100</f>
        <v>9599.9957858354028</v>
      </c>
      <c r="E120">
        <f>(3/(1+('CurrentPor-Rat Factor Movements'!C120+'CurrentPor-Rat Factor Movements'!I120)/100)+103/POWER(1+('CurrentPor-Rat Factor Movements'!D120+'CurrentPor-Rat Factor Movements'!I120)/100,2))*100</f>
        <v>9580.2148222517062</v>
      </c>
      <c r="F120">
        <f>Portfolio!B$5*'CurrentPor-Rat Factor Movements'!E120</f>
        <v>52143.895533915893</v>
      </c>
      <c r="G120">
        <f>Portfolio!B$6*'CurrentPor-Rat Factor Movements'!F120</f>
        <v>3696.2945087936532</v>
      </c>
      <c r="H120">
        <f>Portfolio!B$7*'CurrentPor-Rat Factor Movements'!J120</f>
        <v>2148.0998964419859</v>
      </c>
      <c r="I120">
        <f t="shared" si="2"/>
        <v>96488.542519042952</v>
      </c>
      <c r="J120">
        <f t="shared" si="3"/>
        <v>-6.5639505143626593</v>
      </c>
    </row>
    <row r="121" spans="1:10">
      <c r="A121" s="1">
        <v>45638</v>
      </c>
      <c r="B121">
        <f>(3/(1+('CurrentPor-Rat Factor Movements'!C121)/100)+103/POWER(1+('CurrentPor-Rat Factor Movements'!D121)/100,2))*100</f>
        <v>9706.9748362839237</v>
      </c>
      <c r="C121">
        <f>(3/(1+('CurrentPor-Rat Factor Movements'!C121+'CurrentPor-Rat Factor Movements'!G121)/100)+103/POWER(1+('CurrentPor-Rat Factor Movements'!D121+'CurrentPor-Rat Factor Movements'!G121)/100,2))*100</f>
        <v>9614.3652255428315</v>
      </c>
      <c r="D121">
        <f>(3/(1+('CurrentPor-Rat Factor Movements'!C121+'CurrentPor-Rat Factor Movements'!H121)/100)+103/POWER(1+('CurrentPor-Rat Factor Movements'!D121+'CurrentPor-Rat Factor Movements'!H121)/100,2))*100</f>
        <v>9600.6387250157204</v>
      </c>
      <c r="E121">
        <f>(3/(1+('CurrentPor-Rat Factor Movements'!C121+'CurrentPor-Rat Factor Movements'!I121)/100)+103/POWER(1+('CurrentPor-Rat Factor Movements'!D121+'CurrentPor-Rat Factor Movements'!I121)/100,2))*100</f>
        <v>9580.8557554410891</v>
      </c>
      <c r="F121">
        <f>Portfolio!B$5*'CurrentPor-Rat Factor Movements'!E121</f>
        <v>52143.895533915893</v>
      </c>
      <c r="G121">
        <f>Portfolio!B$6*'CurrentPor-Rat Factor Movements'!F121</f>
        <v>3696.2945087936532</v>
      </c>
      <c r="H121">
        <f>Portfolio!B$7*'CurrentPor-Rat Factor Movements'!J121</f>
        <v>2148.0998964419859</v>
      </c>
      <c r="I121">
        <f t="shared" si="2"/>
        <v>96491.124481435094</v>
      </c>
      <c r="J121">
        <f t="shared" si="3"/>
        <v>-3.3681870824511861</v>
      </c>
    </row>
    <row r="122" spans="1:10">
      <c r="A122" s="1">
        <v>45639</v>
      </c>
      <c r="B122">
        <f>(3/(1+('CurrentPor-Rat Factor Movements'!C122)/100)+103/POWER(1+('CurrentPor-Rat Factor Movements'!D122)/100,2))*100</f>
        <v>9707.2216732544766</v>
      </c>
      <c r="C122">
        <f>(3/(1+('CurrentPor-Rat Factor Movements'!C122+'CurrentPor-Rat Factor Movements'!G122)/100)+103/POWER(1+('CurrentPor-Rat Factor Movements'!D122+'CurrentPor-Rat Factor Movements'!G122)/100,2))*100</f>
        <v>9614.6085036961085</v>
      </c>
      <c r="D122">
        <f>(3/(1+('CurrentPor-Rat Factor Movements'!C122+'CurrentPor-Rat Factor Movements'!H122)/100)+103/POWER(1+('CurrentPor-Rat Factor Movements'!D122+'CurrentPor-Rat Factor Movements'!H122)/100,2))*100</f>
        <v>9600.8814771670186</v>
      </c>
      <c r="E122">
        <f>(3/(1+('CurrentPor-Rat Factor Movements'!C122+'CurrentPor-Rat Factor Movements'!I122)/100)+103/POWER(1+('CurrentPor-Rat Factor Movements'!D122+'CurrentPor-Rat Factor Movements'!I122)/100,2))*100</f>
        <v>9581.0977501800771</v>
      </c>
      <c r="F122">
        <f>Portfolio!B$5*'CurrentPor-Rat Factor Movements'!E122</f>
        <v>52143.895533915893</v>
      </c>
      <c r="G122">
        <f>Portfolio!B$6*'CurrentPor-Rat Factor Movements'!F122</f>
        <v>3696.2945087936532</v>
      </c>
      <c r="H122">
        <f>Portfolio!B$7*'CurrentPor-Rat Factor Movements'!J122</f>
        <v>2148.0998964419859</v>
      </c>
      <c r="I122">
        <f t="shared" si="2"/>
        <v>96492.099343449212</v>
      </c>
      <c r="J122">
        <f t="shared" si="3"/>
        <v>9.2532242299057543E-2</v>
      </c>
    </row>
    <row r="123" spans="1:10">
      <c r="A123" s="1">
        <v>45642</v>
      </c>
      <c r="B123">
        <f>(3/(1+('CurrentPor-Rat Factor Movements'!C123)/100)+103/POWER(1+('CurrentPor-Rat Factor Movements'!D123)/100,2))*100</f>
        <v>9707.8110796042238</v>
      </c>
      <c r="C123">
        <f>(3/(1+('CurrentPor-Rat Factor Movements'!C123+'CurrentPor-Rat Factor Movements'!G123)/100)+103/POWER(1+('CurrentPor-Rat Factor Movements'!D123+'CurrentPor-Rat Factor Movements'!G123)/100,2))*100</f>
        <v>9615.1894119868666</v>
      </c>
      <c r="D123">
        <f>(3/(1+('CurrentPor-Rat Factor Movements'!C123+'CurrentPor-Rat Factor Movements'!H123)/100)+103/POWER(1+('CurrentPor-Rat Factor Movements'!D123+'CurrentPor-Rat Factor Movements'!H123)/100,2))*100</f>
        <v>9601.461129423993</v>
      </c>
      <c r="E123">
        <f>(3/(1+('CurrentPor-Rat Factor Movements'!C123+'CurrentPor-Rat Factor Movements'!I123)/100)+103/POWER(1+('CurrentPor-Rat Factor Movements'!D123+'CurrentPor-Rat Factor Movements'!I123)/100,2))*100</f>
        <v>9581.6755938214555</v>
      </c>
      <c r="F123">
        <f>Portfolio!B$5*'CurrentPor-Rat Factor Movements'!E123</f>
        <v>52143.895533915893</v>
      </c>
      <c r="G123">
        <f>Portfolio!B$6*'CurrentPor-Rat Factor Movements'!F123</f>
        <v>3696.2945087936532</v>
      </c>
      <c r="H123">
        <f>Portfolio!B$7*'CurrentPor-Rat Factor Movements'!J123</f>
        <v>2148.0998964419859</v>
      </c>
      <c r="I123">
        <f t="shared" si="2"/>
        <v>96494.427153988072</v>
      </c>
      <c r="J123">
        <f t="shared" si="3"/>
        <v>5.9186626597220311</v>
      </c>
    </row>
    <row r="124" spans="1:10">
      <c r="A124" s="1">
        <v>45643</v>
      </c>
      <c r="B124">
        <f>(3/(1+('CurrentPor-Rat Factor Movements'!C124)/100)+103/POWER(1+('CurrentPor-Rat Factor Movements'!D124)/100,2))*100</f>
        <v>9707.2063579188343</v>
      </c>
      <c r="C124">
        <f>(3/(1+('CurrentPor-Rat Factor Movements'!C124+'CurrentPor-Rat Factor Movements'!G124)/100)+103/POWER(1+('CurrentPor-Rat Factor Movements'!D124+'CurrentPor-Rat Factor Movements'!G124)/100,2))*100</f>
        <v>9614.5934091734562</v>
      </c>
      <c r="D124">
        <f>(3/(1+('CurrentPor-Rat Factor Movements'!C124+'CurrentPor-Rat Factor Movements'!H124)/100)+103/POWER(1+('CurrentPor-Rat Factor Movements'!D124+'CurrentPor-Rat Factor Movements'!H124)/100,2))*100</f>
        <v>9600.8664152810707</v>
      </c>
      <c r="E124">
        <f>(3/(1+('CurrentPor-Rat Factor Movements'!C124+'CurrentPor-Rat Factor Movements'!I124)/100)+103/POWER(1+('CurrentPor-Rat Factor Movements'!D124+'CurrentPor-Rat Factor Movements'!I124)/100,2))*100</f>
        <v>9581.0827352890828</v>
      </c>
      <c r="F124">
        <f>Portfolio!B$5*'CurrentPor-Rat Factor Movements'!E124</f>
        <v>52143.895533915893</v>
      </c>
      <c r="G124">
        <f>Portfolio!B$6*'CurrentPor-Rat Factor Movements'!F124</f>
        <v>3696.2945087936532</v>
      </c>
      <c r="H124">
        <f>Portfolio!B$7*'CurrentPor-Rat Factor Movements'!J124</f>
        <v>2148.0998964419859</v>
      </c>
      <c r="I124">
        <f t="shared" si="2"/>
        <v>96492.038856813975</v>
      </c>
      <c r="J124">
        <f t="shared" si="3"/>
        <v>8.0423834627872566</v>
      </c>
    </row>
    <row r="125" spans="1:10">
      <c r="A125" s="1">
        <v>45644</v>
      </c>
      <c r="B125">
        <f>(3/(1+('CurrentPor-Rat Factor Movements'!C125)/100)+103/POWER(1+('CurrentPor-Rat Factor Movements'!D125)/100,2))*100</f>
        <v>9707.2544805198104</v>
      </c>
      <c r="C125">
        <f>(3/(1+('CurrentPor-Rat Factor Movements'!C125+'CurrentPor-Rat Factor Movements'!G125)/100)+103/POWER(1+('CurrentPor-Rat Factor Movements'!D125+'CurrentPor-Rat Factor Movements'!G125)/100,2))*100</f>
        <v>9614.640837953244</v>
      </c>
      <c r="D125">
        <f>(3/(1+('CurrentPor-Rat Factor Movements'!C125+'CurrentPor-Rat Factor Movements'!H125)/100)+103/POWER(1+('CurrentPor-Rat Factor Movements'!D125+'CurrentPor-Rat Factor Movements'!H125)/100,2))*100</f>
        <v>9600.9137415123787</v>
      </c>
      <c r="E125">
        <f>(3/(1+('CurrentPor-Rat Factor Movements'!C125+'CurrentPor-Rat Factor Movements'!I125)/100)+103/POWER(1+('CurrentPor-Rat Factor Movements'!D125+'CurrentPor-Rat Factor Movements'!I125)/100,2))*100</f>
        <v>9581.129913856541</v>
      </c>
      <c r="F125">
        <f>Portfolio!B$5*'CurrentPor-Rat Factor Movements'!E125</f>
        <v>52143.895533915893</v>
      </c>
      <c r="G125">
        <f>Portfolio!B$6*'CurrentPor-Rat Factor Movements'!F125</f>
        <v>3696.2945087936532</v>
      </c>
      <c r="H125">
        <f>Portfolio!B$7*'CurrentPor-Rat Factor Movements'!J125</f>
        <v>2148.0998964419859</v>
      </c>
      <c r="I125">
        <f t="shared" si="2"/>
        <v>96492.228912993494</v>
      </c>
      <c r="J125">
        <f t="shared" si="3"/>
        <v>-0.94223446602700278</v>
      </c>
    </row>
    <row r="126" spans="1:10">
      <c r="A126" s="1">
        <v>45645</v>
      </c>
      <c r="B126">
        <f>(3/(1+('CurrentPor-Rat Factor Movements'!C126)/100)+103/POWER(1+('CurrentPor-Rat Factor Movements'!D126)/100,2))*100</f>
        <v>9706.3141937511082</v>
      </c>
      <c r="C126">
        <f>(3/(1+('CurrentPor-Rat Factor Movements'!C126+'CurrentPor-Rat Factor Movements'!G126)/100)+103/POWER(1+('CurrentPor-Rat Factor Movements'!D126+'CurrentPor-Rat Factor Movements'!G126)/100,2))*100</f>
        <v>9613.7141077199722</v>
      </c>
      <c r="D126">
        <f>(3/(1+('CurrentPor-Rat Factor Movements'!C126+'CurrentPor-Rat Factor Movements'!H126)/100)+103/POWER(1+('CurrentPor-Rat Factor Movements'!D126+'CurrentPor-Rat Factor Movements'!H126)/100,2))*100</f>
        <v>9599.9890149688781</v>
      </c>
      <c r="E126">
        <f>(3/(1+('CurrentPor-Rat Factor Movements'!C126+'CurrentPor-Rat Factor Movements'!I126)/100)+103/POWER(1+('CurrentPor-Rat Factor Movements'!D126+'CurrentPor-Rat Factor Movements'!I126)/100,2))*100</f>
        <v>9580.2080725101405</v>
      </c>
      <c r="F126">
        <f>Portfolio!B$5*'CurrentPor-Rat Factor Movements'!E126</f>
        <v>52143.895533915893</v>
      </c>
      <c r="G126">
        <f>Portfolio!B$6*'CurrentPor-Rat Factor Movements'!F126</f>
        <v>3696.2945087936532</v>
      </c>
      <c r="H126">
        <f>Portfolio!B$7*'CurrentPor-Rat Factor Movements'!J126</f>
        <v>2148.0998964419859</v>
      </c>
      <c r="I126">
        <f t="shared" si="2"/>
        <v>96488.515328101625</v>
      </c>
      <c r="J126">
        <f t="shared" si="3"/>
        <v>-6.4800543316232506</v>
      </c>
    </row>
    <row r="127" spans="1:10">
      <c r="A127" s="1">
        <v>45646</v>
      </c>
      <c r="B127">
        <f>(3/(1+('CurrentPor-Rat Factor Movements'!C127)/100)+103/POWER(1+('CurrentPor-Rat Factor Movements'!D127)/100,2))*100</f>
        <v>9706.4451218418781</v>
      </c>
      <c r="C127">
        <f>(3/(1+('CurrentPor-Rat Factor Movements'!C127+'CurrentPor-Rat Factor Movements'!G127)/100)+103/POWER(1+('CurrentPor-Rat Factor Movements'!D127+'CurrentPor-Rat Factor Movements'!G127)/100,2))*100</f>
        <v>9613.8431482015731</v>
      </c>
      <c r="D127">
        <f>(3/(1+('CurrentPor-Rat Factor Movements'!C127+'CurrentPor-Rat Factor Movements'!H127)/100)+103/POWER(1+('CurrentPor-Rat Factor Movements'!D127+'CurrentPor-Rat Factor Movements'!H127)/100,2))*100</f>
        <v>9600.1177764570675</v>
      </c>
      <c r="E127">
        <f>(3/(1+('CurrentPor-Rat Factor Movements'!C127+'CurrentPor-Rat Factor Movements'!I127)/100)+103/POWER(1+('CurrentPor-Rat Factor Movements'!D127+'CurrentPor-Rat Factor Movements'!I127)/100,2))*100</f>
        <v>9580.3364322639609</v>
      </c>
      <c r="F127">
        <f>Portfolio!B$5*'CurrentPor-Rat Factor Movements'!E127</f>
        <v>52143.895533915893</v>
      </c>
      <c r="G127">
        <f>Portfolio!B$6*'CurrentPor-Rat Factor Movements'!F127</f>
        <v>3696.2945087936532</v>
      </c>
      <c r="H127">
        <f>Portfolio!B$7*'CurrentPor-Rat Factor Movements'!J127</f>
        <v>2148.0998964419859</v>
      </c>
      <c r="I127">
        <f t="shared" si="2"/>
        <v>96489.032417916009</v>
      </c>
      <c r="J127">
        <f t="shared" si="3"/>
        <v>-3.8172752620303072</v>
      </c>
    </row>
    <row r="128" spans="1:10">
      <c r="A128" s="1">
        <v>45649</v>
      </c>
      <c r="B128">
        <f>(3/(1+('CurrentPor-Rat Factor Movements'!C128)/100)+103/POWER(1+('CurrentPor-Rat Factor Movements'!D128)/100,2))*100</f>
        <v>9707.4737465342751</v>
      </c>
      <c r="C128">
        <f>(3/(1+('CurrentPor-Rat Factor Movements'!C128+'CurrentPor-Rat Factor Movements'!G128)/100)+103/POWER(1+('CurrentPor-Rat Factor Movements'!D128+'CurrentPor-Rat Factor Movements'!G128)/100,2))*100</f>
        <v>9614.8569426160084</v>
      </c>
      <c r="D128">
        <f>(3/(1+('CurrentPor-Rat Factor Movements'!C128+'CurrentPor-Rat Factor Movements'!H128)/100)+103/POWER(1+('CurrentPor-Rat Factor Movements'!D128+'CurrentPor-Rat Factor Movements'!H128)/100,2))*100</f>
        <v>9601.1293789196352</v>
      </c>
      <c r="E128">
        <f>(3/(1+('CurrentPor-Rat Factor Movements'!C128+'CurrentPor-Rat Factor Movements'!I128)/100)+103/POWER(1+('CurrentPor-Rat Factor Movements'!D128+'CurrentPor-Rat Factor Movements'!I128)/100,2))*100</f>
        <v>9581.344878443022</v>
      </c>
      <c r="F128">
        <f>Portfolio!B$5*'CurrentPor-Rat Factor Movements'!E128</f>
        <v>52143.895533915893</v>
      </c>
      <c r="G128">
        <f>Portfolio!B$6*'CurrentPor-Rat Factor Movements'!F128</f>
        <v>3696.2945087936532</v>
      </c>
      <c r="H128">
        <f>Portfolio!B$7*'CurrentPor-Rat Factor Movements'!J128</f>
        <v>2148.0998964419859</v>
      </c>
      <c r="I128">
        <f t="shared" si="2"/>
        <v>96493.094885664483</v>
      </c>
      <c r="J128">
        <f t="shared" si="3"/>
        <v>7.5355861682473915</v>
      </c>
    </row>
    <row r="129" spans="1:10">
      <c r="A129" s="1">
        <v>45650</v>
      </c>
      <c r="B129">
        <f>(3/(1+('CurrentPor-Rat Factor Movements'!C129)/100)+103/POWER(1+('CurrentPor-Rat Factor Movements'!D129)/100,2))*100</f>
        <v>9707.4356354276679</v>
      </c>
      <c r="C129">
        <f>(3/(1+('CurrentPor-Rat Factor Movements'!C129+'CurrentPor-Rat Factor Movements'!G129)/100)+103/POWER(1+('CurrentPor-Rat Factor Movements'!D129+'CurrentPor-Rat Factor Movements'!G129)/100,2))*100</f>
        <v>9614.8193809934546</v>
      </c>
      <c r="D129">
        <f>(3/(1+('CurrentPor-Rat Factor Movements'!C129+'CurrentPor-Rat Factor Movements'!H129)/100)+103/POWER(1+('CurrentPor-Rat Factor Movements'!D129+'CurrentPor-Rat Factor Movements'!H129)/100,2))*100</f>
        <v>9601.0918985121698</v>
      </c>
      <c r="E129">
        <f>(3/(1+('CurrentPor-Rat Factor Movements'!C129+'CurrentPor-Rat Factor Movements'!I129)/100)+103/POWER(1+('CurrentPor-Rat Factor Movements'!D129+'CurrentPor-Rat Factor Movements'!I129)/100,2))*100</f>
        <v>9581.3075149805518</v>
      </c>
      <c r="F129">
        <f>Portfolio!B$5*'CurrentPor-Rat Factor Movements'!E129</f>
        <v>52143.895533915893</v>
      </c>
      <c r="G129">
        <f>Portfolio!B$6*'CurrentPor-Rat Factor Movements'!F129</f>
        <v>3696.2945087936532</v>
      </c>
      <c r="H129">
        <f>Portfolio!B$7*'CurrentPor-Rat Factor Movements'!J129</f>
        <v>2148.0998964419859</v>
      </c>
      <c r="I129">
        <f t="shared" si="2"/>
        <v>96492.944369065372</v>
      </c>
      <c r="J129">
        <f t="shared" si="3"/>
        <v>1.8559968416957418</v>
      </c>
    </row>
    <row r="130" spans="1:10">
      <c r="A130" s="1">
        <v>45651</v>
      </c>
      <c r="B130">
        <f>(3/(1+('CurrentPor-Rat Factor Movements'!C130)/100)+103/POWER(1+('CurrentPor-Rat Factor Movements'!D130)/100,2))*100</f>
        <v>9707.992455735106</v>
      </c>
      <c r="C130">
        <f>(3/(1+('CurrentPor-Rat Factor Movements'!C130+'CurrentPor-Rat Factor Movements'!G130)/100)+103/POWER(1+('CurrentPor-Rat Factor Movements'!D130+'CurrentPor-Rat Factor Movements'!G130)/100,2))*100</f>
        <v>9615.3681729847976</v>
      </c>
      <c r="D130">
        <f>(3/(1+('CurrentPor-Rat Factor Movements'!C130+'CurrentPor-Rat Factor Movements'!H130)/100)+103/POWER(1+('CurrentPor-Rat Factor Movements'!D130+'CurrentPor-Rat Factor Movements'!H130)/100,2))*100</f>
        <v>9601.6395038990013</v>
      </c>
      <c r="E130">
        <f>(3/(1+('CurrentPor-Rat Factor Movements'!C130+'CurrentPor-Rat Factor Movements'!I130)/100)+103/POWER(1+('CurrentPor-Rat Factor Movements'!D130+'CurrentPor-Rat Factor Movements'!I130)/100,2))*100</f>
        <v>9581.8534117259751</v>
      </c>
      <c r="F130">
        <f>Portfolio!B$5*'CurrentPor-Rat Factor Movements'!E130</f>
        <v>52143.895533915893</v>
      </c>
      <c r="G130">
        <f>Portfolio!B$6*'CurrentPor-Rat Factor Movements'!F130</f>
        <v>3696.2945087936532</v>
      </c>
      <c r="H130">
        <f>Portfolio!B$7*'CurrentPor-Rat Factor Movements'!J130</f>
        <v>2148.0998964419859</v>
      </c>
      <c r="I130">
        <f t="shared" si="2"/>
        <v>96495.143483496402</v>
      </c>
      <c r="J130">
        <f t="shared" si="3"/>
        <v>6.6009644534497056</v>
      </c>
    </row>
    <row r="131" spans="1:10">
      <c r="A131" s="1">
        <v>45652</v>
      </c>
      <c r="B131">
        <f>(3/(1+('CurrentPor-Rat Factor Movements'!C131)/100)+103/POWER(1+('CurrentPor-Rat Factor Movements'!D131)/100,2))*100</f>
        <v>9706.9837123449033</v>
      </c>
      <c r="C131">
        <f>(3/(1+('CurrentPor-Rat Factor Movements'!C131+'CurrentPor-Rat Factor Movements'!G131)/100)+103/POWER(1+('CurrentPor-Rat Factor Movements'!D131+'CurrentPor-Rat Factor Movements'!G131)/100,2))*100</f>
        <v>9614.3739736323678</v>
      </c>
      <c r="D131">
        <f>(3/(1+('CurrentPor-Rat Factor Movements'!C131+'CurrentPor-Rat Factor Movements'!H131)/100)+103/POWER(1+('CurrentPor-Rat Factor Movements'!D131+'CurrentPor-Rat Factor Movements'!H131)/100,2))*100</f>
        <v>9600.6474541907646</v>
      </c>
      <c r="E131">
        <f>(3/(1+('CurrentPor-Rat Factor Movements'!C131+'CurrentPor-Rat Factor Movements'!I131)/100)+103/POWER(1+('CurrentPor-Rat Factor Movements'!D131+'CurrentPor-Rat Factor Movements'!I131)/100,2))*100</f>
        <v>9580.8644573803504</v>
      </c>
      <c r="F131">
        <f>Portfolio!B$5*'CurrentPor-Rat Factor Movements'!E131</f>
        <v>52143.895533915893</v>
      </c>
      <c r="G131">
        <f>Portfolio!B$6*'CurrentPor-Rat Factor Movements'!F131</f>
        <v>3696.2945087936532</v>
      </c>
      <c r="H131">
        <f>Portfolio!B$7*'CurrentPor-Rat Factor Movements'!J131</f>
        <v>2148.0998964419859</v>
      </c>
      <c r="I131">
        <f t="shared" si="2"/>
        <v>96491.159536699925</v>
      </c>
      <c r="J131">
        <f t="shared" si="3"/>
        <v>3.5055264830589294E-2</v>
      </c>
    </row>
    <row r="132" spans="1:10">
      <c r="A132" s="1">
        <v>45653</v>
      </c>
      <c r="B132">
        <f>(3/(1+('CurrentPor-Rat Factor Movements'!C132)/100)+103/POWER(1+('CurrentPor-Rat Factor Movements'!D132)/100,2))*100</f>
        <v>9705.5889666530256</v>
      </c>
      <c r="C132">
        <f>(3/(1+('CurrentPor-Rat Factor Movements'!C132+'CurrentPor-Rat Factor Movements'!G132)/100)+103/POWER(1+('CurrentPor-Rat Factor Movements'!D132+'CurrentPor-Rat Factor Movements'!G132)/100,2))*100</f>
        <v>9612.9993360926546</v>
      </c>
      <c r="D132">
        <f>(3/(1+('CurrentPor-Rat Factor Movements'!C132+'CurrentPor-Rat Factor Movements'!H132)/100)+103/POWER(1+('CurrentPor-Rat Factor Movements'!D132+'CurrentPor-Rat Factor Movements'!H132)/100,2))*100</f>
        <v>9599.2757886869767</v>
      </c>
      <c r="E132">
        <f>(3/(1+('CurrentPor-Rat Factor Movements'!C132+'CurrentPor-Rat Factor Movements'!I132)/100)+103/POWER(1+('CurrentPor-Rat Factor Movements'!D132+'CurrentPor-Rat Factor Movements'!I132)/100,2))*100</f>
        <v>9579.497071436399</v>
      </c>
      <c r="F132">
        <f>Portfolio!B$5*'CurrentPor-Rat Factor Movements'!E132</f>
        <v>52143.895533915893</v>
      </c>
      <c r="G132">
        <f>Portfolio!B$6*'CurrentPor-Rat Factor Movements'!F132</f>
        <v>3696.2945087936532</v>
      </c>
      <c r="H132">
        <f>Portfolio!B$7*'CurrentPor-Rat Factor Movements'!J132</f>
        <v>2148.0998964419859</v>
      </c>
      <c r="I132">
        <f t="shared" ref="I132:I187" si="4">SUM(B132:H132)</f>
        <v>96485.651102020594</v>
      </c>
      <c r="J132">
        <f t="shared" si="3"/>
        <v>-6.4482414286176208</v>
      </c>
    </row>
    <row r="133" spans="1:10">
      <c r="A133" s="1">
        <v>45656</v>
      </c>
      <c r="B133">
        <f>(3/(1+('CurrentPor-Rat Factor Movements'!C133)/100)+103/POWER(1+('CurrentPor-Rat Factor Movements'!D133)/100,2))*100</f>
        <v>9708.2387962218781</v>
      </c>
      <c r="C133">
        <f>(3/(1+('CurrentPor-Rat Factor Movements'!C133+'CurrentPor-Rat Factor Movements'!G133)/100)+103/POWER(1+('CurrentPor-Rat Factor Movements'!D133+'CurrentPor-Rat Factor Movements'!G133)/100,2))*100</f>
        <v>9615.6109616244303</v>
      </c>
      <c r="D133">
        <f>(3/(1+('CurrentPor-Rat Factor Movements'!C133+'CurrentPor-Rat Factor Movements'!H133)/100)+103/POWER(1+('CurrentPor-Rat Factor Movements'!D133+'CurrentPor-Rat Factor Movements'!H133)/100,2))*100</f>
        <v>9601.8817675671689</v>
      </c>
      <c r="E133">
        <f>(3/(1+('CurrentPor-Rat Factor Movements'!C133+'CurrentPor-Rat Factor Movements'!I133)/100)+103/POWER(1+('CurrentPor-Rat Factor Movements'!D133+'CurrentPor-Rat Factor Movements'!I133)/100,2))*100</f>
        <v>9582.0949194658588</v>
      </c>
      <c r="F133">
        <f>Portfolio!B$5*'CurrentPor-Rat Factor Movements'!E133</f>
        <v>52143.895533915893</v>
      </c>
      <c r="G133">
        <f>Portfolio!B$6*'CurrentPor-Rat Factor Movements'!F133</f>
        <v>3696.2945087936532</v>
      </c>
      <c r="H133">
        <f>Portfolio!B$7*'CurrentPor-Rat Factor Movements'!J133</f>
        <v>2148.0998964419859</v>
      </c>
      <c r="I133">
        <f t="shared" si="4"/>
        <v>96496.116384030858</v>
      </c>
      <c r="J133">
        <f t="shared" si="3"/>
        <v>1.689230042786221</v>
      </c>
    </row>
    <row r="134" spans="1:10">
      <c r="A134" s="1">
        <v>45657</v>
      </c>
      <c r="B134">
        <f>(3/(1+('CurrentPor-Rat Factor Movements'!C134)/100)+103/POWER(1+('CurrentPor-Rat Factor Movements'!D134)/100,2))*100</f>
        <v>9706.3906632906292</v>
      </c>
      <c r="C134">
        <f>(3/(1+('CurrentPor-Rat Factor Movements'!C134+'CurrentPor-Rat Factor Movements'!G134)/100)+103/POWER(1+('CurrentPor-Rat Factor Movements'!D134+'CurrentPor-Rat Factor Movements'!G134)/100,2))*100</f>
        <v>9613.7894747886767</v>
      </c>
      <c r="D134">
        <f>(3/(1+('CurrentPor-Rat Factor Movements'!C134+'CurrentPor-Rat Factor Movements'!H134)/100)+103/POWER(1+('CurrentPor-Rat Factor Movements'!D134+'CurrentPor-Rat Factor Movements'!H134)/100,2))*100</f>
        <v>9600.0642190896033</v>
      </c>
      <c r="E134">
        <f>(3/(1+('CurrentPor-Rat Factor Movements'!C134+'CurrentPor-Rat Factor Movements'!I134)/100)+103/POWER(1+('CurrentPor-Rat Factor Movements'!D134+'CurrentPor-Rat Factor Movements'!I134)/100,2))*100</f>
        <v>9580.2830419952043</v>
      </c>
      <c r="F134">
        <f>Portfolio!B$5*'CurrentPor-Rat Factor Movements'!E134</f>
        <v>52143.895533915893</v>
      </c>
      <c r="G134">
        <f>Portfolio!B$6*'CurrentPor-Rat Factor Movements'!F134</f>
        <v>3696.2945087936532</v>
      </c>
      <c r="H134">
        <f>Portfolio!B$7*'CurrentPor-Rat Factor Movements'!J134</f>
        <v>2148.0998964419859</v>
      </c>
      <c r="I134">
        <f t="shared" si="4"/>
        <v>96488.817338315639</v>
      </c>
      <c r="J134">
        <f t="shared" si="3"/>
        <v>-3.2215184983360814</v>
      </c>
    </row>
    <row r="135" spans="1:10">
      <c r="A135" s="1">
        <v>45658</v>
      </c>
      <c r="B135">
        <f>(3/(1+('CurrentPor-Rat Factor Movements'!C135)/100)+103/POWER(1+('CurrentPor-Rat Factor Movements'!D135)/100,2))*100</f>
        <v>9706.5699559300774</v>
      </c>
      <c r="C135">
        <f>(3/(1+('CurrentPor-Rat Factor Movements'!C135+'CurrentPor-Rat Factor Movements'!G135)/100)+103/POWER(1+('CurrentPor-Rat Factor Movements'!D135+'CurrentPor-Rat Factor Movements'!G135)/100,2))*100</f>
        <v>9613.9661825267412</v>
      </c>
      <c r="D135">
        <f>(3/(1+('CurrentPor-Rat Factor Movements'!C135+'CurrentPor-Rat Factor Movements'!H135)/100)+103/POWER(1+('CurrentPor-Rat Factor Movements'!D135+'CurrentPor-Rat Factor Movements'!H135)/100,2))*100</f>
        <v>9600.2405447727251</v>
      </c>
      <c r="E135">
        <f>(3/(1+('CurrentPor-Rat Factor Movements'!C135+'CurrentPor-Rat Factor Movements'!I135)/100)+103/POWER(1+('CurrentPor-Rat Factor Movements'!D135+'CurrentPor-Rat Factor Movements'!I135)/100,2))*100</f>
        <v>9580.4588175413282</v>
      </c>
      <c r="F135">
        <f>Portfolio!B$5*'CurrentPor-Rat Factor Movements'!E135</f>
        <v>52143.895533915893</v>
      </c>
      <c r="G135">
        <f>Portfolio!B$6*'CurrentPor-Rat Factor Movements'!F135</f>
        <v>3696.2945087936532</v>
      </c>
      <c r="H135">
        <f>Portfolio!B$7*'CurrentPor-Rat Factor Movements'!J135</f>
        <v>2148.0998964419859</v>
      </c>
      <c r="I135">
        <f t="shared" si="4"/>
        <v>96489.525439922392</v>
      </c>
      <c r="J135">
        <f t="shared" si="3"/>
        <v>-2.7034730711020529</v>
      </c>
    </row>
    <row r="136" spans="1:10">
      <c r="A136" s="1">
        <v>45659</v>
      </c>
      <c r="B136">
        <f>(3/(1+('CurrentPor-Rat Factor Movements'!C136)/100)+103/POWER(1+('CurrentPor-Rat Factor Movements'!D136)/100,2))*100</f>
        <v>9705.4541873964281</v>
      </c>
      <c r="C136">
        <f>(3/(1+('CurrentPor-Rat Factor Movements'!C136+'CurrentPor-Rat Factor Movements'!G136)/100)+103/POWER(1+('CurrentPor-Rat Factor Movements'!D136+'CurrentPor-Rat Factor Movements'!G136)/100,2))*100</f>
        <v>9612.8664998812746</v>
      </c>
      <c r="D136">
        <f>(3/(1+('CurrentPor-Rat Factor Movements'!C136+'CurrentPor-Rat Factor Movements'!H136)/100)+103/POWER(1+('CurrentPor-Rat Factor Movements'!D136+'CurrentPor-Rat Factor Movements'!H136)/100,2))*100</f>
        <v>9599.1432396627424</v>
      </c>
      <c r="E136">
        <f>(3/(1+('CurrentPor-Rat Factor Movements'!C136+'CurrentPor-Rat Factor Movements'!I136)/100)+103/POWER(1+('CurrentPor-Rat Factor Movements'!D136+'CurrentPor-Rat Factor Movements'!I136)/100,2))*100</f>
        <v>9579.3649359450919</v>
      </c>
      <c r="F136">
        <f>Portfolio!B$5*'CurrentPor-Rat Factor Movements'!E136</f>
        <v>52143.895533915893</v>
      </c>
      <c r="G136">
        <f>Portfolio!B$6*'CurrentPor-Rat Factor Movements'!F136</f>
        <v>3696.2945087936532</v>
      </c>
      <c r="H136">
        <f>Portfolio!B$7*'CurrentPor-Rat Factor Movements'!J136</f>
        <v>2148.0998964419859</v>
      </c>
      <c r="I136">
        <f t="shared" si="4"/>
        <v>96485.118802037076</v>
      </c>
      <c r="J136">
        <f t="shared" si="3"/>
        <v>-3.3965260645491071</v>
      </c>
    </row>
    <row r="137" spans="1:10">
      <c r="A137" s="1">
        <v>45660</v>
      </c>
      <c r="B137">
        <f>(3/(1+('CurrentPor-Rat Factor Movements'!C137)/100)+103/POWER(1+('CurrentPor-Rat Factor Movements'!D137)/100,2))*100</f>
        <v>9708.5506234648947</v>
      </c>
      <c r="C137">
        <f>(3/(1+('CurrentPor-Rat Factor Movements'!C137+'CurrentPor-Rat Factor Movements'!G137)/100)+103/POWER(1+('CurrentPor-Rat Factor Movements'!D137+'CurrentPor-Rat Factor Movements'!G137)/100,2))*100</f>
        <v>9615.9182927377242</v>
      </c>
      <c r="D137">
        <f>(3/(1+('CurrentPor-Rat Factor Movements'!C137+'CurrentPor-Rat Factor Movements'!H137)/100)+103/POWER(1+('CurrentPor-Rat Factor Movements'!D137+'CurrentPor-Rat Factor Movements'!H137)/100,2))*100</f>
        <v>9602.1884341418954</v>
      </c>
      <c r="E137">
        <f>(3/(1+('CurrentPor-Rat Factor Movements'!C137+'CurrentPor-Rat Factor Movements'!I137)/100)+103/POWER(1+('CurrentPor-Rat Factor Movements'!D137+'CurrentPor-Rat Factor Movements'!I137)/100,2))*100</f>
        <v>9582.40062914386</v>
      </c>
      <c r="F137">
        <f>Portfolio!B$5*'CurrentPor-Rat Factor Movements'!E137</f>
        <v>52143.895533915893</v>
      </c>
      <c r="G137">
        <f>Portfolio!B$6*'CurrentPor-Rat Factor Movements'!F137</f>
        <v>3696.2945087936532</v>
      </c>
      <c r="H137">
        <f>Portfolio!B$7*'CurrentPor-Rat Factor Movements'!J137</f>
        <v>2148.0998964419859</v>
      </c>
      <c r="I137">
        <f t="shared" si="4"/>
        <v>96497.347918639905</v>
      </c>
      <c r="J137">
        <f t="shared" si="3"/>
        <v>8.3155007238965482</v>
      </c>
    </row>
    <row r="138" spans="1:10">
      <c r="A138" s="1">
        <v>45663</v>
      </c>
      <c r="B138">
        <f>(3/(1+('CurrentPor-Rat Factor Movements'!C138)/100)+103/POWER(1+('CurrentPor-Rat Factor Movements'!D138)/100,2))*100</f>
        <v>9706.971036773577</v>
      </c>
      <c r="C138">
        <f>(3/(1+('CurrentPor-Rat Factor Movements'!C138+'CurrentPor-Rat Factor Movements'!G138)/100)+103/POWER(1+('CurrentPor-Rat Factor Movements'!D138+'CurrentPor-Rat Factor Movements'!G138)/100,2))*100</f>
        <v>9614.3614808122693</v>
      </c>
      <c r="D138">
        <f>(3/(1+('CurrentPor-Rat Factor Movements'!C138+'CurrentPor-Rat Factor Movements'!H138)/100)+103/POWER(1+('CurrentPor-Rat Factor Movements'!D138+'CurrentPor-Rat Factor Movements'!H138)/100,2))*100</f>
        <v>9600.6349883817456</v>
      </c>
      <c r="E138">
        <f>(3/(1+('CurrentPor-Rat Factor Movements'!C138+'CurrentPor-Rat Factor Movements'!I138)/100)+103/POWER(1+('CurrentPor-Rat Factor Movements'!D138+'CurrentPor-Rat Factor Movements'!I138)/100,2))*100</f>
        <v>9580.852030465725</v>
      </c>
      <c r="F138">
        <f>Portfolio!B$5*'CurrentPor-Rat Factor Movements'!E138</f>
        <v>52143.895533915893</v>
      </c>
      <c r="G138">
        <f>Portfolio!B$6*'CurrentPor-Rat Factor Movements'!F138</f>
        <v>3696.2945087936532</v>
      </c>
      <c r="H138">
        <f>Portfolio!B$7*'CurrentPor-Rat Factor Movements'!J138</f>
        <v>2148.0998964419859</v>
      </c>
      <c r="I138">
        <f t="shared" si="4"/>
        <v>96491.109475584861</v>
      </c>
      <c r="J138">
        <f t="shared" si="3"/>
        <v>-1.9854100796219427</v>
      </c>
    </row>
    <row r="139" spans="1:10">
      <c r="A139" s="1">
        <v>45664</v>
      </c>
      <c r="B139">
        <f>(3/(1+('CurrentPor-Rat Factor Movements'!C139)/100)+103/POWER(1+('CurrentPor-Rat Factor Movements'!D139)/100,2))*100</f>
        <v>9707.4980650506986</v>
      </c>
      <c r="C139">
        <f>(3/(1+('CurrentPor-Rat Factor Movements'!C139+'CurrentPor-Rat Factor Movements'!G139)/100)+103/POWER(1+('CurrentPor-Rat Factor Movements'!D139+'CurrentPor-Rat Factor Movements'!G139)/100,2))*100</f>
        <v>9614.8809105086875</v>
      </c>
      <c r="D139">
        <f>(3/(1+('CurrentPor-Rat Factor Movements'!C139+'CurrentPor-Rat Factor Movements'!H139)/100)+103/POWER(1+('CurrentPor-Rat Factor Movements'!D139+'CurrentPor-Rat Factor Movements'!H139)/100,2))*100</f>
        <v>9601.1532949892735</v>
      </c>
      <c r="E139">
        <f>(3/(1+('CurrentPor-Rat Factor Movements'!C139+'CurrentPor-Rat Factor Movements'!I139)/100)+103/POWER(1+('CurrentPor-Rat Factor Movements'!D139+'CurrentPor-Rat Factor Movements'!I139)/100,2))*100</f>
        <v>9581.3687198904936</v>
      </c>
      <c r="F139">
        <f>Portfolio!B$5*'CurrentPor-Rat Factor Movements'!E139</f>
        <v>52143.895533915893</v>
      </c>
      <c r="G139">
        <f>Portfolio!B$6*'CurrentPor-Rat Factor Movements'!F139</f>
        <v>3696.2945087936532</v>
      </c>
      <c r="H139">
        <f>Portfolio!B$7*'CurrentPor-Rat Factor Movements'!J139</f>
        <v>2148.0998964419859</v>
      </c>
      <c r="I139">
        <f t="shared" si="4"/>
        <v>96493.190929590681</v>
      </c>
      <c r="J139">
        <f t="shared" si="3"/>
        <v>0.24656052530917805</v>
      </c>
    </row>
    <row r="140" spans="1:10">
      <c r="A140" s="1">
        <v>45665</v>
      </c>
      <c r="B140">
        <f>(3/(1+('CurrentPor-Rat Factor Movements'!C140)/100)+103/POWER(1+('CurrentPor-Rat Factor Movements'!D140)/100,2))*100</f>
        <v>9707.407041115217</v>
      </c>
      <c r="C140">
        <f>(3/(1+('CurrentPor-Rat Factor Movements'!C140+'CurrentPor-Rat Factor Movements'!G140)/100)+103/POWER(1+('CurrentPor-Rat Factor Movements'!D140+'CurrentPor-Rat Factor Movements'!G140)/100,2))*100</f>
        <v>9614.7911989516779</v>
      </c>
      <c r="D140">
        <f>(3/(1+('CurrentPor-Rat Factor Movements'!C140+'CurrentPor-Rat Factor Movements'!H140)/100)+103/POWER(1+('CurrentPor-Rat Factor Movements'!D140+'CurrentPor-Rat Factor Movements'!H140)/100,2))*100</f>
        <v>9601.063777405001</v>
      </c>
      <c r="E140">
        <f>(3/(1+('CurrentPor-Rat Factor Movements'!C140+'CurrentPor-Rat Factor Movements'!I140)/100)+103/POWER(1+('CurrentPor-Rat Factor Movements'!D140+'CurrentPor-Rat Factor Movements'!I140)/100,2))*100</f>
        <v>9581.279481615682</v>
      </c>
      <c r="F140">
        <f>Portfolio!B$5*'CurrentPor-Rat Factor Movements'!E140</f>
        <v>52143.895533915893</v>
      </c>
      <c r="G140">
        <f>Portfolio!B$6*'CurrentPor-Rat Factor Movements'!F140</f>
        <v>3696.2945087936532</v>
      </c>
      <c r="H140">
        <f>Portfolio!B$7*'CurrentPor-Rat Factor Movements'!J140</f>
        <v>2148.0998964419859</v>
      </c>
      <c r="I140">
        <f t="shared" si="4"/>
        <v>96492.831438239096</v>
      </c>
      <c r="J140">
        <f t="shared" si="3"/>
        <v>-2.3120452573057264</v>
      </c>
    </row>
    <row r="141" spans="1:10">
      <c r="A141" s="1">
        <v>45666</v>
      </c>
      <c r="B141">
        <f>(3/(1+('CurrentPor-Rat Factor Movements'!C141)/100)+103/POWER(1+('CurrentPor-Rat Factor Movements'!D141)/100,2))*100</f>
        <v>9706.6219447703679</v>
      </c>
      <c r="C141">
        <f>(3/(1+('CurrentPor-Rat Factor Movements'!C141+'CurrentPor-Rat Factor Movements'!G141)/100)+103/POWER(1+('CurrentPor-Rat Factor Movements'!D141+'CurrentPor-Rat Factor Movements'!G141)/100,2))*100</f>
        <v>9614.0174218279844</v>
      </c>
      <c r="D141">
        <f>(3/(1+('CurrentPor-Rat Factor Movements'!C141+'CurrentPor-Rat Factor Movements'!H141)/100)+103/POWER(1+('CurrentPor-Rat Factor Movements'!D141+'CurrentPor-Rat Factor Movements'!H141)/100,2))*100</f>
        <v>9600.2916732902158</v>
      </c>
      <c r="E141">
        <f>(3/(1+('CurrentPor-Rat Factor Movements'!C141+'CurrentPor-Rat Factor Movements'!I141)/100)+103/POWER(1+('CurrentPor-Rat Factor Movements'!D141+'CurrentPor-Rat Factor Movements'!I141)/100,2))*100</f>
        <v>9580.5097865366315</v>
      </c>
      <c r="F141">
        <f>Portfolio!B$5*'CurrentPor-Rat Factor Movements'!E141</f>
        <v>52143.895533915893</v>
      </c>
      <c r="G141">
        <f>Portfolio!B$6*'CurrentPor-Rat Factor Movements'!F141</f>
        <v>3696.2945087936532</v>
      </c>
      <c r="H141">
        <f>Portfolio!B$7*'CurrentPor-Rat Factor Movements'!J141</f>
        <v>2148.0998964419859</v>
      </c>
      <c r="I141">
        <f t="shared" si="4"/>
        <v>96489.730765576722</v>
      </c>
      <c r="J141">
        <f t="shared" si="3"/>
        <v>-1.4287711232027505</v>
      </c>
    </row>
    <row r="142" spans="1:10">
      <c r="A142" s="1">
        <v>45667</v>
      </c>
      <c r="B142">
        <f>(3/(1+('CurrentPor-Rat Factor Movements'!C142)/100)+103/POWER(1+('CurrentPor-Rat Factor Movements'!D142)/100,2))*100</f>
        <v>9708.3922141996045</v>
      </c>
      <c r="C142">
        <f>(3/(1+('CurrentPor-Rat Factor Movements'!C142+'CurrentPor-Rat Factor Movements'!G142)/100)+103/POWER(1+('CurrentPor-Rat Factor Movements'!D142+'CurrentPor-Rat Factor Movements'!G142)/100,2))*100</f>
        <v>9615.7621675302362</v>
      </c>
      <c r="D142">
        <f>(3/(1+('CurrentPor-Rat Factor Movements'!C142+'CurrentPor-Rat Factor Movements'!H142)/100)+103/POWER(1+('CurrentPor-Rat Factor Movements'!D142+'CurrentPor-Rat Factor Movements'!H142)/100,2))*100</f>
        <v>9602.0326465235194</v>
      </c>
      <c r="E142">
        <f>(3/(1+('CurrentPor-Rat Factor Movements'!C142+'CurrentPor-Rat Factor Movements'!I142)/100)+103/POWER(1+('CurrentPor-Rat Factor Movements'!D142+'CurrentPor-Rat Factor Movements'!I142)/100,2))*100</f>
        <v>9582.2453276340784</v>
      </c>
      <c r="F142">
        <f>Portfolio!B$5*'CurrentPor-Rat Factor Movements'!E142</f>
        <v>52143.895533915893</v>
      </c>
      <c r="G142">
        <f>Portfolio!B$6*'CurrentPor-Rat Factor Movements'!F142</f>
        <v>3696.2945087936532</v>
      </c>
      <c r="H142">
        <f>Portfolio!B$7*'CurrentPor-Rat Factor Movements'!J142</f>
        <v>2148.0998964419859</v>
      </c>
      <c r="I142">
        <f t="shared" si="4"/>
        <v>96496.72229503897</v>
      </c>
      <c r="J142">
        <f t="shared" ref="J142:J187" si="5">I142-I132</f>
        <v>11.071193018375197</v>
      </c>
    </row>
    <row r="143" spans="1:10">
      <c r="A143" s="1">
        <v>45670</v>
      </c>
      <c r="B143">
        <f>(3/(1+('CurrentPor-Rat Factor Movements'!C143)/100)+103/POWER(1+('CurrentPor-Rat Factor Movements'!D143)/100,2))*100</f>
        <v>9707.6734630677074</v>
      </c>
      <c r="C143">
        <f>(3/(1+('CurrentPor-Rat Factor Movements'!C143+'CurrentPor-Rat Factor Movements'!G143)/100)+103/POWER(1+('CurrentPor-Rat Factor Movements'!D143+'CurrentPor-Rat Factor Movements'!G143)/100,2))*100</f>
        <v>9615.0537796284825</v>
      </c>
      <c r="D143">
        <f>(3/(1+('CurrentPor-Rat Factor Movements'!C143+'CurrentPor-Rat Factor Movements'!H143)/100)+103/POWER(1+('CurrentPor-Rat Factor Movements'!D143+'CurrentPor-Rat Factor Movements'!H143)/100,2))*100</f>
        <v>9601.3257903319209</v>
      </c>
      <c r="E143">
        <f>(3/(1+('CurrentPor-Rat Factor Movements'!C143+'CurrentPor-Rat Factor Movements'!I143)/100)+103/POWER(1+('CurrentPor-Rat Factor Movements'!D143+'CurrentPor-Rat Factor Movements'!I143)/100,2))*100</f>
        <v>9581.5406770158042</v>
      </c>
      <c r="F143">
        <f>Portfolio!B$5*'CurrentPor-Rat Factor Movements'!E143</f>
        <v>52143.895533915893</v>
      </c>
      <c r="G143">
        <f>Portfolio!B$6*'CurrentPor-Rat Factor Movements'!F143</f>
        <v>3696.2945087936532</v>
      </c>
      <c r="H143">
        <f>Portfolio!B$7*'CurrentPor-Rat Factor Movements'!J143</f>
        <v>2148.0998964419859</v>
      </c>
      <c r="I143">
        <f t="shared" si="4"/>
        <v>96493.883649195443</v>
      </c>
      <c r="J143">
        <f t="shared" si="5"/>
        <v>-2.2327348354156129</v>
      </c>
    </row>
    <row r="144" spans="1:10">
      <c r="A144" s="1">
        <v>45671</v>
      </c>
      <c r="B144">
        <f>(3/(1+('CurrentPor-Rat Factor Movements'!C144)/100)+103/POWER(1+('CurrentPor-Rat Factor Movements'!D144)/100,2))*100</f>
        <v>9708.3077382654847</v>
      </c>
      <c r="C144">
        <f>(3/(1+('CurrentPor-Rat Factor Movements'!C144+'CurrentPor-Rat Factor Movements'!G144)/100)+103/POWER(1+('CurrentPor-Rat Factor Movements'!D144+'CurrentPor-Rat Factor Movements'!G144)/100,2))*100</f>
        <v>9615.6789096227149</v>
      </c>
      <c r="D144">
        <f>(3/(1+('CurrentPor-Rat Factor Movements'!C144+'CurrentPor-Rat Factor Movements'!H144)/100)+103/POWER(1+('CurrentPor-Rat Factor Movements'!D144+'CurrentPor-Rat Factor Movements'!H144)/100,2))*100</f>
        <v>9601.9495686432001</v>
      </c>
      <c r="E144">
        <f>(3/(1+('CurrentPor-Rat Factor Movements'!C144+'CurrentPor-Rat Factor Movements'!I144)/100)+103/POWER(1+('CurrentPor-Rat Factor Movements'!D144+'CurrentPor-Rat Factor Movements'!I144)/100,2))*100</f>
        <v>9582.1625089824229</v>
      </c>
      <c r="F144">
        <f>Portfolio!B$5*'CurrentPor-Rat Factor Movements'!E144</f>
        <v>52143.895533915893</v>
      </c>
      <c r="G144">
        <f>Portfolio!B$6*'CurrentPor-Rat Factor Movements'!F144</f>
        <v>3696.2945087936532</v>
      </c>
      <c r="H144">
        <f>Portfolio!B$7*'CurrentPor-Rat Factor Movements'!J144</f>
        <v>2148.0998964419859</v>
      </c>
      <c r="I144">
        <f t="shared" si="4"/>
        <v>96496.388664665355</v>
      </c>
      <c r="J144">
        <f t="shared" si="5"/>
        <v>7.5713263497164007</v>
      </c>
    </row>
    <row r="145" spans="1:10">
      <c r="A145" s="1">
        <v>45672</v>
      </c>
      <c r="B145">
        <f>(3/(1+('CurrentPor-Rat Factor Movements'!C145)/100)+103/POWER(1+('CurrentPor-Rat Factor Movements'!D145)/100,2))*100</f>
        <v>9707.3903149475846</v>
      </c>
      <c r="C145">
        <f>(3/(1+('CurrentPor-Rat Factor Movements'!C145+'CurrentPor-Rat Factor Movements'!G145)/100)+103/POWER(1+('CurrentPor-Rat Factor Movements'!D145+'CurrentPor-Rat Factor Movements'!G145)/100,2))*100</f>
        <v>9614.7747139404055</v>
      </c>
      <c r="D145">
        <f>(3/(1+('CurrentPor-Rat Factor Movements'!C145+'CurrentPor-Rat Factor Movements'!H145)/100)+103/POWER(1+('CurrentPor-Rat Factor Movements'!D145+'CurrentPor-Rat Factor Movements'!H145)/100,2))*100</f>
        <v>9601.047328037228</v>
      </c>
      <c r="E145">
        <f>(3/(1+('CurrentPor-Rat Factor Movements'!C145+'CurrentPor-Rat Factor Movements'!I145)/100)+103/POWER(1+('CurrentPor-Rat Factor Movements'!D145+'CurrentPor-Rat Factor Movements'!I145)/100,2))*100</f>
        <v>9581.263083572474</v>
      </c>
      <c r="F145">
        <f>Portfolio!B$5*'CurrentPor-Rat Factor Movements'!E145</f>
        <v>52143.895533915893</v>
      </c>
      <c r="G145">
        <f>Portfolio!B$6*'CurrentPor-Rat Factor Movements'!F145</f>
        <v>3696.2945087936532</v>
      </c>
      <c r="H145">
        <f>Portfolio!B$7*'CurrentPor-Rat Factor Movements'!J145</f>
        <v>2148.0998964419859</v>
      </c>
      <c r="I145">
        <f t="shared" si="4"/>
        <v>96492.765379649223</v>
      </c>
      <c r="J145">
        <f t="shared" si="5"/>
        <v>3.2399397268309258</v>
      </c>
    </row>
    <row r="146" spans="1:10">
      <c r="A146" s="1">
        <v>45673</v>
      </c>
      <c r="B146">
        <f>(3/(1+('CurrentPor-Rat Factor Movements'!C146)/100)+103/POWER(1+('CurrentPor-Rat Factor Movements'!D146)/100,2))*100</f>
        <v>9706.998424171361</v>
      </c>
      <c r="C146">
        <f>(3/(1+('CurrentPor-Rat Factor Movements'!C146+'CurrentPor-Rat Factor Movements'!G146)/100)+103/POWER(1+('CurrentPor-Rat Factor Movements'!D146+'CurrentPor-Rat Factor Movements'!G146)/100,2))*100</f>
        <v>9614.3884733495506</v>
      </c>
      <c r="D146">
        <f>(3/(1+('CurrentPor-Rat Factor Movements'!C146+'CurrentPor-Rat Factor Movements'!H146)/100)+103/POWER(1+('CurrentPor-Rat Factor Movements'!D146+'CurrentPor-Rat Factor Movements'!H146)/100,2))*100</f>
        <v>9600.6619225576706</v>
      </c>
      <c r="E146">
        <f>(3/(1+('CurrentPor-Rat Factor Movements'!C146+'CurrentPor-Rat Factor Movements'!I146)/100)+103/POWER(1+('CurrentPor-Rat Factor Movements'!D146+'CurrentPor-Rat Factor Movements'!I146)/100,2))*100</f>
        <v>9580.8788806046814</v>
      </c>
      <c r="F146">
        <f>Portfolio!B$5*'CurrentPor-Rat Factor Movements'!E146</f>
        <v>52143.895533915893</v>
      </c>
      <c r="G146">
        <f>Portfolio!B$6*'CurrentPor-Rat Factor Movements'!F146</f>
        <v>3696.2945087936532</v>
      </c>
      <c r="H146">
        <f>Portfolio!B$7*'CurrentPor-Rat Factor Movements'!J146</f>
        <v>2148.0998964419859</v>
      </c>
      <c r="I146">
        <f t="shared" si="4"/>
        <v>96491.217639834795</v>
      </c>
      <c r="J146">
        <f t="shared" si="5"/>
        <v>6.0988377977191703</v>
      </c>
    </row>
    <row r="147" spans="1:10">
      <c r="A147" s="1">
        <v>45674</v>
      </c>
      <c r="B147">
        <f>(3/(1+('CurrentPor-Rat Factor Movements'!C147)/100)+103/POWER(1+('CurrentPor-Rat Factor Movements'!D147)/100,2))*100</f>
        <v>9708.6296529320571</v>
      </c>
      <c r="C147">
        <f>(3/(1+('CurrentPor-Rat Factor Movements'!C147+'CurrentPor-Rat Factor Movements'!G147)/100)+103/POWER(1+('CurrentPor-Rat Factor Movements'!D147+'CurrentPor-Rat Factor Movements'!G147)/100,2))*100</f>
        <v>9615.9961826946073</v>
      </c>
      <c r="D147">
        <f>(3/(1+('CurrentPor-Rat Factor Movements'!C147+'CurrentPor-Rat Factor Movements'!H147)/100)+103/POWER(1+('CurrentPor-Rat Factor Movements'!D147+'CurrentPor-Rat Factor Movements'!H147)/100,2))*100</f>
        <v>9602.2661556764942</v>
      </c>
      <c r="E147">
        <f>(3/(1+('CurrentPor-Rat Factor Movements'!C147+'CurrentPor-Rat Factor Movements'!I147)/100)+103/POWER(1+('CurrentPor-Rat Factor Movements'!D147+'CurrentPor-Rat Factor Movements'!I147)/100,2))*100</f>
        <v>9582.4781081602105</v>
      </c>
      <c r="F147">
        <f>Portfolio!B$5*'CurrentPor-Rat Factor Movements'!E147</f>
        <v>52143.895533915893</v>
      </c>
      <c r="G147">
        <f>Portfolio!B$6*'CurrentPor-Rat Factor Movements'!F147</f>
        <v>3696.2945087936532</v>
      </c>
      <c r="H147">
        <f>Portfolio!B$7*'CurrentPor-Rat Factor Movements'!J147</f>
        <v>2148.0998964419859</v>
      </c>
      <c r="I147">
        <f t="shared" si="4"/>
        <v>96497.660038614893</v>
      </c>
      <c r="J147">
        <f t="shared" si="5"/>
        <v>0.31211997498758137</v>
      </c>
    </row>
    <row r="148" spans="1:10">
      <c r="A148" s="1">
        <v>45677</v>
      </c>
      <c r="B148">
        <f>(3/(1+('CurrentPor-Rat Factor Movements'!C148)/100)+103/POWER(1+('CurrentPor-Rat Factor Movements'!D148)/100,2))*100</f>
        <v>9708.3883412818741</v>
      </c>
      <c r="C148">
        <f>(3/(1+('CurrentPor-Rat Factor Movements'!C148+'CurrentPor-Rat Factor Movements'!G148)/100)+103/POWER(1+('CurrentPor-Rat Factor Movements'!D148+'CurrentPor-Rat Factor Movements'!G148)/100,2))*100</f>
        <v>9615.7583504547638</v>
      </c>
      <c r="D148">
        <f>(3/(1+('CurrentPor-Rat Factor Movements'!C148+'CurrentPor-Rat Factor Movements'!H148)/100)+103/POWER(1+('CurrentPor-Rat Factor Movements'!D148+'CurrentPor-Rat Factor Movements'!H148)/100,2))*100</f>
        <v>9602.0288377016659</v>
      </c>
      <c r="E148">
        <f>(3/(1+('CurrentPor-Rat Factor Movements'!C148+'CurrentPor-Rat Factor Movements'!I148)/100)+103/POWER(1+('CurrentPor-Rat Factor Movements'!D148+'CurrentPor-Rat Factor Movements'!I148)/100,2))*100</f>
        <v>9582.2415306969488</v>
      </c>
      <c r="F148">
        <f>Portfolio!B$5*'CurrentPor-Rat Factor Movements'!E148</f>
        <v>52143.895533915893</v>
      </c>
      <c r="G148">
        <f>Portfolio!B$6*'CurrentPor-Rat Factor Movements'!F148</f>
        <v>3696.2945087936532</v>
      </c>
      <c r="H148">
        <f>Portfolio!B$7*'CurrentPor-Rat Factor Movements'!J148</f>
        <v>2148.0998964419859</v>
      </c>
      <c r="I148">
        <f t="shared" si="4"/>
        <v>96496.706999286791</v>
      </c>
      <c r="J148">
        <f t="shared" si="5"/>
        <v>5.5975237019301858</v>
      </c>
    </row>
    <row r="149" spans="1:10">
      <c r="A149" s="1">
        <v>45678</v>
      </c>
      <c r="B149">
        <f>(3/(1+('CurrentPor-Rat Factor Movements'!C149)/100)+103/POWER(1+('CurrentPor-Rat Factor Movements'!D149)/100,2))*100</f>
        <v>9704.7098579263711</v>
      </c>
      <c r="C149">
        <f>(3/(1+('CurrentPor-Rat Factor Movements'!C149+'CurrentPor-Rat Factor Movements'!G149)/100)+103/POWER(1+('CurrentPor-Rat Factor Movements'!D149+'CurrentPor-Rat Factor Movements'!G149)/100,2))*100</f>
        <v>9612.1329007918939</v>
      </c>
      <c r="D149">
        <f>(3/(1+('CurrentPor-Rat Factor Movements'!C149+'CurrentPor-Rat Factor Movements'!H149)/100)+103/POWER(1+('CurrentPor-Rat Factor Movements'!D149+'CurrentPor-Rat Factor Movements'!H149)/100,2))*100</f>
        <v>9598.4112265519834</v>
      </c>
      <c r="E149">
        <f>(3/(1+('CurrentPor-Rat Factor Movements'!C149+'CurrentPor-Rat Factor Movements'!I149)/100)+103/POWER(1+('CurrentPor-Rat Factor Movements'!D149+'CurrentPor-Rat Factor Movements'!I149)/100,2))*100</f>
        <v>9578.6352065523115</v>
      </c>
      <c r="F149">
        <f>Portfolio!B$5*'CurrentPor-Rat Factor Movements'!E149</f>
        <v>52143.895533915893</v>
      </c>
      <c r="G149">
        <f>Portfolio!B$6*'CurrentPor-Rat Factor Movements'!F149</f>
        <v>3696.2945087936532</v>
      </c>
      <c r="H149">
        <f>Portfolio!B$7*'CurrentPor-Rat Factor Movements'!J149</f>
        <v>2148.0998964419859</v>
      </c>
      <c r="I149">
        <f t="shared" si="4"/>
        <v>96482.179130974095</v>
      </c>
      <c r="J149">
        <f t="shared" si="5"/>
        <v>-11.01179861658602</v>
      </c>
    </row>
    <row r="150" spans="1:10">
      <c r="A150" s="1">
        <v>45679</v>
      </c>
      <c r="B150">
        <f>(3/(1+('CurrentPor-Rat Factor Movements'!C150)/100)+103/POWER(1+('CurrentPor-Rat Factor Movements'!D150)/100,2))*100</f>
        <v>9707.9386713504427</v>
      </c>
      <c r="C150">
        <f>(3/(1+('CurrentPor-Rat Factor Movements'!C150+'CurrentPor-Rat Factor Movements'!G150)/100)+103/POWER(1+('CurrentPor-Rat Factor Movements'!D150+'CurrentPor-Rat Factor Movements'!G150)/100,2))*100</f>
        <v>9615.3151640813539</v>
      </c>
      <c r="D150">
        <f>(3/(1+('CurrentPor-Rat Factor Movements'!C150+'CurrentPor-Rat Factor Movements'!H150)/100)+103/POWER(1+('CurrentPor-Rat Factor Movements'!D150+'CurrentPor-Rat Factor Movements'!H150)/100,2))*100</f>
        <v>9601.5866096135378</v>
      </c>
      <c r="E150">
        <f>(3/(1+('CurrentPor-Rat Factor Movements'!C150+'CurrentPor-Rat Factor Movements'!I150)/100)+103/POWER(1+('CurrentPor-Rat Factor Movements'!D150+'CurrentPor-Rat Factor Movements'!I150)/100,2))*100</f>
        <v>9581.8006824837248</v>
      </c>
      <c r="F150">
        <f>Portfolio!B$5*'CurrentPor-Rat Factor Movements'!E150</f>
        <v>52143.895533915893</v>
      </c>
      <c r="G150">
        <f>Portfolio!B$6*'CurrentPor-Rat Factor Movements'!F150</f>
        <v>3696.2945087936532</v>
      </c>
      <c r="H150">
        <f>Portfolio!B$7*'CurrentPor-Rat Factor Movements'!J150</f>
        <v>2148.0998964419859</v>
      </c>
      <c r="I150">
        <f t="shared" si="4"/>
        <v>96494.931066680598</v>
      </c>
      <c r="J150">
        <f t="shared" si="5"/>
        <v>2.0996284415014088</v>
      </c>
    </row>
    <row r="151" spans="1:10">
      <c r="A151" s="1">
        <v>45680</v>
      </c>
      <c r="B151">
        <f>(3/(1+('CurrentPor-Rat Factor Movements'!C151)/100)+103/POWER(1+('CurrentPor-Rat Factor Movements'!D151)/100,2))*100</f>
        <v>9708.9654030820784</v>
      </c>
      <c r="C151">
        <f>(3/(1+('CurrentPor-Rat Factor Movements'!C151+'CurrentPor-Rat Factor Movements'!G151)/100)+103/POWER(1+('CurrentPor-Rat Factor Movements'!D151+'CurrentPor-Rat Factor Movements'!G151)/100,2))*100</f>
        <v>9616.3270916772926</v>
      </c>
      <c r="D151">
        <f>(3/(1+('CurrentPor-Rat Factor Movements'!C151+'CurrentPor-Rat Factor Movements'!H151)/100)+103/POWER(1+('CurrentPor-Rat Factor Movements'!D151+'CurrentPor-Rat Factor Movements'!H151)/100,2))*100</f>
        <v>9602.596349123407</v>
      </c>
      <c r="E151">
        <f>(3/(1+('CurrentPor-Rat Factor Movements'!C151+'CurrentPor-Rat Factor Movements'!I151)/100)+103/POWER(1+('CurrentPor-Rat Factor Movements'!D151+'CurrentPor-Rat Factor Movements'!I151)/100,2))*100</f>
        <v>9582.8072712774738</v>
      </c>
      <c r="F151">
        <f>Portfolio!B$5*'CurrentPor-Rat Factor Movements'!E151</f>
        <v>52143.895533915893</v>
      </c>
      <c r="G151">
        <f>Portfolio!B$6*'CurrentPor-Rat Factor Movements'!F151</f>
        <v>3696.2945087936532</v>
      </c>
      <c r="H151">
        <f>Portfolio!B$7*'CurrentPor-Rat Factor Movements'!J151</f>
        <v>2148.0998964419859</v>
      </c>
      <c r="I151">
        <f t="shared" si="4"/>
        <v>96498.986054311783</v>
      </c>
      <c r="J151">
        <f t="shared" si="5"/>
        <v>9.2552887350611854</v>
      </c>
    </row>
    <row r="152" spans="1:10">
      <c r="A152" s="1">
        <v>45681</v>
      </c>
      <c r="B152">
        <f>(3/(1+('CurrentPor-Rat Factor Movements'!C152)/100)+103/POWER(1+('CurrentPor-Rat Factor Movements'!D152)/100,2))*100</f>
        <v>9707.3002195278132</v>
      </c>
      <c r="C152">
        <f>(3/(1+('CurrentPor-Rat Factor Movements'!C152+'CurrentPor-Rat Factor Movements'!G152)/100)+103/POWER(1+('CurrentPor-Rat Factor Movements'!D152+'CurrentPor-Rat Factor Movements'!G152)/100,2))*100</f>
        <v>9614.6859175045647</v>
      </c>
      <c r="D152">
        <f>(3/(1+('CurrentPor-Rat Factor Movements'!C152+'CurrentPor-Rat Factor Movements'!H152)/100)+103/POWER(1+('CurrentPor-Rat Factor Movements'!D152+'CurrentPor-Rat Factor Movements'!H152)/100,2))*100</f>
        <v>9600.9587235943891</v>
      </c>
      <c r="E152">
        <f>(3/(1+('CurrentPor-Rat Factor Movements'!C152+'CurrentPor-Rat Factor Movements'!I152)/100)+103/POWER(1+('CurrentPor-Rat Factor Movements'!D152+'CurrentPor-Rat Factor Movements'!I152)/100,2))*100</f>
        <v>9581.1747555883994</v>
      </c>
      <c r="F152">
        <f>Portfolio!B$5*'CurrentPor-Rat Factor Movements'!E152</f>
        <v>52143.895533915893</v>
      </c>
      <c r="G152">
        <f>Portfolio!B$6*'CurrentPor-Rat Factor Movements'!F152</f>
        <v>3696.2945087936532</v>
      </c>
      <c r="H152">
        <f>Portfolio!B$7*'CurrentPor-Rat Factor Movements'!J152</f>
        <v>2148.0998964419859</v>
      </c>
      <c r="I152">
        <f t="shared" si="4"/>
        <v>96492.409555366699</v>
      </c>
      <c r="J152">
        <f t="shared" si="5"/>
        <v>-4.3127396722702542</v>
      </c>
    </row>
    <row r="153" spans="1:10">
      <c r="A153" s="1">
        <v>45684</v>
      </c>
      <c r="B153">
        <f>(3/(1+('CurrentPor-Rat Factor Movements'!C153)/100)+103/POWER(1+('CurrentPor-Rat Factor Movements'!D153)/100,2))*100</f>
        <v>9706.7418957991886</v>
      </c>
      <c r="C153">
        <f>(3/(1+('CurrentPor-Rat Factor Movements'!C153+'CurrentPor-Rat Factor Movements'!G153)/100)+103/POWER(1+('CurrentPor-Rat Factor Movements'!D153+'CurrentPor-Rat Factor Movements'!G153)/100,2))*100</f>
        <v>9614.1356434783247</v>
      </c>
      <c r="D153">
        <f>(3/(1+('CurrentPor-Rat Factor Movements'!C153+'CurrentPor-Rat Factor Movements'!H153)/100)+103/POWER(1+('CurrentPor-Rat Factor Movements'!D153+'CurrentPor-Rat Factor Movements'!H153)/100,2))*100</f>
        <v>9600.4096393340824</v>
      </c>
      <c r="E153">
        <f>(3/(1+('CurrentPor-Rat Factor Movements'!C153+'CurrentPor-Rat Factor Movements'!I153)/100)+103/POWER(1+('CurrentPor-Rat Factor Movements'!D153+'CurrentPor-Rat Factor Movements'!I153)/100,2))*100</f>
        <v>9580.6273845219894</v>
      </c>
      <c r="F153">
        <f>Portfolio!B$5*'CurrentPor-Rat Factor Movements'!E153</f>
        <v>52143.895533915893</v>
      </c>
      <c r="G153">
        <f>Portfolio!B$6*'CurrentPor-Rat Factor Movements'!F153</f>
        <v>3696.2945087936532</v>
      </c>
      <c r="H153">
        <f>Portfolio!B$7*'CurrentPor-Rat Factor Movements'!J153</f>
        <v>2148.0998964419859</v>
      </c>
      <c r="I153">
        <f t="shared" si="4"/>
        <v>96490.204502285123</v>
      </c>
      <c r="J153">
        <f t="shared" si="5"/>
        <v>-3.6791469103191048</v>
      </c>
    </row>
    <row r="154" spans="1:10">
      <c r="A154" s="1">
        <v>45685</v>
      </c>
      <c r="B154">
        <f>(3/(1+('CurrentPor-Rat Factor Movements'!C154)/100)+103/POWER(1+('CurrentPor-Rat Factor Movements'!D154)/100,2))*100</f>
        <v>9707.1971433615126</v>
      </c>
      <c r="C154">
        <f>(3/(1+('CurrentPor-Rat Factor Movements'!C154+'CurrentPor-Rat Factor Movements'!G154)/100)+103/POWER(1+('CurrentPor-Rat Factor Movements'!D154+'CurrentPor-Rat Factor Movements'!G154)/100,2))*100</f>
        <v>9614.584327469418</v>
      </c>
      <c r="D154">
        <f>(3/(1+('CurrentPor-Rat Factor Movements'!C154+'CurrentPor-Rat Factor Movements'!H154)/100)+103/POWER(1+('CurrentPor-Rat Factor Movements'!D154+'CurrentPor-Rat Factor Movements'!H154)/100,2))*100</f>
        <v>9600.8573532130777</v>
      </c>
      <c r="E154">
        <f>(3/(1+('CurrentPor-Rat Factor Movements'!C154+'CurrentPor-Rat Factor Movements'!I154)/100)+103/POWER(1+('CurrentPor-Rat Factor Movements'!D154+'CurrentPor-Rat Factor Movements'!I154)/100,2))*100</f>
        <v>9581.0737014958468</v>
      </c>
      <c r="F154">
        <f>Portfolio!B$5*'CurrentPor-Rat Factor Movements'!E154</f>
        <v>52143.895533915893</v>
      </c>
      <c r="G154">
        <f>Portfolio!B$6*'CurrentPor-Rat Factor Movements'!F154</f>
        <v>3696.2945087936532</v>
      </c>
      <c r="H154">
        <f>Portfolio!B$7*'CurrentPor-Rat Factor Movements'!J154</f>
        <v>2148.0998964419859</v>
      </c>
      <c r="I154">
        <f t="shared" si="4"/>
        <v>96492.002464691395</v>
      </c>
      <c r="J154">
        <f t="shared" si="5"/>
        <v>-4.3861999739601742</v>
      </c>
    </row>
    <row r="155" spans="1:10">
      <c r="A155" s="1">
        <v>45686</v>
      </c>
      <c r="B155">
        <f>(3/(1+('CurrentPor-Rat Factor Movements'!C155)/100)+103/POWER(1+('CurrentPor-Rat Factor Movements'!D155)/100,2))*100</f>
        <v>9706.4344997345561</v>
      </c>
      <c r="C155">
        <f>(3/(1+('CurrentPor-Rat Factor Movements'!C155+'CurrentPor-Rat Factor Movements'!G155)/100)+103/POWER(1+('CurrentPor-Rat Factor Movements'!D155+'CurrentPor-Rat Factor Movements'!G155)/100,2))*100</f>
        <v>9613.8326792351818</v>
      </c>
      <c r="D155">
        <f>(3/(1+('CurrentPor-Rat Factor Movements'!C155+'CurrentPor-Rat Factor Movements'!H155)/100)+103/POWER(1+('CurrentPor-Rat Factor Movements'!D155+'CurrentPor-Rat Factor Movements'!H155)/100,2))*100</f>
        <v>9600.1073301252945</v>
      </c>
      <c r="E155">
        <f>(3/(1+('CurrentPor-Rat Factor Movements'!C155+'CurrentPor-Rat Factor Movements'!I155)/100)+103/POWER(1+('CurrentPor-Rat Factor Movements'!D155+'CurrentPor-Rat Factor Movements'!I155)/100,2))*100</f>
        <v>9580.3260185247273</v>
      </c>
      <c r="F155">
        <f>Portfolio!B$5*'CurrentPor-Rat Factor Movements'!E155</f>
        <v>52143.895533915893</v>
      </c>
      <c r="G155">
        <f>Portfolio!B$6*'CurrentPor-Rat Factor Movements'!F155</f>
        <v>3696.2945087936532</v>
      </c>
      <c r="H155">
        <f>Portfolio!B$7*'CurrentPor-Rat Factor Movements'!J155</f>
        <v>2148.0998964419859</v>
      </c>
      <c r="I155">
        <f t="shared" si="4"/>
        <v>96488.990466771284</v>
      </c>
      <c r="J155">
        <f t="shared" si="5"/>
        <v>-3.7749128779396415</v>
      </c>
    </row>
    <row r="156" spans="1:10">
      <c r="A156" s="1">
        <v>45687</v>
      </c>
      <c r="B156">
        <f>(3/(1+('CurrentPor-Rat Factor Movements'!C156)/100)+103/POWER(1+('CurrentPor-Rat Factor Movements'!D156)/100,2))*100</f>
        <v>9707.980767122519</v>
      </c>
      <c r="C156">
        <f>(3/(1+('CurrentPor-Rat Factor Movements'!C156+'CurrentPor-Rat Factor Movements'!G156)/100)+103/POWER(1+('CurrentPor-Rat Factor Movements'!D156+'CurrentPor-Rat Factor Movements'!G156)/100,2))*100</f>
        <v>9615.3566529027139</v>
      </c>
      <c r="D156">
        <f>(3/(1+('CurrentPor-Rat Factor Movements'!C156+'CurrentPor-Rat Factor Movements'!H156)/100)+103/POWER(1+('CurrentPor-Rat Factor Movements'!D156+'CurrentPor-Rat Factor Movements'!H156)/100,2))*100</f>
        <v>9601.6280087261257</v>
      </c>
      <c r="E156">
        <f>(3/(1+('CurrentPor-Rat Factor Movements'!C156+'CurrentPor-Rat Factor Movements'!I156)/100)+103/POWER(1+('CurrentPor-Rat Factor Movements'!D156+'CurrentPor-Rat Factor Movements'!I156)/100,2))*100</f>
        <v>9581.8419524209185</v>
      </c>
      <c r="F156">
        <f>Portfolio!B$5*'CurrentPor-Rat Factor Movements'!E156</f>
        <v>52143.895533915893</v>
      </c>
      <c r="G156">
        <f>Portfolio!B$6*'CurrentPor-Rat Factor Movements'!F156</f>
        <v>3696.2945087936532</v>
      </c>
      <c r="H156">
        <f>Portfolio!B$7*'CurrentPor-Rat Factor Movements'!J156</f>
        <v>2148.0998964419859</v>
      </c>
      <c r="I156">
        <f t="shared" si="4"/>
        <v>96495.09732032381</v>
      </c>
      <c r="J156">
        <f t="shared" si="5"/>
        <v>3.8796804890152998</v>
      </c>
    </row>
    <row r="157" spans="1:10">
      <c r="A157" s="1">
        <v>45688</v>
      </c>
      <c r="B157">
        <f>(3/(1+('CurrentPor-Rat Factor Movements'!C157)/100)+103/POWER(1+('CurrentPor-Rat Factor Movements'!D157)/100,2))*100</f>
        <v>9706.4590719945463</v>
      </c>
      <c r="C157">
        <f>(3/(1+('CurrentPor-Rat Factor Movements'!C157+'CurrentPor-Rat Factor Movements'!G157)/100)+103/POWER(1+('CurrentPor-Rat Factor Movements'!D157+'CurrentPor-Rat Factor Movements'!G157)/100,2))*100</f>
        <v>9613.8568972321209</v>
      </c>
      <c r="D157">
        <f>(3/(1+('CurrentPor-Rat Factor Movements'!C157+'CurrentPor-Rat Factor Movements'!H157)/100)+103/POWER(1+('CurrentPor-Rat Factor Movements'!D157+'CurrentPor-Rat Factor Movements'!H157)/100,2))*100</f>
        <v>9600.1314957612594</v>
      </c>
      <c r="E157">
        <f>(3/(1+('CurrentPor-Rat Factor Movements'!C157+'CurrentPor-Rat Factor Movements'!I157)/100)+103/POWER(1+('CurrentPor-Rat Factor Movements'!D157+'CurrentPor-Rat Factor Movements'!I157)/100,2))*100</f>
        <v>9580.3501087639197</v>
      </c>
      <c r="F157">
        <f>Portfolio!B$5*'CurrentPor-Rat Factor Movements'!E157</f>
        <v>52143.895533915893</v>
      </c>
      <c r="G157">
        <f>Portfolio!B$6*'CurrentPor-Rat Factor Movements'!F157</f>
        <v>3696.2945087936532</v>
      </c>
      <c r="H157">
        <f>Portfolio!B$7*'CurrentPor-Rat Factor Movements'!J157</f>
        <v>2148.0998964419859</v>
      </c>
      <c r="I157">
        <f t="shared" si="4"/>
        <v>96489.087512903367</v>
      </c>
      <c r="J157">
        <f t="shared" si="5"/>
        <v>-8.5725257115263958</v>
      </c>
    </row>
    <row r="158" spans="1:10">
      <c r="A158" s="1">
        <v>45691</v>
      </c>
      <c r="B158">
        <f>(3/(1+('CurrentPor-Rat Factor Movements'!C158)/100)+103/POWER(1+('CurrentPor-Rat Factor Movements'!D158)/100,2))*100</f>
        <v>9707.3510581428218</v>
      </c>
      <c r="C158">
        <f>(3/(1+('CurrentPor-Rat Factor Movements'!C158+'CurrentPor-Rat Factor Movements'!G158)/100)+103/POWER(1+('CurrentPor-Rat Factor Movements'!D158+'CurrentPor-Rat Factor Movements'!G158)/100,2))*100</f>
        <v>9614.7360231358489</v>
      </c>
      <c r="D158">
        <f>(3/(1+('CurrentPor-Rat Factor Movements'!C158+'CurrentPor-Rat Factor Movements'!H158)/100)+103/POWER(1+('CurrentPor-Rat Factor Movements'!D158+'CurrentPor-Rat Factor Movements'!H158)/100,2))*100</f>
        <v>9601.0087208888799</v>
      </c>
      <c r="E158">
        <f>(3/(1+('CurrentPor-Rat Factor Movements'!C158+'CurrentPor-Rat Factor Movements'!I158)/100)+103/POWER(1+('CurrentPor-Rat Factor Movements'!D158+'CurrentPor-Rat Factor Movements'!I158)/100,2))*100</f>
        <v>9581.2245968842108</v>
      </c>
      <c r="F158">
        <f>Portfolio!B$5*'CurrentPor-Rat Factor Movements'!E158</f>
        <v>52143.895533915893</v>
      </c>
      <c r="G158">
        <f>Portfolio!B$6*'CurrentPor-Rat Factor Movements'!F158</f>
        <v>3696.2945087936532</v>
      </c>
      <c r="H158">
        <f>Portfolio!B$7*'CurrentPor-Rat Factor Movements'!J158</f>
        <v>2148.0998964419859</v>
      </c>
      <c r="I158">
        <f t="shared" si="4"/>
        <v>96492.610338203303</v>
      </c>
      <c r="J158">
        <f t="shared" si="5"/>
        <v>-4.096661083487561</v>
      </c>
    </row>
    <row r="159" spans="1:10">
      <c r="A159" s="1">
        <v>45692</v>
      </c>
      <c r="B159">
        <f>(3/(1+('CurrentPor-Rat Factor Movements'!C159)/100)+103/POWER(1+('CurrentPor-Rat Factor Movements'!D159)/100,2))*100</f>
        <v>9706.1351851088839</v>
      </c>
      <c r="C159">
        <f>(3/(1+('CurrentPor-Rat Factor Movements'!C159+'CurrentPor-Rat Factor Movements'!G159)/100)+103/POWER(1+('CurrentPor-Rat Factor Movements'!D159+'CurrentPor-Rat Factor Movements'!G159)/100,2))*100</f>
        <v>9613.5376798503494</v>
      </c>
      <c r="D159">
        <f>(3/(1+('CurrentPor-Rat Factor Movements'!C159+'CurrentPor-Rat Factor Movements'!H159)/100)+103/POWER(1+('CurrentPor-Rat Factor Movements'!D159+'CurrentPor-Rat Factor Movements'!H159)/100,2))*100</f>
        <v>9599.8129685440126</v>
      </c>
      <c r="E159">
        <f>(3/(1+('CurrentPor-Rat Factor Movements'!C159+'CurrentPor-Rat Factor Movements'!I159)/100)+103/POWER(1+('CurrentPor-Rat Factor Movements'!D159+'CurrentPor-Rat Factor Movements'!I159)/100,2))*100</f>
        <v>9580.0325753436628</v>
      </c>
      <c r="F159">
        <f>Portfolio!B$5*'CurrentPor-Rat Factor Movements'!E159</f>
        <v>52143.895533915893</v>
      </c>
      <c r="G159">
        <f>Portfolio!B$6*'CurrentPor-Rat Factor Movements'!F159</f>
        <v>3696.2945087936532</v>
      </c>
      <c r="H159">
        <f>Portfolio!B$7*'CurrentPor-Rat Factor Movements'!J159</f>
        <v>2148.0998964419859</v>
      </c>
      <c r="I159">
        <f t="shared" si="4"/>
        <v>96487.808347998434</v>
      </c>
      <c r="J159">
        <f t="shared" si="5"/>
        <v>5.6292170243395958</v>
      </c>
    </row>
    <row r="160" spans="1:10">
      <c r="A160" s="1">
        <v>45693</v>
      </c>
      <c r="B160">
        <f>(3/(1+('CurrentPor-Rat Factor Movements'!C160)/100)+103/POWER(1+('CurrentPor-Rat Factor Movements'!D160)/100,2))*100</f>
        <v>9707.9428060996015</v>
      </c>
      <c r="C160">
        <f>(3/(1+('CurrentPor-Rat Factor Movements'!C160+'CurrentPor-Rat Factor Movements'!G160)/100)+103/POWER(1+('CurrentPor-Rat Factor Movements'!D160+'CurrentPor-Rat Factor Movements'!G160)/100,2))*100</f>
        <v>9615.3192392143974</v>
      </c>
      <c r="D160">
        <f>(3/(1+('CurrentPor-Rat Factor Movements'!C160+'CurrentPor-Rat Factor Movements'!H160)/100)+103/POWER(1+('CurrentPor-Rat Factor Movements'!D160+'CurrentPor-Rat Factor Movements'!H160)/100,2))*100</f>
        <v>9601.5906759351747</v>
      </c>
      <c r="E160">
        <f>(3/(1+('CurrentPor-Rat Factor Movements'!C160+'CurrentPor-Rat Factor Movements'!I160)/100)+103/POWER(1+('CurrentPor-Rat Factor Movements'!D160+'CurrentPor-Rat Factor Movements'!I160)/100,2))*100</f>
        <v>9581.8047361174504</v>
      </c>
      <c r="F160">
        <f>Portfolio!B$5*'CurrentPor-Rat Factor Movements'!E160</f>
        <v>52143.895533915893</v>
      </c>
      <c r="G160">
        <f>Portfolio!B$6*'CurrentPor-Rat Factor Movements'!F160</f>
        <v>3696.2945087936532</v>
      </c>
      <c r="H160">
        <f>Portfolio!B$7*'CurrentPor-Rat Factor Movements'!J160</f>
        <v>2148.0998964419859</v>
      </c>
      <c r="I160">
        <f t="shared" si="4"/>
        <v>96494.947396518153</v>
      </c>
      <c r="J160">
        <f t="shared" si="5"/>
        <v>1.6329837555531412E-2</v>
      </c>
    </row>
    <row r="161" spans="1:10">
      <c r="A161" s="1">
        <v>45694</v>
      </c>
      <c r="B161">
        <f>(3/(1+('CurrentPor-Rat Factor Movements'!C161)/100)+103/POWER(1+('CurrentPor-Rat Factor Movements'!D161)/100,2))*100</f>
        <v>9707.9848167251148</v>
      </c>
      <c r="C161">
        <f>(3/(1+('CurrentPor-Rat Factor Movements'!C161+'CurrentPor-Rat Factor Movements'!G161)/100)+103/POWER(1+('CurrentPor-Rat Factor Movements'!D161+'CurrentPor-Rat Factor Movements'!G161)/100,2))*100</f>
        <v>9615.3606441167376</v>
      </c>
      <c r="D161">
        <f>(3/(1+('CurrentPor-Rat Factor Movements'!C161+'CurrentPor-Rat Factor Movements'!H161)/100)+103/POWER(1+('CurrentPor-Rat Factor Movements'!D161+'CurrentPor-Rat Factor Movements'!H161)/100,2))*100</f>
        <v>9601.6319913101815</v>
      </c>
      <c r="E161">
        <f>(3/(1+('CurrentPor-Rat Factor Movements'!C161+'CurrentPor-Rat Factor Movements'!I161)/100)+103/POWER(1+('CurrentPor-Rat Factor Movements'!D161+'CurrentPor-Rat Factor Movements'!I161)/100,2))*100</f>
        <v>9581.8459225783135</v>
      </c>
      <c r="F161">
        <f>Portfolio!B$5*'CurrentPor-Rat Factor Movements'!E161</f>
        <v>52143.895533915893</v>
      </c>
      <c r="G161">
        <f>Portfolio!B$6*'CurrentPor-Rat Factor Movements'!F161</f>
        <v>3696.2945087936532</v>
      </c>
      <c r="H161">
        <f>Portfolio!B$7*'CurrentPor-Rat Factor Movements'!J161</f>
        <v>2148.0998964419859</v>
      </c>
      <c r="I161">
        <f t="shared" si="4"/>
        <v>96495.113313881884</v>
      </c>
      <c r="J161">
        <f t="shared" si="5"/>
        <v>-3.8727404298988404</v>
      </c>
    </row>
    <row r="162" spans="1:10">
      <c r="A162" s="1">
        <v>45695</v>
      </c>
      <c r="B162">
        <f>(3/(1+('CurrentPor-Rat Factor Movements'!C162)/100)+103/POWER(1+('CurrentPor-Rat Factor Movements'!D162)/100,2))*100</f>
        <v>9707.4148970770239</v>
      </c>
      <c r="C162">
        <f>(3/(1+('CurrentPor-Rat Factor Movements'!C162+'CurrentPor-Rat Factor Movements'!G162)/100)+103/POWER(1+('CurrentPor-Rat Factor Movements'!D162+'CurrentPor-Rat Factor Movements'!G162)/100,2))*100</f>
        <v>9614.7989416468754</v>
      </c>
      <c r="D162">
        <f>(3/(1+('CurrentPor-Rat Factor Movements'!C162+'CurrentPor-Rat Factor Movements'!H162)/100)+103/POWER(1+('CurrentPor-Rat Factor Movements'!D162+'CurrentPor-Rat Factor Movements'!H162)/100,2))*100</f>
        <v>9601.0715033591132</v>
      </c>
      <c r="E162">
        <f>(3/(1+('CurrentPor-Rat Factor Movements'!C162+'CurrentPor-Rat Factor Movements'!I162)/100)+103/POWER(1+('CurrentPor-Rat Factor Movements'!D162+'CurrentPor-Rat Factor Movements'!I162)/100,2))*100</f>
        <v>9581.2871834636098</v>
      </c>
      <c r="F162">
        <f>Portfolio!B$5*'CurrentPor-Rat Factor Movements'!E162</f>
        <v>52143.895533915893</v>
      </c>
      <c r="G162">
        <f>Portfolio!B$6*'CurrentPor-Rat Factor Movements'!F162</f>
        <v>3696.2945087936532</v>
      </c>
      <c r="H162">
        <f>Portfolio!B$7*'CurrentPor-Rat Factor Movements'!J162</f>
        <v>2148.0998964419859</v>
      </c>
      <c r="I162">
        <f t="shared" si="4"/>
        <v>96492.862464698163</v>
      </c>
      <c r="J162">
        <f t="shared" si="5"/>
        <v>0.45290933146316092</v>
      </c>
    </row>
    <row r="163" spans="1:10">
      <c r="A163" s="1">
        <v>45698</v>
      </c>
      <c r="B163">
        <f>(3/(1+('CurrentPor-Rat Factor Movements'!C163)/100)+103/POWER(1+('CurrentPor-Rat Factor Movements'!D163)/100,2))*100</f>
        <v>9707.8161750971958</v>
      </c>
      <c r="C163">
        <f>(3/(1+('CurrentPor-Rat Factor Movements'!C163+'CurrentPor-Rat Factor Movements'!G163)/100)+103/POWER(1+('CurrentPor-Rat Factor Movements'!D163+'CurrentPor-Rat Factor Movements'!G163)/100,2))*100</f>
        <v>9615.1944340118989</v>
      </c>
      <c r="D163">
        <f>(3/(1+('CurrentPor-Rat Factor Movements'!C163+'CurrentPor-Rat Factor Movements'!H163)/100)+103/POWER(1+('CurrentPor-Rat Factor Movements'!D163+'CurrentPor-Rat Factor Movements'!H163)/100,2))*100</f>
        <v>9601.466140590288</v>
      </c>
      <c r="E163">
        <f>(3/(1+('CurrentPor-Rat Factor Movements'!C163+'CurrentPor-Rat Factor Movements'!I163)/100)+103/POWER(1+('CurrentPor-Rat Factor Movements'!D163+'CurrentPor-Rat Factor Movements'!I163)/100,2))*100</f>
        <v>9581.6805893517994</v>
      </c>
      <c r="F163">
        <f>Portfolio!B$5*'CurrentPor-Rat Factor Movements'!E163</f>
        <v>52143.895533915893</v>
      </c>
      <c r="G163">
        <f>Portfolio!B$6*'CurrentPor-Rat Factor Movements'!F163</f>
        <v>3696.2945087936532</v>
      </c>
      <c r="H163">
        <f>Portfolio!B$7*'CurrentPor-Rat Factor Movements'!J163</f>
        <v>2148.0998964419859</v>
      </c>
      <c r="I163">
        <f t="shared" si="4"/>
        <v>96494.447278202701</v>
      </c>
      <c r="J163">
        <f t="shared" si="5"/>
        <v>4.2427759175770916</v>
      </c>
    </row>
    <row r="164" spans="1:10">
      <c r="A164" s="1">
        <v>45699</v>
      </c>
      <c r="B164">
        <f>(3/(1+('CurrentPor-Rat Factor Movements'!C164)/100)+103/POWER(1+('CurrentPor-Rat Factor Movements'!D164)/100,2))*100</f>
        <v>9707.3574014322767</v>
      </c>
      <c r="C164">
        <f>(3/(1+('CurrentPor-Rat Factor Movements'!C164+'CurrentPor-Rat Factor Movements'!G164)/100)+103/POWER(1+('CurrentPor-Rat Factor Movements'!D164+'CurrentPor-Rat Factor Movements'!G164)/100,2))*100</f>
        <v>9614.7422749685484</v>
      </c>
      <c r="D164">
        <f>(3/(1+('CurrentPor-Rat Factor Movements'!C164+'CurrentPor-Rat Factor Movements'!H164)/100)+103/POWER(1+('CurrentPor-Rat Factor Movements'!D164+'CurrentPor-Rat Factor Movements'!H164)/100,2))*100</f>
        <v>9601.014959204047</v>
      </c>
      <c r="E164">
        <f>(3/(1+('CurrentPor-Rat Factor Movements'!C164+'CurrentPor-Rat Factor Movements'!I164)/100)+103/POWER(1+('CurrentPor-Rat Factor Movements'!D164+'CurrentPor-Rat Factor Movements'!I164)/100,2))*100</f>
        <v>9581.2308157349144</v>
      </c>
      <c r="F164">
        <f>Portfolio!B$5*'CurrentPor-Rat Factor Movements'!E164</f>
        <v>52143.895533915893</v>
      </c>
      <c r="G164">
        <f>Portfolio!B$6*'CurrentPor-Rat Factor Movements'!F164</f>
        <v>3696.2945087936532</v>
      </c>
      <c r="H164">
        <f>Portfolio!B$7*'CurrentPor-Rat Factor Movements'!J164</f>
        <v>2148.0998964419859</v>
      </c>
      <c r="I164">
        <f t="shared" si="4"/>
        <v>96492.635390491327</v>
      </c>
      <c r="J164">
        <f t="shared" si="5"/>
        <v>0.63292579993139952</v>
      </c>
    </row>
    <row r="165" spans="1:10">
      <c r="A165" s="1">
        <v>45700</v>
      </c>
      <c r="B165">
        <f>(3/(1+('CurrentPor-Rat Factor Movements'!C165)/100)+103/POWER(1+('CurrentPor-Rat Factor Movements'!D165)/100,2))*100</f>
        <v>9707.0769799817572</v>
      </c>
      <c r="C165">
        <f>(3/(1+('CurrentPor-Rat Factor Movements'!C165+'CurrentPor-Rat Factor Movements'!G165)/100)+103/POWER(1+('CurrentPor-Rat Factor Movements'!D165+'CurrentPor-Rat Factor Movements'!G165)/100,2))*100</f>
        <v>9614.4658965707167</v>
      </c>
      <c r="D165">
        <f>(3/(1+('CurrentPor-Rat Factor Movements'!C165+'CurrentPor-Rat Factor Movements'!H165)/100)+103/POWER(1+('CurrentPor-Rat Factor Movements'!D165+'CurrentPor-Rat Factor Movements'!H165)/100,2))*100</f>
        <v>9600.7391783793428</v>
      </c>
      <c r="E165">
        <f>(3/(1+('CurrentPor-Rat Factor Movements'!C165+'CurrentPor-Rat Factor Movements'!I165)/100)+103/POWER(1+('CurrentPor-Rat Factor Movements'!D165+'CurrentPor-Rat Factor Movements'!I165)/100,2))*100</f>
        <v>9580.9558953808082</v>
      </c>
      <c r="F165">
        <f>Portfolio!B$5*'CurrentPor-Rat Factor Movements'!E165</f>
        <v>52143.895533915893</v>
      </c>
      <c r="G165">
        <f>Portfolio!B$6*'CurrentPor-Rat Factor Movements'!F165</f>
        <v>3696.2945087936532</v>
      </c>
      <c r="H165">
        <f>Portfolio!B$7*'CurrentPor-Rat Factor Movements'!J165</f>
        <v>2148.0998964419859</v>
      </c>
      <c r="I165">
        <f t="shared" si="4"/>
        <v>96491.527889464152</v>
      </c>
      <c r="J165">
        <f t="shared" si="5"/>
        <v>2.5374226928688586</v>
      </c>
    </row>
    <row r="166" spans="1:10">
      <c r="A166" s="1">
        <v>45701</v>
      </c>
      <c r="B166">
        <f>(3/(1+('CurrentPor-Rat Factor Movements'!C166)/100)+103/POWER(1+('CurrentPor-Rat Factor Movements'!D166)/100,2))*100</f>
        <v>9706.5713527613407</v>
      </c>
      <c r="C166">
        <f>(3/(1+('CurrentPor-Rat Factor Movements'!C166+'CurrentPor-Rat Factor Movements'!G166)/100)+103/POWER(1+('CurrentPor-Rat Factor Movements'!D166+'CurrentPor-Rat Factor Movements'!G166)/100,2))*100</f>
        <v>9613.967559219489</v>
      </c>
      <c r="D166">
        <f>(3/(1+('CurrentPor-Rat Factor Movements'!C166+'CurrentPor-Rat Factor Movements'!H166)/100)+103/POWER(1+('CurrentPor-Rat Factor Movements'!D166+'CurrentPor-Rat Factor Movements'!H166)/100,2))*100</f>
        <v>9600.2419184889477</v>
      </c>
      <c r="E166">
        <f>(3/(1+('CurrentPor-Rat Factor Movements'!C166+'CurrentPor-Rat Factor Movements'!I166)/100)+103/POWER(1+('CurrentPor-Rat Factor Movements'!D166+'CurrentPor-Rat Factor Movements'!I166)/100,2))*100</f>
        <v>9580.4601869715261</v>
      </c>
      <c r="F166">
        <f>Portfolio!B$5*'CurrentPor-Rat Factor Movements'!E166</f>
        <v>52143.895533915893</v>
      </c>
      <c r="G166">
        <f>Portfolio!B$6*'CurrentPor-Rat Factor Movements'!F166</f>
        <v>3696.2945087936532</v>
      </c>
      <c r="H166">
        <f>Portfolio!B$7*'CurrentPor-Rat Factor Movements'!J166</f>
        <v>2148.0998964419859</v>
      </c>
      <c r="I166">
        <f t="shared" si="4"/>
        <v>96489.530956592833</v>
      </c>
      <c r="J166">
        <f t="shared" si="5"/>
        <v>-5.566363730977173</v>
      </c>
    </row>
    <row r="167" spans="1:10">
      <c r="A167" s="1">
        <v>45702</v>
      </c>
      <c r="B167">
        <f>(3/(1+('CurrentPor-Rat Factor Movements'!C167)/100)+103/POWER(1+('CurrentPor-Rat Factor Movements'!D167)/100,2))*100</f>
        <v>9706.9404175004129</v>
      </c>
      <c r="C167">
        <f>(3/(1+('CurrentPor-Rat Factor Movements'!C167+'CurrentPor-Rat Factor Movements'!G167)/100)+103/POWER(1+('CurrentPor-Rat Factor Movements'!D167+'CurrentPor-Rat Factor Movements'!G167)/100,2))*100</f>
        <v>9614.3313029948113</v>
      </c>
      <c r="D167">
        <f>(3/(1+('CurrentPor-Rat Factor Movements'!C167+'CurrentPor-Rat Factor Movements'!H167)/100)+103/POWER(1+('CurrentPor-Rat Factor Movements'!D167+'CurrentPor-Rat Factor Movements'!H167)/100,2))*100</f>
        <v>9600.6048758125398</v>
      </c>
      <c r="E167">
        <f>(3/(1+('CurrentPor-Rat Factor Movements'!C167+'CurrentPor-Rat Factor Movements'!I167)/100)+103/POWER(1+('CurrentPor-Rat Factor Movements'!D167+'CurrentPor-Rat Factor Movements'!I167)/100,2))*100</f>
        <v>9580.822011850214</v>
      </c>
      <c r="F167">
        <f>Portfolio!B$5*'CurrentPor-Rat Factor Movements'!E167</f>
        <v>52143.895533915893</v>
      </c>
      <c r="G167">
        <f>Portfolio!B$6*'CurrentPor-Rat Factor Movements'!F167</f>
        <v>3696.2945087936532</v>
      </c>
      <c r="H167">
        <f>Portfolio!B$7*'CurrentPor-Rat Factor Movements'!J167</f>
        <v>2148.0998964419859</v>
      </c>
      <c r="I167">
        <f t="shared" si="4"/>
        <v>96490.98854730952</v>
      </c>
      <c r="J167">
        <f t="shared" si="5"/>
        <v>1.9010344061534852</v>
      </c>
    </row>
    <row r="168" spans="1:10">
      <c r="A168" s="1">
        <v>45705</v>
      </c>
      <c r="B168">
        <f>(3/(1+('CurrentPor-Rat Factor Movements'!C168)/100)+103/POWER(1+('CurrentPor-Rat Factor Movements'!D168)/100,2))*100</f>
        <v>9706.1777769019845</v>
      </c>
      <c r="C168">
        <f>(3/(1+('CurrentPor-Rat Factor Movements'!C168+'CurrentPor-Rat Factor Movements'!G168)/100)+103/POWER(1+('CurrentPor-Rat Factor Movements'!D168+'CurrentPor-Rat Factor Movements'!G168)/100,2))*100</f>
        <v>9613.5796575985623</v>
      </c>
      <c r="D168">
        <f>(3/(1+('CurrentPor-Rat Factor Movements'!C168+'CurrentPor-Rat Factor Movements'!H168)/100)+103/POWER(1+('CurrentPor-Rat Factor Movements'!D168+'CurrentPor-Rat Factor Movements'!H168)/100,2))*100</f>
        <v>9599.8548555348225</v>
      </c>
      <c r="E168">
        <f>(3/(1+('CurrentPor-Rat Factor Movements'!C168+'CurrentPor-Rat Factor Movements'!I168)/100)+103/POWER(1+('CurrentPor-Rat Factor Movements'!D168+'CurrentPor-Rat Factor Movements'!I168)/100,2))*100</f>
        <v>9580.0743316490625</v>
      </c>
      <c r="F168">
        <f>Portfolio!B$5*'CurrentPor-Rat Factor Movements'!E168</f>
        <v>52143.895533915893</v>
      </c>
      <c r="G168">
        <f>Portfolio!B$6*'CurrentPor-Rat Factor Movements'!F168</f>
        <v>3696.2945087936532</v>
      </c>
      <c r="H168">
        <f>Portfolio!B$7*'CurrentPor-Rat Factor Movements'!J168</f>
        <v>2148.0998964419859</v>
      </c>
      <c r="I168">
        <f t="shared" si="4"/>
        <v>96487.976560835974</v>
      </c>
      <c r="J168">
        <f t="shared" si="5"/>
        <v>-4.6337773673294578</v>
      </c>
    </row>
    <row r="169" spans="1:10">
      <c r="A169" s="1">
        <v>45706</v>
      </c>
      <c r="B169">
        <f>(3/(1+('CurrentPor-Rat Factor Movements'!C169)/100)+103/POWER(1+('CurrentPor-Rat Factor Movements'!D169)/100,2))*100</f>
        <v>9706.3227520233559</v>
      </c>
      <c r="C169">
        <f>(3/(1+('CurrentPor-Rat Factor Movements'!C169+'CurrentPor-Rat Factor Movements'!G169)/100)+103/POWER(1+('CurrentPor-Rat Factor Movements'!D169+'CurrentPor-Rat Factor Movements'!G169)/100,2))*100</f>
        <v>9613.7225426067707</v>
      </c>
      <c r="D169">
        <f>(3/(1+('CurrentPor-Rat Factor Movements'!C169+'CurrentPor-Rat Factor Movements'!H169)/100)+103/POWER(1+('CurrentPor-Rat Factor Movements'!D169+'CurrentPor-Rat Factor Movements'!H169)/100,2))*100</f>
        <v>9599.997431618991</v>
      </c>
      <c r="E169">
        <f>(3/(1+('CurrentPor-Rat Factor Movements'!C169+'CurrentPor-Rat Factor Movements'!I169)/100)+103/POWER(1+('CurrentPor-Rat Factor Movements'!D169+'CurrentPor-Rat Factor Movements'!I169)/100,2))*100</f>
        <v>9580.2164629004856</v>
      </c>
      <c r="F169">
        <f>Portfolio!B$5*'CurrentPor-Rat Factor Movements'!E169</f>
        <v>52143.895533915893</v>
      </c>
      <c r="G169">
        <f>Portfolio!B$6*'CurrentPor-Rat Factor Movements'!F169</f>
        <v>3696.2945087936532</v>
      </c>
      <c r="H169">
        <f>Portfolio!B$7*'CurrentPor-Rat Factor Movements'!J169</f>
        <v>2148.0998964419859</v>
      </c>
      <c r="I169">
        <f t="shared" si="4"/>
        <v>96488.549128301136</v>
      </c>
      <c r="J169">
        <f t="shared" si="5"/>
        <v>0.74078030270175077</v>
      </c>
    </row>
    <row r="170" spans="1:10">
      <c r="A170" s="1">
        <v>45707</v>
      </c>
      <c r="B170">
        <f>(3/(1+('CurrentPor-Rat Factor Movements'!C170)/100)+103/POWER(1+('CurrentPor-Rat Factor Movements'!D170)/100,2))*100</f>
        <v>9706.2039994580209</v>
      </c>
      <c r="C170">
        <f>(3/(1+('CurrentPor-Rat Factor Movements'!C170+'CurrentPor-Rat Factor Movements'!G170)/100)+103/POWER(1+('CurrentPor-Rat Factor Movements'!D170+'CurrentPor-Rat Factor Movements'!G170)/100,2))*100</f>
        <v>9613.6055021039374</v>
      </c>
      <c r="D170">
        <f>(3/(1+('CurrentPor-Rat Factor Movements'!C170+'CurrentPor-Rat Factor Movements'!H170)/100)+103/POWER(1+('CurrentPor-Rat Factor Movements'!D170+'CurrentPor-Rat Factor Movements'!H170)/100,2))*100</f>
        <v>9599.8806441633442</v>
      </c>
      <c r="E170">
        <f>(3/(1+('CurrentPor-Rat Factor Movements'!C170+'CurrentPor-Rat Factor Movements'!I170)/100)+103/POWER(1+('CurrentPor-Rat Factor Movements'!D170+'CurrentPor-Rat Factor Movements'!I170)/100,2))*100</f>
        <v>9580.1000398181513</v>
      </c>
      <c r="F170">
        <f>Portfolio!B$5*'CurrentPor-Rat Factor Movements'!E170</f>
        <v>52143.895533915893</v>
      </c>
      <c r="G170">
        <f>Portfolio!B$6*'CurrentPor-Rat Factor Movements'!F170</f>
        <v>3696.2945087936532</v>
      </c>
      <c r="H170">
        <f>Portfolio!B$7*'CurrentPor-Rat Factor Movements'!J170</f>
        <v>2148.0998964419859</v>
      </c>
      <c r="I170">
        <f t="shared" si="4"/>
        <v>96488.080124694985</v>
      </c>
      <c r="J170">
        <f t="shared" si="5"/>
        <v>-6.8672718231682666</v>
      </c>
    </row>
    <row r="171" spans="1:10">
      <c r="A171" s="1">
        <v>45708</v>
      </c>
      <c r="B171">
        <f>(3/(1+('CurrentPor-Rat Factor Movements'!C171)/100)+103/POWER(1+('CurrentPor-Rat Factor Movements'!D171)/100,2))*100</f>
        <v>9708.6826925258774</v>
      </c>
      <c r="C171">
        <f>(3/(1+('CurrentPor-Rat Factor Movements'!C171+'CurrentPor-Rat Factor Movements'!G171)/100)+103/POWER(1+('CurrentPor-Rat Factor Movements'!D171+'CurrentPor-Rat Factor Movements'!G171)/100,2))*100</f>
        <v>9616.0484575183764</v>
      </c>
      <c r="D171">
        <f>(3/(1+('CurrentPor-Rat Factor Movements'!C171+'CurrentPor-Rat Factor Movements'!H171)/100)+103/POWER(1+('CurrentPor-Rat Factor Movements'!D171+'CurrentPor-Rat Factor Movements'!H171)/100,2))*100</f>
        <v>9602.3183174654605</v>
      </c>
      <c r="E171">
        <f>(3/(1+('CurrentPor-Rat Factor Movements'!C171+'CurrentPor-Rat Factor Movements'!I171)/100)+103/POWER(1+('CurrentPor-Rat Factor Movements'!D171+'CurrentPor-Rat Factor Movements'!I171)/100,2))*100</f>
        <v>9582.5301071856757</v>
      </c>
      <c r="F171">
        <f>Portfolio!B$5*'CurrentPor-Rat Factor Movements'!E171</f>
        <v>52143.895533915893</v>
      </c>
      <c r="G171">
        <f>Portfolio!B$6*'CurrentPor-Rat Factor Movements'!F171</f>
        <v>3696.2945087936532</v>
      </c>
      <c r="H171">
        <f>Portfolio!B$7*'CurrentPor-Rat Factor Movements'!J171</f>
        <v>2148.0998964419859</v>
      </c>
      <c r="I171">
        <f t="shared" si="4"/>
        <v>96497.869513846919</v>
      </c>
      <c r="J171">
        <f t="shared" si="5"/>
        <v>2.7561999650351936</v>
      </c>
    </row>
    <row r="172" spans="1:10">
      <c r="A172" s="1">
        <v>45709</v>
      </c>
      <c r="B172">
        <f>(3/(1+('CurrentPor-Rat Factor Movements'!C172)/100)+103/POWER(1+('CurrentPor-Rat Factor Movements'!D172)/100,2))*100</f>
        <v>9706.4930016342696</v>
      </c>
      <c r="C172">
        <f>(3/(1+('CurrentPor-Rat Factor Movements'!C172+'CurrentPor-Rat Factor Movements'!G172)/100)+103/POWER(1+('CurrentPor-Rat Factor Movements'!D172+'CurrentPor-Rat Factor Movements'!G172)/100,2))*100</f>
        <v>9613.8903377008792</v>
      </c>
      <c r="D172">
        <f>(3/(1+('CurrentPor-Rat Factor Movements'!C172+'CurrentPor-Rat Factor Movements'!H172)/100)+103/POWER(1+('CurrentPor-Rat Factor Movements'!D172+'CurrentPor-Rat Factor Movements'!H172)/100,2))*100</f>
        <v>9600.1648639293144</v>
      </c>
      <c r="E172">
        <f>(3/(1+('CurrentPor-Rat Factor Movements'!C172+'CurrentPor-Rat Factor Movements'!I172)/100)+103/POWER(1+('CurrentPor-Rat Factor Movements'!D172+'CurrentPor-Rat Factor Movements'!I172)/100,2))*100</f>
        <v>9580.383372823153</v>
      </c>
      <c r="F172">
        <f>Portfolio!B$5*'CurrentPor-Rat Factor Movements'!E172</f>
        <v>52143.895533915893</v>
      </c>
      <c r="G172">
        <f>Portfolio!B$6*'CurrentPor-Rat Factor Movements'!F172</f>
        <v>3696.2945087936532</v>
      </c>
      <c r="H172">
        <f>Portfolio!B$7*'CurrentPor-Rat Factor Movements'!J172</f>
        <v>2148.0998964419859</v>
      </c>
      <c r="I172">
        <f t="shared" si="4"/>
        <v>96489.221515239144</v>
      </c>
      <c r="J172">
        <f t="shared" si="5"/>
        <v>-3.6409494590188842</v>
      </c>
    </row>
    <row r="173" spans="1:10">
      <c r="A173" s="1">
        <v>45712</v>
      </c>
      <c r="B173">
        <f>(3/(1+('CurrentPor-Rat Factor Movements'!C173)/100)+103/POWER(1+('CurrentPor-Rat Factor Movements'!D173)/100,2))*100</f>
        <v>9707.2923936049738</v>
      </c>
      <c r="C173">
        <f>(3/(1+('CurrentPor-Rat Factor Movements'!C173+'CurrentPor-Rat Factor Movements'!G173)/100)+103/POWER(1+('CurrentPor-Rat Factor Movements'!D173+'CurrentPor-Rat Factor Movements'!G173)/100,2))*100</f>
        <v>9614.6782044145602</v>
      </c>
      <c r="D173">
        <f>(3/(1+('CurrentPor-Rat Factor Movements'!C173+'CurrentPor-Rat Factor Movements'!H173)/100)+103/POWER(1+('CurrentPor-Rat Factor Movements'!D173+'CurrentPor-Rat Factor Movements'!H173)/100,2))*100</f>
        <v>9600.951027181356</v>
      </c>
      <c r="E173">
        <f>(3/(1+('CurrentPor-Rat Factor Movements'!C173+'CurrentPor-Rat Factor Movements'!I173)/100)+103/POWER(1+('CurrentPor-Rat Factor Movements'!D173+'CurrentPor-Rat Factor Movements'!I173)/100,2))*100</f>
        <v>9581.1670831892334</v>
      </c>
      <c r="F173">
        <f>Portfolio!B$5*'CurrentPor-Rat Factor Movements'!E173</f>
        <v>52143.895533915893</v>
      </c>
      <c r="G173">
        <f>Portfolio!B$6*'CurrentPor-Rat Factor Movements'!F173</f>
        <v>3696.2945087936532</v>
      </c>
      <c r="H173">
        <f>Portfolio!B$7*'CurrentPor-Rat Factor Movements'!J173</f>
        <v>2148.0998964419859</v>
      </c>
      <c r="I173">
        <f t="shared" si="4"/>
        <v>96492.378647541656</v>
      </c>
      <c r="J173">
        <f t="shared" si="5"/>
        <v>-2.0686306610441534</v>
      </c>
    </row>
    <row r="174" spans="1:10">
      <c r="A174" s="1">
        <v>45713</v>
      </c>
      <c r="B174">
        <f>(3/(1+('CurrentPor-Rat Factor Movements'!C174)/100)+103/POWER(1+('CurrentPor-Rat Factor Movements'!D174)/100,2))*100</f>
        <v>9708.4493331220328</v>
      </c>
      <c r="C174">
        <f>(3/(1+('CurrentPor-Rat Factor Movements'!C174+'CurrentPor-Rat Factor Movements'!G174)/100)+103/POWER(1+('CurrentPor-Rat Factor Movements'!D174+'CurrentPor-Rat Factor Movements'!G174)/100,2))*100</f>
        <v>9615.8184628734653</v>
      </c>
      <c r="D174">
        <f>(3/(1+('CurrentPor-Rat Factor Movements'!C174+'CurrentPor-Rat Factor Movements'!H174)/100)+103/POWER(1+('CurrentPor-Rat Factor Movements'!D174+'CurrentPor-Rat Factor Movements'!H174)/100,2))*100</f>
        <v>9602.0888201398011</v>
      </c>
      <c r="E174">
        <f>(3/(1+('CurrentPor-Rat Factor Movements'!C174+'CurrentPor-Rat Factor Movements'!I174)/100)+103/POWER(1+('CurrentPor-Rat Factor Movements'!D174+'CurrentPor-Rat Factor Movements'!I174)/100,2))*100</f>
        <v>9582.3013259706659</v>
      </c>
      <c r="F174">
        <f>Portfolio!B$5*'CurrentPor-Rat Factor Movements'!E174</f>
        <v>52143.895533915893</v>
      </c>
      <c r="G174">
        <f>Portfolio!B$6*'CurrentPor-Rat Factor Movements'!F174</f>
        <v>3696.2945087936532</v>
      </c>
      <c r="H174">
        <f>Portfolio!B$7*'CurrentPor-Rat Factor Movements'!J174</f>
        <v>2148.0998964419859</v>
      </c>
      <c r="I174">
        <f t="shared" si="4"/>
        <v>96496.947881257496</v>
      </c>
      <c r="J174">
        <f t="shared" si="5"/>
        <v>4.3124907661695033</v>
      </c>
    </row>
    <row r="175" spans="1:10">
      <c r="A175" s="1">
        <v>45714</v>
      </c>
      <c r="B175">
        <f>(3/(1+('CurrentPor-Rat Factor Movements'!C175)/100)+103/POWER(1+('CurrentPor-Rat Factor Movements'!D175)/100,2))*100</f>
        <v>9708.1630795546716</v>
      </c>
      <c r="C175">
        <f>(3/(1+('CurrentPor-Rat Factor Movements'!C175+'CurrentPor-Rat Factor Movements'!G175)/100)+103/POWER(1+('CurrentPor-Rat Factor Movements'!D175+'CurrentPor-Rat Factor Movements'!G175)/100,2))*100</f>
        <v>9615.536336678786</v>
      </c>
      <c r="D175">
        <f>(3/(1+('CurrentPor-Rat Factor Movements'!C175+'CurrentPor-Rat Factor Movements'!H175)/100)+103/POWER(1+('CurrentPor-Rat Factor Movements'!D175+'CurrentPor-Rat Factor Movements'!H175)/100,2))*100</f>
        <v>9601.807303980564</v>
      </c>
      <c r="E175">
        <f>(3/(1+('CurrentPor-Rat Factor Movements'!C175+'CurrentPor-Rat Factor Movements'!I175)/100)+103/POWER(1+('CurrentPor-Rat Factor Movements'!D175+'CurrentPor-Rat Factor Movements'!I175)/100,2))*100</f>
        <v>9582.0206882268503</v>
      </c>
      <c r="F175">
        <f>Portfolio!B$5*'CurrentPor-Rat Factor Movements'!E175</f>
        <v>52143.895533915893</v>
      </c>
      <c r="G175">
        <f>Portfolio!B$6*'CurrentPor-Rat Factor Movements'!F175</f>
        <v>3696.2945087936532</v>
      </c>
      <c r="H175">
        <f>Portfolio!B$7*'CurrentPor-Rat Factor Movements'!J175</f>
        <v>2148.0998964419859</v>
      </c>
      <c r="I175">
        <f t="shared" si="4"/>
        <v>96495.817347592398</v>
      </c>
      <c r="J175">
        <f t="shared" si="5"/>
        <v>4.2894581282453146</v>
      </c>
    </row>
    <row r="176" spans="1:10">
      <c r="A176" s="1">
        <v>45715</v>
      </c>
      <c r="B176">
        <f>(3/(1+('CurrentPor-Rat Factor Movements'!C176)/100)+103/POWER(1+('CurrentPor-Rat Factor Movements'!D176)/100,2))*100</f>
        <v>9708.6931029803418</v>
      </c>
      <c r="C176">
        <f>(3/(1+('CurrentPor-Rat Factor Movements'!C176+'CurrentPor-Rat Factor Movements'!G176)/100)+103/POWER(1+('CurrentPor-Rat Factor Movements'!D176+'CurrentPor-Rat Factor Movements'!G176)/100,2))*100</f>
        <v>9616.0587178657879</v>
      </c>
      <c r="D176">
        <f>(3/(1+('CurrentPor-Rat Factor Movements'!C176+'CurrentPor-Rat Factor Movements'!H176)/100)+103/POWER(1+('CurrentPor-Rat Factor Movements'!D176+'CurrentPor-Rat Factor Movements'!H176)/100,2))*100</f>
        <v>9602.3285556267019</v>
      </c>
      <c r="E176">
        <f>(3/(1+('CurrentPor-Rat Factor Movements'!C176+'CurrentPor-Rat Factor Movements'!I176)/100)+103/POWER(1+('CurrentPor-Rat Factor Movements'!D176+'CurrentPor-Rat Factor Movements'!I176)/100,2))*100</f>
        <v>9582.5403134001244</v>
      </c>
      <c r="F176">
        <f>Portfolio!B$5*'CurrentPor-Rat Factor Movements'!E176</f>
        <v>52143.895533915893</v>
      </c>
      <c r="G176">
        <f>Portfolio!B$6*'CurrentPor-Rat Factor Movements'!F176</f>
        <v>3696.2945087936532</v>
      </c>
      <c r="H176">
        <f>Portfolio!B$7*'CurrentPor-Rat Factor Movements'!J176</f>
        <v>2148.0998964419859</v>
      </c>
      <c r="I176">
        <f t="shared" si="4"/>
        <v>96497.910629024482</v>
      </c>
      <c r="J176">
        <f t="shared" si="5"/>
        <v>8.3796724316489417</v>
      </c>
    </row>
    <row r="177" spans="1:10">
      <c r="A177" s="1">
        <v>45716</v>
      </c>
      <c r="B177">
        <f>(3/(1+('CurrentPor-Rat Factor Movements'!C177)/100)+103/POWER(1+('CurrentPor-Rat Factor Movements'!D177)/100,2))*100</f>
        <v>9705.5891521751328</v>
      </c>
      <c r="C177">
        <f>(3/(1+('CurrentPor-Rat Factor Movements'!C177+'CurrentPor-Rat Factor Movements'!G177)/100)+103/POWER(1+('CurrentPor-Rat Factor Movements'!D177+'CurrentPor-Rat Factor Movements'!G177)/100,2))*100</f>
        <v>9612.9995189401689</v>
      </c>
      <c r="D177">
        <f>(3/(1+('CurrentPor-Rat Factor Movements'!C177+'CurrentPor-Rat Factor Movements'!H177)/100)+103/POWER(1+('CurrentPor-Rat Factor Movements'!D177+'CurrentPor-Rat Factor Movements'!H177)/100,2))*100</f>
        <v>9599.2759711391864</v>
      </c>
      <c r="E177">
        <f>(3/(1+('CurrentPor-Rat Factor Movements'!C177+'CurrentPor-Rat Factor Movements'!I177)/100)+103/POWER(1+('CurrentPor-Rat Factor Movements'!D177+'CurrentPor-Rat Factor Movements'!I177)/100,2))*100</f>
        <v>9579.4972533193795</v>
      </c>
      <c r="F177">
        <f>Portfolio!B$5*'CurrentPor-Rat Factor Movements'!E177</f>
        <v>52143.895533915893</v>
      </c>
      <c r="G177">
        <f>Portfolio!B$6*'CurrentPor-Rat Factor Movements'!F177</f>
        <v>3696.2945087936532</v>
      </c>
      <c r="H177">
        <f>Portfolio!B$7*'CurrentPor-Rat Factor Movements'!J177</f>
        <v>2148.0998964419859</v>
      </c>
      <c r="I177">
        <f t="shared" si="4"/>
        <v>96485.651834725388</v>
      </c>
      <c r="J177">
        <f t="shared" si="5"/>
        <v>-5.3367125841323286</v>
      </c>
    </row>
    <row r="178" spans="1:10">
      <c r="A178" s="1">
        <v>45719</v>
      </c>
      <c r="B178">
        <f>(3/(1+('CurrentPor-Rat Factor Movements'!C178)/100)+103/POWER(1+('CurrentPor-Rat Factor Movements'!D178)/100,2))*100</f>
        <v>9706.1560428805878</v>
      </c>
      <c r="C178">
        <f>(3/(1+('CurrentPor-Rat Factor Movements'!C178+'CurrentPor-Rat Factor Movements'!G178)/100)+103/POWER(1+('CurrentPor-Rat Factor Movements'!D178+'CurrentPor-Rat Factor Movements'!G178)/100,2))*100</f>
        <v>9613.558236916213</v>
      </c>
      <c r="D178">
        <f>(3/(1+('CurrentPor-Rat Factor Movements'!C178+'CurrentPor-Rat Factor Movements'!H178)/100)+103/POWER(1+('CurrentPor-Rat Factor Movements'!D178+'CurrentPor-Rat Factor Movements'!H178)/100,2))*100</f>
        <v>9599.8334811647856</v>
      </c>
      <c r="E178">
        <f>(3/(1+('CurrentPor-Rat Factor Movements'!C178+'CurrentPor-Rat Factor Movements'!I178)/100)+103/POWER(1+('CurrentPor-Rat Factor Movements'!D178+'CurrentPor-Rat Factor Movements'!I178)/100,2))*100</f>
        <v>9580.0530239660766</v>
      </c>
      <c r="F178">
        <f>Portfolio!B$5*'CurrentPor-Rat Factor Movements'!E178</f>
        <v>52143.895533915893</v>
      </c>
      <c r="G178">
        <f>Portfolio!B$6*'CurrentPor-Rat Factor Movements'!F178</f>
        <v>3696.2945087936532</v>
      </c>
      <c r="H178">
        <f>Portfolio!B$7*'CurrentPor-Rat Factor Movements'!J178</f>
        <v>2148.0998964419859</v>
      </c>
      <c r="I178">
        <f t="shared" si="4"/>
        <v>96487.890724079203</v>
      </c>
      <c r="J178">
        <f t="shared" si="5"/>
        <v>-8.5836756770731881E-2</v>
      </c>
    </row>
    <row r="179" spans="1:10">
      <c r="A179" s="1">
        <v>45720</v>
      </c>
      <c r="B179">
        <f>(3/(1+('CurrentPor-Rat Factor Movements'!C179)/100)+103/POWER(1+('CurrentPor-Rat Factor Movements'!D179)/100,2))*100</f>
        <v>9706.2043662200049</v>
      </c>
      <c r="C179">
        <f>(3/(1+('CurrentPor-Rat Factor Movements'!C179+'CurrentPor-Rat Factor Movements'!G179)/100)+103/POWER(1+('CurrentPor-Rat Factor Movements'!D179+'CurrentPor-Rat Factor Movements'!G179)/100,2))*100</f>
        <v>9613.6058635783102</v>
      </c>
      <c r="D179">
        <f>(3/(1+('CurrentPor-Rat Factor Movements'!C179+'CurrentPor-Rat Factor Movements'!H179)/100)+103/POWER(1+('CurrentPor-Rat Factor Movements'!D179+'CurrentPor-Rat Factor Movements'!H179)/100,2))*100</f>
        <v>9599.8810048561954</v>
      </c>
      <c r="E179">
        <f>(3/(1+('CurrentPor-Rat Factor Movements'!C179+'CurrentPor-Rat Factor Movements'!I179)/100)+103/POWER(1+('CurrentPor-Rat Factor Movements'!D179+'CurrentPor-Rat Factor Movements'!I179)/100,2))*100</f>
        <v>9580.1003993856575</v>
      </c>
      <c r="F179">
        <f>Portfolio!B$5*'CurrentPor-Rat Factor Movements'!E179</f>
        <v>52143.895533915893</v>
      </c>
      <c r="G179">
        <f>Portfolio!B$6*'CurrentPor-Rat Factor Movements'!F179</f>
        <v>3696.2945087936532</v>
      </c>
      <c r="H179">
        <f>Portfolio!B$7*'CurrentPor-Rat Factor Movements'!J179</f>
        <v>2148.0998964419859</v>
      </c>
      <c r="I179">
        <f t="shared" si="4"/>
        <v>96488.081573191695</v>
      </c>
      <c r="J179">
        <f t="shared" si="5"/>
        <v>-0.46755510944058187</v>
      </c>
    </row>
    <row r="180" spans="1:10">
      <c r="A180" s="1">
        <v>45721</v>
      </c>
      <c r="B180">
        <f>(3/(1+('CurrentPor-Rat Factor Movements'!C180)/100)+103/POWER(1+('CurrentPor-Rat Factor Movements'!D180)/100,2))*100</f>
        <v>9706.0397590979192</v>
      </c>
      <c r="C180">
        <f>(3/(1+('CurrentPor-Rat Factor Movements'!C180+'CurrentPor-Rat Factor Movements'!G180)/100)+103/POWER(1+('CurrentPor-Rat Factor Movements'!D180+'CurrentPor-Rat Factor Movements'!G180)/100,2))*100</f>
        <v>9613.4436295890355</v>
      </c>
      <c r="D180">
        <f>(3/(1+('CurrentPor-Rat Factor Movements'!C180+'CurrentPor-Rat Factor Movements'!H180)/100)+103/POWER(1+('CurrentPor-Rat Factor Movements'!D180+'CurrentPor-Rat Factor Movements'!H180)/100,2))*100</f>
        <v>9599.7191216220072</v>
      </c>
      <c r="E180">
        <f>(3/(1+('CurrentPor-Rat Factor Movements'!C180+'CurrentPor-Rat Factor Movements'!I180)/100)+103/POWER(1+('CurrentPor-Rat Factor Movements'!D180+'CurrentPor-Rat Factor Movements'!I180)/100,2))*100</f>
        <v>9579.9390212185208</v>
      </c>
      <c r="F180">
        <f>Portfolio!B$5*'CurrentPor-Rat Factor Movements'!E180</f>
        <v>52143.895533915893</v>
      </c>
      <c r="G180">
        <f>Portfolio!B$6*'CurrentPor-Rat Factor Movements'!F180</f>
        <v>3696.2945087936532</v>
      </c>
      <c r="H180">
        <f>Portfolio!B$7*'CurrentPor-Rat Factor Movements'!J180</f>
        <v>2148.0998964419859</v>
      </c>
      <c r="I180">
        <f t="shared" si="4"/>
        <v>96487.431470679017</v>
      </c>
      <c r="J180">
        <f t="shared" si="5"/>
        <v>-0.6486540159676224</v>
      </c>
    </row>
    <row r="181" spans="1:10">
      <c r="A181" s="1">
        <v>45722</v>
      </c>
      <c r="B181">
        <f>(3/(1+('CurrentPor-Rat Factor Movements'!C181)/100)+103/POWER(1+('CurrentPor-Rat Factor Movements'!D181)/100,2))*100</f>
        <v>9707.6643715442788</v>
      </c>
      <c r="C181">
        <f>(3/(1+('CurrentPor-Rat Factor Movements'!C181+'CurrentPor-Rat Factor Movements'!G181)/100)+103/POWER(1+('CurrentPor-Rat Factor Movements'!D181+'CurrentPor-Rat Factor Movements'!G181)/100,2))*100</f>
        <v>9615.0448191876512</v>
      </c>
      <c r="D181">
        <f>(3/(1+('CurrentPor-Rat Factor Movements'!C181+'CurrentPor-Rat Factor Movements'!H181)/100)+103/POWER(1+('CurrentPor-Rat Factor Movements'!D181+'CurrentPor-Rat Factor Movements'!H181)/100,2))*100</f>
        <v>9601.3168492654149</v>
      </c>
      <c r="E181">
        <f>(3/(1+('CurrentPor-Rat Factor Movements'!C181+'CurrentPor-Rat Factor Movements'!I181)/100)+103/POWER(1+('CurrentPor-Rat Factor Movements'!D181+'CurrentPor-Rat Factor Movements'!I181)/100,2))*100</f>
        <v>9581.5317638471988</v>
      </c>
      <c r="F181">
        <f>Portfolio!B$5*'CurrentPor-Rat Factor Movements'!E181</f>
        <v>52143.895533915893</v>
      </c>
      <c r="G181">
        <f>Portfolio!B$6*'CurrentPor-Rat Factor Movements'!F181</f>
        <v>3696.2945087936532</v>
      </c>
      <c r="H181">
        <f>Portfolio!B$7*'CurrentPor-Rat Factor Movements'!J181</f>
        <v>2148.0998964419859</v>
      </c>
      <c r="I181">
        <f t="shared" si="4"/>
        <v>96493.847742996077</v>
      </c>
      <c r="J181">
        <f t="shared" si="5"/>
        <v>-4.0217708508425858</v>
      </c>
    </row>
    <row r="182" spans="1:10">
      <c r="A182" s="1">
        <v>45723</v>
      </c>
      <c r="B182">
        <f>(3/(1+('CurrentPor-Rat Factor Movements'!C182)/100)+103/POWER(1+('CurrentPor-Rat Factor Movements'!D182)/100,2))*100</f>
        <v>9706.8078811854812</v>
      </c>
      <c r="C182">
        <f>(3/(1+('CurrentPor-Rat Factor Movements'!C182+'CurrentPor-Rat Factor Movements'!G182)/100)+103/POWER(1+('CurrentPor-Rat Factor Movements'!D182+'CurrentPor-Rat Factor Movements'!G182)/100,2))*100</f>
        <v>9614.2006775242189</v>
      </c>
      <c r="D182">
        <f>(3/(1+('CurrentPor-Rat Factor Movements'!C182+'CurrentPor-Rat Factor Movements'!H182)/100)+103/POWER(1+('CurrentPor-Rat Factor Movements'!D182+'CurrentPor-Rat Factor Movements'!H182)/100,2))*100</f>
        <v>9600.4745327694927</v>
      </c>
      <c r="E182">
        <f>(3/(1+('CurrentPor-Rat Factor Movements'!C182+'CurrentPor-Rat Factor Movements'!I182)/100)+103/POWER(1+('CurrentPor-Rat Factor Movements'!D182+'CurrentPor-Rat Factor Movements'!I182)/100,2))*100</f>
        <v>9580.6920754864514</v>
      </c>
      <c r="F182">
        <f>Portfolio!B$5*'CurrentPor-Rat Factor Movements'!E182</f>
        <v>52143.895533915893</v>
      </c>
      <c r="G182">
        <f>Portfolio!B$6*'CurrentPor-Rat Factor Movements'!F182</f>
        <v>3696.2945087936532</v>
      </c>
      <c r="H182">
        <f>Portfolio!B$7*'CurrentPor-Rat Factor Movements'!J182</f>
        <v>2148.0998964419859</v>
      </c>
      <c r="I182">
        <f t="shared" si="4"/>
        <v>96490.465106117175</v>
      </c>
      <c r="J182">
        <f t="shared" si="5"/>
        <v>1.2435908780316822</v>
      </c>
    </row>
    <row r="183" spans="1:10">
      <c r="A183" s="1">
        <v>45726</v>
      </c>
      <c r="B183">
        <f>(3/(1+('CurrentPor-Rat Factor Movements'!C183)/100)+103/POWER(1+('CurrentPor-Rat Factor Movements'!D183)/100,2))*100</f>
        <v>9707.1052610875831</v>
      </c>
      <c r="C183">
        <f>(3/(1+('CurrentPor-Rat Factor Movements'!C183+'CurrentPor-Rat Factor Movements'!G183)/100)+103/POWER(1+('CurrentPor-Rat Factor Movements'!D183+'CurrentPor-Rat Factor Movements'!G183)/100,2))*100</f>
        <v>9614.4937699286656</v>
      </c>
      <c r="D183">
        <f>(3/(1+('CurrentPor-Rat Factor Movements'!C183+'CurrentPor-Rat Factor Movements'!H183)/100)+103/POWER(1+('CurrentPor-Rat Factor Movements'!D183+'CurrentPor-Rat Factor Movements'!H183)/100,2))*100</f>
        <v>9600.7669914711532</v>
      </c>
      <c r="E183">
        <f>(3/(1+('CurrentPor-Rat Factor Movements'!C183+'CurrentPor-Rat Factor Movements'!I183)/100)+103/POWER(1+('CurrentPor-Rat Factor Movements'!D183+'CurrentPor-Rat Factor Movements'!I183)/100,2))*100</f>
        <v>9580.983621692867</v>
      </c>
      <c r="F183">
        <f>Portfolio!B$5*'CurrentPor-Rat Factor Movements'!E183</f>
        <v>52143.895533915893</v>
      </c>
      <c r="G183">
        <f>Portfolio!B$6*'CurrentPor-Rat Factor Movements'!F183</f>
        <v>3696.2945087936532</v>
      </c>
      <c r="H183">
        <f>Portfolio!B$7*'CurrentPor-Rat Factor Movements'!J183</f>
        <v>2148.0998964419859</v>
      </c>
      <c r="I183">
        <f t="shared" si="4"/>
        <v>96491.639583331809</v>
      </c>
      <c r="J183">
        <f t="shared" si="5"/>
        <v>-0.73906420984712895</v>
      </c>
    </row>
    <row r="184" spans="1:10">
      <c r="A184" s="1">
        <v>45727</v>
      </c>
      <c r="B184">
        <f>(3/(1+('CurrentPor-Rat Factor Movements'!C184)/100)+103/POWER(1+('CurrentPor-Rat Factor Movements'!D184)/100,2))*100</f>
        <v>9706.9651958477079</v>
      </c>
      <c r="C184">
        <f>(3/(1+('CurrentPor-Rat Factor Movements'!C184+'CurrentPor-Rat Factor Movements'!G184)/100)+103/POWER(1+('CurrentPor-Rat Factor Movements'!D184+'CurrentPor-Rat Factor Movements'!G184)/100,2))*100</f>
        <v>9614.3557240984464</v>
      </c>
      <c r="D184">
        <f>(3/(1+('CurrentPor-Rat Factor Movements'!C184+'CurrentPor-Rat Factor Movements'!H184)/100)+103/POWER(1+('CurrentPor-Rat Factor Movements'!D184+'CurrentPor-Rat Factor Movements'!H184)/100,2))*100</f>
        <v>9600.6292441146743</v>
      </c>
      <c r="E184">
        <f>(3/(1+('CurrentPor-Rat Factor Movements'!C184+'CurrentPor-Rat Factor Movements'!I184)/100)+103/POWER(1+('CurrentPor-Rat Factor Movements'!D184+'CurrentPor-Rat Factor Movements'!I184)/100,2))*100</f>
        <v>9580.8463041212508</v>
      </c>
      <c r="F184">
        <f>Portfolio!B$5*'CurrentPor-Rat Factor Movements'!E184</f>
        <v>52143.895533915893</v>
      </c>
      <c r="G184">
        <f>Portfolio!B$6*'CurrentPor-Rat Factor Movements'!F184</f>
        <v>3696.2945087936532</v>
      </c>
      <c r="H184">
        <f>Portfolio!B$7*'CurrentPor-Rat Factor Movements'!J184</f>
        <v>2148.0998964419859</v>
      </c>
      <c r="I184">
        <f t="shared" si="4"/>
        <v>96491.086407333612</v>
      </c>
      <c r="J184">
        <f t="shared" si="5"/>
        <v>-5.8614739238837501</v>
      </c>
    </row>
    <row r="185" spans="1:10">
      <c r="A185" s="1">
        <v>45728</v>
      </c>
      <c r="B185">
        <f>(3/(1+('CurrentPor-Rat Factor Movements'!C185)/100)+103/POWER(1+('CurrentPor-Rat Factor Movements'!D185)/100,2))*100</f>
        <v>9706.4304878069106</v>
      </c>
      <c r="C185">
        <f>(3/(1+('CurrentPor-Rat Factor Movements'!C185+'CurrentPor-Rat Factor Movements'!G185)/100)+103/POWER(1+('CurrentPor-Rat Factor Movements'!D185+'CurrentPor-Rat Factor Movements'!G185)/100,2))*100</f>
        <v>9613.8287251482416</v>
      </c>
      <c r="D185">
        <f>(3/(1+('CurrentPor-Rat Factor Movements'!C185+'CurrentPor-Rat Factor Movements'!H185)/100)+103/POWER(1+('CurrentPor-Rat Factor Movements'!D185+'CurrentPor-Rat Factor Movements'!H185)/100,2))*100</f>
        <v>9600.1033845873499</v>
      </c>
      <c r="E185">
        <f>(3/(1+('CurrentPor-Rat Factor Movements'!C185+'CurrentPor-Rat Factor Movements'!I185)/100)+103/POWER(1+('CurrentPor-Rat Factor Movements'!D185+'CurrentPor-Rat Factor Movements'!I185)/100,2))*100</f>
        <v>9580.3220852968516</v>
      </c>
      <c r="F185">
        <f>Portfolio!B$5*'CurrentPor-Rat Factor Movements'!E185</f>
        <v>52143.895533915893</v>
      </c>
      <c r="G185">
        <f>Portfolio!B$6*'CurrentPor-Rat Factor Movements'!F185</f>
        <v>3696.2945087936532</v>
      </c>
      <c r="H185">
        <f>Portfolio!B$7*'CurrentPor-Rat Factor Movements'!J185</f>
        <v>2148.0998964419859</v>
      </c>
      <c r="I185">
        <f t="shared" si="4"/>
        <v>96488.974621990885</v>
      </c>
      <c r="J185">
        <f t="shared" si="5"/>
        <v>-6.8427256015129387</v>
      </c>
    </row>
    <row r="186" spans="1:10">
      <c r="A186" s="1">
        <v>45729</v>
      </c>
      <c r="B186">
        <f>(3/(1+('CurrentPor-Rat Factor Movements'!C186)/100)+103/POWER(1+('CurrentPor-Rat Factor Movements'!D186)/100,2))*100</f>
        <v>9708.2725446045133</v>
      </c>
      <c r="C186">
        <f>(3/(1+('CurrentPor-Rat Factor Movements'!C186+'CurrentPor-Rat Factor Movements'!G186)/100)+103/POWER(1+('CurrentPor-Rat Factor Movements'!D186+'CurrentPor-Rat Factor Movements'!G186)/100,2))*100</f>
        <v>9615.6442234042661</v>
      </c>
      <c r="D186">
        <f>(3/(1+('CurrentPor-Rat Factor Movements'!C186+'CurrentPor-Rat Factor Movements'!H186)/100)+103/POWER(1+('CurrentPor-Rat Factor Movements'!D186+'CurrentPor-Rat Factor Movements'!H186)/100,2))*100</f>
        <v>9601.9149574259573</v>
      </c>
      <c r="E186">
        <f>(3/(1+('CurrentPor-Rat Factor Movements'!C186+'CurrentPor-Rat Factor Movements'!I186)/100)+103/POWER(1+('CurrentPor-Rat Factor Movements'!D186+'CurrentPor-Rat Factor Movements'!I186)/100,2))*100</f>
        <v>9582.1280057625409</v>
      </c>
      <c r="F186">
        <f>Portfolio!B$5*'CurrentPor-Rat Factor Movements'!E186</f>
        <v>52143.895533915893</v>
      </c>
      <c r="G186">
        <f>Portfolio!B$6*'CurrentPor-Rat Factor Movements'!F186</f>
        <v>3696.2945087936532</v>
      </c>
      <c r="H186">
        <f>Portfolio!B$7*'CurrentPor-Rat Factor Movements'!J186</f>
        <v>2148.0998964419859</v>
      </c>
      <c r="I186">
        <f t="shared" si="4"/>
        <v>96496.249670348814</v>
      </c>
      <c r="J186">
        <f t="shared" si="5"/>
        <v>-1.6609586756676435</v>
      </c>
    </row>
    <row r="187" spans="1:10">
      <c r="A187" s="1">
        <v>45730</v>
      </c>
      <c r="B187">
        <f>(3/(1+('CurrentPor-Rat Factor Movements'!C187)/100)+103/POWER(1+('CurrentPor-Rat Factor Movements'!D187)/100,2))*100</f>
        <v>9707.222412988127</v>
      </c>
      <c r="C187">
        <f>(3/(1+('CurrentPor-Rat Factor Movements'!C187+'CurrentPor-Rat Factor Movements'!G187)/100)+103/POWER(1+('CurrentPor-Rat Factor Movements'!D187+'CurrentPor-Rat Factor Movements'!G187)/100,2))*100</f>
        <v>9614.6092327644474</v>
      </c>
      <c r="D187">
        <f>(3/(1+('CurrentPor-Rat Factor Movements'!C187+'CurrentPor-Rat Factor Movements'!H187)/100)+103/POWER(1+('CurrentPor-Rat Factor Movements'!D187+'CurrentPor-Rat Factor Movements'!H187)/100,2))*100</f>
        <v>9600.8822046589994</v>
      </c>
      <c r="E187">
        <f>(3/(1+('CurrentPor-Rat Factor Movements'!C187+'CurrentPor-Rat Factor Movements'!I187)/100)+103/POWER(1+('CurrentPor-Rat Factor Movements'!D187+'CurrentPor-Rat Factor Movements'!I187)/100,2))*100</f>
        <v>9581.0984754021865</v>
      </c>
      <c r="F187">
        <f>Portfolio!B$5*'CurrentPor-Rat Factor Movements'!E187</f>
        <v>52143.895533915893</v>
      </c>
      <c r="G187">
        <f>Portfolio!B$6*'CurrentPor-Rat Factor Movements'!F187</f>
        <v>3696.2945087936532</v>
      </c>
      <c r="H187">
        <f>Portfolio!B$7*'CurrentPor-Rat Factor Movements'!J187</f>
        <v>2148.0998964419859</v>
      </c>
      <c r="I187">
        <f t="shared" si="4"/>
        <v>96492.102264965288</v>
      </c>
      <c r="J187">
        <f t="shared" si="5"/>
        <v>6.4504302399000153</v>
      </c>
    </row>
    <row r="188" spans="1:10">
      <c r="A188" s="13">
        <v>45733</v>
      </c>
      <c r="B188">
        <f>(3/(1+('CurrentPor-Rat Factor Movements'!C188)/100)+103/POWER(1+('CurrentPor-Rat Factor Movements'!D188)/100,2))*100</f>
        <v>9707.2183947784943</v>
      </c>
      <c r="C188">
        <f>(3/(1+('CurrentPor-Rat Factor Movements'!C188+'CurrentPor-Rat Factor Movements'!G188)/100)+103/POWER(1+('CurrentPor-Rat Factor Movements'!D188+'CurrentPor-Rat Factor Movements'!G188)/100,2))*100</f>
        <v>9614.6053263764152</v>
      </c>
      <c r="D188">
        <f>(3/(1+('CurrentPor-Rat Factor Movements'!C188+'CurrentPor-Rat Factor Movements'!H188)/100)+103/POWER(1+('CurrentPor-Rat Factor Movements'!D188+'CurrentPor-Rat Factor Movements'!H188)/100,2))*100</f>
        <v>9600.8783147532649</v>
      </c>
      <c r="E188">
        <f>(3/(1+('CurrentPor-Rat Factor Movements'!C188+'CurrentPor-Rat Factor Movements'!I188)/100)+103/POWER(1+('CurrentPor-Rat Factor Movements'!D188+'CurrentPor-Rat Factor Movements'!I188)/100,2))*100</f>
        <v>9581.0946092093582</v>
      </c>
      <c r="F188">
        <f>Portfolio!B$5*'CurrentPor-Rat Factor Movements'!E188</f>
        <v>52143.895533915893</v>
      </c>
      <c r="G188">
        <f>Portfolio!B$6*'CurrentPor-Rat Factor Movements'!F188</f>
        <v>3696.2945087936532</v>
      </c>
      <c r="H188">
        <f>Portfolio!B$7*'CurrentPor-Rat Factor Movements'!J188</f>
        <v>2148.0998964419859</v>
      </c>
      <c r="I188">
        <f t="shared" ref="I188:I251" si="6">SUM(B188:H188)</f>
        <v>96492.086584269055</v>
      </c>
      <c r="J188">
        <f t="shared" ref="J188:J251" si="7">I188-I178</f>
        <v>4.1958601898513734</v>
      </c>
    </row>
    <row r="189" spans="1:10">
      <c r="A189" s="1">
        <v>45734</v>
      </c>
      <c r="B189">
        <f>(3/(1+('CurrentPor-Rat Factor Movements'!C189)/100)+103/POWER(1+('CurrentPor-Rat Factor Movements'!D189)/100,2))*100</f>
        <v>9706.7061948135106</v>
      </c>
      <c r="C189">
        <f>(3/(1+('CurrentPor-Rat Factor Movements'!C189+'CurrentPor-Rat Factor Movements'!G189)/100)+103/POWER(1+('CurrentPor-Rat Factor Movements'!D189+'CurrentPor-Rat Factor Movements'!G189)/100,2))*100</f>
        <v>9614.1005201043845</v>
      </c>
      <c r="D189">
        <f>(3/(1+('CurrentPor-Rat Factor Movements'!C189+'CurrentPor-Rat Factor Movements'!H189)/100)+103/POWER(1+('CurrentPor-Rat Factor Movements'!D189+'CurrentPor-Rat Factor Movements'!H189)/100,2))*100</f>
        <v>9600.3746012798292</v>
      </c>
      <c r="E189">
        <f>(3/(1+('CurrentPor-Rat Factor Movements'!C189+'CurrentPor-Rat Factor Movements'!I189)/100)+103/POWER(1+('CurrentPor-Rat Factor Movements'!D189+'CurrentPor-Rat Factor Movements'!I189)/100,2))*100</f>
        <v>9580.5924692990538</v>
      </c>
      <c r="F189">
        <f>Portfolio!B$5*'CurrentPor-Rat Factor Movements'!E189</f>
        <v>52143.895533915893</v>
      </c>
      <c r="G189">
        <f>Portfolio!B$6*'CurrentPor-Rat Factor Movements'!F189</f>
        <v>3696.2945087936532</v>
      </c>
      <c r="H189">
        <f>Portfolio!B$7*'CurrentPor-Rat Factor Movements'!J189</f>
        <v>2148.0998964419859</v>
      </c>
      <c r="I189">
        <f t="shared" si="6"/>
        <v>96490.063724648309</v>
      </c>
      <c r="J189">
        <f t="shared" si="7"/>
        <v>1.9821514566137921</v>
      </c>
    </row>
    <row r="190" spans="1:10">
      <c r="A190" s="1">
        <v>45735</v>
      </c>
      <c r="B190">
        <f>(3/(1+('CurrentPor-Rat Factor Movements'!C190)/100)+103/POWER(1+('CurrentPor-Rat Factor Movements'!D190)/100,2))*100</f>
        <v>9707.9406296521847</v>
      </c>
      <c r="C190">
        <f>(3/(1+('CurrentPor-Rat Factor Movements'!C190+'CurrentPor-Rat Factor Movements'!G190)/100)+103/POWER(1+('CurrentPor-Rat Factor Movements'!D190+'CurrentPor-Rat Factor Movements'!G190)/100,2))*100</f>
        <v>9615.3170834059965</v>
      </c>
      <c r="D190">
        <f>(3/(1+('CurrentPor-Rat Factor Movements'!C190+'CurrentPor-Rat Factor Movements'!H190)/100)+103/POWER(1+('CurrentPor-Rat Factor Movements'!D190+'CurrentPor-Rat Factor Movements'!H190)/100,2))*100</f>
        <v>9601.5885231862812</v>
      </c>
      <c r="E190">
        <f>(3/(1+('CurrentPor-Rat Factor Movements'!C190+'CurrentPor-Rat Factor Movements'!I190)/100)+103/POWER(1+('CurrentPor-Rat Factor Movements'!D190+'CurrentPor-Rat Factor Movements'!I190)/100,2))*100</f>
        <v>9581.8025877781893</v>
      </c>
      <c r="F190">
        <f>Portfolio!B$5*'CurrentPor-Rat Factor Movements'!E190</f>
        <v>52143.895533915893</v>
      </c>
      <c r="G190">
        <f>Portfolio!B$6*'CurrentPor-Rat Factor Movements'!F190</f>
        <v>3696.2945087936532</v>
      </c>
      <c r="H190">
        <f>Portfolio!B$7*'CurrentPor-Rat Factor Movements'!J190</f>
        <v>2148.0998964419859</v>
      </c>
      <c r="I190">
        <f t="shared" si="6"/>
        <v>96494.938763174185</v>
      </c>
      <c r="J190">
        <f t="shared" si="7"/>
        <v>7.5072924951673485</v>
      </c>
    </row>
    <row r="191" spans="1:10">
      <c r="A191" s="1">
        <v>45736</v>
      </c>
      <c r="B191">
        <f>(3/(1+('CurrentPor-Rat Factor Movements'!C191)/100)+103/POWER(1+('CurrentPor-Rat Factor Movements'!D191)/100,2))*100</f>
        <v>9705.8492751011836</v>
      </c>
      <c r="C191">
        <f>(3/(1+('CurrentPor-Rat Factor Movements'!C191+'CurrentPor-Rat Factor Movements'!G191)/100)+103/POWER(1+('CurrentPor-Rat Factor Movements'!D191+'CurrentPor-Rat Factor Movements'!G191)/100,2))*100</f>
        <v>9613.2559757028084</v>
      </c>
      <c r="D191">
        <f>(3/(1+('CurrentPor-Rat Factor Movements'!C191+'CurrentPor-Rat Factor Movements'!H191)/100)+103/POWER(1+('CurrentPor-Rat Factor Movements'!D191+'CurrentPor-Rat Factor Movements'!H191)/100,2))*100</f>
        <v>9599.5318859629588</v>
      </c>
      <c r="E191">
        <f>(3/(1+('CurrentPor-Rat Factor Movements'!C191+'CurrentPor-Rat Factor Movements'!I191)/100)+103/POWER(1+('CurrentPor-Rat Factor Movements'!D191+'CurrentPor-Rat Factor Movements'!I191)/100,2))*100</f>
        <v>9579.7523877503099</v>
      </c>
      <c r="F191">
        <f>Portfolio!B$5*'CurrentPor-Rat Factor Movements'!E191</f>
        <v>52143.895533915893</v>
      </c>
      <c r="G191">
        <f>Portfolio!B$6*'CurrentPor-Rat Factor Movements'!F191</f>
        <v>3696.2945087936532</v>
      </c>
      <c r="H191">
        <f>Portfolio!B$7*'CurrentPor-Rat Factor Movements'!J191</f>
        <v>2148.0998964419859</v>
      </c>
      <c r="I191">
        <f t="shared" si="6"/>
        <v>96486.679463668799</v>
      </c>
      <c r="J191">
        <f t="shared" si="7"/>
        <v>-7.1682793272775598</v>
      </c>
    </row>
    <row r="192" spans="1:10">
      <c r="A192" s="1">
        <v>45737</v>
      </c>
      <c r="B192">
        <f>(3/(1+('CurrentPor-Rat Factor Movements'!C192)/100)+103/POWER(1+('CurrentPor-Rat Factor Movements'!D192)/100,2))*100</f>
        <v>9707.2364845676602</v>
      </c>
      <c r="C192">
        <f>(3/(1+('CurrentPor-Rat Factor Movements'!C192+'CurrentPor-Rat Factor Movements'!G192)/100)+103/POWER(1+('CurrentPor-Rat Factor Movements'!D192+'CurrentPor-Rat Factor Movements'!G192)/100,2))*100</f>
        <v>9614.6232228146928</v>
      </c>
      <c r="D192">
        <f>(3/(1+('CurrentPor-Rat Factor Movements'!C192+'CurrentPor-Rat Factor Movements'!H192)/100)+103/POWER(1+('CurrentPor-Rat Factor Movements'!D192+'CurrentPor-Rat Factor Movements'!H192)/100,2))*100</f>
        <v>9600.8961825571987</v>
      </c>
      <c r="E192">
        <f>(3/(1+('CurrentPor-Rat Factor Movements'!C192+'CurrentPor-Rat Factor Movements'!I192)/100)+103/POWER(1+('CurrentPor-Rat Factor Movements'!D192+'CurrentPor-Rat Factor Movements'!I192)/100,2))*100</f>
        <v>9581.1124357556673</v>
      </c>
      <c r="F192">
        <f>Portfolio!B$5*'CurrentPor-Rat Factor Movements'!E192</f>
        <v>52143.895533915893</v>
      </c>
      <c r="G192">
        <f>Portfolio!B$6*'CurrentPor-Rat Factor Movements'!F192</f>
        <v>3696.2945087936532</v>
      </c>
      <c r="H192">
        <f>Portfolio!B$7*'CurrentPor-Rat Factor Movements'!J192</f>
        <v>2148.0998964419859</v>
      </c>
      <c r="I192">
        <f t="shared" si="6"/>
        <v>96492.158264846759</v>
      </c>
      <c r="J192">
        <f t="shared" si="7"/>
        <v>1.6931587295839563</v>
      </c>
    </row>
    <row r="193" spans="1:10">
      <c r="A193" s="1">
        <v>45740</v>
      </c>
      <c r="B193">
        <f>(3/(1+('CurrentPor-Rat Factor Movements'!C193)/100)+103/POWER(1+('CurrentPor-Rat Factor Movements'!D193)/100,2))*100</f>
        <v>9706.8851115378275</v>
      </c>
      <c r="C193">
        <f>(3/(1+('CurrentPor-Rat Factor Movements'!C193+'CurrentPor-Rat Factor Movements'!G193)/100)+103/POWER(1+('CurrentPor-Rat Factor Movements'!D193+'CurrentPor-Rat Factor Movements'!G193)/100,2))*100</f>
        <v>9614.2768822211874</v>
      </c>
      <c r="D193">
        <f>(3/(1+('CurrentPor-Rat Factor Movements'!C193+'CurrentPor-Rat Factor Movements'!H193)/100)+103/POWER(1+('CurrentPor-Rat Factor Movements'!D193+'CurrentPor-Rat Factor Movements'!H193)/100,2))*100</f>
        <v>9600.5505857983626</v>
      </c>
      <c r="E193">
        <f>(3/(1+('CurrentPor-Rat Factor Movements'!C193+'CurrentPor-Rat Factor Movements'!I193)/100)+103/POWER(1+('CurrentPor-Rat Factor Movements'!D193+'CurrentPor-Rat Factor Movements'!I193)/100,2))*100</f>
        <v>9580.7679100884252</v>
      </c>
      <c r="F193">
        <f>Portfolio!B$5*'CurrentPor-Rat Factor Movements'!E193</f>
        <v>52143.895533915893</v>
      </c>
      <c r="G193">
        <f>Portfolio!B$6*'CurrentPor-Rat Factor Movements'!F193</f>
        <v>3696.2945087936532</v>
      </c>
      <c r="H193">
        <f>Portfolio!B$7*'CurrentPor-Rat Factor Movements'!J193</f>
        <v>2148.0998964419859</v>
      </c>
      <c r="I193">
        <f t="shared" si="6"/>
        <v>96490.770428797332</v>
      </c>
      <c r="J193">
        <f t="shared" si="7"/>
        <v>-0.86915453447727486</v>
      </c>
    </row>
    <row r="194" spans="1:10">
      <c r="A194" s="1">
        <v>45741</v>
      </c>
      <c r="B194">
        <f>(3/(1+('CurrentPor-Rat Factor Movements'!C194)/100)+103/POWER(1+('CurrentPor-Rat Factor Movements'!D194)/100,2))*100</f>
        <v>9706.5357176940197</v>
      </c>
      <c r="C194">
        <f>(3/(1+('CurrentPor-Rat Factor Movements'!C194+'CurrentPor-Rat Factor Movements'!G194)/100)+103/POWER(1+('CurrentPor-Rat Factor Movements'!D194+'CurrentPor-Rat Factor Movements'!G194)/100,2))*100</f>
        <v>9613.9324673252941</v>
      </c>
      <c r="D194">
        <f>(3/(1+('CurrentPor-Rat Factor Movements'!C194+'CurrentPor-Rat Factor Movements'!H194)/100)+103/POWER(1+('CurrentPor-Rat Factor Movements'!D194+'CurrentPor-Rat Factor Movements'!H194)/100,2))*100</f>
        <v>9600.206906852427</v>
      </c>
      <c r="E194">
        <f>(3/(1+('CurrentPor-Rat Factor Movements'!C194+'CurrentPor-Rat Factor Movements'!I194)/100)+103/POWER(1+('CurrentPor-Rat Factor Movements'!D194+'CurrentPor-Rat Factor Movements'!I194)/100,2))*100</f>
        <v>9580.4252908901526</v>
      </c>
      <c r="F194">
        <f>Portfolio!B$5*'CurrentPor-Rat Factor Movements'!E194</f>
        <v>52143.895533915893</v>
      </c>
      <c r="G194">
        <f>Portfolio!B$6*'CurrentPor-Rat Factor Movements'!F194</f>
        <v>3696.2945087936532</v>
      </c>
      <c r="H194">
        <f>Portfolio!B$7*'CurrentPor-Rat Factor Movements'!J194</f>
        <v>2148.0998964419859</v>
      </c>
      <c r="I194">
        <f t="shared" si="6"/>
        <v>96489.390321913423</v>
      </c>
      <c r="J194">
        <f t="shared" si="7"/>
        <v>-1.6960854201897746</v>
      </c>
    </row>
    <row r="195" spans="1:10">
      <c r="A195" s="1">
        <v>45742</v>
      </c>
      <c r="B195">
        <f>(3/(1+('CurrentPor-Rat Factor Movements'!C195)/100)+103/POWER(1+('CurrentPor-Rat Factor Movements'!D195)/100,2))*100</f>
        <v>9707.3169958699073</v>
      </c>
      <c r="C195">
        <f>(3/(1+('CurrentPor-Rat Factor Movements'!C195+'CurrentPor-Rat Factor Movements'!G195)/100)+103/POWER(1+('CurrentPor-Rat Factor Movements'!D195+'CurrentPor-Rat Factor Movements'!G195)/100,2))*100</f>
        <v>9614.7025024380546</v>
      </c>
      <c r="D195">
        <f>(3/(1+('CurrentPor-Rat Factor Movements'!C195+'CurrentPor-Rat Factor Movements'!H195)/100)+103/POWER(1+('CurrentPor-Rat Factor Movements'!D195+'CurrentPor-Rat Factor Movements'!H195)/100,2))*100</f>
        <v>9600.9752801948725</v>
      </c>
      <c r="E195">
        <f>(3/(1+('CurrentPor-Rat Factor Movements'!C195+'CurrentPor-Rat Factor Movements'!I195)/100)+103/POWER(1+('CurrentPor-Rat Factor Movements'!D195+'CurrentPor-Rat Factor Movements'!I195)/100,2))*100</f>
        <v>9581.1912713716702</v>
      </c>
      <c r="F195">
        <f>Portfolio!B$5*'CurrentPor-Rat Factor Movements'!E195</f>
        <v>52143.895533915893</v>
      </c>
      <c r="G195">
        <f>Portfolio!B$6*'CurrentPor-Rat Factor Movements'!F195</f>
        <v>3696.2945087936532</v>
      </c>
      <c r="H195">
        <f>Portfolio!B$7*'CurrentPor-Rat Factor Movements'!J195</f>
        <v>2148.0998964419859</v>
      </c>
      <c r="I195">
        <f t="shared" si="6"/>
        <v>96492.475989026032</v>
      </c>
      <c r="J195">
        <f t="shared" si="7"/>
        <v>3.5013670351472683</v>
      </c>
    </row>
    <row r="196" spans="1:10">
      <c r="A196" s="1">
        <v>45743</v>
      </c>
      <c r="B196">
        <f>(3/(1+('CurrentPor-Rat Factor Movements'!C196)/100)+103/POWER(1+('CurrentPor-Rat Factor Movements'!D196)/100,2))*100</f>
        <v>9707.3029911409358</v>
      </c>
      <c r="C196">
        <f>(3/(1+('CurrentPor-Rat Factor Movements'!C196+'CurrentPor-Rat Factor Movements'!G196)/100)+103/POWER(1+('CurrentPor-Rat Factor Movements'!D196+'CurrentPor-Rat Factor Movements'!G196)/100,2))*100</f>
        <v>9614.6886988483257</v>
      </c>
      <c r="D196">
        <f>(3/(1+('CurrentPor-Rat Factor Movements'!C196+'CurrentPor-Rat Factor Movements'!H196)/100)+103/POWER(1+('CurrentPor-Rat Factor Movements'!D196+'CurrentPor-Rat Factor Movements'!H196)/100,2))*100</f>
        <v>9600.9615063346664</v>
      </c>
      <c r="E196">
        <f>(3/(1+('CurrentPor-Rat Factor Movements'!C196+'CurrentPor-Rat Factor Movements'!I196)/100)+103/POWER(1+('CurrentPor-Rat Factor Movements'!D196+'CurrentPor-Rat Factor Movements'!I196)/100,2))*100</f>
        <v>9581.1775403205538</v>
      </c>
      <c r="F196">
        <f>Portfolio!B$5*'CurrentPor-Rat Factor Movements'!E196</f>
        <v>52143.895533915893</v>
      </c>
      <c r="G196">
        <f>Portfolio!B$6*'CurrentPor-Rat Factor Movements'!F196</f>
        <v>3696.2945087936532</v>
      </c>
      <c r="H196">
        <f>Portfolio!B$7*'CurrentPor-Rat Factor Movements'!J196</f>
        <v>2148.0998964419859</v>
      </c>
      <c r="I196">
        <f t="shared" si="6"/>
        <v>96492.420675796006</v>
      </c>
      <c r="J196">
        <f t="shared" si="7"/>
        <v>-3.8289945528085809</v>
      </c>
    </row>
    <row r="197" spans="1:10">
      <c r="A197" s="1">
        <v>45744</v>
      </c>
      <c r="B197">
        <f>(3/(1+('CurrentPor-Rat Factor Movements'!C197)/100)+103/POWER(1+('CurrentPor-Rat Factor Movements'!D197)/100,2))*100</f>
        <v>9707.0934284312898</v>
      </c>
      <c r="C197">
        <f>(3/(1+('CurrentPor-Rat Factor Movements'!C197+'CurrentPor-Rat Factor Movements'!G197)/100)+103/POWER(1+('CurrentPor-Rat Factor Movements'!D197+'CurrentPor-Rat Factor Movements'!G197)/100,2))*100</f>
        <v>9614.4821973050366</v>
      </c>
      <c r="D197">
        <f>(3/(1+('CurrentPor-Rat Factor Movements'!C197+'CurrentPor-Rat Factor Movements'!H197)/100)+103/POWER(1+('CurrentPor-Rat Factor Movements'!D197+'CurrentPor-Rat Factor Movements'!H197)/100,2))*100</f>
        <v>9600.7554572059544</v>
      </c>
      <c r="E197">
        <f>(3/(1+('CurrentPor-Rat Factor Movements'!C197+'CurrentPor-Rat Factor Movements'!I197)/100)+103/POWER(1+('CurrentPor-Rat Factor Movements'!D197+'CurrentPor-Rat Factor Movements'!I197)/100,2))*100</f>
        <v>9580.97214262733</v>
      </c>
      <c r="F197">
        <f>Portfolio!B$5*'CurrentPor-Rat Factor Movements'!E197</f>
        <v>52143.895533915893</v>
      </c>
      <c r="G197">
        <f>Portfolio!B$6*'CurrentPor-Rat Factor Movements'!F197</f>
        <v>3696.2945087936532</v>
      </c>
      <c r="H197">
        <f>Portfolio!B$7*'CurrentPor-Rat Factor Movements'!J197</f>
        <v>2148.0998964419859</v>
      </c>
      <c r="I197">
        <f t="shared" si="6"/>
        <v>96491.59316472114</v>
      </c>
      <c r="J197">
        <f t="shared" si="7"/>
        <v>-0.50910024414770305</v>
      </c>
    </row>
    <row r="198" spans="1:10">
      <c r="A198" s="1">
        <v>45747</v>
      </c>
      <c r="B198">
        <f>(3/(1+('CurrentPor-Rat Factor Movements'!C198)/100)+103/POWER(1+('CurrentPor-Rat Factor Movements'!D198)/100,2))*100</f>
        <v>9707.0137898301527</v>
      </c>
      <c r="C198">
        <f>(3/(1+('CurrentPor-Rat Factor Movements'!C198+'CurrentPor-Rat Factor Movements'!G198)/100)+103/POWER(1+('CurrentPor-Rat Factor Movements'!D198+'CurrentPor-Rat Factor Movements'!G198)/100,2))*100</f>
        <v>9614.4035674954266</v>
      </c>
      <c r="D198">
        <f>(3/(1+('CurrentPor-Rat Factor Movements'!C198+'CurrentPor-Rat Factor Movements'!H198)/100)+103/POWER(1+('CurrentPor-Rat Factor Movements'!D198+'CurrentPor-Rat Factor Movements'!H198)/100,2))*100</f>
        <v>9600.6769766151956</v>
      </c>
      <c r="E198">
        <f>(3/(1+('CurrentPor-Rat Factor Movements'!C198+'CurrentPor-Rat Factor Movements'!I198)/100)+103/POWER(1+('CurrentPor-Rat Factor Movements'!D198+'CurrentPor-Rat Factor Movements'!I198)/100,2))*100</f>
        <v>9580.8938769564484</v>
      </c>
      <c r="F198">
        <f>Portfolio!B$5*'CurrentPor-Rat Factor Movements'!E198</f>
        <v>52143.895533915893</v>
      </c>
      <c r="G198">
        <f>Portfolio!B$6*'CurrentPor-Rat Factor Movements'!F198</f>
        <v>3696.2945087936532</v>
      </c>
      <c r="H198">
        <f>Portfolio!B$7*'CurrentPor-Rat Factor Movements'!J198</f>
        <v>2148.0998964419859</v>
      </c>
      <c r="I198">
        <f t="shared" si="6"/>
        <v>96491.278150048762</v>
      </c>
      <c r="J198">
        <f t="shared" si="7"/>
        <v>-0.80843422029283829</v>
      </c>
    </row>
    <row r="199" spans="1:10">
      <c r="A199" s="1">
        <v>45748</v>
      </c>
      <c r="B199">
        <f>(3/(1+('CurrentPor-Rat Factor Movements'!C199)/100)+103/POWER(1+('CurrentPor-Rat Factor Movements'!D199)/100,2))*100</f>
        <v>9706.6271985976891</v>
      </c>
      <c r="C199">
        <f>(3/(1+('CurrentPor-Rat Factor Movements'!C199+'CurrentPor-Rat Factor Movements'!G199)/100)+103/POWER(1+('CurrentPor-Rat Factor Movements'!D199+'CurrentPor-Rat Factor Movements'!G199)/100,2))*100</f>
        <v>9614.0227478731667</v>
      </c>
      <c r="D199">
        <f>(3/(1+('CurrentPor-Rat Factor Movements'!C199+'CurrentPor-Rat Factor Movements'!H199)/100)+103/POWER(1+('CurrentPor-Rat Factor Movements'!D199+'CurrentPor-Rat Factor Movements'!H199)/100,2))*100</f>
        <v>9600.2970098852238</v>
      </c>
      <c r="E199">
        <f>(3/(1+('CurrentPor-Rat Factor Movements'!C199+'CurrentPor-Rat Factor Movements'!I199)/100)+103/POWER(1+('CurrentPor-Rat Factor Movements'!D199+'CurrentPor-Rat Factor Movements'!I199)/100,2))*100</f>
        <v>9580.5151382661243</v>
      </c>
      <c r="F199">
        <f>Portfolio!B$5*'CurrentPor-Rat Factor Movements'!E199</f>
        <v>52143.895533915893</v>
      </c>
      <c r="G199">
        <f>Portfolio!B$6*'CurrentPor-Rat Factor Movements'!F199</f>
        <v>3696.2945087936532</v>
      </c>
      <c r="H199">
        <f>Portfolio!B$7*'CurrentPor-Rat Factor Movements'!J199</f>
        <v>2148.0998964419859</v>
      </c>
      <c r="I199">
        <f t="shared" si="6"/>
        <v>96489.752033773737</v>
      </c>
      <c r="J199">
        <f t="shared" si="7"/>
        <v>-0.31169087457237765</v>
      </c>
    </row>
    <row r="200" spans="1:10">
      <c r="A200" s="1">
        <v>45749</v>
      </c>
      <c r="B200">
        <f>(3/(1+('CurrentPor-Rat Factor Movements'!C200)/100)+103/POWER(1+('CurrentPor-Rat Factor Movements'!D200)/100,2))*100</f>
        <v>9708.0457381509277</v>
      </c>
      <c r="C200">
        <f>(3/(1+('CurrentPor-Rat Factor Movements'!C200+'CurrentPor-Rat Factor Movements'!G200)/100)+103/POWER(1+('CurrentPor-Rat Factor Movements'!D200+'CurrentPor-Rat Factor Movements'!G200)/100,2))*100</f>
        <v>9615.4206121595598</v>
      </c>
      <c r="D200">
        <f>(3/(1+('CurrentPor-Rat Factor Movements'!C200+'CurrentPor-Rat Factor Movements'!H200)/100)+103/POWER(1+('CurrentPor-Rat Factor Movements'!D200+'CurrentPor-Rat Factor Movements'!H200)/100,2))*100</f>
        <v>9601.6918185036448</v>
      </c>
      <c r="E200">
        <f>(3/(1+('CurrentPor-Rat Factor Movements'!C200+'CurrentPor-Rat Factor Movements'!I200)/100)+103/POWER(1+('CurrentPor-Rat Factor Movements'!D200+'CurrentPor-Rat Factor Movements'!I200)/100,2))*100</f>
        <v>9581.905546985643</v>
      </c>
      <c r="F200">
        <f>Portfolio!B$5*'CurrentPor-Rat Factor Movements'!E200</f>
        <v>52143.895533915893</v>
      </c>
      <c r="G200">
        <f>Portfolio!B$6*'CurrentPor-Rat Factor Movements'!F200</f>
        <v>3696.2945087936532</v>
      </c>
      <c r="H200">
        <f>Portfolio!B$7*'CurrentPor-Rat Factor Movements'!J200</f>
        <v>2148.0998964419859</v>
      </c>
      <c r="I200">
        <f t="shared" si="6"/>
        <v>96495.353654951308</v>
      </c>
      <c r="J200">
        <f t="shared" si="7"/>
        <v>0.4148917771235574</v>
      </c>
    </row>
    <row r="201" spans="1:10">
      <c r="A201" s="1">
        <v>45750</v>
      </c>
      <c r="B201">
        <f>(3/(1+('CurrentPor-Rat Factor Movements'!C201)/100)+103/POWER(1+('CurrentPor-Rat Factor Movements'!D201)/100,2))*100</f>
        <v>9707.1346678615992</v>
      </c>
      <c r="C201">
        <f>(3/(1+('CurrentPor-Rat Factor Movements'!C201+'CurrentPor-Rat Factor Movements'!G201)/100)+103/POWER(1+('CurrentPor-Rat Factor Movements'!D201+'CurrentPor-Rat Factor Movements'!G201)/100,2))*100</f>
        <v>9614.5226770894169</v>
      </c>
      <c r="D201">
        <f>(3/(1+('CurrentPor-Rat Factor Movements'!C201+'CurrentPor-Rat Factor Movements'!H201)/100)+103/POWER(1+('CurrentPor-Rat Factor Movements'!D201+'CurrentPor-Rat Factor Movements'!H201)/100,2))*100</f>
        <v>9600.7958248512914</v>
      </c>
      <c r="E201">
        <f>(3/(1+('CurrentPor-Rat Factor Movements'!C201+'CurrentPor-Rat Factor Movements'!I201)/100)+103/POWER(1+('CurrentPor-Rat Factor Movements'!D201+'CurrentPor-Rat Factor Movements'!I201)/100,2))*100</f>
        <v>9581.0123488621721</v>
      </c>
      <c r="F201">
        <f>Portfolio!B$5*'CurrentPor-Rat Factor Movements'!E201</f>
        <v>52143.895533915893</v>
      </c>
      <c r="G201">
        <f>Portfolio!B$6*'CurrentPor-Rat Factor Movements'!F201</f>
        <v>3696.2945087936532</v>
      </c>
      <c r="H201">
        <f>Portfolio!B$7*'CurrentPor-Rat Factor Movements'!J201</f>
        <v>2148.0998964419859</v>
      </c>
      <c r="I201">
        <f t="shared" si="6"/>
        <v>96491.75545781602</v>
      </c>
      <c r="J201">
        <f t="shared" si="7"/>
        <v>5.0759941472206265</v>
      </c>
    </row>
    <row r="202" spans="1:10">
      <c r="A202" s="1">
        <v>45751</v>
      </c>
      <c r="B202">
        <f>(3/(1+('CurrentPor-Rat Factor Movements'!C202)/100)+103/POWER(1+('CurrentPor-Rat Factor Movements'!D202)/100,2))*100</f>
        <v>9707.0463338972768</v>
      </c>
      <c r="C202">
        <f>(3/(1+('CurrentPor-Rat Factor Movements'!C202+'CurrentPor-Rat Factor Movements'!G202)/100)+103/POWER(1+('CurrentPor-Rat Factor Movements'!D202+'CurrentPor-Rat Factor Movements'!G202)/100,2))*100</f>
        <v>9614.4357370324869</v>
      </c>
      <c r="D202">
        <f>(3/(1+('CurrentPor-Rat Factor Movements'!C202+'CurrentPor-Rat Factor Movements'!H202)/100)+103/POWER(1+('CurrentPor-Rat Factor Movements'!D202+'CurrentPor-Rat Factor Movements'!H202)/100,2))*100</f>
        <v>9600.7090907163492</v>
      </c>
      <c r="E202">
        <f>(3/(1+('CurrentPor-Rat Factor Movements'!C202+'CurrentPor-Rat Factor Movements'!I202)/100)+103/POWER(1+('CurrentPor-Rat Factor Movements'!D202+'CurrentPor-Rat Factor Movements'!I202)/100,2))*100</f>
        <v>9580.9259111968495</v>
      </c>
      <c r="F202">
        <f>Portfolio!B$5*'CurrentPor-Rat Factor Movements'!E202</f>
        <v>52143.895533915893</v>
      </c>
      <c r="G202">
        <f>Portfolio!B$6*'CurrentPor-Rat Factor Movements'!F202</f>
        <v>3696.2945087936532</v>
      </c>
      <c r="H202">
        <f>Portfolio!B$7*'CurrentPor-Rat Factor Movements'!J202</f>
        <v>2148.0998964419859</v>
      </c>
      <c r="I202">
        <f t="shared" si="6"/>
        <v>96491.407011994495</v>
      </c>
      <c r="J202">
        <f t="shared" si="7"/>
        <v>-0.7512528522638604</v>
      </c>
    </row>
    <row r="203" spans="1:10">
      <c r="A203" s="1">
        <v>45754</v>
      </c>
      <c r="B203">
        <f>(3/(1+('CurrentPor-Rat Factor Movements'!C203)/100)+103/POWER(1+('CurrentPor-Rat Factor Movements'!D203)/100,2))*100</f>
        <v>9707.7604136304999</v>
      </c>
      <c r="C203">
        <f>(3/(1+('CurrentPor-Rat Factor Movements'!C203+'CurrentPor-Rat Factor Movements'!G203)/100)+103/POWER(1+('CurrentPor-Rat Factor Movements'!D203+'CurrentPor-Rat Factor Movements'!G203)/100,2))*100</f>
        <v>9615.1393956974989</v>
      </c>
      <c r="D203">
        <f>(3/(1+('CurrentPor-Rat Factor Movements'!C203+'CurrentPor-Rat Factor Movements'!H203)/100)+103/POWER(1+('CurrentPor-Rat Factor Movements'!D203+'CurrentPor-Rat Factor Movements'!H203)/100,2))*100</f>
        <v>9601.411209227359</v>
      </c>
      <c r="E203">
        <f>(3/(1+('CurrentPor-Rat Factor Movements'!C203+'CurrentPor-Rat Factor Movements'!I203)/100)+103/POWER(1+('CurrentPor-Rat Factor Movements'!D203+'CurrentPor-Rat Factor Movements'!I203)/100,2))*100</f>
        <v>9581.625812023718</v>
      </c>
      <c r="F203">
        <f>Portfolio!B$5*'CurrentPor-Rat Factor Movements'!E203</f>
        <v>52143.895533915893</v>
      </c>
      <c r="G203">
        <f>Portfolio!B$6*'CurrentPor-Rat Factor Movements'!F203</f>
        <v>3696.2945087936532</v>
      </c>
      <c r="H203">
        <f>Portfolio!B$7*'CurrentPor-Rat Factor Movements'!J203</f>
        <v>2148.0998964419859</v>
      </c>
      <c r="I203">
        <f t="shared" si="6"/>
        <v>96494.226769730609</v>
      </c>
      <c r="J203">
        <f t="shared" si="7"/>
        <v>3.456340933276806</v>
      </c>
    </row>
    <row r="204" spans="1:10">
      <c r="A204" s="1">
        <v>45755</v>
      </c>
      <c r="B204">
        <f>(3/(1+('CurrentPor-Rat Factor Movements'!C204)/100)+103/POWER(1+('CurrentPor-Rat Factor Movements'!D204)/100,2))*100</f>
        <v>9707.2474700251114</v>
      </c>
      <c r="C204">
        <f>(3/(1+('CurrentPor-Rat Factor Movements'!C204+'CurrentPor-Rat Factor Movements'!G204)/100)+103/POWER(1+('CurrentPor-Rat Factor Movements'!D204+'CurrentPor-Rat Factor Movements'!G204)/100,2))*100</f>
        <v>9614.6339746513186</v>
      </c>
      <c r="D204">
        <f>(3/(1+('CurrentPor-Rat Factor Movements'!C204+'CurrentPor-Rat Factor Movements'!H204)/100)+103/POWER(1+('CurrentPor-Rat Factor Movements'!D204+'CurrentPor-Rat Factor Movements'!H204)/100,2))*100</f>
        <v>9600.9068999272185</v>
      </c>
      <c r="E204">
        <f>(3/(1+('CurrentPor-Rat Factor Movements'!C204+'CurrentPor-Rat Factor Movements'!I204)/100)+103/POWER(1+('CurrentPor-Rat Factor Movements'!D204+'CurrentPor-Rat Factor Movements'!I204)/100,2))*100</f>
        <v>9581.1231035245892</v>
      </c>
      <c r="F204">
        <f>Portfolio!B$5*'CurrentPor-Rat Factor Movements'!E204</f>
        <v>52143.895533915893</v>
      </c>
      <c r="G204">
        <f>Portfolio!B$6*'CurrentPor-Rat Factor Movements'!F204</f>
        <v>3696.2945087936532</v>
      </c>
      <c r="H204">
        <f>Portfolio!B$7*'CurrentPor-Rat Factor Movements'!J204</f>
        <v>2148.0998964419859</v>
      </c>
      <c r="I204">
        <f t="shared" si="6"/>
        <v>96492.201387279769</v>
      </c>
      <c r="J204">
        <f t="shared" si="7"/>
        <v>2.8110653663461562</v>
      </c>
    </row>
    <row r="205" spans="1:10">
      <c r="A205" s="1">
        <v>45756</v>
      </c>
      <c r="B205">
        <f>(3/(1+('CurrentPor-Rat Factor Movements'!C205)/100)+103/POWER(1+('CurrentPor-Rat Factor Movements'!D205)/100,2))*100</f>
        <v>9707.1494145291745</v>
      </c>
      <c r="C205">
        <f>(3/(1+('CurrentPor-Rat Factor Movements'!C205+'CurrentPor-Rat Factor Movements'!G205)/100)+103/POWER(1+('CurrentPor-Rat Factor Movements'!D205+'CurrentPor-Rat Factor Movements'!G205)/100,2))*100</f>
        <v>9614.5372086176867</v>
      </c>
      <c r="D205">
        <f>(3/(1+('CurrentPor-Rat Factor Movements'!C205+'CurrentPor-Rat Factor Movements'!H205)/100)+103/POWER(1+('CurrentPor-Rat Factor Movements'!D205+'CurrentPor-Rat Factor Movements'!H205)/100,2))*100</f>
        <v>9600.8103245835646</v>
      </c>
      <c r="E205">
        <f>(3/(1+('CurrentPor-Rat Factor Movements'!C205+'CurrentPor-Rat Factor Movements'!I205)/100)+103/POWER(1+('CurrentPor-Rat Factor Movements'!D205+'CurrentPor-Rat Factor Movements'!I205)/100,2))*100</f>
        <v>9581.0268028110222</v>
      </c>
      <c r="F205">
        <f>Portfolio!B$5*'CurrentPor-Rat Factor Movements'!E205</f>
        <v>52143.895533915893</v>
      </c>
      <c r="G205">
        <f>Portfolio!B$6*'CurrentPor-Rat Factor Movements'!F205</f>
        <v>3696.2945087936532</v>
      </c>
      <c r="H205">
        <f>Portfolio!B$7*'CurrentPor-Rat Factor Movements'!J205</f>
        <v>2148.0998964419859</v>
      </c>
      <c r="I205">
        <f t="shared" si="6"/>
        <v>96491.813689692979</v>
      </c>
      <c r="J205">
        <f t="shared" si="7"/>
        <v>-0.66229933305294253</v>
      </c>
    </row>
    <row r="206" spans="1:10">
      <c r="A206" s="1">
        <v>45757</v>
      </c>
      <c r="B206">
        <f>(3/(1+('CurrentPor-Rat Factor Movements'!C206)/100)+103/POWER(1+('CurrentPor-Rat Factor Movements'!D206)/100,2))*100</f>
        <v>9707.7086223891692</v>
      </c>
      <c r="C206">
        <f>(3/(1+('CurrentPor-Rat Factor Movements'!C206+'CurrentPor-Rat Factor Movements'!G206)/100)+103/POWER(1+('CurrentPor-Rat Factor Movements'!D206+'CurrentPor-Rat Factor Movements'!G206)/100,2))*100</f>
        <v>9615.088357237928</v>
      </c>
      <c r="D206">
        <f>(3/(1+('CurrentPor-Rat Factor Movements'!C206+'CurrentPor-Rat Factor Movements'!H206)/100)+103/POWER(1+('CurrentPor-Rat Factor Movements'!D206+'CurrentPor-Rat Factor Movements'!H206)/100,2))*100</f>
        <v>9601.3602820256729</v>
      </c>
      <c r="E206">
        <f>(3/(1+('CurrentPor-Rat Factor Movements'!C206+'CurrentPor-Rat Factor Movements'!I206)/100)+103/POWER(1+('CurrentPor-Rat Factor Movements'!D206+'CurrentPor-Rat Factor Movements'!I206)/100,2))*100</f>
        <v>9581.5750450245923</v>
      </c>
      <c r="F206">
        <f>Portfolio!B$5*'CurrentPor-Rat Factor Movements'!E206</f>
        <v>52143.895533915893</v>
      </c>
      <c r="G206">
        <f>Portfolio!B$6*'CurrentPor-Rat Factor Movements'!F206</f>
        <v>3696.2945087936532</v>
      </c>
      <c r="H206">
        <f>Portfolio!B$7*'CurrentPor-Rat Factor Movements'!J206</f>
        <v>2148.0998964419859</v>
      </c>
      <c r="I206">
        <f t="shared" si="6"/>
        <v>96494.022245828892</v>
      </c>
      <c r="J206">
        <f t="shared" si="7"/>
        <v>1.6015700328862295</v>
      </c>
    </row>
    <row r="207" spans="1:10">
      <c r="A207" s="1">
        <v>45758</v>
      </c>
      <c r="B207">
        <f>(3/(1+('CurrentPor-Rat Factor Movements'!C207)/100)+103/POWER(1+('CurrentPor-Rat Factor Movements'!D207)/100,2))*100</f>
        <v>9705.8609145188784</v>
      </c>
      <c r="C207">
        <f>(3/(1+('CurrentPor-Rat Factor Movements'!C207+'CurrentPor-Rat Factor Movements'!G207)/100)+103/POWER(1+('CurrentPor-Rat Factor Movements'!D207+'CurrentPor-Rat Factor Movements'!G207)/100,2))*100</f>
        <v>9613.2674063430277</v>
      </c>
      <c r="D207">
        <f>(3/(1+('CurrentPor-Rat Factor Movements'!C207+'CurrentPor-Rat Factor Movements'!H207)/100)+103/POWER(1+('CurrentPor-Rat Factor Movements'!D207+'CurrentPor-Rat Factor Movements'!H207)/100,2))*100</f>
        <v>9599.5432857797059</v>
      </c>
      <c r="E207">
        <f>(3/(1+('CurrentPor-Rat Factor Movements'!C207+'CurrentPor-Rat Factor Movements'!I207)/100)+103/POWER(1+('CurrentPor-Rat Factor Movements'!D207+'CurrentPor-Rat Factor Movements'!I207)/100,2))*100</f>
        <v>9579.763743198735</v>
      </c>
      <c r="F207">
        <f>Portfolio!B$5*'CurrentPor-Rat Factor Movements'!E207</f>
        <v>52143.895533915893</v>
      </c>
      <c r="G207">
        <f>Portfolio!B$6*'CurrentPor-Rat Factor Movements'!F207</f>
        <v>3696.2945087936532</v>
      </c>
      <c r="H207">
        <f>Portfolio!B$7*'CurrentPor-Rat Factor Movements'!J207</f>
        <v>2148.0998964419859</v>
      </c>
      <c r="I207">
        <f t="shared" si="6"/>
        <v>96486.725288991889</v>
      </c>
      <c r="J207">
        <f t="shared" si="7"/>
        <v>-4.8678757292509545</v>
      </c>
    </row>
    <row r="208" spans="1:10">
      <c r="A208" s="1">
        <v>45761</v>
      </c>
      <c r="B208">
        <f>(3/(1+('CurrentPor-Rat Factor Movements'!C208)/100)+103/POWER(1+('CurrentPor-Rat Factor Movements'!D208)/100,2))*100</f>
        <v>9705.7984368621619</v>
      </c>
      <c r="C208">
        <f>(3/(1+('CurrentPor-Rat Factor Movements'!C208+'CurrentPor-Rat Factor Movements'!G208)/100)+103/POWER(1+('CurrentPor-Rat Factor Movements'!D208+'CurrentPor-Rat Factor Movements'!G208)/100,2))*100</f>
        <v>9613.205918193984</v>
      </c>
      <c r="D208">
        <f>(3/(1+('CurrentPor-Rat Factor Movements'!C208+'CurrentPor-Rat Factor Movements'!H208)/100)+103/POWER(1+('CurrentPor-Rat Factor Movements'!D208+'CurrentPor-Rat Factor Movements'!H208)/100,2))*100</f>
        <v>9599.4819438079612</v>
      </c>
      <c r="E208">
        <f>(3/(1+('CurrentPor-Rat Factor Movements'!C208+'CurrentPor-Rat Factor Movements'!I208)/100)+103/POWER(1+('CurrentPor-Rat Factor Movements'!D208+'CurrentPor-Rat Factor Movements'!I208)/100,2))*100</f>
        <v>9579.7026116798552</v>
      </c>
      <c r="F208">
        <f>Portfolio!B$5*'CurrentPor-Rat Factor Movements'!E208</f>
        <v>52143.895533915893</v>
      </c>
      <c r="G208">
        <f>Portfolio!B$6*'CurrentPor-Rat Factor Movements'!F208</f>
        <v>3696.2945087936532</v>
      </c>
      <c r="H208">
        <f>Portfolio!B$7*'CurrentPor-Rat Factor Movements'!J208</f>
        <v>2148.0998964419859</v>
      </c>
      <c r="I208">
        <f t="shared" si="6"/>
        <v>96486.478849695486</v>
      </c>
      <c r="J208">
        <f t="shared" si="7"/>
        <v>-4.799300353275612</v>
      </c>
    </row>
    <row r="209" spans="1:10">
      <c r="A209" s="1">
        <v>45762</v>
      </c>
      <c r="B209">
        <f>(3/(1+('CurrentPor-Rat Factor Movements'!C209)/100)+103/POWER(1+('CurrentPor-Rat Factor Movements'!D209)/100,2))*100</f>
        <v>9706.5387241171993</v>
      </c>
      <c r="C209">
        <f>(3/(1+('CurrentPor-Rat Factor Movements'!C209+'CurrentPor-Rat Factor Movements'!G209)/100)+103/POWER(1+('CurrentPor-Rat Factor Movements'!D209+'CurrentPor-Rat Factor Movements'!G209)/100,2))*100</f>
        <v>9613.935526695599</v>
      </c>
      <c r="D209">
        <f>(3/(1+('CurrentPor-Rat Factor Movements'!C209+'CurrentPor-Rat Factor Movements'!H209)/100)+103/POWER(1+('CurrentPor-Rat Factor Movements'!D209+'CurrentPor-Rat Factor Movements'!H209)/100,2))*100</f>
        <v>9600.2099739676632</v>
      </c>
      <c r="E209">
        <f>(3/(1+('CurrentPor-Rat Factor Movements'!C209+'CurrentPor-Rat Factor Movements'!I209)/100)+103/POWER(1+('CurrentPor-Rat Factor Movements'!D209+'CurrentPor-Rat Factor Movements'!I209)/100,2))*100</f>
        <v>9580.4283691207565</v>
      </c>
      <c r="F209">
        <f>Portfolio!B$5*'CurrentPor-Rat Factor Movements'!E209</f>
        <v>52143.895533915893</v>
      </c>
      <c r="G209">
        <f>Portfolio!B$6*'CurrentPor-Rat Factor Movements'!F209</f>
        <v>3696.2945087936532</v>
      </c>
      <c r="H209">
        <f>Portfolio!B$7*'CurrentPor-Rat Factor Movements'!J209</f>
        <v>2148.0998964419859</v>
      </c>
      <c r="I209">
        <f t="shared" si="6"/>
        <v>96489.402533052737</v>
      </c>
      <c r="J209">
        <f t="shared" si="7"/>
        <v>-0.34950072100036778</v>
      </c>
    </row>
    <row r="210" spans="1:10">
      <c r="A210" s="1">
        <v>45763</v>
      </c>
      <c r="B210">
        <f>(3/(1+('CurrentPor-Rat Factor Movements'!C210)/100)+103/POWER(1+('CurrentPor-Rat Factor Movements'!D210)/100,2))*100</f>
        <v>9707.2762279307281</v>
      </c>
      <c r="C210">
        <f>(3/(1+('CurrentPor-Rat Factor Movements'!C210+'CurrentPor-Rat Factor Movements'!G210)/100)+103/POWER(1+('CurrentPor-Rat Factor Movements'!D210+'CurrentPor-Rat Factor Movements'!G210)/100,2))*100</f>
        <v>9614.6622898907717</v>
      </c>
      <c r="D210">
        <f>(3/(1+('CurrentPor-Rat Factor Movements'!C210+'CurrentPor-Rat Factor Movements'!H210)/100)+103/POWER(1+('CurrentPor-Rat Factor Movements'!D210+'CurrentPor-Rat Factor Movements'!H210)/100,2))*100</f>
        <v>9600.9351497630541</v>
      </c>
      <c r="E210">
        <f>(3/(1+('CurrentPor-Rat Factor Movements'!C210+'CurrentPor-Rat Factor Movements'!I210)/100)+103/POWER(1+('CurrentPor-Rat Factor Movements'!D210+'CurrentPor-Rat Factor Movements'!I210)/100,2))*100</f>
        <v>9581.1512591937535</v>
      </c>
      <c r="F210">
        <f>Portfolio!B$5*'CurrentPor-Rat Factor Movements'!E210</f>
        <v>52143.895533915893</v>
      </c>
      <c r="G210">
        <f>Portfolio!B$6*'CurrentPor-Rat Factor Movements'!F210</f>
        <v>3696.2945087936532</v>
      </c>
      <c r="H210">
        <f>Portfolio!B$7*'CurrentPor-Rat Factor Movements'!J210</f>
        <v>2148.0998964419859</v>
      </c>
      <c r="I210">
        <f t="shared" si="6"/>
        <v>96492.314865929846</v>
      </c>
      <c r="J210">
        <f t="shared" si="7"/>
        <v>-3.0387890214624349</v>
      </c>
    </row>
    <row r="211" spans="1:10">
      <c r="A211" s="1">
        <v>45764</v>
      </c>
      <c r="B211">
        <f>(3/(1+('CurrentPor-Rat Factor Movements'!C211)/100)+103/POWER(1+('CurrentPor-Rat Factor Movements'!D211)/100,2))*100</f>
        <v>9707.3251708186581</v>
      </c>
      <c r="C211">
        <f>(3/(1+('CurrentPor-Rat Factor Movements'!C211+'CurrentPor-Rat Factor Movements'!G211)/100)+103/POWER(1+('CurrentPor-Rat Factor Movements'!D211+'CurrentPor-Rat Factor Movements'!G211)/100,2))*100</f>
        <v>9614.7105718539933</v>
      </c>
      <c r="D211">
        <f>(3/(1+('CurrentPor-Rat Factor Movements'!C211+'CurrentPor-Rat Factor Movements'!H211)/100)+103/POWER(1+('CurrentPor-Rat Factor Movements'!D211+'CurrentPor-Rat Factor Movements'!H211)/100,2))*100</f>
        <v>9600.9833340024506</v>
      </c>
      <c r="E211">
        <f>(3/(1+('CurrentPor-Rat Factor Movements'!C211+'CurrentPor-Rat Factor Movements'!I211)/100)+103/POWER(1+('CurrentPor-Rat Factor Movements'!D211+'CurrentPor-Rat Factor Movements'!I211)/100,2))*100</f>
        <v>9581.199302699406</v>
      </c>
      <c r="F211">
        <f>Portfolio!B$5*'CurrentPor-Rat Factor Movements'!E211</f>
        <v>52143.895533915893</v>
      </c>
      <c r="G211">
        <f>Portfolio!B$6*'CurrentPor-Rat Factor Movements'!F211</f>
        <v>3696.2945087936532</v>
      </c>
      <c r="H211">
        <f>Portfolio!B$7*'CurrentPor-Rat Factor Movements'!J211</f>
        <v>2148.0998964419859</v>
      </c>
      <c r="I211">
        <f t="shared" si="6"/>
        <v>96492.508318526045</v>
      </c>
      <c r="J211">
        <f t="shared" si="7"/>
        <v>0.75286071002483368</v>
      </c>
    </row>
    <row r="212" spans="1:10">
      <c r="A212" s="1">
        <v>45765</v>
      </c>
      <c r="B212">
        <f>(3/(1+('CurrentPor-Rat Factor Movements'!C212)/100)+103/POWER(1+('CurrentPor-Rat Factor Movements'!D212)/100,2))*100</f>
        <v>9706.5666979574926</v>
      </c>
      <c r="C212">
        <f>(3/(1+('CurrentPor-Rat Factor Movements'!C212+'CurrentPor-Rat Factor Movements'!G212)/100)+103/POWER(1+('CurrentPor-Rat Factor Movements'!D212+'CurrentPor-Rat Factor Movements'!G212)/100,2))*100</f>
        <v>9613.9630325086564</v>
      </c>
      <c r="D212">
        <f>(3/(1+('CurrentPor-Rat Factor Movements'!C212+'CurrentPor-Rat Factor Movements'!H212)/100)+103/POWER(1+('CurrentPor-Rat Factor Movements'!D212+'CurrentPor-Rat Factor Movements'!H212)/100,2))*100</f>
        <v>9600.2374106594161</v>
      </c>
      <c r="E212">
        <f>(3/(1+('CurrentPor-Rat Factor Movements'!C212+'CurrentPor-Rat Factor Movements'!I212)/100)+103/POWER(1+('CurrentPor-Rat Factor Movements'!D212+'CurrentPor-Rat Factor Movements'!I212)/100,2))*100</f>
        <v>9580.4557063066259</v>
      </c>
      <c r="F212">
        <f>Portfolio!B$5*'CurrentPor-Rat Factor Movements'!E212</f>
        <v>52143.895533915893</v>
      </c>
      <c r="G212">
        <f>Portfolio!B$6*'CurrentPor-Rat Factor Movements'!F212</f>
        <v>3696.2945087936532</v>
      </c>
      <c r="H212">
        <f>Portfolio!B$7*'CurrentPor-Rat Factor Movements'!J212</f>
        <v>2148.0998964419859</v>
      </c>
      <c r="I212">
        <f t="shared" si="6"/>
        <v>96489.512786583728</v>
      </c>
      <c r="J212">
        <f t="shared" si="7"/>
        <v>-1.8942254107678309</v>
      </c>
    </row>
    <row r="213" spans="1:10">
      <c r="A213" s="1">
        <v>45768</v>
      </c>
      <c r="B213">
        <f>(3/(1+('CurrentPor-Rat Factor Movements'!C213)/100)+103/POWER(1+('CurrentPor-Rat Factor Movements'!D213)/100,2))*100</f>
        <v>9708.2975231253404</v>
      </c>
      <c r="C213">
        <f>(3/(1+('CurrentPor-Rat Factor Movements'!C213+'CurrentPor-Rat Factor Movements'!G213)/100)+103/POWER(1+('CurrentPor-Rat Factor Movements'!D213+'CurrentPor-Rat Factor Movements'!G213)/100,2))*100</f>
        <v>9615.6687918984935</v>
      </c>
      <c r="D213">
        <f>(3/(1+('CurrentPor-Rat Factor Movements'!C213+'CurrentPor-Rat Factor Movements'!H213)/100)+103/POWER(1+('CurrentPor-Rat Factor Movements'!D213+'CurrentPor-Rat Factor Movements'!H213)/100,2))*100</f>
        <v>9601.9394653591353</v>
      </c>
      <c r="E213">
        <f>(3/(1+('CurrentPor-Rat Factor Movements'!C213+'CurrentPor-Rat Factor Movements'!I213)/100)+103/POWER(1+('CurrentPor-Rat Factor Movements'!D213+'CurrentPor-Rat Factor Movements'!I213)/100,2))*100</f>
        <v>9582.1524265104326</v>
      </c>
      <c r="F213">
        <f>Portfolio!B$5*'CurrentPor-Rat Factor Movements'!E213</f>
        <v>52143.895533915893</v>
      </c>
      <c r="G213">
        <f>Portfolio!B$6*'CurrentPor-Rat Factor Movements'!F213</f>
        <v>3696.2945087936532</v>
      </c>
      <c r="H213">
        <f>Portfolio!B$7*'CurrentPor-Rat Factor Movements'!J213</f>
        <v>2148.0998964419859</v>
      </c>
      <c r="I213">
        <f t="shared" si="6"/>
        <v>96496.348146044926</v>
      </c>
      <c r="J213">
        <f t="shared" si="7"/>
        <v>2.1213763143168762</v>
      </c>
    </row>
    <row r="214" spans="1:10">
      <c r="A214" s="1">
        <v>45769</v>
      </c>
      <c r="B214">
        <f>(3/(1+('CurrentPor-Rat Factor Movements'!C214)/100)+103/POWER(1+('CurrentPor-Rat Factor Movements'!D214)/100,2))*100</f>
        <v>9707.1995766964683</v>
      </c>
      <c r="C214">
        <f>(3/(1+('CurrentPor-Rat Factor Movements'!C214+'CurrentPor-Rat Factor Movements'!G214)/100)+103/POWER(1+('CurrentPor-Rat Factor Movements'!D214+'CurrentPor-Rat Factor Movements'!G214)/100,2))*100</f>
        <v>9614.5867937349158</v>
      </c>
      <c r="D214">
        <f>(3/(1+('CurrentPor-Rat Factor Movements'!C214+'CurrentPor-Rat Factor Movements'!H214)/100)+103/POWER(1+('CurrentPor-Rat Factor Movements'!D214+'CurrentPor-Rat Factor Movements'!H214)/100,2))*100</f>
        <v>9600.8598242887219</v>
      </c>
      <c r="E214">
        <f>(3/(1+('CurrentPor-Rat Factor Movements'!C214+'CurrentPor-Rat Factor Movements'!I214)/100)+103/POWER(1+('CurrentPor-Rat Factor Movements'!D214+'CurrentPor-Rat Factor Movements'!I214)/100,2))*100</f>
        <v>9581.0761794717782</v>
      </c>
      <c r="F214">
        <f>Portfolio!B$5*'CurrentPor-Rat Factor Movements'!E214</f>
        <v>52143.895533915893</v>
      </c>
      <c r="G214">
        <f>Portfolio!B$6*'CurrentPor-Rat Factor Movements'!F214</f>
        <v>3696.2945087936532</v>
      </c>
      <c r="H214">
        <f>Portfolio!B$7*'CurrentPor-Rat Factor Movements'!J214</f>
        <v>2148.0998964419859</v>
      </c>
      <c r="I214">
        <f t="shared" si="6"/>
        <v>96492.012313343424</v>
      </c>
      <c r="J214">
        <f t="shared" si="7"/>
        <v>-0.18907393634435721</v>
      </c>
    </row>
    <row r="215" spans="1:10">
      <c r="A215" s="1">
        <v>45770</v>
      </c>
      <c r="B215">
        <f>(3/(1+('CurrentPor-Rat Factor Movements'!C215)/100)+103/POWER(1+('CurrentPor-Rat Factor Movements'!D215)/100,2))*100</f>
        <v>9707.3978517353898</v>
      </c>
      <c r="C215">
        <f>(3/(1+('CurrentPor-Rat Factor Movements'!C215+'CurrentPor-Rat Factor Movements'!G215)/100)+103/POWER(1+('CurrentPor-Rat Factor Movements'!D215+'CurrentPor-Rat Factor Movements'!G215)/100,2))*100</f>
        <v>9614.7821079380174</v>
      </c>
      <c r="D215">
        <f>(3/(1+('CurrentPor-Rat Factor Movements'!C215+'CurrentPor-Rat Factor Movements'!H215)/100)+103/POWER(1+('CurrentPor-Rat Factor Movements'!D215+'CurrentPor-Rat Factor Movements'!H215)/100,2))*100</f>
        <v>9601.0547009587353</v>
      </c>
      <c r="E215">
        <f>(3/(1+('CurrentPor-Rat Factor Movements'!C215+'CurrentPor-Rat Factor Movements'!I215)/100)+103/POWER(1+('CurrentPor-Rat Factor Movements'!D215+'CurrentPor-Rat Factor Movements'!I215)/100,2))*100</f>
        <v>9581.2704261586841</v>
      </c>
      <c r="F215">
        <f>Portfolio!B$5*'CurrentPor-Rat Factor Movements'!E215</f>
        <v>52143.895533915893</v>
      </c>
      <c r="G215">
        <f>Portfolio!B$6*'CurrentPor-Rat Factor Movements'!F215</f>
        <v>3696.2945087936532</v>
      </c>
      <c r="H215">
        <f>Portfolio!B$7*'CurrentPor-Rat Factor Movements'!J215</f>
        <v>2148.0998964419859</v>
      </c>
      <c r="I215">
        <f t="shared" si="6"/>
        <v>96492.795025942367</v>
      </c>
      <c r="J215">
        <f t="shared" si="7"/>
        <v>0.98133624938782305</v>
      </c>
    </row>
    <row r="216" spans="1:10">
      <c r="A216" s="1">
        <v>45771</v>
      </c>
      <c r="B216">
        <f>(3/(1+('CurrentPor-Rat Factor Movements'!C216)/100)+103/POWER(1+('CurrentPor-Rat Factor Movements'!D216)/100,2))*100</f>
        <v>9705.8651025275103</v>
      </c>
      <c r="C216">
        <f>(3/(1+('CurrentPor-Rat Factor Movements'!C216+'CurrentPor-Rat Factor Movements'!G216)/100)+103/POWER(1+('CurrentPor-Rat Factor Movements'!D216+'CurrentPor-Rat Factor Movements'!G216)/100,2))*100</f>
        <v>9613.2715993604143</v>
      </c>
      <c r="D216">
        <f>(3/(1+('CurrentPor-Rat Factor Movements'!C216+'CurrentPor-Rat Factor Movements'!H216)/100)+103/POWER(1+('CurrentPor-Rat Factor Movements'!D216+'CurrentPor-Rat Factor Movements'!H216)/100,2))*100</f>
        <v>9599.5474794825459</v>
      </c>
      <c r="E216">
        <f>(3/(1+('CurrentPor-Rat Factor Movements'!C216+'CurrentPor-Rat Factor Movements'!I216)/100)+103/POWER(1+('CurrentPor-Rat Factor Movements'!D216+'CurrentPor-Rat Factor Movements'!I216)/100,2))*100</f>
        <v>9579.7679378635348</v>
      </c>
      <c r="F216">
        <f>Portfolio!B$5*'CurrentPor-Rat Factor Movements'!E216</f>
        <v>52143.895533915893</v>
      </c>
      <c r="G216">
        <f>Portfolio!B$6*'CurrentPor-Rat Factor Movements'!F216</f>
        <v>3696.2945087936532</v>
      </c>
      <c r="H216">
        <f>Portfolio!B$7*'CurrentPor-Rat Factor Movements'!J216</f>
        <v>2148.0998964419859</v>
      </c>
      <c r="I216">
        <f t="shared" si="6"/>
        <v>96486.742058385527</v>
      </c>
      <c r="J216">
        <f t="shared" si="7"/>
        <v>-7.2801874433644116</v>
      </c>
    </row>
    <row r="217" spans="1:10">
      <c r="A217" s="1">
        <v>45772</v>
      </c>
      <c r="B217">
        <f>(3/(1+('CurrentPor-Rat Factor Movements'!C217)/100)+103/POWER(1+('CurrentPor-Rat Factor Movements'!D217)/100,2))*100</f>
        <v>9706.0495759685036</v>
      </c>
      <c r="C217">
        <f>(3/(1+('CurrentPor-Rat Factor Movements'!C217+'CurrentPor-Rat Factor Movements'!G217)/100)+103/POWER(1+('CurrentPor-Rat Factor Movements'!D217+'CurrentPor-Rat Factor Movements'!G217)/100,2))*100</f>
        <v>9613.4533400453911</v>
      </c>
      <c r="D217">
        <f>(3/(1+('CurrentPor-Rat Factor Movements'!C217+'CurrentPor-Rat Factor Movements'!H217)/100)+103/POWER(1+('CurrentPor-Rat Factor Movements'!D217+'CurrentPor-Rat Factor Movements'!H217)/100,2))*100</f>
        <v>9599.7288163206067</v>
      </c>
      <c r="E217">
        <f>(3/(1+('CurrentPor-Rat Factor Movements'!C217+'CurrentPor-Rat Factor Movements'!I217)/100)+103/POWER(1+('CurrentPor-Rat Factor Movements'!D217+'CurrentPor-Rat Factor Movements'!I217)/100,2))*100</f>
        <v>9579.9486932134096</v>
      </c>
      <c r="F217">
        <f>Portfolio!B$5*'CurrentPor-Rat Factor Movements'!E217</f>
        <v>52143.895533915893</v>
      </c>
      <c r="G217">
        <f>Portfolio!B$6*'CurrentPor-Rat Factor Movements'!F217</f>
        <v>3696.2945087936532</v>
      </c>
      <c r="H217">
        <f>Portfolio!B$7*'CurrentPor-Rat Factor Movements'!J217</f>
        <v>2148.0998964419859</v>
      </c>
      <c r="I217">
        <f t="shared" si="6"/>
        <v>96487.470364699446</v>
      </c>
      <c r="J217">
        <f t="shared" si="7"/>
        <v>0.74507570755667984</v>
      </c>
    </row>
    <row r="218" spans="1:10">
      <c r="A218" s="1">
        <v>45775</v>
      </c>
      <c r="B218">
        <f>(3/(1+('CurrentPor-Rat Factor Movements'!C218)/100)+103/POWER(1+('CurrentPor-Rat Factor Movements'!D218)/100,2))*100</f>
        <v>9707.1838929446003</v>
      </c>
      <c r="C218">
        <f>(3/(1+('CurrentPor-Rat Factor Movements'!C218+'CurrentPor-Rat Factor Movements'!G218)/100)+103/POWER(1+('CurrentPor-Rat Factor Movements'!D218+'CurrentPor-Rat Factor Movements'!G218)/100,2))*100</f>
        <v>9614.5713269388907</v>
      </c>
      <c r="D218">
        <f>(3/(1+('CurrentPor-Rat Factor Movements'!C218+'CurrentPor-Rat Factor Movements'!H218)/100)+103/POWER(1+('CurrentPor-Rat Factor Movements'!D218+'CurrentPor-Rat Factor Movements'!H218)/100,2))*100</f>
        <v>9600.8443895669916</v>
      </c>
      <c r="E218">
        <f>(3/(1+('CurrentPor-Rat Factor Movements'!C218+'CurrentPor-Rat Factor Movements'!I218)/100)+103/POWER(1+('CurrentPor-Rat Factor Movements'!D218+'CurrentPor-Rat Factor Movements'!I218)/100,2))*100</f>
        <v>9581.060790938689</v>
      </c>
      <c r="F218">
        <f>Portfolio!B$5*'CurrentPor-Rat Factor Movements'!E218</f>
        <v>52143.895533915893</v>
      </c>
      <c r="G218">
        <f>Portfolio!B$6*'CurrentPor-Rat Factor Movements'!F218</f>
        <v>3696.2945087936532</v>
      </c>
      <c r="H218">
        <f>Portfolio!B$7*'CurrentPor-Rat Factor Movements'!J218</f>
        <v>2148.0998964419859</v>
      </c>
      <c r="I218">
        <f t="shared" si="6"/>
        <v>96491.950339540708</v>
      </c>
      <c r="J218">
        <f t="shared" si="7"/>
        <v>5.471489845222095</v>
      </c>
    </row>
    <row r="219" spans="1:10">
      <c r="A219" s="1">
        <v>45776</v>
      </c>
      <c r="B219">
        <f>(3/(1+('CurrentPor-Rat Factor Movements'!C219)/100)+103/POWER(1+('CurrentPor-Rat Factor Movements'!D219)/100,2))*100</f>
        <v>9706.9418470477194</v>
      </c>
      <c r="C219">
        <f>(3/(1+('CurrentPor-Rat Factor Movements'!C219+'CurrentPor-Rat Factor Movements'!G219)/100)+103/POWER(1+('CurrentPor-Rat Factor Movements'!D219+'CurrentPor-Rat Factor Movements'!G219)/100,2))*100</f>
        <v>9614.3328143192266</v>
      </c>
      <c r="D219">
        <f>(3/(1+('CurrentPor-Rat Factor Movements'!C219+'CurrentPor-Rat Factor Movements'!H219)/100)+103/POWER(1+('CurrentPor-Rat Factor Movements'!D219+'CurrentPor-Rat Factor Movements'!H219)/100,2))*100</f>
        <v>9600.6063991379051</v>
      </c>
      <c r="E219">
        <f>(3/(1+('CurrentPor-Rat Factor Movements'!C219+'CurrentPor-Rat Factor Movements'!I219)/100)+103/POWER(1+('CurrentPor-Rat Factor Movements'!D219+'CurrentPor-Rat Factor Movements'!I219)/100,2))*100</f>
        <v>9580.8235524170414</v>
      </c>
      <c r="F219">
        <f>Portfolio!B$5*'CurrentPor-Rat Factor Movements'!E219</f>
        <v>52143.895533915893</v>
      </c>
      <c r="G219">
        <f>Portfolio!B$6*'CurrentPor-Rat Factor Movements'!F219</f>
        <v>3696.2945087936532</v>
      </c>
      <c r="H219">
        <f>Portfolio!B$7*'CurrentPor-Rat Factor Movements'!J219</f>
        <v>2148.0998964419859</v>
      </c>
      <c r="I219">
        <f t="shared" si="6"/>
        <v>96490.994552073433</v>
      </c>
      <c r="J219">
        <f t="shared" si="7"/>
        <v>1.5920190206961706</v>
      </c>
    </row>
    <row r="220" spans="1:10">
      <c r="A220" s="1">
        <v>45777</v>
      </c>
      <c r="B220">
        <f>(3/(1+('CurrentPor-Rat Factor Movements'!C220)/100)+103/POWER(1+('CurrentPor-Rat Factor Movements'!D220)/100,2))*100</f>
        <v>9706.9156079741715</v>
      </c>
      <c r="C220">
        <f>(3/(1+('CurrentPor-Rat Factor Movements'!C220+'CurrentPor-Rat Factor Movements'!G220)/100)+103/POWER(1+('CurrentPor-Rat Factor Movements'!D220+'CurrentPor-Rat Factor Movements'!G220)/100,2))*100</f>
        <v>9614.3068064823365</v>
      </c>
      <c r="D220">
        <f>(3/(1+('CurrentPor-Rat Factor Movements'!C220+'CurrentPor-Rat Factor Movements'!H220)/100)+103/POWER(1+('CurrentPor-Rat Factor Movements'!D220+'CurrentPor-Rat Factor Movements'!H220)/100,2))*100</f>
        <v>9600.5804256017618</v>
      </c>
      <c r="E220">
        <f>(3/(1+('CurrentPor-Rat Factor Movements'!C220+'CurrentPor-Rat Factor Movements'!I220)/100)+103/POWER(1+('CurrentPor-Rat Factor Movements'!D220+'CurrentPor-Rat Factor Movements'!I220)/100,2))*100</f>
        <v>9580.7976283283115</v>
      </c>
      <c r="F220">
        <f>Portfolio!B$5*'CurrentPor-Rat Factor Movements'!E220</f>
        <v>52143.895533915893</v>
      </c>
      <c r="G220">
        <f>Portfolio!B$6*'CurrentPor-Rat Factor Movements'!F220</f>
        <v>3696.2945087936532</v>
      </c>
      <c r="H220">
        <f>Portfolio!B$7*'CurrentPor-Rat Factor Movements'!J220</f>
        <v>2148.0998964419859</v>
      </c>
      <c r="I220">
        <f t="shared" si="6"/>
        <v>96490.890407538114</v>
      </c>
      <c r="J220">
        <f t="shared" si="7"/>
        <v>-1.4244583917316049</v>
      </c>
    </row>
    <row r="221" spans="1:10">
      <c r="A221" s="1">
        <v>45778</v>
      </c>
      <c r="B221">
        <f>(3/(1+('CurrentPor-Rat Factor Movements'!C221)/100)+103/POWER(1+('CurrentPor-Rat Factor Movements'!D221)/100,2))*100</f>
        <v>9707.3099350924422</v>
      </c>
      <c r="C221">
        <f>(3/(1+('CurrentPor-Rat Factor Movements'!C221+'CurrentPor-Rat Factor Movements'!G221)/100)+103/POWER(1+('CurrentPor-Rat Factor Movements'!D221+'CurrentPor-Rat Factor Movements'!G221)/100,2))*100</f>
        <v>9614.6954483812933</v>
      </c>
      <c r="D221">
        <f>(3/(1+('CurrentPor-Rat Factor Movements'!C221+'CurrentPor-Rat Factor Movements'!H221)/100)+103/POWER(1+('CurrentPor-Rat Factor Movements'!D221+'CurrentPor-Rat Factor Movements'!H221)/100,2))*100</f>
        <v>9600.9682272112204</v>
      </c>
      <c r="E221">
        <f>(3/(1+('CurrentPor-Rat Factor Movements'!C221+'CurrentPor-Rat Factor Movements'!I221)/100)+103/POWER(1+('CurrentPor-Rat Factor Movements'!D221+'CurrentPor-Rat Factor Movements'!I221)/100,2))*100</f>
        <v>9581.1842199696548</v>
      </c>
      <c r="F221">
        <f>Portfolio!B$5*'CurrentPor-Rat Factor Movements'!E221</f>
        <v>52143.895533915893</v>
      </c>
      <c r="G221">
        <f>Portfolio!B$6*'CurrentPor-Rat Factor Movements'!F221</f>
        <v>3696.2945087936532</v>
      </c>
      <c r="H221">
        <f>Portfolio!B$7*'CurrentPor-Rat Factor Movements'!J221</f>
        <v>2148.0998964419859</v>
      </c>
      <c r="I221">
        <f t="shared" si="6"/>
        <v>96492.447769806138</v>
      </c>
      <c r="J221">
        <f t="shared" si="7"/>
        <v>-6.0548719906364568E-2</v>
      </c>
    </row>
    <row r="222" spans="1:10">
      <c r="A222" s="1">
        <v>45779</v>
      </c>
      <c r="B222">
        <f>(3/(1+('CurrentPor-Rat Factor Movements'!C222)/100)+103/POWER(1+('CurrentPor-Rat Factor Movements'!D222)/100,2))*100</f>
        <v>9706.8625384017832</v>
      </c>
      <c r="C222">
        <f>(3/(1+('CurrentPor-Rat Factor Movements'!C222+'CurrentPor-Rat Factor Movements'!G222)/100)+103/POWER(1+('CurrentPor-Rat Factor Movements'!D222+'CurrentPor-Rat Factor Movements'!G222)/100,2))*100</f>
        <v>9614.254631699092</v>
      </c>
      <c r="D222">
        <f>(3/(1+('CurrentPor-Rat Factor Movements'!C222+'CurrentPor-Rat Factor Movements'!H222)/100)+103/POWER(1+('CurrentPor-Rat Factor Movements'!D222+'CurrentPor-Rat Factor Movements'!H222)/100,2))*100</f>
        <v>9600.5283829617892</v>
      </c>
      <c r="E222">
        <f>(3/(1+('CurrentPor-Rat Factor Movements'!C222+'CurrentPor-Rat Factor Movements'!I222)/100)+103/POWER(1+('CurrentPor-Rat Factor Movements'!D222+'CurrentPor-Rat Factor Movements'!I222)/100,2))*100</f>
        <v>9580.7457759173285</v>
      </c>
      <c r="F222">
        <f>Portfolio!B$5*'CurrentPor-Rat Factor Movements'!E222</f>
        <v>52143.895533915893</v>
      </c>
      <c r="G222">
        <f>Portfolio!B$6*'CurrentPor-Rat Factor Movements'!F222</f>
        <v>3696.2945087936532</v>
      </c>
      <c r="H222">
        <f>Portfolio!B$7*'CurrentPor-Rat Factor Movements'!J222</f>
        <v>2148.0998964419859</v>
      </c>
      <c r="I222">
        <f t="shared" si="6"/>
        <v>96490.68126813152</v>
      </c>
      <c r="J222">
        <f t="shared" si="7"/>
        <v>1.1684815477929078</v>
      </c>
    </row>
    <row r="223" spans="1:10">
      <c r="A223" s="1">
        <v>45782</v>
      </c>
      <c r="B223">
        <f>(3/(1+('CurrentPor-Rat Factor Movements'!C223)/100)+103/POWER(1+('CurrentPor-Rat Factor Movements'!D223)/100,2))*100</f>
        <v>9707.5491832671742</v>
      </c>
      <c r="C223">
        <f>(3/(1+('CurrentPor-Rat Factor Movements'!C223+'CurrentPor-Rat Factor Movements'!G223)/100)+103/POWER(1+('CurrentPor-Rat Factor Movements'!D223+'CurrentPor-Rat Factor Movements'!G223)/100,2))*100</f>
        <v>9614.9312227015253</v>
      </c>
      <c r="D223">
        <f>(3/(1+('CurrentPor-Rat Factor Movements'!C223+'CurrentPor-Rat Factor Movements'!H223)/100)+103/POWER(1+('CurrentPor-Rat Factor Movements'!D223+'CurrentPor-Rat Factor Movements'!H223)/100,2))*100</f>
        <v>9601.2034881077561</v>
      </c>
      <c r="E223">
        <f>(3/(1+('CurrentPor-Rat Factor Movements'!C223+'CurrentPor-Rat Factor Movements'!I223)/100)+103/POWER(1+('CurrentPor-Rat Factor Movements'!D223+'CurrentPor-Rat Factor Movements'!I223)/100,2))*100</f>
        <v>9581.4187415752513</v>
      </c>
      <c r="F223">
        <f>Portfolio!B$5*'CurrentPor-Rat Factor Movements'!E223</f>
        <v>52143.895533915893</v>
      </c>
      <c r="G223">
        <f>Portfolio!B$6*'CurrentPor-Rat Factor Movements'!F223</f>
        <v>3696.2945087936532</v>
      </c>
      <c r="H223">
        <f>Portfolio!B$7*'CurrentPor-Rat Factor Movements'!J223</f>
        <v>2148.0998964419859</v>
      </c>
      <c r="I223">
        <f t="shared" si="6"/>
        <v>96493.392574803249</v>
      </c>
      <c r="J223">
        <f t="shared" si="7"/>
        <v>-2.9555712416768074</v>
      </c>
    </row>
    <row r="224" spans="1:10">
      <c r="A224" s="1">
        <v>45783</v>
      </c>
      <c r="B224">
        <f>(3/(1+('CurrentPor-Rat Factor Movements'!C224)/100)+103/POWER(1+('CurrentPor-Rat Factor Movements'!D224)/100,2))*100</f>
        <v>9707.4108525941192</v>
      </c>
      <c r="C224">
        <f>(3/(1+('CurrentPor-Rat Factor Movements'!C224+'CurrentPor-Rat Factor Movements'!G224)/100)+103/POWER(1+('CurrentPor-Rat Factor Movements'!D224+'CurrentPor-Rat Factor Movements'!G224)/100,2))*100</f>
        <v>9614.7949860940425</v>
      </c>
      <c r="D224">
        <f>(3/(1+('CurrentPor-Rat Factor Movements'!C224+'CurrentPor-Rat Factor Movements'!H224)/100)+103/POWER(1+('CurrentPor-Rat Factor Movements'!D224+'CurrentPor-Rat Factor Movements'!H224)/100,2))*100</f>
        <v>9601.06756092467</v>
      </c>
      <c r="E224">
        <f>(3/(1+('CurrentPor-Rat Factor Movements'!C224+'CurrentPor-Rat Factor Movements'!I224)/100)+103/POWER(1+('CurrentPor-Rat Factor Movements'!D224+'CurrentPor-Rat Factor Movements'!I224)/100,2))*100</f>
        <v>9581.2832599071608</v>
      </c>
      <c r="F224">
        <f>Portfolio!B$5*'CurrentPor-Rat Factor Movements'!E224</f>
        <v>52143.895533915893</v>
      </c>
      <c r="G224">
        <f>Portfolio!B$6*'CurrentPor-Rat Factor Movements'!F224</f>
        <v>3696.2945087936532</v>
      </c>
      <c r="H224">
        <f>Portfolio!B$7*'CurrentPor-Rat Factor Movements'!J224</f>
        <v>2148.0998964419859</v>
      </c>
      <c r="I224">
        <f t="shared" si="6"/>
        <v>96492.846598671531</v>
      </c>
      <c r="J224">
        <f t="shared" si="7"/>
        <v>0.83428532810648903</v>
      </c>
    </row>
    <row r="225" spans="1:10">
      <c r="A225" s="1">
        <v>45784</v>
      </c>
      <c r="B225">
        <f>(3/(1+('CurrentPor-Rat Factor Movements'!C225)/100)+103/POWER(1+('CurrentPor-Rat Factor Movements'!D225)/100,2))*100</f>
        <v>9707.1838830931993</v>
      </c>
      <c r="C225">
        <f>(3/(1+('CurrentPor-Rat Factor Movements'!C225+'CurrentPor-Rat Factor Movements'!G225)/100)+103/POWER(1+('CurrentPor-Rat Factor Movements'!D225+'CurrentPor-Rat Factor Movements'!G225)/100,2))*100</f>
        <v>9614.5712397277784</v>
      </c>
      <c r="D225">
        <f>(3/(1+('CurrentPor-Rat Factor Movements'!C225+'CurrentPor-Rat Factor Movements'!H225)/100)+103/POWER(1+('CurrentPor-Rat Factor Movements'!D225+'CurrentPor-Rat Factor Movements'!H225)/100,2))*100</f>
        <v>9600.8442909869555</v>
      </c>
      <c r="E225">
        <f>(3/(1+('CurrentPor-Rat Factor Movements'!C225+'CurrentPor-Rat Factor Movements'!I225)/100)+103/POWER(1+('CurrentPor-Rat Factor Movements'!D225+'CurrentPor-Rat Factor Movements'!I225)/100,2))*100</f>
        <v>9581.0606760177379</v>
      </c>
      <c r="F225">
        <f>Portfolio!B$5*'CurrentPor-Rat Factor Movements'!E225</f>
        <v>52143.895533915893</v>
      </c>
      <c r="G225">
        <f>Portfolio!B$6*'CurrentPor-Rat Factor Movements'!F225</f>
        <v>3696.2945087936532</v>
      </c>
      <c r="H225">
        <f>Portfolio!B$7*'CurrentPor-Rat Factor Movements'!J225</f>
        <v>2148.0998964419859</v>
      </c>
      <c r="I225">
        <f t="shared" si="6"/>
        <v>96491.950028977197</v>
      </c>
      <c r="J225">
        <f t="shared" si="7"/>
        <v>-0.84499696517013945</v>
      </c>
    </row>
    <row r="226" spans="1:10">
      <c r="A226" s="1">
        <v>45785</v>
      </c>
      <c r="B226">
        <f>(3/(1+('CurrentPor-Rat Factor Movements'!C226)/100)+103/POWER(1+('CurrentPor-Rat Factor Movements'!D226)/100,2))*100</f>
        <v>9708.0782735388275</v>
      </c>
      <c r="C226">
        <f>(3/(1+('CurrentPor-Rat Factor Movements'!C226+'CurrentPor-Rat Factor Movements'!G226)/100)+103/POWER(1+('CurrentPor-Rat Factor Movements'!D226+'CurrentPor-Rat Factor Movements'!G226)/100,2))*100</f>
        <v>9615.4525883907936</v>
      </c>
      <c r="D226">
        <f>(3/(1+('CurrentPor-Rat Factor Movements'!C226+'CurrentPor-Rat Factor Movements'!H226)/100)+103/POWER(1+('CurrentPor-Rat Factor Movements'!D226+'CurrentPor-Rat Factor Movements'!H226)/100,2))*100</f>
        <v>9601.7237121657563</v>
      </c>
      <c r="E226">
        <f>(3/(1+('CurrentPor-Rat Factor Movements'!C226+'CurrentPor-Rat Factor Movements'!I226)/100)+103/POWER(1+('CurrentPor-Rat Factor Movements'!D226+'CurrentPor-Rat Factor Movements'!I226)/100,2))*100</f>
        <v>9581.9373217875091</v>
      </c>
      <c r="F226">
        <f>Portfolio!B$5*'CurrentPor-Rat Factor Movements'!E226</f>
        <v>52143.895533915893</v>
      </c>
      <c r="G226">
        <f>Portfolio!B$6*'CurrentPor-Rat Factor Movements'!F226</f>
        <v>3696.2945087936532</v>
      </c>
      <c r="H226">
        <f>Portfolio!B$7*'CurrentPor-Rat Factor Movements'!J226</f>
        <v>2148.0998964419859</v>
      </c>
      <c r="I226">
        <f t="shared" si="6"/>
        <v>96495.481835034414</v>
      </c>
      <c r="J226">
        <f t="shared" si="7"/>
        <v>8.7397766488866182</v>
      </c>
    </row>
    <row r="227" spans="1:10">
      <c r="A227" s="1">
        <v>45786</v>
      </c>
      <c r="B227">
        <f>(3/(1+('CurrentPor-Rat Factor Movements'!C227)/100)+103/POWER(1+('CurrentPor-Rat Factor Movements'!D227)/100,2))*100</f>
        <v>9708.2531816251558</v>
      </c>
      <c r="C227">
        <f>(3/(1+('CurrentPor-Rat Factor Movements'!C227+'CurrentPor-Rat Factor Movements'!G227)/100)+103/POWER(1+('CurrentPor-Rat Factor Movements'!D227+'CurrentPor-Rat Factor Movements'!G227)/100,2))*100</f>
        <v>9615.6249632929648</v>
      </c>
      <c r="D227">
        <f>(3/(1+('CurrentPor-Rat Factor Movements'!C227+'CurrentPor-Rat Factor Movements'!H227)/100)+103/POWER(1+('CurrentPor-Rat Factor Movements'!D227+'CurrentPor-Rat Factor Movements'!H227)/100,2))*100</f>
        <v>9601.8957126667538</v>
      </c>
      <c r="E227">
        <f>(3/(1+('CurrentPor-Rat Factor Movements'!C227+'CurrentPor-Rat Factor Movements'!I227)/100)+103/POWER(1+('CurrentPor-Rat Factor Movements'!D227+'CurrentPor-Rat Factor Movements'!I227)/100,2))*100</f>
        <v>9582.1087831769764</v>
      </c>
      <c r="F227">
        <f>Portfolio!B$5*'CurrentPor-Rat Factor Movements'!E227</f>
        <v>52143.895533915893</v>
      </c>
      <c r="G227">
        <f>Portfolio!B$6*'CurrentPor-Rat Factor Movements'!F227</f>
        <v>3696.2945087936532</v>
      </c>
      <c r="H227">
        <f>Portfolio!B$7*'CurrentPor-Rat Factor Movements'!J227</f>
        <v>2148.0998964419859</v>
      </c>
      <c r="I227">
        <f t="shared" si="6"/>
        <v>96496.172579913386</v>
      </c>
      <c r="J227">
        <f t="shared" si="7"/>
        <v>8.7022152139397804</v>
      </c>
    </row>
    <row r="228" spans="1:10">
      <c r="A228" s="1">
        <v>45789</v>
      </c>
      <c r="B228">
        <f>(3/(1+('CurrentPor-Rat Factor Movements'!C228)/100)+103/POWER(1+('CurrentPor-Rat Factor Movements'!D228)/100,2))*100</f>
        <v>9706.2707428888425</v>
      </c>
      <c r="C228">
        <f>(3/(1+('CurrentPor-Rat Factor Movements'!C228+'CurrentPor-Rat Factor Movements'!G228)/100)+103/POWER(1+('CurrentPor-Rat Factor Movements'!D228+'CurrentPor-Rat Factor Movements'!G228)/100,2))*100</f>
        <v>9613.6713989427317</v>
      </c>
      <c r="D228">
        <f>(3/(1+('CurrentPor-Rat Factor Movements'!C228+'CurrentPor-Rat Factor Movements'!H228)/100)+103/POWER(1+('CurrentPor-Rat Factor Movements'!D228+'CurrentPor-Rat Factor Movements'!H228)/100,2))*100</f>
        <v>9599.9464157766488</v>
      </c>
      <c r="E228">
        <f>(3/(1+('CurrentPor-Rat Factor Movements'!C228+'CurrentPor-Rat Factor Movements'!I228)/100)+103/POWER(1+('CurrentPor-Rat Factor Movements'!D228+'CurrentPor-Rat Factor Movements'!I228)/100,2))*100</f>
        <v>9580.1656310697108</v>
      </c>
      <c r="F228">
        <f>Portfolio!B$5*'CurrentPor-Rat Factor Movements'!E228</f>
        <v>52143.895533915893</v>
      </c>
      <c r="G228">
        <f>Portfolio!B$6*'CurrentPor-Rat Factor Movements'!F228</f>
        <v>3696.2945087936532</v>
      </c>
      <c r="H228">
        <f>Portfolio!B$7*'CurrentPor-Rat Factor Movements'!J228</f>
        <v>2148.0998964419859</v>
      </c>
      <c r="I228">
        <f t="shared" si="6"/>
        <v>96488.344127829463</v>
      </c>
      <c r="J228">
        <f t="shared" si="7"/>
        <v>-3.6062117112451233</v>
      </c>
    </row>
    <row r="229" spans="1:10">
      <c r="A229" s="1">
        <v>45790</v>
      </c>
      <c r="B229">
        <f>(3/(1+('CurrentPor-Rat Factor Movements'!C229)/100)+103/POWER(1+('CurrentPor-Rat Factor Movements'!D229)/100,2))*100</f>
        <v>9707.5254012430614</v>
      </c>
      <c r="C229">
        <f>(3/(1+('CurrentPor-Rat Factor Movements'!C229+'CurrentPor-Rat Factor Movements'!G229)/100)+103/POWER(1+('CurrentPor-Rat Factor Movements'!D229+'CurrentPor-Rat Factor Movements'!G229)/100,2))*100</f>
        <v>9614.9078250840612</v>
      </c>
      <c r="D229">
        <f>(3/(1+('CurrentPor-Rat Factor Movements'!C229+'CurrentPor-Rat Factor Movements'!H229)/100)+103/POWER(1+('CurrentPor-Rat Factor Movements'!D229+'CurrentPor-Rat Factor Movements'!H229)/100,2))*100</f>
        <v>9601.180147271687</v>
      </c>
      <c r="E229">
        <f>(3/(1+('CurrentPor-Rat Factor Movements'!C229+'CurrentPor-Rat Factor Movements'!I229)/100)+103/POWER(1+('CurrentPor-Rat Factor Movements'!D229+'CurrentPor-Rat Factor Movements'!I229)/100,2))*100</f>
        <v>9581.3954824852008</v>
      </c>
      <c r="F229">
        <f>Portfolio!B$5*'CurrentPor-Rat Factor Movements'!E229</f>
        <v>52143.895533915893</v>
      </c>
      <c r="G229">
        <f>Portfolio!B$6*'CurrentPor-Rat Factor Movements'!F229</f>
        <v>3696.2945087936532</v>
      </c>
      <c r="H229">
        <f>Portfolio!B$7*'CurrentPor-Rat Factor Movements'!J229</f>
        <v>2148.0998964419859</v>
      </c>
      <c r="I229">
        <f t="shared" si="6"/>
        <v>96493.298795235532</v>
      </c>
      <c r="J229">
        <f t="shared" si="7"/>
        <v>2.3042431620997377</v>
      </c>
    </row>
    <row r="230" spans="1:10">
      <c r="A230" s="1">
        <v>45791</v>
      </c>
      <c r="B230">
        <f>(3/(1+('CurrentPor-Rat Factor Movements'!C230)/100)+103/POWER(1+('CurrentPor-Rat Factor Movements'!D230)/100,2))*100</f>
        <v>9706.6066583549145</v>
      </c>
      <c r="C230">
        <f>(3/(1+('CurrentPor-Rat Factor Movements'!C230+'CurrentPor-Rat Factor Movements'!G230)/100)+103/POWER(1+('CurrentPor-Rat Factor Movements'!D230+'CurrentPor-Rat Factor Movements'!G230)/100,2))*100</f>
        <v>9614.0023984215677</v>
      </c>
      <c r="D230">
        <f>(3/(1+('CurrentPor-Rat Factor Movements'!C230+'CurrentPor-Rat Factor Movements'!H230)/100)+103/POWER(1+('CurrentPor-Rat Factor Movements'!D230+'CurrentPor-Rat Factor Movements'!H230)/100,2))*100</f>
        <v>9600.2766887214348</v>
      </c>
      <c r="E230">
        <f>(3/(1+('CurrentPor-Rat Factor Movements'!C230+'CurrentPor-Rat Factor Movements'!I230)/100)+103/POWER(1+('CurrentPor-Rat Factor Movements'!D230+'CurrentPor-Rat Factor Movements'!I230)/100,2))*100</f>
        <v>9580.494857875472</v>
      </c>
      <c r="F230">
        <f>Portfolio!B$5*'CurrentPor-Rat Factor Movements'!E230</f>
        <v>52143.895533915893</v>
      </c>
      <c r="G230">
        <f>Portfolio!B$6*'CurrentPor-Rat Factor Movements'!F230</f>
        <v>3696.2945087936532</v>
      </c>
      <c r="H230">
        <f>Portfolio!B$7*'CurrentPor-Rat Factor Movements'!J230</f>
        <v>2148.0998964419859</v>
      </c>
      <c r="I230">
        <f t="shared" si="6"/>
        <v>96489.670542524924</v>
      </c>
      <c r="J230">
        <f t="shared" si="7"/>
        <v>-1.2198650131904287</v>
      </c>
    </row>
    <row r="231" spans="1:10">
      <c r="A231" s="1">
        <v>45792</v>
      </c>
      <c r="B231">
        <f>(3/(1+('CurrentPor-Rat Factor Movements'!C231)/100)+103/POWER(1+('CurrentPor-Rat Factor Movements'!D231)/100,2))*100</f>
        <v>9707.4971451707115</v>
      </c>
      <c r="C231">
        <f>(3/(1+('CurrentPor-Rat Factor Movements'!C231+'CurrentPor-Rat Factor Movements'!G231)/100)+103/POWER(1+('CurrentPor-Rat Factor Movements'!D231+'CurrentPor-Rat Factor Movements'!G231)/100,2))*100</f>
        <v>9614.8800343630719</v>
      </c>
      <c r="D231">
        <f>(3/(1+('CurrentPor-Rat Factor Movements'!C231+'CurrentPor-Rat Factor Movements'!H231)/100)+103/POWER(1+('CurrentPor-Rat Factor Movements'!D231+'CurrentPor-Rat Factor Movements'!H231)/100,2))*100</f>
        <v>9601.1524252821382</v>
      </c>
      <c r="E231">
        <f>(3/(1+('CurrentPor-Rat Factor Movements'!C231+'CurrentPor-Rat Factor Movements'!I231)/100)+103/POWER(1+('CurrentPor-Rat Factor Movements'!D231+'CurrentPor-Rat Factor Movements'!I231)/100,2))*100</f>
        <v>9581.3678594427183</v>
      </c>
      <c r="F231">
        <f>Portfolio!B$5*'CurrentPor-Rat Factor Movements'!E231</f>
        <v>52143.895533915893</v>
      </c>
      <c r="G231">
        <f>Portfolio!B$6*'CurrentPor-Rat Factor Movements'!F231</f>
        <v>3696.2945087936532</v>
      </c>
      <c r="H231">
        <f>Portfolio!B$7*'CurrentPor-Rat Factor Movements'!J231</f>
        <v>2148.0998964419859</v>
      </c>
      <c r="I231">
        <f t="shared" si="6"/>
        <v>96493.187403410164</v>
      </c>
      <c r="J231">
        <f t="shared" si="7"/>
        <v>0.73963360402558465</v>
      </c>
    </row>
    <row r="232" spans="1:10">
      <c r="A232" s="1">
        <v>45793</v>
      </c>
      <c r="B232">
        <f>(3/(1+('CurrentPor-Rat Factor Movements'!C232)/100)+103/POWER(1+('CurrentPor-Rat Factor Movements'!D232)/100,2))*100</f>
        <v>9708.0013097771662</v>
      </c>
      <c r="C232">
        <f>(3/(1+('CurrentPor-Rat Factor Movements'!C232+'CurrentPor-Rat Factor Movements'!G232)/100)+103/POWER(1+('CurrentPor-Rat Factor Movements'!D232+'CurrentPor-Rat Factor Movements'!G232)/100,2))*100</f>
        <v>9615.3768903440905</v>
      </c>
      <c r="D232">
        <f>(3/(1+('CurrentPor-Rat Factor Movements'!C232+'CurrentPor-Rat Factor Movements'!H232)/100)+103/POWER(1+('CurrentPor-Rat Factor Movements'!D232+'CurrentPor-Rat Factor Movements'!H232)/100,2))*100</f>
        <v>9601.6482010638192</v>
      </c>
      <c r="E232">
        <f>(3/(1+('CurrentPor-Rat Factor Movements'!C232+'CurrentPor-Rat Factor Movements'!I232)/100)+103/POWER(1+('CurrentPor-Rat Factor Movements'!D232+'CurrentPor-Rat Factor Movements'!I232)/100,2))*100</f>
        <v>9581.8620798153934</v>
      </c>
      <c r="F232">
        <f>Portfolio!B$5*'CurrentPor-Rat Factor Movements'!E232</f>
        <v>52143.895533915893</v>
      </c>
      <c r="G232">
        <f>Portfolio!B$6*'CurrentPor-Rat Factor Movements'!F232</f>
        <v>3696.2945087936532</v>
      </c>
      <c r="H232">
        <f>Portfolio!B$7*'CurrentPor-Rat Factor Movements'!J232</f>
        <v>2148.0998964419859</v>
      </c>
      <c r="I232">
        <f t="shared" si="6"/>
        <v>96495.178420152006</v>
      </c>
      <c r="J232">
        <f t="shared" si="7"/>
        <v>4.4971520204853732</v>
      </c>
    </row>
    <row r="233" spans="1:10">
      <c r="A233" s="1">
        <v>45796</v>
      </c>
      <c r="B233">
        <f>(3/(1+('CurrentPor-Rat Factor Movements'!C233)/100)+103/POWER(1+('CurrentPor-Rat Factor Movements'!D233)/100,2))*100</f>
        <v>9706.8212842690718</v>
      </c>
      <c r="C233">
        <f>(3/(1+('CurrentPor-Rat Factor Movements'!C233+'CurrentPor-Rat Factor Movements'!G233)/100)+103/POWER(1+('CurrentPor-Rat Factor Movements'!D233+'CurrentPor-Rat Factor Movements'!G233)/100,2))*100</f>
        <v>9614.2139357099695</v>
      </c>
      <c r="D233">
        <f>(3/(1+('CurrentPor-Rat Factor Movements'!C233+'CurrentPor-Rat Factor Movements'!H233)/100)+103/POWER(1+('CurrentPor-Rat Factor Movements'!D233+'CurrentPor-Rat Factor Movements'!H233)/100,2))*100</f>
        <v>9600.487769498417</v>
      </c>
      <c r="E233">
        <f>(3/(1+('CurrentPor-Rat Factor Movements'!C233+'CurrentPor-Rat Factor Movements'!I233)/100)+103/POWER(1+('CurrentPor-Rat Factor Movements'!D233+'CurrentPor-Rat Factor Movements'!I233)/100,2))*100</f>
        <v>9580.7052813002847</v>
      </c>
      <c r="F233">
        <f>Portfolio!B$5*'CurrentPor-Rat Factor Movements'!E233</f>
        <v>52143.895533915893</v>
      </c>
      <c r="G233">
        <f>Portfolio!B$6*'CurrentPor-Rat Factor Movements'!F233</f>
        <v>3696.2945087936532</v>
      </c>
      <c r="H233">
        <f>Portfolio!B$7*'CurrentPor-Rat Factor Movements'!J233</f>
        <v>2148.0998964419859</v>
      </c>
      <c r="I233">
        <f t="shared" si="6"/>
        <v>96490.518209929272</v>
      </c>
      <c r="J233">
        <f t="shared" si="7"/>
        <v>-2.8743648739764467</v>
      </c>
    </row>
    <row r="234" spans="1:10">
      <c r="A234" s="1">
        <v>45797</v>
      </c>
      <c r="B234">
        <f>(3/(1+('CurrentPor-Rat Factor Movements'!C234)/100)+103/POWER(1+('CurrentPor-Rat Factor Movements'!D234)/100,2))*100</f>
        <v>9706.5730545548595</v>
      </c>
      <c r="C234">
        <f>(3/(1+('CurrentPor-Rat Factor Movements'!C234+'CurrentPor-Rat Factor Movements'!G234)/100)+103/POWER(1+('CurrentPor-Rat Factor Movements'!D234+'CurrentPor-Rat Factor Movements'!G234)/100,2))*100</f>
        <v>9613.9692862154243</v>
      </c>
      <c r="D234">
        <f>(3/(1+('CurrentPor-Rat Factor Movements'!C234+'CurrentPor-Rat Factor Movements'!H234)/100)+103/POWER(1+('CurrentPor-Rat Factor Movements'!D234+'CurrentPor-Rat Factor Movements'!H234)/100,2))*100</f>
        <v>9600.243649168131</v>
      </c>
      <c r="E234">
        <f>(3/(1+('CurrentPor-Rat Factor Movements'!C234+'CurrentPor-Rat Factor Movements'!I234)/100)+103/POWER(1+('CurrentPor-Rat Factor Movements'!D234+'CurrentPor-Rat Factor Movements'!I234)/100,2))*100</f>
        <v>9580.4619229353284</v>
      </c>
      <c r="F234">
        <f>Portfolio!B$5*'CurrentPor-Rat Factor Movements'!E234</f>
        <v>52143.895533915893</v>
      </c>
      <c r="G234">
        <f>Portfolio!B$6*'CurrentPor-Rat Factor Movements'!F234</f>
        <v>3696.2945087936532</v>
      </c>
      <c r="H234">
        <f>Portfolio!B$7*'CurrentPor-Rat Factor Movements'!J234</f>
        <v>2148.0998964419859</v>
      </c>
      <c r="I234">
        <f t="shared" si="6"/>
        <v>96489.537852025271</v>
      </c>
      <c r="J234">
        <f t="shared" si="7"/>
        <v>-3.3087466462602606</v>
      </c>
    </row>
    <row r="235" spans="1:10">
      <c r="A235" s="1">
        <v>45798</v>
      </c>
      <c r="B235">
        <f>(3/(1+('CurrentPor-Rat Factor Movements'!C235)/100)+103/POWER(1+('CurrentPor-Rat Factor Movements'!D235)/100,2))*100</f>
        <v>9707.3204747840809</v>
      </c>
      <c r="C235">
        <f>(3/(1+('CurrentPor-Rat Factor Movements'!C235+'CurrentPor-Rat Factor Movements'!G235)/100)+103/POWER(1+('CurrentPor-Rat Factor Movements'!D235+'CurrentPor-Rat Factor Movements'!G235)/100,2))*100</f>
        <v>9614.705953196617</v>
      </c>
      <c r="D235">
        <f>(3/(1+('CurrentPor-Rat Factor Movements'!C235+'CurrentPor-Rat Factor Movements'!H235)/100)+103/POWER(1+('CurrentPor-Rat Factor Movements'!D235+'CurrentPor-Rat Factor Movements'!H235)/100,2))*100</f>
        <v>9600.9787267734991</v>
      </c>
      <c r="E235">
        <f>(3/(1+('CurrentPor-Rat Factor Movements'!C235+'CurrentPor-Rat Factor Movements'!I235)/100)+103/POWER(1+('CurrentPor-Rat Factor Movements'!D235+'CurrentPor-Rat Factor Movements'!I235)/100,2))*100</f>
        <v>9581.1947119230135</v>
      </c>
      <c r="F235">
        <f>Portfolio!B$5*'CurrentPor-Rat Factor Movements'!E235</f>
        <v>52143.895533915893</v>
      </c>
      <c r="G235">
        <f>Portfolio!B$6*'CurrentPor-Rat Factor Movements'!F235</f>
        <v>3696.2945087936532</v>
      </c>
      <c r="H235">
        <f>Portfolio!B$7*'CurrentPor-Rat Factor Movements'!J235</f>
        <v>2148.0998964419859</v>
      </c>
      <c r="I235">
        <f t="shared" si="6"/>
        <v>96492.489805828736</v>
      </c>
      <c r="J235">
        <f t="shared" si="7"/>
        <v>0.53977685153950006</v>
      </c>
    </row>
    <row r="236" spans="1:10">
      <c r="A236" s="1">
        <v>45799</v>
      </c>
      <c r="B236">
        <f>(3/(1+('CurrentPor-Rat Factor Movements'!C236)/100)+103/POWER(1+('CurrentPor-Rat Factor Movements'!D236)/100,2))*100</f>
        <v>9705.9982876884169</v>
      </c>
      <c r="C236">
        <f>(3/(1+('CurrentPor-Rat Factor Movements'!C236+'CurrentPor-Rat Factor Movements'!G236)/100)+103/POWER(1+('CurrentPor-Rat Factor Movements'!D236+'CurrentPor-Rat Factor Movements'!G236)/100,2))*100</f>
        <v>9613.4027620059151</v>
      </c>
      <c r="D236">
        <f>(3/(1+('CurrentPor-Rat Factor Movements'!C236+'CurrentPor-Rat Factor Movements'!H236)/100)+103/POWER(1+('CurrentPor-Rat Factor Movements'!D236+'CurrentPor-Rat Factor Movements'!H236)/100,2))*100</f>
        <v>9599.6783432809971</v>
      </c>
      <c r="E236">
        <f>(3/(1+('CurrentPor-Rat Factor Movements'!C236+'CurrentPor-Rat Factor Movements'!I236)/100)+103/POWER(1+('CurrentPor-Rat Factor Movements'!D236+'CurrentPor-Rat Factor Movements'!I236)/100,2))*100</f>
        <v>9579.8983713787093</v>
      </c>
      <c r="F236">
        <f>Portfolio!B$5*'CurrentPor-Rat Factor Movements'!E236</f>
        <v>52143.895533915893</v>
      </c>
      <c r="G236">
        <f>Portfolio!B$6*'CurrentPor-Rat Factor Movements'!F236</f>
        <v>3696.2945087936532</v>
      </c>
      <c r="H236">
        <f>Portfolio!B$7*'CurrentPor-Rat Factor Movements'!J236</f>
        <v>2148.0998964419859</v>
      </c>
      <c r="I236">
        <f t="shared" si="6"/>
        <v>96487.267703505568</v>
      </c>
      <c r="J236">
        <f t="shared" si="7"/>
        <v>-8.2141315288463375</v>
      </c>
    </row>
    <row r="237" spans="1:10">
      <c r="A237" s="1">
        <v>45800</v>
      </c>
      <c r="B237">
        <f>(3/(1+('CurrentPor-Rat Factor Movements'!C237)/100)+103/POWER(1+('CurrentPor-Rat Factor Movements'!D237)/100,2))*100</f>
        <v>9706.1403258636128</v>
      </c>
      <c r="C237">
        <f>(3/(1+('CurrentPor-Rat Factor Movements'!C237+'CurrentPor-Rat Factor Movements'!G237)/100)+103/POWER(1+('CurrentPor-Rat Factor Movements'!D237+'CurrentPor-Rat Factor Movements'!G237)/100,2))*100</f>
        <v>9613.5429485623026</v>
      </c>
      <c r="D237">
        <f>(3/(1+('CurrentPor-Rat Factor Movements'!C237+'CurrentPor-Rat Factor Movements'!H237)/100)+103/POWER(1+('CurrentPor-Rat Factor Movements'!D237+'CurrentPor-Rat Factor Movements'!H237)/100,2))*100</f>
        <v>9599.8182559988272</v>
      </c>
      <c r="E237">
        <f>(3/(1+('CurrentPor-Rat Factor Movements'!C237+'CurrentPor-Rat Factor Movements'!I237)/100)+103/POWER(1+('CurrentPor-Rat Factor Movements'!D237+'CurrentPor-Rat Factor Movements'!I237)/100,2))*100</f>
        <v>9580.037889709738</v>
      </c>
      <c r="F237">
        <f>Portfolio!B$5*'CurrentPor-Rat Factor Movements'!E237</f>
        <v>52143.895533915893</v>
      </c>
      <c r="G237">
        <f>Portfolio!B$6*'CurrentPor-Rat Factor Movements'!F237</f>
        <v>3696.2945087936532</v>
      </c>
      <c r="H237">
        <f>Portfolio!B$7*'CurrentPor-Rat Factor Movements'!J237</f>
        <v>2148.0998964419859</v>
      </c>
      <c r="I237">
        <f t="shared" si="6"/>
        <v>96487.829359286014</v>
      </c>
      <c r="J237">
        <f t="shared" si="7"/>
        <v>-8.3432206273719203</v>
      </c>
    </row>
    <row r="238" spans="1:10">
      <c r="A238" s="1">
        <v>45803</v>
      </c>
      <c r="B238">
        <f>(3/(1+('CurrentPor-Rat Factor Movements'!C238)/100)+103/POWER(1+('CurrentPor-Rat Factor Movements'!D238)/100,2))*100</f>
        <v>9708.3992568838676</v>
      </c>
      <c r="C238">
        <f>(3/(1+('CurrentPor-Rat Factor Movements'!C238+'CurrentPor-Rat Factor Movements'!G238)/100)+103/POWER(1+('CurrentPor-Rat Factor Movements'!D238+'CurrentPor-Rat Factor Movements'!G238)/100,2))*100</f>
        <v>9615.7690446477645</v>
      </c>
      <c r="D238">
        <f>(3/(1+('CurrentPor-Rat Factor Movements'!C238+'CurrentPor-Rat Factor Movements'!H238)/100)+103/POWER(1+('CurrentPor-Rat Factor Movements'!D238+'CurrentPor-Rat Factor Movements'!H238)/100,2))*100</f>
        <v>9602.0394992236106</v>
      </c>
      <c r="E238">
        <f>(3/(1+('CurrentPor-Rat Factor Movements'!C238+'CurrentPor-Rat Factor Movements'!I238)/100)+103/POWER(1+('CurrentPor-Rat Factor Movements'!D238+'CurrentPor-Rat Factor Movements'!I238)/100,2))*100</f>
        <v>9582.2521451990106</v>
      </c>
      <c r="F238">
        <f>Portfolio!B$5*'CurrentPor-Rat Factor Movements'!E238</f>
        <v>52143.895533915893</v>
      </c>
      <c r="G238">
        <f>Portfolio!B$6*'CurrentPor-Rat Factor Movements'!F238</f>
        <v>3696.2945087936532</v>
      </c>
      <c r="H238">
        <f>Portfolio!B$7*'CurrentPor-Rat Factor Movements'!J238</f>
        <v>2148.0998964419859</v>
      </c>
      <c r="I238">
        <f t="shared" si="6"/>
        <v>96496.749885105775</v>
      </c>
      <c r="J238">
        <f t="shared" si="7"/>
        <v>8.4057572763122153</v>
      </c>
    </row>
    <row r="239" spans="1:10">
      <c r="A239" s="1">
        <v>45804</v>
      </c>
      <c r="B239">
        <f>(3/(1+('CurrentPor-Rat Factor Movements'!C239)/100)+103/POWER(1+('CurrentPor-Rat Factor Movements'!D239)/100,2))*100</f>
        <v>9707.5348203029243</v>
      </c>
      <c r="C239">
        <f>(3/(1+('CurrentPor-Rat Factor Movements'!C239+'CurrentPor-Rat Factor Movements'!G239)/100)+103/POWER(1+('CurrentPor-Rat Factor Movements'!D239+'CurrentPor-Rat Factor Movements'!G239)/100,2))*100</f>
        <v>9614.9170424457916</v>
      </c>
      <c r="D239">
        <f>(3/(1+('CurrentPor-Rat Factor Movements'!C239+'CurrentPor-Rat Factor Movements'!H239)/100)+103/POWER(1+('CurrentPor-Rat Factor Movements'!D239+'CurrentPor-Rat Factor Movements'!H239)/100,2))*100</f>
        <v>9601.1893348772373</v>
      </c>
      <c r="E239">
        <f>(3/(1+('CurrentPor-Rat Factor Movements'!C239+'CurrentPor-Rat Factor Movements'!I239)/100)+103/POWER(1+('CurrentPor-Rat Factor Movements'!D239+'CurrentPor-Rat Factor Movements'!I239)/100,2))*100</f>
        <v>9581.404627268812</v>
      </c>
      <c r="F239">
        <f>Portfolio!B$5*'CurrentPor-Rat Factor Movements'!E239</f>
        <v>52143.895533915893</v>
      </c>
      <c r="G239">
        <f>Portfolio!B$6*'CurrentPor-Rat Factor Movements'!F239</f>
        <v>3696.2945087936532</v>
      </c>
      <c r="H239">
        <f>Portfolio!B$7*'CurrentPor-Rat Factor Movements'!J239</f>
        <v>2148.0998964419859</v>
      </c>
      <c r="I239">
        <f t="shared" si="6"/>
        <v>96493.335764046307</v>
      </c>
      <c r="J239">
        <f t="shared" si="7"/>
        <v>3.696881077485159E-2</v>
      </c>
    </row>
    <row r="240" spans="1:10">
      <c r="A240" s="1">
        <v>45805</v>
      </c>
      <c r="B240">
        <f>(3/(1+('CurrentPor-Rat Factor Movements'!C240)/100)+103/POWER(1+('CurrentPor-Rat Factor Movements'!D240)/100,2))*100</f>
        <v>9707.269890655949</v>
      </c>
      <c r="C240">
        <f>(3/(1+('CurrentPor-Rat Factor Movements'!C240+'CurrentPor-Rat Factor Movements'!G240)/100)+103/POWER(1+('CurrentPor-Rat Factor Movements'!D240+'CurrentPor-Rat Factor Movements'!G240)/100,2))*100</f>
        <v>9614.6561050178952</v>
      </c>
      <c r="D240">
        <f>(3/(1+('CurrentPor-Rat Factor Movements'!C240+'CurrentPor-Rat Factor Movements'!H240)/100)+103/POWER(1+('CurrentPor-Rat Factor Movements'!D240+'CurrentPor-Rat Factor Movements'!H240)/100,2))*100</f>
        <v>9600.9289873643374</v>
      </c>
      <c r="E240">
        <f>(3/(1+('CurrentPor-Rat Factor Movements'!C240+'CurrentPor-Rat Factor Movements'!I240)/100)+103/POWER(1+('CurrentPor-Rat Factor Movements'!D240+'CurrentPor-Rat Factor Movements'!I240)/100,2))*100</f>
        <v>9581.1451291331578</v>
      </c>
      <c r="F240">
        <f>Portfolio!B$5*'CurrentPor-Rat Factor Movements'!E240</f>
        <v>52143.895533915893</v>
      </c>
      <c r="G240">
        <f>Portfolio!B$6*'CurrentPor-Rat Factor Movements'!F240</f>
        <v>3696.2945087936532</v>
      </c>
      <c r="H240">
        <f>Portfolio!B$7*'CurrentPor-Rat Factor Movements'!J240</f>
        <v>2148.0998964419859</v>
      </c>
      <c r="I240">
        <f t="shared" si="6"/>
        <v>96492.290051322881</v>
      </c>
      <c r="J240">
        <f t="shared" si="7"/>
        <v>2.6195087979576783</v>
      </c>
    </row>
    <row r="241" spans="1:10">
      <c r="A241" s="1">
        <v>45806</v>
      </c>
      <c r="B241">
        <f>(3/(1+('CurrentPor-Rat Factor Movements'!C241)/100)+103/POWER(1+('CurrentPor-Rat Factor Movements'!D241)/100,2))*100</f>
        <v>9707.131904420894</v>
      </c>
      <c r="C241">
        <f>(3/(1+('CurrentPor-Rat Factor Movements'!C241+'CurrentPor-Rat Factor Movements'!G241)/100)+103/POWER(1+('CurrentPor-Rat Factor Movements'!D241+'CurrentPor-Rat Factor Movements'!G241)/100,2))*100</f>
        <v>9614.5200037936083</v>
      </c>
      <c r="D241">
        <f>(3/(1+('CurrentPor-Rat Factor Movements'!C241+'CurrentPor-Rat Factor Movements'!H241)/100)+103/POWER(1+('CurrentPor-Rat Factor Movements'!D241+'CurrentPor-Rat Factor Movements'!H241)/100,2))*100</f>
        <v>9600.7931648369122</v>
      </c>
      <c r="E241">
        <f>(3/(1+('CurrentPor-Rat Factor Movements'!C241+'CurrentPor-Rat Factor Movements'!I241)/100)+103/POWER(1+('CurrentPor-Rat Factor Movements'!D241+'CurrentPor-Rat Factor Movements'!I241)/100,2))*100</f>
        <v>9581.0097079530242</v>
      </c>
      <c r="F241">
        <f>Portfolio!B$5*'CurrentPor-Rat Factor Movements'!E241</f>
        <v>52143.895533915893</v>
      </c>
      <c r="G241">
        <f>Portfolio!B$6*'CurrentPor-Rat Factor Movements'!F241</f>
        <v>3696.2945087936532</v>
      </c>
      <c r="H241">
        <f>Portfolio!B$7*'CurrentPor-Rat Factor Movements'!J241</f>
        <v>2148.0998964419859</v>
      </c>
      <c r="I241">
        <f t="shared" si="6"/>
        <v>96491.74472015597</v>
      </c>
      <c r="J241">
        <f t="shared" si="7"/>
        <v>-1.4426832541939802</v>
      </c>
    </row>
    <row r="242" spans="1:10">
      <c r="A242" s="1">
        <v>45807</v>
      </c>
      <c r="B242">
        <f>(3/(1+('CurrentPor-Rat Factor Movements'!C242)/100)+103/POWER(1+('CurrentPor-Rat Factor Movements'!D242)/100,2))*100</f>
        <v>9708.662992369882</v>
      </c>
      <c r="C242">
        <f>(3/(1+('CurrentPor-Rat Factor Movements'!C242+'CurrentPor-Rat Factor Movements'!G242)/100)+103/POWER(1+('CurrentPor-Rat Factor Movements'!D242+'CurrentPor-Rat Factor Movements'!G242)/100,2))*100</f>
        <v>9616.0289229098107</v>
      </c>
      <c r="D242">
        <f>(3/(1+('CurrentPor-Rat Factor Movements'!C242+'CurrentPor-Rat Factor Movements'!H242)/100)+103/POWER(1+('CurrentPor-Rat Factor Movements'!D242+'CurrentPor-Rat Factor Movements'!H242)/100,2))*100</f>
        <v>9602.2988074246332</v>
      </c>
      <c r="E242">
        <f>(3/(1+('CurrentPor-Rat Factor Movements'!C242+'CurrentPor-Rat Factor Movements'!I242)/100)+103/POWER(1+('CurrentPor-Rat Factor Movements'!D242+'CurrentPor-Rat Factor Movements'!I242)/100,2))*100</f>
        <v>9582.5106325663455</v>
      </c>
      <c r="F242">
        <f>Portfolio!B$5*'CurrentPor-Rat Factor Movements'!E242</f>
        <v>52143.895533915893</v>
      </c>
      <c r="G242">
        <f>Portfolio!B$6*'CurrentPor-Rat Factor Movements'!F242</f>
        <v>3696.2945087936532</v>
      </c>
      <c r="H242">
        <f>Portfolio!B$7*'CurrentPor-Rat Factor Movements'!J242</f>
        <v>2148.0998964419859</v>
      </c>
      <c r="I242">
        <f t="shared" si="6"/>
        <v>96497.79129442219</v>
      </c>
      <c r="J242">
        <f t="shared" si="7"/>
        <v>2.6128742701839656</v>
      </c>
    </row>
    <row r="243" spans="1:10">
      <c r="A243" s="1">
        <v>45810</v>
      </c>
      <c r="B243">
        <f>(3/(1+('CurrentPor-Rat Factor Movements'!C243)/100)+103/POWER(1+('CurrentPor-Rat Factor Movements'!D243)/100,2))*100</f>
        <v>9706.6747632320621</v>
      </c>
      <c r="C243">
        <f>(3/(1+('CurrentPor-Rat Factor Movements'!C243+'CurrentPor-Rat Factor Movements'!G243)/100)+103/POWER(1+('CurrentPor-Rat Factor Movements'!D243+'CurrentPor-Rat Factor Movements'!G243)/100,2))*100</f>
        <v>9614.0694957586111</v>
      </c>
      <c r="D243">
        <f>(3/(1+('CurrentPor-Rat Factor Movements'!C243+'CurrentPor-Rat Factor Movements'!H243)/100)+103/POWER(1+('CurrentPor-Rat Factor Movements'!D243+'CurrentPor-Rat Factor Movements'!H243)/100,2))*100</f>
        <v>9600.3436371630432</v>
      </c>
      <c r="E243">
        <f>(3/(1+('CurrentPor-Rat Factor Movements'!C243+'CurrentPor-Rat Factor Movements'!I243)/100)+103/POWER(1+('CurrentPor-Rat Factor Movements'!D243+'CurrentPor-Rat Factor Movements'!I243)/100,2))*100</f>
        <v>9580.5615919261036</v>
      </c>
      <c r="F243">
        <f>Portfolio!B$5*'CurrentPor-Rat Factor Movements'!E243</f>
        <v>52143.895533915893</v>
      </c>
      <c r="G243">
        <f>Portfolio!B$6*'CurrentPor-Rat Factor Movements'!F243</f>
        <v>3696.2945087936532</v>
      </c>
      <c r="H243">
        <f>Portfolio!B$7*'CurrentPor-Rat Factor Movements'!J243</f>
        <v>2148.0998964419859</v>
      </c>
      <c r="I243">
        <f t="shared" si="6"/>
        <v>96489.939427231351</v>
      </c>
      <c r="J243">
        <f t="shared" si="7"/>
        <v>-0.57878269792126957</v>
      </c>
    </row>
    <row r="244" spans="1:10">
      <c r="A244" s="1">
        <v>45811</v>
      </c>
      <c r="B244">
        <f>(3/(1+('CurrentPor-Rat Factor Movements'!C244)/100)+103/POWER(1+('CurrentPor-Rat Factor Movements'!D244)/100,2))*100</f>
        <v>9708.4265547282121</v>
      </c>
      <c r="C244">
        <f>(3/(1+('CurrentPor-Rat Factor Movements'!C244+'CurrentPor-Rat Factor Movements'!G244)/100)+103/POWER(1+('CurrentPor-Rat Factor Movements'!D244+'CurrentPor-Rat Factor Movements'!G244)/100,2))*100</f>
        <v>9615.7959130064191</v>
      </c>
      <c r="D244">
        <f>(3/(1+('CurrentPor-Rat Factor Movements'!C244+'CurrentPor-Rat Factor Movements'!H244)/100)+103/POWER(1+('CurrentPor-Rat Factor Movements'!D244+'CurrentPor-Rat Factor Movements'!H244)/100,2))*100</f>
        <v>9602.0663041333864</v>
      </c>
      <c r="E244">
        <f>(3/(1+('CurrentPor-Rat Factor Movements'!C244+'CurrentPor-Rat Factor Movements'!I244)/100)+103/POWER(1+('CurrentPor-Rat Factor Movements'!D244+'CurrentPor-Rat Factor Movements'!I244)/100,2))*100</f>
        <v>9582.2788587598461</v>
      </c>
      <c r="F244">
        <f>Portfolio!B$5*'CurrentPor-Rat Factor Movements'!E244</f>
        <v>52143.895533915893</v>
      </c>
      <c r="G244">
        <f>Portfolio!B$6*'CurrentPor-Rat Factor Movements'!F244</f>
        <v>3696.2945087936532</v>
      </c>
      <c r="H244">
        <f>Portfolio!B$7*'CurrentPor-Rat Factor Movements'!J244</f>
        <v>2148.0998964419859</v>
      </c>
      <c r="I244">
        <f t="shared" si="6"/>
        <v>96496.8575697794</v>
      </c>
      <c r="J244">
        <f t="shared" si="7"/>
        <v>7.3197177541296696</v>
      </c>
    </row>
    <row r="245" spans="1:10">
      <c r="A245" s="1">
        <v>45812</v>
      </c>
      <c r="B245">
        <f>(3/(1+('CurrentPor-Rat Factor Movements'!C245)/100)+103/POWER(1+('CurrentPor-Rat Factor Movements'!D245)/100,2))*100</f>
        <v>9706.8681211728581</v>
      </c>
      <c r="C245">
        <f>(3/(1+('CurrentPor-Rat Factor Movements'!C245+'CurrentPor-Rat Factor Movements'!G245)/100)+103/POWER(1+('CurrentPor-Rat Factor Movements'!D245+'CurrentPor-Rat Factor Movements'!G245)/100,2))*100</f>
        <v>9614.2600884166841</v>
      </c>
      <c r="D245">
        <f>(3/(1+('CurrentPor-Rat Factor Movements'!C245+'CurrentPor-Rat Factor Movements'!H245)/100)+103/POWER(1+('CurrentPor-Rat Factor Movements'!D245+'CurrentPor-Rat Factor Movements'!H245)/100,2))*100</f>
        <v>9600.5338210865921</v>
      </c>
      <c r="E245">
        <f>(3/(1+('CurrentPor-Rat Factor Movements'!C245+'CurrentPor-Rat Factor Movements'!I245)/100)+103/POWER(1+('CurrentPor-Rat Factor Movements'!D245+'CurrentPor-Rat Factor Movements'!I245)/100,2))*100</f>
        <v>9580.7511872870455</v>
      </c>
      <c r="F245">
        <f>Portfolio!B$5*'CurrentPor-Rat Factor Movements'!E245</f>
        <v>52143.895533915893</v>
      </c>
      <c r="G245">
        <f>Portfolio!B$6*'CurrentPor-Rat Factor Movements'!F245</f>
        <v>3696.2945087936532</v>
      </c>
      <c r="H245">
        <f>Portfolio!B$7*'CurrentPor-Rat Factor Movements'!J245</f>
        <v>2148.0998964419859</v>
      </c>
      <c r="I245">
        <f t="shared" si="6"/>
        <v>96490.703157114724</v>
      </c>
      <c r="J245">
        <f t="shared" si="7"/>
        <v>-1.7866487140126992</v>
      </c>
    </row>
    <row r="246" spans="1:10">
      <c r="A246" s="1">
        <v>45813</v>
      </c>
      <c r="B246">
        <f>(3/(1+('CurrentPor-Rat Factor Movements'!C246)/100)+103/POWER(1+('CurrentPor-Rat Factor Movements'!D246)/100,2))*100</f>
        <v>9708.5659151827003</v>
      </c>
      <c r="C246">
        <f>(3/(1+('CurrentPor-Rat Factor Movements'!C246+'CurrentPor-Rat Factor Movements'!G246)/100)+103/POWER(1+('CurrentPor-Rat Factor Movements'!D246+'CurrentPor-Rat Factor Movements'!G246)/100,2))*100</f>
        <v>9615.9332891140784</v>
      </c>
      <c r="D246">
        <f>(3/(1+('CurrentPor-Rat Factor Movements'!C246+'CurrentPor-Rat Factor Movements'!H246)/100)+103/POWER(1+('CurrentPor-Rat Factor Movements'!D246+'CurrentPor-Rat Factor Movements'!H246)/100,2))*100</f>
        <v>9602.2033869289062</v>
      </c>
      <c r="E246">
        <f>(3/(1+('CurrentPor-Rat Factor Movements'!C246+'CurrentPor-Rat Factor Movements'!I246)/100)+103/POWER(1+('CurrentPor-Rat Factor Movements'!D246+'CurrentPor-Rat Factor Movements'!I246)/100,2))*100</f>
        <v>9582.415519193426</v>
      </c>
      <c r="F246">
        <f>Portfolio!B$5*'CurrentPor-Rat Factor Movements'!E246</f>
        <v>52143.895533915893</v>
      </c>
      <c r="G246">
        <f>Portfolio!B$6*'CurrentPor-Rat Factor Movements'!F246</f>
        <v>3696.2945087936532</v>
      </c>
      <c r="H246">
        <f>Portfolio!B$7*'CurrentPor-Rat Factor Movements'!J246</f>
        <v>2148.0998964419859</v>
      </c>
      <c r="I246">
        <f t="shared" si="6"/>
        <v>96497.408049570644</v>
      </c>
      <c r="J246">
        <f t="shared" si="7"/>
        <v>10.140346065076301</v>
      </c>
    </row>
    <row r="247" spans="1:10">
      <c r="A247" s="1">
        <v>45814</v>
      </c>
      <c r="B247">
        <f>(3/(1+('CurrentPor-Rat Factor Movements'!C247)/100)+103/POWER(1+('CurrentPor-Rat Factor Movements'!D247)/100,2))*100</f>
        <v>9707.5783473796691</v>
      </c>
      <c r="C247">
        <f>(3/(1+('CurrentPor-Rat Factor Movements'!C247+'CurrentPor-Rat Factor Movements'!G247)/100)+103/POWER(1+('CurrentPor-Rat Factor Movements'!D247+'CurrentPor-Rat Factor Movements'!G247)/100,2))*100</f>
        <v>9614.9600572792715</v>
      </c>
      <c r="D247">
        <f>(3/(1+('CurrentPor-Rat Factor Movements'!C247+'CurrentPor-Rat Factor Movements'!H247)/100)+103/POWER(1+('CurrentPor-Rat Factor Movements'!D247+'CurrentPor-Rat Factor Movements'!H247)/100,2))*100</f>
        <v>9601.2322739031424</v>
      </c>
      <c r="E247">
        <f>(3/(1+('CurrentPor-Rat Factor Movements'!C247+'CurrentPor-Rat Factor Movements'!I247)/100)+103/POWER(1+('CurrentPor-Rat Factor Movements'!D247+'CurrentPor-Rat Factor Movements'!I247)/100,2))*100</f>
        <v>9581.4474570920538</v>
      </c>
      <c r="F247">
        <f>Portfolio!B$5*'CurrentPor-Rat Factor Movements'!E247</f>
        <v>52143.895533915893</v>
      </c>
      <c r="G247">
        <f>Portfolio!B$6*'CurrentPor-Rat Factor Movements'!F247</f>
        <v>3696.2945087936532</v>
      </c>
      <c r="H247">
        <f>Portfolio!B$7*'CurrentPor-Rat Factor Movements'!J247</f>
        <v>2148.0998964419859</v>
      </c>
      <c r="I247">
        <f t="shared" si="6"/>
        <v>96493.508074805679</v>
      </c>
      <c r="J247">
        <f t="shared" si="7"/>
        <v>5.6787155196652748</v>
      </c>
    </row>
    <row r="248" spans="1:10">
      <c r="A248" s="1">
        <v>45817</v>
      </c>
      <c r="B248">
        <f>(3/(1+('CurrentPor-Rat Factor Movements'!C248)/100)+103/POWER(1+('CurrentPor-Rat Factor Movements'!D248)/100,2))*100</f>
        <v>9707.0181301438442</v>
      </c>
      <c r="C248">
        <f>(3/(1+('CurrentPor-Rat Factor Movements'!C248+'CurrentPor-Rat Factor Movements'!G248)/100)+103/POWER(1+('CurrentPor-Rat Factor Movements'!D248+'CurrentPor-Rat Factor Movements'!G248)/100,2))*100</f>
        <v>9614.4078527106467</v>
      </c>
      <c r="D248">
        <f>(3/(1+('CurrentPor-Rat Factor Movements'!C248+'CurrentPor-Rat Factor Movements'!H248)/100)+103/POWER(1+('CurrentPor-Rat Factor Movements'!D248+'CurrentPor-Rat Factor Movements'!H248)/100,2))*100</f>
        <v>9600.6812536804518</v>
      </c>
      <c r="E248">
        <f>(3/(1+('CurrentPor-Rat Factor Movements'!C248+'CurrentPor-Rat Factor Movements'!I248)/100)+103/POWER(1+('CurrentPor-Rat Factor Movements'!D248+'CurrentPor-Rat Factor Movements'!I248)/100,2))*100</f>
        <v>9580.8981422833622</v>
      </c>
      <c r="F248">
        <f>Portfolio!B$5*'CurrentPor-Rat Factor Movements'!E248</f>
        <v>52143.895533915893</v>
      </c>
      <c r="G248">
        <f>Portfolio!B$6*'CurrentPor-Rat Factor Movements'!F248</f>
        <v>3696.2945087936532</v>
      </c>
      <c r="H248">
        <f>Portfolio!B$7*'CurrentPor-Rat Factor Movements'!J248</f>
        <v>2148.0998964419859</v>
      </c>
      <c r="I248">
        <f t="shared" si="6"/>
        <v>96491.295317969823</v>
      </c>
      <c r="J248">
        <f t="shared" si="7"/>
        <v>-5.4545671359519474</v>
      </c>
    </row>
    <row r="249" spans="1:10">
      <c r="A249" s="1">
        <v>45818</v>
      </c>
      <c r="B249">
        <f>(3/(1+('CurrentPor-Rat Factor Movements'!C249)/100)+103/POWER(1+('CurrentPor-Rat Factor Movements'!D249)/100,2))*100</f>
        <v>9706.7095265910666</v>
      </c>
      <c r="C249">
        <f>(3/(1+('CurrentPor-Rat Factor Movements'!C249+'CurrentPor-Rat Factor Movements'!G249)/100)+103/POWER(1+('CurrentPor-Rat Factor Movements'!D249+'CurrentPor-Rat Factor Movements'!G249)/100,2))*100</f>
        <v>9614.1037675739717</v>
      </c>
      <c r="D249">
        <f>(3/(1+('CurrentPor-Rat Factor Movements'!C249+'CurrentPor-Rat Factor Movements'!H249)/100)+103/POWER(1+('CurrentPor-Rat Factor Movements'!D249+'CurrentPor-Rat Factor Movements'!H249)/100,2))*100</f>
        <v>9600.3778363189231</v>
      </c>
      <c r="E249">
        <f>(3/(1+('CurrentPor-Rat Factor Movements'!C249+'CurrentPor-Rat Factor Movements'!I249)/100)+103/POWER(1+('CurrentPor-Rat Factor Movements'!D249+'CurrentPor-Rat Factor Movements'!I249)/100,2))*100</f>
        <v>9580.5956864528471</v>
      </c>
      <c r="F249">
        <f>Portfolio!B$5*'CurrentPor-Rat Factor Movements'!E249</f>
        <v>52143.895533915893</v>
      </c>
      <c r="G249">
        <f>Portfolio!B$6*'CurrentPor-Rat Factor Movements'!F249</f>
        <v>3696.2945087936532</v>
      </c>
      <c r="H249">
        <f>Portfolio!B$7*'CurrentPor-Rat Factor Movements'!J249</f>
        <v>2148.0998964419859</v>
      </c>
      <c r="I249">
        <f t="shared" si="6"/>
        <v>96490.07675608834</v>
      </c>
      <c r="J249">
        <f t="shared" si="7"/>
        <v>-3.2590079579676967</v>
      </c>
    </row>
    <row r="250" spans="1:10">
      <c r="A250" s="1">
        <v>45819</v>
      </c>
      <c r="B250">
        <f>(3/(1+('CurrentPor-Rat Factor Movements'!C250)/100)+103/POWER(1+('CurrentPor-Rat Factor Movements'!D250)/100,2))*100</f>
        <v>9706.3248378719436</v>
      </c>
      <c r="C250">
        <f>(3/(1+('CurrentPor-Rat Factor Movements'!C250+'CurrentPor-Rat Factor Movements'!G250)/100)+103/POWER(1+('CurrentPor-Rat Factor Movements'!D250+'CurrentPor-Rat Factor Movements'!G250)/100,2))*100</f>
        <v>9613.7246784264353</v>
      </c>
      <c r="D250">
        <f>(3/(1+('CurrentPor-Rat Factor Movements'!C250+'CurrentPor-Rat Factor Movements'!H250)/100)+103/POWER(1+('CurrentPor-Rat Factor Movements'!D250+'CurrentPor-Rat Factor Movements'!H250)/100,2))*100</f>
        <v>9599.9995747573485</v>
      </c>
      <c r="E250">
        <f>(3/(1+('CurrentPor-Rat Factor Movements'!C250+'CurrentPor-Rat Factor Movements'!I250)/100)+103/POWER(1+('CurrentPor-Rat Factor Movements'!D250+'CurrentPor-Rat Factor Movements'!I250)/100,2))*100</f>
        <v>9580.2186165466846</v>
      </c>
      <c r="F250">
        <f>Portfolio!B$5*'CurrentPor-Rat Factor Movements'!E250</f>
        <v>52143.895533915893</v>
      </c>
      <c r="G250">
        <f>Portfolio!B$6*'CurrentPor-Rat Factor Movements'!F250</f>
        <v>3696.2945087936532</v>
      </c>
      <c r="H250">
        <f>Portfolio!B$7*'CurrentPor-Rat Factor Movements'!J250</f>
        <v>2148.0998964419859</v>
      </c>
      <c r="I250">
        <f t="shared" si="6"/>
        <v>96488.55764675395</v>
      </c>
      <c r="J250">
        <f t="shared" si="7"/>
        <v>-3.7324045689310879</v>
      </c>
    </row>
    <row r="251" spans="1:10">
      <c r="A251" s="1">
        <v>45820</v>
      </c>
      <c r="B251">
        <f>(3/(1+('CurrentPor-Rat Factor Movements'!C251)/100)+103/POWER(1+('CurrentPor-Rat Factor Movements'!D251)/100,2))*100</f>
        <v>9708.0042099040475</v>
      </c>
      <c r="C251">
        <f>(3/(1+('CurrentPor-Rat Factor Movements'!C251+'CurrentPor-Rat Factor Movements'!G251)/100)+103/POWER(1+('CurrentPor-Rat Factor Movements'!D251+'CurrentPor-Rat Factor Movements'!G251)/100,2))*100</f>
        <v>9615.3796684987956</v>
      </c>
      <c r="D251">
        <f>(3/(1+('CurrentPor-Rat Factor Movements'!C251+'CurrentPor-Rat Factor Movements'!H251)/100)+103/POWER(1+('CurrentPor-Rat Factor Movements'!D251+'CurrentPor-Rat Factor Movements'!H251)/100,2))*100</f>
        <v>9601.6509612580066</v>
      </c>
      <c r="E251">
        <f>(3/(1+('CurrentPor-Rat Factor Movements'!C251+'CurrentPor-Rat Factor Movements'!I251)/100)+103/POWER(1+('CurrentPor-Rat Factor Movements'!D251+'CurrentPor-Rat Factor Movements'!I251)/100,2))*100</f>
        <v>9581.8648141781741</v>
      </c>
      <c r="F251">
        <f>Portfolio!B$5*'CurrentPor-Rat Factor Movements'!E251</f>
        <v>52143.895533915893</v>
      </c>
      <c r="G251">
        <f>Portfolio!B$6*'CurrentPor-Rat Factor Movements'!F251</f>
        <v>3696.2945087936532</v>
      </c>
      <c r="H251">
        <f>Portfolio!B$7*'CurrentPor-Rat Factor Movements'!J251</f>
        <v>2148.0998964419859</v>
      </c>
      <c r="I251">
        <f t="shared" si="6"/>
        <v>96495.189592990544</v>
      </c>
      <c r="J251">
        <f t="shared" si="7"/>
        <v>3.4448728345741984</v>
      </c>
    </row>
    <row r="252" spans="1:10">
      <c r="A252" s="1">
        <v>45821</v>
      </c>
      <c r="B252">
        <f>(3/(1+('CurrentPor-Rat Factor Movements'!C252)/100)+103/POWER(1+('CurrentPor-Rat Factor Movements'!D252)/100,2))*100</f>
        <v>9707.5388269935156</v>
      </c>
      <c r="C252">
        <f>(3/(1+('CurrentPor-Rat Factor Movements'!C252+'CurrentPor-Rat Factor Movements'!G252)/100)+103/POWER(1+('CurrentPor-Rat Factor Movements'!D252+'CurrentPor-Rat Factor Movements'!G252)/100,2))*100</f>
        <v>9614.9210481187365</v>
      </c>
      <c r="D252">
        <f>(3/(1+('CurrentPor-Rat Factor Movements'!C252+'CurrentPor-Rat Factor Movements'!H252)/100)+103/POWER(1+('CurrentPor-Rat Factor Movements'!D252+'CurrentPor-Rat Factor Movements'!H252)/100,2))*100</f>
        <v>9601.1933403521562</v>
      </c>
      <c r="E252">
        <f>(3/(1+('CurrentPor-Rat Factor Movements'!C252+'CurrentPor-Rat Factor Movements'!I252)/100)+103/POWER(1+('CurrentPor-Rat Factor Movements'!D252+'CurrentPor-Rat Factor Movements'!I252)/100,2))*100</f>
        <v>9581.4086324368436</v>
      </c>
      <c r="F252">
        <f>Portfolio!B$5*'CurrentPor-Rat Factor Movements'!E252</f>
        <v>52143.895533915893</v>
      </c>
      <c r="G252">
        <f>Portfolio!B$6*'CurrentPor-Rat Factor Movements'!F252</f>
        <v>3696.2945087936532</v>
      </c>
      <c r="H252">
        <f>Portfolio!B$7*'CurrentPor-Rat Factor Movements'!J252</f>
        <v>2148.0998964419859</v>
      </c>
      <c r="I252">
        <f t="shared" ref="I252:I263" si="8">SUM(B252:H252)</f>
        <v>96493.351787052772</v>
      </c>
      <c r="J252">
        <f t="shared" ref="J252:J263" si="9">I252-I242</f>
        <v>-4.4395073694176972</v>
      </c>
    </row>
    <row r="253" spans="1:10">
      <c r="A253" s="1">
        <v>45824</v>
      </c>
      <c r="B253">
        <f>(3/(1+('CurrentPor-Rat Factor Movements'!C253)/100)+103/POWER(1+('CurrentPor-Rat Factor Movements'!D253)/100,2))*100</f>
        <v>9707.7793320152268</v>
      </c>
      <c r="C253">
        <f>(3/(1+('CurrentPor-Rat Factor Movements'!C253+'CurrentPor-Rat Factor Movements'!G253)/100)+103/POWER(1+('CurrentPor-Rat Factor Movements'!D253+'CurrentPor-Rat Factor Movements'!G253)/100,2))*100</f>
        <v>9615.1581217203548</v>
      </c>
      <c r="D253">
        <f>(3/(1+('CurrentPor-Rat Factor Movements'!C253+'CurrentPor-Rat Factor Movements'!H253)/100)+103/POWER(1+('CurrentPor-Rat Factor Movements'!D253+'CurrentPor-Rat Factor Movements'!H253)/100,2))*100</f>
        <v>9601.429906751202</v>
      </c>
      <c r="E253">
        <f>(3/(1+('CurrentPor-Rat Factor Movements'!C253+'CurrentPor-Rat Factor Movements'!I253)/100)+103/POWER(1+('CurrentPor-Rat Factor Movements'!D253+'CurrentPor-Rat Factor Movements'!I253)/100,2))*100</f>
        <v>9581.6444684798407</v>
      </c>
      <c r="F253">
        <f>Portfolio!B$5*'CurrentPor-Rat Factor Movements'!E253</f>
        <v>52143.895533915893</v>
      </c>
      <c r="G253">
        <f>Portfolio!B$6*'CurrentPor-Rat Factor Movements'!F253</f>
        <v>3696.2945087936532</v>
      </c>
      <c r="H253">
        <f>Portfolio!B$7*'CurrentPor-Rat Factor Movements'!J253</f>
        <v>2148.0998964419859</v>
      </c>
      <c r="I253">
        <f t="shared" si="8"/>
        <v>96494.301768118152</v>
      </c>
      <c r="J253">
        <f t="shared" si="9"/>
        <v>4.3623408868006663</v>
      </c>
    </row>
    <row r="254" spans="1:10">
      <c r="A254" s="1">
        <v>45825</v>
      </c>
      <c r="B254">
        <f>(3/(1+('CurrentPor-Rat Factor Movements'!C254)/100)+103/POWER(1+('CurrentPor-Rat Factor Movements'!D254)/100,2))*100</f>
        <v>9709.1784880828363</v>
      </c>
      <c r="C254">
        <f>(3/(1+('CurrentPor-Rat Factor Movements'!C254+'CurrentPor-Rat Factor Movements'!G254)/100)+103/POWER(1+('CurrentPor-Rat Factor Movements'!D254+'CurrentPor-Rat Factor Movements'!G254)/100,2))*100</f>
        <v>9616.5369274826462</v>
      </c>
      <c r="D254">
        <f>(3/(1+('CurrentPor-Rat Factor Movements'!C254+'CurrentPor-Rat Factor Movements'!H254)/100)+103/POWER(1+('CurrentPor-Rat Factor Movements'!D254+'CurrentPor-Rat Factor Movements'!H254)/100,2))*100</f>
        <v>9602.8057048384799</v>
      </c>
      <c r="E254">
        <f>(3/(1+('CurrentPor-Rat Factor Movements'!C254+'CurrentPor-Rat Factor Movements'!I254)/100)+103/POWER(1+('CurrentPor-Rat Factor Movements'!D254+'CurrentPor-Rat Factor Movements'!I254)/100,2))*100</f>
        <v>9583.015935758347</v>
      </c>
      <c r="F254">
        <f>Portfolio!B$5*'CurrentPor-Rat Factor Movements'!E254</f>
        <v>52143.895533915893</v>
      </c>
      <c r="G254">
        <f>Portfolio!B$6*'CurrentPor-Rat Factor Movements'!F254</f>
        <v>3696.2945087936532</v>
      </c>
      <c r="H254">
        <f>Portfolio!B$7*'CurrentPor-Rat Factor Movements'!J254</f>
        <v>2148.0998964419859</v>
      </c>
      <c r="I254">
        <f t="shared" si="8"/>
        <v>96499.826995313852</v>
      </c>
      <c r="J254">
        <f t="shared" si="9"/>
        <v>2.9694255344511475</v>
      </c>
    </row>
    <row r="255" spans="1:10">
      <c r="A255" s="1">
        <v>45826</v>
      </c>
      <c r="B255">
        <f>(3/(1+('CurrentPor-Rat Factor Movements'!C255)/100)+103/POWER(1+('CurrentPor-Rat Factor Movements'!D255)/100,2))*100</f>
        <v>9707.8652712248713</v>
      </c>
      <c r="C255">
        <f>(3/(1+('CurrentPor-Rat Factor Movements'!C255+'CurrentPor-Rat Factor Movements'!G255)/100)+103/POWER(1+('CurrentPor-Rat Factor Movements'!D255+'CurrentPor-Rat Factor Movements'!G255)/100,2))*100</f>
        <v>9615.2427062931783</v>
      </c>
      <c r="D255">
        <f>(3/(1+('CurrentPor-Rat Factor Movements'!C255+'CurrentPor-Rat Factor Movements'!H255)/100)+103/POWER(1+('CurrentPor-Rat Factor Movements'!D255+'CurrentPor-Rat Factor Movements'!H255)/100,2))*100</f>
        <v>9601.5142912023966</v>
      </c>
      <c r="E255">
        <f>(3/(1+('CurrentPor-Rat Factor Movements'!C255+'CurrentPor-Rat Factor Movements'!I255)/100)+103/POWER(1+('CurrentPor-Rat Factor Movements'!D255+'CurrentPor-Rat Factor Movements'!I255)/100,2))*100</f>
        <v>9581.7285648118013</v>
      </c>
      <c r="F255">
        <f>Portfolio!B$5*'CurrentPor-Rat Factor Movements'!E255</f>
        <v>52143.895533915893</v>
      </c>
      <c r="G255">
        <f>Portfolio!B$6*'CurrentPor-Rat Factor Movements'!F255</f>
        <v>3696.2945087936532</v>
      </c>
      <c r="H255">
        <f>Portfolio!B$7*'CurrentPor-Rat Factor Movements'!J255</f>
        <v>2148.0998964419859</v>
      </c>
      <c r="I255">
        <f t="shared" si="8"/>
        <v>96494.640772683764</v>
      </c>
      <c r="J255">
        <f t="shared" si="9"/>
        <v>3.9376155690406449</v>
      </c>
    </row>
    <row r="256" spans="1:10">
      <c r="A256" s="1">
        <v>45827</v>
      </c>
      <c r="B256">
        <f>(3/(1+('CurrentPor-Rat Factor Movements'!C256)/100)+103/POWER(1+('CurrentPor-Rat Factor Movements'!D256)/100,2))*100</f>
        <v>9708.6251692650349</v>
      </c>
      <c r="C256">
        <f>(3/(1+('CurrentPor-Rat Factor Movements'!C256+'CurrentPor-Rat Factor Movements'!G256)/100)+103/POWER(1+('CurrentPor-Rat Factor Movements'!D256+'CurrentPor-Rat Factor Movements'!G256)/100,2))*100</f>
        <v>9615.9916984960582</v>
      </c>
      <c r="D256">
        <f>(3/(1+('CurrentPor-Rat Factor Movements'!C256+'CurrentPor-Rat Factor Movements'!H256)/100)+103/POWER(1+('CurrentPor-Rat Factor Movements'!D256+'CurrentPor-Rat Factor Movements'!H256)/100,2))*100</f>
        <v>9602.2616714540745</v>
      </c>
      <c r="E256">
        <f>(3/(1+('CurrentPor-Rat Factor Movements'!C256+'CurrentPor-Rat Factor Movements'!I256)/100)+103/POWER(1+('CurrentPor-Rat Factor Movements'!D256+'CurrentPor-Rat Factor Movements'!I256)/100,2))*100</f>
        <v>9582.4736239283866</v>
      </c>
      <c r="F256">
        <f>Portfolio!B$5*'CurrentPor-Rat Factor Movements'!E256</f>
        <v>52143.895533915893</v>
      </c>
      <c r="G256">
        <f>Portfolio!B$6*'CurrentPor-Rat Factor Movements'!F256</f>
        <v>3696.2945087936532</v>
      </c>
      <c r="H256">
        <f>Portfolio!B$7*'CurrentPor-Rat Factor Movements'!J256</f>
        <v>2148.0998964419859</v>
      </c>
      <c r="I256">
        <f t="shared" si="8"/>
        <v>96497.642102295082</v>
      </c>
      <c r="J256">
        <f t="shared" si="9"/>
        <v>0.23405272443778813</v>
      </c>
    </row>
    <row r="257" spans="1:10">
      <c r="A257" s="1">
        <v>45828</v>
      </c>
      <c r="B257">
        <f>(3/(1+('CurrentPor-Rat Factor Movements'!C257)/100)+103/POWER(1+('CurrentPor-Rat Factor Movements'!D257)/100,2))*100</f>
        <v>9707.1218610379583</v>
      </c>
      <c r="C257">
        <f>(3/(1+('CurrentPor-Rat Factor Movements'!C257+'CurrentPor-Rat Factor Movements'!G257)/100)+103/POWER(1+('CurrentPor-Rat Factor Movements'!D257+'CurrentPor-Rat Factor Movements'!G257)/100,2))*100</f>
        <v>9614.5101843864031</v>
      </c>
      <c r="D257">
        <f>(3/(1+('CurrentPor-Rat Factor Movements'!C257+'CurrentPor-Rat Factor Movements'!H257)/100)+103/POWER(1+('CurrentPor-Rat Factor Movements'!D257+'CurrentPor-Rat Factor Movements'!H257)/100,2))*100</f>
        <v>9600.7833784674422</v>
      </c>
      <c r="E257">
        <f>(3/(1+('CurrentPor-Rat Factor Movements'!C257+'CurrentPor-Rat Factor Movements'!I257)/100)+103/POWER(1+('CurrentPor-Rat Factor Movements'!D257+'CurrentPor-Rat Factor Movements'!I257)/100,2))*100</f>
        <v>9580.9999691256489</v>
      </c>
      <c r="F257">
        <f>Portfolio!B$5*'CurrentPor-Rat Factor Movements'!E257</f>
        <v>52143.895533915893</v>
      </c>
      <c r="G257">
        <f>Portfolio!B$6*'CurrentPor-Rat Factor Movements'!F257</f>
        <v>3696.2945087936532</v>
      </c>
      <c r="H257">
        <f>Portfolio!B$7*'CurrentPor-Rat Factor Movements'!J257</f>
        <v>2148.0998964419859</v>
      </c>
      <c r="I257">
        <f t="shared" si="8"/>
        <v>96491.705332168975</v>
      </c>
      <c r="J257">
        <f t="shared" si="9"/>
        <v>-1.8027426367043518</v>
      </c>
    </row>
    <row r="258" spans="1:10">
      <c r="A258" s="1">
        <v>45831</v>
      </c>
      <c r="B258">
        <f>(3/(1+('CurrentPor-Rat Factor Movements'!C258)/100)+103/POWER(1+('CurrentPor-Rat Factor Movements'!D258)/100,2))*100</f>
        <v>9707.2980302114865</v>
      </c>
      <c r="C258">
        <f>(3/(1+('CurrentPor-Rat Factor Movements'!C258+'CurrentPor-Rat Factor Movements'!G258)/100)+103/POWER(1+('CurrentPor-Rat Factor Movements'!D258+'CurrentPor-Rat Factor Movements'!G258)/100,2))*100</f>
        <v>9614.6836948157506</v>
      </c>
      <c r="D258">
        <f>(3/(1+('CurrentPor-Rat Factor Movements'!C258+'CurrentPor-Rat Factor Movements'!H258)/100)+103/POWER(1+('CurrentPor-Rat Factor Movements'!D258+'CurrentPor-Rat Factor Movements'!H258)/100,2))*100</f>
        <v>9600.9564960275238</v>
      </c>
      <c r="E258">
        <f>(3/(1+('CurrentPor-Rat Factor Movements'!C258+'CurrentPor-Rat Factor Movements'!I258)/100)+103/POWER(1+('CurrentPor-Rat Factor Movements'!D258+'CurrentPor-Rat Factor Movements'!I258)/100,2))*100</f>
        <v>9581.1725210222994</v>
      </c>
      <c r="F258">
        <f>Portfolio!B$5*'CurrentPor-Rat Factor Movements'!E258</f>
        <v>52143.895533915893</v>
      </c>
      <c r="G258">
        <f>Portfolio!B$6*'CurrentPor-Rat Factor Movements'!F258</f>
        <v>3696.2945087936532</v>
      </c>
      <c r="H258">
        <f>Portfolio!B$7*'CurrentPor-Rat Factor Movements'!J258</f>
        <v>2148.0998964419859</v>
      </c>
      <c r="I258">
        <f t="shared" si="8"/>
        <v>96492.400681228595</v>
      </c>
      <c r="J258">
        <f t="shared" si="9"/>
        <v>1.1053632587718312</v>
      </c>
    </row>
    <row r="259" spans="1:10">
      <c r="A259" s="1">
        <v>45832</v>
      </c>
      <c r="B259">
        <f>(3/(1+('CurrentPor-Rat Factor Movements'!C259)/100)+103/POWER(1+('CurrentPor-Rat Factor Movements'!D259)/100,2))*100</f>
        <v>9708.007901782461</v>
      </c>
      <c r="C259">
        <f>(3/(1+('CurrentPor-Rat Factor Movements'!C259+'CurrentPor-Rat Factor Movements'!G259)/100)+103/POWER(1+('CurrentPor-Rat Factor Movements'!D259+'CurrentPor-Rat Factor Movements'!G259)/100,2))*100</f>
        <v>9615.3833044861931</v>
      </c>
      <c r="D259">
        <f>(3/(1+('CurrentPor-Rat Factor Movements'!C259+'CurrentPor-Rat Factor Movements'!H259)/100)+103/POWER(1+('CurrentPor-Rat Factor Movements'!D259+'CurrentPor-Rat Factor Movements'!H259)/100,2))*100</f>
        <v>9601.6545889868139</v>
      </c>
      <c r="E259">
        <f>(3/(1+('CurrentPor-Rat Factor Movements'!C259+'CurrentPor-Rat Factor Movements'!I259)/100)+103/POWER(1+('CurrentPor-Rat Factor Movements'!D259+'CurrentPor-Rat Factor Movements'!I259)/100,2))*100</f>
        <v>9581.8684300161076</v>
      </c>
      <c r="F259">
        <f>Portfolio!B$5*'CurrentPor-Rat Factor Movements'!E259</f>
        <v>52143.895533915893</v>
      </c>
      <c r="G259">
        <f>Portfolio!B$6*'CurrentPor-Rat Factor Movements'!F259</f>
        <v>3696.2945087936532</v>
      </c>
      <c r="H259">
        <f>Portfolio!B$7*'CurrentPor-Rat Factor Movements'!J259</f>
        <v>2148.0998964419859</v>
      </c>
      <c r="I259">
        <f t="shared" si="8"/>
        <v>96495.204164423107</v>
      </c>
      <c r="J259">
        <f t="shared" si="9"/>
        <v>5.1274083347670967</v>
      </c>
    </row>
    <row r="260" spans="1:10">
      <c r="A260" s="1">
        <v>45833</v>
      </c>
      <c r="B260">
        <f>(3/(1+('CurrentPor-Rat Factor Movements'!C260)/100)+103/POWER(1+('CurrentPor-Rat Factor Movements'!D260)/100,2))*100</f>
        <v>9706.9293790304291</v>
      </c>
      <c r="C260">
        <f>(3/(1+('CurrentPor-Rat Factor Movements'!C260+'CurrentPor-Rat Factor Movements'!G260)/100)+103/POWER(1+('CurrentPor-Rat Factor Movements'!D260+'CurrentPor-Rat Factor Movements'!G260)/100,2))*100</f>
        <v>9614.3203610278888</v>
      </c>
      <c r="D260">
        <f>(3/(1+('CurrentPor-Rat Factor Movements'!C260+'CurrentPor-Rat Factor Movements'!H260)/100)+103/POWER(1+('CurrentPor-Rat Factor Movements'!D260+'CurrentPor-Rat Factor Movements'!H260)/100,2))*100</f>
        <v>9600.5939481615715</v>
      </c>
      <c r="E260">
        <f>(3/(1+('CurrentPor-Rat Factor Movements'!C260+'CurrentPor-Rat Factor Movements'!I260)/100)+103/POWER(1+('CurrentPor-Rat Factor Movements'!D260+'CurrentPor-Rat Factor Movements'!I260)/100,2))*100</f>
        <v>9580.8111048373794</v>
      </c>
      <c r="F260">
        <f>Portfolio!B$5*'CurrentPor-Rat Factor Movements'!E260</f>
        <v>52143.895533915893</v>
      </c>
      <c r="G260">
        <f>Portfolio!B$6*'CurrentPor-Rat Factor Movements'!F260</f>
        <v>3696.2945087936532</v>
      </c>
      <c r="H260">
        <f>Portfolio!B$7*'CurrentPor-Rat Factor Movements'!J260</f>
        <v>2148.0998964419859</v>
      </c>
      <c r="I260">
        <f t="shared" si="8"/>
        <v>96490.944732208809</v>
      </c>
      <c r="J260">
        <f t="shared" si="9"/>
        <v>2.3870854548586067</v>
      </c>
    </row>
    <row r="261" spans="1:10">
      <c r="A261" s="1">
        <v>45834</v>
      </c>
      <c r="B261">
        <f>(3/(1+('CurrentPor-Rat Factor Movements'!C261)/100)+103/POWER(1+('CurrentPor-Rat Factor Movements'!D261)/100,2))*100</f>
        <v>9708.1517306629376</v>
      </c>
      <c r="C261">
        <f>(3/(1+('CurrentPor-Rat Factor Movements'!C261+'CurrentPor-Rat Factor Movements'!G261)/100)+103/POWER(1+('CurrentPor-Rat Factor Movements'!D261+'CurrentPor-Rat Factor Movements'!G261)/100,2))*100</f>
        <v>9615.5250625700137</v>
      </c>
      <c r="D261">
        <f>(3/(1+('CurrentPor-Rat Factor Movements'!C261+'CurrentPor-Rat Factor Movements'!H261)/100)+103/POWER(1+('CurrentPor-Rat Factor Movements'!D261+'CurrentPor-Rat Factor Movements'!H261)/100,2))*100</f>
        <v>9601.7960409994466</v>
      </c>
      <c r="E261">
        <f>(3/(1+('CurrentPor-Rat Factor Movements'!C261+'CurrentPor-Rat Factor Movements'!I261)/100)+103/POWER(1+('CurrentPor-Rat Factor Movements'!D261+'CurrentPor-Rat Factor Movements'!I261)/100,2))*100</f>
        <v>9582.0094413029346</v>
      </c>
      <c r="F261">
        <f>Portfolio!B$5*'CurrentPor-Rat Factor Movements'!E261</f>
        <v>52143.895533915893</v>
      </c>
      <c r="G261">
        <f>Portfolio!B$6*'CurrentPor-Rat Factor Movements'!F261</f>
        <v>3696.2945087936532</v>
      </c>
      <c r="H261">
        <f>Portfolio!B$7*'CurrentPor-Rat Factor Movements'!J261</f>
        <v>2148.0998964419859</v>
      </c>
      <c r="I261">
        <f t="shared" si="8"/>
        <v>96495.772214686862</v>
      </c>
      <c r="J261">
        <f t="shared" si="9"/>
        <v>0.58262169631780125</v>
      </c>
    </row>
    <row r="262" spans="1:10">
      <c r="A262" s="1">
        <v>45835</v>
      </c>
      <c r="B262">
        <f>(3/(1+('CurrentPor-Rat Factor Movements'!C262)/100)+103/POWER(1+('CurrentPor-Rat Factor Movements'!D262)/100,2))*100</f>
        <v>9706.8057432695787</v>
      </c>
      <c r="C262">
        <f>(3/(1+('CurrentPor-Rat Factor Movements'!C262+'CurrentPor-Rat Factor Movements'!G262)/100)+103/POWER(1+('CurrentPor-Rat Factor Movements'!D262+'CurrentPor-Rat Factor Movements'!G262)/100,2))*100</f>
        <v>9614.1985764193996</v>
      </c>
      <c r="D262">
        <f>(3/(1+('CurrentPor-Rat Factor Movements'!C262+'CurrentPor-Rat Factor Movements'!H262)/100)+103/POWER(1+('CurrentPor-Rat Factor Movements'!D262+'CurrentPor-Rat Factor Movements'!H262)/100,2))*100</f>
        <v>9600.4724371004177</v>
      </c>
      <c r="E262">
        <f>(3/(1+('CurrentPor-Rat Factor Movements'!C262+'CurrentPor-Rat Factor Movements'!I262)/100)+103/POWER(1+('CurrentPor-Rat Factor Movements'!D262+'CurrentPor-Rat Factor Movements'!I262)/100,2))*100</f>
        <v>9580.6899876422431</v>
      </c>
      <c r="F262">
        <f>Portfolio!B$5*'CurrentPor-Rat Factor Movements'!E262</f>
        <v>52143.895533915893</v>
      </c>
      <c r="G262">
        <f>Portfolio!B$6*'CurrentPor-Rat Factor Movements'!F262</f>
        <v>3696.2945087936532</v>
      </c>
      <c r="H262">
        <f>Portfolio!B$7*'CurrentPor-Rat Factor Movements'!J262</f>
        <v>2148.0998964419859</v>
      </c>
      <c r="I262">
        <f t="shared" si="8"/>
        <v>96490.456683583165</v>
      </c>
      <c r="J262">
        <f t="shared" si="9"/>
        <v>-2.8951034696074203</v>
      </c>
    </row>
    <row r="263" spans="1:10">
      <c r="A263" s="1">
        <v>45838</v>
      </c>
      <c r="B263">
        <f>(3/(1+('CurrentPor-Rat Factor Movements'!C263)/100)+103/POWER(1+('CurrentPor-Rat Factor Movements'!D263)/100,2))*100</f>
        <v>9707.0730079417535</v>
      </c>
      <c r="C263">
        <f>(3/(1+('CurrentPor-Rat Factor Movements'!C263+'CurrentPor-Rat Factor Movements'!G263)/100)+103/POWER(1+('CurrentPor-Rat Factor Movements'!D263+'CurrentPor-Rat Factor Movements'!G263)/100,2))*100</f>
        <v>9614.462037139956</v>
      </c>
      <c r="D263">
        <f>(3/(1+('CurrentPor-Rat Factor Movements'!C263+'CurrentPor-Rat Factor Movements'!H263)/100)+103/POWER(1+('CurrentPor-Rat Factor Movements'!D263+'CurrentPor-Rat Factor Movements'!H263)/100,2))*100</f>
        <v>9600.7353355460746</v>
      </c>
      <c r="E263">
        <f>(3/(1+('CurrentPor-Rat Factor Movements'!C263+'CurrentPor-Rat Factor Movements'!I263)/100)+103/POWER(1+('CurrentPor-Rat Factor Movements'!D263+'CurrentPor-Rat Factor Movements'!I263)/100,2))*100</f>
        <v>9580.9520764257613</v>
      </c>
      <c r="F263">
        <f>Portfolio!B$5*'CurrentPor-Rat Factor Movements'!E263</f>
        <v>52143.895533915893</v>
      </c>
      <c r="G263">
        <f>Portfolio!B$6*'CurrentPor-Rat Factor Movements'!F263</f>
        <v>3696.2945087936532</v>
      </c>
      <c r="H263">
        <f>Portfolio!B$7*'CurrentPor-Rat Factor Movements'!J263</f>
        <v>2148.0998964419859</v>
      </c>
      <c r="I263">
        <f t="shared" si="8"/>
        <v>96491.512396205086</v>
      </c>
      <c r="J263">
        <f t="shared" si="9"/>
        <v>-2.7893719130661339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9E5D-E2F0-4EC0-A8E9-F893AA81EA0D}">
  <dimension ref="A1:A501"/>
  <sheetViews>
    <sheetView topLeftCell="A27" workbookViewId="0">
      <selection activeCell="J39" sqref="J39"/>
    </sheetView>
  </sheetViews>
  <sheetFormatPr defaultRowHeight="14.5"/>
  <cols>
    <col min="1" max="1" width="16.1796875" customWidth="1"/>
  </cols>
  <sheetData>
    <row r="1" spans="1:1" ht="23.5">
      <c r="A1" s="2" t="s">
        <v>3</v>
      </c>
    </row>
    <row r="3" spans="1:1" ht="17.5">
      <c r="A3" s="3" t="s">
        <v>4</v>
      </c>
    </row>
    <row r="4" spans="1:1">
      <c r="A4" s="4"/>
    </row>
    <row r="5" spans="1:1">
      <c r="A5" s="5" t="s">
        <v>5</v>
      </c>
    </row>
    <row r="6" spans="1:1">
      <c r="A6" s="5" t="s">
        <v>6</v>
      </c>
    </row>
    <row r="8" spans="1:1" ht="17.5">
      <c r="A8" s="3" t="s">
        <v>7</v>
      </c>
    </row>
    <row r="9" spans="1:1">
      <c r="A9" s="4"/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5" spans="1:1" ht="17.5">
      <c r="A15" s="3" t="s">
        <v>12</v>
      </c>
    </row>
    <row r="16" spans="1:1">
      <c r="A16" s="4"/>
    </row>
    <row r="17" spans="1:1">
      <c r="A17" s="4" t="s">
        <v>13</v>
      </c>
    </row>
    <row r="18" spans="1:1">
      <c r="A18" s="4" t="s">
        <v>14</v>
      </c>
    </row>
    <row r="19" spans="1:1">
      <c r="A19" s="4" t="s">
        <v>15</v>
      </c>
    </row>
    <row r="20" spans="1:1">
      <c r="A20" s="6" t="s">
        <v>16</v>
      </c>
    </row>
    <row r="21" spans="1:1">
      <c r="A21" s="6" t="s">
        <v>17</v>
      </c>
    </row>
    <row r="22" spans="1:1">
      <c r="A22" s="6" t="s">
        <v>18</v>
      </c>
    </row>
    <row r="26" spans="1:1" ht="23.5">
      <c r="A26" s="2" t="s">
        <v>19</v>
      </c>
    </row>
    <row r="28" spans="1:1" ht="17.5">
      <c r="A28" s="3" t="s">
        <v>4</v>
      </c>
    </row>
    <row r="29" spans="1:1">
      <c r="A29" s="4"/>
    </row>
    <row r="30" spans="1:1">
      <c r="A30" s="5" t="s">
        <v>20</v>
      </c>
    </row>
    <row r="32" spans="1:1" ht="17.5">
      <c r="A32" s="3" t="s">
        <v>7</v>
      </c>
    </row>
    <row r="33" spans="1:1">
      <c r="A33" s="4"/>
    </row>
    <row r="34" spans="1:1">
      <c r="A34" s="4" t="s">
        <v>21</v>
      </c>
    </row>
    <row r="35" spans="1:1">
      <c r="A35" s="4" t="s">
        <v>22</v>
      </c>
    </row>
    <row r="36" spans="1:1">
      <c r="A36" s="4" t="s">
        <v>23</v>
      </c>
    </row>
    <row r="37" spans="1:1">
      <c r="A37" s="4" t="s">
        <v>24</v>
      </c>
    </row>
    <row r="38" spans="1:1">
      <c r="A38" s="1"/>
    </row>
    <row r="39" spans="1:1">
      <c r="A39" s="1" t="s">
        <v>25</v>
      </c>
    </row>
    <row r="40" spans="1:1">
      <c r="A40" s="1"/>
    </row>
    <row r="41" spans="1:1">
      <c r="A41" s="1" t="s">
        <v>26</v>
      </c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4FB39-AAA9-4D5A-A2CE-896AA4D4A686}">
  <dimension ref="A1:A2"/>
  <sheetViews>
    <sheetView workbookViewId="0"/>
  </sheetViews>
  <sheetFormatPr defaultRowHeight="14.5"/>
  <sheetData>
    <row r="1" spans="1:1">
      <c r="A1" t="s">
        <v>29</v>
      </c>
    </row>
    <row r="2" spans="1:1">
      <c r="A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CurrentPor-Rat Factor Movements</vt:lpstr>
      <vt:lpstr>Portfolio</vt:lpstr>
      <vt:lpstr>ES, Rates factor movement</vt:lpstr>
      <vt:lpstr>NMRF</vt:lpstr>
      <vt:lpstr>formulae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Office</cp:lastModifiedBy>
  <dcterms:created xsi:type="dcterms:W3CDTF">2025-10-25T09:15:32Z</dcterms:created>
  <dcterms:modified xsi:type="dcterms:W3CDTF">2025-11-07T20:15:29Z</dcterms:modified>
</cp:coreProperties>
</file>