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Credit spread\"/>
    </mc:Choice>
  </mc:AlternateContent>
  <xr:revisionPtr revIDLastSave="0" documentId="13_ncr:1_{BAA32AFB-3C09-4274-9E29-84502DBC7CDB}" xr6:coauthVersionLast="47" xr6:coauthVersionMax="47" xr10:uidLastSave="{00000000-0000-0000-0000-000000000000}"/>
  <bookViews>
    <workbookView xWindow="-110" yWindow="-110" windowWidth="19420" windowHeight="10300" tabRatio="928" firstSheet="5" activeTab="5" xr2:uid="{DC1F76F4-8BE6-409E-AD1E-84625C47D90D}"/>
  </bookViews>
  <sheets>
    <sheet name="CurrentPor-Equ Factor Movements" sheetId="4" r:id="rId1"/>
    <sheet name="CurrentPor-LH=10 unchanged" sheetId="14" r:id="rId2"/>
    <sheet name="CurrentPor-LH=20 unchanged" sheetId="8" r:id="rId3"/>
    <sheet name="CurrentPor-LH=40 unchanged" sheetId="9" r:id="rId4"/>
    <sheet name="CurrentPor-LH=60 unchanged" sheetId="10" r:id="rId5"/>
    <sheet name="Portfolio" sheetId="5" r:id="rId6"/>
    <sheet name="ES, Equity factor movement" sheetId="7" r:id="rId7"/>
    <sheet name="ES, Credit LH=10Unchanged" sheetId="15" r:id="rId8"/>
    <sheet name="ES, Credit LH=20Unchanged" sheetId="11" r:id="rId9"/>
    <sheet name="ES, Credit LH=40Unchanged" sheetId="12" r:id="rId10"/>
    <sheet name="ES, Credit LH=60Unchanged" sheetId="13" r:id="rId11"/>
    <sheet name="NMRF" sheetId="2" r:id="rId12"/>
    <sheet name="formulae" sheetId="3" r:id="rId13"/>
  </sheets>
  <definedNames>
    <definedName name="_xlnm._FilterDatabase" localSheetId="0" hidden="1">'CurrentPor-Equ Factor Movements'!$A$3:$J$263</definedName>
    <definedName name="_xlnm._FilterDatabase" localSheetId="1" hidden="1">'CurrentPor-LH=10 unchanged'!$A$3:$J$263</definedName>
    <definedName name="_xlnm._FilterDatabase" localSheetId="2" hidden="1">'CurrentPor-LH=20 unchanged'!$A$3:$J$263</definedName>
    <definedName name="_xlnm._FilterDatabase" localSheetId="3" hidden="1">'CurrentPor-LH=40 unchanged'!$A$3:$J$263</definedName>
    <definedName name="_xlnm._FilterDatabase" localSheetId="4" hidden="1">'CurrentPor-LH=60 unchanged'!$A$3:$J$263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3" i="15" l="1"/>
  <c r="G263" i="15"/>
  <c r="F263" i="15"/>
  <c r="E263" i="15"/>
  <c r="D263" i="15"/>
  <c r="C263" i="15"/>
  <c r="B263" i="15"/>
  <c r="H262" i="15"/>
  <c r="G262" i="15"/>
  <c r="F262" i="15"/>
  <c r="E262" i="15"/>
  <c r="D262" i="15"/>
  <c r="C262" i="15"/>
  <c r="B262" i="15"/>
  <c r="H261" i="15"/>
  <c r="G261" i="15"/>
  <c r="F261" i="15"/>
  <c r="E261" i="15"/>
  <c r="D261" i="15"/>
  <c r="C261" i="15"/>
  <c r="B261" i="15"/>
  <c r="H260" i="15"/>
  <c r="G260" i="15"/>
  <c r="F260" i="15"/>
  <c r="E260" i="15"/>
  <c r="D260" i="15"/>
  <c r="C260" i="15"/>
  <c r="B260" i="15"/>
  <c r="H259" i="15"/>
  <c r="G259" i="15"/>
  <c r="F259" i="15"/>
  <c r="I259" i="15" s="1"/>
  <c r="J259" i="15" s="1"/>
  <c r="E259" i="15"/>
  <c r="D259" i="15"/>
  <c r="C259" i="15"/>
  <c r="B259" i="15"/>
  <c r="H258" i="15"/>
  <c r="G258" i="15"/>
  <c r="F258" i="15"/>
  <c r="E258" i="15"/>
  <c r="D258" i="15"/>
  <c r="C258" i="15"/>
  <c r="B258" i="15"/>
  <c r="H257" i="15"/>
  <c r="G257" i="15"/>
  <c r="F257" i="15"/>
  <c r="E257" i="15"/>
  <c r="D257" i="15"/>
  <c r="I257" i="15" s="1"/>
  <c r="C257" i="15"/>
  <c r="B257" i="15"/>
  <c r="H256" i="15"/>
  <c r="G256" i="15"/>
  <c r="F256" i="15"/>
  <c r="E256" i="15"/>
  <c r="D256" i="15"/>
  <c r="C256" i="15"/>
  <c r="B256" i="15"/>
  <c r="H255" i="15"/>
  <c r="G255" i="15"/>
  <c r="F255" i="15"/>
  <c r="E255" i="15"/>
  <c r="D255" i="15"/>
  <c r="C255" i="15"/>
  <c r="B255" i="15"/>
  <c r="H254" i="15"/>
  <c r="G254" i="15"/>
  <c r="F254" i="15"/>
  <c r="E254" i="15"/>
  <c r="D254" i="15"/>
  <c r="C254" i="15"/>
  <c r="B254" i="15"/>
  <c r="H253" i="15"/>
  <c r="G253" i="15"/>
  <c r="F253" i="15"/>
  <c r="E253" i="15"/>
  <c r="D253" i="15"/>
  <c r="C253" i="15"/>
  <c r="B253" i="15"/>
  <c r="H252" i="15"/>
  <c r="G252" i="15"/>
  <c r="I252" i="15" s="1"/>
  <c r="F252" i="15"/>
  <c r="E252" i="15"/>
  <c r="D252" i="15"/>
  <c r="C252" i="15"/>
  <c r="B252" i="15"/>
  <c r="H251" i="15"/>
  <c r="G251" i="15"/>
  <c r="F251" i="15"/>
  <c r="E251" i="15"/>
  <c r="D251" i="15"/>
  <c r="C251" i="15"/>
  <c r="B251" i="15"/>
  <c r="H250" i="15"/>
  <c r="G250" i="15"/>
  <c r="F250" i="15"/>
  <c r="E250" i="15"/>
  <c r="I250" i="15" s="1"/>
  <c r="D250" i="15"/>
  <c r="C250" i="15"/>
  <c r="B250" i="15"/>
  <c r="H249" i="15"/>
  <c r="G249" i="15"/>
  <c r="F249" i="15"/>
  <c r="E249" i="15"/>
  <c r="D249" i="15"/>
  <c r="C249" i="15"/>
  <c r="B249" i="15"/>
  <c r="H248" i="15"/>
  <c r="G248" i="15"/>
  <c r="F248" i="15"/>
  <c r="E248" i="15"/>
  <c r="D248" i="15"/>
  <c r="C248" i="15"/>
  <c r="I248" i="15" s="1"/>
  <c r="B248" i="15"/>
  <c r="H247" i="15"/>
  <c r="G247" i="15"/>
  <c r="F247" i="15"/>
  <c r="E247" i="15"/>
  <c r="D247" i="15"/>
  <c r="C247" i="15"/>
  <c r="B247" i="15"/>
  <c r="H246" i="15"/>
  <c r="G246" i="15"/>
  <c r="F246" i="15"/>
  <c r="E246" i="15"/>
  <c r="D246" i="15"/>
  <c r="C246" i="15"/>
  <c r="B246" i="15"/>
  <c r="H245" i="15"/>
  <c r="I245" i="15" s="1"/>
  <c r="G245" i="15"/>
  <c r="F245" i="15"/>
  <c r="E245" i="15"/>
  <c r="D245" i="15"/>
  <c r="C245" i="15"/>
  <c r="B245" i="15"/>
  <c r="H244" i="15"/>
  <c r="G244" i="15"/>
  <c r="F244" i="15"/>
  <c r="I244" i="15" s="1"/>
  <c r="E244" i="15"/>
  <c r="D244" i="15"/>
  <c r="C244" i="15"/>
  <c r="B244" i="15"/>
  <c r="H243" i="15"/>
  <c r="G243" i="15"/>
  <c r="F243" i="15"/>
  <c r="I243" i="15" s="1"/>
  <c r="J243" i="15" s="1"/>
  <c r="E243" i="15"/>
  <c r="D243" i="15"/>
  <c r="C243" i="15"/>
  <c r="B243" i="15"/>
  <c r="H242" i="15"/>
  <c r="G242" i="15"/>
  <c r="F242" i="15"/>
  <c r="E242" i="15"/>
  <c r="D242" i="15"/>
  <c r="C242" i="15"/>
  <c r="B242" i="15"/>
  <c r="H241" i="15"/>
  <c r="G241" i="15"/>
  <c r="F241" i="15"/>
  <c r="E241" i="15"/>
  <c r="D241" i="15"/>
  <c r="I241" i="15" s="1"/>
  <c r="C241" i="15"/>
  <c r="B241" i="15"/>
  <c r="H240" i="15"/>
  <c r="G240" i="15"/>
  <c r="F240" i="15"/>
  <c r="E240" i="15"/>
  <c r="D240" i="15"/>
  <c r="C240" i="15"/>
  <c r="B240" i="15"/>
  <c r="H239" i="15"/>
  <c r="G239" i="15"/>
  <c r="F239" i="15"/>
  <c r="E239" i="15"/>
  <c r="D239" i="15"/>
  <c r="C239" i="15"/>
  <c r="B239" i="15"/>
  <c r="H238" i="15"/>
  <c r="I238" i="15" s="1"/>
  <c r="G238" i="15"/>
  <c r="F238" i="15"/>
  <c r="E238" i="15"/>
  <c r="D238" i="15"/>
  <c r="C238" i="15"/>
  <c r="B238" i="15"/>
  <c r="H237" i="15"/>
  <c r="G237" i="15"/>
  <c r="F237" i="15"/>
  <c r="E237" i="15"/>
  <c r="D237" i="15"/>
  <c r="C237" i="15"/>
  <c r="B237" i="15"/>
  <c r="H236" i="15"/>
  <c r="G236" i="15"/>
  <c r="F236" i="15"/>
  <c r="E236" i="15"/>
  <c r="D236" i="15"/>
  <c r="C236" i="15"/>
  <c r="B236" i="15"/>
  <c r="H235" i="15"/>
  <c r="G235" i="15"/>
  <c r="F235" i="15"/>
  <c r="E235" i="15"/>
  <c r="D235" i="15"/>
  <c r="C235" i="15"/>
  <c r="B235" i="15"/>
  <c r="H234" i="15"/>
  <c r="G234" i="15"/>
  <c r="F234" i="15"/>
  <c r="E234" i="15"/>
  <c r="I234" i="15" s="1"/>
  <c r="D234" i="15"/>
  <c r="C234" i="15"/>
  <c r="B234" i="15"/>
  <c r="H233" i="15"/>
  <c r="G233" i="15"/>
  <c r="F233" i="15"/>
  <c r="E233" i="15"/>
  <c r="D233" i="15"/>
  <c r="C233" i="15"/>
  <c r="B233" i="15"/>
  <c r="H232" i="15"/>
  <c r="G232" i="15"/>
  <c r="F232" i="15"/>
  <c r="E232" i="15"/>
  <c r="D232" i="15"/>
  <c r="C232" i="15"/>
  <c r="I232" i="15" s="1"/>
  <c r="B232" i="15"/>
  <c r="H231" i="15"/>
  <c r="G231" i="15"/>
  <c r="F231" i="15"/>
  <c r="E231" i="15"/>
  <c r="D231" i="15"/>
  <c r="C231" i="15"/>
  <c r="B231" i="15"/>
  <c r="H230" i="15"/>
  <c r="G230" i="15"/>
  <c r="F230" i="15"/>
  <c r="E230" i="15"/>
  <c r="D230" i="15"/>
  <c r="C230" i="15"/>
  <c r="B230" i="15"/>
  <c r="H229" i="15"/>
  <c r="I229" i="15" s="1"/>
  <c r="G229" i="15"/>
  <c r="F229" i="15"/>
  <c r="E229" i="15"/>
  <c r="D229" i="15"/>
  <c r="C229" i="15"/>
  <c r="B229" i="15"/>
  <c r="H228" i="15"/>
  <c r="G228" i="15"/>
  <c r="F228" i="15"/>
  <c r="I228" i="15" s="1"/>
  <c r="E228" i="15"/>
  <c r="D228" i="15"/>
  <c r="C228" i="15"/>
  <c r="B228" i="15"/>
  <c r="H227" i="15"/>
  <c r="G227" i="15"/>
  <c r="F227" i="15"/>
  <c r="I227" i="15" s="1"/>
  <c r="E227" i="15"/>
  <c r="D227" i="15"/>
  <c r="C227" i="15"/>
  <c r="B227" i="15"/>
  <c r="H226" i="15"/>
  <c r="G226" i="15"/>
  <c r="F226" i="15"/>
  <c r="E226" i="15"/>
  <c r="D226" i="15"/>
  <c r="C226" i="15"/>
  <c r="B226" i="15"/>
  <c r="H225" i="15"/>
  <c r="G225" i="15"/>
  <c r="F225" i="15"/>
  <c r="E225" i="15"/>
  <c r="D225" i="15"/>
  <c r="I225" i="15" s="1"/>
  <c r="C225" i="15"/>
  <c r="B225" i="15"/>
  <c r="H224" i="15"/>
  <c r="G224" i="15"/>
  <c r="F224" i="15"/>
  <c r="E224" i="15"/>
  <c r="D224" i="15"/>
  <c r="C224" i="15"/>
  <c r="B224" i="15"/>
  <c r="H223" i="15"/>
  <c r="G223" i="15"/>
  <c r="F223" i="15"/>
  <c r="E223" i="15"/>
  <c r="D223" i="15"/>
  <c r="C223" i="15"/>
  <c r="B223" i="15"/>
  <c r="H222" i="15"/>
  <c r="G222" i="15"/>
  <c r="F222" i="15"/>
  <c r="E222" i="15"/>
  <c r="D222" i="15"/>
  <c r="C222" i="15"/>
  <c r="B222" i="15"/>
  <c r="H221" i="15"/>
  <c r="G221" i="15"/>
  <c r="F221" i="15"/>
  <c r="I221" i="15" s="1"/>
  <c r="E221" i="15"/>
  <c r="D221" i="15"/>
  <c r="C221" i="15"/>
  <c r="B221" i="15"/>
  <c r="H220" i="15"/>
  <c r="G220" i="15"/>
  <c r="I220" i="15" s="1"/>
  <c r="F220" i="15"/>
  <c r="E220" i="15"/>
  <c r="D220" i="15"/>
  <c r="C220" i="15"/>
  <c r="B220" i="15"/>
  <c r="H219" i="15"/>
  <c r="G219" i="15"/>
  <c r="F219" i="15"/>
  <c r="E219" i="15"/>
  <c r="D219" i="15"/>
  <c r="C219" i="15"/>
  <c r="B219" i="15"/>
  <c r="H218" i="15"/>
  <c r="G218" i="15"/>
  <c r="F218" i="15"/>
  <c r="E218" i="15"/>
  <c r="I218" i="15" s="1"/>
  <c r="D218" i="15"/>
  <c r="C218" i="15"/>
  <c r="B218" i="15"/>
  <c r="H217" i="15"/>
  <c r="G217" i="15"/>
  <c r="F217" i="15"/>
  <c r="E217" i="15"/>
  <c r="D217" i="15"/>
  <c r="C217" i="15"/>
  <c r="B217" i="15"/>
  <c r="H216" i="15"/>
  <c r="G216" i="15"/>
  <c r="F216" i="15"/>
  <c r="E216" i="15"/>
  <c r="D216" i="15"/>
  <c r="C216" i="15"/>
  <c r="I216" i="15" s="1"/>
  <c r="B216" i="15"/>
  <c r="H215" i="15"/>
  <c r="G215" i="15"/>
  <c r="F215" i="15"/>
  <c r="E215" i="15"/>
  <c r="D215" i="15"/>
  <c r="C215" i="15"/>
  <c r="B215" i="15"/>
  <c r="H214" i="15"/>
  <c r="G214" i="15"/>
  <c r="F214" i="15"/>
  <c r="E214" i="15"/>
  <c r="D214" i="15"/>
  <c r="C214" i="15"/>
  <c r="B214" i="15"/>
  <c r="H213" i="15"/>
  <c r="I213" i="15" s="1"/>
  <c r="G213" i="15"/>
  <c r="F213" i="15"/>
  <c r="E213" i="15"/>
  <c r="D213" i="15"/>
  <c r="C213" i="15"/>
  <c r="B213" i="15"/>
  <c r="H212" i="15"/>
  <c r="G212" i="15"/>
  <c r="F212" i="15"/>
  <c r="E212" i="15"/>
  <c r="D212" i="15"/>
  <c r="C212" i="15"/>
  <c r="B212" i="15"/>
  <c r="H211" i="15"/>
  <c r="G211" i="15"/>
  <c r="F211" i="15"/>
  <c r="I211" i="15" s="1"/>
  <c r="E211" i="15"/>
  <c r="D211" i="15"/>
  <c r="C211" i="15"/>
  <c r="B211" i="15"/>
  <c r="H210" i="15"/>
  <c r="G210" i="15"/>
  <c r="F210" i="15"/>
  <c r="I210" i="15" s="1"/>
  <c r="E210" i="15"/>
  <c r="D210" i="15"/>
  <c r="C210" i="15"/>
  <c r="B210" i="15"/>
  <c r="H209" i="15"/>
  <c r="G209" i="15"/>
  <c r="F209" i="15"/>
  <c r="E209" i="15"/>
  <c r="D209" i="15"/>
  <c r="I209" i="15" s="1"/>
  <c r="C209" i="15"/>
  <c r="B209" i="15"/>
  <c r="H208" i="15"/>
  <c r="G208" i="15"/>
  <c r="F208" i="15"/>
  <c r="E208" i="15"/>
  <c r="D208" i="15"/>
  <c r="C208" i="15"/>
  <c r="B208" i="15"/>
  <c r="H207" i="15"/>
  <c r="G207" i="15"/>
  <c r="F207" i="15"/>
  <c r="E207" i="15"/>
  <c r="D207" i="15"/>
  <c r="C207" i="15"/>
  <c r="B207" i="15"/>
  <c r="H206" i="15"/>
  <c r="I206" i="15" s="1"/>
  <c r="G206" i="15"/>
  <c r="F206" i="15"/>
  <c r="E206" i="15"/>
  <c r="D206" i="15"/>
  <c r="C206" i="15"/>
  <c r="B206" i="15"/>
  <c r="H205" i="15"/>
  <c r="G205" i="15"/>
  <c r="F205" i="15"/>
  <c r="I205" i="15" s="1"/>
  <c r="E205" i="15"/>
  <c r="D205" i="15"/>
  <c r="C205" i="15"/>
  <c r="B205" i="15"/>
  <c r="H204" i="15"/>
  <c r="G204" i="15"/>
  <c r="I204" i="15" s="1"/>
  <c r="F204" i="15"/>
  <c r="E204" i="15"/>
  <c r="D204" i="15"/>
  <c r="C204" i="15"/>
  <c r="B204" i="15"/>
  <c r="H203" i="15"/>
  <c r="G203" i="15"/>
  <c r="F203" i="15"/>
  <c r="E203" i="15"/>
  <c r="D203" i="15"/>
  <c r="C203" i="15"/>
  <c r="B203" i="15"/>
  <c r="H202" i="15"/>
  <c r="G202" i="15"/>
  <c r="F202" i="15"/>
  <c r="E202" i="15"/>
  <c r="I202" i="15" s="1"/>
  <c r="J202" i="15" s="1"/>
  <c r="D202" i="15"/>
  <c r="C202" i="15"/>
  <c r="B202" i="15"/>
  <c r="H201" i="15"/>
  <c r="G201" i="15"/>
  <c r="F201" i="15"/>
  <c r="E201" i="15"/>
  <c r="D201" i="15"/>
  <c r="C201" i="15"/>
  <c r="B201" i="15"/>
  <c r="H200" i="15"/>
  <c r="G200" i="15"/>
  <c r="F200" i="15"/>
  <c r="E200" i="15"/>
  <c r="D200" i="15"/>
  <c r="C200" i="15"/>
  <c r="I200" i="15" s="1"/>
  <c r="B200" i="15"/>
  <c r="H199" i="15"/>
  <c r="G199" i="15"/>
  <c r="F199" i="15"/>
  <c r="E199" i="15"/>
  <c r="D199" i="15"/>
  <c r="C199" i="15"/>
  <c r="B199" i="15"/>
  <c r="H198" i="15"/>
  <c r="G198" i="15"/>
  <c r="F198" i="15"/>
  <c r="E198" i="15"/>
  <c r="D198" i="15"/>
  <c r="C198" i="15"/>
  <c r="B198" i="15"/>
  <c r="H197" i="15"/>
  <c r="I197" i="15" s="1"/>
  <c r="G197" i="15"/>
  <c r="F197" i="15"/>
  <c r="E197" i="15"/>
  <c r="D197" i="15"/>
  <c r="C197" i="15"/>
  <c r="B197" i="15"/>
  <c r="H196" i="15"/>
  <c r="G196" i="15"/>
  <c r="F196" i="15"/>
  <c r="E196" i="15"/>
  <c r="D196" i="15"/>
  <c r="C196" i="15"/>
  <c r="B196" i="15"/>
  <c r="H195" i="15"/>
  <c r="G195" i="15"/>
  <c r="F195" i="15"/>
  <c r="I195" i="15" s="1"/>
  <c r="E195" i="15"/>
  <c r="D195" i="15"/>
  <c r="C195" i="15"/>
  <c r="B195" i="15"/>
  <c r="H194" i="15"/>
  <c r="G194" i="15"/>
  <c r="F194" i="15"/>
  <c r="I194" i="15" s="1"/>
  <c r="E194" i="15"/>
  <c r="D194" i="15"/>
  <c r="C194" i="15"/>
  <c r="B194" i="15"/>
  <c r="H193" i="15"/>
  <c r="G193" i="15"/>
  <c r="F193" i="15"/>
  <c r="E193" i="15"/>
  <c r="D193" i="15"/>
  <c r="I193" i="15" s="1"/>
  <c r="J193" i="15" s="1"/>
  <c r="C193" i="15"/>
  <c r="B193" i="15"/>
  <c r="H192" i="15"/>
  <c r="G192" i="15"/>
  <c r="F192" i="15"/>
  <c r="E192" i="15"/>
  <c r="D192" i="15"/>
  <c r="C192" i="15"/>
  <c r="B192" i="15"/>
  <c r="H191" i="15"/>
  <c r="G191" i="15"/>
  <c r="F191" i="15"/>
  <c r="E191" i="15"/>
  <c r="D191" i="15"/>
  <c r="C191" i="15"/>
  <c r="B191" i="15"/>
  <c r="H190" i="15"/>
  <c r="I190" i="15" s="1"/>
  <c r="G190" i="15"/>
  <c r="F190" i="15"/>
  <c r="E190" i="15"/>
  <c r="D190" i="15"/>
  <c r="C190" i="15"/>
  <c r="B190" i="15"/>
  <c r="H189" i="15"/>
  <c r="G189" i="15"/>
  <c r="F189" i="15"/>
  <c r="I189" i="15" s="1"/>
  <c r="E189" i="15"/>
  <c r="D189" i="15"/>
  <c r="C189" i="15"/>
  <c r="B189" i="15"/>
  <c r="H188" i="15"/>
  <c r="G188" i="15"/>
  <c r="I188" i="15" s="1"/>
  <c r="F188" i="15"/>
  <c r="E188" i="15"/>
  <c r="D188" i="15"/>
  <c r="C188" i="15"/>
  <c r="B188" i="15"/>
  <c r="H187" i="15"/>
  <c r="G187" i="15"/>
  <c r="F187" i="15"/>
  <c r="E187" i="15"/>
  <c r="D187" i="15"/>
  <c r="C187" i="15"/>
  <c r="B187" i="15"/>
  <c r="H186" i="15"/>
  <c r="G186" i="15"/>
  <c r="F186" i="15"/>
  <c r="E186" i="15"/>
  <c r="I186" i="15" s="1"/>
  <c r="D186" i="15"/>
  <c r="C186" i="15"/>
  <c r="B186" i="15"/>
  <c r="H185" i="15"/>
  <c r="G185" i="15"/>
  <c r="F185" i="15"/>
  <c r="I185" i="15" s="1"/>
  <c r="E185" i="15"/>
  <c r="D185" i="15"/>
  <c r="C185" i="15"/>
  <c r="B185" i="15"/>
  <c r="H184" i="15"/>
  <c r="G184" i="15"/>
  <c r="F184" i="15"/>
  <c r="E184" i="15"/>
  <c r="D184" i="15"/>
  <c r="C184" i="15"/>
  <c r="I184" i="15" s="1"/>
  <c r="B184" i="15"/>
  <c r="H183" i="15"/>
  <c r="G183" i="15"/>
  <c r="F183" i="15"/>
  <c r="E183" i="15"/>
  <c r="D183" i="15"/>
  <c r="C183" i="15"/>
  <c r="B183" i="15"/>
  <c r="H182" i="15"/>
  <c r="G182" i="15"/>
  <c r="F182" i="15"/>
  <c r="E182" i="15"/>
  <c r="D182" i="15"/>
  <c r="C182" i="15"/>
  <c r="B182" i="15"/>
  <c r="H181" i="15"/>
  <c r="I181" i="15" s="1"/>
  <c r="G181" i="15"/>
  <c r="F181" i="15"/>
  <c r="E181" i="15"/>
  <c r="D181" i="15"/>
  <c r="C181" i="15"/>
  <c r="B181" i="15"/>
  <c r="H180" i="15"/>
  <c r="G180" i="15"/>
  <c r="F180" i="15"/>
  <c r="E180" i="15"/>
  <c r="D180" i="15"/>
  <c r="C180" i="15"/>
  <c r="B180" i="15"/>
  <c r="H179" i="15"/>
  <c r="G179" i="15"/>
  <c r="F179" i="15"/>
  <c r="I179" i="15" s="1"/>
  <c r="J179" i="15" s="1"/>
  <c r="E179" i="15"/>
  <c r="D179" i="15"/>
  <c r="C179" i="15"/>
  <c r="B179" i="15"/>
  <c r="H178" i="15"/>
  <c r="G178" i="15"/>
  <c r="F178" i="15"/>
  <c r="E178" i="15"/>
  <c r="D178" i="15"/>
  <c r="C178" i="15"/>
  <c r="B178" i="15"/>
  <c r="H177" i="15"/>
  <c r="G177" i="15"/>
  <c r="F177" i="15"/>
  <c r="E177" i="15"/>
  <c r="D177" i="15"/>
  <c r="I177" i="15" s="1"/>
  <c r="C177" i="15"/>
  <c r="B177" i="15"/>
  <c r="H176" i="15"/>
  <c r="G176" i="15"/>
  <c r="F176" i="15"/>
  <c r="E176" i="15"/>
  <c r="D176" i="15"/>
  <c r="C176" i="15"/>
  <c r="B176" i="15"/>
  <c r="H175" i="15"/>
  <c r="G175" i="15"/>
  <c r="F175" i="15"/>
  <c r="E175" i="15"/>
  <c r="D175" i="15"/>
  <c r="C175" i="15"/>
  <c r="B175" i="15"/>
  <c r="H174" i="15"/>
  <c r="G174" i="15"/>
  <c r="F174" i="15"/>
  <c r="E174" i="15"/>
  <c r="D174" i="15"/>
  <c r="C174" i="15"/>
  <c r="B174" i="15"/>
  <c r="H173" i="15"/>
  <c r="G173" i="15"/>
  <c r="F173" i="15"/>
  <c r="E173" i="15"/>
  <c r="D173" i="15"/>
  <c r="C173" i="15"/>
  <c r="B173" i="15"/>
  <c r="H172" i="15"/>
  <c r="G172" i="15"/>
  <c r="I172" i="15" s="1"/>
  <c r="F172" i="15"/>
  <c r="E172" i="15"/>
  <c r="D172" i="15"/>
  <c r="C172" i="15"/>
  <c r="B172" i="15"/>
  <c r="H171" i="15"/>
  <c r="G171" i="15"/>
  <c r="I171" i="15" s="1"/>
  <c r="F171" i="15"/>
  <c r="E171" i="15"/>
  <c r="D171" i="15"/>
  <c r="C171" i="15"/>
  <c r="B171" i="15"/>
  <c r="H170" i="15"/>
  <c r="G170" i="15"/>
  <c r="F170" i="15"/>
  <c r="E170" i="15"/>
  <c r="I170" i="15" s="1"/>
  <c r="J170" i="15" s="1"/>
  <c r="D170" i="15"/>
  <c r="C170" i="15"/>
  <c r="B170" i="15"/>
  <c r="H169" i="15"/>
  <c r="G169" i="15"/>
  <c r="F169" i="15"/>
  <c r="E169" i="15"/>
  <c r="D169" i="15"/>
  <c r="C169" i="15"/>
  <c r="B169" i="15"/>
  <c r="H168" i="15"/>
  <c r="G168" i="15"/>
  <c r="F168" i="15"/>
  <c r="E168" i="15"/>
  <c r="D168" i="15"/>
  <c r="C168" i="15"/>
  <c r="I168" i="15" s="1"/>
  <c r="B168" i="15"/>
  <c r="H167" i="15"/>
  <c r="G167" i="15"/>
  <c r="F167" i="15"/>
  <c r="E167" i="15"/>
  <c r="D167" i="15"/>
  <c r="C167" i="15"/>
  <c r="B167" i="15"/>
  <c r="H166" i="15"/>
  <c r="G166" i="15"/>
  <c r="F166" i="15"/>
  <c r="E166" i="15"/>
  <c r="D166" i="15"/>
  <c r="C166" i="15"/>
  <c r="B166" i="15"/>
  <c r="H165" i="15"/>
  <c r="I165" i="15" s="1"/>
  <c r="G165" i="15"/>
  <c r="F165" i="15"/>
  <c r="E165" i="15"/>
  <c r="D165" i="15"/>
  <c r="C165" i="15"/>
  <c r="B165" i="15"/>
  <c r="H164" i="15"/>
  <c r="G164" i="15"/>
  <c r="F164" i="15"/>
  <c r="I164" i="15" s="1"/>
  <c r="E164" i="15"/>
  <c r="D164" i="15"/>
  <c r="C164" i="15"/>
  <c r="B164" i="15"/>
  <c r="H163" i="15"/>
  <c r="G163" i="15"/>
  <c r="F163" i="15"/>
  <c r="I163" i="15" s="1"/>
  <c r="E163" i="15"/>
  <c r="D163" i="15"/>
  <c r="C163" i="15"/>
  <c r="B163" i="15"/>
  <c r="H162" i="15"/>
  <c r="G162" i="15"/>
  <c r="F162" i="15"/>
  <c r="I162" i="15" s="1"/>
  <c r="E162" i="15"/>
  <c r="D162" i="15"/>
  <c r="C162" i="15"/>
  <c r="B162" i="15"/>
  <c r="H161" i="15"/>
  <c r="G161" i="15"/>
  <c r="F161" i="15"/>
  <c r="E161" i="15"/>
  <c r="D161" i="15"/>
  <c r="I161" i="15" s="1"/>
  <c r="C161" i="15"/>
  <c r="B161" i="15"/>
  <c r="H160" i="15"/>
  <c r="G160" i="15"/>
  <c r="F160" i="15"/>
  <c r="E160" i="15"/>
  <c r="D160" i="15"/>
  <c r="C160" i="15"/>
  <c r="B160" i="15"/>
  <c r="H159" i="15"/>
  <c r="G159" i="15"/>
  <c r="F159" i="15"/>
  <c r="E159" i="15"/>
  <c r="D159" i="15"/>
  <c r="C159" i="15"/>
  <c r="B159" i="15"/>
  <c r="H158" i="15"/>
  <c r="I158" i="15" s="1"/>
  <c r="G158" i="15"/>
  <c r="F158" i="15"/>
  <c r="E158" i="15"/>
  <c r="D158" i="15"/>
  <c r="C158" i="15"/>
  <c r="B158" i="15"/>
  <c r="H157" i="15"/>
  <c r="G157" i="15"/>
  <c r="F157" i="15"/>
  <c r="I157" i="15" s="1"/>
  <c r="E157" i="15"/>
  <c r="D157" i="15"/>
  <c r="C157" i="15"/>
  <c r="B157" i="15"/>
  <c r="H156" i="15"/>
  <c r="G156" i="15"/>
  <c r="I156" i="15" s="1"/>
  <c r="F156" i="15"/>
  <c r="E156" i="15"/>
  <c r="D156" i="15"/>
  <c r="C156" i="15"/>
  <c r="B156" i="15"/>
  <c r="H155" i="15"/>
  <c r="G155" i="15"/>
  <c r="I155" i="15" s="1"/>
  <c r="F155" i="15"/>
  <c r="E155" i="15"/>
  <c r="D155" i="15"/>
  <c r="C155" i="15"/>
  <c r="B155" i="15"/>
  <c r="H154" i="15"/>
  <c r="G154" i="15"/>
  <c r="F154" i="15"/>
  <c r="E154" i="15"/>
  <c r="I154" i="15" s="1"/>
  <c r="D154" i="15"/>
  <c r="C154" i="15"/>
  <c r="B154" i="15"/>
  <c r="H153" i="15"/>
  <c r="G153" i="15"/>
  <c r="F153" i="15"/>
  <c r="E153" i="15"/>
  <c r="D153" i="15"/>
  <c r="C153" i="15"/>
  <c r="B153" i="15"/>
  <c r="H152" i="15"/>
  <c r="G152" i="15"/>
  <c r="F152" i="15"/>
  <c r="E152" i="15"/>
  <c r="D152" i="15"/>
  <c r="C152" i="15"/>
  <c r="I152" i="15" s="1"/>
  <c r="B152" i="15"/>
  <c r="H151" i="15"/>
  <c r="G151" i="15"/>
  <c r="F151" i="15"/>
  <c r="E151" i="15"/>
  <c r="D151" i="15"/>
  <c r="C151" i="15"/>
  <c r="B151" i="15"/>
  <c r="H150" i="15"/>
  <c r="G150" i="15"/>
  <c r="F150" i="15"/>
  <c r="E150" i="15"/>
  <c r="D150" i="15"/>
  <c r="C150" i="15"/>
  <c r="B150" i="15"/>
  <c r="H149" i="15"/>
  <c r="I149" i="15" s="1"/>
  <c r="G149" i="15"/>
  <c r="F149" i="15"/>
  <c r="E149" i="15"/>
  <c r="D149" i="15"/>
  <c r="C149" i="15"/>
  <c r="B149" i="15"/>
  <c r="H148" i="15"/>
  <c r="G148" i="15"/>
  <c r="F148" i="15"/>
  <c r="I148" i="15" s="1"/>
  <c r="E148" i="15"/>
  <c r="D148" i="15"/>
  <c r="C148" i="15"/>
  <c r="B148" i="15"/>
  <c r="H147" i="15"/>
  <c r="G147" i="15"/>
  <c r="F147" i="15"/>
  <c r="I147" i="15" s="1"/>
  <c r="E147" i="15"/>
  <c r="D147" i="15"/>
  <c r="C147" i="15"/>
  <c r="B147" i="15"/>
  <c r="H146" i="15"/>
  <c r="G146" i="15"/>
  <c r="F146" i="15"/>
  <c r="I146" i="15" s="1"/>
  <c r="E146" i="15"/>
  <c r="D146" i="15"/>
  <c r="C146" i="15"/>
  <c r="B146" i="15"/>
  <c r="H145" i="15"/>
  <c r="G145" i="15"/>
  <c r="F145" i="15"/>
  <c r="E145" i="15"/>
  <c r="D145" i="15"/>
  <c r="I145" i="15" s="1"/>
  <c r="J145" i="15" s="1"/>
  <c r="C145" i="15"/>
  <c r="B145" i="15"/>
  <c r="H144" i="15"/>
  <c r="G144" i="15"/>
  <c r="F144" i="15"/>
  <c r="I144" i="15" s="1"/>
  <c r="E144" i="15"/>
  <c r="D144" i="15"/>
  <c r="C144" i="15"/>
  <c r="B144" i="15"/>
  <c r="H143" i="15"/>
  <c r="G143" i="15"/>
  <c r="F143" i="15"/>
  <c r="E143" i="15"/>
  <c r="D143" i="15"/>
  <c r="C143" i="15"/>
  <c r="B143" i="15"/>
  <c r="H142" i="15"/>
  <c r="I142" i="15" s="1"/>
  <c r="G142" i="15"/>
  <c r="F142" i="15"/>
  <c r="E142" i="15"/>
  <c r="D142" i="15"/>
  <c r="C142" i="15"/>
  <c r="B142" i="15"/>
  <c r="H141" i="15"/>
  <c r="G141" i="15"/>
  <c r="F141" i="15"/>
  <c r="I141" i="15" s="1"/>
  <c r="E141" i="15"/>
  <c r="D141" i="15"/>
  <c r="C141" i="15"/>
  <c r="B141" i="15"/>
  <c r="H140" i="15"/>
  <c r="G140" i="15"/>
  <c r="I140" i="15" s="1"/>
  <c r="F140" i="15"/>
  <c r="E140" i="15"/>
  <c r="D140" i="15"/>
  <c r="C140" i="15"/>
  <c r="B140" i="15"/>
  <c r="H139" i="15"/>
  <c r="G139" i="15"/>
  <c r="I139" i="15" s="1"/>
  <c r="F139" i="15"/>
  <c r="E139" i="15"/>
  <c r="D139" i="15"/>
  <c r="C139" i="15"/>
  <c r="B139" i="15"/>
  <c r="H138" i="15"/>
  <c r="G138" i="15"/>
  <c r="F138" i="15"/>
  <c r="E138" i="15"/>
  <c r="I138" i="15" s="1"/>
  <c r="D138" i="15"/>
  <c r="C138" i="15"/>
  <c r="B138" i="15"/>
  <c r="H137" i="15"/>
  <c r="G137" i="15"/>
  <c r="F137" i="15"/>
  <c r="I137" i="15" s="1"/>
  <c r="E137" i="15"/>
  <c r="D137" i="15"/>
  <c r="C137" i="15"/>
  <c r="B137" i="15"/>
  <c r="H136" i="15"/>
  <c r="G136" i="15"/>
  <c r="F136" i="15"/>
  <c r="E136" i="15"/>
  <c r="D136" i="15"/>
  <c r="C136" i="15"/>
  <c r="I136" i="15" s="1"/>
  <c r="B136" i="15"/>
  <c r="H135" i="15"/>
  <c r="G135" i="15"/>
  <c r="F135" i="15"/>
  <c r="E135" i="15"/>
  <c r="D135" i="15"/>
  <c r="C135" i="15"/>
  <c r="B135" i="15"/>
  <c r="H134" i="15"/>
  <c r="G134" i="15"/>
  <c r="F134" i="15"/>
  <c r="E134" i="15"/>
  <c r="D134" i="15"/>
  <c r="C134" i="15"/>
  <c r="B134" i="15"/>
  <c r="H133" i="15"/>
  <c r="I133" i="15" s="1"/>
  <c r="G133" i="15"/>
  <c r="F133" i="15"/>
  <c r="E133" i="15"/>
  <c r="D133" i="15"/>
  <c r="C133" i="15"/>
  <c r="B133" i="15"/>
  <c r="H132" i="15"/>
  <c r="G132" i="15"/>
  <c r="F132" i="15"/>
  <c r="I132" i="15" s="1"/>
  <c r="E132" i="15"/>
  <c r="D132" i="15"/>
  <c r="C132" i="15"/>
  <c r="B132" i="15"/>
  <c r="H131" i="15"/>
  <c r="G131" i="15"/>
  <c r="F131" i="15"/>
  <c r="I131" i="15" s="1"/>
  <c r="J131" i="15" s="1"/>
  <c r="E131" i="15"/>
  <c r="D131" i="15"/>
  <c r="C131" i="15"/>
  <c r="B131" i="15"/>
  <c r="H130" i="15"/>
  <c r="G130" i="15"/>
  <c r="F130" i="15"/>
  <c r="I130" i="15" s="1"/>
  <c r="E130" i="15"/>
  <c r="D130" i="15"/>
  <c r="C130" i="15"/>
  <c r="B130" i="15"/>
  <c r="H129" i="15"/>
  <c r="G129" i="15"/>
  <c r="F129" i="15"/>
  <c r="E129" i="15"/>
  <c r="D129" i="15"/>
  <c r="I129" i="15" s="1"/>
  <c r="C129" i="15"/>
  <c r="B129" i="15"/>
  <c r="H128" i="15"/>
  <c r="G128" i="15"/>
  <c r="F128" i="15"/>
  <c r="E128" i="15"/>
  <c r="D128" i="15"/>
  <c r="C128" i="15"/>
  <c r="B128" i="15"/>
  <c r="H127" i="15"/>
  <c r="G127" i="15"/>
  <c r="F127" i="15"/>
  <c r="E127" i="15"/>
  <c r="D127" i="15"/>
  <c r="C127" i="15"/>
  <c r="B127" i="15"/>
  <c r="H126" i="15"/>
  <c r="I126" i="15" s="1"/>
  <c r="G126" i="15"/>
  <c r="F126" i="15"/>
  <c r="E126" i="15"/>
  <c r="D126" i="15"/>
  <c r="C126" i="15"/>
  <c r="B126" i="15"/>
  <c r="H125" i="15"/>
  <c r="G125" i="15"/>
  <c r="F125" i="15"/>
  <c r="I125" i="15" s="1"/>
  <c r="E125" i="15"/>
  <c r="D125" i="15"/>
  <c r="C125" i="15"/>
  <c r="B125" i="15"/>
  <c r="H124" i="15"/>
  <c r="G124" i="15"/>
  <c r="I124" i="15" s="1"/>
  <c r="J124" i="15" s="1"/>
  <c r="F124" i="15"/>
  <c r="E124" i="15"/>
  <c r="D124" i="15"/>
  <c r="C124" i="15"/>
  <c r="B124" i="15"/>
  <c r="H123" i="15"/>
  <c r="G123" i="15"/>
  <c r="F123" i="15"/>
  <c r="E123" i="15"/>
  <c r="D123" i="15"/>
  <c r="C123" i="15"/>
  <c r="B123" i="15"/>
  <c r="H122" i="15"/>
  <c r="G122" i="15"/>
  <c r="F122" i="15"/>
  <c r="E122" i="15"/>
  <c r="I122" i="15" s="1"/>
  <c r="J122" i="15" s="1"/>
  <c r="D122" i="15"/>
  <c r="C122" i="15"/>
  <c r="B122" i="15"/>
  <c r="H121" i="15"/>
  <c r="G121" i="15"/>
  <c r="F121" i="15"/>
  <c r="E121" i="15"/>
  <c r="D121" i="15"/>
  <c r="C121" i="15"/>
  <c r="B121" i="15"/>
  <c r="H120" i="15"/>
  <c r="G120" i="15"/>
  <c r="F120" i="15"/>
  <c r="E120" i="15"/>
  <c r="D120" i="15"/>
  <c r="C120" i="15"/>
  <c r="I120" i="15" s="1"/>
  <c r="B120" i="15"/>
  <c r="H119" i="15"/>
  <c r="G119" i="15"/>
  <c r="F119" i="15"/>
  <c r="E119" i="15"/>
  <c r="D119" i="15"/>
  <c r="C119" i="15"/>
  <c r="B119" i="15"/>
  <c r="H118" i="15"/>
  <c r="G118" i="15"/>
  <c r="F118" i="15"/>
  <c r="E118" i="15"/>
  <c r="D118" i="15"/>
  <c r="C118" i="15"/>
  <c r="B118" i="15"/>
  <c r="H117" i="15"/>
  <c r="I117" i="15" s="1"/>
  <c r="G117" i="15"/>
  <c r="F117" i="15"/>
  <c r="E117" i="15"/>
  <c r="D117" i="15"/>
  <c r="C117" i="15"/>
  <c r="B117" i="15"/>
  <c r="H116" i="15"/>
  <c r="G116" i="15"/>
  <c r="F116" i="15"/>
  <c r="E116" i="15"/>
  <c r="D116" i="15"/>
  <c r="C116" i="15"/>
  <c r="B116" i="15"/>
  <c r="H115" i="15"/>
  <c r="G115" i="15"/>
  <c r="F115" i="15"/>
  <c r="I115" i="15" s="1"/>
  <c r="E115" i="15"/>
  <c r="D115" i="15"/>
  <c r="C115" i="15"/>
  <c r="B115" i="15"/>
  <c r="H114" i="15"/>
  <c r="G114" i="15"/>
  <c r="F114" i="15"/>
  <c r="I114" i="15" s="1"/>
  <c r="E114" i="15"/>
  <c r="D114" i="15"/>
  <c r="C114" i="15"/>
  <c r="B114" i="15"/>
  <c r="H113" i="15"/>
  <c r="G113" i="15"/>
  <c r="F113" i="15"/>
  <c r="E113" i="15"/>
  <c r="D113" i="15"/>
  <c r="I113" i="15" s="1"/>
  <c r="J113" i="15" s="1"/>
  <c r="C113" i="15"/>
  <c r="B113" i="15"/>
  <c r="H112" i="15"/>
  <c r="G112" i="15"/>
  <c r="F112" i="15"/>
  <c r="E112" i="15"/>
  <c r="D112" i="15"/>
  <c r="C112" i="15"/>
  <c r="B112" i="15"/>
  <c r="H111" i="15"/>
  <c r="G111" i="15"/>
  <c r="F111" i="15"/>
  <c r="E111" i="15"/>
  <c r="D111" i="15"/>
  <c r="C111" i="15"/>
  <c r="B111" i="15"/>
  <c r="H110" i="15"/>
  <c r="I110" i="15" s="1"/>
  <c r="G110" i="15"/>
  <c r="F110" i="15"/>
  <c r="E110" i="15"/>
  <c r="D110" i="15"/>
  <c r="C110" i="15"/>
  <c r="B110" i="15"/>
  <c r="H109" i="15"/>
  <c r="G109" i="15"/>
  <c r="F109" i="15"/>
  <c r="I109" i="15" s="1"/>
  <c r="E109" i="15"/>
  <c r="D109" i="15"/>
  <c r="C109" i="15"/>
  <c r="B109" i="15"/>
  <c r="H108" i="15"/>
  <c r="G108" i="15"/>
  <c r="I108" i="15" s="1"/>
  <c r="F108" i="15"/>
  <c r="E108" i="15"/>
  <c r="D108" i="15"/>
  <c r="C108" i="15"/>
  <c r="B108" i="15"/>
  <c r="H107" i="15"/>
  <c r="G107" i="15"/>
  <c r="F107" i="15"/>
  <c r="E107" i="15"/>
  <c r="D107" i="15"/>
  <c r="C107" i="15"/>
  <c r="B107" i="15"/>
  <c r="H106" i="15"/>
  <c r="G106" i="15"/>
  <c r="F106" i="15"/>
  <c r="E106" i="15"/>
  <c r="I106" i="15" s="1"/>
  <c r="D106" i="15"/>
  <c r="C106" i="15"/>
  <c r="B106" i="15"/>
  <c r="H105" i="15"/>
  <c r="G105" i="15"/>
  <c r="F105" i="15"/>
  <c r="I105" i="15" s="1"/>
  <c r="E105" i="15"/>
  <c r="D105" i="15"/>
  <c r="C105" i="15"/>
  <c r="B105" i="15"/>
  <c r="H104" i="15"/>
  <c r="G104" i="15"/>
  <c r="F104" i="15"/>
  <c r="E104" i="15"/>
  <c r="D104" i="15"/>
  <c r="C104" i="15"/>
  <c r="I104" i="15" s="1"/>
  <c r="B104" i="15"/>
  <c r="H103" i="15"/>
  <c r="G103" i="15"/>
  <c r="F103" i="15"/>
  <c r="E103" i="15"/>
  <c r="D103" i="15"/>
  <c r="C103" i="15"/>
  <c r="B103" i="15"/>
  <c r="H102" i="15"/>
  <c r="G102" i="15"/>
  <c r="F102" i="15"/>
  <c r="E102" i="15"/>
  <c r="D102" i="15"/>
  <c r="C102" i="15"/>
  <c r="B102" i="15"/>
  <c r="H101" i="15"/>
  <c r="I101" i="15" s="1"/>
  <c r="G101" i="15"/>
  <c r="F101" i="15"/>
  <c r="E101" i="15"/>
  <c r="D101" i="15"/>
  <c r="C101" i="15"/>
  <c r="B101" i="15"/>
  <c r="H100" i="15"/>
  <c r="G100" i="15"/>
  <c r="F100" i="15"/>
  <c r="E100" i="15"/>
  <c r="D100" i="15"/>
  <c r="C100" i="15"/>
  <c r="B100" i="15"/>
  <c r="H99" i="15"/>
  <c r="G99" i="15"/>
  <c r="F99" i="15"/>
  <c r="I99" i="15" s="1"/>
  <c r="E99" i="15"/>
  <c r="D99" i="15"/>
  <c r="C99" i="15"/>
  <c r="B99" i="15"/>
  <c r="H98" i="15"/>
  <c r="G98" i="15"/>
  <c r="F98" i="15"/>
  <c r="I98" i="15" s="1"/>
  <c r="E98" i="15"/>
  <c r="D98" i="15"/>
  <c r="C98" i="15"/>
  <c r="B98" i="15"/>
  <c r="H97" i="15"/>
  <c r="G97" i="15"/>
  <c r="F97" i="15"/>
  <c r="E97" i="15"/>
  <c r="D97" i="15"/>
  <c r="I97" i="15" s="1"/>
  <c r="C97" i="15"/>
  <c r="B97" i="15"/>
  <c r="H96" i="15"/>
  <c r="G96" i="15"/>
  <c r="F96" i="15"/>
  <c r="I96" i="15" s="1"/>
  <c r="E96" i="15"/>
  <c r="D96" i="15"/>
  <c r="C96" i="15"/>
  <c r="B96" i="15"/>
  <c r="H95" i="15"/>
  <c r="G95" i="15"/>
  <c r="F95" i="15"/>
  <c r="E95" i="15"/>
  <c r="D95" i="15"/>
  <c r="C95" i="15"/>
  <c r="B95" i="15"/>
  <c r="H94" i="15"/>
  <c r="G94" i="15"/>
  <c r="F94" i="15"/>
  <c r="E94" i="15"/>
  <c r="D94" i="15"/>
  <c r="C94" i="15"/>
  <c r="B94" i="15"/>
  <c r="H93" i="15"/>
  <c r="G93" i="15"/>
  <c r="F93" i="15"/>
  <c r="E93" i="15"/>
  <c r="D93" i="15"/>
  <c r="C93" i="15"/>
  <c r="B93" i="15"/>
  <c r="H92" i="15"/>
  <c r="G92" i="15"/>
  <c r="I92" i="15" s="1"/>
  <c r="J92" i="15" s="1"/>
  <c r="F92" i="15"/>
  <c r="E92" i="15"/>
  <c r="D92" i="15"/>
  <c r="C92" i="15"/>
  <c r="B92" i="15"/>
  <c r="H91" i="15"/>
  <c r="G91" i="15"/>
  <c r="F91" i="15"/>
  <c r="E91" i="15"/>
  <c r="D91" i="15"/>
  <c r="C91" i="15"/>
  <c r="B91" i="15"/>
  <c r="H90" i="15"/>
  <c r="G90" i="15"/>
  <c r="F90" i="15"/>
  <c r="E90" i="15"/>
  <c r="I90" i="15" s="1"/>
  <c r="D90" i="15"/>
  <c r="C90" i="15"/>
  <c r="B90" i="15"/>
  <c r="H89" i="15"/>
  <c r="G89" i="15"/>
  <c r="F89" i="15"/>
  <c r="I89" i="15" s="1"/>
  <c r="E89" i="15"/>
  <c r="D89" i="15"/>
  <c r="C89" i="15"/>
  <c r="B89" i="15"/>
  <c r="H88" i="15"/>
  <c r="G88" i="15"/>
  <c r="F88" i="15"/>
  <c r="E88" i="15"/>
  <c r="D88" i="15"/>
  <c r="C88" i="15"/>
  <c r="I88" i="15" s="1"/>
  <c r="B88" i="15"/>
  <c r="H87" i="15"/>
  <c r="G87" i="15"/>
  <c r="F87" i="15"/>
  <c r="E87" i="15"/>
  <c r="D87" i="15"/>
  <c r="C87" i="15"/>
  <c r="B87" i="15"/>
  <c r="H86" i="15"/>
  <c r="G86" i="15"/>
  <c r="F86" i="15"/>
  <c r="E86" i="15"/>
  <c r="D86" i="15"/>
  <c r="C86" i="15"/>
  <c r="B86" i="15"/>
  <c r="H85" i="15"/>
  <c r="I85" i="15" s="1"/>
  <c r="G85" i="15"/>
  <c r="F85" i="15"/>
  <c r="E85" i="15"/>
  <c r="D85" i="15"/>
  <c r="C85" i="15"/>
  <c r="B85" i="15"/>
  <c r="H84" i="15"/>
  <c r="G84" i="15"/>
  <c r="F84" i="15"/>
  <c r="E84" i="15"/>
  <c r="D84" i="15"/>
  <c r="C84" i="15"/>
  <c r="B84" i="15"/>
  <c r="H83" i="15"/>
  <c r="G83" i="15"/>
  <c r="F83" i="15"/>
  <c r="I83" i="15" s="1"/>
  <c r="E83" i="15"/>
  <c r="D83" i="15"/>
  <c r="C83" i="15"/>
  <c r="B83" i="15"/>
  <c r="H82" i="15"/>
  <c r="G82" i="15"/>
  <c r="F82" i="15"/>
  <c r="I82" i="15" s="1"/>
  <c r="E82" i="15"/>
  <c r="D82" i="15"/>
  <c r="C82" i="15"/>
  <c r="B82" i="15"/>
  <c r="H81" i="15"/>
  <c r="G81" i="15"/>
  <c r="F81" i="15"/>
  <c r="E81" i="15"/>
  <c r="D81" i="15"/>
  <c r="I81" i="15" s="1"/>
  <c r="C81" i="15"/>
  <c r="B81" i="15"/>
  <c r="H80" i="15"/>
  <c r="G80" i="15"/>
  <c r="F80" i="15"/>
  <c r="E80" i="15"/>
  <c r="D80" i="15"/>
  <c r="C80" i="15"/>
  <c r="B80" i="15"/>
  <c r="H79" i="15"/>
  <c r="G79" i="15"/>
  <c r="F79" i="15"/>
  <c r="E79" i="15"/>
  <c r="D79" i="15"/>
  <c r="C79" i="15"/>
  <c r="B79" i="15"/>
  <c r="H78" i="15"/>
  <c r="I78" i="15" s="1"/>
  <c r="G78" i="15"/>
  <c r="F78" i="15"/>
  <c r="E78" i="15"/>
  <c r="D78" i="15"/>
  <c r="C78" i="15"/>
  <c r="B78" i="15"/>
  <c r="H77" i="15"/>
  <c r="G77" i="15"/>
  <c r="F77" i="15"/>
  <c r="I77" i="15" s="1"/>
  <c r="E77" i="15"/>
  <c r="D77" i="15"/>
  <c r="C77" i="15"/>
  <c r="B77" i="15"/>
  <c r="H76" i="15"/>
  <c r="G76" i="15"/>
  <c r="I76" i="15" s="1"/>
  <c r="J76" i="15" s="1"/>
  <c r="F76" i="15"/>
  <c r="E76" i="15"/>
  <c r="D76" i="15"/>
  <c r="C76" i="15"/>
  <c r="B76" i="15"/>
  <c r="H75" i="15"/>
  <c r="G75" i="15"/>
  <c r="F75" i="15"/>
  <c r="E75" i="15"/>
  <c r="D75" i="15"/>
  <c r="C75" i="15"/>
  <c r="B75" i="15"/>
  <c r="H74" i="15"/>
  <c r="G74" i="15"/>
  <c r="F74" i="15"/>
  <c r="E74" i="15"/>
  <c r="I74" i="15" s="1"/>
  <c r="D74" i="15"/>
  <c r="C74" i="15"/>
  <c r="B74" i="15"/>
  <c r="H73" i="15"/>
  <c r="G73" i="15"/>
  <c r="F73" i="15"/>
  <c r="I73" i="15" s="1"/>
  <c r="E73" i="15"/>
  <c r="D73" i="15"/>
  <c r="C73" i="15"/>
  <c r="B73" i="15"/>
  <c r="H72" i="15"/>
  <c r="G72" i="15"/>
  <c r="F72" i="15"/>
  <c r="E72" i="15"/>
  <c r="D72" i="15"/>
  <c r="C72" i="15"/>
  <c r="I72" i="15" s="1"/>
  <c r="B72" i="15"/>
  <c r="H71" i="15"/>
  <c r="G71" i="15"/>
  <c r="F71" i="15"/>
  <c r="E71" i="15"/>
  <c r="D71" i="15"/>
  <c r="C71" i="15"/>
  <c r="B71" i="15"/>
  <c r="H70" i="15"/>
  <c r="G70" i="15"/>
  <c r="F70" i="15"/>
  <c r="E70" i="15"/>
  <c r="D70" i="15"/>
  <c r="C70" i="15"/>
  <c r="B70" i="15"/>
  <c r="H69" i="15"/>
  <c r="I69" i="15" s="1"/>
  <c r="G69" i="15"/>
  <c r="F69" i="15"/>
  <c r="E69" i="15"/>
  <c r="D69" i="15"/>
  <c r="C69" i="15"/>
  <c r="B69" i="15"/>
  <c r="H68" i="15"/>
  <c r="G68" i="15"/>
  <c r="F68" i="15"/>
  <c r="E68" i="15"/>
  <c r="D68" i="15"/>
  <c r="C68" i="15"/>
  <c r="B68" i="15"/>
  <c r="H67" i="15"/>
  <c r="G67" i="15"/>
  <c r="F67" i="15"/>
  <c r="I67" i="15" s="1"/>
  <c r="E67" i="15"/>
  <c r="D67" i="15"/>
  <c r="C67" i="15"/>
  <c r="B67" i="15"/>
  <c r="H66" i="15"/>
  <c r="G66" i="15"/>
  <c r="F66" i="15"/>
  <c r="I66" i="15" s="1"/>
  <c r="E66" i="15"/>
  <c r="D66" i="15"/>
  <c r="C66" i="15"/>
  <c r="B66" i="15"/>
  <c r="H65" i="15"/>
  <c r="G65" i="15"/>
  <c r="F65" i="15"/>
  <c r="E65" i="15"/>
  <c r="D65" i="15"/>
  <c r="I65" i="15" s="1"/>
  <c r="C65" i="15"/>
  <c r="B65" i="15"/>
  <c r="H64" i="15"/>
  <c r="G64" i="15"/>
  <c r="F64" i="15"/>
  <c r="E64" i="15"/>
  <c r="D64" i="15"/>
  <c r="C64" i="15"/>
  <c r="B64" i="15"/>
  <c r="H63" i="15"/>
  <c r="G63" i="15"/>
  <c r="F63" i="15"/>
  <c r="E63" i="15"/>
  <c r="D63" i="15"/>
  <c r="C63" i="15"/>
  <c r="B63" i="15"/>
  <c r="H62" i="15"/>
  <c r="I62" i="15" s="1"/>
  <c r="G62" i="15"/>
  <c r="F62" i="15"/>
  <c r="E62" i="15"/>
  <c r="D62" i="15"/>
  <c r="C62" i="15"/>
  <c r="B62" i="15"/>
  <c r="H61" i="15"/>
  <c r="G61" i="15"/>
  <c r="F61" i="15"/>
  <c r="I61" i="15" s="1"/>
  <c r="E61" i="15"/>
  <c r="D61" i="15"/>
  <c r="C61" i="15"/>
  <c r="B61" i="15"/>
  <c r="H60" i="15"/>
  <c r="G60" i="15"/>
  <c r="I60" i="15" s="1"/>
  <c r="J60" i="15" s="1"/>
  <c r="F60" i="15"/>
  <c r="E60" i="15"/>
  <c r="D60" i="15"/>
  <c r="C60" i="15"/>
  <c r="B60" i="15"/>
  <c r="H59" i="15"/>
  <c r="G59" i="15"/>
  <c r="F59" i="15"/>
  <c r="E59" i="15"/>
  <c r="D59" i="15"/>
  <c r="C59" i="15"/>
  <c r="B59" i="15"/>
  <c r="H58" i="15"/>
  <c r="G58" i="15"/>
  <c r="F58" i="15"/>
  <c r="E58" i="15"/>
  <c r="I58" i="15" s="1"/>
  <c r="D58" i="15"/>
  <c r="C58" i="15"/>
  <c r="B58" i="15"/>
  <c r="H57" i="15"/>
  <c r="G57" i="15"/>
  <c r="F57" i="15"/>
  <c r="E57" i="15"/>
  <c r="D57" i="15"/>
  <c r="C57" i="15"/>
  <c r="B57" i="15"/>
  <c r="H56" i="15"/>
  <c r="G56" i="15"/>
  <c r="F56" i="15"/>
  <c r="E56" i="15"/>
  <c r="D56" i="15"/>
  <c r="C56" i="15"/>
  <c r="I56" i="15" s="1"/>
  <c r="B56" i="15"/>
  <c r="H55" i="15"/>
  <c r="G55" i="15"/>
  <c r="F55" i="15"/>
  <c r="I55" i="15" s="1"/>
  <c r="E55" i="15"/>
  <c r="D55" i="15"/>
  <c r="C55" i="15"/>
  <c r="B55" i="15"/>
  <c r="H54" i="15"/>
  <c r="G54" i="15"/>
  <c r="F54" i="15"/>
  <c r="E54" i="15"/>
  <c r="D54" i="15"/>
  <c r="C54" i="15"/>
  <c r="B54" i="15"/>
  <c r="H53" i="15"/>
  <c r="I53" i="15" s="1"/>
  <c r="G53" i="15"/>
  <c r="F53" i="15"/>
  <c r="E53" i="15"/>
  <c r="D53" i="15"/>
  <c r="C53" i="15"/>
  <c r="B53" i="15"/>
  <c r="H52" i="15"/>
  <c r="G52" i="15"/>
  <c r="F52" i="15"/>
  <c r="E52" i="15"/>
  <c r="D52" i="15"/>
  <c r="C52" i="15"/>
  <c r="B52" i="15"/>
  <c r="H51" i="15"/>
  <c r="G51" i="15"/>
  <c r="F51" i="15"/>
  <c r="I51" i="15" s="1"/>
  <c r="E51" i="15"/>
  <c r="D51" i="15"/>
  <c r="C51" i="15"/>
  <c r="B51" i="15"/>
  <c r="H50" i="15"/>
  <c r="G50" i="15"/>
  <c r="F50" i="15"/>
  <c r="I50" i="15" s="1"/>
  <c r="E50" i="15"/>
  <c r="D50" i="15"/>
  <c r="C50" i="15"/>
  <c r="B50" i="15"/>
  <c r="H49" i="15"/>
  <c r="G49" i="15"/>
  <c r="F49" i="15"/>
  <c r="E49" i="15"/>
  <c r="D49" i="15"/>
  <c r="I49" i="15" s="1"/>
  <c r="C49" i="15"/>
  <c r="B49" i="15"/>
  <c r="H48" i="15"/>
  <c r="G48" i="15"/>
  <c r="F48" i="15"/>
  <c r="I48" i="15" s="1"/>
  <c r="E48" i="15"/>
  <c r="D48" i="15"/>
  <c r="C48" i="15"/>
  <c r="B48" i="15"/>
  <c r="H47" i="15"/>
  <c r="G47" i="15"/>
  <c r="F47" i="15"/>
  <c r="E47" i="15"/>
  <c r="D47" i="15"/>
  <c r="C47" i="15"/>
  <c r="B47" i="15"/>
  <c r="H46" i="15"/>
  <c r="I46" i="15" s="1"/>
  <c r="G46" i="15"/>
  <c r="F46" i="15"/>
  <c r="E46" i="15"/>
  <c r="D46" i="15"/>
  <c r="C46" i="15"/>
  <c r="B46" i="15"/>
  <c r="H45" i="15"/>
  <c r="G45" i="15"/>
  <c r="F45" i="15"/>
  <c r="E45" i="15"/>
  <c r="D45" i="15"/>
  <c r="C45" i="15"/>
  <c r="B45" i="15"/>
  <c r="H44" i="15"/>
  <c r="G44" i="15"/>
  <c r="F44" i="15"/>
  <c r="E44" i="15"/>
  <c r="D44" i="15"/>
  <c r="C44" i="15"/>
  <c r="B44" i="15"/>
  <c r="H43" i="15"/>
  <c r="G43" i="15"/>
  <c r="F43" i="15"/>
  <c r="E43" i="15"/>
  <c r="D43" i="15"/>
  <c r="C43" i="15"/>
  <c r="B43" i="15"/>
  <c r="H42" i="15"/>
  <c r="G42" i="15"/>
  <c r="F42" i="15"/>
  <c r="E42" i="15"/>
  <c r="I42" i="15" s="1"/>
  <c r="D42" i="15"/>
  <c r="C42" i="15"/>
  <c r="B42" i="15"/>
  <c r="H41" i="15"/>
  <c r="G41" i="15"/>
  <c r="F41" i="15"/>
  <c r="I41" i="15" s="1"/>
  <c r="E41" i="15"/>
  <c r="D41" i="15"/>
  <c r="C41" i="15"/>
  <c r="B41" i="15"/>
  <c r="H40" i="15"/>
  <c r="G40" i="15"/>
  <c r="F40" i="15"/>
  <c r="E40" i="15"/>
  <c r="D40" i="15"/>
  <c r="C40" i="15"/>
  <c r="I40" i="15" s="1"/>
  <c r="B40" i="15"/>
  <c r="H39" i="15"/>
  <c r="G39" i="15"/>
  <c r="F39" i="15"/>
  <c r="E39" i="15"/>
  <c r="D39" i="15"/>
  <c r="C39" i="15"/>
  <c r="B39" i="15"/>
  <c r="H38" i="15"/>
  <c r="G38" i="15"/>
  <c r="F38" i="15"/>
  <c r="E38" i="15"/>
  <c r="D38" i="15"/>
  <c r="C38" i="15"/>
  <c r="B38" i="15"/>
  <c r="H37" i="15"/>
  <c r="I37" i="15" s="1"/>
  <c r="G37" i="15"/>
  <c r="F37" i="15"/>
  <c r="E37" i="15"/>
  <c r="D37" i="15"/>
  <c r="C37" i="15"/>
  <c r="B37" i="15"/>
  <c r="H36" i="15"/>
  <c r="G36" i="15"/>
  <c r="F36" i="15"/>
  <c r="E36" i="15"/>
  <c r="D36" i="15"/>
  <c r="C36" i="15"/>
  <c r="B36" i="15"/>
  <c r="H35" i="15"/>
  <c r="G35" i="15"/>
  <c r="F35" i="15"/>
  <c r="I35" i="15" s="1"/>
  <c r="E35" i="15"/>
  <c r="D35" i="15"/>
  <c r="C35" i="15"/>
  <c r="B35" i="15"/>
  <c r="H34" i="15"/>
  <c r="G34" i="15"/>
  <c r="F34" i="15"/>
  <c r="I34" i="15" s="1"/>
  <c r="E34" i="15"/>
  <c r="D34" i="15"/>
  <c r="C34" i="15"/>
  <c r="B34" i="15"/>
  <c r="H33" i="15"/>
  <c r="G33" i="15"/>
  <c r="F33" i="15"/>
  <c r="E33" i="15"/>
  <c r="D33" i="15"/>
  <c r="I33" i="15" s="1"/>
  <c r="C33" i="15"/>
  <c r="B33" i="15"/>
  <c r="H32" i="15"/>
  <c r="G32" i="15"/>
  <c r="F32" i="15"/>
  <c r="I32" i="15" s="1"/>
  <c r="E32" i="15"/>
  <c r="D32" i="15"/>
  <c r="C32" i="15"/>
  <c r="B32" i="15"/>
  <c r="H31" i="15"/>
  <c r="G31" i="15"/>
  <c r="F31" i="15"/>
  <c r="E31" i="15"/>
  <c r="D31" i="15"/>
  <c r="C31" i="15"/>
  <c r="B31" i="15"/>
  <c r="H30" i="15"/>
  <c r="I30" i="15" s="1"/>
  <c r="G30" i="15"/>
  <c r="F30" i="15"/>
  <c r="E30" i="15"/>
  <c r="D30" i="15"/>
  <c r="C30" i="15"/>
  <c r="B30" i="15"/>
  <c r="H29" i="15"/>
  <c r="G29" i="15"/>
  <c r="F29" i="15"/>
  <c r="I29" i="15" s="1"/>
  <c r="E29" i="15"/>
  <c r="D29" i="15"/>
  <c r="C29" i="15"/>
  <c r="B29" i="15"/>
  <c r="H28" i="15"/>
  <c r="G28" i="15"/>
  <c r="I28" i="15" s="1"/>
  <c r="F28" i="15"/>
  <c r="E28" i="15"/>
  <c r="D28" i="15"/>
  <c r="C28" i="15"/>
  <c r="B28" i="15"/>
  <c r="H27" i="15"/>
  <c r="G27" i="15"/>
  <c r="F27" i="15"/>
  <c r="E27" i="15"/>
  <c r="D27" i="15"/>
  <c r="C27" i="15"/>
  <c r="B27" i="15"/>
  <c r="H26" i="15"/>
  <c r="G26" i="15"/>
  <c r="F26" i="15"/>
  <c r="E26" i="15"/>
  <c r="D26" i="15"/>
  <c r="C26" i="15"/>
  <c r="B26" i="15"/>
  <c r="H25" i="15"/>
  <c r="G25" i="15"/>
  <c r="F25" i="15"/>
  <c r="I25" i="15" s="1"/>
  <c r="E25" i="15"/>
  <c r="D25" i="15"/>
  <c r="C25" i="15"/>
  <c r="B25" i="15"/>
  <c r="H24" i="15"/>
  <c r="G24" i="15"/>
  <c r="F24" i="15"/>
  <c r="E24" i="15"/>
  <c r="D24" i="15"/>
  <c r="C24" i="15"/>
  <c r="B24" i="15"/>
  <c r="H23" i="15"/>
  <c r="G23" i="15"/>
  <c r="F23" i="15"/>
  <c r="E23" i="15"/>
  <c r="D23" i="15"/>
  <c r="C23" i="15"/>
  <c r="B23" i="15"/>
  <c r="H22" i="15"/>
  <c r="G22" i="15"/>
  <c r="F22" i="15"/>
  <c r="E22" i="15"/>
  <c r="D22" i="15"/>
  <c r="C22" i="15"/>
  <c r="B22" i="15"/>
  <c r="H21" i="15"/>
  <c r="I21" i="15" s="1"/>
  <c r="G21" i="15"/>
  <c r="F21" i="15"/>
  <c r="E21" i="15"/>
  <c r="D21" i="15"/>
  <c r="C21" i="15"/>
  <c r="B21" i="15"/>
  <c r="H20" i="15"/>
  <c r="G20" i="15"/>
  <c r="F20" i="15"/>
  <c r="E20" i="15"/>
  <c r="D20" i="15"/>
  <c r="C20" i="15"/>
  <c r="B20" i="15"/>
  <c r="H19" i="15"/>
  <c r="G19" i="15"/>
  <c r="F19" i="15"/>
  <c r="E19" i="15"/>
  <c r="D19" i="15"/>
  <c r="C19" i="15"/>
  <c r="B19" i="15"/>
  <c r="H18" i="15"/>
  <c r="G18" i="15"/>
  <c r="F18" i="15"/>
  <c r="I18" i="15" s="1"/>
  <c r="E18" i="15"/>
  <c r="D18" i="15"/>
  <c r="C18" i="15"/>
  <c r="B18" i="15"/>
  <c r="H17" i="15"/>
  <c r="G17" i="15"/>
  <c r="F17" i="15"/>
  <c r="E17" i="15"/>
  <c r="D17" i="15"/>
  <c r="C17" i="15"/>
  <c r="B17" i="15"/>
  <c r="H16" i="15"/>
  <c r="G16" i="15"/>
  <c r="F16" i="15"/>
  <c r="E16" i="15"/>
  <c r="D16" i="15"/>
  <c r="C16" i="15"/>
  <c r="B16" i="15"/>
  <c r="H15" i="15"/>
  <c r="G15" i="15"/>
  <c r="F15" i="15"/>
  <c r="E15" i="15"/>
  <c r="D15" i="15"/>
  <c r="C15" i="15"/>
  <c r="B15" i="15"/>
  <c r="H14" i="15"/>
  <c r="I14" i="15" s="1"/>
  <c r="G14" i="15"/>
  <c r="F14" i="15"/>
  <c r="E14" i="15"/>
  <c r="D14" i="15"/>
  <c r="C14" i="15"/>
  <c r="B14" i="15"/>
  <c r="H13" i="15"/>
  <c r="G13" i="15"/>
  <c r="F13" i="15"/>
  <c r="I13" i="15" s="1"/>
  <c r="E13" i="15"/>
  <c r="D13" i="15"/>
  <c r="C13" i="15"/>
  <c r="B13" i="15"/>
  <c r="H12" i="15"/>
  <c r="G12" i="15"/>
  <c r="I12" i="15" s="1"/>
  <c r="F12" i="15"/>
  <c r="E12" i="15"/>
  <c r="D12" i="15"/>
  <c r="C12" i="15"/>
  <c r="B12" i="15"/>
  <c r="H11" i="15"/>
  <c r="G11" i="15"/>
  <c r="F11" i="15"/>
  <c r="E11" i="15"/>
  <c r="D11" i="15"/>
  <c r="C11" i="15"/>
  <c r="B11" i="15"/>
  <c r="H10" i="15"/>
  <c r="G10" i="15"/>
  <c r="F10" i="15"/>
  <c r="E10" i="15"/>
  <c r="D10" i="15"/>
  <c r="C10" i="15"/>
  <c r="B10" i="15"/>
  <c r="H9" i="15"/>
  <c r="G9" i="15"/>
  <c r="F9" i="15"/>
  <c r="I9" i="15" s="1"/>
  <c r="E9" i="15"/>
  <c r="D9" i="15"/>
  <c r="C9" i="15"/>
  <c r="B9" i="15"/>
  <c r="H8" i="15"/>
  <c r="G8" i="15"/>
  <c r="F8" i="15"/>
  <c r="E8" i="15"/>
  <c r="D8" i="15"/>
  <c r="C8" i="15"/>
  <c r="B8" i="15"/>
  <c r="H7" i="15"/>
  <c r="G7" i="15"/>
  <c r="F7" i="15"/>
  <c r="I7" i="15" s="1"/>
  <c r="E7" i="15"/>
  <c r="D7" i="15"/>
  <c r="C7" i="15"/>
  <c r="B7" i="15"/>
  <c r="H6" i="15"/>
  <c r="G6" i="15"/>
  <c r="F6" i="15"/>
  <c r="E6" i="15"/>
  <c r="D6" i="15"/>
  <c r="C6" i="15"/>
  <c r="B6" i="15"/>
  <c r="H5" i="15"/>
  <c r="G5" i="15"/>
  <c r="F5" i="15"/>
  <c r="E5" i="15"/>
  <c r="D5" i="15"/>
  <c r="C5" i="15"/>
  <c r="B5" i="15"/>
  <c r="H4" i="15"/>
  <c r="G4" i="15"/>
  <c r="F4" i="15"/>
  <c r="E4" i="15"/>
  <c r="D4" i="15"/>
  <c r="C4" i="15"/>
  <c r="B4" i="15"/>
  <c r="H3" i="15"/>
  <c r="G3" i="15"/>
  <c r="F3" i="15"/>
  <c r="E3" i="15"/>
  <c r="D3" i="15"/>
  <c r="C3" i="15"/>
  <c r="B3" i="15"/>
  <c r="I263" i="15"/>
  <c r="I260" i="15"/>
  <c r="I258" i="15"/>
  <c r="I256" i="15"/>
  <c r="I254" i="15"/>
  <c r="I253" i="15"/>
  <c r="I251" i="15"/>
  <c r="I249" i="15"/>
  <c r="I247" i="15"/>
  <c r="I242" i="15"/>
  <c r="I240" i="15"/>
  <c r="I237" i="15"/>
  <c r="I233" i="15"/>
  <c r="I231" i="15"/>
  <c r="I226" i="15"/>
  <c r="I224" i="15"/>
  <c r="I222" i="15"/>
  <c r="I217" i="15"/>
  <c r="I215" i="15"/>
  <c r="I212" i="15"/>
  <c r="I208" i="15"/>
  <c r="I203" i="15"/>
  <c r="I201" i="15"/>
  <c r="I199" i="15"/>
  <c r="I192" i="15"/>
  <c r="I183" i="15"/>
  <c r="I176" i="15"/>
  <c r="I174" i="15"/>
  <c r="I173" i="15"/>
  <c r="I169" i="15"/>
  <c r="I167" i="15"/>
  <c r="I160" i="15"/>
  <c r="I153" i="15"/>
  <c r="I151" i="15"/>
  <c r="I135" i="15"/>
  <c r="I128" i="15"/>
  <c r="I121" i="15"/>
  <c r="I119" i="15"/>
  <c r="I112" i="15"/>
  <c r="I103" i="15"/>
  <c r="I94" i="15"/>
  <c r="I93" i="15"/>
  <c r="I87" i="15"/>
  <c r="I80" i="15"/>
  <c r="I71" i="15"/>
  <c r="I64" i="15"/>
  <c r="I57" i="15"/>
  <c r="I45" i="15"/>
  <c r="I39" i="15"/>
  <c r="I23" i="15"/>
  <c r="I16" i="15"/>
  <c r="R5" i="14"/>
  <c r="Q5" i="14"/>
  <c r="P5" i="14"/>
  <c r="O5" i="14"/>
  <c r="N5" i="14"/>
  <c r="M5" i="14"/>
  <c r="L5" i="14"/>
  <c r="K5" i="14"/>
  <c r="R3" i="14"/>
  <c r="Q3" i="14"/>
  <c r="P3" i="14"/>
  <c r="O3" i="14"/>
  <c r="N3" i="14"/>
  <c r="M3" i="14"/>
  <c r="L3" i="14"/>
  <c r="K3" i="14"/>
  <c r="I63" i="15" l="1"/>
  <c r="J120" i="15"/>
  <c r="J129" i="15"/>
  <c r="J161" i="15"/>
  <c r="I175" i="15"/>
  <c r="I59" i="15"/>
  <c r="I116" i="15"/>
  <c r="I180" i="15"/>
  <c r="I187" i="15"/>
  <c r="I196" i="15"/>
  <c r="J196" i="15" s="1"/>
  <c r="I219" i="15"/>
  <c r="J229" i="15" s="1"/>
  <c r="I75" i="15"/>
  <c r="J85" i="15" s="1"/>
  <c r="I235" i="15"/>
  <c r="I43" i="15"/>
  <c r="J43" i="15" s="1"/>
  <c r="I84" i="15"/>
  <c r="J94" i="15" s="1"/>
  <c r="I20" i="15"/>
  <c r="J30" i="15" s="1"/>
  <c r="I52" i="15"/>
  <c r="I11" i="15"/>
  <c r="I36" i="15"/>
  <c r="J46" i="15" s="1"/>
  <c r="I100" i="15"/>
  <c r="J110" i="15" s="1"/>
  <c r="I123" i="15"/>
  <c r="I27" i="15"/>
  <c r="J37" i="15" s="1"/>
  <c r="I68" i="15"/>
  <c r="I91" i="15"/>
  <c r="J91" i="15" s="1"/>
  <c r="I107" i="15"/>
  <c r="I159" i="15"/>
  <c r="J159" i="15" s="1"/>
  <c r="J186" i="15"/>
  <c r="J204" i="15"/>
  <c r="I207" i="15"/>
  <c r="J217" i="15" s="1"/>
  <c r="J220" i="15"/>
  <c r="I223" i="15"/>
  <c r="J227" i="15"/>
  <c r="I239" i="15"/>
  <c r="J252" i="15"/>
  <c r="I255" i="15"/>
  <c r="J255" i="15" s="1"/>
  <c r="I261" i="15"/>
  <c r="I79" i="15"/>
  <c r="J79" i="15" s="1"/>
  <c r="I95" i="15"/>
  <c r="J105" i="15" s="1"/>
  <c r="I6" i="15"/>
  <c r="I54" i="15"/>
  <c r="J64" i="15" s="1"/>
  <c r="I102" i="15"/>
  <c r="I150" i="15"/>
  <c r="J150" i="15" s="1"/>
  <c r="I214" i="15"/>
  <c r="J224" i="15" s="1"/>
  <c r="I230" i="15"/>
  <c r="J230" i="15" s="1"/>
  <c r="I262" i="15"/>
  <c r="J262" i="15" s="1"/>
  <c r="J163" i="15"/>
  <c r="J184" i="15"/>
  <c r="I86" i="15"/>
  <c r="J86" i="15" s="1"/>
  <c r="I15" i="15"/>
  <c r="I47" i="15"/>
  <c r="I143" i="15"/>
  <c r="J211" i="15"/>
  <c r="I38" i="15"/>
  <c r="J48" i="15" s="1"/>
  <c r="I70" i="15"/>
  <c r="J80" i="15" s="1"/>
  <c r="I118" i="15"/>
  <c r="I166" i="15"/>
  <c r="I246" i="15"/>
  <c r="I31" i="15"/>
  <c r="J41" i="15" s="1"/>
  <c r="I111" i="15"/>
  <c r="J121" i="15" s="1"/>
  <c r="I127" i="15"/>
  <c r="I191" i="15"/>
  <c r="I22" i="15"/>
  <c r="J32" i="15" s="1"/>
  <c r="I134" i="15"/>
  <c r="J134" i="15" s="1"/>
  <c r="I182" i="15"/>
  <c r="J182" i="15" s="1"/>
  <c r="I198" i="15"/>
  <c r="J154" i="15"/>
  <c r="I8" i="15"/>
  <c r="I44" i="15"/>
  <c r="J195" i="15"/>
  <c r="J156" i="15"/>
  <c r="I178" i="15"/>
  <c r="J188" i="15" s="1"/>
  <c r="J172" i="15"/>
  <c r="J108" i="15"/>
  <c r="J147" i="15"/>
  <c r="J152" i="15"/>
  <c r="I236" i="15"/>
  <c r="J236" i="15" s="1"/>
  <c r="J117" i="15"/>
  <c r="J101" i="15"/>
  <c r="J140" i="15"/>
  <c r="J104" i="15"/>
  <c r="J136" i="15"/>
  <c r="J28" i="15"/>
  <c r="J177" i="15"/>
  <c r="J88" i="15"/>
  <c r="J168" i="15"/>
  <c r="I3" i="15"/>
  <c r="J13" i="15" s="1"/>
  <c r="I5" i="15"/>
  <c r="J15" i="15" s="1"/>
  <c r="I10" i="15"/>
  <c r="J20" i="15" s="1"/>
  <c r="I17" i="15"/>
  <c r="J27" i="15" s="1"/>
  <c r="I19" i="15"/>
  <c r="J19" i="15" s="1"/>
  <c r="I24" i="15"/>
  <c r="J24" i="15" s="1"/>
  <c r="I26" i="15"/>
  <c r="J26" i="15" s="1"/>
  <c r="J70" i="15"/>
  <c r="J44" i="15"/>
  <c r="J118" i="15"/>
  <c r="J165" i="15"/>
  <c r="J54" i="15"/>
  <c r="J190" i="15"/>
  <c r="J149" i="15"/>
  <c r="J102" i="15"/>
  <c r="J133" i="15"/>
  <c r="I4" i="15"/>
  <c r="J14" i="15" s="1"/>
  <c r="J38" i="15"/>
  <c r="J21" i="15"/>
  <c r="J35" i="15"/>
  <c r="J138" i="15"/>
  <c r="J59" i="15"/>
  <c r="J107" i="15"/>
  <c r="J171" i="15"/>
  <c r="J187" i="15"/>
  <c r="J203" i="15"/>
  <c r="J235" i="15"/>
  <c r="J251" i="15"/>
  <c r="J109" i="15"/>
  <c r="J221" i="15"/>
  <c r="J208" i="15"/>
  <c r="J93" i="15"/>
  <c r="J82" i="15"/>
  <c r="J162" i="15"/>
  <c r="J178" i="15"/>
  <c r="J194" i="15"/>
  <c r="J226" i="15"/>
  <c r="J242" i="15"/>
  <c r="J258" i="15"/>
  <c r="J205" i="15"/>
  <c r="J146" i="15"/>
  <c r="J77" i="15"/>
  <c r="J237" i="15"/>
  <c r="J100" i="15"/>
  <c r="J116" i="15"/>
  <c r="J212" i="15"/>
  <c r="J228" i="15"/>
  <c r="J244" i="15"/>
  <c r="J260" i="15"/>
  <c r="J253" i="15"/>
  <c r="J18" i="15"/>
  <c r="J68" i="15"/>
  <c r="J66" i="15"/>
  <c r="J39" i="15"/>
  <c r="J55" i="15"/>
  <c r="J199" i="15"/>
  <c r="J61" i="15"/>
  <c r="J16" i="15"/>
  <c r="J52" i="15"/>
  <c r="J125" i="15"/>
  <c r="J57" i="15"/>
  <c r="J73" i="15"/>
  <c r="J89" i="15"/>
  <c r="J50" i="15"/>
  <c r="J23" i="15"/>
  <c r="J127" i="15"/>
  <c r="J181" i="15"/>
  <c r="J206" i="15"/>
  <c r="J215" i="15"/>
  <c r="J143" i="15"/>
  <c r="J213" i="15"/>
  <c r="J222" i="15"/>
  <c r="J231" i="15"/>
  <c r="J62" i="15"/>
  <c r="J71" i="15"/>
  <c r="J185" i="15"/>
  <c r="J175" i="15"/>
  <c r="J210" i="15"/>
  <c r="J166" i="15"/>
  <c r="J238" i="15"/>
  <c r="J247" i="15"/>
  <c r="J256" i="15"/>
  <c r="J87" i="15"/>
  <c r="J209" i="15"/>
  <c r="J42" i="15"/>
  <c r="J78" i="15"/>
  <c r="J58" i="15"/>
  <c r="J112" i="15"/>
  <c r="J218" i="15"/>
  <c r="J245" i="15"/>
  <c r="J254" i="15"/>
  <c r="J263" i="15"/>
  <c r="J33" i="15"/>
  <c r="J40" i="15"/>
  <c r="J67" i="15"/>
  <c r="J128" i="15"/>
  <c r="J141" i="15"/>
  <c r="J198" i="15"/>
  <c r="J216" i="15"/>
  <c r="J225" i="15"/>
  <c r="J201" i="15"/>
  <c r="J191" i="15"/>
  <c r="J22" i="15"/>
  <c r="J65" i="15"/>
  <c r="J74" i="15"/>
  <c r="J103" i="15"/>
  <c r="J157" i="15"/>
  <c r="J234" i="15"/>
  <c r="J261" i="15"/>
  <c r="J56" i="15"/>
  <c r="J119" i="15"/>
  <c r="J126" i="15"/>
  <c r="J132" i="15"/>
  <c r="J137" i="15"/>
  <c r="J160" i="15"/>
  <c r="J173" i="15"/>
  <c r="J233" i="15"/>
  <c r="J223" i="15"/>
  <c r="J232" i="15"/>
  <c r="J241" i="15"/>
  <c r="J49" i="15"/>
  <c r="J123" i="15"/>
  <c r="J135" i="15"/>
  <c r="J142" i="15"/>
  <c r="J148" i="15"/>
  <c r="J151" i="15"/>
  <c r="J153" i="15"/>
  <c r="J176" i="15"/>
  <c r="J250" i="15"/>
  <c r="J17" i="15"/>
  <c r="J197" i="15"/>
  <c r="J47" i="15"/>
  <c r="J53" i="15"/>
  <c r="J83" i="15"/>
  <c r="J63" i="15"/>
  <c r="J81" i="15"/>
  <c r="J90" i="15"/>
  <c r="J98" i="15"/>
  <c r="J25" i="15"/>
  <c r="J45" i="15"/>
  <c r="J69" i="15"/>
  <c r="J72" i="15"/>
  <c r="J99" i="15"/>
  <c r="J114" i="15"/>
  <c r="J139" i="15"/>
  <c r="J158" i="15"/>
  <c r="J164" i="15"/>
  <c r="J167" i="15"/>
  <c r="J169" i="15"/>
  <c r="J189" i="15"/>
  <c r="J248" i="15"/>
  <c r="J257" i="15"/>
  <c r="J95" i="15"/>
  <c r="J51" i="15"/>
  <c r="J200" i="15"/>
  <c r="J97" i="15"/>
  <c r="J106" i="15"/>
  <c r="J115" i="15"/>
  <c r="J130" i="15"/>
  <c r="J155" i="15"/>
  <c r="J174" i="15"/>
  <c r="J180" i="15"/>
  <c r="J183" i="15"/>
  <c r="J249" i="15"/>
  <c r="J239" i="15"/>
  <c r="J192" i="15" l="1"/>
  <c r="J96" i="15"/>
  <c r="J214" i="15"/>
  <c r="J219" i="15"/>
  <c r="J207" i="15"/>
  <c r="J31" i="15"/>
  <c r="J111" i="15"/>
  <c r="J84" i="15"/>
  <c r="J240" i="15"/>
  <c r="J75" i="15"/>
  <c r="J144" i="15"/>
  <c r="J34" i="15"/>
  <c r="J36" i="15"/>
  <c r="K3" i="15" s="1"/>
  <c r="L3" i="15" s="1"/>
  <c r="O3" i="5" s="1"/>
  <c r="P3" i="5" s="1"/>
  <c r="Q3" i="5" s="1"/>
  <c r="J29" i="15"/>
  <c r="J246" i="15"/>
  <c r="H263" i="13" l="1"/>
  <c r="G263" i="13"/>
  <c r="F263" i="13"/>
  <c r="E263" i="13"/>
  <c r="D263" i="13"/>
  <c r="C263" i="13"/>
  <c r="B263" i="13"/>
  <c r="H262" i="13"/>
  <c r="G262" i="13"/>
  <c r="F262" i="13"/>
  <c r="E262" i="13"/>
  <c r="D262" i="13"/>
  <c r="C262" i="13"/>
  <c r="B262" i="13"/>
  <c r="H261" i="13"/>
  <c r="G261" i="13"/>
  <c r="F261" i="13"/>
  <c r="E261" i="13"/>
  <c r="D261" i="13"/>
  <c r="C261" i="13"/>
  <c r="B261" i="13"/>
  <c r="H260" i="13"/>
  <c r="G260" i="13"/>
  <c r="F260" i="13"/>
  <c r="E260" i="13"/>
  <c r="D260" i="13"/>
  <c r="C260" i="13"/>
  <c r="B260" i="13"/>
  <c r="H259" i="13"/>
  <c r="G259" i="13"/>
  <c r="F259" i="13"/>
  <c r="E259" i="13"/>
  <c r="D259" i="13"/>
  <c r="C259" i="13"/>
  <c r="B259" i="13"/>
  <c r="H258" i="13"/>
  <c r="G258" i="13"/>
  <c r="F258" i="13"/>
  <c r="E258" i="13"/>
  <c r="D258" i="13"/>
  <c r="C258" i="13"/>
  <c r="B258" i="13"/>
  <c r="H257" i="13"/>
  <c r="G257" i="13"/>
  <c r="F257" i="13"/>
  <c r="E257" i="13"/>
  <c r="D257" i="13"/>
  <c r="C257" i="13"/>
  <c r="B257" i="13"/>
  <c r="H256" i="13"/>
  <c r="G256" i="13"/>
  <c r="F256" i="13"/>
  <c r="E256" i="13"/>
  <c r="D256" i="13"/>
  <c r="C256" i="13"/>
  <c r="B256" i="13"/>
  <c r="H255" i="13"/>
  <c r="G255" i="13"/>
  <c r="F255" i="13"/>
  <c r="E255" i="13"/>
  <c r="D255" i="13"/>
  <c r="C255" i="13"/>
  <c r="B255" i="13"/>
  <c r="H254" i="13"/>
  <c r="G254" i="13"/>
  <c r="F254" i="13"/>
  <c r="E254" i="13"/>
  <c r="D254" i="13"/>
  <c r="C254" i="13"/>
  <c r="B254" i="13"/>
  <c r="H253" i="13"/>
  <c r="G253" i="13"/>
  <c r="F253" i="13"/>
  <c r="E253" i="13"/>
  <c r="D253" i="13"/>
  <c r="C253" i="13"/>
  <c r="B253" i="13"/>
  <c r="H252" i="13"/>
  <c r="G252" i="13"/>
  <c r="F252" i="13"/>
  <c r="E252" i="13"/>
  <c r="D252" i="13"/>
  <c r="C252" i="13"/>
  <c r="B252" i="13"/>
  <c r="H251" i="13"/>
  <c r="G251" i="13"/>
  <c r="F251" i="13"/>
  <c r="E251" i="13"/>
  <c r="D251" i="13"/>
  <c r="C251" i="13"/>
  <c r="B251" i="13"/>
  <c r="H250" i="13"/>
  <c r="G250" i="13"/>
  <c r="F250" i="13"/>
  <c r="E250" i="13"/>
  <c r="D250" i="13"/>
  <c r="C250" i="13"/>
  <c r="B250" i="13"/>
  <c r="H249" i="13"/>
  <c r="G249" i="13"/>
  <c r="F249" i="13"/>
  <c r="E249" i="13"/>
  <c r="D249" i="13"/>
  <c r="C249" i="13"/>
  <c r="B249" i="13"/>
  <c r="H248" i="13"/>
  <c r="G248" i="13"/>
  <c r="F248" i="13"/>
  <c r="E248" i="13"/>
  <c r="D248" i="13"/>
  <c r="C248" i="13"/>
  <c r="B248" i="13"/>
  <c r="H247" i="13"/>
  <c r="G247" i="13"/>
  <c r="F247" i="13"/>
  <c r="E247" i="13"/>
  <c r="D247" i="13"/>
  <c r="C247" i="13"/>
  <c r="B247" i="13"/>
  <c r="H246" i="13"/>
  <c r="G246" i="13"/>
  <c r="F246" i="13"/>
  <c r="E246" i="13"/>
  <c r="D246" i="13"/>
  <c r="C246" i="13"/>
  <c r="B246" i="13"/>
  <c r="H245" i="13"/>
  <c r="G245" i="13"/>
  <c r="F245" i="13"/>
  <c r="E245" i="13"/>
  <c r="D245" i="13"/>
  <c r="C245" i="13"/>
  <c r="B245" i="13"/>
  <c r="H244" i="13"/>
  <c r="G244" i="13"/>
  <c r="F244" i="13"/>
  <c r="E244" i="13"/>
  <c r="D244" i="13"/>
  <c r="C244" i="13"/>
  <c r="B244" i="13"/>
  <c r="H243" i="13"/>
  <c r="G243" i="13"/>
  <c r="F243" i="13"/>
  <c r="E243" i="13"/>
  <c r="D243" i="13"/>
  <c r="C243" i="13"/>
  <c r="B243" i="13"/>
  <c r="H242" i="13"/>
  <c r="G242" i="13"/>
  <c r="F242" i="13"/>
  <c r="E242" i="13"/>
  <c r="D242" i="13"/>
  <c r="C242" i="13"/>
  <c r="B242" i="13"/>
  <c r="H241" i="13"/>
  <c r="G241" i="13"/>
  <c r="F241" i="13"/>
  <c r="E241" i="13"/>
  <c r="D241" i="13"/>
  <c r="C241" i="13"/>
  <c r="B241" i="13"/>
  <c r="H240" i="13"/>
  <c r="G240" i="13"/>
  <c r="F240" i="13"/>
  <c r="E240" i="13"/>
  <c r="D240" i="13"/>
  <c r="C240" i="13"/>
  <c r="B240" i="13"/>
  <c r="H239" i="13"/>
  <c r="G239" i="13"/>
  <c r="F239" i="13"/>
  <c r="E239" i="13"/>
  <c r="D239" i="13"/>
  <c r="C239" i="13"/>
  <c r="B239" i="13"/>
  <c r="H238" i="13"/>
  <c r="G238" i="13"/>
  <c r="F238" i="13"/>
  <c r="E238" i="13"/>
  <c r="D238" i="13"/>
  <c r="C238" i="13"/>
  <c r="B238" i="13"/>
  <c r="H237" i="13"/>
  <c r="G237" i="13"/>
  <c r="F237" i="13"/>
  <c r="I237" i="13" s="1"/>
  <c r="E237" i="13"/>
  <c r="D237" i="13"/>
  <c r="C237" i="13"/>
  <c r="B237" i="13"/>
  <c r="H236" i="13"/>
  <c r="G236" i="13"/>
  <c r="F236" i="13"/>
  <c r="E236" i="13"/>
  <c r="D236" i="13"/>
  <c r="C236" i="13"/>
  <c r="B236" i="13"/>
  <c r="H235" i="13"/>
  <c r="G235" i="13"/>
  <c r="F235" i="13"/>
  <c r="E235" i="13"/>
  <c r="D235" i="13"/>
  <c r="C235" i="13"/>
  <c r="B235" i="13"/>
  <c r="H234" i="13"/>
  <c r="G234" i="13"/>
  <c r="F234" i="13"/>
  <c r="E234" i="13"/>
  <c r="D234" i="13"/>
  <c r="C234" i="13"/>
  <c r="B234" i="13"/>
  <c r="H233" i="13"/>
  <c r="G233" i="13"/>
  <c r="F233" i="13"/>
  <c r="E233" i="13"/>
  <c r="D233" i="13"/>
  <c r="C233" i="13"/>
  <c r="B233" i="13"/>
  <c r="H232" i="13"/>
  <c r="G232" i="13"/>
  <c r="F232" i="13"/>
  <c r="E232" i="13"/>
  <c r="D232" i="13"/>
  <c r="C232" i="13"/>
  <c r="B232" i="13"/>
  <c r="H231" i="13"/>
  <c r="G231" i="13"/>
  <c r="F231" i="13"/>
  <c r="E231" i="13"/>
  <c r="D231" i="13"/>
  <c r="C231" i="13"/>
  <c r="B231" i="13"/>
  <c r="H230" i="13"/>
  <c r="G230" i="13"/>
  <c r="F230" i="13"/>
  <c r="E230" i="13"/>
  <c r="D230" i="13"/>
  <c r="C230" i="13"/>
  <c r="B230" i="13"/>
  <c r="H229" i="13"/>
  <c r="G229" i="13"/>
  <c r="F229" i="13"/>
  <c r="E229" i="13"/>
  <c r="D229" i="13"/>
  <c r="C229" i="13"/>
  <c r="B229" i="13"/>
  <c r="H228" i="13"/>
  <c r="G228" i="13"/>
  <c r="F228" i="13"/>
  <c r="E228" i="13"/>
  <c r="D228" i="13"/>
  <c r="C228" i="13"/>
  <c r="B228" i="13"/>
  <c r="H227" i="13"/>
  <c r="G227" i="13"/>
  <c r="F227" i="13"/>
  <c r="E227" i="13"/>
  <c r="D227" i="13"/>
  <c r="C227" i="13"/>
  <c r="B227" i="13"/>
  <c r="H226" i="13"/>
  <c r="G226" i="13"/>
  <c r="F226" i="13"/>
  <c r="E226" i="13"/>
  <c r="D226" i="13"/>
  <c r="C226" i="13"/>
  <c r="B226" i="13"/>
  <c r="H225" i="13"/>
  <c r="G225" i="13"/>
  <c r="F225" i="13"/>
  <c r="E225" i="13"/>
  <c r="D225" i="13"/>
  <c r="C225" i="13"/>
  <c r="B225" i="13"/>
  <c r="H224" i="13"/>
  <c r="G224" i="13"/>
  <c r="F224" i="13"/>
  <c r="E224" i="13"/>
  <c r="D224" i="13"/>
  <c r="C224" i="13"/>
  <c r="B224" i="13"/>
  <c r="H223" i="13"/>
  <c r="G223" i="13"/>
  <c r="F223" i="13"/>
  <c r="E223" i="13"/>
  <c r="D223" i="13"/>
  <c r="C223" i="13"/>
  <c r="B223" i="13"/>
  <c r="H222" i="13"/>
  <c r="G222" i="13"/>
  <c r="F222" i="13"/>
  <c r="E222" i="13"/>
  <c r="D222" i="13"/>
  <c r="C222" i="13"/>
  <c r="B222" i="13"/>
  <c r="H221" i="13"/>
  <c r="G221" i="13"/>
  <c r="F221" i="13"/>
  <c r="I221" i="13" s="1"/>
  <c r="E221" i="13"/>
  <c r="D221" i="13"/>
  <c r="C221" i="13"/>
  <c r="B221" i="13"/>
  <c r="H220" i="13"/>
  <c r="G220" i="13"/>
  <c r="F220" i="13"/>
  <c r="E220" i="13"/>
  <c r="D220" i="13"/>
  <c r="C220" i="13"/>
  <c r="B220" i="13"/>
  <c r="H219" i="13"/>
  <c r="G219" i="13"/>
  <c r="F219" i="13"/>
  <c r="E219" i="13"/>
  <c r="D219" i="13"/>
  <c r="C219" i="13"/>
  <c r="B219" i="13"/>
  <c r="H218" i="13"/>
  <c r="G218" i="13"/>
  <c r="F218" i="13"/>
  <c r="E218" i="13"/>
  <c r="D218" i="13"/>
  <c r="C218" i="13"/>
  <c r="B218" i="13"/>
  <c r="H217" i="13"/>
  <c r="G217" i="13"/>
  <c r="F217" i="13"/>
  <c r="E217" i="13"/>
  <c r="D217" i="13"/>
  <c r="C217" i="13"/>
  <c r="B217" i="13"/>
  <c r="H216" i="13"/>
  <c r="G216" i="13"/>
  <c r="F216" i="13"/>
  <c r="E216" i="13"/>
  <c r="D216" i="13"/>
  <c r="C216" i="13"/>
  <c r="B216" i="13"/>
  <c r="H215" i="13"/>
  <c r="G215" i="13"/>
  <c r="F215" i="13"/>
  <c r="E215" i="13"/>
  <c r="D215" i="13"/>
  <c r="C215" i="13"/>
  <c r="B215" i="13"/>
  <c r="H214" i="13"/>
  <c r="G214" i="13"/>
  <c r="F214" i="13"/>
  <c r="E214" i="13"/>
  <c r="D214" i="13"/>
  <c r="C214" i="13"/>
  <c r="B214" i="13"/>
  <c r="H213" i="13"/>
  <c r="G213" i="13"/>
  <c r="F213" i="13"/>
  <c r="E213" i="13"/>
  <c r="D213" i="13"/>
  <c r="C213" i="13"/>
  <c r="B213" i="13"/>
  <c r="H212" i="13"/>
  <c r="G212" i="13"/>
  <c r="F212" i="13"/>
  <c r="E212" i="13"/>
  <c r="D212" i="13"/>
  <c r="C212" i="13"/>
  <c r="B212" i="13"/>
  <c r="H211" i="13"/>
  <c r="G211" i="13"/>
  <c r="F211" i="13"/>
  <c r="E211" i="13"/>
  <c r="D211" i="13"/>
  <c r="C211" i="13"/>
  <c r="B211" i="13"/>
  <c r="H210" i="13"/>
  <c r="G210" i="13"/>
  <c r="F210" i="13"/>
  <c r="E210" i="13"/>
  <c r="D210" i="13"/>
  <c r="C210" i="13"/>
  <c r="B210" i="13"/>
  <c r="H209" i="13"/>
  <c r="G209" i="13"/>
  <c r="F209" i="13"/>
  <c r="E209" i="13"/>
  <c r="D209" i="13"/>
  <c r="C209" i="13"/>
  <c r="B209" i="13"/>
  <c r="H208" i="13"/>
  <c r="G208" i="13"/>
  <c r="F208" i="13"/>
  <c r="E208" i="13"/>
  <c r="D208" i="13"/>
  <c r="C208" i="13"/>
  <c r="B208" i="13"/>
  <c r="H207" i="13"/>
  <c r="G207" i="13"/>
  <c r="F207" i="13"/>
  <c r="E207" i="13"/>
  <c r="D207" i="13"/>
  <c r="C207" i="13"/>
  <c r="B207" i="13"/>
  <c r="H206" i="13"/>
  <c r="G206" i="13"/>
  <c r="F206" i="13"/>
  <c r="E206" i="13"/>
  <c r="D206" i="13"/>
  <c r="C206" i="13"/>
  <c r="B206" i="13"/>
  <c r="H205" i="13"/>
  <c r="G205" i="13"/>
  <c r="F205" i="13"/>
  <c r="I205" i="13" s="1"/>
  <c r="E205" i="13"/>
  <c r="D205" i="13"/>
  <c r="C205" i="13"/>
  <c r="B205" i="13"/>
  <c r="H204" i="13"/>
  <c r="G204" i="13"/>
  <c r="F204" i="13"/>
  <c r="E204" i="13"/>
  <c r="D204" i="13"/>
  <c r="C204" i="13"/>
  <c r="B204" i="13"/>
  <c r="H203" i="13"/>
  <c r="G203" i="13"/>
  <c r="F203" i="13"/>
  <c r="E203" i="13"/>
  <c r="D203" i="13"/>
  <c r="C203" i="13"/>
  <c r="B203" i="13"/>
  <c r="H202" i="13"/>
  <c r="G202" i="13"/>
  <c r="F202" i="13"/>
  <c r="E202" i="13"/>
  <c r="D202" i="13"/>
  <c r="C202" i="13"/>
  <c r="B202" i="13"/>
  <c r="H201" i="13"/>
  <c r="G201" i="13"/>
  <c r="F201" i="13"/>
  <c r="E201" i="13"/>
  <c r="D201" i="13"/>
  <c r="C201" i="13"/>
  <c r="B201" i="13"/>
  <c r="H200" i="13"/>
  <c r="G200" i="13"/>
  <c r="F200" i="13"/>
  <c r="E200" i="13"/>
  <c r="D200" i="13"/>
  <c r="C200" i="13"/>
  <c r="B200" i="13"/>
  <c r="H199" i="13"/>
  <c r="G199" i="13"/>
  <c r="F199" i="13"/>
  <c r="E199" i="13"/>
  <c r="D199" i="13"/>
  <c r="C199" i="13"/>
  <c r="B199" i="13"/>
  <c r="H198" i="13"/>
  <c r="G198" i="13"/>
  <c r="F198" i="13"/>
  <c r="E198" i="13"/>
  <c r="D198" i="13"/>
  <c r="C198" i="13"/>
  <c r="B198" i="13"/>
  <c r="H197" i="13"/>
  <c r="G197" i="13"/>
  <c r="F197" i="13"/>
  <c r="E197" i="13"/>
  <c r="D197" i="13"/>
  <c r="C197" i="13"/>
  <c r="B197" i="13"/>
  <c r="H196" i="13"/>
  <c r="G196" i="13"/>
  <c r="F196" i="13"/>
  <c r="E196" i="13"/>
  <c r="D196" i="13"/>
  <c r="C196" i="13"/>
  <c r="B196" i="13"/>
  <c r="H195" i="13"/>
  <c r="G195" i="13"/>
  <c r="F195" i="13"/>
  <c r="E195" i="13"/>
  <c r="D195" i="13"/>
  <c r="C195" i="13"/>
  <c r="B195" i="13"/>
  <c r="H194" i="13"/>
  <c r="G194" i="13"/>
  <c r="F194" i="13"/>
  <c r="E194" i="13"/>
  <c r="D194" i="13"/>
  <c r="C194" i="13"/>
  <c r="B194" i="13"/>
  <c r="H193" i="13"/>
  <c r="G193" i="13"/>
  <c r="F193" i="13"/>
  <c r="E193" i="13"/>
  <c r="D193" i="13"/>
  <c r="C193" i="13"/>
  <c r="B193" i="13"/>
  <c r="H192" i="13"/>
  <c r="G192" i="13"/>
  <c r="F192" i="13"/>
  <c r="E192" i="13"/>
  <c r="D192" i="13"/>
  <c r="C192" i="13"/>
  <c r="B192" i="13"/>
  <c r="H191" i="13"/>
  <c r="G191" i="13"/>
  <c r="F191" i="13"/>
  <c r="E191" i="13"/>
  <c r="D191" i="13"/>
  <c r="C191" i="13"/>
  <c r="B191" i="13"/>
  <c r="H190" i="13"/>
  <c r="G190" i="13"/>
  <c r="F190" i="13"/>
  <c r="E190" i="13"/>
  <c r="D190" i="13"/>
  <c r="C190" i="13"/>
  <c r="B190" i="13"/>
  <c r="H189" i="13"/>
  <c r="G189" i="13"/>
  <c r="F189" i="13"/>
  <c r="I189" i="13" s="1"/>
  <c r="E189" i="13"/>
  <c r="D189" i="13"/>
  <c r="C189" i="13"/>
  <c r="B189" i="13"/>
  <c r="H188" i="13"/>
  <c r="G188" i="13"/>
  <c r="F188" i="13"/>
  <c r="E188" i="13"/>
  <c r="D188" i="13"/>
  <c r="C188" i="13"/>
  <c r="B188" i="13"/>
  <c r="H187" i="13"/>
  <c r="G187" i="13"/>
  <c r="F187" i="13"/>
  <c r="E187" i="13"/>
  <c r="D187" i="13"/>
  <c r="C187" i="13"/>
  <c r="B187" i="13"/>
  <c r="H186" i="13"/>
  <c r="G186" i="13"/>
  <c r="F186" i="13"/>
  <c r="E186" i="13"/>
  <c r="D186" i="13"/>
  <c r="C186" i="13"/>
  <c r="B186" i="13"/>
  <c r="H185" i="13"/>
  <c r="G185" i="13"/>
  <c r="F185" i="13"/>
  <c r="E185" i="13"/>
  <c r="D185" i="13"/>
  <c r="C185" i="13"/>
  <c r="B185" i="13"/>
  <c r="H184" i="13"/>
  <c r="G184" i="13"/>
  <c r="F184" i="13"/>
  <c r="E184" i="13"/>
  <c r="D184" i="13"/>
  <c r="C184" i="13"/>
  <c r="B184" i="13"/>
  <c r="H183" i="13"/>
  <c r="G183" i="13"/>
  <c r="F183" i="13"/>
  <c r="E183" i="13"/>
  <c r="D183" i="13"/>
  <c r="C183" i="13"/>
  <c r="B183" i="13"/>
  <c r="H182" i="13"/>
  <c r="G182" i="13"/>
  <c r="F182" i="13"/>
  <c r="E182" i="13"/>
  <c r="D182" i="13"/>
  <c r="C182" i="13"/>
  <c r="B182" i="13"/>
  <c r="H181" i="13"/>
  <c r="G181" i="13"/>
  <c r="F181" i="13"/>
  <c r="E181" i="13"/>
  <c r="D181" i="13"/>
  <c r="C181" i="13"/>
  <c r="B181" i="13"/>
  <c r="H180" i="13"/>
  <c r="G180" i="13"/>
  <c r="F180" i="13"/>
  <c r="E180" i="13"/>
  <c r="D180" i="13"/>
  <c r="C180" i="13"/>
  <c r="B180" i="13"/>
  <c r="H179" i="13"/>
  <c r="G179" i="13"/>
  <c r="F179" i="13"/>
  <c r="E179" i="13"/>
  <c r="D179" i="13"/>
  <c r="C179" i="13"/>
  <c r="B179" i="13"/>
  <c r="H178" i="13"/>
  <c r="G178" i="13"/>
  <c r="F178" i="13"/>
  <c r="E178" i="13"/>
  <c r="D178" i="13"/>
  <c r="C178" i="13"/>
  <c r="B178" i="13"/>
  <c r="H177" i="13"/>
  <c r="G177" i="13"/>
  <c r="F177" i="13"/>
  <c r="E177" i="13"/>
  <c r="D177" i="13"/>
  <c r="C177" i="13"/>
  <c r="B177" i="13"/>
  <c r="H176" i="13"/>
  <c r="G176" i="13"/>
  <c r="F176" i="13"/>
  <c r="E176" i="13"/>
  <c r="D176" i="13"/>
  <c r="C176" i="13"/>
  <c r="B176" i="13"/>
  <c r="H175" i="13"/>
  <c r="G175" i="13"/>
  <c r="F175" i="13"/>
  <c r="E175" i="13"/>
  <c r="D175" i="13"/>
  <c r="C175" i="13"/>
  <c r="B175" i="13"/>
  <c r="H174" i="13"/>
  <c r="I174" i="13" s="1"/>
  <c r="G174" i="13"/>
  <c r="F174" i="13"/>
  <c r="E174" i="13"/>
  <c r="D174" i="13"/>
  <c r="C174" i="13"/>
  <c r="B174" i="13"/>
  <c r="H173" i="13"/>
  <c r="G173" i="13"/>
  <c r="F173" i="13"/>
  <c r="I173" i="13" s="1"/>
  <c r="E173" i="13"/>
  <c r="D173" i="13"/>
  <c r="C173" i="13"/>
  <c r="B173" i="13"/>
  <c r="H172" i="13"/>
  <c r="G172" i="13"/>
  <c r="F172" i="13"/>
  <c r="E172" i="13"/>
  <c r="D172" i="13"/>
  <c r="C172" i="13"/>
  <c r="B172" i="13"/>
  <c r="H171" i="13"/>
  <c r="G171" i="13"/>
  <c r="F171" i="13"/>
  <c r="E171" i="13"/>
  <c r="D171" i="13"/>
  <c r="C171" i="13"/>
  <c r="B171" i="13"/>
  <c r="H170" i="13"/>
  <c r="G170" i="13"/>
  <c r="F170" i="13"/>
  <c r="E170" i="13"/>
  <c r="D170" i="13"/>
  <c r="C170" i="13"/>
  <c r="B170" i="13"/>
  <c r="H169" i="13"/>
  <c r="G169" i="13"/>
  <c r="F169" i="13"/>
  <c r="E169" i="13"/>
  <c r="D169" i="13"/>
  <c r="C169" i="13"/>
  <c r="B169" i="13"/>
  <c r="H168" i="13"/>
  <c r="G168" i="13"/>
  <c r="F168" i="13"/>
  <c r="E168" i="13"/>
  <c r="D168" i="13"/>
  <c r="C168" i="13"/>
  <c r="B168" i="13"/>
  <c r="H167" i="13"/>
  <c r="G167" i="13"/>
  <c r="F167" i="13"/>
  <c r="E167" i="13"/>
  <c r="D167" i="13"/>
  <c r="C167" i="13"/>
  <c r="B167" i="13"/>
  <c r="H166" i="13"/>
  <c r="G166" i="13"/>
  <c r="F166" i="13"/>
  <c r="E166" i="13"/>
  <c r="D166" i="13"/>
  <c r="C166" i="13"/>
  <c r="B166" i="13"/>
  <c r="H165" i="13"/>
  <c r="G165" i="13"/>
  <c r="F165" i="13"/>
  <c r="E165" i="13"/>
  <c r="D165" i="13"/>
  <c r="C165" i="13"/>
  <c r="B165" i="13"/>
  <c r="H164" i="13"/>
  <c r="G164" i="13"/>
  <c r="F164" i="13"/>
  <c r="E164" i="13"/>
  <c r="D164" i="13"/>
  <c r="C164" i="13"/>
  <c r="B164" i="13"/>
  <c r="H163" i="13"/>
  <c r="G163" i="13"/>
  <c r="F163" i="13"/>
  <c r="E163" i="13"/>
  <c r="D163" i="13"/>
  <c r="C163" i="13"/>
  <c r="B163" i="13"/>
  <c r="H162" i="13"/>
  <c r="G162" i="13"/>
  <c r="F162" i="13"/>
  <c r="E162" i="13"/>
  <c r="D162" i="13"/>
  <c r="C162" i="13"/>
  <c r="B162" i="13"/>
  <c r="H161" i="13"/>
  <c r="G161" i="13"/>
  <c r="F161" i="13"/>
  <c r="E161" i="13"/>
  <c r="D161" i="13"/>
  <c r="C161" i="13"/>
  <c r="B161" i="13"/>
  <c r="H160" i="13"/>
  <c r="G160" i="13"/>
  <c r="F160" i="13"/>
  <c r="E160" i="13"/>
  <c r="D160" i="13"/>
  <c r="C160" i="13"/>
  <c r="B160" i="13"/>
  <c r="H159" i="13"/>
  <c r="G159" i="13"/>
  <c r="F159" i="13"/>
  <c r="E159" i="13"/>
  <c r="D159" i="13"/>
  <c r="C159" i="13"/>
  <c r="B159" i="13"/>
  <c r="H158" i="13"/>
  <c r="I158" i="13" s="1"/>
  <c r="G158" i="13"/>
  <c r="F158" i="13"/>
  <c r="E158" i="13"/>
  <c r="D158" i="13"/>
  <c r="C158" i="13"/>
  <c r="B158" i="13"/>
  <c r="H157" i="13"/>
  <c r="G157" i="13"/>
  <c r="F157" i="13"/>
  <c r="I157" i="13" s="1"/>
  <c r="E157" i="13"/>
  <c r="D157" i="13"/>
  <c r="C157" i="13"/>
  <c r="B157" i="13"/>
  <c r="H156" i="13"/>
  <c r="G156" i="13"/>
  <c r="F156" i="13"/>
  <c r="E156" i="13"/>
  <c r="D156" i="13"/>
  <c r="C156" i="13"/>
  <c r="B156" i="13"/>
  <c r="H155" i="13"/>
  <c r="G155" i="13"/>
  <c r="F155" i="13"/>
  <c r="E155" i="13"/>
  <c r="D155" i="13"/>
  <c r="C155" i="13"/>
  <c r="B155" i="13"/>
  <c r="H154" i="13"/>
  <c r="G154" i="13"/>
  <c r="F154" i="13"/>
  <c r="E154" i="13"/>
  <c r="D154" i="13"/>
  <c r="C154" i="13"/>
  <c r="B154" i="13"/>
  <c r="H153" i="13"/>
  <c r="G153" i="13"/>
  <c r="F153" i="13"/>
  <c r="E153" i="13"/>
  <c r="D153" i="13"/>
  <c r="C153" i="13"/>
  <c r="B153" i="13"/>
  <c r="H152" i="13"/>
  <c r="G152" i="13"/>
  <c r="F152" i="13"/>
  <c r="E152" i="13"/>
  <c r="D152" i="13"/>
  <c r="C152" i="13"/>
  <c r="B152" i="13"/>
  <c r="H151" i="13"/>
  <c r="G151" i="13"/>
  <c r="F151" i="13"/>
  <c r="E151" i="13"/>
  <c r="D151" i="13"/>
  <c r="C151" i="13"/>
  <c r="B151" i="13"/>
  <c r="H150" i="13"/>
  <c r="G150" i="13"/>
  <c r="F150" i="13"/>
  <c r="E150" i="13"/>
  <c r="D150" i="13"/>
  <c r="C150" i="13"/>
  <c r="B150" i="13"/>
  <c r="H149" i="13"/>
  <c r="G149" i="13"/>
  <c r="F149" i="13"/>
  <c r="E149" i="13"/>
  <c r="D149" i="13"/>
  <c r="C149" i="13"/>
  <c r="B149" i="13"/>
  <c r="H148" i="13"/>
  <c r="G148" i="13"/>
  <c r="F148" i="13"/>
  <c r="E148" i="13"/>
  <c r="D148" i="13"/>
  <c r="C148" i="13"/>
  <c r="B148" i="13"/>
  <c r="H147" i="13"/>
  <c r="G147" i="13"/>
  <c r="F147" i="13"/>
  <c r="E147" i="13"/>
  <c r="D147" i="13"/>
  <c r="C147" i="13"/>
  <c r="B147" i="13"/>
  <c r="H146" i="13"/>
  <c r="G146" i="13"/>
  <c r="F146" i="13"/>
  <c r="E146" i="13"/>
  <c r="D146" i="13"/>
  <c r="C146" i="13"/>
  <c r="B146" i="13"/>
  <c r="H145" i="13"/>
  <c r="G145" i="13"/>
  <c r="F145" i="13"/>
  <c r="E145" i="13"/>
  <c r="D145" i="13"/>
  <c r="C145" i="13"/>
  <c r="B145" i="13"/>
  <c r="H144" i="13"/>
  <c r="G144" i="13"/>
  <c r="F144" i="13"/>
  <c r="E144" i="13"/>
  <c r="D144" i="13"/>
  <c r="C144" i="13"/>
  <c r="B144" i="13"/>
  <c r="H143" i="13"/>
  <c r="G143" i="13"/>
  <c r="F143" i="13"/>
  <c r="E143" i="13"/>
  <c r="D143" i="13"/>
  <c r="C143" i="13"/>
  <c r="B143" i="13"/>
  <c r="H142" i="13"/>
  <c r="G142" i="13"/>
  <c r="F142" i="13"/>
  <c r="E142" i="13"/>
  <c r="D142" i="13"/>
  <c r="C142" i="13"/>
  <c r="B142" i="13"/>
  <c r="H141" i="13"/>
  <c r="G141" i="13"/>
  <c r="F141" i="13"/>
  <c r="I141" i="13" s="1"/>
  <c r="E141" i="13"/>
  <c r="D141" i="13"/>
  <c r="C141" i="13"/>
  <c r="B141" i="13"/>
  <c r="H140" i="13"/>
  <c r="G140" i="13"/>
  <c r="F140" i="13"/>
  <c r="E140" i="13"/>
  <c r="D140" i="13"/>
  <c r="C140" i="13"/>
  <c r="B140" i="13"/>
  <c r="H139" i="13"/>
  <c r="G139" i="13"/>
  <c r="F139" i="13"/>
  <c r="E139" i="13"/>
  <c r="D139" i="13"/>
  <c r="C139" i="13"/>
  <c r="B139" i="13"/>
  <c r="H138" i="13"/>
  <c r="G138" i="13"/>
  <c r="F138" i="13"/>
  <c r="E138" i="13"/>
  <c r="D138" i="13"/>
  <c r="C138" i="13"/>
  <c r="B138" i="13"/>
  <c r="H137" i="13"/>
  <c r="G137" i="13"/>
  <c r="F137" i="13"/>
  <c r="E137" i="13"/>
  <c r="D137" i="13"/>
  <c r="C137" i="13"/>
  <c r="B137" i="13"/>
  <c r="H136" i="13"/>
  <c r="G136" i="13"/>
  <c r="F136" i="13"/>
  <c r="E136" i="13"/>
  <c r="D136" i="13"/>
  <c r="C136" i="13"/>
  <c r="B136" i="13"/>
  <c r="H135" i="13"/>
  <c r="G135" i="13"/>
  <c r="F135" i="13"/>
  <c r="E135" i="13"/>
  <c r="D135" i="13"/>
  <c r="C135" i="13"/>
  <c r="B135" i="13"/>
  <c r="H134" i="13"/>
  <c r="G134" i="13"/>
  <c r="F134" i="13"/>
  <c r="E134" i="13"/>
  <c r="D134" i="13"/>
  <c r="C134" i="13"/>
  <c r="B134" i="13"/>
  <c r="H133" i="13"/>
  <c r="G133" i="13"/>
  <c r="F133" i="13"/>
  <c r="E133" i="13"/>
  <c r="D133" i="13"/>
  <c r="C133" i="13"/>
  <c r="B133" i="13"/>
  <c r="H132" i="13"/>
  <c r="G132" i="13"/>
  <c r="F132" i="13"/>
  <c r="E132" i="13"/>
  <c r="D132" i="13"/>
  <c r="C132" i="13"/>
  <c r="B132" i="13"/>
  <c r="H131" i="13"/>
  <c r="G131" i="13"/>
  <c r="F131" i="13"/>
  <c r="E131" i="13"/>
  <c r="D131" i="13"/>
  <c r="C131" i="13"/>
  <c r="B131" i="13"/>
  <c r="H130" i="13"/>
  <c r="G130" i="13"/>
  <c r="F130" i="13"/>
  <c r="E130" i="13"/>
  <c r="D130" i="13"/>
  <c r="C130" i="13"/>
  <c r="B130" i="13"/>
  <c r="H129" i="13"/>
  <c r="G129" i="13"/>
  <c r="F129" i="13"/>
  <c r="E129" i="13"/>
  <c r="D129" i="13"/>
  <c r="C129" i="13"/>
  <c r="B129" i="13"/>
  <c r="H128" i="13"/>
  <c r="G128" i="13"/>
  <c r="F128" i="13"/>
  <c r="E128" i="13"/>
  <c r="D128" i="13"/>
  <c r="C128" i="13"/>
  <c r="B128" i="13"/>
  <c r="H127" i="13"/>
  <c r="G127" i="13"/>
  <c r="F127" i="13"/>
  <c r="E127" i="13"/>
  <c r="D127" i="13"/>
  <c r="C127" i="13"/>
  <c r="B127" i="13"/>
  <c r="H126" i="13"/>
  <c r="G126" i="13"/>
  <c r="F126" i="13"/>
  <c r="E126" i="13"/>
  <c r="D126" i="13"/>
  <c r="C126" i="13"/>
  <c r="B126" i="13"/>
  <c r="H125" i="13"/>
  <c r="G125" i="13"/>
  <c r="F125" i="13"/>
  <c r="I125" i="13" s="1"/>
  <c r="E125" i="13"/>
  <c r="D125" i="13"/>
  <c r="C125" i="13"/>
  <c r="B125" i="13"/>
  <c r="H124" i="13"/>
  <c r="G124" i="13"/>
  <c r="F124" i="13"/>
  <c r="E124" i="13"/>
  <c r="D124" i="13"/>
  <c r="C124" i="13"/>
  <c r="B124" i="13"/>
  <c r="H123" i="13"/>
  <c r="G123" i="13"/>
  <c r="F123" i="13"/>
  <c r="E123" i="13"/>
  <c r="D123" i="13"/>
  <c r="C123" i="13"/>
  <c r="B123" i="13"/>
  <c r="H122" i="13"/>
  <c r="G122" i="13"/>
  <c r="F122" i="13"/>
  <c r="E122" i="13"/>
  <c r="D122" i="13"/>
  <c r="C122" i="13"/>
  <c r="B122" i="13"/>
  <c r="H121" i="13"/>
  <c r="G121" i="13"/>
  <c r="F121" i="13"/>
  <c r="E121" i="13"/>
  <c r="D121" i="13"/>
  <c r="C121" i="13"/>
  <c r="B121" i="13"/>
  <c r="H120" i="13"/>
  <c r="G120" i="13"/>
  <c r="F120" i="13"/>
  <c r="E120" i="13"/>
  <c r="D120" i="13"/>
  <c r="C120" i="13"/>
  <c r="B120" i="13"/>
  <c r="H119" i="13"/>
  <c r="G119" i="13"/>
  <c r="F119" i="13"/>
  <c r="E119" i="13"/>
  <c r="D119" i="13"/>
  <c r="C119" i="13"/>
  <c r="B119" i="13"/>
  <c r="H118" i="13"/>
  <c r="G118" i="13"/>
  <c r="F118" i="13"/>
  <c r="E118" i="13"/>
  <c r="D118" i="13"/>
  <c r="C118" i="13"/>
  <c r="B118" i="13"/>
  <c r="H117" i="13"/>
  <c r="G117" i="13"/>
  <c r="F117" i="13"/>
  <c r="E117" i="13"/>
  <c r="D117" i="13"/>
  <c r="C117" i="13"/>
  <c r="B117" i="13"/>
  <c r="H116" i="13"/>
  <c r="G116" i="13"/>
  <c r="F116" i="13"/>
  <c r="E116" i="13"/>
  <c r="D116" i="13"/>
  <c r="C116" i="13"/>
  <c r="B116" i="13"/>
  <c r="H115" i="13"/>
  <c r="G115" i="13"/>
  <c r="F115" i="13"/>
  <c r="E115" i="13"/>
  <c r="D115" i="13"/>
  <c r="C115" i="13"/>
  <c r="B115" i="13"/>
  <c r="H114" i="13"/>
  <c r="G114" i="13"/>
  <c r="F114" i="13"/>
  <c r="E114" i="13"/>
  <c r="D114" i="13"/>
  <c r="C114" i="13"/>
  <c r="B114" i="13"/>
  <c r="H113" i="13"/>
  <c r="G113" i="13"/>
  <c r="F113" i="13"/>
  <c r="E113" i="13"/>
  <c r="D113" i="13"/>
  <c r="C113" i="13"/>
  <c r="B113" i="13"/>
  <c r="H112" i="13"/>
  <c r="G112" i="13"/>
  <c r="F112" i="13"/>
  <c r="E112" i="13"/>
  <c r="D112" i="13"/>
  <c r="C112" i="13"/>
  <c r="B112" i="13"/>
  <c r="H111" i="13"/>
  <c r="G111" i="13"/>
  <c r="F111" i="13"/>
  <c r="E111" i="13"/>
  <c r="D111" i="13"/>
  <c r="C111" i="13"/>
  <c r="B111" i="13"/>
  <c r="H110" i="13"/>
  <c r="G110" i="13"/>
  <c r="F110" i="13"/>
  <c r="E110" i="13"/>
  <c r="D110" i="13"/>
  <c r="C110" i="13"/>
  <c r="B110" i="13"/>
  <c r="H109" i="13"/>
  <c r="G109" i="13"/>
  <c r="F109" i="13"/>
  <c r="I109" i="13" s="1"/>
  <c r="E109" i="13"/>
  <c r="D109" i="13"/>
  <c r="C109" i="13"/>
  <c r="B109" i="13"/>
  <c r="H108" i="13"/>
  <c r="G108" i="13"/>
  <c r="F108" i="13"/>
  <c r="E108" i="13"/>
  <c r="D108" i="13"/>
  <c r="C108" i="13"/>
  <c r="B108" i="13"/>
  <c r="H107" i="13"/>
  <c r="G107" i="13"/>
  <c r="F107" i="13"/>
  <c r="E107" i="13"/>
  <c r="D107" i="13"/>
  <c r="C107" i="13"/>
  <c r="B107" i="13"/>
  <c r="H106" i="13"/>
  <c r="G106" i="13"/>
  <c r="F106" i="13"/>
  <c r="E106" i="13"/>
  <c r="D106" i="13"/>
  <c r="C106" i="13"/>
  <c r="B106" i="13"/>
  <c r="H105" i="13"/>
  <c r="G105" i="13"/>
  <c r="F105" i="13"/>
  <c r="E105" i="13"/>
  <c r="D105" i="13"/>
  <c r="C105" i="13"/>
  <c r="B105" i="13"/>
  <c r="H104" i="13"/>
  <c r="G104" i="13"/>
  <c r="F104" i="13"/>
  <c r="E104" i="13"/>
  <c r="D104" i="13"/>
  <c r="C104" i="13"/>
  <c r="B104" i="13"/>
  <c r="H103" i="13"/>
  <c r="G103" i="13"/>
  <c r="F103" i="13"/>
  <c r="E103" i="13"/>
  <c r="D103" i="13"/>
  <c r="C103" i="13"/>
  <c r="B103" i="13"/>
  <c r="H102" i="13"/>
  <c r="G102" i="13"/>
  <c r="F102" i="13"/>
  <c r="E102" i="13"/>
  <c r="D102" i="13"/>
  <c r="C102" i="13"/>
  <c r="B102" i="13"/>
  <c r="H101" i="13"/>
  <c r="G101" i="13"/>
  <c r="F101" i="13"/>
  <c r="E101" i="13"/>
  <c r="D101" i="13"/>
  <c r="C101" i="13"/>
  <c r="B101" i="13"/>
  <c r="H100" i="13"/>
  <c r="G100" i="13"/>
  <c r="F100" i="13"/>
  <c r="E100" i="13"/>
  <c r="D100" i="13"/>
  <c r="C100" i="13"/>
  <c r="B100" i="13"/>
  <c r="H99" i="13"/>
  <c r="G99" i="13"/>
  <c r="F99" i="13"/>
  <c r="E99" i="13"/>
  <c r="D99" i="13"/>
  <c r="C99" i="13"/>
  <c r="B99" i="13"/>
  <c r="H98" i="13"/>
  <c r="G98" i="13"/>
  <c r="F98" i="13"/>
  <c r="E98" i="13"/>
  <c r="D98" i="13"/>
  <c r="C98" i="13"/>
  <c r="B98" i="13"/>
  <c r="H97" i="13"/>
  <c r="G97" i="13"/>
  <c r="F97" i="13"/>
  <c r="E97" i="13"/>
  <c r="D97" i="13"/>
  <c r="C97" i="13"/>
  <c r="B97" i="13"/>
  <c r="H96" i="13"/>
  <c r="G96" i="13"/>
  <c r="F96" i="13"/>
  <c r="E96" i="13"/>
  <c r="D96" i="13"/>
  <c r="C96" i="13"/>
  <c r="B96" i="13"/>
  <c r="H95" i="13"/>
  <c r="G95" i="13"/>
  <c r="F95" i="13"/>
  <c r="E95" i="13"/>
  <c r="D95" i="13"/>
  <c r="C95" i="13"/>
  <c r="B95" i="13"/>
  <c r="H94" i="13"/>
  <c r="G94" i="13"/>
  <c r="F94" i="13"/>
  <c r="E94" i="13"/>
  <c r="D94" i="13"/>
  <c r="C94" i="13"/>
  <c r="B94" i="13"/>
  <c r="H93" i="13"/>
  <c r="G93" i="13"/>
  <c r="F93" i="13"/>
  <c r="I93" i="13" s="1"/>
  <c r="E93" i="13"/>
  <c r="D93" i="13"/>
  <c r="C93" i="13"/>
  <c r="B93" i="13"/>
  <c r="H92" i="13"/>
  <c r="G92" i="13"/>
  <c r="F92" i="13"/>
  <c r="E92" i="13"/>
  <c r="D92" i="13"/>
  <c r="C92" i="13"/>
  <c r="B92" i="13"/>
  <c r="H91" i="13"/>
  <c r="G91" i="13"/>
  <c r="F91" i="13"/>
  <c r="E91" i="13"/>
  <c r="D91" i="13"/>
  <c r="C91" i="13"/>
  <c r="B91" i="13"/>
  <c r="H90" i="13"/>
  <c r="G90" i="13"/>
  <c r="F90" i="13"/>
  <c r="E90" i="13"/>
  <c r="D90" i="13"/>
  <c r="C90" i="13"/>
  <c r="B90" i="13"/>
  <c r="H89" i="13"/>
  <c r="G89" i="13"/>
  <c r="F89" i="13"/>
  <c r="E89" i="13"/>
  <c r="D89" i="13"/>
  <c r="C89" i="13"/>
  <c r="B89" i="13"/>
  <c r="H88" i="13"/>
  <c r="G88" i="13"/>
  <c r="F88" i="13"/>
  <c r="E88" i="13"/>
  <c r="D88" i="13"/>
  <c r="C88" i="13"/>
  <c r="B88" i="13"/>
  <c r="H87" i="13"/>
  <c r="G87" i="13"/>
  <c r="F87" i="13"/>
  <c r="E87" i="13"/>
  <c r="D87" i="13"/>
  <c r="C87" i="13"/>
  <c r="B87" i="13"/>
  <c r="H86" i="13"/>
  <c r="G86" i="13"/>
  <c r="F86" i="13"/>
  <c r="E86" i="13"/>
  <c r="D86" i="13"/>
  <c r="C86" i="13"/>
  <c r="B86" i="13"/>
  <c r="H85" i="13"/>
  <c r="G85" i="13"/>
  <c r="F85" i="13"/>
  <c r="E85" i="13"/>
  <c r="D85" i="13"/>
  <c r="C85" i="13"/>
  <c r="B85" i="13"/>
  <c r="H84" i="13"/>
  <c r="G84" i="13"/>
  <c r="F84" i="13"/>
  <c r="E84" i="13"/>
  <c r="D84" i="13"/>
  <c r="C84" i="13"/>
  <c r="B84" i="13"/>
  <c r="H83" i="13"/>
  <c r="G83" i="13"/>
  <c r="F83" i="13"/>
  <c r="E83" i="13"/>
  <c r="D83" i="13"/>
  <c r="C83" i="13"/>
  <c r="B83" i="13"/>
  <c r="H82" i="13"/>
  <c r="G82" i="13"/>
  <c r="F82" i="13"/>
  <c r="E82" i="13"/>
  <c r="D82" i="13"/>
  <c r="C82" i="13"/>
  <c r="B82" i="13"/>
  <c r="H81" i="13"/>
  <c r="G81" i="13"/>
  <c r="F81" i="13"/>
  <c r="E81" i="13"/>
  <c r="D81" i="13"/>
  <c r="C81" i="13"/>
  <c r="B81" i="13"/>
  <c r="H80" i="13"/>
  <c r="G80" i="13"/>
  <c r="F80" i="13"/>
  <c r="E80" i="13"/>
  <c r="D80" i="13"/>
  <c r="C80" i="13"/>
  <c r="B80" i="13"/>
  <c r="H79" i="13"/>
  <c r="G79" i="13"/>
  <c r="F79" i="13"/>
  <c r="E79" i="13"/>
  <c r="D79" i="13"/>
  <c r="C79" i="13"/>
  <c r="B79" i="13"/>
  <c r="H78" i="13"/>
  <c r="G78" i="13"/>
  <c r="F78" i="13"/>
  <c r="E78" i="13"/>
  <c r="D78" i="13"/>
  <c r="C78" i="13"/>
  <c r="B78" i="13"/>
  <c r="H77" i="13"/>
  <c r="G77" i="13"/>
  <c r="F77" i="13"/>
  <c r="I77" i="13" s="1"/>
  <c r="E77" i="13"/>
  <c r="D77" i="13"/>
  <c r="C77" i="13"/>
  <c r="B77" i="13"/>
  <c r="H76" i="13"/>
  <c r="G76" i="13"/>
  <c r="F76" i="13"/>
  <c r="E76" i="13"/>
  <c r="D76" i="13"/>
  <c r="C76" i="13"/>
  <c r="B76" i="13"/>
  <c r="H75" i="13"/>
  <c r="G75" i="13"/>
  <c r="F75" i="13"/>
  <c r="E75" i="13"/>
  <c r="D75" i="13"/>
  <c r="C75" i="13"/>
  <c r="B75" i="13"/>
  <c r="H74" i="13"/>
  <c r="G74" i="13"/>
  <c r="F74" i="13"/>
  <c r="E74" i="13"/>
  <c r="D74" i="13"/>
  <c r="C74" i="13"/>
  <c r="B74" i="13"/>
  <c r="H73" i="13"/>
  <c r="G73" i="13"/>
  <c r="F73" i="13"/>
  <c r="E73" i="13"/>
  <c r="D73" i="13"/>
  <c r="C73" i="13"/>
  <c r="B73" i="13"/>
  <c r="H72" i="13"/>
  <c r="G72" i="13"/>
  <c r="F72" i="13"/>
  <c r="E72" i="13"/>
  <c r="D72" i="13"/>
  <c r="C72" i="13"/>
  <c r="B72" i="13"/>
  <c r="H71" i="13"/>
  <c r="G71" i="13"/>
  <c r="F71" i="13"/>
  <c r="E71" i="13"/>
  <c r="D71" i="13"/>
  <c r="C71" i="13"/>
  <c r="B71" i="13"/>
  <c r="H70" i="13"/>
  <c r="G70" i="13"/>
  <c r="F70" i="13"/>
  <c r="E70" i="13"/>
  <c r="D70" i="13"/>
  <c r="C70" i="13"/>
  <c r="B70" i="13"/>
  <c r="H69" i="13"/>
  <c r="G69" i="13"/>
  <c r="F69" i="13"/>
  <c r="E69" i="13"/>
  <c r="D69" i="13"/>
  <c r="C69" i="13"/>
  <c r="B69" i="13"/>
  <c r="H68" i="13"/>
  <c r="G68" i="13"/>
  <c r="F68" i="13"/>
  <c r="E68" i="13"/>
  <c r="D68" i="13"/>
  <c r="C68" i="13"/>
  <c r="B68" i="13"/>
  <c r="H67" i="13"/>
  <c r="G67" i="13"/>
  <c r="F67" i="13"/>
  <c r="E67" i="13"/>
  <c r="D67" i="13"/>
  <c r="C67" i="13"/>
  <c r="B67" i="13"/>
  <c r="H66" i="13"/>
  <c r="G66" i="13"/>
  <c r="F66" i="13"/>
  <c r="E66" i="13"/>
  <c r="D66" i="13"/>
  <c r="C66" i="13"/>
  <c r="B66" i="13"/>
  <c r="H65" i="13"/>
  <c r="G65" i="13"/>
  <c r="F65" i="13"/>
  <c r="E65" i="13"/>
  <c r="D65" i="13"/>
  <c r="C65" i="13"/>
  <c r="B65" i="13"/>
  <c r="H64" i="13"/>
  <c r="G64" i="13"/>
  <c r="F64" i="13"/>
  <c r="E64" i="13"/>
  <c r="D64" i="13"/>
  <c r="C64" i="13"/>
  <c r="B64" i="13"/>
  <c r="H63" i="13"/>
  <c r="G63" i="13"/>
  <c r="F63" i="13"/>
  <c r="E63" i="13"/>
  <c r="D63" i="13"/>
  <c r="C63" i="13"/>
  <c r="B63" i="13"/>
  <c r="H62" i="13"/>
  <c r="G62" i="13"/>
  <c r="F62" i="13"/>
  <c r="E62" i="13"/>
  <c r="D62" i="13"/>
  <c r="C62" i="13"/>
  <c r="B62" i="13"/>
  <c r="H61" i="13"/>
  <c r="G61" i="13"/>
  <c r="F61" i="13"/>
  <c r="I61" i="13" s="1"/>
  <c r="E61" i="13"/>
  <c r="D61" i="13"/>
  <c r="C61" i="13"/>
  <c r="B61" i="13"/>
  <c r="H60" i="13"/>
  <c r="G60" i="13"/>
  <c r="F60" i="13"/>
  <c r="E60" i="13"/>
  <c r="D60" i="13"/>
  <c r="C60" i="13"/>
  <c r="B60" i="13"/>
  <c r="H59" i="13"/>
  <c r="G59" i="13"/>
  <c r="F59" i="13"/>
  <c r="E59" i="13"/>
  <c r="D59" i="13"/>
  <c r="C59" i="13"/>
  <c r="B59" i="13"/>
  <c r="H58" i="13"/>
  <c r="G58" i="13"/>
  <c r="F58" i="13"/>
  <c r="E58" i="13"/>
  <c r="D58" i="13"/>
  <c r="C58" i="13"/>
  <c r="B58" i="13"/>
  <c r="H57" i="13"/>
  <c r="G57" i="13"/>
  <c r="F57" i="13"/>
  <c r="E57" i="13"/>
  <c r="D57" i="13"/>
  <c r="C57" i="13"/>
  <c r="B57" i="13"/>
  <c r="H56" i="13"/>
  <c r="G56" i="13"/>
  <c r="F56" i="13"/>
  <c r="E56" i="13"/>
  <c r="D56" i="13"/>
  <c r="C56" i="13"/>
  <c r="B56" i="13"/>
  <c r="H55" i="13"/>
  <c r="G55" i="13"/>
  <c r="F55" i="13"/>
  <c r="E55" i="13"/>
  <c r="D55" i="13"/>
  <c r="C55" i="13"/>
  <c r="B55" i="13"/>
  <c r="H54" i="13"/>
  <c r="G54" i="13"/>
  <c r="F54" i="13"/>
  <c r="E54" i="13"/>
  <c r="D54" i="13"/>
  <c r="C54" i="13"/>
  <c r="B54" i="13"/>
  <c r="H53" i="13"/>
  <c r="G53" i="13"/>
  <c r="F53" i="13"/>
  <c r="E53" i="13"/>
  <c r="D53" i="13"/>
  <c r="C53" i="13"/>
  <c r="B53" i="13"/>
  <c r="H52" i="13"/>
  <c r="G52" i="13"/>
  <c r="F52" i="13"/>
  <c r="E52" i="13"/>
  <c r="D52" i="13"/>
  <c r="C52" i="13"/>
  <c r="B52" i="13"/>
  <c r="H51" i="13"/>
  <c r="G51" i="13"/>
  <c r="F51" i="13"/>
  <c r="E51" i="13"/>
  <c r="D51" i="13"/>
  <c r="C51" i="13"/>
  <c r="B51" i="13"/>
  <c r="H50" i="13"/>
  <c r="G50" i="13"/>
  <c r="F50" i="13"/>
  <c r="E50" i="13"/>
  <c r="D50" i="13"/>
  <c r="C50" i="13"/>
  <c r="B50" i="13"/>
  <c r="H49" i="13"/>
  <c r="G49" i="13"/>
  <c r="F49" i="13"/>
  <c r="E49" i="13"/>
  <c r="D49" i="13"/>
  <c r="C49" i="13"/>
  <c r="B49" i="13"/>
  <c r="H48" i="13"/>
  <c r="G48" i="13"/>
  <c r="F48" i="13"/>
  <c r="E48" i="13"/>
  <c r="D48" i="13"/>
  <c r="C48" i="13"/>
  <c r="B48" i="13"/>
  <c r="H47" i="13"/>
  <c r="G47" i="13"/>
  <c r="F47" i="13"/>
  <c r="E47" i="13"/>
  <c r="D47" i="13"/>
  <c r="C47" i="13"/>
  <c r="B47" i="13"/>
  <c r="H46" i="13"/>
  <c r="G46" i="13"/>
  <c r="F46" i="13"/>
  <c r="E46" i="13"/>
  <c r="D46" i="13"/>
  <c r="C46" i="13"/>
  <c r="B46" i="13"/>
  <c r="H45" i="13"/>
  <c r="G45" i="13"/>
  <c r="F45" i="13"/>
  <c r="I45" i="13" s="1"/>
  <c r="E45" i="13"/>
  <c r="D45" i="13"/>
  <c r="C45" i="13"/>
  <c r="B45" i="13"/>
  <c r="H44" i="13"/>
  <c r="G44" i="13"/>
  <c r="F44" i="13"/>
  <c r="E44" i="13"/>
  <c r="D44" i="13"/>
  <c r="C44" i="13"/>
  <c r="B44" i="13"/>
  <c r="H43" i="13"/>
  <c r="G43" i="13"/>
  <c r="F43" i="13"/>
  <c r="E43" i="13"/>
  <c r="D43" i="13"/>
  <c r="C43" i="13"/>
  <c r="B43" i="13"/>
  <c r="H42" i="13"/>
  <c r="G42" i="13"/>
  <c r="F42" i="13"/>
  <c r="E42" i="13"/>
  <c r="D42" i="13"/>
  <c r="C42" i="13"/>
  <c r="B42" i="13"/>
  <c r="H41" i="13"/>
  <c r="G41" i="13"/>
  <c r="F41" i="13"/>
  <c r="E41" i="13"/>
  <c r="D41" i="13"/>
  <c r="C41" i="13"/>
  <c r="B41" i="13"/>
  <c r="H40" i="13"/>
  <c r="G40" i="13"/>
  <c r="F40" i="13"/>
  <c r="E40" i="13"/>
  <c r="D40" i="13"/>
  <c r="C40" i="13"/>
  <c r="B40" i="13"/>
  <c r="H39" i="13"/>
  <c r="G39" i="13"/>
  <c r="F39" i="13"/>
  <c r="E39" i="13"/>
  <c r="D39" i="13"/>
  <c r="C39" i="13"/>
  <c r="B39" i="13"/>
  <c r="H38" i="13"/>
  <c r="G38" i="13"/>
  <c r="F38" i="13"/>
  <c r="E38" i="13"/>
  <c r="D38" i="13"/>
  <c r="C38" i="13"/>
  <c r="B38" i="13"/>
  <c r="H37" i="13"/>
  <c r="G37" i="13"/>
  <c r="F37" i="13"/>
  <c r="E37" i="13"/>
  <c r="D37" i="13"/>
  <c r="C37" i="13"/>
  <c r="B37" i="13"/>
  <c r="H36" i="13"/>
  <c r="G36" i="13"/>
  <c r="F36" i="13"/>
  <c r="E36" i="13"/>
  <c r="D36" i="13"/>
  <c r="C36" i="13"/>
  <c r="B36" i="13"/>
  <c r="H35" i="13"/>
  <c r="G35" i="13"/>
  <c r="F35" i="13"/>
  <c r="E35" i="13"/>
  <c r="D35" i="13"/>
  <c r="C35" i="13"/>
  <c r="B35" i="13"/>
  <c r="H34" i="13"/>
  <c r="G34" i="13"/>
  <c r="F34" i="13"/>
  <c r="E34" i="13"/>
  <c r="D34" i="13"/>
  <c r="C34" i="13"/>
  <c r="B34" i="13"/>
  <c r="H33" i="13"/>
  <c r="G33" i="13"/>
  <c r="F33" i="13"/>
  <c r="E33" i="13"/>
  <c r="D33" i="13"/>
  <c r="C33" i="13"/>
  <c r="B33" i="13"/>
  <c r="H32" i="13"/>
  <c r="G32" i="13"/>
  <c r="F32" i="13"/>
  <c r="E32" i="13"/>
  <c r="D32" i="13"/>
  <c r="C32" i="13"/>
  <c r="B32" i="13"/>
  <c r="H31" i="13"/>
  <c r="G31" i="13"/>
  <c r="F31" i="13"/>
  <c r="E31" i="13"/>
  <c r="D31" i="13"/>
  <c r="C31" i="13"/>
  <c r="B31" i="13"/>
  <c r="H30" i="13"/>
  <c r="G30" i="13"/>
  <c r="F30" i="13"/>
  <c r="E30" i="13"/>
  <c r="D30" i="13"/>
  <c r="C30" i="13"/>
  <c r="B30" i="13"/>
  <c r="H29" i="13"/>
  <c r="G29" i="13"/>
  <c r="F29" i="13"/>
  <c r="I29" i="13" s="1"/>
  <c r="E29" i="13"/>
  <c r="D29" i="13"/>
  <c r="C29" i="13"/>
  <c r="B29" i="13"/>
  <c r="H28" i="13"/>
  <c r="G28" i="13"/>
  <c r="F28" i="13"/>
  <c r="E28" i="13"/>
  <c r="D28" i="13"/>
  <c r="C28" i="13"/>
  <c r="B28" i="13"/>
  <c r="H27" i="13"/>
  <c r="G27" i="13"/>
  <c r="F27" i="13"/>
  <c r="E27" i="13"/>
  <c r="D27" i="13"/>
  <c r="C27" i="13"/>
  <c r="B27" i="13"/>
  <c r="H26" i="13"/>
  <c r="G26" i="13"/>
  <c r="F26" i="13"/>
  <c r="E26" i="13"/>
  <c r="D26" i="13"/>
  <c r="C26" i="13"/>
  <c r="B26" i="13"/>
  <c r="H25" i="13"/>
  <c r="G25" i="13"/>
  <c r="F25" i="13"/>
  <c r="E25" i="13"/>
  <c r="D25" i="13"/>
  <c r="C25" i="13"/>
  <c r="B25" i="13"/>
  <c r="H24" i="13"/>
  <c r="G24" i="13"/>
  <c r="F24" i="13"/>
  <c r="E24" i="13"/>
  <c r="D24" i="13"/>
  <c r="C24" i="13"/>
  <c r="B24" i="13"/>
  <c r="H23" i="13"/>
  <c r="G23" i="13"/>
  <c r="F23" i="13"/>
  <c r="E23" i="13"/>
  <c r="D23" i="13"/>
  <c r="C23" i="13"/>
  <c r="B23" i="13"/>
  <c r="H22" i="13"/>
  <c r="G22" i="13"/>
  <c r="F22" i="13"/>
  <c r="E22" i="13"/>
  <c r="D22" i="13"/>
  <c r="C22" i="13"/>
  <c r="B22" i="13"/>
  <c r="H21" i="13"/>
  <c r="G21" i="13"/>
  <c r="F21" i="13"/>
  <c r="E21" i="13"/>
  <c r="D21" i="13"/>
  <c r="C21" i="13"/>
  <c r="B21" i="13"/>
  <c r="H20" i="13"/>
  <c r="G20" i="13"/>
  <c r="F20" i="13"/>
  <c r="E20" i="13"/>
  <c r="D20" i="13"/>
  <c r="C20" i="13"/>
  <c r="B20" i="13"/>
  <c r="H19" i="13"/>
  <c r="G19" i="13"/>
  <c r="F19" i="13"/>
  <c r="E19" i="13"/>
  <c r="D19" i="13"/>
  <c r="C19" i="13"/>
  <c r="B19" i="13"/>
  <c r="H18" i="13"/>
  <c r="G18" i="13"/>
  <c r="F18" i="13"/>
  <c r="E18" i="13"/>
  <c r="D18" i="13"/>
  <c r="C18" i="13"/>
  <c r="B18" i="13"/>
  <c r="H17" i="13"/>
  <c r="G17" i="13"/>
  <c r="F17" i="13"/>
  <c r="E17" i="13"/>
  <c r="D17" i="13"/>
  <c r="C17" i="13"/>
  <c r="B17" i="13"/>
  <c r="H16" i="13"/>
  <c r="G16" i="13"/>
  <c r="F16" i="13"/>
  <c r="E16" i="13"/>
  <c r="D16" i="13"/>
  <c r="C16" i="13"/>
  <c r="B16" i="13"/>
  <c r="H15" i="13"/>
  <c r="G15" i="13"/>
  <c r="F15" i="13"/>
  <c r="E15" i="13"/>
  <c r="D15" i="13"/>
  <c r="C15" i="13"/>
  <c r="B15" i="13"/>
  <c r="H14" i="13"/>
  <c r="G14" i="13"/>
  <c r="F14" i="13"/>
  <c r="E14" i="13"/>
  <c r="D14" i="13"/>
  <c r="C14" i="13"/>
  <c r="B14" i="13"/>
  <c r="H13" i="13"/>
  <c r="G13" i="13"/>
  <c r="F13" i="13"/>
  <c r="I13" i="13" s="1"/>
  <c r="E13" i="13"/>
  <c r="D13" i="13"/>
  <c r="C13" i="13"/>
  <c r="B13" i="13"/>
  <c r="H12" i="13"/>
  <c r="G12" i="13"/>
  <c r="F12" i="13"/>
  <c r="E12" i="13"/>
  <c r="D12" i="13"/>
  <c r="C12" i="13"/>
  <c r="B12" i="13"/>
  <c r="H11" i="13"/>
  <c r="G11" i="13"/>
  <c r="I11" i="13" s="1"/>
  <c r="F11" i="13"/>
  <c r="E11" i="13"/>
  <c r="D11" i="13"/>
  <c r="C11" i="13"/>
  <c r="B11" i="13"/>
  <c r="H10" i="13"/>
  <c r="G10" i="13"/>
  <c r="F10" i="13"/>
  <c r="E10" i="13"/>
  <c r="D10" i="13"/>
  <c r="C10" i="13"/>
  <c r="B10" i="13"/>
  <c r="H9" i="13"/>
  <c r="G9" i="13"/>
  <c r="F9" i="13"/>
  <c r="E9" i="13"/>
  <c r="D9" i="13"/>
  <c r="C9" i="13"/>
  <c r="B9" i="13"/>
  <c r="H8" i="13"/>
  <c r="G8" i="13"/>
  <c r="F8" i="13"/>
  <c r="E8" i="13"/>
  <c r="D8" i="13"/>
  <c r="C8" i="13"/>
  <c r="B8" i="13"/>
  <c r="H7" i="13"/>
  <c r="G7" i="13"/>
  <c r="F7" i="13"/>
  <c r="E7" i="13"/>
  <c r="D7" i="13"/>
  <c r="C7" i="13"/>
  <c r="B7" i="13"/>
  <c r="H6" i="13"/>
  <c r="G6" i="13"/>
  <c r="F6" i="13"/>
  <c r="E6" i="13"/>
  <c r="D6" i="13"/>
  <c r="C6" i="13"/>
  <c r="B6" i="13"/>
  <c r="H5" i="13"/>
  <c r="G5" i="13"/>
  <c r="F5" i="13"/>
  <c r="E5" i="13"/>
  <c r="D5" i="13"/>
  <c r="C5" i="13"/>
  <c r="B5" i="13"/>
  <c r="H4" i="13"/>
  <c r="G4" i="13"/>
  <c r="F4" i="13"/>
  <c r="E4" i="13"/>
  <c r="D4" i="13"/>
  <c r="C4" i="13"/>
  <c r="B4" i="13"/>
  <c r="H3" i="13"/>
  <c r="G3" i="13"/>
  <c r="F3" i="13"/>
  <c r="E3" i="13"/>
  <c r="D3" i="13"/>
  <c r="C3" i="13"/>
  <c r="B3" i="13"/>
  <c r="I263" i="13"/>
  <c r="I260" i="13"/>
  <c r="I258" i="13"/>
  <c r="I256" i="13"/>
  <c r="I253" i="13"/>
  <c r="I251" i="13"/>
  <c r="I249" i="13"/>
  <c r="I247" i="13"/>
  <c r="I244" i="13"/>
  <c r="I242" i="13"/>
  <c r="I240" i="13"/>
  <c r="I235" i="13"/>
  <c r="I233" i="13"/>
  <c r="I231" i="13"/>
  <c r="I228" i="13"/>
  <c r="I226" i="13"/>
  <c r="I224" i="13"/>
  <c r="I219" i="13"/>
  <c r="I217" i="13"/>
  <c r="I215" i="13"/>
  <c r="I212" i="13"/>
  <c r="I210" i="13"/>
  <c r="I208" i="13"/>
  <c r="I203" i="13"/>
  <c r="I201" i="13"/>
  <c r="I199" i="13"/>
  <c r="I196" i="13"/>
  <c r="I194" i="13"/>
  <c r="I192" i="13"/>
  <c r="I187" i="13"/>
  <c r="I185" i="13"/>
  <c r="I183" i="13"/>
  <c r="I180" i="13"/>
  <c r="I178" i="13"/>
  <c r="I176" i="13"/>
  <c r="I171" i="13"/>
  <c r="I169" i="13"/>
  <c r="I167" i="13"/>
  <c r="I164" i="13"/>
  <c r="I162" i="13"/>
  <c r="I160" i="13"/>
  <c r="I155" i="13"/>
  <c r="I153" i="13"/>
  <c r="I151" i="13"/>
  <c r="I148" i="13"/>
  <c r="I146" i="13"/>
  <c r="I144" i="13"/>
  <c r="I139" i="13"/>
  <c r="I137" i="13"/>
  <c r="I135" i="13"/>
  <c r="I132" i="13"/>
  <c r="I130" i="13"/>
  <c r="I128" i="13"/>
  <c r="I123" i="13"/>
  <c r="I121" i="13"/>
  <c r="I119" i="13"/>
  <c r="I116" i="13"/>
  <c r="I114" i="13"/>
  <c r="I112" i="13"/>
  <c r="I107" i="13"/>
  <c r="I105" i="13"/>
  <c r="I103" i="13"/>
  <c r="I100" i="13"/>
  <c r="I98" i="13"/>
  <c r="I96" i="13"/>
  <c r="I91" i="13"/>
  <c r="I89" i="13"/>
  <c r="I87" i="13"/>
  <c r="I84" i="13"/>
  <c r="I82" i="13"/>
  <c r="I80" i="13"/>
  <c r="I75" i="13"/>
  <c r="I73" i="13"/>
  <c r="I71" i="13"/>
  <c r="I68" i="13"/>
  <c r="I66" i="13"/>
  <c r="I64" i="13"/>
  <c r="I59" i="13"/>
  <c r="I57" i="13"/>
  <c r="I55" i="13"/>
  <c r="I52" i="13"/>
  <c r="I50" i="13"/>
  <c r="I48" i="13"/>
  <c r="I43" i="13"/>
  <c r="I41" i="13"/>
  <c r="I39" i="13"/>
  <c r="I36" i="13"/>
  <c r="I34" i="13"/>
  <c r="I32" i="13"/>
  <c r="I27" i="13"/>
  <c r="I25" i="13"/>
  <c r="I23" i="13"/>
  <c r="I18" i="13"/>
  <c r="I16" i="13"/>
  <c r="I9" i="13"/>
  <c r="I7" i="13"/>
  <c r="H263" i="12"/>
  <c r="G263" i="12"/>
  <c r="F263" i="12"/>
  <c r="E263" i="12"/>
  <c r="D263" i="12"/>
  <c r="C263" i="12"/>
  <c r="B263" i="12"/>
  <c r="H262" i="12"/>
  <c r="G262" i="12"/>
  <c r="F262" i="12"/>
  <c r="E262" i="12"/>
  <c r="D262" i="12"/>
  <c r="C262" i="12"/>
  <c r="B262" i="12"/>
  <c r="H261" i="12"/>
  <c r="G261" i="12"/>
  <c r="F261" i="12"/>
  <c r="E261" i="12"/>
  <c r="D261" i="12"/>
  <c r="C261" i="12"/>
  <c r="B261" i="12"/>
  <c r="H260" i="12"/>
  <c r="G260" i="12"/>
  <c r="F260" i="12"/>
  <c r="E260" i="12"/>
  <c r="D260" i="12"/>
  <c r="C260" i="12"/>
  <c r="B260" i="12"/>
  <c r="H259" i="12"/>
  <c r="G259" i="12"/>
  <c r="F259" i="12"/>
  <c r="E259" i="12"/>
  <c r="D259" i="12"/>
  <c r="C259" i="12"/>
  <c r="B259" i="12"/>
  <c r="H258" i="12"/>
  <c r="G258" i="12"/>
  <c r="F258" i="12"/>
  <c r="E258" i="12"/>
  <c r="D258" i="12"/>
  <c r="C258" i="12"/>
  <c r="B258" i="12"/>
  <c r="H257" i="12"/>
  <c r="G257" i="12"/>
  <c r="F257" i="12"/>
  <c r="E257" i="12"/>
  <c r="D257" i="12"/>
  <c r="C257" i="12"/>
  <c r="B257" i="12"/>
  <c r="H256" i="12"/>
  <c r="G256" i="12"/>
  <c r="F256" i="12"/>
  <c r="E256" i="12"/>
  <c r="D256" i="12"/>
  <c r="C256" i="12"/>
  <c r="B256" i="12"/>
  <c r="H255" i="12"/>
  <c r="G255" i="12"/>
  <c r="F255" i="12"/>
  <c r="E255" i="12"/>
  <c r="D255" i="12"/>
  <c r="C255" i="12"/>
  <c r="B255" i="12"/>
  <c r="H254" i="12"/>
  <c r="G254" i="12"/>
  <c r="F254" i="12"/>
  <c r="E254" i="12"/>
  <c r="D254" i="12"/>
  <c r="C254" i="12"/>
  <c r="B254" i="12"/>
  <c r="H253" i="12"/>
  <c r="G253" i="12"/>
  <c r="F253" i="12"/>
  <c r="E253" i="12"/>
  <c r="D253" i="12"/>
  <c r="C253" i="12"/>
  <c r="B253" i="12"/>
  <c r="H252" i="12"/>
  <c r="G252" i="12"/>
  <c r="F252" i="12"/>
  <c r="E252" i="12"/>
  <c r="D252" i="12"/>
  <c r="C252" i="12"/>
  <c r="B252" i="12"/>
  <c r="H251" i="12"/>
  <c r="G251" i="12"/>
  <c r="F251" i="12"/>
  <c r="E251" i="12"/>
  <c r="D251" i="12"/>
  <c r="C251" i="12"/>
  <c r="B251" i="12"/>
  <c r="H250" i="12"/>
  <c r="G250" i="12"/>
  <c r="F250" i="12"/>
  <c r="E250" i="12"/>
  <c r="D250" i="12"/>
  <c r="C250" i="12"/>
  <c r="B250" i="12"/>
  <c r="H249" i="12"/>
  <c r="G249" i="12"/>
  <c r="F249" i="12"/>
  <c r="E249" i="12"/>
  <c r="D249" i="12"/>
  <c r="C249" i="12"/>
  <c r="B249" i="12"/>
  <c r="H248" i="12"/>
  <c r="G248" i="12"/>
  <c r="F248" i="12"/>
  <c r="E248" i="12"/>
  <c r="D248" i="12"/>
  <c r="C248" i="12"/>
  <c r="B248" i="12"/>
  <c r="H247" i="12"/>
  <c r="G247" i="12"/>
  <c r="F247" i="12"/>
  <c r="E247" i="12"/>
  <c r="D247" i="12"/>
  <c r="C247" i="12"/>
  <c r="B247" i="12"/>
  <c r="H246" i="12"/>
  <c r="G246" i="12"/>
  <c r="F246" i="12"/>
  <c r="E246" i="12"/>
  <c r="D246" i="12"/>
  <c r="C246" i="12"/>
  <c r="B246" i="12"/>
  <c r="H245" i="12"/>
  <c r="G245" i="12"/>
  <c r="F245" i="12"/>
  <c r="E245" i="12"/>
  <c r="D245" i="12"/>
  <c r="C245" i="12"/>
  <c r="B245" i="12"/>
  <c r="H244" i="12"/>
  <c r="G244" i="12"/>
  <c r="F244" i="12"/>
  <c r="E244" i="12"/>
  <c r="D244" i="12"/>
  <c r="C244" i="12"/>
  <c r="B244" i="12"/>
  <c r="H243" i="12"/>
  <c r="G243" i="12"/>
  <c r="F243" i="12"/>
  <c r="E243" i="12"/>
  <c r="D243" i="12"/>
  <c r="C243" i="12"/>
  <c r="B243" i="12"/>
  <c r="H242" i="12"/>
  <c r="G242" i="12"/>
  <c r="F242" i="12"/>
  <c r="E242" i="12"/>
  <c r="D242" i="12"/>
  <c r="C242" i="12"/>
  <c r="B242" i="12"/>
  <c r="H241" i="12"/>
  <c r="G241" i="12"/>
  <c r="F241" i="12"/>
  <c r="E241" i="12"/>
  <c r="D241" i="12"/>
  <c r="C241" i="12"/>
  <c r="B241" i="12"/>
  <c r="H240" i="12"/>
  <c r="G240" i="12"/>
  <c r="F240" i="12"/>
  <c r="E240" i="12"/>
  <c r="D240" i="12"/>
  <c r="C240" i="12"/>
  <c r="B240" i="12"/>
  <c r="H239" i="12"/>
  <c r="G239" i="12"/>
  <c r="F239" i="12"/>
  <c r="E239" i="12"/>
  <c r="D239" i="12"/>
  <c r="C239" i="12"/>
  <c r="B239" i="12"/>
  <c r="H238" i="12"/>
  <c r="G238" i="12"/>
  <c r="F238" i="12"/>
  <c r="E238" i="12"/>
  <c r="D238" i="12"/>
  <c r="C238" i="12"/>
  <c r="B238" i="12"/>
  <c r="H237" i="12"/>
  <c r="G237" i="12"/>
  <c r="F237" i="12"/>
  <c r="E237" i="12"/>
  <c r="D237" i="12"/>
  <c r="C237" i="12"/>
  <c r="B237" i="12"/>
  <c r="H236" i="12"/>
  <c r="G236" i="12"/>
  <c r="F236" i="12"/>
  <c r="E236" i="12"/>
  <c r="D236" i="12"/>
  <c r="C236" i="12"/>
  <c r="B236" i="12"/>
  <c r="H235" i="12"/>
  <c r="G235" i="12"/>
  <c r="F235" i="12"/>
  <c r="E235" i="12"/>
  <c r="D235" i="12"/>
  <c r="C235" i="12"/>
  <c r="B235" i="12"/>
  <c r="H234" i="12"/>
  <c r="G234" i="12"/>
  <c r="F234" i="12"/>
  <c r="E234" i="12"/>
  <c r="D234" i="12"/>
  <c r="C234" i="12"/>
  <c r="B234" i="12"/>
  <c r="H233" i="12"/>
  <c r="G233" i="12"/>
  <c r="F233" i="12"/>
  <c r="E233" i="12"/>
  <c r="D233" i="12"/>
  <c r="C233" i="12"/>
  <c r="B233" i="12"/>
  <c r="H232" i="12"/>
  <c r="G232" i="12"/>
  <c r="F232" i="12"/>
  <c r="E232" i="12"/>
  <c r="D232" i="12"/>
  <c r="C232" i="12"/>
  <c r="B232" i="12"/>
  <c r="H231" i="12"/>
  <c r="G231" i="12"/>
  <c r="F231" i="12"/>
  <c r="E231" i="12"/>
  <c r="D231" i="12"/>
  <c r="C231" i="12"/>
  <c r="B231" i="12"/>
  <c r="H230" i="12"/>
  <c r="G230" i="12"/>
  <c r="F230" i="12"/>
  <c r="E230" i="12"/>
  <c r="D230" i="12"/>
  <c r="C230" i="12"/>
  <c r="B230" i="12"/>
  <c r="H229" i="12"/>
  <c r="G229" i="12"/>
  <c r="F229" i="12"/>
  <c r="E229" i="12"/>
  <c r="D229" i="12"/>
  <c r="C229" i="12"/>
  <c r="B229" i="12"/>
  <c r="H228" i="12"/>
  <c r="G228" i="12"/>
  <c r="F228" i="12"/>
  <c r="E228" i="12"/>
  <c r="D228" i="12"/>
  <c r="C228" i="12"/>
  <c r="B228" i="12"/>
  <c r="H227" i="12"/>
  <c r="G227" i="12"/>
  <c r="F227" i="12"/>
  <c r="E227" i="12"/>
  <c r="D227" i="12"/>
  <c r="C227" i="12"/>
  <c r="B227" i="12"/>
  <c r="H226" i="12"/>
  <c r="G226" i="12"/>
  <c r="F226" i="12"/>
  <c r="E226" i="12"/>
  <c r="D226" i="12"/>
  <c r="C226" i="12"/>
  <c r="B226" i="12"/>
  <c r="H225" i="12"/>
  <c r="G225" i="12"/>
  <c r="F225" i="12"/>
  <c r="E225" i="12"/>
  <c r="D225" i="12"/>
  <c r="C225" i="12"/>
  <c r="B225" i="12"/>
  <c r="H224" i="12"/>
  <c r="G224" i="12"/>
  <c r="F224" i="12"/>
  <c r="E224" i="12"/>
  <c r="D224" i="12"/>
  <c r="C224" i="12"/>
  <c r="B224" i="12"/>
  <c r="H223" i="12"/>
  <c r="G223" i="12"/>
  <c r="F223" i="12"/>
  <c r="E223" i="12"/>
  <c r="D223" i="12"/>
  <c r="C223" i="12"/>
  <c r="B223" i="12"/>
  <c r="H222" i="12"/>
  <c r="G222" i="12"/>
  <c r="F222" i="12"/>
  <c r="E222" i="12"/>
  <c r="D222" i="12"/>
  <c r="C222" i="12"/>
  <c r="B222" i="12"/>
  <c r="H221" i="12"/>
  <c r="G221" i="12"/>
  <c r="F221" i="12"/>
  <c r="I221" i="12" s="1"/>
  <c r="E221" i="12"/>
  <c r="D221" i="12"/>
  <c r="C221" i="12"/>
  <c r="B221" i="12"/>
  <c r="H220" i="12"/>
  <c r="G220" i="12"/>
  <c r="F220" i="12"/>
  <c r="E220" i="12"/>
  <c r="D220" i="12"/>
  <c r="C220" i="12"/>
  <c r="B220" i="12"/>
  <c r="H219" i="12"/>
  <c r="G219" i="12"/>
  <c r="F219" i="12"/>
  <c r="E219" i="12"/>
  <c r="D219" i="12"/>
  <c r="C219" i="12"/>
  <c r="B219" i="12"/>
  <c r="H218" i="12"/>
  <c r="G218" i="12"/>
  <c r="F218" i="12"/>
  <c r="E218" i="12"/>
  <c r="D218" i="12"/>
  <c r="C218" i="12"/>
  <c r="B218" i="12"/>
  <c r="H217" i="12"/>
  <c r="G217" i="12"/>
  <c r="F217" i="12"/>
  <c r="E217" i="12"/>
  <c r="D217" i="12"/>
  <c r="C217" i="12"/>
  <c r="B217" i="12"/>
  <c r="H216" i="12"/>
  <c r="G216" i="12"/>
  <c r="F216" i="12"/>
  <c r="E216" i="12"/>
  <c r="D216" i="12"/>
  <c r="C216" i="12"/>
  <c r="B216" i="12"/>
  <c r="H215" i="12"/>
  <c r="G215" i="12"/>
  <c r="F215" i="12"/>
  <c r="E215" i="12"/>
  <c r="D215" i="12"/>
  <c r="C215" i="12"/>
  <c r="B215" i="12"/>
  <c r="H214" i="12"/>
  <c r="G214" i="12"/>
  <c r="F214" i="12"/>
  <c r="E214" i="12"/>
  <c r="D214" i="12"/>
  <c r="C214" i="12"/>
  <c r="B214" i="12"/>
  <c r="H213" i="12"/>
  <c r="G213" i="12"/>
  <c r="F213" i="12"/>
  <c r="E213" i="12"/>
  <c r="D213" i="12"/>
  <c r="C213" i="12"/>
  <c r="B213" i="12"/>
  <c r="H212" i="12"/>
  <c r="G212" i="12"/>
  <c r="F212" i="12"/>
  <c r="E212" i="12"/>
  <c r="D212" i="12"/>
  <c r="C212" i="12"/>
  <c r="B212" i="12"/>
  <c r="H211" i="12"/>
  <c r="G211" i="12"/>
  <c r="F211" i="12"/>
  <c r="E211" i="12"/>
  <c r="D211" i="12"/>
  <c r="C211" i="12"/>
  <c r="B211" i="12"/>
  <c r="H210" i="12"/>
  <c r="G210" i="12"/>
  <c r="F210" i="12"/>
  <c r="E210" i="12"/>
  <c r="D210" i="12"/>
  <c r="C210" i="12"/>
  <c r="B210" i="12"/>
  <c r="H209" i="12"/>
  <c r="G209" i="12"/>
  <c r="F209" i="12"/>
  <c r="E209" i="12"/>
  <c r="D209" i="12"/>
  <c r="C209" i="12"/>
  <c r="B209" i="12"/>
  <c r="H208" i="12"/>
  <c r="G208" i="12"/>
  <c r="F208" i="12"/>
  <c r="E208" i="12"/>
  <c r="D208" i="12"/>
  <c r="C208" i="12"/>
  <c r="B208" i="12"/>
  <c r="H207" i="12"/>
  <c r="G207" i="12"/>
  <c r="F207" i="12"/>
  <c r="E207" i="12"/>
  <c r="D207" i="12"/>
  <c r="C207" i="12"/>
  <c r="B207" i="12"/>
  <c r="H206" i="12"/>
  <c r="G206" i="12"/>
  <c r="F206" i="12"/>
  <c r="E206" i="12"/>
  <c r="D206" i="12"/>
  <c r="C206" i="12"/>
  <c r="B206" i="12"/>
  <c r="H205" i="12"/>
  <c r="G205" i="12"/>
  <c r="F205" i="12"/>
  <c r="I205" i="12" s="1"/>
  <c r="E205" i="12"/>
  <c r="D205" i="12"/>
  <c r="C205" i="12"/>
  <c r="B205" i="12"/>
  <c r="H204" i="12"/>
  <c r="G204" i="12"/>
  <c r="F204" i="12"/>
  <c r="E204" i="12"/>
  <c r="D204" i="12"/>
  <c r="C204" i="12"/>
  <c r="B204" i="12"/>
  <c r="H203" i="12"/>
  <c r="G203" i="12"/>
  <c r="F203" i="12"/>
  <c r="E203" i="12"/>
  <c r="D203" i="12"/>
  <c r="C203" i="12"/>
  <c r="B203" i="12"/>
  <c r="H202" i="12"/>
  <c r="G202" i="12"/>
  <c r="F202" i="12"/>
  <c r="E202" i="12"/>
  <c r="D202" i="12"/>
  <c r="C202" i="12"/>
  <c r="B202" i="12"/>
  <c r="H201" i="12"/>
  <c r="G201" i="12"/>
  <c r="F201" i="12"/>
  <c r="E201" i="12"/>
  <c r="D201" i="12"/>
  <c r="C201" i="12"/>
  <c r="B201" i="12"/>
  <c r="H200" i="12"/>
  <c r="G200" i="12"/>
  <c r="F200" i="12"/>
  <c r="E200" i="12"/>
  <c r="D200" i="12"/>
  <c r="C200" i="12"/>
  <c r="B200" i="12"/>
  <c r="H199" i="12"/>
  <c r="G199" i="12"/>
  <c r="F199" i="12"/>
  <c r="E199" i="12"/>
  <c r="D199" i="12"/>
  <c r="C199" i="12"/>
  <c r="B199" i="12"/>
  <c r="H198" i="12"/>
  <c r="G198" i="12"/>
  <c r="F198" i="12"/>
  <c r="E198" i="12"/>
  <c r="D198" i="12"/>
  <c r="C198" i="12"/>
  <c r="B198" i="12"/>
  <c r="H197" i="12"/>
  <c r="G197" i="12"/>
  <c r="F197" i="12"/>
  <c r="E197" i="12"/>
  <c r="D197" i="12"/>
  <c r="C197" i="12"/>
  <c r="B197" i="12"/>
  <c r="H196" i="12"/>
  <c r="G196" i="12"/>
  <c r="F196" i="12"/>
  <c r="E196" i="12"/>
  <c r="D196" i="12"/>
  <c r="C196" i="12"/>
  <c r="B196" i="12"/>
  <c r="H195" i="12"/>
  <c r="G195" i="12"/>
  <c r="F195" i="12"/>
  <c r="E195" i="12"/>
  <c r="D195" i="12"/>
  <c r="C195" i="12"/>
  <c r="B195" i="12"/>
  <c r="H194" i="12"/>
  <c r="G194" i="12"/>
  <c r="F194" i="12"/>
  <c r="E194" i="12"/>
  <c r="D194" i="12"/>
  <c r="C194" i="12"/>
  <c r="B194" i="12"/>
  <c r="H193" i="12"/>
  <c r="G193" i="12"/>
  <c r="F193" i="12"/>
  <c r="E193" i="12"/>
  <c r="D193" i="12"/>
  <c r="C193" i="12"/>
  <c r="B193" i="12"/>
  <c r="H192" i="12"/>
  <c r="G192" i="12"/>
  <c r="F192" i="12"/>
  <c r="E192" i="12"/>
  <c r="D192" i="12"/>
  <c r="C192" i="12"/>
  <c r="B192" i="12"/>
  <c r="H191" i="12"/>
  <c r="G191" i="12"/>
  <c r="F191" i="12"/>
  <c r="E191" i="12"/>
  <c r="D191" i="12"/>
  <c r="C191" i="12"/>
  <c r="B191" i="12"/>
  <c r="H190" i="12"/>
  <c r="G190" i="12"/>
  <c r="F190" i="12"/>
  <c r="E190" i="12"/>
  <c r="D190" i="12"/>
  <c r="C190" i="12"/>
  <c r="B190" i="12"/>
  <c r="H189" i="12"/>
  <c r="G189" i="12"/>
  <c r="F189" i="12"/>
  <c r="I189" i="12" s="1"/>
  <c r="E189" i="12"/>
  <c r="D189" i="12"/>
  <c r="C189" i="12"/>
  <c r="B189" i="12"/>
  <c r="H188" i="12"/>
  <c r="G188" i="12"/>
  <c r="F188" i="12"/>
  <c r="E188" i="12"/>
  <c r="D188" i="12"/>
  <c r="C188" i="12"/>
  <c r="B188" i="12"/>
  <c r="H187" i="12"/>
  <c r="G187" i="12"/>
  <c r="F187" i="12"/>
  <c r="E187" i="12"/>
  <c r="D187" i="12"/>
  <c r="C187" i="12"/>
  <c r="B187" i="12"/>
  <c r="H186" i="12"/>
  <c r="G186" i="12"/>
  <c r="F186" i="12"/>
  <c r="E186" i="12"/>
  <c r="D186" i="12"/>
  <c r="C186" i="12"/>
  <c r="B186" i="12"/>
  <c r="H185" i="12"/>
  <c r="G185" i="12"/>
  <c r="F185" i="12"/>
  <c r="E185" i="12"/>
  <c r="D185" i="12"/>
  <c r="C185" i="12"/>
  <c r="B185" i="12"/>
  <c r="H184" i="12"/>
  <c r="G184" i="12"/>
  <c r="F184" i="12"/>
  <c r="E184" i="12"/>
  <c r="D184" i="12"/>
  <c r="C184" i="12"/>
  <c r="B184" i="12"/>
  <c r="H183" i="12"/>
  <c r="G183" i="12"/>
  <c r="F183" i="12"/>
  <c r="E183" i="12"/>
  <c r="D183" i="12"/>
  <c r="C183" i="12"/>
  <c r="B183" i="12"/>
  <c r="H182" i="12"/>
  <c r="G182" i="12"/>
  <c r="F182" i="12"/>
  <c r="E182" i="12"/>
  <c r="D182" i="12"/>
  <c r="C182" i="12"/>
  <c r="B182" i="12"/>
  <c r="H181" i="12"/>
  <c r="G181" i="12"/>
  <c r="F181" i="12"/>
  <c r="E181" i="12"/>
  <c r="D181" i="12"/>
  <c r="C181" i="12"/>
  <c r="B181" i="12"/>
  <c r="H180" i="12"/>
  <c r="G180" i="12"/>
  <c r="F180" i="12"/>
  <c r="E180" i="12"/>
  <c r="D180" i="12"/>
  <c r="C180" i="12"/>
  <c r="B180" i="12"/>
  <c r="H179" i="12"/>
  <c r="G179" i="12"/>
  <c r="F179" i="12"/>
  <c r="E179" i="12"/>
  <c r="D179" i="12"/>
  <c r="C179" i="12"/>
  <c r="B179" i="12"/>
  <c r="H178" i="12"/>
  <c r="G178" i="12"/>
  <c r="F178" i="12"/>
  <c r="E178" i="12"/>
  <c r="D178" i="12"/>
  <c r="C178" i="12"/>
  <c r="B178" i="12"/>
  <c r="H177" i="12"/>
  <c r="G177" i="12"/>
  <c r="F177" i="12"/>
  <c r="E177" i="12"/>
  <c r="D177" i="12"/>
  <c r="C177" i="12"/>
  <c r="B177" i="12"/>
  <c r="H176" i="12"/>
  <c r="G176" i="12"/>
  <c r="F176" i="12"/>
  <c r="I176" i="12" s="1"/>
  <c r="E176" i="12"/>
  <c r="D176" i="12"/>
  <c r="C176" i="12"/>
  <c r="B176" i="12"/>
  <c r="H175" i="12"/>
  <c r="G175" i="12"/>
  <c r="F175" i="12"/>
  <c r="E175" i="12"/>
  <c r="D175" i="12"/>
  <c r="C175" i="12"/>
  <c r="B175" i="12"/>
  <c r="H174" i="12"/>
  <c r="G174" i="12"/>
  <c r="F174" i="12"/>
  <c r="E174" i="12"/>
  <c r="D174" i="12"/>
  <c r="C174" i="12"/>
  <c r="B174" i="12"/>
  <c r="H173" i="12"/>
  <c r="G173" i="12"/>
  <c r="F173" i="12"/>
  <c r="I173" i="12" s="1"/>
  <c r="E173" i="12"/>
  <c r="D173" i="12"/>
  <c r="C173" i="12"/>
  <c r="B173" i="12"/>
  <c r="H172" i="12"/>
  <c r="G172" i="12"/>
  <c r="F172" i="12"/>
  <c r="E172" i="12"/>
  <c r="D172" i="12"/>
  <c r="C172" i="12"/>
  <c r="B172" i="12"/>
  <c r="H171" i="12"/>
  <c r="G171" i="12"/>
  <c r="F171" i="12"/>
  <c r="E171" i="12"/>
  <c r="D171" i="12"/>
  <c r="C171" i="12"/>
  <c r="B171" i="12"/>
  <c r="H170" i="12"/>
  <c r="G170" i="12"/>
  <c r="F170" i="12"/>
  <c r="E170" i="12"/>
  <c r="D170" i="12"/>
  <c r="C170" i="12"/>
  <c r="B170" i="12"/>
  <c r="H169" i="12"/>
  <c r="G169" i="12"/>
  <c r="F169" i="12"/>
  <c r="E169" i="12"/>
  <c r="D169" i="12"/>
  <c r="C169" i="12"/>
  <c r="B169" i="12"/>
  <c r="H168" i="12"/>
  <c r="G168" i="12"/>
  <c r="F168" i="12"/>
  <c r="E168" i="12"/>
  <c r="D168" i="12"/>
  <c r="C168" i="12"/>
  <c r="B168" i="12"/>
  <c r="H167" i="12"/>
  <c r="G167" i="12"/>
  <c r="F167" i="12"/>
  <c r="E167" i="12"/>
  <c r="D167" i="12"/>
  <c r="C167" i="12"/>
  <c r="B167" i="12"/>
  <c r="H166" i="12"/>
  <c r="G166" i="12"/>
  <c r="F166" i="12"/>
  <c r="E166" i="12"/>
  <c r="D166" i="12"/>
  <c r="C166" i="12"/>
  <c r="B166" i="12"/>
  <c r="H165" i="12"/>
  <c r="G165" i="12"/>
  <c r="F165" i="12"/>
  <c r="E165" i="12"/>
  <c r="D165" i="12"/>
  <c r="C165" i="12"/>
  <c r="B165" i="12"/>
  <c r="H164" i="12"/>
  <c r="G164" i="12"/>
  <c r="F164" i="12"/>
  <c r="E164" i="12"/>
  <c r="D164" i="12"/>
  <c r="C164" i="12"/>
  <c r="B164" i="12"/>
  <c r="H163" i="12"/>
  <c r="G163" i="12"/>
  <c r="F163" i="12"/>
  <c r="E163" i="12"/>
  <c r="D163" i="12"/>
  <c r="C163" i="12"/>
  <c r="B163" i="12"/>
  <c r="H162" i="12"/>
  <c r="G162" i="12"/>
  <c r="F162" i="12"/>
  <c r="E162" i="12"/>
  <c r="D162" i="12"/>
  <c r="C162" i="12"/>
  <c r="B162" i="12"/>
  <c r="H161" i="12"/>
  <c r="G161" i="12"/>
  <c r="F161" i="12"/>
  <c r="E161" i="12"/>
  <c r="D161" i="12"/>
  <c r="C161" i="12"/>
  <c r="B161" i="12"/>
  <c r="H160" i="12"/>
  <c r="G160" i="12"/>
  <c r="F160" i="12"/>
  <c r="I160" i="12" s="1"/>
  <c r="E160" i="12"/>
  <c r="D160" i="12"/>
  <c r="C160" i="12"/>
  <c r="B160" i="12"/>
  <c r="H159" i="12"/>
  <c r="G159" i="12"/>
  <c r="F159" i="12"/>
  <c r="E159" i="12"/>
  <c r="D159" i="12"/>
  <c r="C159" i="12"/>
  <c r="B159" i="12"/>
  <c r="H158" i="12"/>
  <c r="G158" i="12"/>
  <c r="F158" i="12"/>
  <c r="E158" i="12"/>
  <c r="D158" i="12"/>
  <c r="C158" i="12"/>
  <c r="B158" i="12"/>
  <c r="H157" i="12"/>
  <c r="G157" i="12"/>
  <c r="F157" i="12"/>
  <c r="I157" i="12" s="1"/>
  <c r="E157" i="12"/>
  <c r="D157" i="12"/>
  <c r="C157" i="12"/>
  <c r="B157" i="12"/>
  <c r="H156" i="12"/>
  <c r="G156" i="12"/>
  <c r="F156" i="12"/>
  <c r="E156" i="12"/>
  <c r="D156" i="12"/>
  <c r="C156" i="12"/>
  <c r="B156" i="12"/>
  <c r="H155" i="12"/>
  <c r="G155" i="12"/>
  <c r="F155" i="12"/>
  <c r="E155" i="12"/>
  <c r="D155" i="12"/>
  <c r="C155" i="12"/>
  <c r="B155" i="12"/>
  <c r="H154" i="12"/>
  <c r="G154" i="12"/>
  <c r="F154" i="12"/>
  <c r="E154" i="12"/>
  <c r="D154" i="12"/>
  <c r="C154" i="12"/>
  <c r="B154" i="12"/>
  <c r="H153" i="12"/>
  <c r="G153" i="12"/>
  <c r="I153" i="12" s="1"/>
  <c r="F153" i="12"/>
  <c r="E153" i="12"/>
  <c r="D153" i="12"/>
  <c r="C153" i="12"/>
  <c r="B153" i="12"/>
  <c r="H152" i="12"/>
  <c r="G152" i="12"/>
  <c r="F152" i="12"/>
  <c r="E152" i="12"/>
  <c r="D152" i="12"/>
  <c r="C152" i="12"/>
  <c r="B152" i="12"/>
  <c r="H151" i="12"/>
  <c r="G151" i="12"/>
  <c r="F151" i="12"/>
  <c r="E151" i="12"/>
  <c r="D151" i="12"/>
  <c r="C151" i="12"/>
  <c r="B151" i="12"/>
  <c r="H150" i="12"/>
  <c r="G150" i="12"/>
  <c r="I150" i="12" s="1"/>
  <c r="F150" i="12"/>
  <c r="E150" i="12"/>
  <c r="D150" i="12"/>
  <c r="C150" i="12"/>
  <c r="B150" i="12"/>
  <c r="H149" i="12"/>
  <c r="G149" i="12"/>
  <c r="F149" i="12"/>
  <c r="E149" i="12"/>
  <c r="D149" i="12"/>
  <c r="C149" i="12"/>
  <c r="B149" i="12"/>
  <c r="H148" i="12"/>
  <c r="G148" i="12"/>
  <c r="F148" i="12"/>
  <c r="E148" i="12"/>
  <c r="D148" i="12"/>
  <c r="C148" i="12"/>
  <c r="B148" i="12"/>
  <c r="H147" i="12"/>
  <c r="G147" i="12"/>
  <c r="F147" i="12"/>
  <c r="E147" i="12"/>
  <c r="D147" i="12"/>
  <c r="C147" i="12"/>
  <c r="B147" i="12"/>
  <c r="H146" i="12"/>
  <c r="G146" i="12"/>
  <c r="F146" i="12"/>
  <c r="E146" i="12"/>
  <c r="D146" i="12"/>
  <c r="C146" i="12"/>
  <c r="B146" i="12"/>
  <c r="H145" i="12"/>
  <c r="G145" i="12"/>
  <c r="F145" i="12"/>
  <c r="E145" i="12"/>
  <c r="D145" i="12"/>
  <c r="C145" i="12"/>
  <c r="B145" i="12"/>
  <c r="H144" i="12"/>
  <c r="G144" i="12"/>
  <c r="F144" i="12"/>
  <c r="I144" i="12" s="1"/>
  <c r="E144" i="12"/>
  <c r="D144" i="12"/>
  <c r="C144" i="12"/>
  <c r="B144" i="12"/>
  <c r="H143" i="12"/>
  <c r="G143" i="12"/>
  <c r="F143" i="12"/>
  <c r="E143" i="12"/>
  <c r="D143" i="12"/>
  <c r="C143" i="12"/>
  <c r="B143" i="12"/>
  <c r="H142" i="12"/>
  <c r="G142" i="12"/>
  <c r="F142" i="12"/>
  <c r="E142" i="12"/>
  <c r="D142" i="12"/>
  <c r="C142" i="12"/>
  <c r="B142" i="12"/>
  <c r="H141" i="12"/>
  <c r="G141" i="12"/>
  <c r="F141" i="12"/>
  <c r="I141" i="12" s="1"/>
  <c r="E141" i="12"/>
  <c r="D141" i="12"/>
  <c r="C141" i="12"/>
  <c r="B141" i="12"/>
  <c r="H140" i="12"/>
  <c r="G140" i="12"/>
  <c r="F140" i="12"/>
  <c r="E140" i="12"/>
  <c r="D140" i="12"/>
  <c r="C140" i="12"/>
  <c r="B140" i="12"/>
  <c r="H139" i="12"/>
  <c r="G139" i="12"/>
  <c r="F139" i="12"/>
  <c r="E139" i="12"/>
  <c r="D139" i="12"/>
  <c r="C139" i="12"/>
  <c r="B139" i="12"/>
  <c r="H138" i="12"/>
  <c r="G138" i="12"/>
  <c r="F138" i="12"/>
  <c r="E138" i="12"/>
  <c r="D138" i="12"/>
  <c r="C138" i="12"/>
  <c r="B138" i="12"/>
  <c r="H137" i="12"/>
  <c r="G137" i="12"/>
  <c r="I137" i="12" s="1"/>
  <c r="F137" i="12"/>
  <c r="E137" i="12"/>
  <c r="D137" i="12"/>
  <c r="C137" i="12"/>
  <c r="B137" i="12"/>
  <c r="H136" i="12"/>
  <c r="G136" i="12"/>
  <c r="F136" i="12"/>
  <c r="E136" i="12"/>
  <c r="D136" i="12"/>
  <c r="C136" i="12"/>
  <c r="B136" i="12"/>
  <c r="H135" i="12"/>
  <c r="G135" i="12"/>
  <c r="F135" i="12"/>
  <c r="E135" i="12"/>
  <c r="D135" i="12"/>
  <c r="C135" i="12"/>
  <c r="B135" i="12"/>
  <c r="H134" i="12"/>
  <c r="G134" i="12"/>
  <c r="F134" i="12"/>
  <c r="E134" i="12"/>
  <c r="D134" i="12"/>
  <c r="C134" i="12"/>
  <c r="B134" i="12"/>
  <c r="H133" i="12"/>
  <c r="G133" i="12"/>
  <c r="F133" i="12"/>
  <c r="E133" i="12"/>
  <c r="D133" i="12"/>
  <c r="C133" i="12"/>
  <c r="B133" i="12"/>
  <c r="H132" i="12"/>
  <c r="G132" i="12"/>
  <c r="F132" i="12"/>
  <c r="E132" i="12"/>
  <c r="D132" i="12"/>
  <c r="C132" i="12"/>
  <c r="B132" i="12"/>
  <c r="H131" i="12"/>
  <c r="G131" i="12"/>
  <c r="F131" i="12"/>
  <c r="E131" i="12"/>
  <c r="D131" i="12"/>
  <c r="C131" i="12"/>
  <c r="B131" i="12"/>
  <c r="H130" i="12"/>
  <c r="G130" i="12"/>
  <c r="F130" i="12"/>
  <c r="E130" i="12"/>
  <c r="D130" i="12"/>
  <c r="C130" i="12"/>
  <c r="B130" i="12"/>
  <c r="H129" i="12"/>
  <c r="G129" i="12"/>
  <c r="F129" i="12"/>
  <c r="E129" i="12"/>
  <c r="D129" i="12"/>
  <c r="C129" i="12"/>
  <c r="B129" i="12"/>
  <c r="H128" i="12"/>
  <c r="G128" i="12"/>
  <c r="F128" i="12"/>
  <c r="I128" i="12" s="1"/>
  <c r="E128" i="12"/>
  <c r="D128" i="12"/>
  <c r="C128" i="12"/>
  <c r="B128" i="12"/>
  <c r="H127" i="12"/>
  <c r="G127" i="12"/>
  <c r="F127" i="12"/>
  <c r="E127" i="12"/>
  <c r="D127" i="12"/>
  <c r="C127" i="12"/>
  <c r="B127" i="12"/>
  <c r="H126" i="12"/>
  <c r="G126" i="12"/>
  <c r="F126" i="12"/>
  <c r="E126" i="12"/>
  <c r="D126" i="12"/>
  <c r="C126" i="12"/>
  <c r="B126" i="12"/>
  <c r="H125" i="12"/>
  <c r="G125" i="12"/>
  <c r="F125" i="12"/>
  <c r="I125" i="12" s="1"/>
  <c r="E125" i="12"/>
  <c r="D125" i="12"/>
  <c r="C125" i="12"/>
  <c r="B125" i="12"/>
  <c r="H124" i="12"/>
  <c r="G124" i="12"/>
  <c r="F124" i="12"/>
  <c r="E124" i="12"/>
  <c r="D124" i="12"/>
  <c r="C124" i="12"/>
  <c r="B124" i="12"/>
  <c r="H123" i="12"/>
  <c r="G123" i="12"/>
  <c r="F123" i="12"/>
  <c r="E123" i="12"/>
  <c r="D123" i="12"/>
  <c r="C123" i="12"/>
  <c r="B123" i="12"/>
  <c r="H122" i="12"/>
  <c r="G122" i="12"/>
  <c r="F122" i="12"/>
  <c r="E122" i="12"/>
  <c r="D122" i="12"/>
  <c r="C122" i="12"/>
  <c r="B122" i="12"/>
  <c r="H121" i="12"/>
  <c r="G121" i="12"/>
  <c r="I121" i="12" s="1"/>
  <c r="F121" i="12"/>
  <c r="E121" i="12"/>
  <c r="D121" i="12"/>
  <c r="C121" i="12"/>
  <c r="B121" i="12"/>
  <c r="H120" i="12"/>
  <c r="G120" i="12"/>
  <c r="F120" i="12"/>
  <c r="E120" i="12"/>
  <c r="D120" i="12"/>
  <c r="C120" i="12"/>
  <c r="B120" i="12"/>
  <c r="H119" i="12"/>
  <c r="G119" i="12"/>
  <c r="F119" i="12"/>
  <c r="E119" i="12"/>
  <c r="D119" i="12"/>
  <c r="C119" i="12"/>
  <c r="B119" i="12"/>
  <c r="H118" i="12"/>
  <c r="G118" i="12"/>
  <c r="F118" i="12"/>
  <c r="E118" i="12"/>
  <c r="D118" i="12"/>
  <c r="C118" i="12"/>
  <c r="B118" i="12"/>
  <c r="H117" i="12"/>
  <c r="G117" i="12"/>
  <c r="F117" i="12"/>
  <c r="E117" i="12"/>
  <c r="D117" i="12"/>
  <c r="C117" i="12"/>
  <c r="B117" i="12"/>
  <c r="H116" i="12"/>
  <c r="G116" i="12"/>
  <c r="F116" i="12"/>
  <c r="E116" i="12"/>
  <c r="D116" i="12"/>
  <c r="C116" i="12"/>
  <c r="B116" i="12"/>
  <c r="H115" i="12"/>
  <c r="G115" i="12"/>
  <c r="F115" i="12"/>
  <c r="E115" i="12"/>
  <c r="D115" i="12"/>
  <c r="C115" i="12"/>
  <c r="B115" i="12"/>
  <c r="H114" i="12"/>
  <c r="G114" i="12"/>
  <c r="F114" i="12"/>
  <c r="E114" i="12"/>
  <c r="D114" i="12"/>
  <c r="C114" i="12"/>
  <c r="B114" i="12"/>
  <c r="H113" i="12"/>
  <c r="G113" i="12"/>
  <c r="F113" i="12"/>
  <c r="E113" i="12"/>
  <c r="D113" i="12"/>
  <c r="C113" i="12"/>
  <c r="B113" i="12"/>
  <c r="H112" i="12"/>
  <c r="G112" i="12"/>
  <c r="F112" i="12"/>
  <c r="I112" i="12" s="1"/>
  <c r="E112" i="12"/>
  <c r="D112" i="12"/>
  <c r="C112" i="12"/>
  <c r="B112" i="12"/>
  <c r="H111" i="12"/>
  <c r="G111" i="12"/>
  <c r="F111" i="12"/>
  <c r="E111" i="12"/>
  <c r="D111" i="12"/>
  <c r="C111" i="12"/>
  <c r="B111" i="12"/>
  <c r="H110" i="12"/>
  <c r="G110" i="12"/>
  <c r="F110" i="12"/>
  <c r="E110" i="12"/>
  <c r="D110" i="12"/>
  <c r="C110" i="12"/>
  <c r="B110" i="12"/>
  <c r="H109" i="12"/>
  <c r="G109" i="12"/>
  <c r="F109" i="12"/>
  <c r="I109" i="12" s="1"/>
  <c r="E109" i="12"/>
  <c r="D109" i="12"/>
  <c r="C109" i="12"/>
  <c r="B109" i="12"/>
  <c r="H108" i="12"/>
  <c r="G108" i="12"/>
  <c r="F108" i="12"/>
  <c r="E108" i="12"/>
  <c r="D108" i="12"/>
  <c r="C108" i="12"/>
  <c r="B108" i="12"/>
  <c r="H107" i="12"/>
  <c r="G107" i="12"/>
  <c r="F107" i="12"/>
  <c r="E107" i="12"/>
  <c r="D107" i="12"/>
  <c r="C107" i="12"/>
  <c r="B107" i="12"/>
  <c r="H106" i="12"/>
  <c r="G106" i="12"/>
  <c r="F106" i="12"/>
  <c r="E106" i="12"/>
  <c r="D106" i="12"/>
  <c r="C106" i="12"/>
  <c r="B106" i="12"/>
  <c r="H105" i="12"/>
  <c r="G105" i="12"/>
  <c r="I105" i="12" s="1"/>
  <c r="F105" i="12"/>
  <c r="E105" i="12"/>
  <c r="D105" i="12"/>
  <c r="C105" i="12"/>
  <c r="B105" i="12"/>
  <c r="H104" i="12"/>
  <c r="G104" i="12"/>
  <c r="F104" i="12"/>
  <c r="E104" i="12"/>
  <c r="D104" i="12"/>
  <c r="C104" i="12"/>
  <c r="B104" i="12"/>
  <c r="H103" i="12"/>
  <c r="G103" i="12"/>
  <c r="F103" i="12"/>
  <c r="E103" i="12"/>
  <c r="D103" i="12"/>
  <c r="C103" i="12"/>
  <c r="B103" i="12"/>
  <c r="H102" i="12"/>
  <c r="G102" i="12"/>
  <c r="F102" i="12"/>
  <c r="E102" i="12"/>
  <c r="D102" i="12"/>
  <c r="C102" i="12"/>
  <c r="B102" i="12"/>
  <c r="H101" i="12"/>
  <c r="G101" i="12"/>
  <c r="F101" i="12"/>
  <c r="E101" i="12"/>
  <c r="D101" i="12"/>
  <c r="C101" i="12"/>
  <c r="B101" i="12"/>
  <c r="H100" i="12"/>
  <c r="G100" i="12"/>
  <c r="F100" i="12"/>
  <c r="E100" i="12"/>
  <c r="D100" i="12"/>
  <c r="C100" i="12"/>
  <c r="B100" i="12"/>
  <c r="H99" i="12"/>
  <c r="G99" i="12"/>
  <c r="F99" i="12"/>
  <c r="E99" i="12"/>
  <c r="D99" i="12"/>
  <c r="C99" i="12"/>
  <c r="B99" i="12"/>
  <c r="H98" i="12"/>
  <c r="G98" i="12"/>
  <c r="F98" i="12"/>
  <c r="E98" i="12"/>
  <c r="D98" i="12"/>
  <c r="C98" i="12"/>
  <c r="B98" i="12"/>
  <c r="H97" i="12"/>
  <c r="G97" i="12"/>
  <c r="F97" i="12"/>
  <c r="E97" i="12"/>
  <c r="D97" i="12"/>
  <c r="C97" i="12"/>
  <c r="B97" i="12"/>
  <c r="H96" i="12"/>
  <c r="G96" i="12"/>
  <c r="F96" i="12"/>
  <c r="I96" i="12" s="1"/>
  <c r="E96" i="12"/>
  <c r="D96" i="12"/>
  <c r="C96" i="12"/>
  <c r="B96" i="12"/>
  <c r="H95" i="12"/>
  <c r="G95" i="12"/>
  <c r="F95" i="12"/>
  <c r="E95" i="12"/>
  <c r="D95" i="12"/>
  <c r="C95" i="12"/>
  <c r="B95" i="12"/>
  <c r="H94" i="12"/>
  <c r="G94" i="12"/>
  <c r="F94" i="12"/>
  <c r="E94" i="12"/>
  <c r="D94" i="12"/>
  <c r="C94" i="12"/>
  <c r="B94" i="12"/>
  <c r="H93" i="12"/>
  <c r="G93" i="12"/>
  <c r="F93" i="12"/>
  <c r="I93" i="12" s="1"/>
  <c r="E93" i="12"/>
  <c r="D93" i="12"/>
  <c r="C93" i="12"/>
  <c r="B93" i="12"/>
  <c r="H92" i="12"/>
  <c r="G92" i="12"/>
  <c r="F92" i="12"/>
  <c r="E92" i="12"/>
  <c r="D92" i="12"/>
  <c r="C92" i="12"/>
  <c r="B92" i="12"/>
  <c r="H91" i="12"/>
  <c r="G91" i="12"/>
  <c r="F91" i="12"/>
  <c r="E91" i="12"/>
  <c r="D91" i="12"/>
  <c r="C91" i="12"/>
  <c r="B91" i="12"/>
  <c r="H90" i="12"/>
  <c r="G90" i="12"/>
  <c r="F90" i="12"/>
  <c r="E90" i="12"/>
  <c r="D90" i="12"/>
  <c r="C90" i="12"/>
  <c r="B90" i="12"/>
  <c r="H89" i="12"/>
  <c r="G89" i="12"/>
  <c r="F89" i="12"/>
  <c r="E89" i="12"/>
  <c r="D89" i="12"/>
  <c r="C89" i="12"/>
  <c r="B89" i="12"/>
  <c r="H88" i="12"/>
  <c r="G88" i="12"/>
  <c r="F88" i="12"/>
  <c r="E88" i="12"/>
  <c r="D88" i="12"/>
  <c r="C88" i="12"/>
  <c r="B88" i="12"/>
  <c r="H87" i="12"/>
  <c r="G87" i="12"/>
  <c r="F87" i="12"/>
  <c r="E87" i="12"/>
  <c r="D87" i="12"/>
  <c r="C87" i="12"/>
  <c r="B87" i="12"/>
  <c r="H86" i="12"/>
  <c r="G86" i="12"/>
  <c r="F86" i="12"/>
  <c r="E86" i="12"/>
  <c r="D86" i="12"/>
  <c r="C86" i="12"/>
  <c r="B86" i="12"/>
  <c r="H85" i="12"/>
  <c r="G85" i="12"/>
  <c r="F85" i="12"/>
  <c r="E85" i="12"/>
  <c r="D85" i="12"/>
  <c r="C85" i="12"/>
  <c r="B85" i="12"/>
  <c r="H84" i="12"/>
  <c r="G84" i="12"/>
  <c r="F84" i="12"/>
  <c r="E84" i="12"/>
  <c r="D84" i="12"/>
  <c r="C84" i="12"/>
  <c r="B84" i="12"/>
  <c r="H83" i="12"/>
  <c r="G83" i="12"/>
  <c r="F83" i="12"/>
  <c r="E83" i="12"/>
  <c r="D83" i="12"/>
  <c r="C83" i="12"/>
  <c r="B83" i="12"/>
  <c r="H82" i="12"/>
  <c r="G82" i="12"/>
  <c r="F82" i="12"/>
  <c r="E82" i="12"/>
  <c r="D82" i="12"/>
  <c r="C82" i="12"/>
  <c r="B82" i="12"/>
  <c r="H81" i="12"/>
  <c r="G81" i="12"/>
  <c r="F81" i="12"/>
  <c r="E81" i="12"/>
  <c r="D81" i="12"/>
  <c r="C81" i="12"/>
  <c r="B81" i="12"/>
  <c r="H80" i="12"/>
  <c r="G80" i="12"/>
  <c r="F80" i="12"/>
  <c r="I80" i="12" s="1"/>
  <c r="E80" i="12"/>
  <c r="D80" i="12"/>
  <c r="C80" i="12"/>
  <c r="B80" i="12"/>
  <c r="H79" i="12"/>
  <c r="G79" i="12"/>
  <c r="F79" i="12"/>
  <c r="E79" i="12"/>
  <c r="D79" i="12"/>
  <c r="C79" i="12"/>
  <c r="B79" i="12"/>
  <c r="H78" i="12"/>
  <c r="G78" i="12"/>
  <c r="F78" i="12"/>
  <c r="E78" i="12"/>
  <c r="D78" i="12"/>
  <c r="C78" i="12"/>
  <c r="B78" i="12"/>
  <c r="H77" i="12"/>
  <c r="G77" i="12"/>
  <c r="F77" i="12"/>
  <c r="E77" i="12"/>
  <c r="D77" i="12"/>
  <c r="C77" i="12"/>
  <c r="B77" i="12"/>
  <c r="H76" i="12"/>
  <c r="G76" i="12"/>
  <c r="F76" i="12"/>
  <c r="E76" i="12"/>
  <c r="D76" i="12"/>
  <c r="C76" i="12"/>
  <c r="B76" i="12"/>
  <c r="H75" i="12"/>
  <c r="G75" i="12"/>
  <c r="F75" i="12"/>
  <c r="E75" i="12"/>
  <c r="D75" i="12"/>
  <c r="C75" i="12"/>
  <c r="B75" i="12"/>
  <c r="H74" i="12"/>
  <c r="G74" i="12"/>
  <c r="F74" i="12"/>
  <c r="E74" i="12"/>
  <c r="D74" i="12"/>
  <c r="C74" i="12"/>
  <c r="B74" i="12"/>
  <c r="H73" i="12"/>
  <c r="G73" i="12"/>
  <c r="F73" i="12"/>
  <c r="E73" i="12"/>
  <c r="D73" i="12"/>
  <c r="C73" i="12"/>
  <c r="B73" i="12"/>
  <c r="H72" i="12"/>
  <c r="G72" i="12"/>
  <c r="F72" i="12"/>
  <c r="E72" i="12"/>
  <c r="D72" i="12"/>
  <c r="C72" i="12"/>
  <c r="B72" i="12"/>
  <c r="H71" i="12"/>
  <c r="I71" i="12" s="1"/>
  <c r="G71" i="12"/>
  <c r="F71" i="12"/>
  <c r="E71" i="12"/>
  <c r="D71" i="12"/>
  <c r="C71" i="12"/>
  <c r="B71" i="12"/>
  <c r="H70" i="12"/>
  <c r="G70" i="12"/>
  <c r="F70" i="12"/>
  <c r="E70" i="12"/>
  <c r="D70" i="12"/>
  <c r="C70" i="12"/>
  <c r="B70" i="12"/>
  <c r="H69" i="12"/>
  <c r="G69" i="12"/>
  <c r="F69" i="12"/>
  <c r="E69" i="12"/>
  <c r="D69" i="12"/>
  <c r="C69" i="12"/>
  <c r="B69" i="12"/>
  <c r="H68" i="12"/>
  <c r="G68" i="12"/>
  <c r="F68" i="12"/>
  <c r="E68" i="12"/>
  <c r="D68" i="12"/>
  <c r="C68" i="12"/>
  <c r="B68" i="12"/>
  <c r="H67" i="12"/>
  <c r="G67" i="12"/>
  <c r="F67" i="12"/>
  <c r="E67" i="12"/>
  <c r="D67" i="12"/>
  <c r="C67" i="12"/>
  <c r="B67" i="12"/>
  <c r="H66" i="12"/>
  <c r="G66" i="12"/>
  <c r="F66" i="12"/>
  <c r="E66" i="12"/>
  <c r="D66" i="12"/>
  <c r="C66" i="12"/>
  <c r="B66" i="12"/>
  <c r="H65" i="12"/>
  <c r="G65" i="12"/>
  <c r="F65" i="12"/>
  <c r="E65" i="12"/>
  <c r="D65" i="12"/>
  <c r="C65" i="12"/>
  <c r="B65" i="12"/>
  <c r="H64" i="12"/>
  <c r="G64" i="12"/>
  <c r="F64" i="12"/>
  <c r="I64" i="12" s="1"/>
  <c r="E64" i="12"/>
  <c r="D64" i="12"/>
  <c r="C64" i="12"/>
  <c r="B64" i="12"/>
  <c r="H63" i="12"/>
  <c r="G63" i="12"/>
  <c r="F63" i="12"/>
  <c r="E63" i="12"/>
  <c r="D63" i="12"/>
  <c r="C63" i="12"/>
  <c r="B63" i="12"/>
  <c r="H62" i="12"/>
  <c r="G62" i="12"/>
  <c r="I62" i="12" s="1"/>
  <c r="F62" i="12"/>
  <c r="E62" i="12"/>
  <c r="D62" i="12"/>
  <c r="C62" i="12"/>
  <c r="B62" i="12"/>
  <c r="H61" i="12"/>
  <c r="G61" i="12"/>
  <c r="F61" i="12"/>
  <c r="E61" i="12"/>
  <c r="D61" i="12"/>
  <c r="C61" i="12"/>
  <c r="B61" i="12"/>
  <c r="H60" i="12"/>
  <c r="G60" i="12"/>
  <c r="F60" i="12"/>
  <c r="E60" i="12"/>
  <c r="D60" i="12"/>
  <c r="C60" i="12"/>
  <c r="B60" i="12"/>
  <c r="H59" i="12"/>
  <c r="G59" i="12"/>
  <c r="F59" i="12"/>
  <c r="E59" i="12"/>
  <c r="D59" i="12"/>
  <c r="C59" i="12"/>
  <c r="B59" i="12"/>
  <c r="H58" i="12"/>
  <c r="G58" i="12"/>
  <c r="F58" i="12"/>
  <c r="E58" i="12"/>
  <c r="D58" i="12"/>
  <c r="C58" i="12"/>
  <c r="B58" i="12"/>
  <c r="H57" i="12"/>
  <c r="G57" i="12"/>
  <c r="F57" i="12"/>
  <c r="E57" i="12"/>
  <c r="D57" i="12"/>
  <c r="C57" i="12"/>
  <c r="B57" i="12"/>
  <c r="H56" i="12"/>
  <c r="G56" i="12"/>
  <c r="F56" i="12"/>
  <c r="E56" i="12"/>
  <c r="D56" i="12"/>
  <c r="C56" i="12"/>
  <c r="B56" i="12"/>
  <c r="H55" i="12"/>
  <c r="I55" i="12" s="1"/>
  <c r="G55" i="12"/>
  <c r="F55" i="12"/>
  <c r="E55" i="12"/>
  <c r="D55" i="12"/>
  <c r="C55" i="12"/>
  <c r="B55" i="12"/>
  <c r="H54" i="12"/>
  <c r="G54" i="12"/>
  <c r="F54" i="12"/>
  <c r="E54" i="12"/>
  <c r="D54" i="12"/>
  <c r="C54" i="12"/>
  <c r="B54" i="12"/>
  <c r="H53" i="12"/>
  <c r="G53" i="12"/>
  <c r="F53" i="12"/>
  <c r="E53" i="12"/>
  <c r="D53" i="12"/>
  <c r="C53" i="12"/>
  <c r="B53" i="12"/>
  <c r="H52" i="12"/>
  <c r="G52" i="12"/>
  <c r="F52" i="12"/>
  <c r="E52" i="12"/>
  <c r="D52" i="12"/>
  <c r="C52" i="12"/>
  <c r="B52" i="12"/>
  <c r="H51" i="12"/>
  <c r="G51" i="12"/>
  <c r="F51" i="12"/>
  <c r="E51" i="12"/>
  <c r="D51" i="12"/>
  <c r="C51" i="12"/>
  <c r="B51" i="12"/>
  <c r="H50" i="12"/>
  <c r="G50" i="12"/>
  <c r="F50" i="12"/>
  <c r="E50" i="12"/>
  <c r="D50" i="12"/>
  <c r="C50" i="12"/>
  <c r="B50" i="12"/>
  <c r="H49" i="12"/>
  <c r="G49" i="12"/>
  <c r="F49" i="12"/>
  <c r="E49" i="12"/>
  <c r="D49" i="12"/>
  <c r="C49" i="12"/>
  <c r="B49" i="12"/>
  <c r="H48" i="12"/>
  <c r="G48" i="12"/>
  <c r="F48" i="12"/>
  <c r="I48" i="12" s="1"/>
  <c r="E48" i="12"/>
  <c r="D48" i="12"/>
  <c r="C48" i="12"/>
  <c r="B48" i="12"/>
  <c r="H47" i="12"/>
  <c r="G47" i="12"/>
  <c r="F47" i="12"/>
  <c r="E47" i="12"/>
  <c r="D47" i="12"/>
  <c r="C47" i="12"/>
  <c r="B47" i="12"/>
  <c r="H46" i="12"/>
  <c r="G46" i="12"/>
  <c r="F46" i="12"/>
  <c r="E46" i="12"/>
  <c r="D46" i="12"/>
  <c r="C46" i="12"/>
  <c r="B46" i="12"/>
  <c r="H45" i="12"/>
  <c r="G45" i="12"/>
  <c r="F45" i="12"/>
  <c r="E45" i="12"/>
  <c r="D45" i="12"/>
  <c r="C45" i="12"/>
  <c r="B45" i="12"/>
  <c r="H44" i="12"/>
  <c r="G44" i="12"/>
  <c r="F44" i="12"/>
  <c r="E44" i="12"/>
  <c r="D44" i="12"/>
  <c r="C44" i="12"/>
  <c r="B44" i="12"/>
  <c r="H43" i="12"/>
  <c r="G43" i="12"/>
  <c r="F43" i="12"/>
  <c r="E43" i="12"/>
  <c r="D43" i="12"/>
  <c r="C43" i="12"/>
  <c r="B43" i="12"/>
  <c r="H42" i="12"/>
  <c r="G42" i="12"/>
  <c r="F42" i="12"/>
  <c r="E42" i="12"/>
  <c r="D42" i="12"/>
  <c r="C42" i="12"/>
  <c r="B42" i="12"/>
  <c r="H41" i="12"/>
  <c r="G41" i="12"/>
  <c r="F41" i="12"/>
  <c r="E41" i="12"/>
  <c r="D41" i="12"/>
  <c r="C41" i="12"/>
  <c r="B41" i="12"/>
  <c r="H40" i="12"/>
  <c r="G40" i="12"/>
  <c r="F40" i="12"/>
  <c r="E40" i="12"/>
  <c r="D40" i="12"/>
  <c r="C40" i="12"/>
  <c r="B40" i="12"/>
  <c r="H39" i="12"/>
  <c r="G39" i="12"/>
  <c r="F39" i="12"/>
  <c r="E39" i="12"/>
  <c r="D39" i="12"/>
  <c r="C39" i="12"/>
  <c r="B39" i="12"/>
  <c r="H38" i="12"/>
  <c r="G38" i="12"/>
  <c r="F38" i="12"/>
  <c r="E38" i="12"/>
  <c r="D38" i="12"/>
  <c r="C38" i="12"/>
  <c r="B38" i="12"/>
  <c r="H37" i="12"/>
  <c r="G37" i="12"/>
  <c r="F37" i="12"/>
  <c r="E37" i="12"/>
  <c r="D37" i="12"/>
  <c r="C37" i="12"/>
  <c r="B37" i="12"/>
  <c r="H36" i="12"/>
  <c r="G36" i="12"/>
  <c r="F36" i="12"/>
  <c r="E36" i="12"/>
  <c r="D36" i="12"/>
  <c r="C36" i="12"/>
  <c r="B36" i="12"/>
  <c r="H35" i="12"/>
  <c r="G35" i="12"/>
  <c r="F35" i="12"/>
  <c r="E35" i="12"/>
  <c r="D35" i="12"/>
  <c r="C35" i="12"/>
  <c r="B35" i="12"/>
  <c r="H34" i="12"/>
  <c r="G34" i="12"/>
  <c r="F34" i="12"/>
  <c r="E34" i="12"/>
  <c r="D34" i="12"/>
  <c r="C34" i="12"/>
  <c r="B34" i="12"/>
  <c r="H33" i="12"/>
  <c r="G33" i="12"/>
  <c r="F33" i="12"/>
  <c r="E33" i="12"/>
  <c r="D33" i="12"/>
  <c r="C33" i="12"/>
  <c r="B33" i="12"/>
  <c r="H32" i="12"/>
  <c r="G32" i="12"/>
  <c r="F32" i="12"/>
  <c r="I32" i="12" s="1"/>
  <c r="E32" i="12"/>
  <c r="D32" i="12"/>
  <c r="C32" i="12"/>
  <c r="B32" i="12"/>
  <c r="H31" i="12"/>
  <c r="G31" i="12"/>
  <c r="F31" i="12"/>
  <c r="E31" i="12"/>
  <c r="D31" i="12"/>
  <c r="C31" i="12"/>
  <c r="B31" i="12"/>
  <c r="H30" i="12"/>
  <c r="G30" i="12"/>
  <c r="F30" i="12"/>
  <c r="E30" i="12"/>
  <c r="D30" i="12"/>
  <c r="C30" i="12"/>
  <c r="B30" i="12"/>
  <c r="H29" i="12"/>
  <c r="G29" i="12"/>
  <c r="F29" i="12"/>
  <c r="E29" i="12"/>
  <c r="D29" i="12"/>
  <c r="C29" i="12"/>
  <c r="B29" i="12"/>
  <c r="H28" i="12"/>
  <c r="G28" i="12"/>
  <c r="F28" i="12"/>
  <c r="E28" i="12"/>
  <c r="D28" i="12"/>
  <c r="C28" i="12"/>
  <c r="B28" i="12"/>
  <c r="H27" i="12"/>
  <c r="G27" i="12"/>
  <c r="F27" i="12"/>
  <c r="E27" i="12"/>
  <c r="D27" i="12"/>
  <c r="C27" i="12"/>
  <c r="B27" i="12"/>
  <c r="H26" i="12"/>
  <c r="G26" i="12"/>
  <c r="F26" i="12"/>
  <c r="E26" i="12"/>
  <c r="D26" i="12"/>
  <c r="C26" i="12"/>
  <c r="B26" i="12"/>
  <c r="H25" i="12"/>
  <c r="G25" i="12"/>
  <c r="F25" i="12"/>
  <c r="E25" i="12"/>
  <c r="D25" i="12"/>
  <c r="C25" i="12"/>
  <c r="B25" i="12"/>
  <c r="H24" i="12"/>
  <c r="G24" i="12"/>
  <c r="F24" i="12"/>
  <c r="E24" i="12"/>
  <c r="D24" i="12"/>
  <c r="C24" i="12"/>
  <c r="B24" i="12"/>
  <c r="H23" i="12"/>
  <c r="G23" i="12"/>
  <c r="F23" i="12"/>
  <c r="E23" i="12"/>
  <c r="D23" i="12"/>
  <c r="C23" i="12"/>
  <c r="B23" i="12"/>
  <c r="H22" i="12"/>
  <c r="G22" i="12"/>
  <c r="F22" i="12"/>
  <c r="E22" i="12"/>
  <c r="D22" i="12"/>
  <c r="C22" i="12"/>
  <c r="B22" i="12"/>
  <c r="H21" i="12"/>
  <c r="G21" i="12"/>
  <c r="F21" i="12"/>
  <c r="E21" i="12"/>
  <c r="D21" i="12"/>
  <c r="C21" i="12"/>
  <c r="B21" i="12"/>
  <c r="H20" i="12"/>
  <c r="G20" i="12"/>
  <c r="F20" i="12"/>
  <c r="E20" i="12"/>
  <c r="D20" i="12"/>
  <c r="C20" i="12"/>
  <c r="B20" i="12"/>
  <c r="H19" i="12"/>
  <c r="G19" i="12"/>
  <c r="F19" i="12"/>
  <c r="E19" i="12"/>
  <c r="D19" i="12"/>
  <c r="C19" i="12"/>
  <c r="B19" i="12"/>
  <c r="H18" i="12"/>
  <c r="G18" i="12"/>
  <c r="F18" i="12"/>
  <c r="E18" i="12"/>
  <c r="D18" i="12"/>
  <c r="C18" i="12"/>
  <c r="B18" i="12"/>
  <c r="H17" i="12"/>
  <c r="G17" i="12"/>
  <c r="F17" i="12"/>
  <c r="E17" i="12"/>
  <c r="D17" i="12"/>
  <c r="C17" i="12"/>
  <c r="B17" i="12"/>
  <c r="H16" i="12"/>
  <c r="G16" i="12"/>
  <c r="F16" i="12"/>
  <c r="I16" i="12" s="1"/>
  <c r="E16" i="12"/>
  <c r="D16" i="12"/>
  <c r="C16" i="12"/>
  <c r="B16" i="12"/>
  <c r="H15" i="12"/>
  <c r="G15" i="12"/>
  <c r="F15" i="12"/>
  <c r="E15" i="12"/>
  <c r="D15" i="12"/>
  <c r="C15" i="12"/>
  <c r="B15" i="12"/>
  <c r="H14" i="12"/>
  <c r="G14" i="12"/>
  <c r="F14" i="12"/>
  <c r="E14" i="12"/>
  <c r="D14" i="12"/>
  <c r="C14" i="12"/>
  <c r="B14" i="12"/>
  <c r="H13" i="12"/>
  <c r="G13" i="12"/>
  <c r="F13" i="12"/>
  <c r="E13" i="12"/>
  <c r="D13" i="12"/>
  <c r="C13" i="12"/>
  <c r="B13" i="12"/>
  <c r="H12" i="12"/>
  <c r="G12" i="12"/>
  <c r="F12" i="12"/>
  <c r="E12" i="12"/>
  <c r="D12" i="12"/>
  <c r="C12" i="12"/>
  <c r="B12" i="12"/>
  <c r="H11" i="12"/>
  <c r="G11" i="12"/>
  <c r="F11" i="12"/>
  <c r="E11" i="12"/>
  <c r="D11" i="12"/>
  <c r="C11" i="12"/>
  <c r="B11" i="12"/>
  <c r="H10" i="12"/>
  <c r="G10" i="12"/>
  <c r="F10" i="12"/>
  <c r="E10" i="12"/>
  <c r="D10" i="12"/>
  <c r="C10" i="12"/>
  <c r="B10" i="12"/>
  <c r="H9" i="12"/>
  <c r="G9" i="12"/>
  <c r="F9" i="12"/>
  <c r="E9" i="12"/>
  <c r="D9" i="12"/>
  <c r="C9" i="12"/>
  <c r="B9" i="12"/>
  <c r="H8" i="12"/>
  <c r="G8" i="12"/>
  <c r="F8" i="12"/>
  <c r="E8" i="12"/>
  <c r="D8" i="12"/>
  <c r="C8" i="12"/>
  <c r="B8" i="12"/>
  <c r="H7" i="12"/>
  <c r="G7" i="12"/>
  <c r="F7" i="12"/>
  <c r="E7" i="12"/>
  <c r="D7" i="12"/>
  <c r="C7" i="12"/>
  <c r="B7" i="12"/>
  <c r="H6" i="12"/>
  <c r="G6" i="12"/>
  <c r="F6" i="12"/>
  <c r="E6" i="12"/>
  <c r="D6" i="12"/>
  <c r="C6" i="12"/>
  <c r="B6" i="12"/>
  <c r="H5" i="12"/>
  <c r="G5" i="12"/>
  <c r="F5" i="12"/>
  <c r="E5" i="12"/>
  <c r="D5" i="12"/>
  <c r="C5" i="12"/>
  <c r="B5" i="12"/>
  <c r="H4" i="12"/>
  <c r="G4" i="12"/>
  <c r="F4" i="12"/>
  <c r="E4" i="12"/>
  <c r="D4" i="12"/>
  <c r="C4" i="12"/>
  <c r="B4" i="12"/>
  <c r="H3" i="12"/>
  <c r="G3" i="12"/>
  <c r="F3" i="12"/>
  <c r="E3" i="12"/>
  <c r="D3" i="12"/>
  <c r="C3" i="12"/>
  <c r="B3" i="12"/>
  <c r="I263" i="12"/>
  <c r="I254" i="12"/>
  <c r="I252" i="12"/>
  <c r="I251" i="12"/>
  <c r="I247" i="12"/>
  <c r="I238" i="12"/>
  <c r="I236" i="12"/>
  <c r="I231" i="12"/>
  <c r="I222" i="12"/>
  <c r="I220" i="12"/>
  <c r="I215" i="12"/>
  <c r="I206" i="12"/>
  <c r="I204" i="12"/>
  <c r="I199" i="12"/>
  <c r="I190" i="12"/>
  <c r="I188" i="12"/>
  <c r="I183" i="12"/>
  <c r="I174" i="12"/>
  <c r="I171" i="12"/>
  <c r="I167" i="12"/>
  <c r="I164" i="12"/>
  <c r="I158" i="12"/>
  <c r="I151" i="12"/>
  <c r="I142" i="12"/>
  <c r="I135" i="12"/>
  <c r="I126" i="12"/>
  <c r="I124" i="12"/>
  <c r="I119" i="12"/>
  <c r="I110" i="12"/>
  <c r="I103" i="12"/>
  <c r="I94" i="12"/>
  <c r="I92" i="12"/>
  <c r="I87" i="12"/>
  <c r="I78" i="12"/>
  <c r="I75" i="12"/>
  <c r="I60" i="12"/>
  <c r="I44" i="12"/>
  <c r="I28" i="12"/>
  <c r="H263" i="11"/>
  <c r="G263" i="11"/>
  <c r="F263" i="11"/>
  <c r="E263" i="11"/>
  <c r="D263" i="11"/>
  <c r="C263" i="11"/>
  <c r="B263" i="11"/>
  <c r="H262" i="11"/>
  <c r="G262" i="11"/>
  <c r="F262" i="11"/>
  <c r="E262" i="11"/>
  <c r="D262" i="11"/>
  <c r="C262" i="11"/>
  <c r="B262" i="11"/>
  <c r="H261" i="11"/>
  <c r="G261" i="11"/>
  <c r="F261" i="11"/>
  <c r="E261" i="11"/>
  <c r="D261" i="11"/>
  <c r="C261" i="11"/>
  <c r="B261" i="11"/>
  <c r="H260" i="11"/>
  <c r="G260" i="11"/>
  <c r="F260" i="11"/>
  <c r="E260" i="11"/>
  <c r="D260" i="11"/>
  <c r="C260" i="11"/>
  <c r="B260" i="11"/>
  <c r="H259" i="11"/>
  <c r="G259" i="11"/>
  <c r="F259" i="11"/>
  <c r="E259" i="11"/>
  <c r="D259" i="11"/>
  <c r="C259" i="11"/>
  <c r="B259" i="11"/>
  <c r="H258" i="11"/>
  <c r="G258" i="11"/>
  <c r="F258" i="11"/>
  <c r="E258" i="11"/>
  <c r="D258" i="11"/>
  <c r="C258" i="11"/>
  <c r="B258" i="11"/>
  <c r="H257" i="11"/>
  <c r="G257" i="11"/>
  <c r="F257" i="11"/>
  <c r="E257" i="11"/>
  <c r="D257" i="11"/>
  <c r="C257" i="11"/>
  <c r="B257" i="11"/>
  <c r="H256" i="11"/>
  <c r="G256" i="11"/>
  <c r="F256" i="11"/>
  <c r="E256" i="11"/>
  <c r="D256" i="11"/>
  <c r="C256" i="11"/>
  <c r="B256" i="11"/>
  <c r="H255" i="11"/>
  <c r="I255" i="11" s="1"/>
  <c r="G255" i="11"/>
  <c r="F255" i="11"/>
  <c r="E255" i="11"/>
  <c r="D255" i="11"/>
  <c r="C255" i="11"/>
  <c r="B255" i="11"/>
  <c r="H254" i="11"/>
  <c r="G254" i="11"/>
  <c r="F254" i="11"/>
  <c r="E254" i="11"/>
  <c r="D254" i="11"/>
  <c r="C254" i="11"/>
  <c r="B254" i="11"/>
  <c r="H253" i="11"/>
  <c r="G253" i="11"/>
  <c r="F253" i="11"/>
  <c r="E253" i="11"/>
  <c r="D253" i="11"/>
  <c r="C253" i="11"/>
  <c r="B253" i="11"/>
  <c r="H252" i="11"/>
  <c r="G252" i="11"/>
  <c r="F252" i="11"/>
  <c r="E252" i="11"/>
  <c r="D252" i="11"/>
  <c r="C252" i="11"/>
  <c r="B252" i="11"/>
  <c r="H251" i="11"/>
  <c r="G251" i="11"/>
  <c r="F251" i="11"/>
  <c r="E251" i="11"/>
  <c r="D251" i="11"/>
  <c r="C251" i="11"/>
  <c r="B251" i="11"/>
  <c r="H250" i="11"/>
  <c r="G250" i="11"/>
  <c r="F250" i="11"/>
  <c r="E250" i="11"/>
  <c r="D250" i="11"/>
  <c r="C250" i="11"/>
  <c r="B250" i="11"/>
  <c r="H249" i="11"/>
  <c r="G249" i="11"/>
  <c r="F249" i="11"/>
  <c r="E249" i="11"/>
  <c r="D249" i="11"/>
  <c r="C249" i="11"/>
  <c r="B249" i="11"/>
  <c r="H248" i="11"/>
  <c r="G248" i="11"/>
  <c r="F248" i="11"/>
  <c r="E248" i="11"/>
  <c r="D248" i="11"/>
  <c r="C248" i="11"/>
  <c r="B248" i="11"/>
  <c r="H247" i="11"/>
  <c r="G247" i="11"/>
  <c r="F247" i="11"/>
  <c r="E247" i="11"/>
  <c r="D247" i="11"/>
  <c r="C247" i="11"/>
  <c r="B247" i="11"/>
  <c r="H246" i="11"/>
  <c r="G246" i="11"/>
  <c r="F246" i="11"/>
  <c r="E246" i="11"/>
  <c r="D246" i="11"/>
  <c r="C246" i="11"/>
  <c r="B246" i="11"/>
  <c r="H245" i="11"/>
  <c r="G245" i="11"/>
  <c r="F245" i="11"/>
  <c r="E245" i="11"/>
  <c r="D245" i="11"/>
  <c r="C245" i="11"/>
  <c r="B245" i="11"/>
  <c r="H244" i="11"/>
  <c r="G244" i="11"/>
  <c r="F244" i="11"/>
  <c r="E244" i="11"/>
  <c r="D244" i="11"/>
  <c r="C244" i="11"/>
  <c r="B244" i="11"/>
  <c r="H243" i="11"/>
  <c r="G243" i="11"/>
  <c r="F243" i="11"/>
  <c r="E243" i="11"/>
  <c r="D243" i="11"/>
  <c r="C243" i="11"/>
  <c r="B243" i="11"/>
  <c r="H242" i="11"/>
  <c r="G242" i="11"/>
  <c r="F242" i="11"/>
  <c r="E242" i="11"/>
  <c r="D242" i="11"/>
  <c r="C242" i="11"/>
  <c r="B242" i="11"/>
  <c r="H241" i="11"/>
  <c r="G241" i="11"/>
  <c r="F241" i="11"/>
  <c r="E241" i="11"/>
  <c r="D241" i="11"/>
  <c r="C241" i="11"/>
  <c r="B241" i="11"/>
  <c r="H240" i="11"/>
  <c r="G240" i="11"/>
  <c r="F240" i="11"/>
  <c r="E240" i="11"/>
  <c r="D240" i="11"/>
  <c r="C240" i="11"/>
  <c r="B240" i="11"/>
  <c r="H239" i="11"/>
  <c r="I239" i="11" s="1"/>
  <c r="G239" i="11"/>
  <c r="F239" i="11"/>
  <c r="E239" i="11"/>
  <c r="D239" i="11"/>
  <c r="C239" i="11"/>
  <c r="B239" i="11"/>
  <c r="H238" i="11"/>
  <c r="G238" i="11"/>
  <c r="F238" i="11"/>
  <c r="E238" i="11"/>
  <c r="D238" i="11"/>
  <c r="C238" i="11"/>
  <c r="B238" i="11"/>
  <c r="H237" i="11"/>
  <c r="G237" i="11"/>
  <c r="F237" i="11"/>
  <c r="E237" i="11"/>
  <c r="D237" i="11"/>
  <c r="C237" i="11"/>
  <c r="B237" i="11"/>
  <c r="H236" i="11"/>
  <c r="G236" i="11"/>
  <c r="F236" i="11"/>
  <c r="E236" i="11"/>
  <c r="D236" i="11"/>
  <c r="C236" i="11"/>
  <c r="B236" i="11"/>
  <c r="H235" i="11"/>
  <c r="G235" i="11"/>
  <c r="F235" i="11"/>
  <c r="E235" i="11"/>
  <c r="D235" i="11"/>
  <c r="C235" i="11"/>
  <c r="B235" i="11"/>
  <c r="H234" i="11"/>
  <c r="G234" i="11"/>
  <c r="F234" i="11"/>
  <c r="E234" i="11"/>
  <c r="D234" i="11"/>
  <c r="C234" i="11"/>
  <c r="B234" i="11"/>
  <c r="H233" i="11"/>
  <c r="G233" i="11"/>
  <c r="F233" i="11"/>
  <c r="E233" i="11"/>
  <c r="D233" i="11"/>
  <c r="C233" i="11"/>
  <c r="B233" i="11"/>
  <c r="H232" i="11"/>
  <c r="G232" i="11"/>
  <c r="F232" i="11"/>
  <c r="E232" i="11"/>
  <c r="D232" i="11"/>
  <c r="C232" i="11"/>
  <c r="B232" i="11"/>
  <c r="H231" i="11"/>
  <c r="G231" i="11"/>
  <c r="F231" i="11"/>
  <c r="E231" i="11"/>
  <c r="D231" i="11"/>
  <c r="C231" i="11"/>
  <c r="B231" i="11"/>
  <c r="H230" i="11"/>
  <c r="G230" i="11"/>
  <c r="F230" i="11"/>
  <c r="E230" i="11"/>
  <c r="D230" i="11"/>
  <c r="C230" i="11"/>
  <c r="B230" i="11"/>
  <c r="H229" i="11"/>
  <c r="G229" i="11"/>
  <c r="F229" i="11"/>
  <c r="E229" i="11"/>
  <c r="D229" i="11"/>
  <c r="C229" i="11"/>
  <c r="B229" i="11"/>
  <c r="H228" i="11"/>
  <c r="G228" i="11"/>
  <c r="F228" i="11"/>
  <c r="E228" i="11"/>
  <c r="D228" i="11"/>
  <c r="C228" i="11"/>
  <c r="B228" i="11"/>
  <c r="H227" i="11"/>
  <c r="G227" i="11"/>
  <c r="F227" i="11"/>
  <c r="E227" i="11"/>
  <c r="D227" i="11"/>
  <c r="C227" i="11"/>
  <c r="B227" i="11"/>
  <c r="H226" i="11"/>
  <c r="G226" i="11"/>
  <c r="F226" i="11"/>
  <c r="E226" i="11"/>
  <c r="D226" i="11"/>
  <c r="C226" i="11"/>
  <c r="B226" i="11"/>
  <c r="H225" i="11"/>
  <c r="G225" i="11"/>
  <c r="F225" i="11"/>
  <c r="E225" i="11"/>
  <c r="D225" i="11"/>
  <c r="C225" i="11"/>
  <c r="B225" i="11"/>
  <c r="H224" i="11"/>
  <c r="G224" i="11"/>
  <c r="F224" i="11"/>
  <c r="E224" i="11"/>
  <c r="D224" i="11"/>
  <c r="C224" i="11"/>
  <c r="B224" i="11"/>
  <c r="H223" i="11"/>
  <c r="I223" i="11" s="1"/>
  <c r="G223" i="11"/>
  <c r="F223" i="11"/>
  <c r="E223" i="11"/>
  <c r="D223" i="11"/>
  <c r="C223" i="11"/>
  <c r="B223" i="11"/>
  <c r="H222" i="11"/>
  <c r="G222" i="11"/>
  <c r="F222" i="11"/>
  <c r="E222" i="11"/>
  <c r="D222" i="11"/>
  <c r="C222" i="11"/>
  <c r="B222" i="11"/>
  <c r="H221" i="11"/>
  <c r="G221" i="11"/>
  <c r="F221" i="11"/>
  <c r="E221" i="11"/>
  <c r="D221" i="11"/>
  <c r="C221" i="11"/>
  <c r="B221" i="11"/>
  <c r="H220" i="11"/>
  <c r="G220" i="11"/>
  <c r="F220" i="11"/>
  <c r="E220" i="11"/>
  <c r="D220" i="11"/>
  <c r="C220" i="11"/>
  <c r="B220" i="11"/>
  <c r="H219" i="11"/>
  <c r="G219" i="11"/>
  <c r="F219" i="11"/>
  <c r="E219" i="11"/>
  <c r="D219" i="11"/>
  <c r="C219" i="11"/>
  <c r="B219" i="11"/>
  <c r="H218" i="11"/>
  <c r="G218" i="11"/>
  <c r="F218" i="11"/>
  <c r="E218" i="11"/>
  <c r="D218" i="11"/>
  <c r="C218" i="11"/>
  <c r="B218" i="11"/>
  <c r="H217" i="11"/>
  <c r="G217" i="11"/>
  <c r="F217" i="11"/>
  <c r="E217" i="11"/>
  <c r="D217" i="11"/>
  <c r="C217" i="11"/>
  <c r="B217" i="11"/>
  <c r="H216" i="11"/>
  <c r="G216" i="11"/>
  <c r="F216" i="11"/>
  <c r="E216" i="11"/>
  <c r="D216" i="11"/>
  <c r="C216" i="11"/>
  <c r="B216" i="11"/>
  <c r="H215" i="11"/>
  <c r="G215" i="11"/>
  <c r="F215" i="11"/>
  <c r="E215" i="11"/>
  <c r="D215" i="11"/>
  <c r="C215" i="11"/>
  <c r="B215" i="11"/>
  <c r="H214" i="11"/>
  <c r="G214" i="11"/>
  <c r="F214" i="11"/>
  <c r="E214" i="11"/>
  <c r="D214" i="11"/>
  <c r="C214" i="11"/>
  <c r="B214" i="11"/>
  <c r="H213" i="11"/>
  <c r="G213" i="11"/>
  <c r="F213" i="11"/>
  <c r="E213" i="11"/>
  <c r="D213" i="11"/>
  <c r="C213" i="11"/>
  <c r="B213" i="11"/>
  <c r="H212" i="11"/>
  <c r="G212" i="11"/>
  <c r="F212" i="11"/>
  <c r="E212" i="11"/>
  <c r="D212" i="11"/>
  <c r="C212" i="11"/>
  <c r="B212" i="11"/>
  <c r="H211" i="11"/>
  <c r="G211" i="11"/>
  <c r="F211" i="11"/>
  <c r="E211" i="11"/>
  <c r="D211" i="11"/>
  <c r="C211" i="11"/>
  <c r="B211" i="11"/>
  <c r="H210" i="11"/>
  <c r="G210" i="11"/>
  <c r="F210" i="11"/>
  <c r="E210" i="11"/>
  <c r="D210" i="11"/>
  <c r="C210" i="11"/>
  <c r="B210" i="11"/>
  <c r="H209" i="11"/>
  <c r="G209" i="11"/>
  <c r="F209" i="11"/>
  <c r="E209" i="11"/>
  <c r="D209" i="11"/>
  <c r="C209" i="11"/>
  <c r="B209" i="11"/>
  <c r="H208" i="11"/>
  <c r="G208" i="11"/>
  <c r="F208" i="11"/>
  <c r="E208" i="11"/>
  <c r="D208" i="11"/>
  <c r="C208" i="11"/>
  <c r="B208" i="11"/>
  <c r="H207" i="11"/>
  <c r="I207" i="11" s="1"/>
  <c r="G207" i="11"/>
  <c r="F207" i="11"/>
  <c r="E207" i="11"/>
  <c r="D207" i="11"/>
  <c r="C207" i="11"/>
  <c r="B207" i="11"/>
  <c r="H206" i="11"/>
  <c r="G206" i="11"/>
  <c r="F206" i="11"/>
  <c r="E206" i="11"/>
  <c r="D206" i="11"/>
  <c r="C206" i="11"/>
  <c r="B206" i="11"/>
  <c r="H205" i="11"/>
  <c r="G205" i="11"/>
  <c r="F205" i="11"/>
  <c r="E205" i="11"/>
  <c r="D205" i="11"/>
  <c r="C205" i="11"/>
  <c r="B205" i="11"/>
  <c r="H204" i="11"/>
  <c r="G204" i="11"/>
  <c r="F204" i="11"/>
  <c r="E204" i="11"/>
  <c r="D204" i="11"/>
  <c r="C204" i="11"/>
  <c r="B204" i="11"/>
  <c r="H203" i="11"/>
  <c r="G203" i="11"/>
  <c r="F203" i="11"/>
  <c r="E203" i="11"/>
  <c r="D203" i="11"/>
  <c r="C203" i="11"/>
  <c r="B203" i="11"/>
  <c r="H202" i="11"/>
  <c r="G202" i="11"/>
  <c r="F202" i="11"/>
  <c r="E202" i="11"/>
  <c r="D202" i="11"/>
  <c r="C202" i="11"/>
  <c r="B202" i="11"/>
  <c r="H201" i="11"/>
  <c r="G201" i="11"/>
  <c r="F201" i="11"/>
  <c r="E201" i="11"/>
  <c r="D201" i="11"/>
  <c r="C201" i="11"/>
  <c r="B201" i="11"/>
  <c r="H200" i="11"/>
  <c r="G200" i="11"/>
  <c r="F200" i="11"/>
  <c r="E200" i="11"/>
  <c r="D200" i="11"/>
  <c r="C200" i="11"/>
  <c r="B200" i="11"/>
  <c r="H199" i="11"/>
  <c r="G199" i="11"/>
  <c r="F199" i="11"/>
  <c r="E199" i="11"/>
  <c r="D199" i="11"/>
  <c r="C199" i="11"/>
  <c r="B199" i="11"/>
  <c r="H198" i="11"/>
  <c r="G198" i="11"/>
  <c r="F198" i="11"/>
  <c r="E198" i="11"/>
  <c r="D198" i="11"/>
  <c r="C198" i="11"/>
  <c r="B198" i="11"/>
  <c r="H197" i="11"/>
  <c r="G197" i="11"/>
  <c r="F197" i="11"/>
  <c r="E197" i="11"/>
  <c r="D197" i="11"/>
  <c r="C197" i="11"/>
  <c r="B197" i="11"/>
  <c r="H196" i="11"/>
  <c r="G196" i="11"/>
  <c r="F196" i="11"/>
  <c r="E196" i="11"/>
  <c r="D196" i="11"/>
  <c r="C196" i="11"/>
  <c r="B196" i="11"/>
  <c r="H195" i="11"/>
  <c r="G195" i="11"/>
  <c r="F195" i="11"/>
  <c r="E195" i="11"/>
  <c r="D195" i="11"/>
  <c r="C195" i="11"/>
  <c r="B195" i="11"/>
  <c r="H194" i="11"/>
  <c r="G194" i="11"/>
  <c r="F194" i="11"/>
  <c r="E194" i="11"/>
  <c r="D194" i="11"/>
  <c r="C194" i="11"/>
  <c r="B194" i="11"/>
  <c r="H193" i="11"/>
  <c r="G193" i="11"/>
  <c r="F193" i="11"/>
  <c r="E193" i="11"/>
  <c r="D193" i="11"/>
  <c r="C193" i="11"/>
  <c r="B193" i="11"/>
  <c r="H192" i="11"/>
  <c r="G192" i="11"/>
  <c r="F192" i="11"/>
  <c r="E192" i="11"/>
  <c r="D192" i="11"/>
  <c r="C192" i="11"/>
  <c r="B192" i="11"/>
  <c r="H191" i="11"/>
  <c r="I191" i="11" s="1"/>
  <c r="G191" i="11"/>
  <c r="F191" i="11"/>
  <c r="E191" i="11"/>
  <c r="D191" i="11"/>
  <c r="C191" i="11"/>
  <c r="B191" i="11"/>
  <c r="H190" i="11"/>
  <c r="G190" i="11"/>
  <c r="F190" i="11"/>
  <c r="E190" i="11"/>
  <c r="D190" i="11"/>
  <c r="C190" i="11"/>
  <c r="B190" i="11"/>
  <c r="H189" i="11"/>
  <c r="G189" i="11"/>
  <c r="F189" i="11"/>
  <c r="E189" i="11"/>
  <c r="D189" i="11"/>
  <c r="C189" i="11"/>
  <c r="B189" i="11"/>
  <c r="H188" i="11"/>
  <c r="G188" i="11"/>
  <c r="F188" i="11"/>
  <c r="E188" i="11"/>
  <c r="D188" i="11"/>
  <c r="C188" i="11"/>
  <c r="B188" i="11"/>
  <c r="H187" i="11"/>
  <c r="G187" i="11"/>
  <c r="F187" i="11"/>
  <c r="E187" i="11"/>
  <c r="D187" i="11"/>
  <c r="C187" i="11"/>
  <c r="B187" i="11"/>
  <c r="H186" i="11"/>
  <c r="G186" i="11"/>
  <c r="F186" i="11"/>
  <c r="E186" i="11"/>
  <c r="D186" i="11"/>
  <c r="C186" i="11"/>
  <c r="B186" i="11"/>
  <c r="H185" i="11"/>
  <c r="G185" i="11"/>
  <c r="F185" i="11"/>
  <c r="E185" i="11"/>
  <c r="D185" i="11"/>
  <c r="C185" i="11"/>
  <c r="B185" i="11"/>
  <c r="H184" i="11"/>
  <c r="G184" i="11"/>
  <c r="F184" i="11"/>
  <c r="E184" i="11"/>
  <c r="D184" i="11"/>
  <c r="C184" i="11"/>
  <c r="B184" i="11"/>
  <c r="H183" i="11"/>
  <c r="G183" i="11"/>
  <c r="F183" i="11"/>
  <c r="E183" i="11"/>
  <c r="D183" i="11"/>
  <c r="C183" i="11"/>
  <c r="B183" i="11"/>
  <c r="H182" i="11"/>
  <c r="G182" i="11"/>
  <c r="F182" i="11"/>
  <c r="E182" i="11"/>
  <c r="D182" i="11"/>
  <c r="C182" i="11"/>
  <c r="B182" i="11"/>
  <c r="H181" i="11"/>
  <c r="G181" i="11"/>
  <c r="F181" i="11"/>
  <c r="E181" i="11"/>
  <c r="D181" i="11"/>
  <c r="C181" i="11"/>
  <c r="B181" i="11"/>
  <c r="H180" i="11"/>
  <c r="G180" i="11"/>
  <c r="F180" i="11"/>
  <c r="I180" i="11" s="1"/>
  <c r="E180" i="11"/>
  <c r="D180" i="11"/>
  <c r="C180" i="11"/>
  <c r="B180" i="11"/>
  <c r="H179" i="11"/>
  <c r="G179" i="11"/>
  <c r="F179" i="11"/>
  <c r="E179" i="11"/>
  <c r="D179" i="11"/>
  <c r="C179" i="11"/>
  <c r="B179" i="11"/>
  <c r="H178" i="11"/>
  <c r="G178" i="11"/>
  <c r="F178" i="11"/>
  <c r="E178" i="11"/>
  <c r="D178" i="11"/>
  <c r="C178" i="11"/>
  <c r="B178" i="11"/>
  <c r="H177" i="11"/>
  <c r="G177" i="11"/>
  <c r="F177" i="11"/>
  <c r="E177" i="11"/>
  <c r="D177" i="11"/>
  <c r="C177" i="11"/>
  <c r="B177" i="11"/>
  <c r="H176" i="11"/>
  <c r="G176" i="11"/>
  <c r="F176" i="11"/>
  <c r="E176" i="11"/>
  <c r="D176" i="11"/>
  <c r="C176" i="11"/>
  <c r="B176" i="11"/>
  <c r="H175" i="11"/>
  <c r="G175" i="11"/>
  <c r="F175" i="11"/>
  <c r="E175" i="11"/>
  <c r="D175" i="11"/>
  <c r="C175" i="11"/>
  <c r="B175" i="11"/>
  <c r="H174" i="11"/>
  <c r="G174" i="11"/>
  <c r="F174" i="11"/>
  <c r="E174" i="11"/>
  <c r="D174" i="11"/>
  <c r="C174" i="11"/>
  <c r="B174" i="11"/>
  <c r="H173" i="11"/>
  <c r="G173" i="11"/>
  <c r="F173" i="11"/>
  <c r="E173" i="11"/>
  <c r="D173" i="11"/>
  <c r="C173" i="11"/>
  <c r="B173" i="11"/>
  <c r="H172" i="11"/>
  <c r="G172" i="11"/>
  <c r="F172" i="11"/>
  <c r="E172" i="11"/>
  <c r="D172" i="11"/>
  <c r="C172" i="11"/>
  <c r="B172" i="11"/>
  <c r="H171" i="11"/>
  <c r="G171" i="11"/>
  <c r="F171" i="11"/>
  <c r="E171" i="11"/>
  <c r="D171" i="11"/>
  <c r="C171" i="11"/>
  <c r="B171" i="11"/>
  <c r="H170" i="11"/>
  <c r="G170" i="11"/>
  <c r="F170" i="11"/>
  <c r="E170" i="11"/>
  <c r="D170" i="11"/>
  <c r="C170" i="11"/>
  <c r="B170" i="11"/>
  <c r="H169" i="11"/>
  <c r="G169" i="11"/>
  <c r="F169" i="11"/>
  <c r="E169" i="11"/>
  <c r="D169" i="11"/>
  <c r="C169" i="11"/>
  <c r="B169" i="11"/>
  <c r="H168" i="11"/>
  <c r="G168" i="11"/>
  <c r="F168" i="11"/>
  <c r="E168" i="11"/>
  <c r="D168" i="11"/>
  <c r="C168" i="11"/>
  <c r="B168" i="11"/>
  <c r="H167" i="11"/>
  <c r="G167" i="11"/>
  <c r="F167" i="11"/>
  <c r="E167" i="11"/>
  <c r="D167" i="11"/>
  <c r="C167" i="11"/>
  <c r="B167" i="11"/>
  <c r="H166" i="11"/>
  <c r="G166" i="11"/>
  <c r="I166" i="11" s="1"/>
  <c r="F166" i="11"/>
  <c r="E166" i="11"/>
  <c r="D166" i="11"/>
  <c r="C166" i="11"/>
  <c r="B166" i="11"/>
  <c r="H165" i="11"/>
  <c r="G165" i="11"/>
  <c r="F165" i="11"/>
  <c r="E165" i="11"/>
  <c r="D165" i="11"/>
  <c r="C165" i="11"/>
  <c r="B165" i="11"/>
  <c r="H164" i="11"/>
  <c r="G164" i="11"/>
  <c r="F164" i="11"/>
  <c r="E164" i="11"/>
  <c r="D164" i="11"/>
  <c r="C164" i="11"/>
  <c r="B164" i="11"/>
  <c r="H163" i="11"/>
  <c r="G163" i="11"/>
  <c r="F163" i="11"/>
  <c r="E163" i="11"/>
  <c r="D163" i="11"/>
  <c r="C163" i="11"/>
  <c r="B163" i="11"/>
  <c r="H162" i="11"/>
  <c r="G162" i="11"/>
  <c r="F162" i="11"/>
  <c r="E162" i="11"/>
  <c r="D162" i="11"/>
  <c r="C162" i="11"/>
  <c r="B162" i="11"/>
  <c r="H161" i="11"/>
  <c r="G161" i="11"/>
  <c r="F161" i="11"/>
  <c r="E161" i="11"/>
  <c r="D161" i="11"/>
  <c r="C161" i="11"/>
  <c r="B161" i="11"/>
  <c r="H160" i="11"/>
  <c r="G160" i="11"/>
  <c r="F160" i="11"/>
  <c r="E160" i="11"/>
  <c r="D160" i="11"/>
  <c r="C160" i="11"/>
  <c r="B160" i="11"/>
  <c r="H159" i="11"/>
  <c r="G159" i="11"/>
  <c r="F159" i="11"/>
  <c r="E159" i="11"/>
  <c r="D159" i="11"/>
  <c r="C159" i="11"/>
  <c r="B159" i="11"/>
  <c r="H158" i="11"/>
  <c r="G158" i="11"/>
  <c r="F158" i="11"/>
  <c r="E158" i="11"/>
  <c r="D158" i="11"/>
  <c r="C158" i="11"/>
  <c r="B158" i="11"/>
  <c r="H157" i="11"/>
  <c r="G157" i="11"/>
  <c r="F157" i="11"/>
  <c r="E157" i="11"/>
  <c r="D157" i="11"/>
  <c r="C157" i="11"/>
  <c r="B157" i="11"/>
  <c r="H156" i="11"/>
  <c r="G156" i="11"/>
  <c r="F156" i="11"/>
  <c r="E156" i="11"/>
  <c r="D156" i="11"/>
  <c r="C156" i="11"/>
  <c r="B156" i="11"/>
  <c r="H155" i="11"/>
  <c r="G155" i="11"/>
  <c r="F155" i="11"/>
  <c r="E155" i="11"/>
  <c r="D155" i="11"/>
  <c r="C155" i="11"/>
  <c r="B155" i="11"/>
  <c r="H154" i="11"/>
  <c r="G154" i="11"/>
  <c r="F154" i="11"/>
  <c r="E154" i="11"/>
  <c r="D154" i="11"/>
  <c r="C154" i="11"/>
  <c r="B154" i="11"/>
  <c r="H153" i="11"/>
  <c r="G153" i="11"/>
  <c r="F153" i="11"/>
  <c r="E153" i="11"/>
  <c r="D153" i="11"/>
  <c r="C153" i="11"/>
  <c r="B153" i="11"/>
  <c r="H152" i="11"/>
  <c r="G152" i="11"/>
  <c r="F152" i="11"/>
  <c r="E152" i="11"/>
  <c r="D152" i="11"/>
  <c r="C152" i="11"/>
  <c r="B152" i="11"/>
  <c r="H151" i="11"/>
  <c r="G151" i="11"/>
  <c r="F151" i="11"/>
  <c r="E151" i="11"/>
  <c r="D151" i="11"/>
  <c r="C151" i="11"/>
  <c r="B151" i="11"/>
  <c r="H150" i="11"/>
  <c r="G150" i="11"/>
  <c r="I150" i="11" s="1"/>
  <c r="F150" i="11"/>
  <c r="E150" i="11"/>
  <c r="D150" i="11"/>
  <c r="C150" i="11"/>
  <c r="B150" i="11"/>
  <c r="H149" i="11"/>
  <c r="G149" i="11"/>
  <c r="F149" i="11"/>
  <c r="E149" i="11"/>
  <c r="D149" i="11"/>
  <c r="C149" i="11"/>
  <c r="B149" i="11"/>
  <c r="H148" i="11"/>
  <c r="G148" i="11"/>
  <c r="F148" i="11"/>
  <c r="I148" i="11" s="1"/>
  <c r="E148" i="11"/>
  <c r="D148" i="11"/>
  <c r="C148" i="11"/>
  <c r="B148" i="11"/>
  <c r="H147" i="11"/>
  <c r="G147" i="11"/>
  <c r="F147" i="11"/>
  <c r="E147" i="11"/>
  <c r="D147" i="11"/>
  <c r="C147" i="11"/>
  <c r="B147" i="11"/>
  <c r="H146" i="11"/>
  <c r="G146" i="11"/>
  <c r="F146" i="11"/>
  <c r="E146" i="11"/>
  <c r="D146" i="11"/>
  <c r="C146" i="11"/>
  <c r="B146" i="11"/>
  <c r="H145" i="11"/>
  <c r="G145" i="11"/>
  <c r="F145" i="11"/>
  <c r="E145" i="11"/>
  <c r="D145" i="11"/>
  <c r="C145" i="11"/>
  <c r="B145" i="11"/>
  <c r="H144" i="11"/>
  <c r="G144" i="11"/>
  <c r="F144" i="11"/>
  <c r="E144" i="11"/>
  <c r="D144" i="11"/>
  <c r="C144" i="11"/>
  <c r="B144" i="11"/>
  <c r="H143" i="11"/>
  <c r="G143" i="11"/>
  <c r="F143" i="11"/>
  <c r="E143" i="11"/>
  <c r="D143" i="11"/>
  <c r="C143" i="11"/>
  <c r="B143" i="11"/>
  <c r="H142" i="11"/>
  <c r="G142" i="11"/>
  <c r="F142" i="11"/>
  <c r="E142" i="11"/>
  <c r="D142" i="11"/>
  <c r="C142" i="11"/>
  <c r="B142" i="11"/>
  <c r="H141" i="11"/>
  <c r="G141" i="11"/>
  <c r="F141" i="11"/>
  <c r="E141" i="11"/>
  <c r="D141" i="11"/>
  <c r="C141" i="11"/>
  <c r="B141" i="11"/>
  <c r="H140" i="11"/>
  <c r="G140" i="11"/>
  <c r="F140" i="11"/>
  <c r="E140" i="11"/>
  <c r="D140" i="11"/>
  <c r="C140" i="11"/>
  <c r="B140" i="11"/>
  <c r="H139" i="11"/>
  <c r="G139" i="11"/>
  <c r="F139" i="11"/>
  <c r="E139" i="11"/>
  <c r="D139" i="11"/>
  <c r="C139" i="11"/>
  <c r="B139" i="11"/>
  <c r="H138" i="11"/>
  <c r="G138" i="11"/>
  <c r="F138" i="11"/>
  <c r="E138" i="11"/>
  <c r="D138" i="11"/>
  <c r="C138" i="11"/>
  <c r="B138" i="11"/>
  <c r="H137" i="11"/>
  <c r="G137" i="11"/>
  <c r="F137" i="11"/>
  <c r="E137" i="11"/>
  <c r="D137" i="11"/>
  <c r="C137" i="11"/>
  <c r="B137" i="11"/>
  <c r="H136" i="11"/>
  <c r="G136" i="11"/>
  <c r="F136" i="11"/>
  <c r="E136" i="11"/>
  <c r="D136" i="11"/>
  <c r="C136" i="11"/>
  <c r="B136" i="11"/>
  <c r="H135" i="11"/>
  <c r="G135" i="11"/>
  <c r="F135" i="11"/>
  <c r="E135" i="11"/>
  <c r="D135" i="11"/>
  <c r="C135" i="11"/>
  <c r="B135" i="11"/>
  <c r="H134" i="11"/>
  <c r="G134" i="11"/>
  <c r="I134" i="11" s="1"/>
  <c r="F134" i="11"/>
  <c r="E134" i="11"/>
  <c r="D134" i="11"/>
  <c r="C134" i="11"/>
  <c r="B134" i="11"/>
  <c r="H133" i="11"/>
  <c r="G133" i="11"/>
  <c r="F133" i="11"/>
  <c r="E133" i="11"/>
  <c r="D133" i="11"/>
  <c r="C133" i="11"/>
  <c r="B133" i="11"/>
  <c r="H132" i="11"/>
  <c r="G132" i="11"/>
  <c r="F132" i="11"/>
  <c r="I132" i="11" s="1"/>
  <c r="E132" i="11"/>
  <c r="D132" i="11"/>
  <c r="C132" i="11"/>
  <c r="B132" i="11"/>
  <c r="H131" i="11"/>
  <c r="G131" i="11"/>
  <c r="F131" i="11"/>
  <c r="E131" i="11"/>
  <c r="D131" i="11"/>
  <c r="C131" i="11"/>
  <c r="B131" i="11"/>
  <c r="H130" i="11"/>
  <c r="G130" i="11"/>
  <c r="F130" i="11"/>
  <c r="E130" i="11"/>
  <c r="D130" i="11"/>
  <c r="C130" i="11"/>
  <c r="B130" i="11"/>
  <c r="H129" i="11"/>
  <c r="G129" i="11"/>
  <c r="F129" i="11"/>
  <c r="E129" i="11"/>
  <c r="D129" i="11"/>
  <c r="C129" i="11"/>
  <c r="B129" i="11"/>
  <c r="H128" i="11"/>
  <c r="G128" i="11"/>
  <c r="F128" i="11"/>
  <c r="E128" i="11"/>
  <c r="D128" i="11"/>
  <c r="C128" i="11"/>
  <c r="B128" i="11"/>
  <c r="H127" i="11"/>
  <c r="G127" i="11"/>
  <c r="F127" i="11"/>
  <c r="E127" i="11"/>
  <c r="D127" i="11"/>
  <c r="C127" i="11"/>
  <c r="B127" i="11"/>
  <c r="H126" i="11"/>
  <c r="G126" i="11"/>
  <c r="F126" i="11"/>
  <c r="E126" i="11"/>
  <c r="D126" i="11"/>
  <c r="C126" i="11"/>
  <c r="B126" i="11"/>
  <c r="H125" i="11"/>
  <c r="G125" i="11"/>
  <c r="F125" i="11"/>
  <c r="E125" i="11"/>
  <c r="D125" i="11"/>
  <c r="C125" i="11"/>
  <c r="B125" i="11"/>
  <c r="H124" i="11"/>
  <c r="G124" i="11"/>
  <c r="F124" i="11"/>
  <c r="E124" i="11"/>
  <c r="D124" i="11"/>
  <c r="C124" i="11"/>
  <c r="B124" i="11"/>
  <c r="H123" i="11"/>
  <c r="G123" i="11"/>
  <c r="F123" i="11"/>
  <c r="E123" i="11"/>
  <c r="D123" i="11"/>
  <c r="C123" i="11"/>
  <c r="B123" i="11"/>
  <c r="H122" i="11"/>
  <c r="G122" i="11"/>
  <c r="F122" i="11"/>
  <c r="E122" i="11"/>
  <c r="D122" i="11"/>
  <c r="C122" i="11"/>
  <c r="B122" i="11"/>
  <c r="H121" i="11"/>
  <c r="G121" i="11"/>
  <c r="F121" i="11"/>
  <c r="E121" i="11"/>
  <c r="D121" i="11"/>
  <c r="C121" i="11"/>
  <c r="B121" i="11"/>
  <c r="H120" i="11"/>
  <c r="G120" i="11"/>
  <c r="F120" i="11"/>
  <c r="E120" i="11"/>
  <c r="D120" i="11"/>
  <c r="C120" i="11"/>
  <c r="B120" i="11"/>
  <c r="H119" i="11"/>
  <c r="G119" i="11"/>
  <c r="F119" i="11"/>
  <c r="E119" i="11"/>
  <c r="D119" i="11"/>
  <c r="C119" i="11"/>
  <c r="B119" i="11"/>
  <c r="H118" i="11"/>
  <c r="G118" i="11"/>
  <c r="I118" i="11" s="1"/>
  <c r="F118" i="11"/>
  <c r="E118" i="11"/>
  <c r="D118" i="11"/>
  <c r="C118" i="11"/>
  <c r="B118" i="11"/>
  <c r="H117" i="11"/>
  <c r="G117" i="11"/>
  <c r="F117" i="11"/>
  <c r="E117" i="11"/>
  <c r="D117" i="11"/>
  <c r="C117" i="11"/>
  <c r="B117" i="11"/>
  <c r="H116" i="11"/>
  <c r="G116" i="11"/>
  <c r="F116" i="11"/>
  <c r="I116" i="11" s="1"/>
  <c r="E116" i="11"/>
  <c r="D116" i="11"/>
  <c r="C116" i="11"/>
  <c r="B116" i="11"/>
  <c r="H115" i="11"/>
  <c r="G115" i="11"/>
  <c r="F115" i="11"/>
  <c r="E115" i="11"/>
  <c r="D115" i="11"/>
  <c r="C115" i="11"/>
  <c r="B115" i="11"/>
  <c r="H114" i="11"/>
  <c r="G114" i="11"/>
  <c r="F114" i="11"/>
  <c r="E114" i="11"/>
  <c r="D114" i="11"/>
  <c r="C114" i="11"/>
  <c r="B114" i="11"/>
  <c r="H113" i="11"/>
  <c r="G113" i="11"/>
  <c r="F113" i="11"/>
  <c r="E113" i="11"/>
  <c r="D113" i="11"/>
  <c r="C113" i="11"/>
  <c r="B113" i="11"/>
  <c r="H112" i="11"/>
  <c r="G112" i="11"/>
  <c r="F112" i="11"/>
  <c r="E112" i="11"/>
  <c r="D112" i="11"/>
  <c r="C112" i="11"/>
  <c r="B112" i="11"/>
  <c r="H111" i="11"/>
  <c r="G111" i="11"/>
  <c r="F111" i="11"/>
  <c r="E111" i="11"/>
  <c r="D111" i="11"/>
  <c r="C111" i="11"/>
  <c r="B111" i="11"/>
  <c r="H110" i="11"/>
  <c r="G110" i="11"/>
  <c r="F110" i="11"/>
  <c r="E110" i="11"/>
  <c r="D110" i="11"/>
  <c r="C110" i="11"/>
  <c r="B110" i="11"/>
  <c r="H109" i="11"/>
  <c r="G109" i="11"/>
  <c r="F109" i="11"/>
  <c r="E109" i="11"/>
  <c r="D109" i="11"/>
  <c r="C109" i="11"/>
  <c r="B109" i="11"/>
  <c r="H108" i="11"/>
  <c r="G108" i="11"/>
  <c r="F108" i="11"/>
  <c r="E108" i="11"/>
  <c r="D108" i="11"/>
  <c r="C108" i="11"/>
  <c r="B108" i="11"/>
  <c r="H107" i="11"/>
  <c r="G107" i="11"/>
  <c r="F107" i="11"/>
  <c r="E107" i="11"/>
  <c r="D107" i="11"/>
  <c r="C107" i="11"/>
  <c r="B107" i="11"/>
  <c r="H106" i="11"/>
  <c r="G106" i="11"/>
  <c r="F106" i="11"/>
  <c r="E106" i="11"/>
  <c r="D106" i="11"/>
  <c r="C106" i="11"/>
  <c r="B106" i="11"/>
  <c r="H105" i="11"/>
  <c r="G105" i="11"/>
  <c r="F105" i="11"/>
  <c r="E105" i="11"/>
  <c r="D105" i="11"/>
  <c r="C105" i="11"/>
  <c r="B105" i="11"/>
  <c r="H104" i="11"/>
  <c r="G104" i="11"/>
  <c r="I104" i="11" s="1"/>
  <c r="F104" i="11"/>
  <c r="E104" i="11"/>
  <c r="D104" i="11"/>
  <c r="C104" i="11"/>
  <c r="B104" i="11"/>
  <c r="H103" i="11"/>
  <c r="G103" i="11"/>
  <c r="F103" i="11"/>
  <c r="E103" i="11"/>
  <c r="D103" i="11"/>
  <c r="C103" i="11"/>
  <c r="B103" i="11"/>
  <c r="H102" i="11"/>
  <c r="G102" i="11"/>
  <c r="I102" i="11" s="1"/>
  <c r="F102" i="11"/>
  <c r="E102" i="11"/>
  <c r="D102" i="11"/>
  <c r="C102" i="11"/>
  <c r="B102" i="11"/>
  <c r="H101" i="11"/>
  <c r="G101" i="11"/>
  <c r="F101" i="11"/>
  <c r="E101" i="11"/>
  <c r="D101" i="11"/>
  <c r="C101" i="11"/>
  <c r="B101" i="11"/>
  <c r="H100" i="11"/>
  <c r="G100" i="11"/>
  <c r="F100" i="11"/>
  <c r="I100" i="11" s="1"/>
  <c r="E100" i="11"/>
  <c r="D100" i="11"/>
  <c r="C100" i="11"/>
  <c r="B100" i="11"/>
  <c r="H99" i="11"/>
  <c r="G99" i="11"/>
  <c r="F99" i="11"/>
  <c r="E99" i="11"/>
  <c r="D99" i="11"/>
  <c r="C99" i="11"/>
  <c r="B99" i="11"/>
  <c r="H98" i="11"/>
  <c r="G98" i="11"/>
  <c r="F98" i="11"/>
  <c r="E98" i="11"/>
  <c r="D98" i="11"/>
  <c r="C98" i="11"/>
  <c r="B98" i="11"/>
  <c r="H97" i="11"/>
  <c r="G97" i="11"/>
  <c r="F97" i="11"/>
  <c r="E97" i="11"/>
  <c r="D97" i="11"/>
  <c r="C97" i="11"/>
  <c r="B97" i="11"/>
  <c r="H96" i="11"/>
  <c r="G96" i="11"/>
  <c r="F96" i="11"/>
  <c r="E96" i="11"/>
  <c r="D96" i="11"/>
  <c r="C96" i="11"/>
  <c r="B96" i="11"/>
  <c r="H95" i="11"/>
  <c r="G95" i="11"/>
  <c r="F95" i="11"/>
  <c r="E95" i="11"/>
  <c r="D95" i="11"/>
  <c r="C95" i="11"/>
  <c r="B95" i="11"/>
  <c r="H94" i="11"/>
  <c r="G94" i="11"/>
  <c r="F94" i="11"/>
  <c r="E94" i="11"/>
  <c r="D94" i="11"/>
  <c r="C94" i="11"/>
  <c r="B94" i="11"/>
  <c r="H93" i="11"/>
  <c r="G93" i="11"/>
  <c r="F93" i="11"/>
  <c r="E93" i="11"/>
  <c r="D93" i="11"/>
  <c r="C93" i="11"/>
  <c r="B93" i="11"/>
  <c r="H92" i="11"/>
  <c r="G92" i="11"/>
  <c r="F92" i="11"/>
  <c r="E92" i="11"/>
  <c r="D92" i="11"/>
  <c r="C92" i="11"/>
  <c r="B92" i="11"/>
  <c r="H91" i="11"/>
  <c r="G91" i="11"/>
  <c r="F91" i="11"/>
  <c r="E91" i="11"/>
  <c r="D91" i="11"/>
  <c r="C91" i="11"/>
  <c r="B91" i="11"/>
  <c r="H90" i="11"/>
  <c r="G90" i="11"/>
  <c r="F90" i="11"/>
  <c r="E90" i="11"/>
  <c r="D90" i="11"/>
  <c r="C90" i="11"/>
  <c r="B90" i="11"/>
  <c r="H89" i="11"/>
  <c r="G89" i="11"/>
  <c r="F89" i="11"/>
  <c r="E89" i="11"/>
  <c r="D89" i="11"/>
  <c r="C89" i="11"/>
  <c r="B89" i="11"/>
  <c r="H88" i="11"/>
  <c r="G88" i="11"/>
  <c r="F88" i="11"/>
  <c r="E88" i="11"/>
  <c r="D88" i="11"/>
  <c r="C88" i="11"/>
  <c r="B88" i="11"/>
  <c r="H87" i="11"/>
  <c r="G87" i="11"/>
  <c r="F87" i="11"/>
  <c r="E87" i="11"/>
  <c r="D87" i="11"/>
  <c r="C87" i="11"/>
  <c r="B87" i="11"/>
  <c r="H86" i="11"/>
  <c r="G86" i="11"/>
  <c r="I86" i="11" s="1"/>
  <c r="F86" i="11"/>
  <c r="E86" i="11"/>
  <c r="D86" i="11"/>
  <c r="C86" i="11"/>
  <c r="B86" i="11"/>
  <c r="H85" i="11"/>
  <c r="G85" i="11"/>
  <c r="F85" i="11"/>
  <c r="E85" i="11"/>
  <c r="D85" i="11"/>
  <c r="C85" i="11"/>
  <c r="B85" i="11"/>
  <c r="H84" i="11"/>
  <c r="G84" i="11"/>
  <c r="F84" i="11"/>
  <c r="I84" i="11" s="1"/>
  <c r="E84" i="11"/>
  <c r="D84" i="11"/>
  <c r="C84" i="11"/>
  <c r="B84" i="11"/>
  <c r="H83" i="11"/>
  <c r="G83" i="11"/>
  <c r="F83" i="11"/>
  <c r="E83" i="11"/>
  <c r="D83" i="11"/>
  <c r="C83" i="11"/>
  <c r="B83" i="11"/>
  <c r="H82" i="11"/>
  <c r="G82" i="11"/>
  <c r="F82" i="11"/>
  <c r="E82" i="11"/>
  <c r="D82" i="11"/>
  <c r="C82" i="11"/>
  <c r="B82" i="11"/>
  <c r="H81" i="11"/>
  <c r="G81" i="11"/>
  <c r="F81" i="11"/>
  <c r="E81" i="11"/>
  <c r="D81" i="11"/>
  <c r="C81" i="11"/>
  <c r="B81" i="11"/>
  <c r="H80" i="11"/>
  <c r="G80" i="11"/>
  <c r="F80" i="11"/>
  <c r="E80" i="11"/>
  <c r="D80" i="11"/>
  <c r="C80" i="11"/>
  <c r="B80" i="11"/>
  <c r="H79" i="11"/>
  <c r="G79" i="11"/>
  <c r="F79" i="11"/>
  <c r="E79" i="11"/>
  <c r="D79" i="11"/>
  <c r="C79" i="11"/>
  <c r="B79" i="11"/>
  <c r="H78" i="11"/>
  <c r="G78" i="11"/>
  <c r="F78" i="11"/>
  <c r="E78" i="11"/>
  <c r="D78" i="11"/>
  <c r="C78" i="11"/>
  <c r="B78" i="11"/>
  <c r="H77" i="11"/>
  <c r="G77" i="11"/>
  <c r="F77" i="11"/>
  <c r="E77" i="11"/>
  <c r="D77" i="11"/>
  <c r="C77" i="11"/>
  <c r="B77" i="11"/>
  <c r="H76" i="11"/>
  <c r="G76" i="11"/>
  <c r="F76" i="11"/>
  <c r="E76" i="11"/>
  <c r="D76" i="11"/>
  <c r="C76" i="11"/>
  <c r="B76" i="11"/>
  <c r="H75" i="11"/>
  <c r="G75" i="11"/>
  <c r="F75" i="11"/>
  <c r="E75" i="11"/>
  <c r="D75" i="11"/>
  <c r="C75" i="11"/>
  <c r="B75" i="11"/>
  <c r="H74" i="11"/>
  <c r="G74" i="11"/>
  <c r="F74" i="11"/>
  <c r="E74" i="11"/>
  <c r="D74" i="11"/>
  <c r="C74" i="11"/>
  <c r="B74" i="11"/>
  <c r="H73" i="11"/>
  <c r="G73" i="11"/>
  <c r="F73" i="11"/>
  <c r="E73" i="11"/>
  <c r="D73" i="11"/>
  <c r="C73" i="11"/>
  <c r="B73" i="11"/>
  <c r="H72" i="11"/>
  <c r="G72" i="11"/>
  <c r="I72" i="11" s="1"/>
  <c r="F72" i="11"/>
  <c r="E72" i="11"/>
  <c r="D72" i="11"/>
  <c r="C72" i="11"/>
  <c r="B72" i="11"/>
  <c r="H71" i="11"/>
  <c r="G71" i="11"/>
  <c r="F71" i="11"/>
  <c r="E71" i="11"/>
  <c r="D71" i="11"/>
  <c r="C71" i="11"/>
  <c r="B71" i="11"/>
  <c r="H70" i="11"/>
  <c r="G70" i="11"/>
  <c r="F70" i="11"/>
  <c r="E70" i="11"/>
  <c r="D70" i="11"/>
  <c r="C70" i="11"/>
  <c r="B70" i="11"/>
  <c r="H69" i="11"/>
  <c r="G69" i="11"/>
  <c r="F69" i="11"/>
  <c r="E69" i="11"/>
  <c r="D69" i="11"/>
  <c r="C69" i="11"/>
  <c r="B69" i="11"/>
  <c r="H68" i="11"/>
  <c r="G68" i="11"/>
  <c r="F68" i="11"/>
  <c r="I68" i="11" s="1"/>
  <c r="E68" i="11"/>
  <c r="D68" i="11"/>
  <c r="C68" i="11"/>
  <c r="B68" i="11"/>
  <c r="H67" i="11"/>
  <c r="G67" i="11"/>
  <c r="F67" i="11"/>
  <c r="I67" i="11" s="1"/>
  <c r="E67" i="11"/>
  <c r="D67" i="11"/>
  <c r="C67" i="11"/>
  <c r="B67" i="11"/>
  <c r="H66" i="11"/>
  <c r="G66" i="11"/>
  <c r="F66" i="11"/>
  <c r="E66" i="11"/>
  <c r="D66" i="11"/>
  <c r="C66" i="11"/>
  <c r="B66" i="11"/>
  <c r="H65" i="11"/>
  <c r="G65" i="11"/>
  <c r="F65" i="11"/>
  <c r="E65" i="11"/>
  <c r="D65" i="11"/>
  <c r="C65" i="11"/>
  <c r="B65" i="11"/>
  <c r="H64" i="11"/>
  <c r="G64" i="11"/>
  <c r="F64" i="11"/>
  <c r="E64" i="11"/>
  <c r="D64" i="11"/>
  <c r="C64" i="11"/>
  <c r="B64" i="11"/>
  <c r="H63" i="11"/>
  <c r="G63" i="11"/>
  <c r="F63" i="11"/>
  <c r="E63" i="11"/>
  <c r="D63" i="11"/>
  <c r="C63" i="11"/>
  <c r="B63" i="11"/>
  <c r="H62" i="11"/>
  <c r="G62" i="11"/>
  <c r="F62" i="11"/>
  <c r="E62" i="11"/>
  <c r="D62" i="11"/>
  <c r="C62" i="11"/>
  <c r="B62" i="11"/>
  <c r="H61" i="11"/>
  <c r="G61" i="11"/>
  <c r="F61" i="11"/>
  <c r="E61" i="11"/>
  <c r="D61" i="11"/>
  <c r="C61" i="11"/>
  <c r="B61" i="11"/>
  <c r="H60" i="11"/>
  <c r="G60" i="11"/>
  <c r="F60" i="11"/>
  <c r="E60" i="11"/>
  <c r="D60" i="11"/>
  <c r="C60" i="11"/>
  <c r="B60" i="11"/>
  <c r="H59" i="11"/>
  <c r="G59" i="11"/>
  <c r="F59" i="11"/>
  <c r="E59" i="11"/>
  <c r="D59" i="11"/>
  <c r="C59" i="11"/>
  <c r="B59" i="11"/>
  <c r="H58" i="11"/>
  <c r="G58" i="11"/>
  <c r="F58" i="11"/>
  <c r="E58" i="11"/>
  <c r="D58" i="11"/>
  <c r="C58" i="11"/>
  <c r="B58" i="11"/>
  <c r="H57" i="11"/>
  <c r="G57" i="11"/>
  <c r="F57" i="11"/>
  <c r="E57" i="11"/>
  <c r="D57" i="11"/>
  <c r="C57" i="11"/>
  <c r="B57" i="11"/>
  <c r="H56" i="11"/>
  <c r="G56" i="11"/>
  <c r="I56" i="11" s="1"/>
  <c r="F56" i="11"/>
  <c r="E56" i="11"/>
  <c r="D56" i="11"/>
  <c r="C56" i="11"/>
  <c r="B56" i="11"/>
  <c r="H55" i="11"/>
  <c r="G55" i="11"/>
  <c r="F55" i="11"/>
  <c r="E55" i="11"/>
  <c r="D55" i="11"/>
  <c r="C55" i="11"/>
  <c r="B55" i="11"/>
  <c r="H54" i="11"/>
  <c r="G54" i="11"/>
  <c r="F54" i="11"/>
  <c r="E54" i="11"/>
  <c r="D54" i="11"/>
  <c r="C54" i="11"/>
  <c r="B54" i="11"/>
  <c r="H53" i="11"/>
  <c r="G53" i="11"/>
  <c r="F53" i="11"/>
  <c r="E53" i="11"/>
  <c r="D53" i="11"/>
  <c r="C53" i="11"/>
  <c r="B53" i="11"/>
  <c r="H52" i="11"/>
  <c r="G52" i="11"/>
  <c r="F52" i="11"/>
  <c r="I52" i="11" s="1"/>
  <c r="E52" i="11"/>
  <c r="D52" i="11"/>
  <c r="C52" i="11"/>
  <c r="B52" i="11"/>
  <c r="H51" i="11"/>
  <c r="G51" i="11"/>
  <c r="F51" i="11"/>
  <c r="E51" i="11"/>
  <c r="D51" i="11"/>
  <c r="C51" i="11"/>
  <c r="B51" i="11"/>
  <c r="H50" i="11"/>
  <c r="G50" i="11"/>
  <c r="F50" i="11"/>
  <c r="E50" i="11"/>
  <c r="D50" i="11"/>
  <c r="C50" i="11"/>
  <c r="B50" i="11"/>
  <c r="H49" i="11"/>
  <c r="G49" i="11"/>
  <c r="F49" i="11"/>
  <c r="E49" i="11"/>
  <c r="D49" i="11"/>
  <c r="C49" i="11"/>
  <c r="B49" i="11"/>
  <c r="H48" i="11"/>
  <c r="G48" i="11"/>
  <c r="F48" i="11"/>
  <c r="E48" i="11"/>
  <c r="D48" i="11"/>
  <c r="C48" i="11"/>
  <c r="B48" i="11"/>
  <c r="H47" i="11"/>
  <c r="G47" i="11"/>
  <c r="F47" i="11"/>
  <c r="E47" i="11"/>
  <c r="D47" i="11"/>
  <c r="C47" i="11"/>
  <c r="B47" i="11"/>
  <c r="H46" i="11"/>
  <c r="G46" i="11"/>
  <c r="F46" i="11"/>
  <c r="E46" i="11"/>
  <c r="D46" i="11"/>
  <c r="C46" i="11"/>
  <c r="B46" i="11"/>
  <c r="H45" i="11"/>
  <c r="G45" i="11"/>
  <c r="F45" i="11"/>
  <c r="E45" i="11"/>
  <c r="D45" i="11"/>
  <c r="C45" i="11"/>
  <c r="B45" i="11"/>
  <c r="H44" i="11"/>
  <c r="G44" i="11"/>
  <c r="F44" i="11"/>
  <c r="E44" i="11"/>
  <c r="D44" i="11"/>
  <c r="C44" i="11"/>
  <c r="B44" i="11"/>
  <c r="H43" i="11"/>
  <c r="G43" i="11"/>
  <c r="F43" i="11"/>
  <c r="E43" i="11"/>
  <c r="D43" i="11"/>
  <c r="C43" i="11"/>
  <c r="B43" i="11"/>
  <c r="H42" i="11"/>
  <c r="G42" i="11"/>
  <c r="F42" i="11"/>
  <c r="E42" i="11"/>
  <c r="D42" i="11"/>
  <c r="C42" i="11"/>
  <c r="B42" i="11"/>
  <c r="H41" i="11"/>
  <c r="G41" i="11"/>
  <c r="F41" i="11"/>
  <c r="E41" i="11"/>
  <c r="D41" i="11"/>
  <c r="C41" i="11"/>
  <c r="B41" i="11"/>
  <c r="H40" i="11"/>
  <c r="G40" i="11"/>
  <c r="F40" i="11"/>
  <c r="E40" i="11"/>
  <c r="D40" i="11"/>
  <c r="C40" i="11"/>
  <c r="B40" i="11"/>
  <c r="H39" i="11"/>
  <c r="G39" i="11"/>
  <c r="F39" i="11"/>
  <c r="E39" i="11"/>
  <c r="D39" i="11"/>
  <c r="C39" i="11"/>
  <c r="B39" i="11"/>
  <c r="H38" i="11"/>
  <c r="G38" i="11"/>
  <c r="F38" i="11"/>
  <c r="E38" i="11"/>
  <c r="D38" i="11"/>
  <c r="C38" i="11"/>
  <c r="B38" i="11"/>
  <c r="H37" i="11"/>
  <c r="G37" i="11"/>
  <c r="F37" i="11"/>
  <c r="E37" i="11"/>
  <c r="D37" i="11"/>
  <c r="C37" i="11"/>
  <c r="B37" i="11"/>
  <c r="H36" i="11"/>
  <c r="G36" i="11"/>
  <c r="F36" i="11"/>
  <c r="I36" i="11" s="1"/>
  <c r="E36" i="11"/>
  <c r="D36" i="11"/>
  <c r="C36" i="11"/>
  <c r="B36" i="11"/>
  <c r="H35" i="11"/>
  <c r="G35" i="11"/>
  <c r="F35" i="11"/>
  <c r="I35" i="11" s="1"/>
  <c r="E35" i="11"/>
  <c r="D35" i="11"/>
  <c r="C35" i="11"/>
  <c r="B35" i="11"/>
  <c r="H34" i="11"/>
  <c r="G34" i="11"/>
  <c r="F34" i="11"/>
  <c r="E34" i="11"/>
  <c r="D34" i="11"/>
  <c r="C34" i="11"/>
  <c r="B34" i="11"/>
  <c r="H33" i="11"/>
  <c r="I33" i="11" s="1"/>
  <c r="G33" i="11"/>
  <c r="F33" i="11"/>
  <c r="E33" i="11"/>
  <c r="D33" i="11"/>
  <c r="C33" i="11"/>
  <c r="B33" i="11"/>
  <c r="H32" i="11"/>
  <c r="G32" i="11"/>
  <c r="F32" i="11"/>
  <c r="E32" i="11"/>
  <c r="D32" i="11"/>
  <c r="C32" i="11"/>
  <c r="B32" i="11"/>
  <c r="H31" i="11"/>
  <c r="G31" i="11"/>
  <c r="F31" i="11"/>
  <c r="E31" i="11"/>
  <c r="D31" i="11"/>
  <c r="C31" i="11"/>
  <c r="B31" i="11"/>
  <c r="H30" i="11"/>
  <c r="G30" i="11"/>
  <c r="F30" i="11"/>
  <c r="E30" i="11"/>
  <c r="D30" i="11"/>
  <c r="C30" i="11"/>
  <c r="B30" i="11"/>
  <c r="H29" i="11"/>
  <c r="G29" i="11"/>
  <c r="F29" i="11"/>
  <c r="E29" i="11"/>
  <c r="D29" i="11"/>
  <c r="C29" i="11"/>
  <c r="B29" i="11"/>
  <c r="H28" i="11"/>
  <c r="G28" i="11"/>
  <c r="F28" i="11"/>
  <c r="E28" i="11"/>
  <c r="D28" i="11"/>
  <c r="C28" i="11"/>
  <c r="B28" i="11"/>
  <c r="H27" i="11"/>
  <c r="G27" i="11"/>
  <c r="F27" i="11"/>
  <c r="E27" i="11"/>
  <c r="D27" i="11"/>
  <c r="C27" i="11"/>
  <c r="B27" i="11"/>
  <c r="H26" i="11"/>
  <c r="G26" i="11"/>
  <c r="F26" i="11"/>
  <c r="E26" i="11"/>
  <c r="D26" i="11"/>
  <c r="C26" i="11"/>
  <c r="B26" i="11"/>
  <c r="H25" i="11"/>
  <c r="G25" i="11"/>
  <c r="F25" i="11"/>
  <c r="E25" i="11"/>
  <c r="D25" i="11"/>
  <c r="C25" i="11"/>
  <c r="B25" i="11"/>
  <c r="H24" i="11"/>
  <c r="G24" i="11"/>
  <c r="F24" i="11"/>
  <c r="E24" i="11"/>
  <c r="D24" i="11"/>
  <c r="C24" i="11"/>
  <c r="B24" i="11"/>
  <c r="H23" i="11"/>
  <c r="G23" i="11"/>
  <c r="F23" i="11"/>
  <c r="E23" i="11"/>
  <c r="D23" i="11"/>
  <c r="C23" i="11"/>
  <c r="B23" i="11"/>
  <c r="H22" i="11"/>
  <c r="G22" i="11"/>
  <c r="F22" i="11"/>
  <c r="E22" i="11"/>
  <c r="D22" i="11"/>
  <c r="C22" i="11"/>
  <c r="B22" i="11"/>
  <c r="H21" i="11"/>
  <c r="G21" i="11"/>
  <c r="F21" i="11"/>
  <c r="E21" i="11"/>
  <c r="D21" i="11"/>
  <c r="C21" i="11"/>
  <c r="B21" i="11"/>
  <c r="H20" i="11"/>
  <c r="G20" i="11"/>
  <c r="F20" i="11"/>
  <c r="I20" i="11" s="1"/>
  <c r="E20" i="11"/>
  <c r="D20" i="11"/>
  <c r="C20" i="11"/>
  <c r="B20" i="11"/>
  <c r="H19" i="11"/>
  <c r="G19" i="11"/>
  <c r="F19" i="11"/>
  <c r="I19" i="11" s="1"/>
  <c r="E19" i="11"/>
  <c r="D19" i="11"/>
  <c r="C19" i="11"/>
  <c r="B19" i="11"/>
  <c r="H18" i="11"/>
  <c r="G18" i="11"/>
  <c r="F18" i="11"/>
  <c r="E18" i="11"/>
  <c r="D18" i="11"/>
  <c r="C18" i="11"/>
  <c r="B18" i="11"/>
  <c r="H17" i="11"/>
  <c r="G17" i="11"/>
  <c r="F17" i="11"/>
  <c r="E17" i="11"/>
  <c r="D17" i="11"/>
  <c r="C17" i="11"/>
  <c r="B17" i="11"/>
  <c r="H16" i="11"/>
  <c r="G16" i="11"/>
  <c r="F16" i="11"/>
  <c r="E16" i="11"/>
  <c r="D16" i="11"/>
  <c r="C16" i="11"/>
  <c r="B16" i="11"/>
  <c r="H15" i="11"/>
  <c r="G15" i="11"/>
  <c r="F15" i="11"/>
  <c r="E15" i="11"/>
  <c r="D15" i="11"/>
  <c r="C15" i="11"/>
  <c r="B15" i="11"/>
  <c r="H14" i="11"/>
  <c r="G14" i="11"/>
  <c r="F14" i="11"/>
  <c r="E14" i="11"/>
  <c r="D14" i="11"/>
  <c r="C14" i="11"/>
  <c r="B14" i="11"/>
  <c r="H13" i="11"/>
  <c r="G13" i="11"/>
  <c r="F13" i="11"/>
  <c r="E13" i="11"/>
  <c r="D13" i="11"/>
  <c r="C13" i="11"/>
  <c r="B13" i="11"/>
  <c r="H12" i="11"/>
  <c r="G12" i="11"/>
  <c r="F12" i="11"/>
  <c r="E12" i="11"/>
  <c r="D12" i="11"/>
  <c r="C12" i="11"/>
  <c r="B12" i="11"/>
  <c r="H11" i="11"/>
  <c r="G11" i="11"/>
  <c r="F11" i="11"/>
  <c r="E11" i="11"/>
  <c r="D11" i="11"/>
  <c r="C11" i="11"/>
  <c r="B11" i="11"/>
  <c r="H10" i="11"/>
  <c r="G10" i="11"/>
  <c r="F10" i="11"/>
  <c r="E10" i="11"/>
  <c r="D10" i="11"/>
  <c r="C10" i="11"/>
  <c r="B10" i="11"/>
  <c r="H9" i="11"/>
  <c r="G9" i="11"/>
  <c r="F9" i="11"/>
  <c r="E9" i="11"/>
  <c r="D9" i="11"/>
  <c r="C9" i="11"/>
  <c r="B9" i="11"/>
  <c r="H8" i="11"/>
  <c r="G8" i="11"/>
  <c r="F8" i="11"/>
  <c r="E8" i="11"/>
  <c r="D8" i="11"/>
  <c r="C8" i="11"/>
  <c r="B8" i="11"/>
  <c r="H7" i="11"/>
  <c r="G7" i="11"/>
  <c r="F7" i="11"/>
  <c r="E7" i="11"/>
  <c r="D7" i="11"/>
  <c r="C7" i="11"/>
  <c r="B7" i="11"/>
  <c r="H6" i="11"/>
  <c r="G6" i="11"/>
  <c r="F6" i="11"/>
  <c r="E6" i="11"/>
  <c r="D6" i="11"/>
  <c r="C6" i="11"/>
  <c r="B6" i="11"/>
  <c r="H5" i="11"/>
  <c r="G5" i="11"/>
  <c r="F5" i="11"/>
  <c r="E5" i="11"/>
  <c r="D5" i="11"/>
  <c r="C5" i="11"/>
  <c r="B5" i="11"/>
  <c r="H4" i="11"/>
  <c r="G4" i="11"/>
  <c r="F4" i="11"/>
  <c r="I4" i="11" s="1"/>
  <c r="E4" i="11"/>
  <c r="D4" i="11"/>
  <c r="C4" i="11"/>
  <c r="B4" i="11"/>
  <c r="H3" i="11"/>
  <c r="G3" i="11"/>
  <c r="F3" i="11"/>
  <c r="I3" i="11" s="1"/>
  <c r="E3" i="11"/>
  <c r="D3" i="11"/>
  <c r="C3" i="11"/>
  <c r="B3" i="11"/>
  <c r="I257" i="11"/>
  <c r="I248" i="11"/>
  <c r="I241" i="11"/>
  <c r="I232" i="11"/>
  <c r="I225" i="11"/>
  <c r="I216" i="11"/>
  <c r="I209" i="11"/>
  <c r="I200" i="11"/>
  <c r="I193" i="11"/>
  <c r="I184" i="11"/>
  <c r="I177" i="11"/>
  <c r="I168" i="11"/>
  <c r="I164" i="11"/>
  <c r="I163" i="11"/>
  <c r="I152" i="11"/>
  <c r="I131" i="11"/>
  <c r="I83" i="11"/>
  <c r="I51" i="11"/>
  <c r="R5" i="10"/>
  <c r="Q5" i="10"/>
  <c r="P5" i="10"/>
  <c r="O5" i="10"/>
  <c r="N5" i="10"/>
  <c r="M5" i="10"/>
  <c r="L5" i="10"/>
  <c r="K5" i="10"/>
  <c r="R3" i="10"/>
  <c r="Q3" i="10"/>
  <c r="P3" i="10"/>
  <c r="O3" i="10"/>
  <c r="N3" i="10"/>
  <c r="M3" i="10"/>
  <c r="L3" i="10"/>
  <c r="K3" i="10"/>
  <c r="R5" i="9"/>
  <c r="Q5" i="9"/>
  <c r="P5" i="9"/>
  <c r="O5" i="9"/>
  <c r="N5" i="9"/>
  <c r="M5" i="9"/>
  <c r="L5" i="9"/>
  <c r="K5" i="9"/>
  <c r="R3" i="9"/>
  <c r="Q3" i="9"/>
  <c r="P3" i="9"/>
  <c r="O3" i="9"/>
  <c r="N3" i="9"/>
  <c r="M3" i="9"/>
  <c r="L3" i="9"/>
  <c r="K3" i="9"/>
  <c r="R5" i="8"/>
  <c r="Q5" i="8"/>
  <c r="P5" i="8"/>
  <c r="O5" i="8"/>
  <c r="N5" i="8"/>
  <c r="M5" i="8"/>
  <c r="L5" i="8"/>
  <c r="K5" i="8"/>
  <c r="R3" i="8"/>
  <c r="Q3" i="8"/>
  <c r="P3" i="8"/>
  <c r="O3" i="8"/>
  <c r="N3" i="8"/>
  <c r="M3" i="8"/>
  <c r="L3" i="8"/>
  <c r="K3" i="8"/>
  <c r="H190" i="7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37" i="12" l="1"/>
  <c r="I196" i="11"/>
  <c r="I212" i="11"/>
  <c r="I228" i="11"/>
  <c r="I135" i="11"/>
  <c r="I151" i="11"/>
  <c r="I253" i="12"/>
  <c r="I49" i="11"/>
  <c r="I65" i="11"/>
  <c r="I81" i="11"/>
  <c r="I169" i="12"/>
  <c r="I185" i="12"/>
  <c r="I226" i="12"/>
  <c r="I20" i="13"/>
  <c r="I6" i="11"/>
  <c r="I22" i="11"/>
  <c r="I54" i="11"/>
  <c r="I182" i="11"/>
  <c r="I167" i="11"/>
  <c r="I190" i="13"/>
  <c r="I206" i="13"/>
  <c r="I222" i="13"/>
  <c r="I3" i="13"/>
  <c r="I10" i="13"/>
  <c r="I17" i="13"/>
  <c r="I19" i="13"/>
  <c r="J19" i="13" s="1"/>
  <c r="I26" i="13"/>
  <c r="I33" i="13"/>
  <c r="I35" i="13"/>
  <c r="I42" i="13"/>
  <c r="I49" i="13"/>
  <c r="J59" i="13" s="1"/>
  <c r="I51" i="13"/>
  <c r="I58" i="13"/>
  <c r="I65" i="13"/>
  <c r="I67" i="13"/>
  <c r="I81" i="13"/>
  <c r="I8" i="11"/>
  <c r="I17" i="11"/>
  <c r="I88" i="11"/>
  <c r="I97" i="11"/>
  <c r="I113" i="11"/>
  <c r="I27" i="12"/>
  <c r="I43" i="12"/>
  <c r="I91" i="12"/>
  <c r="I107" i="12"/>
  <c r="I123" i="12"/>
  <c r="I139" i="12"/>
  <c r="I155" i="12"/>
  <c r="I187" i="12"/>
  <c r="I203" i="12"/>
  <c r="I219" i="12"/>
  <c r="I235" i="12"/>
  <c r="I198" i="11"/>
  <c r="I214" i="11"/>
  <c r="I230" i="11"/>
  <c r="I246" i="11"/>
  <c r="I7" i="12"/>
  <c r="I23" i="12"/>
  <c r="I39" i="12"/>
  <c r="I4" i="13"/>
  <c r="I71" i="11"/>
  <c r="I87" i="11"/>
  <c r="I103" i="11"/>
  <c r="J113" i="11" s="1"/>
  <c r="I119" i="11"/>
  <c r="I99" i="11"/>
  <c r="I115" i="11"/>
  <c r="I14" i="13"/>
  <c r="I30" i="13"/>
  <c r="I46" i="13"/>
  <c r="I62" i="13"/>
  <c r="I78" i="13"/>
  <c r="I94" i="13"/>
  <c r="I110" i="13"/>
  <c r="I126" i="13"/>
  <c r="I142" i="13"/>
  <c r="I74" i="13"/>
  <c r="I83" i="13"/>
  <c r="J93" i="13" s="1"/>
  <c r="I90" i="13"/>
  <c r="I97" i="13"/>
  <c r="J97" i="13" s="1"/>
  <c r="I99" i="13"/>
  <c r="J99" i="13" s="1"/>
  <c r="I106" i="13"/>
  <c r="J106" i="13" s="1"/>
  <c r="I113" i="13"/>
  <c r="J113" i="13" s="1"/>
  <c r="I115" i="13"/>
  <c r="I122" i="13"/>
  <c r="J122" i="13" s="1"/>
  <c r="I129" i="13"/>
  <c r="J129" i="13" s="1"/>
  <c r="I131" i="13"/>
  <c r="J131" i="13" s="1"/>
  <c r="I138" i="13"/>
  <c r="I145" i="13"/>
  <c r="J145" i="13" s="1"/>
  <c r="I147" i="13"/>
  <c r="J147" i="13" s="1"/>
  <c r="I154" i="13"/>
  <c r="J154" i="13" s="1"/>
  <c r="I161" i="13"/>
  <c r="I163" i="13"/>
  <c r="J163" i="13" s="1"/>
  <c r="I170" i="13"/>
  <c r="J170" i="13" s="1"/>
  <c r="I177" i="13"/>
  <c r="J177" i="13" s="1"/>
  <c r="I179" i="13"/>
  <c r="J179" i="13" s="1"/>
  <c r="I186" i="13"/>
  <c r="J186" i="13" s="1"/>
  <c r="I193" i="13"/>
  <c r="I195" i="13"/>
  <c r="I202" i="13"/>
  <c r="J202" i="13" s="1"/>
  <c r="I209" i="13"/>
  <c r="I211" i="13"/>
  <c r="J211" i="13" s="1"/>
  <c r="I218" i="13"/>
  <c r="I225" i="13"/>
  <c r="I227" i="13"/>
  <c r="I234" i="13"/>
  <c r="I241" i="13"/>
  <c r="I243" i="13"/>
  <c r="J243" i="13" s="1"/>
  <c r="I250" i="13"/>
  <c r="I259" i="13"/>
  <c r="J259" i="13" s="1"/>
  <c r="I64" i="11"/>
  <c r="I80" i="11"/>
  <c r="I96" i="11"/>
  <c r="I112" i="11"/>
  <c r="I128" i="11"/>
  <c r="I144" i="11"/>
  <c r="I160" i="11"/>
  <c r="J160" i="11" s="1"/>
  <c r="I176" i="11"/>
  <c r="I183" i="11"/>
  <c r="I192" i="11"/>
  <c r="I199" i="11"/>
  <c r="I201" i="11"/>
  <c r="I208" i="11"/>
  <c r="I215" i="11"/>
  <c r="I231" i="11"/>
  <c r="J241" i="11" s="1"/>
  <c r="I247" i="11"/>
  <c r="J257" i="11" s="1"/>
  <c r="I263" i="11"/>
  <c r="I30" i="12"/>
  <c r="J40" i="12" s="1"/>
  <c r="I46" i="12"/>
  <c r="I243" i="11"/>
  <c r="I76" i="12"/>
  <c r="I181" i="12"/>
  <c r="I197" i="12"/>
  <c r="I213" i="12"/>
  <c r="I229" i="12"/>
  <c r="I245" i="12"/>
  <c r="I261" i="12"/>
  <c r="J46" i="13"/>
  <c r="J174" i="13"/>
  <c r="I238" i="13"/>
  <c r="I254" i="13"/>
  <c r="I8" i="13"/>
  <c r="J18" i="13" s="1"/>
  <c r="I24" i="13"/>
  <c r="I40" i="13"/>
  <c r="J40" i="13" s="1"/>
  <c r="I56" i="13"/>
  <c r="J66" i="13" s="1"/>
  <c r="I72" i="13"/>
  <c r="I88" i="13"/>
  <c r="I104" i="13"/>
  <c r="I120" i="13"/>
  <c r="I136" i="13"/>
  <c r="I152" i="13"/>
  <c r="I168" i="13"/>
  <c r="I184" i="13"/>
  <c r="I200" i="13"/>
  <c r="J200" i="13" s="1"/>
  <c r="I216" i="13"/>
  <c r="J227" i="13"/>
  <c r="I232" i="13"/>
  <c r="I248" i="13"/>
  <c r="J248" i="13" s="1"/>
  <c r="I257" i="13"/>
  <c r="I244" i="11"/>
  <c r="I260" i="11"/>
  <c r="I11" i="12"/>
  <c r="I59" i="12"/>
  <c r="I84" i="12"/>
  <c r="J94" i="12" s="1"/>
  <c r="I100" i="12"/>
  <c r="I116" i="12"/>
  <c r="I132" i="12"/>
  <c r="J132" i="12" s="1"/>
  <c r="I148" i="12"/>
  <c r="I180" i="12"/>
  <c r="J190" i="12" s="1"/>
  <c r="I196" i="12"/>
  <c r="I212" i="12"/>
  <c r="I228" i="12"/>
  <c r="I244" i="12"/>
  <c r="I260" i="12"/>
  <c r="J260" i="12" s="1"/>
  <c r="I217" i="11"/>
  <c r="I224" i="11"/>
  <c r="I233" i="11"/>
  <c r="I98" i="12"/>
  <c r="I114" i="12"/>
  <c r="I130" i="12"/>
  <c r="I146" i="12"/>
  <c r="I162" i="12"/>
  <c r="I178" i="12"/>
  <c r="I194" i="12"/>
  <c r="I210" i="12"/>
  <c r="J220" i="12" s="1"/>
  <c r="I242" i="12"/>
  <c r="I258" i="12"/>
  <c r="I170" i="11"/>
  <c r="I186" i="11"/>
  <c r="I202" i="11"/>
  <c r="J202" i="11" s="1"/>
  <c r="I218" i="11"/>
  <c r="I234" i="11"/>
  <c r="I250" i="11"/>
  <c r="J260" i="11" s="1"/>
  <c r="I14" i="12"/>
  <c r="I15" i="11"/>
  <c r="I31" i="11"/>
  <c r="I147" i="11"/>
  <c r="I179" i="11"/>
  <c r="I195" i="11"/>
  <c r="I211" i="11"/>
  <c r="I227" i="11"/>
  <c r="J227" i="11" s="1"/>
  <c r="I259" i="11"/>
  <c r="J30" i="13"/>
  <c r="J115" i="13"/>
  <c r="I12" i="13"/>
  <c r="I28" i="13"/>
  <c r="J28" i="13" s="1"/>
  <c r="I44" i="13"/>
  <c r="J44" i="13" s="1"/>
  <c r="I60" i="13"/>
  <c r="J60" i="13" s="1"/>
  <c r="I76" i="13"/>
  <c r="J76" i="13" s="1"/>
  <c r="J78" i="13"/>
  <c r="I92" i="13"/>
  <c r="J92" i="13" s="1"/>
  <c r="I108" i="13"/>
  <c r="J108" i="13" s="1"/>
  <c r="I124" i="13"/>
  <c r="J124" i="13" s="1"/>
  <c r="I140" i="13"/>
  <c r="J140" i="13" s="1"/>
  <c r="I156" i="13"/>
  <c r="J156" i="13" s="1"/>
  <c r="J158" i="13"/>
  <c r="I172" i="13"/>
  <c r="J172" i="13" s="1"/>
  <c r="I188" i="13"/>
  <c r="J188" i="13" s="1"/>
  <c r="I204" i="13"/>
  <c r="J204" i="13" s="1"/>
  <c r="I220" i="13"/>
  <c r="J220" i="13" s="1"/>
  <c r="I236" i="13"/>
  <c r="J236" i="13" s="1"/>
  <c r="I252" i="13"/>
  <c r="J252" i="13" s="1"/>
  <c r="J161" i="13"/>
  <c r="I192" i="12"/>
  <c r="I201" i="12"/>
  <c r="I208" i="12"/>
  <c r="I217" i="12"/>
  <c r="I224" i="12"/>
  <c r="I233" i="12"/>
  <c r="I240" i="12"/>
  <c r="J240" i="12" s="1"/>
  <c r="I249" i="12"/>
  <c r="I256" i="12"/>
  <c r="I47" i="11"/>
  <c r="I10" i="12"/>
  <c r="I12" i="12"/>
  <c r="I26" i="12"/>
  <c r="J26" i="12" s="1"/>
  <c r="I42" i="12"/>
  <c r="J42" i="12" s="1"/>
  <c r="I58" i="12"/>
  <c r="I74" i="12"/>
  <c r="I90" i="12"/>
  <c r="J90" i="12" s="1"/>
  <c r="I106" i="12"/>
  <c r="I122" i="12"/>
  <c r="I138" i="12"/>
  <c r="I154" i="12"/>
  <c r="I24" i="11"/>
  <c r="I40" i="11"/>
  <c r="J40" i="11" s="1"/>
  <c r="I120" i="11"/>
  <c r="I129" i="11"/>
  <c r="I136" i="11"/>
  <c r="I145" i="11"/>
  <c r="I161" i="11"/>
  <c r="J161" i="11" s="1"/>
  <c r="I108" i="12"/>
  <c r="I140" i="12"/>
  <c r="I156" i="12"/>
  <c r="I163" i="12"/>
  <c r="I170" i="12"/>
  <c r="I172" i="12"/>
  <c r="I179" i="12"/>
  <c r="I186" i="12"/>
  <c r="I195" i="12"/>
  <c r="I202" i="12"/>
  <c r="I211" i="12"/>
  <c r="J211" i="12" s="1"/>
  <c r="I218" i="12"/>
  <c r="I227" i="12"/>
  <c r="I234" i="12"/>
  <c r="I243" i="12"/>
  <c r="J243" i="12" s="1"/>
  <c r="I250" i="12"/>
  <c r="I259" i="12"/>
  <c r="I38" i="11"/>
  <c r="I70" i="11"/>
  <c r="I262" i="11"/>
  <c r="I13" i="12"/>
  <c r="I29" i="12"/>
  <c r="I45" i="12"/>
  <c r="I61" i="12"/>
  <c r="I77" i="12"/>
  <c r="I4" i="12"/>
  <c r="I20" i="12"/>
  <c r="J20" i="12" s="1"/>
  <c r="I36" i="12"/>
  <c r="I52" i="12"/>
  <c r="I68" i="12"/>
  <c r="I7" i="11"/>
  <c r="J17" i="11" s="1"/>
  <c r="I23" i="11"/>
  <c r="I39" i="11"/>
  <c r="I55" i="11"/>
  <c r="J65" i="11" s="1"/>
  <c r="I102" i="12"/>
  <c r="J102" i="12" s="1"/>
  <c r="I118" i="12"/>
  <c r="I134" i="12"/>
  <c r="J144" i="12" s="1"/>
  <c r="I166" i="12"/>
  <c r="I182" i="12"/>
  <c r="I198" i="12"/>
  <c r="I214" i="12"/>
  <c r="I230" i="12"/>
  <c r="I246" i="12"/>
  <c r="J256" i="12" s="1"/>
  <c r="I262" i="12"/>
  <c r="J262" i="12" s="1"/>
  <c r="J252" i="12"/>
  <c r="I18" i="12"/>
  <c r="J28" i="12" s="1"/>
  <c r="I34" i="12"/>
  <c r="J44" i="12" s="1"/>
  <c r="I50" i="12"/>
  <c r="J60" i="12" s="1"/>
  <c r="I66" i="12"/>
  <c r="I5" i="13"/>
  <c r="J15" i="13" s="1"/>
  <c r="I15" i="13"/>
  <c r="I21" i="13"/>
  <c r="J21" i="13" s="1"/>
  <c r="I31" i="13"/>
  <c r="J41" i="13" s="1"/>
  <c r="I37" i="13"/>
  <c r="J37" i="13" s="1"/>
  <c r="I47" i="13"/>
  <c r="J57" i="13" s="1"/>
  <c r="I53" i="13"/>
  <c r="J53" i="13" s="1"/>
  <c r="I63" i="13"/>
  <c r="I69" i="13"/>
  <c r="J72" i="13"/>
  <c r="I79" i="13"/>
  <c r="J89" i="13" s="1"/>
  <c r="J81" i="13"/>
  <c r="I85" i="13"/>
  <c r="J85" i="13" s="1"/>
  <c r="J88" i="13"/>
  <c r="I95" i="13"/>
  <c r="I101" i="13"/>
  <c r="J101" i="13" s="1"/>
  <c r="J104" i="13"/>
  <c r="I111" i="13"/>
  <c r="I117" i="13"/>
  <c r="J117" i="13" s="1"/>
  <c r="I127" i="13"/>
  <c r="I133" i="13"/>
  <c r="J133" i="13" s="1"/>
  <c r="J138" i="13"/>
  <c r="I143" i="13"/>
  <c r="I149" i="13"/>
  <c r="J149" i="13" s="1"/>
  <c r="J152" i="13"/>
  <c r="I159" i="13"/>
  <c r="J169" i="13" s="1"/>
  <c r="I165" i="13"/>
  <c r="J165" i="13" s="1"/>
  <c r="J168" i="13"/>
  <c r="I175" i="13"/>
  <c r="J185" i="13" s="1"/>
  <c r="I181" i="13"/>
  <c r="I191" i="13"/>
  <c r="J201" i="13" s="1"/>
  <c r="J195" i="13"/>
  <c r="I197" i="13"/>
  <c r="J197" i="13" s="1"/>
  <c r="I207" i="13"/>
  <c r="J217" i="13" s="1"/>
  <c r="I213" i="13"/>
  <c r="J213" i="13" s="1"/>
  <c r="I223" i="13"/>
  <c r="J233" i="13" s="1"/>
  <c r="I229" i="13"/>
  <c r="I239" i="13"/>
  <c r="I245" i="13"/>
  <c r="I255" i="13"/>
  <c r="J255" i="13" s="1"/>
  <c r="I261" i="13"/>
  <c r="J261" i="13" s="1"/>
  <c r="I63" i="11"/>
  <c r="J63" i="11" s="1"/>
  <c r="I79" i="11"/>
  <c r="J89" i="11" s="1"/>
  <c r="J204" i="12"/>
  <c r="I6" i="13"/>
  <c r="J16" i="13" s="1"/>
  <c r="I22" i="13"/>
  <c r="J32" i="13" s="1"/>
  <c r="I38" i="13"/>
  <c r="I54" i="13"/>
  <c r="I70" i="13"/>
  <c r="I86" i="13"/>
  <c r="I102" i="13"/>
  <c r="I118" i="13"/>
  <c r="I134" i="13"/>
  <c r="I150" i="13"/>
  <c r="J150" i="13" s="1"/>
  <c r="I166" i="13"/>
  <c r="I182" i="13"/>
  <c r="I198" i="13"/>
  <c r="J208" i="13" s="1"/>
  <c r="I214" i="13"/>
  <c r="J224" i="13" s="1"/>
  <c r="I230" i="13"/>
  <c r="J240" i="13" s="1"/>
  <c r="I246" i="13"/>
  <c r="J246" i="13" s="1"/>
  <c r="I262" i="13"/>
  <c r="I13" i="11"/>
  <c r="J23" i="11" s="1"/>
  <c r="I29" i="11"/>
  <c r="J29" i="11" s="1"/>
  <c r="I45" i="11"/>
  <c r="J45" i="11" s="1"/>
  <c r="I61" i="11"/>
  <c r="J61" i="11" s="1"/>
  <c r="I77" i="11"/>
  <c r="J77" i="11" s="1"/>
  <c r="I93" i="11"/>
  <c r="J93" i="11" s="1"/>
  <c r="I95" i="11"/>
  <c r="I109" i="11"/>
  <c r="J109" i="11" s="1"/>
  <c r="I111" i="11"/>
  <c r="I125" i="11"/>
  <c r="I127" i="11"/>
  <c r="I141" i="11"/>
  <c r="J141" i="11" s="1"/>
  <c r="I143" i="11"/>
  <c r="I157" i="11"/>
  <c r="I159" i="11"/>
  <c r="J159" i="11" s="1"/>
  <c r="I9" i="12"/>
  <c r="I25" i="12"/>
  <c r="I41" i="12"/>
  <c r="I57" i="12"/>
  <c r="I11" i="11"/>
  <c r="I27" i="11"/>
  <c r="I43" i="11"/>
  <c r="I59" i="11"/>
  <c r="J59" i="11" s="1"/>
  <c r="I75" i="11"/>
  <c r="I91" i="11"/>
  <c r="J91" i="11" s="1"/>
  <c r="J97" i="11"/>
  <c r="I107" i="11"/>
  <c r="J107" i="11" s="1"/>
  <c r="I123" i="11"/>
  <c r="J123" i="11" s="1"/>
  <c r="I139" i="11"/>
  <c r="J149" i="11" s="1"/>
  <c r="J145" i="11"/>
  <c r="I155" i="11"/>
  <c r="I171" i="11"/>
  <c r="I18" i="11"/>
  <c r="J18" i="11" s="1"/>
  <c r="I34" i="11"/>
  <c r="I50" i="11"/>
  <c r="I66" i="11"/>
  <c r="J66" i="11" s="1"/>
  <c r="I82" i="11"/>
  <c r="I175" i="11"/>
  <c r="J236" i="12"/>
  <c r="I5" i="12"/>
  <c r="I73" i="12"/>
  <c r="I82" i="12"/>
  <c r="J92" i="12" s="1"/>
  <c r="I89" i="12"/>
  <c r="I9" i="11"/>
  <c r="J19" i="11" s="1"/>
  <c r="I98" i="11"/>
  <c r="J98" i="11" s="1"/>
  <c r="I114" i="11"/>
  <c r="J188" i="12"/>
  <c r="I16" i="11"/>
  <c r="I25" i="11"/>
  <c r="J35" i="11" s="1"/>
  <c r="I32" i="11"/>
  <c r="J32" i="11" s="1"/>
  <c r="I41" i="11"/>
  <c r="I48" i="11"/>
  <c r="I57" i="11"/>
  <c r="I73" i="11"/>
  <c r="I89" i="11"/>
  <c r="J99" i="11" s="1"/>
  <c r="I105" i="11"/>
  <c r="I121" i="11"/>
  <c r="I130" i="11"/>
  <c r="I137" i="11"/>
  <c r="J137" i="11" s="1"/>
  <c r="I146" i="11"/>
  <c r="I153" i="11"/>
  <c r="I162" i="11"/>
  <c r="J162" i="11" s="1"/>
  <c r="I169" i="11"/>
  <c r="J179" i="11" s="1"/>
  <c r="I173" i="11"/>
  <c r="J173" i="11" s="1"/>
  <c r="I178" i="11"/>
  <c r="J178" i="11" s="1"/>
  <c r="I185" i="11"/>
  <c r="J195" i="11" s="1"/>
  <c r="I187" i="11"/>
  <c r="J187" i="11" s="1"/>
  <c r="I189" i="11"/>
  <c r="I194" i="11"/>
  <c r="J194" i="11" s="1"/>
  <c r="I203" i="11"/>
  <c r="J203" i="11" s="1"/>
  <c r="I205" i="11"/>
  <c r="I210" i="11"/>
  <c r="J210" i="11" s="1"/>
  <c r="I219" i="11"/>
  <c r="J219" i="11" s="1"/>
  <c r="I221" i="11"/>
  <c r="J221" i="11" s="1"/>
  <c r="I226" i="11"/>
  <c r="J226" i="11" s="1"/>
  <c r="I235" i="11"/>
  <c r="J235" i="11" s="1"/>
  <c r="I237" i="11"/>
  <c r="I242" i="11"/>
  <c r="J242" i="11" s="1"/>
  <c r="I251" i="11"/>
  <c r="J251" i="11" s="1"/>
  <c r="I253" i="11"/>
  <c r="J253" i="11" s="1"/>
  <c r="I258" i="11"/>
  <c r="J258" i="11" s="1"/>
  <c r="I14" i="11"/>
  <c r="J14" i="11" s="1"/>
  <c r="I21" i="11"/>
  <c r="I30" i="11"/>
  <c r="I37" i="11"/>
  <c r="I46" i="11"/>
  <c r="J56" i="11" s="1"/>
  <c r="I53" i="11"/>
  <c r="J64" i="11"/>
  <c r="I69" i="11"/>
  <c r="I78" i="11"/>
  <c r="J88" i="11" s="1"/>
  <c r="I85" i="11"/>
  <c r="J85" i="11" s="1"/>
  <c r="I94" i="11"/>
  <c r="J94" i="11" s="1"/>
  <c r="I101" i="11"/>
  <c r="J101" i="11" s="1"/>
  <c r="I110" i="11"/>
  <c r="I117" i="11"/>
  <c r="I126" i="11"/>
  <c r="I133" i="11"/>
  <c r="I142" i="11"/>
  <c r="J142" i="11" s="1"/>
  <c r="I149" i="11"/>
  <c r="I158" i="11"/>
  <c r="J158" i="11" s="1"/>
  <c r="I165" i="11"/>
  <c r="I174" i="11"/>
  <c r="J176" i="11"/>
  <c r="I181" i="11"/>
  <c r="J191" i="11" s="1"/>
  <c r="I190" i="11"/>
  <c r="J200" i="11" s="1"/>
  <c r="J192" i="11"/>
  <c r="I197" i="11"/>
  <c r="J207" i="11" s="1"/>
  <c r="J201" i="11"/>
  <c r="I206" i="11"/>
  <c r="J206" i="11" s="1"/>
  <c r="J208" i="11"/>
  <c r="I213" i="11"/>
  <c r="J213" i="11" s="1"/>
  <c r="J217" i="11"/>
  <c r="I222" i="11"/>
  <c r="J222" i="11" s="1"/>
  <c r="I229" i="11"/>
  <c r="J239" i="11" s="1"/>
  <c r="I238" i="11"/>
  <c r="I240" i="11"/>
  <c r="J240" i="11" s="1"/>
  <c r="I245" i="11"/>
  <c r="I249" i="11"/>
  <c r="I254" i="11"/>
  <c r="J254" i="11" s="1"/>
  <c r="I256" i="11"/>
  <c r="J256" i="11" s="1"/>
  <c r="I261" i="11"/>
  <c r="I3" i="12"/>
  <c r="I8" i="12"/>
  <c r="J18" i="12" s="1"/>
  <c r="I17" i="12"/>
  <c r="J17" i="12" s="1"/>
  <c r="I19" i="12"/>
  <c r="J29" i="12" s="1"/>
  <c r="I21" i="12"/>
  <c r="J21" i="12" s="1"/>
  <c r="I24" i="12"/>
  <c r="I33" i="12"/>
  <c r="J43" i="12" s="1"/>
  <c r="I35" i="12"/>
  <c r="J45" i="12" s="1"/>
  <c r="I37" i="12"/>
  <c r="J37" i="12" s="1"/>
  <c r="I40" i="12"/>
  <c r="I49" i="12"/>
  <c r="I51" i="12"/>
  <c r="I53" i="12"/>
  <c r="J53" i="12" s="1"/>
  <c r="I56" i="12"/>
  <c r="J56" i="12" s="1"/>
  <c r="I65" i="12"/>
  <c r="J75" i="12" s="1"/>
  <c r="I67" i="12"/>
  <c r="J77" i="12" s="1"/>
  <c r="I69" i="12"/>
  <c r="I72" i="12"/>
  <c r="J72" i="12" s="1"/>
  <c r="I81" i="12"/>
  <c r="J91" i="12" s="1"/>
  <c r="I83" i="12"/>
  <c r="J83" i="12" s="1"/>
  <c r="I85" i="12"/>
  <c r="I88" i="12"/>
  <c r="I97" i="12"/>
  <c r="J97" i="12" s="1"/>
  <c r="I99" i="12"/>
  <c r="I101" i="12"/>
  <c r="I104" i="12"/>
  <c r="I113" i="12"/>
  <c r="I115" i="12"/>
  <c r="J115" i="12" s="1"/>
  <c r="I117" i="12"/>
  <c r="I120" i="12"/>
  <c r="J120" i="12" s="1"/>
  <c r="I129" i="12"/>
  <c r="I131" i="12"/>
  <c r="J131" i="12" s="1"/>
  <c r="I133" i="12"/>
  <c r="I147" i="12"/>
  <c r="J147" i="12" s="1"/>
  <c r="I149" i="12"/>
  <c r="J154" i="12"/>
  <c r="I165" i="12"/>
  <c r="J165" i="12" s="1"/>
  <c r="I12" i="11"/>
  <c r="J22" i="11" s="1"/>
  <c r="I28" i="11"/>
  <c r="I44" i="11"/>
  <c r="J54" i="11" s="1"/>
  <c r="I60" i="11"/>
  <c r="I76" i="11"/>
  <c r="I92" i="11"/>
  <c r="I108" i="11"/>
  <c r="J118" i="11" s="1"/>
  <c r="I124" i="11"/>
  <c r="I140" i="11"/>
  <c r="I156" i="11"/>
  <c r="I172" i="11"/>
  <c r="I188" i="11"/>
  <c r="I204" i="11"/>
  <c r="J214" i="11" s="1"/>
  <c r="I220" i="11"/>
  <c r="J220" i="11" s="1"/>
  <c r="I236" i="11"/>
  <c r="I252" i="11"/>
  <c r="J262" i="11" s="1"/>
  <c r="I15" i="12"/>
  <c r="I31" i="12"/>
  <c r="I47" i="12"/>
  <c r="J47" i="12" s="1"/>
  <c r="I63" i="12"/>
  <c r="I79" i="12"/>
  <c r="I95" i="12"/>
  <c r="I111" i="12"/>
  <c r="I127" i="12"/>
  <c r="J137" i="12" s="1"/>
  <c r="I136" i="12"/>
  <c r="J136" i="12" s="1"/>
  <c r="I143" i="12"/>
  <c r="J153" i="12" s="1"/>
  <c r="I145" i="12"/>
  <c r="J145" i="12" s="1"/>
  <c r="I152" i="12"/>
  <c r="J152" i="12" s="1"/>
  <c r="I159" i="12"/>
  <c r="J159" i="12" s="1"/>
  <c r="I161" i="12"/>
  <c r="J161" i="12" s="1"/>
  <c r="J163" i="12"/>
  <c r="I168" i="12"/>
  <c r="J168" i="12" s="1"/>
  <c r="J170" i="12"/>
  <c r="I175" i="12"/>
  <c r="J185" i="12" s="1"/>
  <c r="I177" i="12"/>
  <c r="J177" i="12" s="1"/>
  <c r="J179" i="12"/>
  <c r="J181" i="12"/>
  <c r="I184" i="12"/>
  <c r="J184" i="12" s="1"/>
  <c r="J186" i="12"/>
  <c r="I191" i="12"/>
  <c r="J191" i="12" s="1"/>
  <c r="I193" i="12"/>
  <c r="J193" i="12" s="1"/>
  <c r="J195" i="12"/>
  <c r="I200" i="12"/>
  <c r="J200" i="12" s="1"/>
  <c r="I207" i="12"/>
  <c r="J207" i="12" s="1"/>
  <c r="I209" i="12"/>
  <c r="J219" i="12" s="1"/>
  <c r="I216" i="12"/>
  <c r="J226" i="12" s="1"/>
  <c r="I223" i="12"/>
  <c r="J223" i="12" s="1"/>
  <c r="I225" i="12"/>
  <c r="I232" i="12"/>
  <c r="J242" i="12" s="1"/>
  <c r="I239" i="12"/>
  <c r="I241" i="12"/>
  <c r="J251" i="12" s="1"/>
  <c r="I248" i="12"/>
  <c r="J258" i="12" s="1"/>
  <c r="I255" i="12"/>
  <c r="I257" i="12"/>
  <c r="J257" i="12" s="1"/>
  <c r="J261" i="12"/>
  <c r="I62" i="11"/>
  <c r="J72" i="11" s="1"/>
  <c r="I5" i="11"/>
  <c r="I10" i="11"/>
  <c r="J20" i="11" s="1"/>
  <c r="I26" i="11"/>
  <c r="J36" i="11" s="1"/>
  <c r="I42" i="11"/>
  <c r="J52" i="11" s="1"/>
  <c r="I58" i="11"/>
  <c r="J68" i="11" s="1"/>
  <c r="I74" i="11"/>
  <c r="J84" i="11" s="1"/>
  <c r="I90" i="11"/>
  <c r="I106" i="11"/>
  <c r="J116" i="11" s="1"/>
  <c r="I122" i="11"/>
  <c r="J122" i="11" s="1"/>
  <c r="I138" i="11"/>
  <c r="J138" i="11" s="1"/>
  <c r="I154" i="11"/>
  <c r="J164" i="11" s="1"/>
  <c r="I6" i="12"/>
  <c r="J16" i="12" s="1"/>
  <c r="I22" i="12"/>
  <c r="J32" i="12" s="1"/>
  <c r="I38" i="12"/>
  <c r="J38" i="12" s="1"/>
  <c r="I54" i="12"/>
  <c r="J54" i="12" s="1"/>
  <c r="I70" i="12"/>
  <c r="J80" i="12" s="1"/>
  <c r="I86" i="12"/>
  <c r="J86" i="12" s="1"/>
  <c r="J27" i="13"/>
  <c r="J43" i="13"/>
  <c r="J75" i="13"/>
  <c r="J155" i="13"/>
  <c r="J171" i="13"/>
  <c r="J187" i="13"/>
  <c r="J203" i="13"/>
  <c r="J235" i="13"/>
  <c r="J251" i="13"/>
  <c r="J13" i="13"/>
  <c r="J61" i="13"/>
  <c r="J205" i="13"/>
  <c r="J77" i="13"/>
  <c r="J34" i="13"/>
  <c r="J146" i="13"/>
  <c r="J162" i="13"/>
  <c r="J178" i="13"/>
  <c r="J194" i="13"/>
  <c r="J226" i="13"/>
  <c r="J242" i="13"/>
  <c r="J29" i="13"/>
  <c r="J253" i="13"/>
  <c r="J36" i="13"/>
  <c r="J52" i="13"/>
  <c r="J68" i="13"/>
  <c r="J84" i="13"/>
  <c r="J196" i="13"/>
  <c r="J212" i="13"/>
  <c r="J228" i="13"/>
  <c r="J244" i="13"/>
  <c r="J260" i="13"/>
  <c r="J237" i="13"/>
  <c r="J167" i="13"/>
  <c r="J183" i="13"/>
  <c r="J199" i="13"/>
  <c r="J45" i="13"/>
  <c r="J221" i="13"/>
  <c r="J25" i="13"/>
  <c r="J190" i="13"/>
  <c r="J181" i="13"/>
  <c r="J222" i="13"/>
  <c r="J231" i="13"/>
  <c r="J206" i="13"/>
  <c r="J20" i="13"/>
  <c r="J23" i="13"/>
  <c r="J193" i="13"/>
  <c r="J219" i="13"/>
  <c r="J215" i="13"/>
  <c r="J39" i="13"/>
  <c r="J64" i="13"/>
  <c r="J73" i="13"/>
  <c r="J184" i="13"/>
  <c r="J229" i="13"/>
  <c r="J238" i="13"/>
  <c r="J247" i="13"/>
  <c r="J55" i="13"/>
  <c r="J209" i="13"/>
  <c r="J62" i="13"/>
  <c r="J71" i="13"/>
  <c r="J109" i="13"/>
  <c r="J218" i="13"/>
  <c r="J245" i="13"/>
  <c r="J254" i="13"/>
  <c r="J263" i="13"/>
  <c r="J87" i="13"/>
  <c r="J112" i="13"/>
  <c r="J125" i="13"/>
  <c r="J216" i="13"/>
  <c r="J225" i="13"/>
  <c r="J17" i="13"/>
  <c r="J26" i="13"/>
  <c r="J35" i="13"/>
  <c r="J94" i="13"/>
  <c r="J100" i="13"/>
  <c r="J103" i="13"/>
  <c r="J121" i="13"/>
  <c r="J141" i="13"/>
  <c r="J198" i="13"/>
  <c r="J234" i="13"/>
  <c r="J33" i="13"/>
  <c r="J42" i="13"/>
  <c r="J51" i="13"/>
  <c r="J91" i="13"/>
  <c r="J110" i="13"/>
  <c r="J116" i="13"/>
  <c r="J119" i="13"/>
  <c r="J144" i="13"/>
  <c r="J157" i="13"/>
  <c r="J232" i="13"/>
  <c r="J241" i="13"/>
  <c r="J24" i="13"/>
  <c r="J58" i="13"/>
  <c r="J67" i="13"/>
  <c r="J82" i="13"/>
  <c r="J126" i="13"/>
  <c r="J132" i="13"/>
  <c r="J135" i="13"/>
  <c r="J153" i="13"/>
  <c r="J160" i="13"/>
  <c r="J173" i="13"/>
  <c r="J250" i="13"/>
  <c r="J65" i="13"/>
  <c r="J74" i="13"/>
  <c r="J98" i="13"/>
  <c r="J123" i="13"/>
  <c r="J142" i="13"/>
  <c r="J148" i="13"/>
  <c r="J151" i="13"/>
  <c r="J176" i="13"/>
  <c r="J249" i="13"/>
  <c r="J239" i="13"/>
  <c r="J257" i="13"/>
  <c r="J22" i="13"/>
  <c r="J56" i="13"/>
  <c r="J90" i="13"/>
  <c r="J114" i="13"/>
  <c r="J139" i="13"/>
  <c r="J164" i="13"/>
  <c r="J255" i="12"/>
  <c r="J61" i="12"/>
  <c r="J59" i="12"/>
  <c r="J123" i="12"/>
  <c r="J93" i="12"/>
  <c r="J109" i="12"/>
  <c r="J125" i="12"/>
  <c r="J205" i="12"/>
  <c r="J253" i="12"/>
  <c r="J208" i="12"/>
  <c r="J224" i="12"/>
  <c r="J116" i="12"/>
  <c r="J148" i="12"/>
  <c r="J196" i="12"/>
  <c r="J212" i="12"/>
  <c r="J244" i="12"/>
  <c r="J230" i="12"/>
  <c r="J199" i="12"/>
  <c r="J215" i="12"/>
  <c r="J105" i="12"/>
  <c r="J197" i="12"/>
  <c r="J206" i="12"/>
  <c r="J39" i="12"/>
  <c r="J55" i="12"/>
  <c r="J213" i="12"/>
  <c r="J222" i="12"/>
  <c r="J231" i="12"/>
  <c r="J71" i="12"/>
  <c r="J78" i="12"/>
  <c r="J84" i="12"/>
  <c r="J87" i="12"/>
  <c r="J229" i="12"/>
  <c r="J238" i="12"/>
  <c r="J247" i="12"/>
  <c r="J103" i="12"/>
  <c r="J121" i="12"/>
  <c r="J128" i="12"/>
  <c r="J119" i="12"/>
  <c r="J245" i="12"/>
  <c r="J254" i="12"/>
  <c r="J263" i="12"/>
  <c r="J49" i="12"/>
  <c r="J101" i="12"/>
  <c r="J126" i="12"/>
  <c r="J135" i="12"/>
  <c r="J182" i="12"/>
  <c r="J74" i="12"/>
  <c r="J117" i="12"/>
  <c r="J151" i="12"/>
  <c r="J160" i="12"/>
  <c r="J234" i="12"/>
  <c r="J173" i="12"/>
  <c r="J198" i="12"/>
  <c r="J106" i="12"/>
  <c r="J158" i="12"/>
  <c r="J164" i="12"/>
  <c r="J167" i="12"/>
  <c r="J176" i="12"/>
  <c r="J113" i="12"/>
  <c r="J122" i="12"/>
  <c r="J189" i="12"/>
  <c r="J214" i="12"/>
  <c r="J248" i="12"/>
  <c r="J104" i="12"/>
  <c r="J138" i="12"/>
  <c r="J174" i="12"/>
  <c r="J183" i="12"/>
  <c r="J82" i="11"/>
  <c r="J171" i="11"/>
  <c r="J121" i="11"/>
  <c r="J75" i="11"/>
  <c r="J119" i="11"/>
  <c r="J135" i="11"/>
  <c r="J106" i="11"/>
  <c r="J100" i="11"/>
  <c r="J86" i="11"/>
  <c r="J228" i="11"/>
  <c r="J255" i="11"/>
  <c r="J180" i="11"/>
  <c r="J102" i="11"/>
  <c r="J67" i="11"/>
  <c r="J83" i="11"/>
  <c r="J115" i="11"/>
  <c r="J131" i="11"/>
  <c r="J163" i="11"/>
  <c r="J211" i="11"/>
  <c r="J196" i="11"/>
  <c r="J244" i="11"/>
  <c r="J246" i="11"/>
  <c r="J30" i="11"/>
  <c r="J174" i="11"/>
  <c r="J215" i="11"/>
  <c r="J46" i="11"/>
  <c r="J134" i="11"/>
  <c r="J33" i="11"/>
  <c r="J170" i="11"/>
  <c r="J238" i="11"/>
  <c r="J78" i="11"/>
  <c r="J96" i="11"/>
  <c r="J168" i="11"/>
  <c r="J177" i="11"/>
  <c r="J186" i="11"/>
  <c r="J245" i="11"/>
  <c r="J184" i="11"/>
  <c r="J193" i="11"/>
  <c r="J112" i="11"/>
  <c r="J209" i="11"/>
  <c r="J218" i="11"/>
  <c r="J92" i="11"/>
  <c r="J175" i="11"/>
  <c r="J225" i="11"/>
  <c r="J234" i="11"/>
  <c r="J249" i="11"/>
  <c r="J128" i="11"/>
  <c r="J13" i="11"/>
  <c r="J81" i="11"/>
  <c r="J108" i="11"/>
  <c r="J125" i="11"/>
  <c r="J248" i="11"/>
  <c r="J144" i="11"/>
  <c r="I233" i="7"/>
  <c r="I236" i="7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I251" i="7"/>
  <c r="I219" i="7"/>
  <c r="I190" i="7"/>
  <c r="I234" i="7"/>
  <c r="I250" i="7"/>
  <c r="I218" i="7"/>
  <c r="I260" i="7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I200" i="7"/>
  <c r="I191" i="7"/>
  <c r="I208" i="7"/>
  <c r="I195" i="7"/>
  <c r="I246" i="7"/>
  <c r="I242" i="7"/>
  <c r="I221" i="7"/>
  <c r="I220" i="7"/>
  <c r="I259" i="7"/>
  <c r="I216" i="7"/>
  <c r="I198" i="7"/>
  <c r="I194" i="7"/>
  <c r="I224" i="7"/>
  <c r="I258" i="7"/>
  <c r="I245" i="7"/>
  <c r="I189" i="7"/>
  <c r="I232" i="7"/>
  <c r="I188" i="7"/>
  <c r="I214" i="7"/>
  <c r="I210" i="7"/>
  <c r="I197" i="7"/>
  <c r="I240" i="7"/>
  <c r="J57" i="12" l="1"/>
  <c r="J189" i="13"/>
  <c r="J16" i="11"/>
  <c r="J35" i="12"/>
  <c r="J250" i="12"/>
  <c r="J187" i="12"/>
  <c r="J107" i="13"/>
  <c r="J258" i="13"/>
  <c r="J154" i="11"/>
  <c r="J262" i="13"/>
  <c r="J132" i="11"/>
  <c r="J246" i="12"/>
  <c r="J142" i="12"/>
  <c r="J212" i="11"/>
  <c r="J90" i="11"/>
  <c r="J153" i="11"/>
  <c r="J149" i="12"/>
  <c r="J49" i="13"/>
  <c r="J99" i="12"/>
  <c r="J182" i="13"/>
  <c r="J79" i="13"/>
  <c r="J259" i="12"/>
  <c r="J241" i="12"/>
  <c r="J50" i="13"/>
  <c r="J156" i="11"/>
  <c r="J139" i="12"/>
  <c r="J100" i="12"/>
  <c r="J205" i="11"/>
  <c r="J140" i="11"/>
  <c r="J259" i="11"/>
  <c r="J172" i="12"/>
  <c r="J120" i="13"/>
  <c r="J111" i="12"/>
  <c r="J14" i="13"/>
  <c r="J232" i="12"/>
  <c r="J81" i="12"/>
  <c r="J33" i="12"/>
  <c r="J31" i="11"/>
  <c r="J41" i="11"/>
  <c r="J224" i="11"/>
  <c r="J148" i="11"/>
  <c r="J30" i="12"/>
  <c r="J252" i="7"/>
  <c r="J190" i="11"/>
  <c r="J130" i="13"/>
  <c r="J235" i="12"/>
  <c r="J15" i="12"/>
  <c r="J68" i="12"/>
  <c r="J243" i="11"/>
  <c r="J34" i="11"/>
  <c r="J221" i="12"/>
  <c r="J180" i="13"/>
  <c r="J136" i="11"/>
  <c r="J191" i="13"/>
  <c r="J249" i="12"/>
  <c r="J83" i="13"/>
  <c r="J19" i="12"/>
  <c r="J117" i="11"/>
  <c r="J129" i="11"/>
  <c r="J237" i="11"/>
  <c r="J146" i="11"/>
  <c r="J73" i="11"/>
  <c r="J46" i="12"/>
  <c r="J236" i="11"/>
  <c r="J217" i="12"/>
  <c r="J69" i="13"/>
  <c r="J166" i="13"/>
  <c r="J209" i="12"/>
  <c r="J159" i="13"/>
  <c r="J210" i="13"/>
  <c r="J44" i="11"/>
  <c r="J230" i="11"/>
  <c r="J28" i="11"/>
  <c r="J151" i="11"/>
  <c r="J239" i="12"/>
  <c r="J229" i="11"/>
  <c r="J23" i="12"/>
  <c r="J127" i="12"/>
  <c r="J192" i="13"/>
  <c r="J150" i="11"/>
  <c r="J141" i="12"/>
  <c r="J147" i="11"/>
  <c r="J233" i="12"/>
  <c r="J96" i="12"/>
  <c r="J189" i="11"/>
  <c r="J180" i="12"/>
  <c r="J202" i="12"/>
  <c r="J114" i="12"/>
  <c r="J70" i="11"/>
  <c r="J14" i="12"/>
  <c r="J76" i="12"/>
  <c r="J155" i="11"/>
  <c r="J95" i="13"/>
  <c r="J136" i="13"/>
  <c r="J124" i="11"/>
  <c r="J74" i="11"/>
  <c r="J107" i="12"/>
  <c r="J110" i="12"/>
  <c r="J231" i="11"/>
  <c r="J225" i="12"/>
  <c r="J156" i="12"/>
  <c r="J25" i="11"/>
  <c r="J223" i="11"/>
  <c r="J38" i="11"/>
  <c r="J140" i="12"/>
  <c r="J134" i="12"/>
  <c r="J39" i="11"/>
  <c r="J118" i="12"/>
  <c r="J188" i="11"/>
  <c r="J13" i="12"/>
  <c r="J157" i="11"/>
  <c r="J260" i="7"/>
  <c r="J42" i="11"/>
  <c r="J169" i="12"/>
  <c r="J172" i="11"/>
  <c r="J227" i="12"/>
  <c r="J218" i="12"/>
  <c r="J126" i="11"/>
  <c r="J182" i="11"/>
  <c r="J252" i="11"/>
  <c r="J201" i="12"/>
  <c r="J51" i="12"/>
  <c r="J62" i="11"/>
  <c r="J70" i="12"/>
  <c r="J171" i="12"/>
  <c r="J27" i="12"/>
  <c r="J63" i="12"/>
  <c r="J105" i="13"/>
  <c r="J118" i="13"/>
  <c r="J102" i="13"/>
  <c r="J49" i="11"/>
  <c r="J67" i="12"/>
  <c r="J66" i="12"/>
  <c r="J80" i="11"/>
  <c r="J256" i="13"/>
  <c r="J15" i="11"/>
  <c r="J129" i="12"/>
  <c r="J58" i="12"/>
  <c r="J124" i="12"/>
  <c r="J55" i="11"/>
  <c r="J108" i="12"/>
  <c r="J52" i="12"/>
  <c r="J250" i="11"/>
  <c r="J175" i="13"/>
  <c r="J130" i="11"/>
  <c r="J57" i="11"/>
  <c r="J166" i="12"/>
  <c r="J194" i="12"/>
  <c r="J233" i="11"/>
  <c r="J198" i="11"/>
  <c r="J150" i="12"/>
  <c r="J105" i="11"/>
  <c r="J247" i="11"/>
  <c r="J165" i="11"/>
  <c r="J114" i="11"/>
  <c r="J53" i="11"/>
  <c r="J65" i="12"/>
  <c r="J112" i="12"/>
  <c r="J98" i="12"/>
  <c r="J34" i="12"/>
  <c r="J48" i="11"/>
  <c r="J37" i="11"/>
  <c r="J86" i="13"/>
  <c r="J127" i="13"/>
  <c r="J50" i="12"/>
  <c r="J146" i="12"/>
  <c r="J95" i="12"/>
  <c r="J143" i="11"/>
  <c r="J60" i="11"/>
  <c r="J70" i="13"/>
  <c r="J167" i="11"/>
  <c r="J185" i="11"/>
  <c r="J54" i="13"/>
  <c r="J38" i="13"/>
  <c r="J111" i="13"/>
  <c r="J210" i="12"/>
  <c r="J192" i="12"/>
  <c r="J47" i="11"/>
  <c r="J50" i="11"/>
  <c r="J24" i="12"/>
  <c r="J175" i="12"/>
  <c r="J223" i="13"/>
  <c r="J51" i="11"/>
  <c r="J178" i="12"/>
  <c r="J214" i="13"/>
  <c r="J128" i="13"/>
  <c r="J21" i="11"/>
  <c r="J120" i="11"/>
  <c r="J181" i="11"/>
  <c r="J76" i="11"/>
  <c r="J43" i="11"/>
  <c r="J232" i="11"/>
  <c r="J69" i="11"/>
  <c r="J62" i="12"/>
  <c r="J228" i="12"/>
  <c r="J143" i="12"/>
  <c r="J79" i="12"/>
  <c r="J41" i="12"/>
  <c r="J237" i="12"/>
  <c r="J25" i="12"/>
  <c r="J197" i="11"/>
  <c r="J133" i="11"/>
  <c r="J31" i="12"/>
  <c r="J139" i="11"/>
  <c r="J88" i="12"/>
  <c r="J230" i="13"/>
  <c r="J24" i="11"/>
  <c r="J216" i="12"/>
  <c r="J36" i="12"/>
  <c r="J73" i="12"/>
  <c r="J199" i="11"/>
  <c r="J58" i="11"/>
  <c r="J85" i="12"/>
  <c r="J63" i="13"/>
  <c r="J103" i="11"/>
  <c r="J152" i="11"/>
  <c r="J143" i="13"/>
  <c r="J134" i="13"/>
  <c r="J71" i="11"/>
  <c r="J47" i="13"/>
  <c r="J169" i="11"/>
  <c r="J133" i="12"/>
  <c r="J162" i="12"/>
  <c r="J31" i="13"/>
  <c r="J207" i="13"/>
  <c r="J69" i="12"/>
  <c r="J82" i="12"/>
  <c r="J155" i="12"/>
  <c r="J89" i="12"/>
  <c r="J87" i="11"/>
  <c r="J246" i="7"/>
  <c r="J204" i="11"/>
  <c r="J110" i="11"/>
  <c r="J183" i="11"/>
  <c r="J130" i="12"/>
  <c r="J79" i="11"/>
  <c r="J261" i="11"/>
  <c r="J27" i="11"/>
  <c r="J166" i="11"/>
  <c r="J263" i="11"/>
  <c r="J22" i="12"/>
  <c r="J64" i="12"/>
  <c r="J137" i="13"/>
  <c r="J80" i="13"/>
  <c r="J48" i="13"/>
  <c r="J214" i="7"/>
  <c r="J48" i="12"/>
  <c r="J157" i="12"/>
  <c r="J243" i="7"/>
  <c r="J203" i="12"/>
  <c r="J104" i="11"/>
  <c r="J127" i="11"/>
  <c r="J199" i="7"/>
  <c r="J216" i="11"/>
  <c r="J26" i="11"/>
  <c r="J111" i="11"/>
  <c r="J233" i="7"/>
  <c r="J96" i="13"/>
  <c r="J95" i="11"/>
  <c r="J227" i="7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K3" i="13" l="1"/>
  <c r="L3" i="13" s="1"/>
  <c r="K3" i="11"/>
  <c r="L3" i="11" s="1"/>
  <c r="K3" i="12"/>
  <c r="L3" i="12" s="1"/>
  <c r="F8" i="5"/>
  <c r="F6" i="5"/>
  <c r="F7" i="5"/>
  <c r="F5" i="5"/>
  <c r="F3" i="5"/>
  <c r="F4" i="5"/>
  <c r="F2" i="5"/>
  <c r="F9" i="5" s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O5" i="5" l="1"/>
  <c r="P5" i="5" s="1"/>
  <c r="Q5" i="5" s="1"/>
  <c r="O4" i="5"/>
  <c r="P4" i="5" s="1"/>
  <c r="Q4" i="5" s="1"/>
  <c r="I115" i="7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6" i="5" l="1"/>
</calcChain>
</file>

<file path=xl/sharedStrings.xml><?xml version="1.0" encoding="utf-8"?>
<sst xmlns="http://schemas.openxmlformats.org/spreadsheetml/2006/main" count="261" uniqueCount="78">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</sst>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topLeftCell="A245" workbookViewId="0">
      <selection activeCell="G3" sqref="G3:G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0.15633269201730465</v>
      </c>
      <c r="P5" s="16">
        <f t="shared" si="1"/>
        <v>8.8635040873206478E-2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4">
        <v>0.32999930961490187</v>
      </c>
      <c r="H188" s="14">
        <v>0.43157288087281531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7D99-069D-491B-80E1-CFC38D903F9C}">
  <dimension ref="A1:R263"/>
  <sheetViews>
    <sheetView workbookViewId="0">
      <selection activeCell="G8" sqref="G8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0.15633269201730465</v>
      </c>
      <c r="P5" s="16">
        <f t="shared" si="1"/>
        <v>8.8635040873206478E-2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4">
        <v>0.32999930961490187</v>
      </c>
      <c r="H188" s="14">
        <v>0.43157288087281531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FDDC-15A1-4F9F-A334-5E936436B60B}">
  <dimension ref="A1:R263"/>
  <sheetViews>
    <sheetView workbookViewId="0">
      <selection activeCell="H3" sqref="H3:I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5.2996577004110527E-2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8.8635040873206478E-2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0.70278174603160293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0.69285183625186297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0.621093074066142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0.68700411403614692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0.54610545978927516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0.56237300256745582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0.61849848957673326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0.5490880808649935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0.5723193563041219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0.64795072415992583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0.64830968054183546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0.63961398005752579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0.52112815268353818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0.56916153528158875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0.58837664267330225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0.63541026699596581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0.70391436543514851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0.51855134902046418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0.61345519090253953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0.51267059103647528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0.60845553352886794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0.54511387598976946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0.55684118011393369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0.62349789337206762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0.54459865420828146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0.55110036484791536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0.55915909506694206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0.67889574065689384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0.6321300856211518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0.64850117488960368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0.64653763471706904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0.59888175114452324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0.55461566734699941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0.59072812469350178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0.56711515849707372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0.57358676878670511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0.61997431410093384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0.61042914720553454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0.45604114211023883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0.53293281627236999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0.6381689915146882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0.5789415043404289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0.53350915839382751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0.69293003099488715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0.64453953161662647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0.65161212068925534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0.54065308879491747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0.53297173482974158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0.61027344177825682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0.63115326533821481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0.56560662490868685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0.61620364466717892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0.5552755144994439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0.51039572663624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0.55034017123704482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0.53460526995169977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0.60782751994198414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0.62215986636357035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0.61099577652354853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0.55958505864387487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0.67391139891887741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0.6051241302538467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0.51944587186987801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0.67543018289876156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0.64999595279382283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0.63998011465235793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0.60791259256356567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0.54991936255238483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0.47665687275352947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0.58667661610405586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0.66380090245039802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0.59608480123968466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0.52836508683389183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0.58261107422782876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0.66143064984337052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0.57594262099555649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0.6402388002359426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0.55755600820474271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0.5296431139926091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0.65180119868468733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0.66406742696669729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0.58214580941108962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0.63388152341848347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0.74355797308146088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0.56573711611397126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0.60768665035917158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0.63008428395122651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0.5722204294415506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0.56517107468345273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0.63753110932599932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0.52793498680939543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0.55622565908673316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0.59749572550192243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0.56958829262581301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0.4799904661059059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0.48805835308918155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0.61680121382900521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0.70320966943849006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0.56801380551910641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0.66833306800738057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0.57578037597089338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0.56667898039326314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0.53356494880833971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0.56037909596865809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0.47179446845293616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0.58557180189014824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0.59747040765710435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0.55328729764105888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0.59678121694850617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0.69343811758317075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0.60311977446281284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0.55570167819563854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0.62402021054310453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0.62721686240636254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0.6446867547186298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0.63899697464014726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0.57054962573231982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0.62885928673900948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0.50452626609039108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0.56831385074041763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0.55358698969159004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0.6080764448183078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0.53926102556066191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0.57769404195639917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0.63151574588359261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0.63206439402259595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0.56107401448897587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0.57546800970452971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0.63231618668468004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0.64573003850288291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0.60444891926861799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0.58308934102721532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0.6325250394471067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0.63299317613709505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0.61779792074369444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0.61120073620815685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0.60288678548429164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0.70590958137286819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0.55864442233587575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0.58976675386414223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0.57327325840411991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0.60637623854856593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0.67289801588716203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0.60872989726494298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0.68692143305944309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0.64068803001797381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0.67485523005085757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0.65249632948359138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0.58312000402672837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0.58578950411162201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0.58201223902651766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0.61115192432036058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0.63046346458137104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0.60963500675817262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0.64187906085450586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0.57189154170584555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0.58606120683906393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0.5957132428336096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0.61377267869572549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0.6487953498890604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0.60738323249194415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0.65958587239988131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0.58467027258306903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0.58191460070976431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0.56815407565405573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0.68992946860329873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0.50710312212695852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0.60481326803198643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0.63960448254378555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0.5786433858972605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0.55485117104875115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0.58993057679338501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0.60658391185776628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0.56167149709600406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0.6336838379045957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0.63149412494344836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0.59979654104302693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 s="14">
        <v>0.43157288087281531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0.66292371985730114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0.50838654595699295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0.57103235024587606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0.55946806251558412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0.58843680822345446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0.55630344749677796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0.60832136568549822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0.58198829730337731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0.60195799218057189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0.51641147919064556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0.63600456587374699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0.67472476646703017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0.56710234153798378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0.62399953347238069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0.63676174933383589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0.58082883163081422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0.72853514988591916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0.59785865964761098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0.54417332991811174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0.66390009648585646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0.60847040034934019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0.54161958928363174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0.55276642496293615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0.59957987676367541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0.56285131109355879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0.52271443796852812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0.64285292939327321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0.51696703628188234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0.62334767301192906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0.53507823357919271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0.52994851339625615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0.53402577536805462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0.5432605142759247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0.67307144555155285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0.619368781606775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0.58919508185756975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0.55941225006739947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0.62116823653291864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0.71462805550581576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0.71066016553039368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0.55609276895784121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0.56340371789215649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0.5664082638304716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0.56532692020354547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0.63651141349753215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0.63341846343594421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0.51337323511712973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0.56023823070422429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0.54519317266977563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0.71427586269907617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0.63057698206890489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0.61930069937563259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0.55130380703840709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0.60877696755750854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0.74490865712583354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0.63160281204935564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0.60482699062334766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0.63033200493245656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0.53343627950334005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0.60298279511889963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0.62515609935418492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0.58919051756508201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0.61849107454625984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0.63231329159548799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0.6533375675153078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0.59327144588679326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0.50419343464167943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0.57507568188325542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0.70007282352701905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0.53960993451012629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0.59342953141320609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0.59230042929955051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0.6333103031083307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0.58703664122126509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0.57001071111992629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D78B-06CA-4DED-A06C-39B41ACBB839}">
  <dimension ref="A1:R263"/>
  <sheetViews>
    <sheetView topLeftCell="D1" workbookViewId="0">
      <selection activeCell="H3" sqref="H3:H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A046-A144-4765-95EE-87E19163C7C3}">
  <dimension ref="A1:R263"/>
  <sheetViews>
    <sheetView topLeftCell="D1" workbookViewId="0">
      <selection activeCell="J10" sqref="J10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0.69637380533808979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tabSelected="1" workbookViewId="0">
      <selection activeCell="O7" sqref="O7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O2">
        <f>'ES, Equity factor movement'!L3</f>
        <v>-32.825414049121072</v>
      </c>
      <c r="P2">
        <f>ABS(O2)</f>
        <v>32.825414049121072</v>
      </c>
      <c r="Q2" s="10">
        <f>P2*P2</f>
        <v>1077.507807496235</v>
      </c>
    </row>
    <row r="3" spans="1:17" ht="16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75</v>
      </c>
      <c r="N3">
        <v>20</v>
      </c>
      <c r="O3">
        <f>'ES, Credit LH=10Unchanged'!L3</f>
        <v>-32.825414049121072</v>
      </c>
      <c r="P3">
        <f>ABS(O3)</f>
        <v>32.825414049121072</v>
      </c>
      <c r="Q3" s="10">
        <f>POWER(P3*SQRT(10/10),2)</f>
        <v>1077.507807496235</v>
      </c>
    </row>
    <row r="4" spans="1:17" ht="16.5">
      <c r="A4" t="s">
        <v>40</v>
      </c>
      <c r="B4">
        <v>100</v>
      </c>
      <c r="C4">
        <v>3</v>
      </c>
      <c r="D4">
        <v>100</v>
      </c>
      <c r="F4">
        <f t="shared" si="0"/>
        <v>10000</v>
      </c>
      <c r="M4" t="s">
        <v>76</v>
      </c>
      <c r="N4">
        <v>40</v>
      </c>
      <c r="O4">
        <f>'ES, Credit LH=20Unchanged'!L3</f>
        <v>-30.607706255543494</v>
      </c>
      <c r="P4">
        <f t="shared" ref="P4:P5" si="1">ABS(O4)</f>
        <v>30.607706255543494</v>
      </c>
      <c r="Q4" s="10">
        <f>POWER(P4*SQRT(20/10),2)</f>
        <v>1873.6633644512729</v>
      </c>
    </row>
    <row r="5" spans="1:17" ht="16.5">
      <c r="A5" t="s">
        <v>43</v>
      </c>
      <c r="B5">
        <v>100</v>
      </c>
      <c r="E5">
        <v>500</v>
      </c>
      <c r="F5">
        <f>B5*E5</f>
        <v>50000</v>
      </c>
      <c r="M5" t="s">
        <v>77</v>
      </c>
      <c r="N5">
        <v>60</v>
      </c>
      <c r="O5">
        <f>'ES, Credit LH=40Unchanged'!L3</f>
        <v>-3.1479407252752156</v>
      </c>
      <c r="P5">
        <f t="shared" si="1"/>
        <v>3.1479407252752156</v>
      </c>
      <c r="Q5" s="10">
        <f>POWER(P5*SQRT(20/10),2)</f>
        <v>19.819061619692505</v>
      </c>
    </row>
    <row r="6" spans="1:17" ht="20.5">
      <c r="A6" t="s">
        <v>44</v>
      </c>
      <c r="B6">
        <v>100</v>
      </c>
      <c r="E6">
        <v>36</v>
      </c>
      <c r="F6">
        <f t="shared" ref="F6:F7" si="2">B6*E6</f>
        <v>3600</v>
      </c>
      <c r="P6" s="11" t="s">
        <v>64</v>
      </c>
      <c r="Q6" s="12">
        <f>SQRT(SUM(Q2:Q2))</f>
        <v>32.825414049121072</v>
      </c>
    </row>
    <row r="7" spans="1:17">
      <c r="A7" t="s">
        <v>25</v>
      </c>
      <c r="B7">
        <v>100</v>
      </c>
      <c r="E7">
        <v>20</v>
      </c>
      <c r="F7">
        <f t="shared" si="2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D12" sqref="D12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(3/(1+('CurrentPor-Equ Factor Movements'!C3)/100)+103/POWER(1+('CurrentPor-Equ Factor Movements'!D3)/100,2))*100</f>
        <v>9707.5857774288397</v>
      </c>
      <c r="C3">
        <f>(3/(1+('CurrentPor-Equ Factor Movements'!C3+'CurrentPor-Equ Factor Movements'!G3)/100)+103/POWER(1+('CurrentPor-Equ Factor Movements'!D3+'CurrentPor-Equ Factor Movements'!G3)/100,2))*100</f>
        <v>9614.9673582483465</v>
      </c>
      <c r="D3">
        <f>(3/(1+('CurrentPor-Equ Factor Movements'!C3+'CurrentPor-Equ Factor Movements'!H3)/100)+103/POWER(1+('CurrentPor-Equ Factor Movements'!D3+'CurrentPor-Equ Factor Movements'!H3)/100,2))*100</f>
        <v>9601.2395558122898</v>
      </c>
      <c r="E3">
        <f>(3/(1+('CurrentPor-Equ Factor Movements'!C3+'CurrentPor-Equ Factor Movements'!I3)/100)+103/POWER(1+('CurrentPor-Equ Factor Movements'!D3+'CurrentPor-Equ Factor Movements'!I3)/100,2))*100</f>
        <v>9581.4547115644182</v>
      </c>
      <c r="F3">
        <f>Portfolio!B$5*'CurrentPor-Equ Factor Movements'!E3</f>
        <v>52143.895533915893</v>
      </c>
      <c r="G3">
        <f>Portfolio!B$6*'CurrentPor-Equ Factor Movements'!F3</f>
        <v>3696.2945087936532</v>
      </c>
      <c r="H3">
        <f>Portfolio!B$7*'CurrentPor-Equ Factor Movements'!J3</f>
        <v>2148.0998964419859</v>
      </c>
      <c r="I3">
        <f>SUM(B3:H3)</f>
        <v>96493.537342205425</v>
      </c>
      <c r="K3" s="8">
        <f>_xlfn.PERCENTILE.INC(J13:J263, 0.025)</f>
        <v>-30.682237869594246</v>
      </c>
      <c r="L3">
        <f>AVERAGEIF(J13:J263, "&lt;="&amp;K3,J13:J263)</f>
        <v>-32.825414049121072</v>
      </c>
    </row>
    <row r="4" spans="1:12">
      <c r="A4" s="1">
        <v>45475</v>
      </c>
      <c r="B4">
        <f>(3/(1+('CurrentPor-Equ Factor Movements'!C4)/100)+103/POWER(1+('CurrentPor-Equ Factor Movements'!D4)/100,2))*100</f>
        <v>9707.5857774288397</v>
      </c>
      <c r="C4">
        <f>(3/(1+('CurrentPor-Equ Factor Movements'!C4+'CurrentPor-Equ Factor Movements'!G4)/100)+103/POWER(1+('CurrentPor-Equ Factor Movements'!D4+'CurrentPor-Equ Factor Movements'!G4)/100,2))*100</f>
        <v>9614.9673582483465</v>
      </c>
      <c r="D4">
        <f>(3/(1+('CurrentPor-Equ Factor Movements'!C4+'CurrentPor-Equ Factor Movements'!H4)/100)+103/POWER(1+('CurrentPor-Equ Factor Movements'!D4+'CurrentPor-Equ Factor Movements'!H4)/100,2))*100</f>
        <v>9586.753643287564</v>
      </c>
      <c r="E4">
        <f>(3/(1+('CurrentPor-Equ Factor Movements'!C4+'CurrentPor-Equ Factor Movements'!I4)/100)+103/POWER(1+('CurrentPor-Equ Factor Movements'!D4+'CurrentPor-Equ Factor Movements'!I4)/100,2))*100</f>
        <v>9579.1749716369959</v>
      </c>
      <c r="F4">
        <f>Portfolio!B$5*'CurrentPor-Equ Factor Movements'!E4</f>
        <v>52143.895533915893</v>
      </c>
      <c r="G4">
        <f>Portfolio!B$6*'CurrentPor-Equ Factor Movements'!F4</f>
        <v>3696.2945087936532</v>
      </c>
      <c r="H4">
        <f>Portfolio!B$7*'CurrentPor-Equ Factor Movements'!J4</f>
        <v>2148.0998964419859</v>
      </c>
      <c r="I4">
        <f t="shared" ref="I4:I67" si="0">SUM(B4:H4)</f>
        <v>96476.771689753266</v>
      </c>
    </row>
    <row r="5" spans="1:12">
      <c r="A5" s="1">
        <v>45476</v>
      </c>
      <c r="B5">
        <f>(3/(1+('CurrentPor-Equ Factor Movements'!C5)/100)+103/POWER(1+('CurrentPor-Equ Factor Movements'!D5)/100,2))*100</f>
        <v>9707.5857774288397</v>
      </c>
      <c r="C5">
        <f>(3/(1+('CurrentPor-Equ Factor Movements'!C5+'CurrentPor-Equ Factor Movements'!G5)/100)+103/POWER(1+('CurrentPor-Equ Factor Movements'!D5+'CurrentPor-Equ Factor Movements'!G5)/100,2))*100</f>
        <v>9614.9673582483465</v>
      </c>
      <c r="D5">
        <f>(3/(1+('CurrentPor-Equ Factor Movements'!C5+'CurrentPor-Equ Factor Movements'!H5)/100)+103/POWER(1+('CurrentPor-Equ Factor Movements'!D5+'CurrentPor-Equ Factor Movements'!H5)/100,2))*100</f>
        <v>9603.4629610150168</v>
      </c>
      <c r="E5">
        <f>(3/(1+('CurrentPor-Equ Factor Movements'!C5+'CurrentPor-Equ Factor Movements'!I5)/100)+103/POWER(1+('CurrentPor-Equ Factor Movements'!D5+'CurrentPor-Equ Factor Movements'!I5)/100,2))*100</f>
        <v>9580.4915809012364</v>
      </c>
      <c r="F5">
        <f>Portfolio!B$5*'CurrentPor-Equ Factor Movements'!E5</f>
        <v>52143.895533915893</v>
      </c>
      <c r="G5">
        <f>Portfolio!B$6*'CurrentPor-Equ Factor Movements'!F5</f>
        <v>3696.2945087936532</v>
      </c>
      <c r="H5">
        <f>Portfolio!B$7*'CurrentPor-Equ Factor Movements'!J5</f>
        <v>2148.0998964419859</v>
      </c>
      <c r="I5">
        <f t="shared" si="0"/>
        <v>96494.797616744981</v>
      </c>
    </row>
    <row r="6" spans="1:12">
      <c r="A6" s="1">
        <v>45477</v>
      </c>
      <c r="B6">
        <f>(3/(1+('CurrentPor-Equ Factor Movements'!C6)/100)+103/POWER(1+('CurrentPor-Equ Factor Movements'!D6)/100,2))*100</f>
        <v>9707.5857774288397</v>
      </c>
      <c r="C6">
        <f>(3/(1+('CurrentPor-Equ Factor Movements'!C6+'CurrentPor-Equ Factor Movements'!G6)/100)+103/POWER(1+('CurrentPor-Equ Factor Movements'!D6+'CurrentPor-Equ Factor Movements'!G6)/100,2))*100</f>
        <v>9614.9673582483465</v>
      </c>
      <c r="D6">
        <f>(3/(1+('CurrentPor-Equ Factor Movements'!C6+'CurrentPor-Equ Factor Movements'!H6)/100)+103/POWER(1+('CurrentPor-Equ Factor Movements'!D6+'CurrentPor-Equ Factor Movements'!H6)/100,2))*100</f>
        <v>9607.0114786197646</v>
      </c>
      <c r="E6">
        <f>(3/(1+('CurrentPor-Equ Factor Movements'!C6+'CurrentPor-Equ Factor Movements'!I6)/100)+103/POWER(1+('CurrentPor-Equ Factor Movements'!D6+'CurrentPor-Equ Factor Movements'!I6)/100,2))*100</f>
        <v>9583.5904538448758</v>
      </c>
      <c r="F6">
        <f>Portfolio!B$5*'CurrentPor-Equ Factor Movements'!E6</f>
        <v>52143.895533915893</v>
      </c>
      <c r="G6">
        <f>Portfolio!B$6*'CurrentPor-Equ Factor Movements'!F6</f>
        <v>3696.2945087936532</v>
      </c>
      <c r="H6">
        <f>Portfolio!B$7*'CurrentPor-Equ Factor Movements'!J6</f>
        <v>2148.0998964419859</v>
      </c>
      <c r="I6">
        <f t="shared" si="0"/>
        <v>96501.445007293354</v>
      </c>
    </row>
    <row r="7" spans="1:12">
      <c r="A7" s="1">
        <v>45478</v>
      </c>
      <c r="B7">
        <f>(3/(1+('CurrentPor-Equ Factor Movements'!C7)/100)+103/POWER(1+('CurrentPor-Equ Factor Movements'!D7)/100,2))*100</f>
        <v>9707.5857774288397</v>
      </c>
      <c r="C7">
        <f>(3/(1+('CurrentPor-Equ Factor Movements'!C7+'CurrentPor-Equ Factor Movements'!G7)/100)+103/POWER(1+('CurrentPor-Equ Factor Movements'!D7+'CurrentPor-Equ Factor Movements'!G7)/100,2))*100</f>
        <v>9616.7705171512371</v>
      </c>
      <c r="D7">
        <f>(3/(1+('CurrentPor-Equ Factor Movements'!C7+'CurrentPor-Equ Factor Movements'!H7)/100)+103/POWER(1+('CurrentPor-Equ Factor Movements'!D7+'CurrentPor-Equ Factor Movements'!H7)/100,2))*100</f>
        <v>9580.3056214308926</v>
      </c>
      <c r="E7">
        <f>(3/(1+('CurrentPor-Equ Factor Movements'!C7+'CurrentPor-Equ Factor Movements'!I7)/100)+103/POWER(1+('CurrentPor-Equ Factor Movements'!D7+'CurrentPor-Equ Factor Movements'!I7)/100,2))*100</f>
        <v>9579.5438969576826</v>
      </c>
      <c r="F7">
        <f>Portfolio!B$5*'CurrentPor-Equ Factor Movements'!E7</f>
        <v>52143.895533915893</v>
      </c>
      <c r="G7">
        <f>Portfolio!B$6*'CurrentPor-Equ Factor Movements'!F7</f>
        <v>3696.2945087936532</v>
      </c>
      <c r="H7">
        <f>Portfolio!B$7*'CurrentPor-Equ Factor Movements'!J7</f>
        <v>2148.0998964419859</v>
      </c>
      <c r="I7">
        <f t="shared" si="0"/>
        <v>96472.495752120172</v>
      </c>
    </row>
    <row r="8" spans="1:12">
      <c r="A8" s="1">
        <v>45481</v>
      </c>
      <c r="B8">
        <f>(3/(1+('CurrentPor-Equ Factor Movements'!C8)/100)+103/POWER(1+('CurrentPor-Equ Factor Movements'!D8)/100,2))*100</f>
        <v>9707.5857774288397</v>
      </c>
      <c r="C8">
        <f>(3/(1+('CurrentPor-Equ Factor Movements'!C8+'CurrentPor-Equ Factor Movements'!G8)/100)+103/POWER(1+('CurrentPor-Equ Factor Movements'!D8+'CurrentPor-Equ Factor Movements'!G8)/100,2))*100</f>
        <v>9613.1647114954067</v>
      </c>
      <c r="D8">
        <f>(3/(1+('CurrentPor-Equ Factor Movements'!C8+'CurrentPor-Equ Factor Movements'!H8)/100)+103/POWER(1+('CurrentPor-Equ Factor Movements'!D8+'CurrentPor-Equ Factor Movements'!H8)/100,2))*100</f>
        <v>9582.0863699912024</v>
      </c>
      <c r="E8">
        <f>(3/(1+('CurrentPor-Equ Factor Movements'!C8+'CurrentPor-Equ Factor Movements'!I8)/100)+103/POWER(1+('CurrentPor-Equ Factor Movements'!D8+'CurrentPor-Equ Factor Movements'!I8)/100,2))*100</f>
        <v>9580.4671604041887</v>
      </c>
      <c r="F8">
        <f>Portfolio!B$5*'CurrentPor-Equ Factor Movements'!E8</f>
        <v>52143.895533915893</v>
      </c>
      <c r="G8">
        <f>Portfolio!B$6*'CurrentPor-Equ Factor Movements'!F8</f>
        <v>3696.2945087936532</v>
      </c>
      <c r="H8">
        <f>Portfolio!B$7*'CurrentPor-Equ Factor Movements'!J8</f>
        <v>2148.0998964419859</v>
      </c>
      <c r="I8">
        <f t="shared" si="0"/>
        <v>96471.59395847116</v>
      </c>
    </row>
    <row r="9" spans="1:12">
      <c r="A9" s="1">
        <v>45482</v>
      </c>
      <c r="B9">
        <f>(3/(1+('CurrentPor-Equ Factor Movements'!C9)/100)+103/POWER(1+('CurrentPor-Equ Factor Movements'!D9)/100,2))*100</f>
        <v>9707.5857774288397</v>
      </c>
      <c r="C9">
        <f>(3/(1+('CurrentPor-Equ Factor Movements'!C9+'CurrentPor-Equ Factor Movements'!G9)/100)+103/POWER(1+('CurrentPor-Equ Factor Movements'!D9+'CurrentPor-Equ Factor Movements'!G9)/100,2))*100</f>
        <v>9613.1647114954067</v>
      </c>
      <c r="D9">
        <f>(3/(1+('CurrentPor-Equ Factor Movements'!C9+'CurrentPor-Equ Factor Movements'!H9)/100)+103/POWER(1+('CurrentPor-Equ Factor Movements'!D9+'CurrentPor-Equ Factor Movements'!H9)/100,2))*100</f>
        <v>9594.9699164194662</v>
      </c>
      <c r="E9">
        <f>(3/(1+('CurrentPor-Equ Factor Movements'!C9+'CurrentPor-Equ Factor Movements'!I9)/100)+103/POWER(1+('CurrentPor-Equ Factor Movements'!D9+'CurrentPor-Equ Factor Movements'!I9)/100,2))*100</f>
        <v>9580.9646345704259</v>
      </c>
      <c r="F9">
        <f>Portfolio!B$5*'CurrentPor-Equ Factor Movements'!E9</f>
        <v>52143.895533915893</v>
      </c>
      <c r="G9">
        <f>Portfolio!B$6*'CurrentPor-Equ Factor Movements'!F9</f>
        <v>3696.2945087936532</v>
      </c>
      <c r="H9">
        <f>Portfolio!B$7*'CurrentPor-Equ Factor Movements'!J9</f>
        <v>2148.0998964419859</v>
      </c>
      <c r="I9">
        <f t="shared" si="0"/>
        <v>96484.974979065664</v>
      </c>
    </row>
    <row r="10" spans="1:12">
      <c r="A10" s="1">
        <v>45483</v>
      </c>
      <c r="B10">
        <f>(3/(1+('CurrentPor-Equ Factor Movements'!C10)/100)+103/POWER(1+('CurrentPor-Equ Factor Movements'!D10)/100,2))*100</f>
        <v>9707.5857774288397</v>
      </c>
      <c r="C10">
        <f>(3/(1+('CurrentPor-Equ Factor Movements'!C10+'CurrentPor-Equ Factor Movements'!G10)/100)+103/POWER(1+('CurrentPor-Equ Factor Movements'!D10+'CurrentPor-Equ Factor Movements'!G10)/100,2))*100</f>
        <v>9614.9673582483465</v>
      </c>
      <c r="D10">
        <f>(3/(1+('CurrentPor-Equ Factor Movements'!C10+'CurrentPor-Equ Factor Movements'!H10)/100)+103/POWER(1+('CurrentPor-Equ Factor Movements'!D10+'CurrentPor-Equ Factor Movements'!H10)/100,2))*100</f>
        <v>9593.3699457073908</v>
      </c>
      <c r="E10">
        <f>(3/(1+('CurrentPor-Equ Factor Movements'!C10+'CurrentPor-Equ Factor Movements'!I10)/100)+103/POWER(1+('CurrentPor-Equ Factor Movements'!D10+'CurrentPor-Equ Factor Movements'!I10)/100,2))*100</f>
        <v>9580.3866228015249</v>
      </c>
      <c r="F10">
        <f>Portfolio!B$5*'CurrentPor-Equ Factor Movements'!E10</f>
        <v>52143.895533915893</v>
      </c>
      <c r="G10">
        <f>Portfolio!B$6*'CurrentPor-Equ Factor Movements'!F10</f>
        <v>3696.2945087936532</v>
      </c>
      <c r="H10">
        <f>Portfolio!B$7*'CurrentPor-Equ Factor Movements'!J10</f>
        <v>2148.0998964419859</v>
      </c>
      <c r="I10">
        <f t="shared" si="0"/>
        <v>96484.599643337642</v>
      </c>
    </row>
    <row r="11" spans="1:12">
      <c r="A11" s="1">
        <v>45484</v>
      </c>
      <c r="B11">
        <f>(3/(1+('CurrentPor-Equ Factor Movements'!C11)/100)+103/POWER(1+('CurrentPor-Equ Factor Movements'!D11)/100,2))*100</f>
        <v>9707.5857774288397</v>
      </c>
      <c r="C11">
        <f>(3/(1+('CurrentPor-Equ Factor Movements'!C11+'CurrentPor-Equ Factor Movements'!G11)/100)+103/POWER(1+('CurrentPor-Equ Factor Movements'!D11+'CurrentPor-Equ Factor Movements'!G11)/100,2))*100</f>
        <v>9614.9673582483465</v>
      </c>
      <c r="D11">
        <f>(3/(1+('CurrentPor-Equ Factor Movements'!C11+'CurrentPor-Equ Factor Movements'!H11)/100)+103/POWER(1+('CurrentPor-Equ Factor Movements'!D11+'CurrentPor-Equ Factor Movements'!H11)/100,2))*100</f>
        <v>9596.8685689189988</v>
      </c>
      <c r="E11">
        <f>(3/(1+('CurrentPor-Equ Factor Movements'!C11+'CurrentPor-Equ Factor Movements'!I11)/100)+103/POWER(1+('CurrentPor-Equ Factor Movements'!D11+'CurrentPor-Equ Factor Movements'!I11)/100,2))*100</f>
        <v>9577.986078619766</v>
      </c>
      <c r="F11">
        <f>Portfolio!B$5*'CurrentPor-Equ Factor Movements'!E11</f>
        <v>52143.895533915893</v>
      </c>
      <c r="G11">
        <f>Portfolio!B$6*'CurrentPor-Equ Factor Movements'!F11</f>
        <v>3696.2945087936532</v>
      </c>
      <c r="H11">
        <f>Portfolio!B$7*'CurrentPor-Equ Factor Movements'!J11</f>
        <v>2148.0998964419859</v>
      </c>
      <c r="I11">
        <f t="shared" si="0"/>
        <v>96485.697722367491</v>
      </c>
    </row>
    <row r="12" spans="1:12">
      <c r="A12" s="1">
        <v>45485</v>
      </c>
      <c r="B12">
        <f>(3/(1+('CurrentPor-Equ Factor Movements'!C12)/100)+103/POWER(1+('CurrentPor-Equ Factor Movements'!D12)/100,2))*100</f>
        <v>9707.5857774288397</v>
      </c>
      <c r="C12">
        <f>(3/(1+('CurrentPor-Equ Factor Movements'!C12+'CurrentPor-Equ Factor Movements'!G12)/100)+103/POWER(1+('CurrentPor-Equ Factor Movements'!D12+'CurrentPor-Equ Factor Movements'!G12)/100,2))*100</f>
        <v>9614.9673582483465</v>
      </c>
      <c r="D12">
        <f>(3/(1+('CurrentPor-Equ Factor Movements'!C12+'CurrentPor-Equ Factor Movements'!H12)/100)+103/POWER(1+('CurrentPor-Equ Factor Movements'!D12+'CurrentPor-Equ Factor Movements'!H12)/100,2))*100</f>
        <v>9593.7415131480611</v>
      </c>
      <c r="E12">
        <f>(3/(1+('CurrentPor-Equ Factor Movements'!C12+'CurrentPor-Equ Factor Movements'!I12)/100)+103/POWER(1+('CurrentPor-Equ Factor Movements'!D12+'CurrentPor-Equ Factor Movements'!I12)/100,2))*100</f>
        <v>9580.9201391213264</v>
      </c>
      <c r="F12">
        <f>Portfolio!B$5*'CurrentPor-Equ Factor Movements'!E12</f>
        <v>52143.895533915893</v>
      </c>
      <c r="G12">
        <f>Portfolio!B$6*'CurrentPor-Equ Factor Movements'!F12</f>
        <v>3696.2945087936532</v>
      </c>
      <c r="H12">
        <f>Portfolio!B$7*'CurrentPor-Equ Factor Movements'!J12</f>
        <v>2148.0998964419859</v>
      </c>
      <c r="I12">
        <f t="shared" si="0"/>
        <v>96485.504727098116</v>
      </c>
    </row>
    <row r="13" spans="1:12">
      <c r="A13" s="1">
        <v>45488</v>
      </c>
      <c r="B13">
        <f>(3/(1+('CurrentPor-Equ Factor Movements'!C13)/100)+103/POWER(1+('CurrentPor-Equ Factor Movements'!D13)/100,2))*100</f>
        <v>9707.5857774288397</v>
      </c>
      <c r="C13">
        <f>(3/(1+('CurrentPor-Equ Factor Movements'!C13+'CurrentPor-Equ Factor Movements'!G13)/100)+103/POWER(1+('CurrentPor-Equ Factor Movements'!D13+'CurrentPor-Equ Factor Movements'!G13)/100,2))*100</f>
        <v>9620.3783721850123</v>
      </c>
      <c r="D13">
        <f>(3/(1+('CurrentPor-Equ Factor Movements'!C13+'CurrentPor-Equ Factor Movements'!H13)/100)+103/POWER(1+('CurrentPor-Equ Factor Movements'!D13+'CurrentPor-Equ Factor Movements'!H13)/100,2))*100</f>
        <v>9583.1352871394211</v>
      </c>
      <c r="E13">
        <f>(3/(1+('CurrentPor-Equ Factor Movements'!C13+'CurrentPor-Equ Factor Movements'!I13)/100)+103/POWER(1+('CurrentPor-Equ Factor Movements'!D13+'CurrentPor-Equ Factor Movements'!I13)/100,2))*100</f>
        <v>9580.0297084687681</v>
      </c>
      <c r="F13">
        <f>Portfolio!B$5*'CurrentPor-Equ Factor Movements'!E13</f>
        <v>52143.895533915893</v>
      </c>
      <c r="G13">
        <f>Portfolio!B$6*'CurrentPor-Equ Factor Movements'!F13</f>
        <v>3696.2945087936532</v>
      </c>
      <c r="H13">
        <f>Portfolio!B$7*'CurrentPor-Equ Factor Movements'!J13</f>
        <v>2148.0998964419859</v>
      </c>
      <c r="I13">
        <f t="shared" si="0"/>
        <v>96479.419084373571</v>
      </c>
      <c r="J13">
        <f>I13-I3</f>
        <v>-14.118257831854862</v>
      </c>
    </row>
    <row r="14" spans="1:12">
      <c r="A14" s="1">
        <v>45489</v>
      </c>
      <c r="B14">
        <f>(3/(1+('CurrentPor-Equ Factor Movements'!C14)/100)+103/POWER(1+('CurrentPor-Equ Factor Movements'!D14)/100,2))*100</f>
        <v>9707.5857774288397</v>
      </c>
      <c r="C14">
        <f>(3/(1+('CurrentPor-Equ Factor Movements'!C14+'CurrentPor-Equ Factor Movements'!G14)/100)+103/POWER(1+('CurrentPor-Equ Factor Movements'!D14+'CurrentPor-Equ Factor Movements'!G14)/100,2))*100</f>
        <v>9616.7705171512371</v>
      </c>
      <c r="D14">
        <f>(3/(1+('CurrentPor-Equ Factor Movements'!C14+'CurrentPor-Equ Factor Movements'!H14)/100)+103/POWER(1+('CurrentPor-Equ Factor Movements'!D14+'CurrentPor-Equ Factor Movements'!H14)/100,2))*100</f>
        <v>9608.4612314889109</v>
      </c>
      <c r="E14">
        <f>(3/(1+('CurrentPor-Equ Factor Movements'!C14+'CurrentPor-Equ Factor Movements'!I14)/100)+103/POWER(1+('CurrentPor-Equ Factor Movements'!D14+'CurrentPor-Equ Factor Movements'!I14)/100,2))*100</f>
        <v>9580.3125208743077</v>
      </c>
      <c r="F14">
        <f>Portfolio!B$5*'CurrentPor-Equ Factor Movements'!E14</f>
        <v>52143.895533915893</v>
      </c>
      <c r="G14">
        <f>Portfolio!B$6*'CurrentPor-Equ Factor Movements'!F14</f>
        <v>3696.2945087936532</v>
      </c>
      <c r="H14">
        <f>Portfolio!B$7*'CurrentPor-Equ Factor Movements'!J14</f>
        <v>2148.0998964419859</v>
      </c>
      <c r="I14">
        <f t="shared" si="0"/>
        <v>96501.419986094828</v>
      </c>
      <c r="J14">
        <f t="shared" ref="J14:J77" si="1">I14-I4</f>
        <v>24.648296341561945</v>
      </c>
    </row>
    <row r="15" spans="1:12">
      <c r="A15" s="1">
        <v>45490</v>
      </c>
      <c r="B15">
        <f>(3/(1+('CurrentPor-Equ Factor Movements'!C15)/100)+103/POWER(1+('CurrentPor-Equ Factor Movements'!D15)/100,2))*100</f>
        <v>9707.5857774288397</v>
      </c>
      <c r="C15">
        <f>(3/(1+('CurrentPor-Equ Factor Movements'!C15+'CurrentPor-Equ Factor Movements'!G15)/100)+103/POWER(1+('CurrentPor-Equ Factor Movements'!D15+'CurrentPor-Equ Factor Movements'!G15)/100,2))*100</f>
        <v>9616.7705171512371</v>
      </c>
      <c r="D15">
        <f>(3/(1+('CurrentPor-Equ Factor Movements'!C15+'CurrentPor-Equ Factor Movements'!H15)/100)+103/POWER(1+('CurrentPor-Equ Factor Movements'!D15+'CurrentPor-Equ Factor Movements'!H15)/100,2))*100</f>
        <v>9605.5320342821306</v>
      </c>
      <c r="E15">
        <f>(3/(1+('CurrentPor-Equ Factor Movements'!C15+'CurrentPor-Equ Factor Movements'!I15)/100)+103/POWER(1+('CurrentPor-Equ Factor Movements'!D15+'CurrentPor-Equ Factor Movements'!I15)/100,2))*100</f>
        <v>9581.3179190716164</v>
      </c>
      <c r="F15">
        <f>Portfolio!B$5*'CurrentPor-Equ Factor Movements'!E15</f>
        <v>52143.895533915893</v>
      </c>
      <c r="G15">
        <f>Portfolio!B$6*'CurrentPor-Equ Factor Movements'!F15</f>
        <v>3696.2945087936532</v>
      </c>
      <c r="H15">
        <f>Portfolio!B$7*'CurrentPor-Equ Factor Movements'!J15</f>
        <v>2148.0998964419859</v>
      </c>
      <c r="I15">
        <f t="shared" si="0"/>
        <v>96499.496187085359</v>
      </c>
      <c r="J15">
        <f t="shared" si="1"/>
        <v>4.6985703403770458</v>
      </c>
    </row>
    <row r="16" spans="1:12">
      <c r="A16" s="1">
        <v>45491</v>
      </c>
      <c r="B16">
        <f>(3/(1+('CurrentPor-Equ Factor Movements'!C16)/100)+103/POWER(1+('CurrentPor-Equ Factor Movements'!D16)/100,2))*100</f>
        <v>9707.5857774288397</v>
      </c>
      <c r="C16">
        <f>(3/(1+('CurrentPor-Equ Factor Movements'!C16+'CurrentPor-Equ Factor Movements'!G16)/100)+103/POWER(1+('CurrentPor-Equ Factor Movements'!D16+'CurrentPor-Equ Factor Movements'!G16)/100,2))*100</f>
        <v>9618.5741883985884</v>
      </c>
      <c r="D16">
        <f>(3/(1+('CurrentPor-Equ Factor Movements'!C16+'CurrentPor-Equ Factor Movements'!H16)/100)+103/POWER(1+('CurrentPor-Equ Factor Movements'!D16+'CurrentPor-Equ Factor Movements'!H16)/100,2))*100</f>
        <v>9595.4362388343052</v>
      </c>
      <c r="E16">
        <f>(3/(1+('CurrentPor-Equ Factor Movements'!C16+'CurrentPor-Equ Factor Movements'!I16)/100)+103/POWER(1+('CurrentPor-Equ Factor Movements'!D16+'CurrentPor-Equ Factor Movements'!I16)/100,2))*100</f>
        <v>9583.0294773230526</v>
      </c>
      <c r="F16">
        <f>Portfolio!B$5*'CurrentPor-Equ Factor Movements'!E16</f>
        <v>52143.895533915893</v>
      </c>
      <c r="G16">
        <f>Portfolio!B$6*'CurrentPor-Equ Factor Movements'!F16</f>
        <v>3696.2945087936532</v>
      </c>
      <c r="H16">
        <f>Portfolio!B$7*'CurrentPor-Equ Factor Movements'!J16</f>
        <v>2148.0998964419859</v>
      </c>
      <c r="I16">
        <f t="shared" si="0"/>
        <v>96492.91562113633</v>
      </c>
      <c r="J16">
        <f t="shared" si="1"/>
        <v>-8.5293861570244189</v>
      </c>
    </row>
    <row r="17" spans="1:10">
      <c r="A17" s="1">
        <v>45492</v>
      </c>
      <c r="B17">
        <f>(3/(1+('CurrentPor-Equ Factor Movements'!C17)/100)+103/POWER(1+('CurrentPor-Equ Factor Movements'!D17)/100,2))*100</f>
        <v>9707.5857774288397</v>
      </c>
      <c r="C17">
        <f>(3/(1+('CurrentPor-Equ Factor Movements'!C17+'CurrentPor-Equ Factor Movements'!G17)/100)+103/POWER(1+('CurrentPor-Equ Factor Movements'!D17+'CurrentPor-Equ Factor Movements'!G17)/100,2))*100</f>
        <v>9616.7705171512371</v>
      </c>
      <c r="D17">
        <f>(3/(1+('CurrentPor-Equ Factor Movements'!C17+'CurrentPor-Equ Factor Movements'!H17)/100)+103/POWER(1+('CurrentPor-Equ Factor Movements'!D17+'CurrentPor-Equ Factor Movements'!H17)/100,2))*100</f>
        <v>9607.924067800639</v>
      </c>
      <c r="E17">
        <f>(3/(1+('CurrentPor-Equ Factor Movements'!C17+'CurrentPor-Equ Factor Movements'!I17)/100)+103/POWER(1+('CurrentPor-Equ Factor Movements'!D17+'CurrentPor-Equ Factor Movements'!I17)/100,2))*100</f>
        <v>9580.7932974062987</v>
      </c>
      <c r="F17">
        <f>Portfolio!B$5*'CurrentPor-Equ Factor Movements'!E17</f>
        <v>52143.895533915893</v>
      </c>
      <c r="G17">
        <f>Portfolio!B$6*'CurrentPor-Equ Factor Movements'!F17</f>
        <v>3696.2945087936532</v>
      </c>
      <c r="H17">
        <f>Portfolio!B$7*'CurrentPor-Equ Factor Movements'!J17</f>
        <v>2148.0998964419859</v>
      </c>
      <c r="I17">
        <f t="shared" si="0"/>
        <v>96501.363598938551</v>
      </c>
      <c r="J17">
        <f t="shared" si="1"/>
        <v>28.867846818378894</v>
      </c>
    </row>
    <row r="18" spans="1:10">
      <c r="A18" s="1">
        <v>45495</v>
      </c>
      <c r="B18">
        <f>(3/(1+('CurrentPor-Equ Factor Movements'!C18)/100)+103/POWER(1+('CurrentPor-Equ Factor Movements'!D18)/100,2))*100</f>
        <v>9707.5857774288397</v>
      </c>
      <c r="C18">
        <f>(3/(1+('CurrentPor-Equ Factor Movements'!C18+'CurrentPor-Equ Factor Movements'!G18)/100)+103/POWER(1+('CurrentPor-Equ Factor Movements'!D18+'CurrentPor-Equ Factor Movements'!G18)/100,2))*100</f>
        <v>9616.7705171512371</v>
      </c>
      <c r="D18">
        <f>(3/(1+('CurrentPor-Equ Factor Movements'!C18+'CurrentPor-Equ Factor Movements'!H18)/100)+103/POWER(1+('CurrentPor-Equ Factor Movements'!D18+'CurrentPor-Equ Factor Movements'!H18)/100,2))*100</f>
        <v>9603.7417214293109</v>
      </c>
      <c r="E18">
        <f>(3/(1+('CurrentPor-Equ Factor Movements'!C18+'CurrentPor-Equ Factor Movements'!I18)/100)+103/POWER(1+('CurrentPor-Equ Factor Movements'!D18+'CurrentPor-Equ Factor Movements'!I18)/100,2))*100</f>
        <v>9580.8467723897229</v>
      </c>
      <c r="F18">
        <f>Portfolio!B$5*'CurrentPor-Equ Factor Movements'!E18</f>
        <v>52143.895533915893</v>
      </c>
      <c r="G18">
        <f>Portfolio!B$6*'CurrentPor-Equ Factor Movements'!F18</f>
        <v>3696.2945087936532</v>
      </c>
      <c r="H18">
        <f>Portfolio!B$7*'CurrentPor-Equ Factor Movements'!J18</f>
        <v>2148.0998964419859</v>
      </c>
      <c r="I18">
        <f t="shared" si="0"/>
        <v>96497.234727550633</v>
      </c>
      <c r="J18">
        <f t="shared" si="1"/>
        <v>25.640769079473102</v>
      </c>
    </row>
    <row r="19" spans="1:10">
      <c r="A19" s="1">
        <v>45496</v>
      </c>
      <c r="B19">
        <f>(3/(1+('CurrentPor-Equ Factor Movements'!C19)/100)+103/POWER(1+('CurrentPor-Equ Factor Movements'!D19)/100,2))*100</f>
        <v>9707.5857774288397</v>
      </c>
      <c r="C19">
        <f>(3/(1+('CurrentPor-Equ Factor Movements'!C19+'CurrentPor-Equ Factor Movements'!G19)/100)+103/POWER(1+('CurrentPor-Equ Factor Movements'!D19+'CurrentPor-Equ Factor Movements'!G19)/100,2))*100</f>
        <v>9616.7705171512371</v>
      </c>
      <c r="D19">
        <f>(3/(1+('CurrentPor-Equ Factor Movements'!C19+'CurrentPor-Equ Factor Movements'!H19)/100)+103/POWER(1+('CurrentPor-Equ Factor Movements'!D19+'CurrentPor-Equ Factor Movements'!H19)/100,2))*100</f>
        <v>9590.1448307730843</v>
      </c>
      <c r="E19">
        <f>(3/(1+('CurrentPor-Equ Factor Movements'!C19+'CurrentPor-Equ Factor Movements'!I19)/100)+103/POWER(1+('CurrentPor-Equ Factor Movements'!D19+'CurrentPor-Equ Factor Movements'!I19)/100,2))*100</f>
        <v>9581.9982130363605</v>
      </c>
      <c r="F19">
        <f>Portfolio!B$5*'CurrentPor-Equ Factor Movements'!E19</f>
        <v>52143.895533915893</v>
      </c>
      <c r="G19">
        <f>Portfolio!B$6*'CurrentPor-Equ Factor Movements'!F19</f>
        <v>3696.2945087936532</v>
      </c>
      <c r="H19">
        <f>Portfolio!B$7*'CurrentPor-Equ Factor Movements'!J19</f>
        <v>2148.0998964419859</v>
      </c>
      <c r="I19">
        <f t="shared" si="0"/>
        <v>96484.789277541058</v>
      </c>
      <c r="J19">
        <f t="shared" si="1"/>
        <v>-0.18570152460597456</v>
      </c>
    </row>
    <row r="20" spans="1:10">
      <c r="A20" s="1">
        <v>45497</v>
      </c>
      <c r="B20">
        <f>(3/(1+('CurrentPor-Equ Factor Movements'!C20)/100)+103/POWER(1+('CurrentPor-Equ Factor Movements'!D20)/100,2))*100</f>
        <v>9707.5857774288397</v>
      </c>
      <c r="C20">
        <f>(3/(1+('CurrentPor-Equ Factor Movements'!C20+'CurrentPor-Equ Factor Movements'!G20)/100)+103/POWER(1+('CurrentPor-Equ Factor Movements'!D20+'CurrentPor-Equ Factor Movements'!G20)/100,2))*100</f>
        <v>9616.7705171512371</v>
      </c>
      <c r="D20">
        <f>(3/(1+('CurrentPor-Equ Factor Movements'!C20+'CurrentPor-Equ Factor Movements'!H20)/100)+103/POWER(1+('CurrentPor-Equ Factor Movements'!D20+'CurrentPor-Equ Factor Movements'!H20)/100,2))*100</f>
        <v>9590.0803677000113</v>
      </c>
      <c r="E20">
        <f>(3/(1+('CurrentPor-Equ Factor Movements'!C20+'CurrentPor-Equ Factor Movements'!I20)/100)+103/POWER(1+('CurrentPor-Equ Factor Movements'!D20+'CurrentPor-Equ Factor Movements'!I20)/100,2))*100</f>
        <v>9580.9064944615511</v>
      </c>
      <c r="F20">
        <f>Portfolio!B$5*'CurrentPor-Equ Factor Movements'!E20</f>
        <v>52143.895533915893</v>
      </c>
      <c r="G20">
        <f>Portfolio!B$6*'CurrentPor-Equ Factor Movements'!F20</f>
        <v>3696.2945087936532</v>
      </c>
      <c r="H20">
        <f>Portfolio!B$7*'CurrentPor-Equ Factor Movements'!J20</f>
        <v>2148.0998964419859</v>
      </c>
      <c r="I20">
        <f t="shared" si="0"/>
        <v>96483.633095893179</v>
      </c>
      <c r="J20">
        <f t="shared" si="1"/>
        <v>-0.96654744446277618</v>
      </c>
    </row>
    <row r="21" spans="1:10">
      <c r="A21" s="1">
        <v>45498</v>
      </c>
      <c r="B21">
        <f>(3/(1+('CurrentPor-Equ Factor Movements'!C21)/100)+103/POWER(1+('CurrentPor-Equ Factor Movements'!D21)/100,2))*100</f>
        <v>9707.5857774288397</v>
      </c>
      <c r="C21">
        <f>(3/(1+('CurrentPor-Equ Factor Movements'!C21+'CurrentPor-Equ Factor Movements'!G21)/100)+103/POWER(1+('CurrentPor-Equ Factor Movements'!D21+'CurrentPor-Equ Factor Movements'!G21)/100,2))*100</f>
        <v>9614.9673582483465</v>
      </c>
      <c r="D21">
        <f>(3/(1+('CurrentPor-Equ Factor Movements'!C21+'CurrentPor-Equ Factor Movements'!H21)/100)+103/POWER(1+('CurrentPor-Equ Factor Movements'!D21+'CurrentPor-Equ Factor Movements'!H21)/100,2))*100</f>
        <v>9601.3477255280559</v>
      </c>
      <c r="E21">
        <f>(3/(1+('CurrentPor-Equ Factor Movements'!C21+'CurrentPor-Equ Factor Movements'!I21)/100)+103/POWER(1+('CurrentPor-Equ Factor Movements'!D21+'CurrentPor-Equ Factor Movements'!I21)/100,2))*100</f>
        <v>9582.6411118772321</v>
      </c>
      <c r="F21">
        <f>Portfolio!B$5*'CurrentPor-Equ Factor Movements'!E21</f>
        <v>52143.895533915893</v>
      </c>
      <c r="G21">
        <f>Portfolio!B$6*'CurrentPor-Equ Factor Movements'!F21</f>
        <v>3696.2945087936532</v>
      </c>
      <c r="H21">
        <f>Portfolio!B$7*'CurrentPor-Equ Factor Movements'!J21</f>
        <v>2148.0998964419859</v>
      </c>
      <c r="I21">
        <f t="shared" si="0"/>
        <v>96494.831912234004</v>
      </c>
      <c r="J21">
        <f t="shared" si="1"/>
        <v>9.1341898665123153</v>
      </c>
    </row>
    <row r="22" spans="1:10">
      <c r="A22" s="1">
        <v>45499</v>
      </c>
      <c r="B22">
        <f>(3/(1+('CurrentPor-Equ Factor Movements'!C22)/100)+103/POWER(1+('CurrentPor-Equ Factor Movements'!D22)/100,2))*100</f>
        <v>9707.5857774288397</v>
      </c>
      <c r="C22">
        <f>(3/(1+('CurrentPor-Equ Factor Movements'!C22+'CurrentPor-Equ Factor Movements'!G22)/100)+103/POWER(1+('CurrentPor-Equ Factor Movements'!D22+'CurrentPor-Equ Factor Movements'!G22)/100,2))*100</f>
        <v>9616.7705171512371</v>
      </c>
      <c r="D22">
        <f>(3/(1+('CurrentPor-Equ Factor Movements'!C22+'CurrentPor-Equ Factor Movements'!H22)/100)+103/POWER(1+('CurrentPor-Equ Factor Movements'!D22+'CurrentPor-Equ Factor Movements'!H22)/100,2))*100</f>
        <v>9591.6421671244771</v>
      </c>
      <c r="E22">
        <f>(3/(1+('CurrentPor-Equ Factor Movements'!C22+'CurrentPor-Equ Factor Movements'!I22)/100)+103/POWER(1+('CurrentPor-Equ Factor Movements'!D22+'CurrentPor-Equ Factor Movements'!I22)/100,2))*100</f>
        <v>9581.467335193609</v>
      </c>
      <c r="F22">
        <f>Portfolio!B$5*'CurrentPor-Equ Factor Movements'!E22</f>
        <v>52143.895533915893</v>
      </c>
      <c r="G22">
        <f>Portfolio!B$6*'CurrentPor-Equ Factor Movements'!F22</f>
        <v>3696.2945087936532</v>
      </c>
      <c r="H22">
        <f>Portfolio!B$7*'CurrentPor-Equ Factor Movements'!J22</f>
        <v>2148.0998964419859</v>
      </c>
      <c r="I22">
        <f t="shared" si="0"/>
        <v>96485.755736049687</v>
      </c>
      <c r="J22">
        <f t="shared" si="1"/>
        <v>0.25100895157083869</v>
      </c>
    </row>
    <row r="23" spans="1:10">
      <c r="A23" s="1">
        <v>45502</v>
      </c>
      <c r="B23">
        <f>(3/(1+('CurrentPor-Equ Factor Movements'!C23)/100)+103/POWER(1+('CurrentPor-Equ Factor Movements'!D23)/100,2))*100</f>
        <v>9707.5857774288397</v>
      </c>
      <c r="C23">
        <f>(3/(1+('CurrentPor-Equ Factor Movements'!C23+'CurrentPor-Equ Factor Movements'!G23)/100)+103/POWER(1+('CurrentPor-Equ Factor Movements'!D23+'CurrentPor-Equ Factor Movements'!G23)/100,2))*100</f>
        <v>9622.1830687052025</v>
      </c>
      <c r="D23">
        <f>(3/(1+('CurrentPor-Equ Factor Movements'!C23+'CurrentPor-Equ Factor Movements'!H23)/100)+103/POWER(1+('CurrentPor-Equ Factor Movements'!D23+'CurrentPor-Equ Factor Movements'!H23)/100,2))*100</f>
        <v>9612.9613775579364</v>
      </c>
      <c r="E23">
        <f>(3/(1+('CurrentPor-Equ Factor Movements'!C23+'CurrentPor-Equ Factor Movements'!I23)/100)+103/POWER(1+('CurrentPor-Equ Factor Movements'!D23+'CurrentPor-Equ Factor Movements'!I23)/100,2))*100</f>
        <v>9580.3092192532367</v>
      </c>
      <c r="F23">
        <f>Portfolio!B$5*'CurrentPor-Equ Factor Movements'!E23</f>
        <v>52143.895533915893</v>
      </c>
      <c r="G23">
        <f>Portfolio!B$6*'CurrentPor-Equ Factor Movements'!F23</f>
        <v>3696.2945087936532</v>
      </c>
      <c r="H23">
        <f>Portfolio!B$7*'CurrentPor-Equ Factor Movements'!J23</f>
        <v>2148.0998964419859</v>
      </c>
      <c r="I23">
        <f t="shared" si="0"/>
        <v>96511.329382096752</v>
      </c>
      <c r="J23">
        <f t="shared" si="1"/>
        <v>31.910297723181429</v>
      </c>
    </row>
    <row r="24" spans="1:10">
      <c r="A24" s="1">
        <v>45503</v>
      </c>
      <c r="B24">
        <f>(3/(1+('CurrentPor-Equ Factor Movements'!C24)/100)+103/POWER(1+('CurrentPor-Equ Factor Movements'!D24)/100,2))*100</f>
        <v>9707.5857774288397</v>
      </c>
      <c r="C24">
        <f>(3/(1+('CurrentPor-Equ Factor Movements'!C24+'CurrentPor-Equ Factor Movements'!G24)/100)+103/POWER(1+('CurrentPor-Equ Factor Movements'!D24+'CurrentPor-Equ Factor Movements'!G24)/100,2))*100</f>
        <v>9622.1830687052025</v>
      </c>
      <c r="D24">
        <f>(3/(1+('CurrentPor-Equ Factor Movements'!C24+'CurrentPor-Equ Factor Movements'!H24)/100)+103/POWER(1+('CurrentPor-Equ Factor Movements'!D24+'CurrentPor-Equ Factor Movements'!H24)/100,2))*100</f>
        <v>9604.3100646544463</v>
      </c>
      <c r="E24">
        <f>(3/(1+('CurrentPor-Equ Factor Movements'!C24+'CurrentPor-Equ Factor Movements'!I24)/100)+103/POWER(1+('CurrentPor-Equ Factor Movements'!D24+'CurrentPor-Equ Factor Movements'!I24)/100,2))*100</f>
        <v>9580.4201315508617</v>
      </c>
      <c r="F24">
        <f>Portfolio!B$5*'CurrentPor-Equ Factor Movements'!E24</f>
        <v>52143.895533915893</v>
      </c>
      <c r="G24">
        <f>Portfolio!B$6*'CurrentPor-Equ Factor Movements'!F24</f>
        <v>3696.2945087936532</v>
      </c>
      <c r="H24">
        <f>Portfolio!B$7*'CurrentPor-Equ Factor Movements'!J24</f>
        <v>2148.0998964419859</v>
      </c>
      <c r="I24">
        <f t="shared" si="0"/>
        <v>96502.788981490885</v>
      </c>
      <c r="J24">
        <f t="shared" si="1"/>
        <v>1.3689953960565617</v>
      </c>
    </row>
    <row r="25" spans="1:10">
      <c r="A25" s="1">
        <v>45504</v>
      </c>
      <c r="B25">
        <f>(3/(1+('CurrentPor-Equ Factor Movements'!C25)/100)+103/POWER(1+('CurrentPor-Equ Factor Movements'!D25)/100,2))*100</f>
        <v>9707.5857774288397</v>
      </c>
      <c r="C25">
        <f>(3/(1+('CurrentPor-Equ Factor Movements'!C25+'CurrentPor-Equ Factor Movements'!G25)/100)+103/POWER(1+('CurrentPor-Equ Factor Movements'!D25+'CurrentPor-Equ Factor Movements'!G25)/100,2))*100</f>
        <v>9622.1830687052025</v>
      </c>
      <c r="D25">
        <f>(3/(1+('CurrentPor-Equ Factor Movements'!C25+'CurrentPor-Equ Factor Movements'!H25)/100)+103/POWER(1+('CurrentPor-Equ Factor Movements'!D25+'CurrentPor-Equ Factor Movements'!H25)/100,2))*100</f>
        <v>9600.8525262647672</v>
      </c>
      <c r="E25">
        <f>(3/(1+('CurrentPor-Equ Factor Movements'!C25+'CurrentPor-Equ Factor Movements'!I25)/100)+103/POWER(1+('CurrentPor-Equ Factor Movements'!D25+'CurrentPor-Equ Factor Movements'!I25)/100,2))*100</f>
        <v>9580.6721797268219</v>
      </c>
      <c r="F25">
        <f>Portfolio!B$5*'CurrentPor-Equ Factor Movements'!E25</f>
        <v>52143.895533915893</v>
      </c>
      <c r="G25">
        <f>Portfolio!B$6*'CurrentPor-Equ Factor Movements'!F25</f>
        <v>3696.2945087936532</v>
      </c>
      <c r="H25">
        <f>Portfolio!B$7*'CurrentPor-Equ Factor Movements'!J25</f>
        <v>2148.0998964419859</v>
      </c>
      <c r="I25">
        <f t="shared" si="0"/>
        <v>96499.583491277168</v>
      </c>
      <c r="J25">
        <f t="shared" si="1"/>
        <v>8.7304191809380427E-2</v>
      </c>
    </row>
    <row r="26" spans="1:10">
      <c r="A26" s="1">
        <v>45505</v>
      </c>
      <c r="B26">
        <f>(3/(1+('CurrentPor-Equ Factor Movements'!C26)/100)+103/POWER(1+('CurrentPor-Equ Factor Movements'!D26)/100,2))*100</f>
        <v>9707.5857774288397</v>
      </c>
      <c r="C26">
        <f>(3/(1+('CurrentPor-Equ Factor Movements'!C26+'CurrentPor-Equ Factor Movements'!G26)/100)+103/POWER(1+('CurrentPor-Equ Factor Movements'!D26+'CurrentPor-Equ Factor Movements'!G26)/100,2))*100</f>
        <v>9620.3783721850123</v>
      </c>
      <c r="D26">
        <f>(3/(1+('CurrentPor-Equ Factor Movements'!C26+'CurrentPor-Equ Factor Movements'!H26)/100)+103/POWER(1+('CurrentPor-Equ Factor Movements'!D26+'CurrentPor-Equ Factor Movements'!H26)/100,2))*100</f>
        <v>9592.3973171120942</v>
      </c>
      <c r="E26">
        <f>(3/(1+('CurrentPor-Equ Factor Movements'!C26+'CurrentPor-Equ Factor Movements'!I26)/100)+103/POWER(1+('CurrentPor-Equ Factor Movements'!D26+'CurrentPor-Equ Factor Movements'!I26)/100,2))*100</f>
        <v>9581.7126704693601</v>
      </c>
      <c r="F26">
        <f>Portfolio!B$5*'CurrentPor-Equ Factor Movements'!E26</f>
        <v>52143.895533915893</v>
      </c>
      <c r="G26">
        <f>Portfolio!B$6*'CurrentPor-Equ Factor Movements'!F26</f>
        <v>3696.2945087936532</v>
      </c>
      <c r="H26">
        <f>Portfolio!B$7*'CurrentPor-Equ Factor Movements'!J26</f>
        <v>2148.0998964419859</v>
      </c>
      <c r="I26">
        <f t="shared" si="0"/>
        <v>96490.364076346843</v>
      </c>
      <c r="J26">
        <f t="shared" si="1"/>
        <v>-2.5515447894867975</v>
      </c>
    </row>
    <row r="27" spans="1:10">
      <c r="A27" s="1">
        <v>45506</v>
      </c>
      <c r="B27">
        <f>(3/(1+('CurrentPor-Equ Factor Movements'!C27)/100)+103/POWER(1+('CurrentPor-Equ Factor Movements'!D27)/100,2))*100</f>
        <v>9707.5857774288397</v>
      </c>
      <c r="C27">
        <f>(3/(1+('CurrentPor-Equ Factor Movements'!C27+'CurrentPor-Equ Factor Movements'!G27)/100)+103/POWER(1+('CurrentPor-Equ Factor Movements'!D27+'CurrentPor-Equ Factor Movements'!G27)/100,2))*100</f>
        <v>9620.3783721850123</v>
      </c>
      <c r="D27">
        <f>(3/(1+('CurrentPor-Equ Factor Movements'!C27+'CurrentPor-Equ Factor Movements'!H27)/100)+103/POWER(1+('CurrentPor-Equ Factor Movements'!D27+'CurrentPor-Equ Factor Movements'!H27)/100,2))*100</f>
        <v>9580.1025386134588</v>
      </c>
      <c r="E27">
        <f>(3/(1+('CurrentPor-Equ Factor Movements'!C27+'CurrentPor-Equ Factor Movements'!I27)/100)+103/POWER(1+('CurrentPor-Equ Factor Movements'!D27+'CurrentPor-Equ Factor Movements'!I27)/100,2))*100</f>
        <v>9580.2243625264055</v>
      </c>
      <c r="F27">
        <f>Portfolio!B$5*'CurrentPor-Equ Factor Movements'!E27</f>
        <v>52143.895533915893</v>
      </c>
      <c r="G27">
        <f>Portfolio!B$6*'CurrentPor-Equ Factor Movements'!F27</f>
        <v>3696.2945087936532</v>
      </c>
      <c r="H27">
        <f>Portfolio!B$7*'CurrentPor-Equ Factor Movements'!J27</f>
        <v>2148.0998964419859</v>
      </c>
      <c r="I27">
        <f t="shared" si="0"/>
        <v>96476.58098990524</v>
      </c>
      <c r="J27">
        <f t="shared" si="1"/>
        <v>-24.782609033311019</v>
      </c>
    </row>
    <row r="28" spans="1:10">
      <c r="A28" s="1">
        <v>45509</v>
      </c>
      <c r="B28">
        <f>(3/(1+('CurrentPor-Equ Factor Movements'!C28)/100)+103/POWER(1+('CurrentPor-Equ Factor Movements'!D28)/100,2))*100</f>
        <v>9707.5857774288397</v>
      </c>
      <c r="C28">
        <f>(3/(1+('CurrentPor-Equ Factor Movements'!C28+'CurrentPor-Equ Factor Movements'!G28)/100)+103/POWER(1+('CurrentPor-Equ Factor Movements'!D28+'CurrentPor-Equ Factor Movements'!G28)/100,2))*100</f>
        <v>9622.1830687052025</v>
      </c>
      <c r="D28">
        <f>(3/(1+('CurrentPor-Equ Factor Movements'!C28+'CurrentPor-Equ Factor Movements'!H28)/100)+103/POWER(1+('CurrentPor-Equ Factor Movements'!D28+'CurrentPor-Equ Factor Movements'!H28)/100,2))*100</f>
        <v>9613.4258203789323</v>
      </c>
      <c r="E28">
        <f>(3/(1+('CurrentPor-Equ Factor Movements'!C28+'CurrentPor-Equ Factor Movements'!I28)/100)+103/POWER(1+('CurrentPor-Equ Factor Movements'!D28+'CurrentPor-Equ Factor Movements'!I28)/100,2))*100</f>
        <v>9580.8128809983627</v>
      </c>
      <c r="F28">
        <f>Portfolio!B$5*'CurrentPor-Equ Factor Movements'!E28</f>
        <v>52143.895533915893</v>
      </c>
      <c r="G28">
        <f>Portfolio!B$6*'CurrentPor-Equ Factor Movements'!F28</f>
        <v>3696.2945087936532</v>
      </c>
      <c r="H28">
        <f>Portfolio!B$7*'CurrentPor-Equ Factor Movements'!J28</f>
        <v>2148.0998964419859</v>
      </c>
      <c r="I28">
        <f t="shared" si="0"/>
        <v>96512.297486662879</v>
      </c>
      <c r="J28">
        <f t="shared" si="1"/>
        <v>15.062759112246567</v>
      </c>
    </row>
    <row r="29" spans="1:10">
      <c r="A29" s="1">
        <v>45510</v>
      </c>
      <c r="B29">
        <f>(3/(1+('CurrentPor-Equ Factor Movements'!C29)/100)+103/POWER(1+('CurrentPor-Equ Factor Movements'!D29)/100,2))*100</f>
        <v>9707.5857774288397</v>
      </c>
      <c r="C29">
        <f>(3/(1+('CurrentPor-Equ Factor Movements'!C29+'CurrentPor-Equ Factor Movements'!G29)/100)+103/POWER(1+('CurrentPor-Equ Factor Movements'!D29+'CurrentPor-Equ Factor Movements'!G29)/100,2))*100</f>
        <v>9620.3783721850123</v>
      </c>
      <c r="D29">
        <f>(3/(1+('CurrentPor-Equ Factor Movements'!C29+'CurrentPor-Equ Factor Movements'!H29)/100)+103/POWER(1+('CurrentPor-Equ Factor Movements'!D29+'CurrentPor-Equ Factor Movements'!H29)/100,2))*100</f>
        <v>9596.3427647590433</v>
      </c>
      <c r="E29">
        <f>(3/(1+('CurrentPor-Equ Factor Movements'!C29+'CurrentPor-Equ Factor Movements'!I29)/100)+103/POWER(1+('CurrentPor-Equ Factor Movements'!D29+'CurrentPor-Equ Factor Movements'!I29)/100,2))*100</f>
        <v>9582.0428982063986</v>
      </c>
      <c r="F29">
        <f>Portfolio!B$5*'CurrentPor-Equ Factor Movements'!E29</f>
        <v>52143.895533915893</v>
      </c>
      <c r="G29">
        <f>Portfolio!B$6*'CurrentPor-Equ Factor Movements'!F29</f>
        <v>3696.2945087936532</v>
      </c>
      <c r="H29">
        <f>Portfolio!B$7*'CurrentPor-Equ Factor Movements'!J29</f>
        <v>2148.0998964419859</v>
      </c>
      <c r="I29">
        <f t="shared" si="0"/>
        <v>96494.639751730821</v>
      </c>
      <c r="J29">
        <f t="shared" si="1"/>
        <v>9.8504741897631902</v>
      </c>
    </row>
    <row r="30" spans="1:10">
      <c r="A30" s="1">
        <v>45511</v>
      </c>
      <c r="B30">
        <f>(3/(1+('CurrentPor-Equ Factor Movements'!C30)/100)+103/POWER(1+('CurrentPor-Equ Factor Movements'!D30)/100,2))*100</f>
        <v>9707.5857774288397</v>
      </c>
      <c r="C30">
        <f>(3/(1+('CurrentPor-Equ Factor Movements'!C30+'CurrentPor-Equ Factor Movements'!G30)/100)+103/POWER(1+('CurrentPor-Equ Factor Movements'!D30+'CurrentPor-Equ Factor Movements'!G30)/100,2))*100</f>
        <v>9620.3783721850123</v>
      </c>
      <c r="D30">
        <f>(3/(1+('CurrentPor-Equ Factor Movements'!C30+'CurrentPor-Equ Factor Movements'!H30)/100)+103/POWER(1+('CurrentPor-Equ Factor Movements'!D30+'CurrentPor-Equ Factor Movements'!H30)/100,2))*100</f>
        <v>9614.4858949066092</v>
      </c>
      <c r="E30">
        <f>(3/(1+('CurrentPor-Equ Factor Movements'!C30+'CurrentPor-Equ Factor Movements'!I30)/100)+103/POWER(1+('CurrentPor-Equ Factor Movements'!D30+'CurrentPor-Equ Factor Movements'!I30)/100,2))*100</f>
        <v>9581.6327923457939</v>
      </c>
      <c r="F30">
        <f>Portfolio!B$5*'CurrentPor-Equ Factor Movements'!E30</f>
        <v>52143.895533915893</v>
      </c>
      <c r="G30">
        <f>Portfolio!B$6*'CurrentPor-Equ Factor Movements'!F30</f>
        <v>3696.2945087936532</v>
      </c>
      <c r="H30">
        <f>Portfolio!B$7*'CurrentPor-Equ Factor Movements'!J30</f>
        <v>2148.0998964419859</v>
      </c>
      <c r="I30">
        <f t="shared" si="0"/>
        <v>96512.372776017786</v>
      </c>
      <c r="J30">
        <f t="shared" si="1"/>
        <v>28.739680124606821</v>
      </c>
    </row>
    <row r="31" spans="1:10">
      <c r="A31" s="1">
        <v>45512</v>
      </c>
      <c r="B31">
        <f>(3/(1+('CurrentPor-Equ Factor Movements'!C31)/100)+103/POWER(1+('CurrentPor-Equ Factor Movements'!D31)/100,2))*100</f>
        <v>9707.5857774288397</v>
      </c>
      <c r="C31">
        <f>(3/(1+('CurrentPor-Equ Factor Movements'!C31+'CurrentPor-Equ Factor Movements'!G31)/100)+103/POWER(1+('CurrentPor-Equ Factor Movements'!D31+'CurrentPor-Equ Factor Movements'!G31)/100,2))*100</f>
        <v>9622.1830687052025</v>
      </c>
      <c r="D31">
        <f>(3/(1+('CurrentPor-Equ Factor Movements'!C31+'CurrentPor-Equ Factor Movements'!H31)/100)+103/POWER(1+('CurrentPor-Equ Factor Movements'!D31+'CurrentPor-Equ Factor Movements'!H31)/100,2))*100</f>
        <v>9597.2415742954363</v>
      </c>
      <c r="E31">
        <f>(3/(1+('CurrentPor-Equ Factor Movements'!C31+'CurrentPor-Equ Factor Movements'!I31)/100)+103/POWER(1+('CurrentPor-Equ Factor Movements'!D31+'CurrentPor-Equ Factor Movements'!I31)/100,2))*100</f>
        <v>9582.6635433669217</v>
      </c>
      <c r="F31">
        <f>Portfolio!B$5*'CurrentPor-Equ Factor Movements'!E31</f>
        <v>52143.895533915893</v>
      </c>
      <c r="G31">
        <f>Portfolio!B$6*'CurrentPor-Equ Factor Movements'!F31</f>
        <v>3696.2945087936532</v>
      </c>
      <c r="H31">
        <f>Portfolio!B$7*'CurrentPor-Equ Factor Movements'!J31</f>
        <v>2148.0998964419859</v>
      </c>
      <c r="I31">
        <f t="shared" si="0"/>
        <v>96497.963902947944</v>
      </c>
      <c r="J31">
        <f t="shared" si="1"/>
        <v>3.1319907139404677</v>
      </c>
    </row>
    <row r="32" spans="1:10">
      <c r="A32" s="1">
        <v>45513</v>
      </c>
      <c r="B32">
        <f>(3/(1+('CurrentPor-Equ Factor Movements'!C32)/100)+103/POWER(1+('CurrentPor-Equ Factor Movements'!D32)/100,2))*100</f>
        <v>9707.5857774288397</v>
      </c>
      <c r="C32">
        <f>(3/(1+('CurrentPor-Equ Factor Movements'!C32+'CurrentPor-Equ Factor Movements'!G32)/100)+103/POWER(1+('CurrentPor-Equ Factor Movements'!D32+'CurrentPor-Equ Factor Movements'!G32)/100,2))*100</f>
        <v>9622.1830687052025</v>
      </c>
      <c r="D32">
        <f>(3/(1+('CurrentPor-Equ Factor Movements'!C32+'CurrentPor-Equ Factor Movements'!H32)/100)+103/POWER(1+('CurrentPor-Equ Factor Movements'!D32+'CurrentPor-Equ Factor Movements'!H32)/100,2))*100</f>
        <v>9608.6398236915338</v>
      </c>
      <c r="E32">
        <f>(3/(1+('CurrentPor-Equ Factor Movements'!C32+'CurrentPor-Equ Factor Movements'!I32)/100)+103/POWER(1+('CurrentPor-Equ Factor Movements'!D32+'CurrentPor-Equ Factor Movements'!I32)/100,2))*100</f>
        <v>9582.7373531656012</v>
      </c>
      <c r="F32">
        <f>Portfolio!B$5*'CurrentPor-Equ Factor Movements'!E32</f>
        <v>52143.895533915893</v>
      </c>
      <c r="G32">
        <f>Portfolio!B$6*'CurrentPor-Equ Factor Movements'!F32</f>
        <v>3696.2945087936532</v>
      </c>
      <c r="H32">
        <f>Portfolio!B$7*'CurrentPor-Equ Factor Movements'!J32</f>
        <v>2148.0998964419859</v>
      </c>
      <c r="I32">
        <f t="shared" si="0"/>
        <v>96509.435962142699</v>
      </c>
      <c r="J32">
        <f t="shared" si="1"/>
        <v>23.680226093012607</v>
      </c>
    </row>
    <row r="33" spans="1:10">
      <c r="A33" s="1">
        <v>45516</v>
      </c>
      <c r="B33">
        <f>(3/(1+('CurrentPor-Equ Factor Movements'!C33)/100)+103/POWER(1+('CurrentPor-Equ Factor Movements'!D33)/100,2))*100</f>
        <v>9707.5857774288397</v>
      </c>
      <c r="C33">
        <f>(3/(1+('CurrentPor-Equ Factor Movements'!C33+'CurrentPor-Equ Factor Movements'!G33)/100)+103/POWER(1+('CurrentPor-Equ Factor Movements'!D33+'CurrentPor-Equ Factor Movements'!G33)/100,2))*100</f>
        <v>9625.7940007261659</v>
      </c>
      <c r="D33">
        <f>(3/(1+('CurrentPor-Equ Factor Movements'!C33+'CurrentPor-Equ Factor Movements'!H33)/100)+103/POWER(1+('CurrentPor-Equ Factor Movements'!D33+'CurrentPor-Equ Factor Movements'!H33)/100,2))*100</f>
        <v>9606.527963993005</v>
      </c>
      <c r="E33">
        <f>(3/(1+('CurrentPor-Equ Factor Movements'!C33+'CurrentPor-Equ Factor Movements'!I33)/100)+103/POWER(1+('CurrentPor-Equ Factor Movements'!D33+'CurrentPor-Equ Factor Movements'!I33)/100,2))*100</f>
        <v>9581.6017783514581</v>
      </c>
      <c r="F33">
        <f>Portfolio!B$5*'CurrentPor-Equ Factor Movements'!E33</f>
        <v>52143.895533915893</v>
      </c>
      <c r="G33">
        <f>Portfolio!B$6*'CurrentPor-Equ Factor Movements'!F33</f>
        <v>3696.2945087936532</v>
      </c>
      <c r="H33">
        <f>Portfolio!B$7*'CurrentPor-Equ Factor Movements'!J33</f>
        <v>2148.0998964419859</v>
      </c>
      <c r="I33">
        <f t="shared" si="0"/>
        <v>96509.799459651011</v>
      </c>
      <c r="J33">
        <f t="shared" si="1"/>
        <v>-1.5299224457412492</v>
      </c>
    </row>
    <row r="34" spans="1:10">
      <c r="A34" s="1">
        <v>45517</v>
      </c>
      <c r="B34">
        <f>(3/(1+('CurrentPor-Equ Factor Movements'!C34)/100)+103/POWER(1+('CurrentPor-Equ Factor Movements'!D34)/100,2))*100</f>
        <v>9707.5857774288397</v>
      </c>
      <c r="C34">
        <f>(3/(1+('CurrentPor-Equ Factor Movements'!C34+'CurrentPor-Equ Factor Movements'!G34)/100)+103/POWER(1+('CurrentPor-Equ Factor Movements'!D34+'CurrentPor-Equ Factor Movements'!G34)/100,2))*100</f>
        <v>9625.7940007261659</v>
      </c>
      <c r="D34">
        <f>(3/(1+('CurrentPor-Equ Factor Movements'!C34+'CurrentPor-Equ Factor Movements'!H34)/100)+103/POWER(1+('CurrentPor-Equ Factor Movements'!D34+'CurrentPor-Equ Factor Movements'!H34)/100,2))*100</f>
        <v>9594.5377309936757</v>
      </c>
      <c r="E34">
        <f>(3/(1+('CurrentPor-Equ Factor Movements'!C34+'CurrentPor-Equ Factor Movements'!I34)/100)+103/POWER(1+('CurrentPor-Equ Factor Movements'!D34+'CurrentPor-Equ Factor Movements'!I34)/100,2))*100</f>
        <v>9581.8701888552459</v>
      </c>
      <c r="F34">
        <f>Portfolio!B$5*'CurrentPor-Equ Factor Movements'!E34</f>
        <v>52143.895533915893</v>
      </c>
      <c r="G34">
        <f>Portfolio!B$6*'CurrentPor-Equ Factor Movements'!F34</f>
        <v>3696.2945087936532</v>
      </c>
      <c r="H34">
        <f>Portfolio!B$7*'CurrentPor-Equ Factor Movements'!J34</f>
        <v>2148.0998964419859</v>
      </c>
      <c r="I34">
        <f t="shared" si="0"/>
        <v>96498.077637155468</v>
      </c>
      <c r="J34">
        <f t="shared" si="1"/>
        <v>-4.7113443354173796</v>
      </c>
    </row>
    <row r="35" spans="1:10">
      <c r="A35" s="1">
        <v>45518</v>
      </c>
      <c r="B35">
        <f>(3/(1+('CurrentPor-Equ Factor Movements'!C35)/100)+103/POWER(1+('CurrentPor-Equ Factor Movements'!D35)/100,2))*100</f>
        <v>9707.5857774288397</v>
      </c>
      <c r="C35">
        <f>(3/(1+('CurrentPor-Equ Factor Movements'!C35+'CurrentPor-Equ Factor Movements'!G35)/100)+103/POWER(1+('CurrentPor-Equ Factor Movements'!D35+'CurrentPor-Equ Factor Movements'!G35)/100,2))*100</f>
        <v>9622.1830687052025</v>
      </c>
      <c r="D35">
        <f>(3/(1+('CurrentPor-Equ Factor Movements'!C35+'CurrentPor-Equ Factor Movements'!H35)/100)+103/POWER(1+('CurrentPor-Equ Factor Movements'!D35+'CurrentPor-Equ Factor Movements'!H35)/100,2))*100</f>
        <v>9608.7326212558746</v>
      </c>
      <c r="E35">
        <f>(3/(1+('CurrentPor-Equ Factor Movements'!C35+'CurrentPor-Equ Factor Movements'!I35)/100)+103/POWER(1+('CurrentPor-Equ Factor Movements'!D35+'CurrentPor-Equ Factor Movements'!I35)/100,2))*100</f>
        <v>9581.4251961795217</v>
      </c>
      <c r="F35">
        <f>Portfolio!B$5*'CurrentPor-Equ Factor Movements'!E35</f>
        <v>52143.895533915893</v>
      </c>
      <c r="G35">
        <f>Portfolio!B$6*'CurrentPor-Equ Factor Movements'!F35</f>
        <v>3696.2945087936532</v>
      </c>
      <c r="H35">
        <f>Portfolio!B$7*'CurrentPor-Equ Factor Movements'!J35</f>
        <v>2148.0998964419859</v>
      </c>
      <c r="I35">
        <f t="shared" si="0"/>
        <v>96508.216602720975</v>
      </c>
      <c r="J35">
        <f t="shared" si="1"/>
        <v>8.6331114438071381</v>
      </c>
    </row>
    <row r="36" spans="1:10">
      <c r="A36" s="1">
        <v>45519</v>
      </c>
      <c r="B36">
        <f>(3/(1+('CurrentPor-Equ Factor Movements'!C36)/100)+103/POWER(1+('CurrentPor-Equ Factor Movements'!D36)/100,2))*100</f>
        <v>9707.5857774288397</v>
      </c>
      <c r="C36">
        <f>(3/(1+('CurrentPor-Equ Factor Movements'!C36+'CurrentPor-Equ Factor Movements'!G36)/100)+103/POWER(1+('CurrentPor-Equ Factor Movements'!D36+'CurrentPor-Equ Factor Movements'!G36)/100,2))*100</f>
        <v>9622.1830687052025</v>
      </c>
      <c r="D36">
        <f>(3/(1+('CurrentPor-Equ Factor Movements'!C36+'CurrentPor-Equ Factor Movements'!H36)/100)+103/POWER(1+('CurrentPor-Equ Factor Movements'!D36+'CurrentPor-Equ Factor Movements'!H36)/100,2))*100</f>
        <v>9607.5616854519176</v>
      </c>
      <c r="E36">
        <f>(3/(1+('CurrentPor-Equ Factor Movements'!C36+'CurrentPor-Equ Factor Movements'!I36)/100)+103/POWER(1+('CurrentPor-Equ Factor Movements'!D36+'CurrentPor-Equ Factor Movements'!I36)/100,2))*100</f>
        <v>9579.7284877044658</v>
      </c>
      <c r="F36">
        <f>Portfolio!B$5*'CurrentPor-Equ Factor Movements'!E36</f>
        <v>52143.895533915893</v>
      </c>
      <c r="G36">
        <f>Portfolio!B$6*'CurrentPor-Equ Factor Movements'!F36</f>
        <v>3696.2945087936532</v>
      </c>
      <c r="H36">
        <f>Portfolio!B$7*'CurrentPor-Equ Factor Movements'!J36</f>
        <v>2148.0998964419859</v>
      </c>
      <c r="I36">
        <f t="shared" si="0"/>
        <v>96505.348958441959</v>
      </c>
      <c r="J36">
        <f t="shared" si="1"/>
        <v>14.984882095115609</v>
      </c>
    </row>
    <row r="37" spans="1:10">
      <c r="A37" s="1">
        <v>45520</v>
      </c>
      <c r="B37">
        <f>(3/(1+('CurrentPor-Equ Factor Movements'!C37)/100)+103/POWER(1+('CurrentPor-Equ Factor Movements'!D37)/100,2))*100</f>
        <v>9707.5857774288397</v>
      </c>
      <c r="C37">
        <f>(3/(1+('CurrentPor-Equ Factor Movements'!C37+'CurrentPor-Equ Factor Movements'!G37)/100)+103/POWER(1+('CurrentPor-Equ Factor Movements'!D37+'CurrentPor-Equ Factor Movements'!G37)/100,2))*100</f>
        <v>9622.1830687052025</v>
      </c>
      <c r="D37">
        <f>(3/(1+('CurrentPor-Equ Factor Movements'!C37+'CurrentPor-Equ Factor Movements'!H37)/100)+103/POWER(1+('CurrentPor-Equ Factor Movements'!D37+'CurrentPor-Equ Factor Movements'!H37)/100,2))*100</f>
        <v>9606.1106357583994</v>
      </c>
      <c r="E37">
        <f>(3/(1+('CurrentPor-Equ Factor Movements'!C37+'CurrentPor-Equ Factor Movements'!I37)/100)+103/POWER(1+('CurrentPor-Equ Factor Movements'!D37+'CurrentPor-Equ Factor Movements'!I37)/100,2))*100</f>
        <v>9578.9007657744351</v>
      </c>
      <c r="F37">
        <f>Portfolio!B$5*'CurrentPor-Equ Factor Movements'!E37</f>
        <v>52143.895533915893</v>
      </c>
      <c r="G37">
        <f>Portfolio!B$6*'CurrentPor-Equ Factor Movements'!F37</f>
        <v>3696.2945087936532</v>
      </c>
      <c r="H37">
        <f>Portfolio!B$7*'CurrentPor-Equ Factor Movements'!J37</f>
        <v>2148.0998964419859</v>
      </c>
      <c r="I37">
        <f t="shared" si="0"/>
        <v>96503.070186818411</v>
      </c>
      <c r="J37">
        <f t="shared" si="1"/>
        <v>26.489196913171327</v>
      </c>
    </row>
    <row r="38" spans="1:10">
      <c r="A38" s="1">
        <v>45523</v>
      </c>
      <c r="B38">
        <f>(3/(1+('CurrentPor-Equ Factor Movements'!C38)/100)+103/POWER(1+('CurrentPor-Equ Factor Movements'!D38)/100,2))*100</f>
        <v>9707.5857774288397</v>
      </c>
      <c r="C38">
        <f>(3/(1+('CurrentPor-Equ Factor Movements'!C38+'CurrentPor-Equ Factor Movements'!G38)/100)+103/POWER(1+('CurrentPor-Equ Factor Movements'!D38+'CurrentPor-Equ Factor Movements'!G38)/100,2))*100</f>
        <v>9620.3783721850123</v>
      </c>
      <c r="D38">
        <f>(3/(1+('CurrentPor-Equ Factor Movements'!C38+'CurrentPor-Equ Factor Movements'!H38)/100)+103/POWER(1+('CurrentPor-Equ Factor Movements'!D38+'CurrentPor-Equ Factor Movements'!H38)/100,2))*100</f>
        <v>9584.5899894685554</v>
      </c>
      <c r="E38">
        <f>(3/(1+('CurrentPor-Equ Factor Movements'!C38+'CurrentPor-Equ Factor Movements'!I38)/100)+103/POWER(1+('CurrentPor-Equ Factor Movements'!D38+'CurrentPor-Equ Factor Movements'!I38)/100,2))*100</f>
        <v>9581.3167698895377</v>
      </c>
      <c r="F38">
        <f>Portfolio!B$5*'CurrentPor-Equ Factor Movements'!E38</f>
        <v>52143.895533915893</v>
      </c>
      <c r="G38">
        <f>Portfolio!B$6*'CurrentPor-Equ Factor Movements'!F38</f>
        <v>3696.2945087936532</v>
      </c>
      <c r="H38">
        <f>Portfolio!B$7*'CurrentPor-Equ Factor Movements'!J38</f>
        <v>2148.0998964419859</v>
      </c>
      <c r="I38">
        <f t="shared" si="0"/>
        <v>96482.160848123473</v>
      </c>
      <c r="J38">
        <f t="shared" si="1"/>
        <v>-30.136638539406704</v>
      </c>
    </row>
    <row r="39" spans="1:10">
      <c r="A39" s="1">
        <v>45524</v>
      </c>
      <c r="B39">
        <f>(3/(1+('CurrentPor-Equ Factor Movements'!C39)/100)+103/POWER(1+('CurrentPor-Equ Factor Movements'!D39)/100,2))*100</f>
        <v>9707.5857774288397</v>
      </c>
      <c r="C39">
        <f>(3/(1+('CurrentPor-Equ Factor Movements'!C39+'CurrentPor-Equ Factor Movements'!G39)/100)+103/POWER(1+('CurrentPor-Equ Factor Movements'!D39+'CurrentPor-Equ Factor Movements'!G39)/100,2))*100</f>
        <v>9622.1830687052025</v>
      </c>
      <c r="D39">
        <f>(3/(1+('CurrentPor-Equ Factor Movements'!C39+'CurrentPor-Equ Factor Movements'!H39)/100)+103/POWER(1+('CurrentPor-Equ Factor Movements'!D39+'CurrentPor-Equ Factor Movements'!H39)/100,2))*100</f>
        <v>9592.986627535307</v>
      </c>
      <c r="E39">
        <f>(3/(1+('CurrentPor-Equ Factor Movements'!C39+'CurrentPor-Equ Factor Movements'!I39)/100)+103/POWER(1+('CurrentPor-Equ Factor Movements'!D39+'CurrentPor-Equ Factor Movements'!I39)/100,2))*100</f>
        <v>9582.3790901550801</v>
      </c>
      <c r="F39">
        <f>Portfolio!B$5*'CurrentPor-Equ Factor Movements'!E39</f>
        <v>52143.895533915893</v>
      </c>
      <c r="G39">
        <f>Portfolio!B$6*'CurrentPor-Equ Factor Movements'!F39</f>
        <v>3696.2945087936532</v>
      </c>
      <c r="H39">
        <f>Portfolio!B$7*'CurrentPor-Equ Factor Movements'!J39</f>
        <v>2148.0998964419859</v>
      </c>
      <c r="I39">
        <f t="shared" si="0"/>
        <v>96493.424502975962</v>
      </c>
      <c r="J39">
        <f t="shared" si="1"/>
        <v>-1.2152487548592035</v>
      </c>
    </row>
    <row r="40" spans="1:10">
      <c r="A40" s="1">
        <v>45525</v>
      </c>
      <c r="B40">
        <f>(3/(1+('CurrentPor-Equ Factor Movements'!C40)/100)+103/POWER(1+('CurrentPor-Equ Factor Movements'!D40)/100,2))*100</f>
        <v>9707.5857774288397</v>
      </c>
      <c r="C40">
        <f>(3/(1+('CurrentPor-Equ Factor Movements'!C40+'CurrentPor-Equ Factor Movements'!G40)/100)+103/POWER(1+('CurrentPor-Equ Factor Movements'!D40+'CurrentPor-Equ Factor Movements'!G40)/100,2))*100</f>
        <v>9620.3783721850123</v>
      </c>
      <c r="D40">
        <f>(3/(1+('CurrentPor-Equ Factor Movements'!C40+'CurrentPor-Equ Factor Movements'!H40)/100)+103/POWER(1+('CurrentPor-Equ Factor Movements'!D40+'CurrentPor-Equ Factor Movements'!H40)/100,2))*100</f>
        <v>9590.0459785141047</v>
      </c>
      <c r="E40">
        <f>(3/(1+('CurrentPor-Equ Factor Movements'!C40+'CurrentPor-Equ Factor Movements'!I40)/100)+103/POWER(1+('CurrentPor-Equ Factor Movements'!D40+'CurrentPor-Equ Factor Movements'!I40)/100,2))*100</f>
        <v>9581.0692464589501</v>
      </c>
      <c r="F40">
        <f>Portfolio!B$5*'CurrentPor-Equ Factor Movements'!E40</f>
        <v>52143.895533915893</v>
      </c>
      <c r="G40">
        <f>Portfolio!B$6*'CurrentPor-Equ Factor Movements'!F40</f>
        <v>3696.2945087936532</v>
      </c>
      <c r="H40">
        <f>Portfolio!B$7*'CurrentPor-Equ Factor Movements'!J40</f>
        <v>2148.0998964419859</v>
      </c>
      <c r="I40">
        <f t="shared" si="0"/>
        <v>96487.36931373844</v>
      </c>
      <c r="J40">
        <f t="shared" si="1"/>
        <v>-25.003462279346422</v>
      </c>
    </row>
    <row r="41" spans="1:10">
      <c r="A41" s="1">
        <v>45526</v>
      </c>
      <c r="B41">
        <f>(3/(1+('CurrentPor-Equ Factor Movements'!C41)/100)+103/POWER(1+('CurrentPor-Equ Factor Movements'!D41)/100,2))*100</f>
        <v>9707.5857774288397</v>
      </c>
      <c r="C41">
        <f>(3/(1+('CurrentPor-Equ Factor Movements'!C41+'CurrentPor-Equ Factor Movements'!G41)/100)+103/POWER(1+('CurrentPor-Equ Factor Movements'!D41+'CurrentPor-Equ Factor Movements'!G41)/100,2))*100</f>
        <v>9620.3783721850123</v>
      </c>
      <c r="D41">
        <f>(3/(1+('CurrentPor-Equ Factor Movements'!C41+'CurrentPor-Equ Factor Movements'!H41)/100)+103/POWER(1+('CurrentPor-Equ Factor Movements'!D41+'CurrentPor-Equ Factor Movements'!H41)/100,2))*100</f>
        <v>9590.3986063913599</v>
      </c>
      <c r="E41">
        <f>(3/(1+('CurrentPor-Equ Factor Movements'!C41+'CurrentPor-Equ Factor Movements'!I41)/100)+103/POWER(1+('CurrentPor-Equ Factor Movements'!D41+'CurrentPor-Equ Factor Movements'!I41)/100,2))*100</f>
        <v>9581.8453909640666</v>
      </c>
      <c r="F41">
        <f>Portfolio!B$5*'CurrentPor-Equ Factor Movements'!E41</f>
        <v>52143.895533915893</v>
      </c>
      <c r="G41">
        <f>Portfolio!B$6*'CurrentPor-Equ Factor Movements'!F41</f>
        <v>3696.2945087936532</v>
      </c>
      <c r="H41">
        <f>Portfolio!B$7*'CurrentPor-Equ Factor Movements'!J41</f>
        <v>2148.0998964419859</v>
      </c>
      <c r="I41">
        <f t="shared" si="0"/>
        <v>96488.498086120802</v>
      </c>
      <c r="J41">
        <f t="shared" si="1"/>
        <v>-9.4658168271416798</v>
      </c>
    </row>
    <row r="42" spans="1:10">
      <c r="A42" s="1">
        <v>45527</v>
      </c>
      <c r="B42">
        <f>(3/(1+('CurrentPor-Equ Factor Movements'!C42)/100)+103/POWER(1+('CurrentPor-Equ Factor Movements'!D42)/100,2))*100</f>
        <v>9707.5857774288397</v>
      </c>
      <c r="C42">
        <f>(3/(1+('CurrentPor-Equ Factor Movements'!C42+'CurrentPor-Equ Factor Movements'!G42)/100)+103/POWER(1+('CurrentPor-Equ Factor Movements'!D42+'CurrentPor-Equ Factor Movements'!G42)/100,2))*100</f>
        <v>9623.98827815396</v>
      </c>
      <c r="D42">
        <f>(3/(1+('CurrentPor-Equ Factor Movements'!C42+'CurrentPor-Equ Factor Movements'!H42)/100)+103/POWER(1+('CurrentPor-Equ Factor Movements'!D42+'CurrentPor-Equ Factor Movements'!H42)/100,2))*100</f>
        <v>9598.9630495882157</v>
      </c>
      <c r="E42">
        <f>(3/(1+('CurrentPor-Equ Factor Movements'!C42+'CurrentPor-Equ Factor Movements'!I42)/100)+103/POWER(1+('CurrentPor-Equ Factor Movements'!D42+'CurrentPor-Equ Factor Movements'!I42)/100,2))*100</f>
        <v>9580.4436617417286</v>
      </c>
      <c r="F42">
        <f>Portfolio!B$5*'CurrentPor-Equ Factor Movements'!E42</f>
        <v>52143.895533915893</v>
      </c>
      <c r="G42">
        <f>Portfolio!B$6*'CurrentPor-Equ Factor Movements'!F42</f>
        <v>3696.2945087936532</v>
      </c>
      <c r="H42">
        <f>Portfolio!B$7*'CurrentPor-Equ Factor Movements'!J42</f>
        <v>2148.0998964419859</v>
      </c>
      <c r="I42">
        <f t="shared" si="0"/>
        <v>96499.270706064286</v>
      </c>
      <c r="J42">
        <f t="shared" si="1"/>
        <v>-10.165256078413222</v>
      </c>
    </row>
    <row r="43" spans="1:10">
      <c r="A43" s="1">
        <v>45530</v>
      </c>
      <c r="B43">
        <f>(3/(1+('CurrentPor-Equ Factor Movements'!C43)/100)+103/POWER(1+('CurrentPor-Equ Factor Movements'!D43)/100,2))*100</f>
        <v>9707.5857774288397</v>
      </c>
      <c r="C43">
        <f>(3/(1+('CurrentPor-Equ Factor Movements'!C43+'CurrentPor-Equ Factor Movements'!G43)/100)+103/POWER(1+('CurrentPor-Equ Factor Movements'!D43+'CurrentPor-Equ Factor Movements'!G43)/100,2))*100</f>
        <v>9618.5741883985884</v>
      </c>
      <c r="D43">
        <f>(3/(1+('CurrentPor-Equ Factor Movements'!C43+'CurrentPor-Equ Factor Movements'!H43)/100)+103/POWER(1+('CurrentPor-Equ Factor Movements'!D43+'CurrentPor-Equ Factor Movements'!H43)/100,2))*100</f>
        <v>9606.9286815533123</v>
      </c>
      <c r="E43">
        <f>(3/(1+('CurrentPor-Equ Factor Movements'!C43+'CurrentPor-Equ Factor Movements'!I43)/100)+103/POWER(1+('CurrentPor-Equ Factor Movements'!D43+'CurrentPor-Equ Factor Movements'!I43)/100,2))*100</f>
        <v>9580.9276173093058</v>
      </c>
      <c r="F43">
        <f>Portfolio!B$5*'CurrentPor-Equ Factor Movements'!E43</f>
        <v>52143.895533915893</v>
      </c>
      <c r="G43">
        <f>Portfolio!B$6*'CurrentPor-Equ Factor Movements'!F43</f>
        <v>3696.2945087936532</v>
      </c>
      <c r="H43">
        <f>Portfolio!B$7*'CurrentPor-Equ Factor Movements'!J43</f>
        <v>2148.0998964419859</v>
      </c>
      <c r="I43">
        <f t="shared" si="0"/>
        <v>96502.306203841566</v>
      </c>
      <c r="J43">
        <f t="shared" si="1"/>
        <v>-7.4932558094442356</v>
      </c>
    </row>
    <row r="44" spans="1:10">
      <c r="A44" s="1">
        <v>45531</v>
      </c>
      <c r="B44">
        <f>(3/(1+('CurrentPor-Equ Factor Movements'!C44)/100)+103/POWER(1+('CurrentPor-Equ Factor Movements'!D44)/100,2))*100</f>
        <v>9707.5857774288397</v>
      </c>
      <c r="C44">
        <f>(3/(1+('CurrentPor-Equ Factor Movements'!C44+'CurrentPor-Equ Factor Movements'!G44)/100)+103/POWER(1+('CurrentPor-Equ Factor Movements'!D44+'CurrentPor-Equ Factor Movements'!G44)/100,2))*100</f>
        <v>9618.5741883985884</v>
      </c>
      <c r="D44">
        <f>(3/(1+('CurrentPor-Equ Factor Movements'!C44+'CurrentPor-Equ Factor Movements'!H44)/100)+103/POWER(1+('CurrentPor-Equ Factor Movements'!D44+'CurrentPor-Equ Factor Movements'!H44)/100,2))*100</f>
        <v>9600.4295335271127</v>
      </c>
      <c r="E44">
        <f>(3/(1+('CurrentPor-Equ Factor Movements'!C44+'CurrentPor-Equ Factor Movements'!I44)/100)+103/POWER(1+('CurrentPor-Equ Factor Movements'!D44+'CurrentPor-Equ Factor Movements'!I44)/100,2))*100</f>
        <v>9580.0335021781393</v>
      </c>
      <c r="F44">
        <f>Portfolio!B$5*'CurrentPor-Equ Factor Movements'!E44</f>
        <v>52143.895533915893</v>
      </c>
      <c r="G44">
        <f>Portfolio!B$6*'CurrentPor-Equ Factor Movements'!F44</f>
        <v>3696.2945087936532</v>
      </c>
      <c r="H44">
        <f>Portfolio!B$7*'CurrentPor-Equ Factor Movements'!J44</f>
        <v>2148.0998964419859</v>
      </c>
      <c r="I44">
        <f t="shared" si="0"/>
        <v>96494.912940684211</v>
      </c>
      <c r="J44">
        <f t="shared" si="1"/>
        <v>-3.1646964712563204</v>
      </c>
    </row>
    <row r="45" spans="1:10">
      <c r="A45" s="1">
        <v>45532</v>
      </c>
      <c r="B45">
        <f>(3/(1+('CurrentPor-Equ Factor Movements'!C45)/100)+103/POWER(1+('CurrentPor-Equ Factor Movements'!D45)/100,2))*100</f>
        <v>9707.5857774288397</v>
      </c>
      <c r="C45">
        <f>(3/(1+('CurrentPor-Equ Factor Movements'!C45+'CurrentPor-Equ Factor Movements'!G45)/100)+103/POWER(1+('CurrentPor-Equ Factor Movements'!D45+'CurrentPor-Equ Factor Movements'!G45)/100,2))*100</f>
        <v>9616.7705171512371</v>
      </c>
      <c r="D45">
        <f>(3/(1+('CurrentPor-Equ Factor Movements'!C45+'CurrentPor-Equ Factor Movements'!H45)/100)+103/POWER(1+('CurrentPor-Equ Factor Movements'!D45+'CurrentPor-Equ Factor Movements'!H45)/100,2))*100</f>
        <v>9604.6783978490421</v>
      </c>
      <c r="E45">
        <f>(3/(1+('CurrentPor-Equ Factor Movements'!C45+'CurrentPor-Equ Factor Movements'!I45)/100)+103/POWER(1+('CurrentPor-Equ Factor Movements'!D45+'CurrentPor-Equ Factor Movements'!I45)/100,2))*100</f>
        <v>9581.5383860136208</v>
      </c>
      <c r="F45">
        <f>Portfolio!B$5*'CurrentPor-Equ Factor Movements'!E45</f>
        <v>52143.895533915893</v>
      </c>
      <c r="G45">
        <f>Portfolio!B$6*'CurrentPor-Equ Factor Movements'!F45</f>
        <v>3696.2945087936532</v>
      </c>
      <c r="H45">
        <f>Portfolio!B$7*'CurrentPor-Equ Factor Movements'!J45</f>
        <v>2148.0998964419859</v>
      </c>
      <c r="I45">
        <f t="shared" si="0"/>
        <v>96498.863017594282</v>
      </c>
      <c r="J45">
        <f t="shared" si="1"/>
        <v>-9.3535851266933605</v>
      </c>
    </row>
    <row r="46" spans="1:10">
      <c r="A46" s="1">
        <v>45533</v>
      </c>
      <c r="B46">
        <f>(3/(1+('CurrentPor-Equ Factor Movements'!C46)/100)+103/POWER(1+('CurrentPor-Equ Factor Movements'!D46)/100,2))*100</f>
        <v>9707.5857774288397</v>
      </c>
      <c r="C46">
        <f>(3/(1+('CurrentPor-Equ Factor Movements'!C46+'CurrentPor-Equ Factor Movements'!G46)/100)+103/POWER(1+('CurrentPor-Equ Factor Movements'!D46+'CurrentPor-Equ Factor Movements'!G46)/100,2))*100</f>
        <v>9622.1830687052025</v>
      </c>
      <c r="D46">
        <f>(3/(1+('CurrentPor-Equ Factor Movements'!C46+'CurrentPor-Equ Factor Movements'!H46)/100)+103/POWER(1+('CurrentPor-Equ Factor Movements'!D46+'CurrentPor-Equ Factor Movements'!H46)/100,2))*100</f>
        <v>9603.5136274222132</v>
      </c>
      <c r="E46">
        <f>(3/(1+('CurrentPor-Equ Factor Movements'!C46+'CurrentPor-Equ Factor Movements'!I46)/100)+103/POWER(1+('CurrentPor-Equ Factor Movements'!D46+'CurrentPor-Equ Factor Movements'!I46)/100,2))*100</f>
        <v>9580.7210688352407</v>
      </c>
      <c r="F46">
        <f>Portfolio!B$5*'CurrentPor-Equ Factor Movements'!E46</f>
        <v>52143.895533915893</v>
      </c>
      <c r="G46">
        <f>Portfolio!B$6*'CurrentPor-Equ Factor Movements'!F46</f>
        <v>3696.2945087936532</v>
      </c>
      <c r="H46">
        <f>Portfolio!B$7*'CurrentPor-Equ Factor Movements'!J46</f>
        <v>2148.0998964419859</v>
      </c>
      <c r="I46">
        <f t="shared" si="0"/>
        <v>96502.293481543034</v>
      </c>
      <c r="J46">
        <f t="shared" si="1"/>
        <v>-3.0554768989240984</v>
      </c>
    </row>
    <row r="47" spans="1:10">
      <c r="A47" s="1">
        <v>45534</v>
      </c>
      <c r="B47">
        <f>(3/(1+('CurrentPor-Equ Factor Movements'!C47)/100)+103/POWER(1+('CurrentPor-Equ Factor Movements'!D47)/100,2))*100</f>
        <v>9707.5857774288397</v>
      </c>
      <c r="C47">
        <f>(3/(1+('CurrentPor-Equ Factor Movements'!C47+'CurrentPor-Equ Factor Movements'!G47)/100)+103/POWER(1+('CurrentPor-Equ Factor Movements'!D47+'CurrentPor-Equ Factor Movements'!G47)/100,2))*100</f>
        <v>9620.3783721850123</v>
      </c>
      <c r="D47">
        <f>(3/(1+('CurrentPor-Equ Factor Movements'!C47+'CurrentPor-Equ Factor Movements'!H47)/100)+103/POWER(1+('CurrentPor-Equ Factor Movements'!D47+'CurrentPor-Equ Factor Movements'!H47)/100,2))*100</f>
        <v>9595.1709859650473</v>
      </c>
      <c r="E47">
        <f>(3/(1+('CurrentPor-Equ Factor Movements'!C47+'CurrentPor-Equ Factor Movements'!I47)/100)+103/POWER(1+('CurrentPor-Equ Factor Movements'!D47+'CurrentPor-Equ Factor Movements'!I47)/100,2))*100</f>
        <v>9580.8765299426304</v>
      </c>
      <c r="F47">
        <f>Portfolio!B$5*'CurrentPor-Equ Factor Movements'!E47</f>
        <v>52143.895533915893</v>
      </c>
      <c r="G47">
        <f>Portfolio!B$6*'CurrentPor-Equ Factor Movements'!F47</f>
        <v>3696.2945087936532</v>
      </c>
      <c r="H47">
        <f>Portfolio!B$7*'CurrentPor-Equ Factor Movements'!J47</f>
        <v>2148.0998964419859</v>
      </c>
      <c r="I47">
        <f t="shared" si="0"/>
        <v>96492.301604673048</v>
      </c>
      <c r="J47">
        <f t="shared" si="1"/>
        <v>-10.768582145363325</v>
      </c>
    </row>
    <row r="48" spans="1:10">
      <c r="A48" s="1">
        <v>45537</v>
      </c>
      <c r="B48">
        <f>(3/(1+('CurrentPor-Equ Factor Movements'!C48)/100)+103/POWER(1+('CurrentPor-Equ Factor Movements'!D48)/100,2))*100</f>
        <v>9707.5857774288397</v>
      </c>
      <c r="C48">
        <f>(3/(1+('CurrentPor-Equ Factor Movements'!C48+'CurrentPor-Equ Factor Movements'!G48)/100)+103/POWER(1+('CurrentPor-Equ Factor Movements'!D48+'CurrentPor-Equ Factor Movements'!G48)/100,2))*100</f>
        <v>9618.5741883985884</v>
      </c>
      <c r="D48">
        <f>(3/(1+('CurrentPor-Equ Factor Movements'!C48+'CurrentPor-Equ Factor Movements'!H48)/100)+103/POWER(1+('CurrentPor-Equ Factor Movements'!D48+'CurrentPor-Equ Factor Movements'!H48)/100,2))*100</f>
        <v>9596.8867541885575</v>
      </c>
      <c r="E48">
        <f>(3/(1+('CurrentPor-Equ Factor Movements'!C48+'CurrentPor-Equ Factor Movements'!I48)/100)+103/POWER(1+('CurrentPor-Equ Factor Movements'!D48+'CurrentPor-Equ Factor Movements'!I48)/100,2))*100</f>
        <v>9581.8685111770646</v>
      </c>
      <c r="F48">
        <f>Portfolio!B$5*'CurrentPor-Equ Factor Movements'!E48</f>
        <v>52143.895533915893</v>
      </c>
      <c r="G48">
        <f>Portfolio!B$6*'CurrentPor-Equ Factor Movements'!F48</f>
        <v>3696.2945087936532</v>
      </c>
      <c r="H48">
        <f>Portfolio!B$7*'CurrentPor-Equ Factor Movements'!J48</f>
        <v>2148.0998964419859</v>
      </c>
      <c r="I48">
        <f t="shared" si="0"/>
        <v>96493.205170344576</v>
      </c>
      <c r="J48">
        <f t="shared" si="1"/>
        <v>11.044322221103357</v>
      </c>
    </row>
    <row r="49" spans="1:10">
      <c r="A49" s="1">
        <v>45538</v>
      </c>
      <c r="B49">
        <f>(3/(1+('CurrentPor-Equ Factor Movements'!C49)/100)+103/POWER(1+('CurrentPor-Equ Factor Movements'!D49)/100,2))*100</f>
        <v>9707.5857774288397</v>
      </c>
      <c r="C49">
        <f>(3/(1+('CurrentPor-Equ Factor Movements'!C49+'CurrentPor-Equ Factor Movements'!G49)/100)+103/POWER(1+('CurrentPor-Equ Factor Movements'!D49+'CurrentPor-Equ Factor Movements'!G49)/100,2))*100</f>
        <v>9623.98827815396</v>
      </c>
      <c r="D49">
        <f>(3/(1+('CurrentPor-Equ Factor Movements'!C49+'CurrentPor-Equ Factor Movements'!H49)/100)+103/POWER(1+('CurrentPor-Equ Factor Movements'!D49+'CurrentPor-Equ Factor Movements'!H49)/100,2))*100</f>
        <v>9624.7030766889202</v>
      </c>
      <c r="E49">
        <f>(3/(1+('CurrentPor-Equ Factor Movements'!C49+'CurrentPor-Equ Factor Movements'!I49)/100)+103/POWER(1+('CurrentPor-Equ Factor Movements'!D49+'CurrentPor-Equ Factor Movements'!I49)/100,2))*100</f>
        <v>9580.451743697784</v>
      </c>
      <c r="F49">
        <f>Portfolio!B$5*'CurrentPor-Equ Factor Movements'!E49</f>
        <v>52143.895533915893</v>
      </c>
      <c r="G49">
        <f>Portfolio!B$6*'CurrentPor-Equ Factor Movements'!F49</f>
        <v>3696.2945087936532</v>
      </c>
      <c r="H49">
        <f>Portfolio!B$7*'CurrentPor-Equ Factor Movements'!J49</f>
        <v>2148.0998964419859</v>
      </c>
      <c r="I49">
        <f t="shared" si="0"/>
        <v>96525.018815121046</v>
      </c>
      <c r="J49">
        <f t="shared" si="1"/>
        <v>31.594312145083677</v>
      </c>
    </row>
    <row r="50" spans="1:10">
      <c r="A50" s="1">
        <v>45539</v>
      </c>
      <c r="B50">
        <f>(3/(1+('CurrentPor-Equ Factor Movements'!C50)/100)+103/POWER(1+('CurrentPor-Equ Factor Movements'!D50)/100,2))*100</f>
        <v>9707.5857774288397</v>
      </c>
      <c r="C50">
        <f>(3/(1+('CurrentPor-Equ Factor Movements'!C50+'CurrentPor-Equ Factor Movements'!G50)/100)+103/POWER(1+('CurrentPor-Equ Factor Movements'!D50+'CurrentPor-Equ Factor Movements'!G50)/100,2))*100</f>
        <v>9623.98827815396</v>
      </c>
      <c r="D50">
        <f>(3/(1+('CurrentPor-Equ Factor Movements'!C50+'CurrentPor-Equ Factor Movements'!H50)/100)+103/POWER(1+('CurrentPor-Equ Factor Movements'!D50+'CurrentPor-Equ Factor Movements'!H50)/100,2))*100</f>
        <v>9610.8341407352054</v>
      </c>
      <c r="E50">
        <f>(3/(1+('CurrentPor-Equ Factor Movements'!C50+'CurrentPor-Equ Factor Movements'!I50)/100)+103/POWER(1+('CurrentPor-Equ Factor Movements'!D50+'CurrentPor-Equ Factor Movements'!I50)/100,2))*100</f>
        <v>9580.2788659877933</v>
      </c>
      <c r="F50">
        <f>Portfolio!B$5*'CurrentPor-Equ Factor Movements'!E50</f>
        <v>52143.895533915893</v>
      </c>
      <c r="G50">
        <f>Portfolio!B$6*'CurrentPor-Equ Factor Movements'!F50</f>
        <v>3696.2945087936532</v>
      </c>
      <c r="H50">
        <f>Portfolio!B$7*'CurrentPor-Equ Factor Movements'!J50</f>
        <v>2148.0998964419859</v>
      </c>
      <c r="I50">
        <f t="shared" si="0"/>
        <v>96510.97700145733</v>
      </c>
      <c r="J50">
        <f t="shared" si="1"/>
        <v>23.607687718889792</v>
      </c>
    </row>
    <row r="51" spans="1:10">
      <c r="A51" s="1">
        <v>45540</v>
      </c>
      <c r="B51">
        <f>(3/(1+('CurrentPor-Equ Factor Movements'!C51)/100)+103/POWER(1+('CurrentPor-Equ Factor Movements'!D51)/100,2))*100</f>
        <v>9707.5857774288397</v>
      </c>
      <c r="C51">
        <f>(3/(1+('CurrentPor-Equ Factor Movements'!C51+'CurrentPor-Equ Factor Movements'!G51)/100)+103/POWER(1+('CurrentPor-Equ Factor Movements'!D51+'CurrentPor-Equ Factor Movements'!G51)/100,2))*100</f>
        <v>9623.98827815396</v>
      </c>
      <c r="D51">
        <f>(3/(1+('CurrentPor-Equ Factor Movements'!C51+'CurrentPor-Equ Factor Movements'!H51)/100)+103/POWER(1+('CurrentPor-Equ Factor Movements'!D51+'CurrentPor-Equ Factor Movements'!H51)/100,2))*100</f>
        <v>9591.9017329797862</v>
      </c>
      <c r="E51">
        <f>(3/(1+('CurrentPor-Equ Factor Movements'!C51+'CurrentPor-Equ Factor Movements'!I51)/100)+103/POWER(1+('CurrentPor-Equ Factor Movements'!D51+'CurrentPor-Equ Factor Movements'!I51)/100,2))*100</f>
        <v>9579.1843047554121</v>
      </c>
      <c r="F51">
        <f>Portfolio!B$5*'CurrentPor-Equ Factor Movements'!E51</f>
        <v>52143.895533915893</v>
      </c>
      <c r="G51">
        <f>Portfolio!B$6*'CurrentPor-Equ Factor Movements'!F51</f>
        <v>3696.2945087936532</v>
      </c>
      <c r="H51">
        <f>Portfolio!B$7*'CurrentPor-Equ Factor Movements'!J51</f>
        <v>2148.0998964419859</v>
      </c>
      <c r="I51">
        <f t="shared" si="0"/>
        <v>96490.95003246954</v>
      </c>
      <c r="J51">
        <f t="shared" si="1"/>
        <v>2.4519463487376925</v>
      </c>
    </row>
    <row r="52" spans="1:10">
      <c r="A52" s="1">
        <v>45541</v>
      </c>
      <c r="B52">
        <f>(3/(1+('CurrentPor-Equ Factor Movements'!C52)/100)+103/POWER(1+('CurrentPor-Equ Factor Movements'!D52)/100,2))*100</f>
        <v>9707.5857774288397</v>
      </c>
      <c r="C52">
        <f>(3/(1+('CurrentPor-Equ Factor Movements'!C52+'CurrentPor-Equ Factor Movements'!G52)/100)+103/POWER(1+('CurrentPor-Equ Factor Movements'!D52+'CurrentPor-Equ Factor Movements'!G52)/100,2))*100</f>
        <v>9623.98827815396</v>
      </c>
      <c r="D52">
        <f>(3/(1+('CurrentPor-Equ Factor Movements'!C52+'CurrentPor-Equ Factor Movements'!H52)/100)+103/POWER(1+('CurrentPor-Equ Factor Movements'!D52+'CurrentPor-Equ Factor Movements'!H52)/100,2))*100</f>
        <v>9602.5500356131615</v>
      </c>
      <c r="E52">
        <f>(3/(1+('CurrentPor-Equ Factor Movements'!C52+'CurrentPor-Equ Factor Movements'!I52)/100)+103/POWER(1+('CurrentPor-Equ Factor Movements'!D52+'CurrentPor-Equ Factor Movements'!I52)/100,2))*100</f>
        <v>9580.2481663423441</v>
      </c>
      <c r="F52">
        <f>Portfolio!B$5*'CurrentPor-Equ Factor Movements'!E52</f>
        <v>52143.895533915893</v>
      </c>
      <c r="G52">
        <f>Portfolio!B$6*'CurrentPor-Equ Factor Movements'!F52</f>
        <v>3696.2945087936532</v>
      </c>
      <c r="H52">
        <f>Portfolio!B$7*'CurrentPor-Equ Factor Movements'!J52</f>
        <v>2148.0998964419859</v>
      </c>
      <c r="I52">
        <f t="shared" si="0"/>
        <v>96502.662196689838</v>
      </c>
      <c r="J52">
        <f t="shared" si="1"/>
        <v>3.391490625552251</v>
      </c>
    </row>
    <row r="53" spans="1:10">
      <c r="A53" s="1">
        <v>45544</v>
      </c>
      <c r="B53">
        <f>(3/(1+('CurrentPor-Equ Factor Movements'!C53)/100)+103/POWER(1+('CurrentPor-Equ Factor Movements'!D53)/100,2))*100</f>
        <v>9707.5857774288397</v>
      </c>
      <c r="C53">
        <f>(3/(1+('CurrentPor-Equ Factor Movements'!C53+'CurrentPor-Equ Factor Movements'!G53)/100)+103/POWER(1+('CurrentPor-Equ Factor Movements'!D53+'CurrentPor-Equ Factor Movements'!G53)/100,2))*100</f>
        <v>9629.4069860209238</v>
      </c>
      <c r="D53">
        <f>(3/(1+('CurrentPor-Equ Factor Movements'!C53+'CurrentPor-Equ Factor Movements'!H53)/100)+103/POWER(1+('CurrentPor-Equ Factor Movements'!D53+'CurrentPor-Equ Factor Movements'!H53)/100,2))*100</f>
        <v>9610.7303003650195</v>
      </c>
      <c r="E53">
        <f>(3/(1+('CurrentPor-Equ Factor Movements'!C53+'CurrentPor-Equ Factor Movements'!I53)/100)+103/POWER(1+('CurrentPor-Equ Factor Movements'!D53+'CurrentPor-Equ Factor Movements'!I53)/100,2))*100</f>
        <v>9580.5166768917297</v>
      </c>
      <c r="F53">
        <f>Portfolio!B$5*'CurrentPor-Equ Factor Movements'!E53</f>
        <v>52143.895533915893</v>
      </c>
      <c r="G53">
        <f>Portfolio!B$6*'CurrentPor-Equ Factor Movements'!F53</f>
        <v>3696.2945087936532</v>
      </c>
      <c r="H53">
        <f>Portfolio!B$7*'CurrentPor-Equ Factor Movements'!J53</f>
        <v>2148.0998964419859</v>
      </c>
      <c r="I53">
        <f t="shared" si="0"/>
        <v>96516.529679858053</v>
      </c>
      <c r="J53">
        <f t="shared" si="1"/>
        <v>14.223476016486529</v>
      </c>
    </row>
    <row r="54" spans="1:10">
      <c r="A54" s="1">
        <v>45545</v>
      </c>
      <c r="B54">
        <f>(3/(1+('CurrentPor-Equ Factor Movements'!C54)/100)+103/POWER(1+('CurrentPor-Equ Factor Movements'!D54)/100,2))*100</f>
        <v>9707.5857774288397</v>
      </c>
      <c r="C54">
        <f>(3/(1+('CurrentPor-Equ Factor Movements'!C54+'CurrentPor-Equ Factor Movements'!G54)/100)+103/POWER(1+('CurrentPor-Equ Factor Movements'!D54+'CurrentPor-Equ Factor Movements'!G54)/100,2))*100</f>
        <v>9631.2142491337127</v>
      </c>
      <c r="D54">
        <f>(3/(1+('CurrentPor-Equ Factor Movements'!C54+'CurrentPor-Equ Factor Movements'!H54)/100)+103/POWER(1+('CurrentPor-Equ Factor Movements'!D54+'CurrentPor-Equ Factor Movements'!H54)/100,2))*100</f>
        <v>9582.0723452286602</v>
      </c>
      <c r="E54">
        <f>(3/(1+('CurrentPor-Equ Factor Movements'!C54+'CurrentPor-Equ Factor Movements'!I54)/100)+103/POWER(1+('CurrentPor-Equ Factor Movements'!D54+'CurrentPor-Equ Factor Movements'!I54)/100,2))*100</f>
        <v>9579.7811761732028</v>
      </c>
      <c r="F54">
        <f>Portfolio!B$5*'CurrentPor-Equ Factor Movements'!E54</f>
        <v>52143.895533915893</v>
      </c>
      <c r="G54">
        <f>Portfolio!B$6*'CurrentPor-Equ Factor Movements'!F54</f>
        <v>3696.2945087936532</v>
      </c>
      <c r="H54">
        <f>Portfolio!B$7*'CurrentPor-Equ Factor Movements'!J54</f>
        <v>2148.0998964419859</v>
      </c>
      <c r="I54">
        <f t="shared" si="0"/>
        <v>96488.943487115946</v>
      </c>
      <c r="J54">
        <f t="shared" si="1"/>
        <v>-5.9694535682647256</v>
      </c>
    </row>
    <row r="55" spans="1:10">
      <c r="A55" s="1">
        <v>45546</v>
      </c>
      <c r="B55">
        <f>(3/(1+('CurrentPor-Equ Factor Movements'!C55)/100)+103/POWER(1+('CurrentPor-Equ Factor Movements'!D55)/100,2))*100</f>
        <v>9707.5857774288397</v>
      </c>
      <c r="C55">
        <f>(3/(1+('CurrentPor-Equ Factor Movements'!C55+'CurrentPor-Equ Factor Movements'!G55)/100)+103/POWER(1+('CurrentPor-Equ Factor Movements'!D55+'CurrentPor-Equ Factor Movements'!G55)/100,2))*100</f>
        <v>9633.0220261504182</v>
      </c>
      <c r="D55">
        <f>(3/(1+('CurrentPor-Equ Factor Movements'!C55+'CurrentPor-Equ Factor Movements'!H55)/100)+103/POWER(1+('CurrentPor-Equ Factor Movements'!D55+'CurrentPor-Equ Factor Movements'!H55)/100,2))*100</f>
        <v>9590.7574615146805</v>
      </c>
      <c r="E55">
        <f>(3/(1+('CurrentPor-Equ Factor Movements'!C55+'CurrentPor-Equ Factor Movements'!I55)/100)+103/POWER(1+('CurrentPor-Equ Factor Movements'!D55+'CurrentPor-Equ Factor Movements'!I55)/100,2))*100</f>
        <v>9579.1730355582913</v>
      </c>
      <c r="F55">
        <f>Portfolio!B$5*'CurrentPor-Equ Factor Movements'!E55</f>
        <v>52143.895533915893</v>
      </c>
      <c r="G55">
        <f>Portfolio!B$6*'CurrentPor-Equ Factor Movements'!F55</f>
        <v>3696.2945087936532</v>
      </c>
      <c r="H55">
        <f>Portfolio!B$7*'CurrentPor-Equ Factor Movements'!J55</f>
        <v>2148.0998964419859</v>
      </c>
      <c r="I55">
        <f t="shared" si="0"/>
        <v>96498.82823980377</v>
      </c>
      <c r="J55">
        <f t="shared" si="1"/>
        <v>-3.477779051172547E-2</v>
      </c>
    </row>
    <row r="56" spans="1:10">
      <c r="A56" s="1">
        <v>45547</v>
      </c>
      <c r="B56">
        <f>(3/(1+('CurrentPor-Equ Factor Movements'!C56)/100)+103/POWER(1+('CurrentPor-Equ Factor Movements'!D56)/100,2))*100</f>
        <v>9707.5857774288397</v>
      </c>
      <c r="C56">
        <f>(3/(1+('CurrentPor-Equ Factor Movements'!C56+'CurrentPor-Equ Factor Movements'!G56)/100)+103/POWER(1+('CurrentPor-Equ Factor Movements'!D56+'CurrentPor-Equ Factor Movements'!G56)/100,2))*100</f>
        <v>9634.8303172663855</v>
      </c>
      <c r="D56">
        <f>(3/(1+('CurrentPor-Equ Factor Movements'!C56+'CurrentPor-Equ Factor Movements'!H56)/100)+103/POWER(1+('CurrentPor-Equ Factor Movements'!D56+'CurrentPor-Equ Factor Movements'!H56)/100,2))*100</f>
        <v>9589.4873307870294</v>
      </c>
      <c r="E56">
        <f>(3/(1+('CurrentPor-Equ Factor Movements'!C56+'CurrentPor-Equ Factor Movements'!I56)/100)+103/POWER(1+('CurrentPor-Equ Factor Movements'!D56+'CurrentPor-Equ Factor Movements'!I56)/100,2))*100</f>
        <v>9579.6764814642956</v>
      </c>
      <c r="F56">
        <f>Portfolio!B$5*'CurrentPor-Equ Factor Movements'!E56</f>
        <v>52143.895533915893</v>
      </c>
      <c r="G56">
        <f>Portfolio!B$6*'CurrentPor-Equ Factor Movements'!F56</f>
        <v>3696.2945087936532</v>
      </c>
      <c r="H56">
        <f>Portfolio!B$7*'CurrentPor-Equ Factor Movements'!J56</f>
        <v>2148.0998964419859</v>
      </c>
      <c r="I56">
        <f t="shared" si="0"/>
        <v>96499.869846098081</v>
      </c>
      <c r="J56">
        <f t="shared" si="1"/>
        <v>-2.4236354449531063</v>
      </c>
    </row>
    <row r="57" spans="1:10">
      <c r="A57" s="1">
        <v>45548</v>
      </c>
      <c r="B57">
        <f>(3/(1+('CurrentPor-Equ Factor Movements'!C57)/100)+103/POWER(1+('CurrentPor-Equ Factor Movements'!D57)/100,2))*100</f>
        <v>9707.5857774288397</v>
      </c>
      <c r="C57">
        <f>(3/(1+('CurrentPor-Equ Factor Movements'!C57+'CurrentPor-Equ Factor Movements'!G57)/100)+103/POWER(1+('CurrentPor-Equ Factor Movements'!D57+'CurrentPor-Equ Factor Movements'!G57)/100,2))*100</f>
        <v>9638.4484425779829</v>
      </c>
      <c r="D57">
        <f>(3/(1+('CurrentPor-Equ Factor Movements'!C57+'CurrentPor-Equ Factor Movements'!H57)/100)+103/POWER(1+('CurrentPor-Equ Factor Movements'!D57+'CurrentPor-Equ Factor Movements'!H57)/100,2))*100</f>
        <v>9609.4433094780234</v>
      </c>
      <c r="E57">
        <f>(3/(1+('CurrentPor-Equ Factor Movements'!C57+'CurrentPor-Equ Factor Movements'!I57)/100)+103/POWER(1+('CurrentPor-Equ Factor Movements'!D57+'CurrentPor-Equ Factor Movements'!I57)/100,2))*100</f>
        <v>9580.6027631625293</v>
      </c>
      <c r="F57">
        <f>Portfolio!B$5*'CurrentPor-Equ Factor Movements'!E57</f>
        <v>52143.895533915893</v>
      </c>
      <c r="G57">
        <f>Portfolio!B$6*'CurrentPor-Equ Factor Movements'!F57</f>
        <v>3696.2945087936532</v>
      </c>
      <c r="H57">
        <f>Portfolio!B$7*'CurrentPor-Equ Factor Movements'!J57</f>
        <v>2148.0998964419859</v>
      </c>
      <c r="I57">
        <f t="shared" si="0"/>
        <v>96524.370231798894</v>
      </c>
      <c r="J57">
        <f t="shared" si="1"/>
        <v>32.068627125845524</v>
      </c>
    </row>
    <row r="58" spans="1:10">
      <c r="A58" s="1">
        <v>45551</v>
      </c>
      <c r="B58">
        <f>(3/(1+('CurrentPor-Equ Factor Movements'!C58)/100)+103/POWER(1+('CurrentPor-Equ Factor Movements'!D58)/100,2))*100</f>
        <v>9707.5857774288397</v>
      </c>
      <c r="C58">
        <f>(3/(1+('CurrentPor-Equ Factor Movements'!C58+'CurrentPor-Equ Factor Movements'!G58)/100)+103/POWER(1+('CurrentPor-Equ Factor Movements'!D58+'CurrentPor-Equ Factor Movements'!G58)/100,2))*100</f>
        <v>9640.2582771647722</v>
      </c>
      <c r="D58">
        <f>(3/(1+('CurrentPor-Equ Factor Movements'!C58+'CurrentPor-Equ Factor Movements'!H58)/100)+103/POWER(1+('CurrentPor-Equ Factor Movements'!D58+'CurrentPor-Equ Factor Movements'!H58)/100,2))*100</f>
        <v>9610.8271286705021</v>
      </c>
      <c r="E58">
        <f>(3/(1+('CurrentPor-Equ Factor Movements'!C58+'CurrentPor-Equ Factor Movements'!I58)/100)+103/POWER(1+('CurrentPor-Equ Factor Movements'!D58+'CurrentPor-Equ Factor Movements'!I58)/100,2))*100</f>
        <v>9582.4214932510877</v>
      </c>
      <c r="F58">
        <f>Portfolio!B$5*'CurrentPor-Equ Factor Movements'!E58</f>
        <v>52143.895533915893</v>
      </c>
      <c r="G58">
        <f>Portfolio!B$6*'CurrentPor-Equ Factor Movements'!F58</f>
        <v>3696.2945087936532</v>
      </c>
      <c r="H58">
        <f>Portfolio!B$7*'CurrentPor-Equ Factor Movements'!J58</f>
        <v>2148.0998964419859</v>
      </c>
      <c r="I58">
        <f t="shared" si="0"/>
        <v>96529.382615666735</v>
      </c>
      <c r="J58">
        <f t="shared" si="1"/>
        <v>36.177445322158746</v>
      </c>
    </row>
    <row r="59" spans="1:10">
      <c r="A59" s="1">
        <v>45552</v>
      </c>
      <c r="B59">
        <f>(3/(1+('CurrentPor-Equ Factor Movements'!C59)/100)+103/POWER(1+('CurrentPor-Equ Factor Movements'!D59)/100,2))*100</f>
        <v>9707.5857774288397</v>
      </c>
      <c r="C59">
        <f>(3/(1+('CurrentPor-Equ Factor Movements'!C59+'CurrentPor-Equ Factor Movements'!G59)/100)+103/POWER(1+('CurrentPor-Equ Factor Movements'!D59+'CurrentPor-Equ Factor Movements'!G59)/100,2))*100</f>
        <v>9642.0686266331541</v>
      </c>
      <c r="D59">
        <f>(3/(1+('CurrentPor-Equ Factor Movements'!C59+'CurrentPor-Equ Factor Movements'!H59)/100)+103/POWER(1+('CurrentPor-Equ Factor Movements'!D59+'CurrentPor-Equ Factor Movements'!H59)/100,2))*100</f>
        <v>9596.9147464911293</v>
      </c>
      <c r="E59">
        <f>(3/(1+('CurrentPor-Equ Factor Movements'!C59+'CurrentPor-Equ Factor Movements'!I59)/100)+103/POWER(1+('CurrentPor-Equ Factor Movements'!D59+'CurrentPor-Equ Factor Movements'!I59)/100,2))*100</f>
        <v>9582.5902372573873</v>
      </c>
      <c r="F59">
        <f>Portfolio!B$5*'CurrentPor-Equ Factor Movements'!E59</f>
        <v>52143.895533915893</v>
      </c>
      <c r="G59">
        <f>Portfolio!B$6*'CurrentPor-Equ Factor Movements'!F59</f>
        <v>3696.2945087936532</v>
      </c>
      <c r="H59">
        <f>Portfolio!B$7*'CurrentPor-Equ Factor Movements'!J59</f>
        <v>2148.0998964419859</v>
      </c>
      <c r="I59">
        <f t="shared" si="0"/>
        <v>96517.449326962043</v>
      </c>
      <c r="J59">
        <f t="shared" si="1"/>
        <v>-7.5694881590025034</v>
      </c>
    </row>
    <row r="60" spans="1:10">
      <c r="A60" s="1">
        <v>45553</v>
      </c>
      <c r="B60">
        <f>(3/(1+('CurrentPor-Equ Factor Movements'!C60)/100)+103/POWER(1+('CurrentPor-Equ Factor Movements'!D60)/100,2))*100</f>
        <v>9707.5857774288397</v>
      </c>
      <c r="C60">
        <f>(3/(1+('CurrentPor-Equ Factor Movements'!C60+'CurrentPor-Equ Factor Movements'!G60)/100)+103/POWER(1+('CurrentPor-Equ Factor Movements'!D60+'CurrentPor-Equ Factor Movements'!G60)/100,2))*100</f>
        <v>9643.879491178941</v>
      </c>
      <c r="D60">
        <f>(3/(1+('CurrentPor-Equ Factor Movements'!C60+'CurrentPor-Equ Factor Movements'!H60)/100)+103/POWER(1+('CurrentPor-Equ Factor Movements'!D60+'CurrentPor-Equ Factor Movements'!H60)/100,2))*100</f>
        <v>9593.162131592806</v>
      </c>
      <c r="E60">
        <f>(3/(1+('CurrentPor-Equ Factor Movements'!C60+'CurrentPor-Equ Factor Movements'!I60)/100)+103/POWER(1+('CurrentPor-Equ Factor Movements'!D60+'CurrentPor-Equ Factor Movements'!I60)/100,2))*100</f>
        <v>9581.7041576843294</v>
      </c>
      <c r="F60">
        <f>Portfolio!B$5*'CurrentPor-Equ Factor Movements'!E60</f>
        <v>52143.895533915893</v>
      </c>
      <c r="G60">
        <f>Portfolio!B$6*'CurrentPor-Equ Factor Movements'!F60</f>
        <v>3696.2945087936532</v>
      </c>
      <c r="H60">
        <f>Portfolio!B$7*'CurrentPor-Equ Factor Movements'!J60</f>
        <v>2148.0998964419859</v>
      </c>
      <c r="I60">
        <f t="shared" si="0"/>
        <v>96514.621497036438</v>
      </c>
      <c r="J60">
        <f t="shared" si="1"/>
        <v>3.6444955791084794</v>
      </c>
    </row>
    <row r="61" spans="1:10">
      <c r="A61" s="1">
        <v>45554</v>
      </c>
      <c r="B61">
        <f>(3/(1+('CurrentPor-Equ Factor Movements'!C61)/100)+103/POWER(1+('CurrentPor-Equ Factor Movements'!D61)/100,2))*100</f>
        <v>9707.5857774288397</v>
      </c>
      <c r="C61">
        <f>(3/(1+('CurrentPor-Equ Factor Movements'!C61+'CurrentPor-Equ Factor Movements'!G61)/100)+103/POWER(1+('CurrentPor-Equ Factor Movements'!D61+'CurrentPor-Equ Factor Movements'!G61)/100,2))*100</f>
        <v>9642.0686266331541</v>
      </c>
      <c r="D61">
        <f>(3/(1+('CurrentPor-Equ Factor Movements'!C61+'CurrentPor-Equ Factor Movements'!H61)/100)+103/POWER(1+('CurrentPor-Equ Factor Movements'!D61+'CurrentPor-Equ Factor Movements'!H61)/100,2))*100</f>
        <v>9604.9499368153101</v>
      </c>
      <c r="E61">
        <f>(3/(1+('CurrentPor-Equ Factor Movements'!C61+'CurrentPor-Equ Factor Movements'!I61)/100)+103/POWER(1+('CurrentPor-Equ Factor Movements'!D61+'CurrentPor-Equ Factor Movements'!I61)/100,2))*100</f>
        <v>9581.312489291573</v>
      </c>
      <c r="F61">
        <f>Portfolio!B$5*'CurrentPor-Equ Factor Movements'!E61</f>
        <v>52143.895533915893</v>
      </c>
      <c r="G61">
        <f>Portfolio!B$6*'CurrentPor-Equ Factor Movements'!F61</f>
        <v>3696.2945087936532</v>
      </c>
      <c r="H61">
        <f>Portfolio!B$7*'CurrentPor-Equ Factor Movements'!J61</f>
        <v>2148.0998964419859</v>
      </c>
      <c r="I61">
        <f t="shared" si="0"/>
        <v>96524.206769320401</v>
      </c>
      <c r="J61">
        <f t="shared" si="1"/>
        <v>33.256736850860761</v>
      </c>
    </row>
    <row r="62" spans="1:10">
      <c r="A62" s="1">
        <v>45555</v>
      </c>
      <c r="B62">
        <f>(3/(1+('CurrentPor-Equ Factor Movements'!C62)/100)+103/POWER(1+('CurrentPor-Equ Factor Movements'!D62)/100,2))*100</f>
        <v>9707.5857774288397</v>
      </c>
      <c r="C62">
        <f>(3/(1+('CurrentPor-Equ Factor Movements'!C62+'CurrentPor-Equ Factor Movements'!G62)/100)+103/POWER(1+('CurrentPor-Equ Factor Movements'!D62+'CurrentPor-Equ Factor Movements'!G62)/100,2))*100</f>
        <v>9640.2582771647722</v>
      </c>
      <c r="D62">
        <f>(3/(1+('CurrentPor-Equ Factor Movements'!C62+'CurrentPor-Equ Factor Movements'!H62)/100)+103/POWER(1+('CurrentPor-Equ Factor Movements'!D62+'CurrentPor-Equ Factor Movements'!H62)/100,2))*100</f>
        <v>9595.8487179296862</v>
      </c>
      <c r="E62">
        <f>(3/(1+('CurrentPor-Equ Factor Movements'!C62+'CurrentPor-Equ Factor Movements'!I62)/100)+103/POWER(1+('CurrentPor-Equ Factor Movements'!D62+'CurrentPor-Equ Factor Movements'!I62)/100,2))*100</f>
        <v>9583.3395659284597</v>
      </c>
      <c r="F62">
        <f>Portfolio!B$5*'CurrentPor-Equ Factor Movements'!E62</f>
        <v>52143.895533915893</v>
      </c>
      <c r="G62">
        <f>Portfolio!B$6*'CurrentPor-Equ Factor Movements'!F62</f>
        <v>3696.2945087936532</v>
      </c>
      <c r="H62">
        <f>Portfolio!B$7*'CurrentPor-Equ Factor Movements'!J62</f>
        <v>2148.0998964419859</v>
      </c>
      <c r="I62">
        <f t="shared" si="0"/>
        <v>96515.322277603278</v>
      </c>
      <c r="J62">
        <f t="shared" si="1"/>
        <v>12.660080913439742</v>
      </c>
    </row>
    <row r="63" spans="1:10">
      <c r="A63" s="1">
        <v>45558</v>
      </c>
      <c r="B63">
        <f>(3/(1+('CurrentPor-Equ Factor Movements'!C63)/100)+103/POWER(1+('CurrentPor-Equ Factor Movements'!D63)/100,2))*100</f>
        <v>9707.5857774288397</v>
      </c>
      <c r="C63">
        <f>(3/(1+('CurrentPor-Equ Factor Movements'!C63+'CurrentPor-Equ Factor Movements'!G63)/100)+103/POWER(1+('CurrentPor-Equ Factor Movements'!D63+'CurrentPor-Equ Factor Movements'!G63)/100,2))*100</f>
        <v>9642.0686266331541</v>
      </c>
      <c r="D63">
        <f>(3/(1+('CurrentPor-Equ Factor Movements'!C63+'CurrentPor-Equ Factor Movements'!H63)/100)+103/POWER(1+('CurrentPor-Equ Factor Movements'!D63+'CurrentPor-Equ Factor Movements'!H63)/100,2))*100</f>
        <v>9606.8098692856529</v>
      </c>
      <c r="E63">
        <f>(3/(1+('CurrentPor-Equ Factor Movements'!C63+'CurrentPor-Equ Factor Movements'!I63)/100)+103/POWER(1+('CurrentPor-Equ Factor Movements'!D63+'CurrentPor-Equ Factor Movements'!I63)/100,2))*100</f>
        <v>9579.4760908231528</v>
      </c>
      <c r="F63">
        <f>Portfolio!B$5*'CurrentPor-Equ Factor Movements'!E63</f>
        <v>52143.895533915893</v>
      </c>
      <c r="G63">
        <f>Portfolio!B$6*'CurrentPor-Equ Factor Movements'!F63</f>
        <v>3696.2945087936532</v>
      </c>
      <c r="H63">
        <f>Portfolio!B$7*'CurrentPor-Equ Factor Movements'!J63</f>
        <v>2148.0998964419859</v>
      </c>
      <c r="I63">
        <f t="shared" si="0"/>
        <v>96524.230303322329</v>
      </c>
      <c r="J63">
        <f t="shared" si="1"/>
        <v>7.70062346427585</v>
      </c>
    </row>
    <row r="64" spans="1:10">
      <c r="A64" s="1">
        <v>45559</v>
      </c>
      <c r="B64">
        <f>(3/(1+('CurrentPor-Equ Factor Movements'!C64)/100)+103/POWER(1+('CurrentPor-Equ Factor Movements'!D64)/100,2))*100</f>
        <v>9707.5857774288397</v>
      </c>
      <c r="C64">
        <f>(3/(1+('CurrentPor-Equ Factor Movements'!C64+'CurrentPor-Equ Factor Movements'!G64)/100)+103/POWER(1+('CurrentPor-Equ Factor Movements'!D64+'CurrentPor-Equ Factor Movements'!G64)/100,2))*100</f>
        <v>9643.879491178941</v>
      </c>
      <c r="D64">
        <f>(3/(1+('CurrentPor-Equ Factor Movements'!C64+'CurrentPor-Equ Factor Movements'!H64)/100)+103/POWER(1+('CurrentPor-Equ Factor Movements'!D64+'CurrentPor-Equ Factor Movements'!H64)/100,2))*100</f>
        <v>9614.896012983485</v>
      </c>
      <c r="E64">
        <f>(3/(1+('CurrentPor-Equ Factor Movements'!C64+'CurrentPor-Equ Factor Movements'!I64)/100)+103/POWER(1+('CurrentPor-Equ Factor Movements'!D64+'CurrentPor-Equ Factor Movements'!I64)/100,2))*100</f>
        <v>9581.2406914267158</v>
      </c>
      <c r="F64">
        <f>Portfolio!B$5*'CurrentPor-Equ Factor Movements'!E64</f>
        <v>52143.895533915893</v>
      </c>
      <c r="G64">
        <f>Portfolio!B$6*'CurrentPor-Equ Factor Movements'!F64</f>
        <v>3696.2945087936532</v>
      </c>
      <c r="H64">
        <f>Portfolio!B$7*'CurrentPor-Equ Factor Movements'!J64</f>
        <v>2148.0998964419859</v>
      </c>
      <c r="I64">
        <f t="shared" si="0"/>
        <v>96535.891912169507</v>
      </c>
      <c r="J64">
        <f t="shared" si="1"/>
        <v>46.948425053560641</v>
      </c>
    </row>
    <row r="65" spans="1:10">
      <c r="A65" s="1">
        <v>45560</v>
      </c>
      <c r="B65">
        <f>(3/(1+('CurrentPor-Equ Factor Movements'!C65)/100)+103/POWER(1+('CurrentPor-Equ Factor Movements'!D65)/100,2))*100</f>
        <v>9707.5857774288397</v>
      </c>
      <c r="C65">
        <f>(3/(1+('CurrentPor-Equ Factor Movements'!C65+'CurrentPor-Equ Factor Movements'!G65)/100)+103/POWER(1+('CurrentPor-Equ Factor Movements'!D65+'CurrentPor-Equ Factor Movements'!G65)/100,2))*100</f>
        <v>9640.2582771647722</v>
      </c>
      <c r="D65">
        <f>(3/(1+('CurrentPor-Equ Factor Movements'!C65+'CurrentPor-Equ Factor Movements'!H65)/100)+103/POWER(1+('CurrentPor-Equ Factor Movements'!D65+'CurrentPor-Equ Factor Movements'!H65)/100,2))*100</f>
        <v>9607.6985825555385</v>
      </c>
      <c r="E65">
        <f>(3/(1+('CurrentPor-Equ Factor Movements'!C65+'CurrentPor-Equ Factor Movements'!I65)/100)+103/POWER(1+('CurrentPor-Equ Factor Movements'!D65+'CurrentPor-Equ Factor Movements'!I65)/100,2))*100</f>
        <v>9581.9440596788936</v>
      </c>
      <c r="F65">
        <f>Portfolio!B$5*'CurrentPor-Equ Factor Movements'!E65</f>
        <v>52143.895533915893</v>
      </c>
      <c r="G65">
        <f>Portfolio!B$6*'CurrentPor-Equ Factor Movements'!F65</f>
        <v>3696.2945087936532</v>
      </c>
      <c r="H65">
        <f>Portfolio!B$7*'CurrentPor-Equ Factor Movements'!J65</f>
        <v>2148.0998964419859</v>
      </c>
      <c r="I65">
        <f t="shared" si="0"/>
        <v>96525.776635979579</v>
      </c>
      <c r="J65">
        <f t="shared" si="1"/>
        <v>26.948396175808739</v>
      </c>
    </row>
    <row r="66" spans="1:10">
      <c r="A66" s="1">
        <v>45561</v>
      </c>
      <c r="B66">
        <f>(3/(1+('CurrentPor-Equ Factor Movements'!C66)/100)+103/POWER(1+('CurrentPor-Equ Factor Movements'!D66)/100,2))*100</f>
        <v>9707.5857774288397</v>
      </c>
      <c r="C66">
        <f>(3/(1+('CurrentPor-Equ Factor Movements'!C66+'CurrentPor-Equ Factor Movements'!G66)/100)+103/POWER(1+('CurrentPor-Equ Factor Movements'!D66+'CurrentPor-Equ Factor Movements'!G66)/100,2))*100</f>
        <v>9638.4484425779829</v>
      </c>
      <c r="D66">
        <f>(3/(1+('CurrentPor-Equ Factor Movements'!C66+'CurrentPor-Equ Factor Movements'!H66)/100)+103/POWER(1+('CurrentPor-Equ Factor Movements'!D66+'CurrentPor-Equ Factor Movements'!H66)/100,2))*100</f>
        <v>9610.5328170949797</v>
      </c>
      <c r="E66">
        <f>(3/(1+('CurrentPor-Equ Factor Movements'!C66+'CurrentPor-Equ Factor Movements'!I66)/100)+103/POWER(1+('CurrentPor-Equ Factor Movements'!D66+'CurrentPor-Equ Factor Movements'!I66)/100,2))*100</f>
        <v>9581.3525916585568</v>
      </c>
      <c r="F66">
        <f>Portfolio!B$5*'CurrentPor-Equ Factor Movements'!E66</f>
        <v>52143.895533915893</v>
      </c>
      <c r="G66">
        <f>Portfolio!B$6*'CurrentPor-Equ Factor Movements'!F66</f>
        <v>3696.2945087936532</v>
      </c>
      <c r="H66">
        <f>Portfolio!B$7*'CurrentPor-Equ Factor Movements'!J66</f>
        <v>2148.0998964419859</v>
      </c>
      <c r="I66">
        <f t="shared" si="0"/>
        <v>96526.209567911879</v>
      </c>
      <c r="J66">
        <f t="shared" si="1"/>
        <v>26.339721813797951</v>
      </c>
    </row>
    <row r="67" spans="1:10">
      <c r="A67" s="1">
        <v>45562</v>
      </c>
      <c r="B67">
        <f>(3/(1+('CurrentPor-Equ Factor Movements'!C67)/100)+103/POWER(1+('CurrentPor-Equ Factor Movements'!D67)/100,2))*100</f>
        <v>9707.5857774288397</v>
      </c>
      <c r="C67">
        <f>(3/(1+('CurrentPor-Equ Factor Movements'!C67+'CurrentPor-Equ Factor Movements'!G67)/100)+103/POWER(1+('CurrentPor-Equ Factor Movements'!D67+'CurrentPor-Equ Factor Movements'!G67)/100,2))*100</f>
        <v>9636.6391226770629</v>
      </c>
      <c r="D67">
        <f>(3/(1+('CurrentPor-Equ Factor Movements'!C67+'CurrentPor-Equ Factor Movements'!H67)/100)+103/POWER(1+('CurrentPor-Equ Factor Movements'!D67+'CurrentPor-Equ Factor Movements'!H67)/100,2))*100</f>
        <v>9597.3544839682436</v>
      </c>
      <c r="E67">
        <f>(3/(1+('CurrentPor-Equ Factor Movements'!C67+'CurrentPor-Equ Factor Movements'!I67)/100)+103/POWER(1+('CurrentPor-Equ Factor Movements'!D67+'CurrentPor-Equ Factor Movements'!I67)/100,2))*100</f>
        <v>9581.0784588554361</v>
      </c>
      <c r="F67">
        <f>Portfolio!B$5*'CurrentPor-Equ Factor Movements'!E67</f>
        <v>52143.895533915893</v>
      </c>
      <c r="G67">
        <f>Portfolio!B$6*'CurrentPor-Equ Factor Movements'!F67</f>
        <v>3696.2945087936532</v>
      </c>
      <c r="H67">
        <f>Portfolio!B$7*'CurrentPor-Equ Factor Movements'!J67</f>
        <v>2148.0998964419859</v>
      </c>
      <c r="I67">
        <f t="shared" si="0"/>
        <v>96510.947782081115</v>
      </c>
      <c r="J67">
        <f t="shared" si="1"/>
        <v>-13.422449717778363</v>
      </c>
    </row>
    <row r="68" spans="1:10">
      <c r="A68" s="1">
        <v>45565</v>
      </c>
      <c r="B68">
        <f>(3/(1+('CurrentPor-Equ Factor Movements'!C68)/100)+103/POWER(1+('CurrentPor-Equ Factor Movements'!D68)/100,2))*100</f>
        <v>9707.5857774288397</v>
      </c>
      <c r="C68">
        <f>(3/(1+('CurrentPor-Equ Factor Movements'!C68+'CurrentPor-Equ Factor Movements'!G68)/100)+103/POWER(1+('CurrentPor-Equ Factor Movements'!D68+'CurrentPor-Equ Factor Movements'!G68)/100,2))*100</f>
        <v>9633.0220261504182</v>
      </c>
      <c r="D68">
        <f>(3/(1+('CurrentPor-Equ Factor Movements'!C68+'CurrentPor-Equ Factor Movements'!H68)/100)+103/POWER(1+('CurrentPor-Equ Factor Movements'!D68+'CurrentPor-Equ Factor Movements'!H68)/100,2))*100</f>
        <v>9594.7781927274227</v>
      </c>
      <c r="E68">
        <f>(3/(1+('CurrentPor-Equ Factor Movements'!C68+'CurrentPor-Equ Factor Movements'!I68)/100)+103/POWER(1+('CurrentPor-Equ Factor Movements'!D68+'CurrentPor-Equ Factor Movements'!I68)/100,2))*100</f>
        <v>9580.1876409170109</v>
      </c>
      <c r="F68">
        <f>Portfolio!B$5*'CurrentPor-Equ Factor Movements'!E68</f>
        <v>52143.895533915893</v>
      </c>
      <c r="G68">
        <f>Portfolio!B$6*'CurrentPor-Equ Factor Movements'!F68</f>
        <v>3696.2945087936532</v>
      </c>
      <c r="H68">
        <f>Portfolio!B$7*'CurrentPor-Equ Factor Movements'!J68</f>
        <v>2148.0998964419859</v>
      </c>
      <c r="I68">
        <f t="shared" ref="I68:I131" si="2">SUM(B68:H68)</f>
        <v>96503.863576375225</v>
      </c>
      <c r="J68">
        <f t="shared" si="1"/>
        <v>-25.519039291510126</v>
      </c>
    </row>
    <row r="69" spans="1:10">
      <c r="A69" s="1">
        <v>45566</v>
      </c>
      <c r="B69">
        <f>(3/(1+('CurrentPor-Equ Factor Movements'!C69)/100)+103/POWER(1+('CurrentPor-Equ Factor Movements'!D69)/100,2))*100</f>
        <v>9707.5857774288397</v>
      </c>
      <c r="C69">
        <f>(3/(1+('CurrentPor-Equ Factor Movements'!C69+'CurrentPor-Equ Factor Movements'!G69)/100)+103/POWER(1+('CurrentPor-Equ Factor Movements'!D69+'CurrentPor-Equ Factor Movements'!G69)/100,2))*100</f>
        <v>9634.8303172663855</v>
      </c>
      <c r="D69">
        <f>(3/(1+('CurrentPor-Equ Factor Movements'!C69+'CurrentPor-Equ Factor Movements'!H69)/100)+103/POWER(1+('CurrentPor-Equ Factor Movements'!D69+'CurrentPor-Equ Factor Movements'!H69)/100,2))*100</f>
        <v>9596.784888139191</v>
      </c>
      <c r="E69">
        <f>(3/(1+('CurrentPor-Equ Factor Movements'!C69+'CurrentPor-Equ Factor Movements'!I69)/100)+103/POWER(1+('CurrentPor-Equ Factor Movements'!D69+'CurrentPor-Equ Factor Movements'!I69)/100,2))*100</f>
        <v>9581.0531467707842</v>
      </c>
      <c r="F69">
        <f>Portfolio!B$5*'CurrentPor-Equ Factor Movements'!E69</f>
        <v>52143.895533915893</v>
      </c>
      <c r="G69">
        <f>Portfolio!B$6*'CurrentPor-Equ Factor Movements'!F69</f>
        <v>3696.2945087936532</v>
      </c>
      <c r="H69">
        <f>Portfolio!B$7*'CurrentPor-Equ Factor Movements'!J69</f>
        <v>2148.0998964419859</v>
      </c>
      <c r="I69">
        <f t="shared" si="2"/>
        <v>96508.544068756732</v>
      </c>
      <c r="J69">
        <f t="shared" si="1"/>
        <v>-8.9052582053118385</v>
      </c>
    </row>
    <row r="70" spans="1:10">
      <c r="A70" s="1">
        <v>45567</v>
      </c>
      <c r="B70">
        <f>(3/(1+('CurrentPor-Equ Factor Movements'!C70)/100)+103/POWER(1+('CurrentPor-Equ Factor Movements'!D70)/100,2))*100</f>
        <v>9707.5857774288397</v>
      </c>
      <c r="C70">
        <f>(3/(1+('CurrentPor-Equ Factor Movements'!C70+'CurrentPor-Equ Factor Movements'!G70)/100)+103/POWER(1+('CurrentPor-Equ Factor Movements'!D70+'CurrentPor-Equ Factor Movements'!G70)/100,2))*100</f>
        <v>9634.8303172663855</v>
      </c>
      <c r="D70">
        <f>(3/(1+('CurrentPor-Equ Factor Movements'!C70+'CurrentPor-Equ Factor Movements'!H70)/100)+103/POWER(1+('CurrentPor-Equ Factor Movements'!D70+'CurrentPor-Equ Factor Movements'!H70)/100,2))*100</f>
        <v>9606.033946273903</v>
      </c>
      <c r="E70">
        <f>(3/(1+('CurrentPor-Equ Factor Movements'!C70+'CurrentPor-Equ Factor Movements'!I70)/100)+103/POWER(1+('CurrentPor-Equ Factor Movements'!D70+'CurrentPor-Equ Factor Movements'!I70)/100,2))*100</f>
        <v>9580.3585773894247</v>
      </c>
      <c r="F70">
        <f>Portfolio!B$5*'CurrentPor-Equ Factor Movements'!E70</f>
        <v>52143.895533915893</v>
      </c>
      <c r="G70">
        <f>Portfolio!B$6*'CurrentPor-Equ Factor Movements'!F70</f>
        <v>3696.2945087936532</v>
      </c>
      <c r="H70">
        <f>Portfolio!B$7*'CurrentPor-Equ Factor Movements'!J70</f>
        <v>2148.0998964419859</v>
      </c>
      <c r="I70">
        <f t="shared" si="2"/>
        <v>96517.098557510079</v>
      </c>
      <c r="J70">
        <f t="shared" si="1"/>
        <v>2.4770604736404493</v>
      </c>
    </row>
    <row r="71" spans="1:10">
      <c r="A71" s="1">
        <v>45568</v>
      </c>
      <c r="B71">
        <f>(3/(1+('CurrentPor-Equ Factor Movements'!C71)/100)+103/POWER(1+('CurrentPor-Equ Factor Movements'!D71)/100,2))*100</f>
        <v>9707.5857774288397</v>
      </c>
      <c r="C71">
        <f>(3/(1+('CurrentPor-Equ Factor Movements'!C71+'CurrentPor-Equ Factor Movements'!G71)/100)+103/POWER(1+('CurrentPor-Equ Factor Movements'!D71+'CurrentPor-Equ Factor Movements'!G71)/100,2))*100</f>
        <v>9634.8303172663855</v>
      </c>
      <c r="D71">
        <f>(3/(1+('CurrentPor-Equ Factor Movements'!C71+'CurrentPor-Equ Factor Movements'!H71)/100)+103/POWER(1+('CurrentPor-Equ Factor Movements'!D71+'CurrentPor-Equ Factor Movements'!H71)/100,2))*100</f>
        <v>9585.4843833852265</v>
      </c>
      <c r="E71">
        <f>(3/(1+('CurrentPor-Equ Factor Movements'!C71+'CurrentPor-Equ Factor Movements'!I71)/100)+103/POWER(1+('CurrentPor-Equ Factor Movements'!D71+'CurrentPor-Equ Factor Movements'!I71)/100,2))*100</f>
        <v>9581.4264837555766</v>
      </c>
      <c r="F71">
        <f>Portfolio!B$5*'CurrentPor-Equ Factor Movements'!E71</f>
        <v>52143.895533915893</v>
      </c>
      <c r="G71">
        <f>Portfolio!B$6*'CurrentPor-Equ Factor Movements'!F71</f>
        <v>3696.2945087936532</v>
      </c>
      <c r="H71">
        <f>Portfolio!B$7*'CurrentPor-Equ Factor Movements'!J71</f>
        <v>2148.0998964419859</v>
      </c>
      <c r="I71">
        <f t="shared" si="2"/>
        <v>96497.616900987559</v>
      </c>
      <c r="J71">
        <f t="shared" si="1"/>
        <v>-26.589868332841434</v>
      </c>
    </row>
    <row r="72" spans="1:10">
      <c r="A72" s="1">
        <v>45569</v>
      </c>
      <c r="B72">
        <f>(3/(1+('CurrentPor-Equ Factor Movements'!C72)/100)+103/POWER(1+('CurrentPor-Equ Factor Movements'!D72)/100,2))*100</f>
        <v>9707.5857774288397</v>
      </c>
      <c r="C72">
        <f>(3/(1+('CurrentPor-Equ Factor Movements'!C72+'CurrentPor-Equ Factor Movements'!G72)/100)+103/POWER(1+('CurrentPor-Equ Factor Movements'!D72+'CurrentPor-Equ Factor Movements'!G72)/100,2))*100</f>
        <v>9631.2142491337127</v>
      </c>
      <c r="D72">
        <f>(3/(1+('CurrentPor-Equ Factor Movements'!C72+'CurrentPor-Equ Factor Movements'!H72)/100)+103/POWER(1+('CurrentPor-Equ Factor Movements'!D72+'CurrentPor-Equ Factor Movements'!H72)/100,2))*100</f>
        <v>9597.8405455466655</v>
      </c>
      <c r="E72">
        <f>(3/(1+('CurrentPor-Equ Factor Movements'!C72+'CurrentPor-Equ Factor Movements'!I72)/100)+103/POWER(1+('CurrentPor-Equ Factor Movements'!D72+'CurrentPor-Equ Factor Movements'!I72)/100,2))*100</f>
        <v>9582.0713776831362</v>
      </c>
      <c r="F72">
        <f>Portfolio!B$5*'CurrentPor-Equ Factor Movements'!E72</f>
        <v>52143.895533915893</v>
      </c>
      <c r="G72">
        <f>Portfolio!B$6*'CurrentPor-Equ Factor Movements'!F72</f>
        <v>3696.2945087936532</v>
      </c>
      <c r="H72">
        <f>Portfolio!B$7*'CurrentPor-Equ Factor Movements'!J72</f>
        <v>2148.0998964419859</v>
      </c>
      <c r="I72">
        <f t="shared" si="2"/>
        <v>96507.00188894388</v>
      </c>
      <c r="J72">
        <f t="shared" si="1"/>
        <v>-8.3203886593983043</v>
      </c>
    </row>
    <row r="73" spans="1:10">
      <c r="A73" s="1">
        <v>45572</v>
      </c>
      <c r="B73">
        <f>(3/(1+('CurrentPor-Equ Factor Movements'!C73)/100)+103/POWER(1+('CurrentPor-Equ Factor Movements'!D73)/100,2))*100</f>
        <v>9707.5857774288397</v>
      </c>
      <c r="C73">
        <f>(3/(1+('CurrentPor-Equ Factor Movements'!C73+'CurrentPor-Equ Factor Movements'!G73)/100)+103/POWER(1+('CurrentPor-Equ Factor Movements'!D73+'CurrentPor-Equ Factor Movements'!G73)/100,2))*100</f>
        <v>9629.4069860209238</v>
      </c>
      <c r="D73">
        <f>(3/(1+('CurrentPor-Equ Factor Movements'!C73+'CurrentPor-Equ Factor Movements'!H73)/100)+103/POWER(1+('CurrentPor-Equ Factor Movements'!D73+'CurrentPor-Equ Factor Movements'!H73)/100,2))*100</f>
        <v>9613.2645878226158</v>
      </c>
      <c r="E73">
        <f>(3/(1+('CurrentPor-Equ Factor Movements'!C73+'CurrentPor-Equ Factor Movements'!I73)/100)+103/POWER(1+('CurrentPor-Equ Factor Movements'!D73+'CurrentPor-Equ Factor Movements'!I73)/100,2))*100</f>
        <v>9580.5767725456863</v>
      </c>
      <c r="F73">
        <f>Portfolio!B$5*'CurrentPor-Equ Factor Movements'!E73</f>
        <v>52143.895533915893</v>
      </c>
      <c r="G73">
        <f>Portfolio!B$6*'CurrentPor-Equ Factor Movements'!F73</f>
        <v>3696.2945087936532</v>
      </c>
      <c r="H73">
        <f>Portfolio!B$7*'CurrentPor-Equ Factor Movements'!J73</f>
        <v>2148.0998964419859</v>
      </c>
      <c r="I73">
        <f t="shared" si="2"/>
        <v>96519.124062969597</v>
      </c>
      <c r="J73">
        <f t="shared" si="1"/>
        <v>-5.1062403527321294</v>
      </c>
    </row>
    <row r="74" spans="1:10">
      <c r="A74" s="1">
        <v>45573</v>
      </c>
      <c r="B74">
        <f>(3/(1+('CurrentPor-Equ Factor Movements'!C74)/100)+103/POWER(1+('CurrentPor-Equ Factor Movements'!D74)/100,2))*100</f>
        <v>9707.5857774288397</v>
      </c>
      <c r="C74">
        <f>(3/(1+('CurrentPor-Equ Factor Movements'!C74+'CurrentPor-Equ Factor Movements'!G74)/100)+103/POWER(1+('CurrentPor-Equ Factor Movements'!D74+'CurrentPor-Equ Factor Movements'!G74)/100,2))*100</f>
        <v>9636.6391226770629</v>
      </c>
      <c r="D74">
        <f>(3/(1+('CurrentPor-Equ Factor Movements'!C74+'CurrentPor-Equ Factor Movements'!H74)/100)+103/POWER(1+('CurrentPor-Equ Factor Movements'!D74+'CurrentPor-Equ Factor Movements'!H74)/100,2))*100</f>
        <v>9585.2118382865192</v>
      </c>
      <c r="E74">
        <f>(3/(1+('CurrentPor-Equ Factor Movements'!C74+'CurrentPor-Equ Factor Movements'!I74)/100)+103/POWER(1+('CurrentPor-Equ Factor Movements'!D74+'CurrentPor-Equ Factor Movements'!I74)/100,2))*100</f>
        <v>9582.3419247130823</v>
      </c>
      <c r="F74">
        <f>Portfolio!B$5*'CurrentPor-Equ Factor Movements'!E74</f>
        <v>52143.895533915893</v>
      </c>
      <c r="G74">
        <f>Portfolio!B$6*'CurrentPor-Equ Factor Movements'!F74</f>
        <v>3696.2945087936532</v>
      </c>
      <c r="H74">
        <f>Portfolio!B$7*'CurrentPor-Equ Factor Movements'!J74</f>
        <v>2148.0998964419859</v>
      </c>
      <c r="I74">
        <f t="shared" si="2"/>
        <v>96500.068602257044</v>
      </c>
      <c r="J74">
        <f t="shared" si="1"/>
        <v>-35.823309912462719</v>
      </c>
    </row>
    <row r="75" spans="1:10">
      <c r="A75" s="1">
        <v>45574</v>
      </c>
      <c r="B75">
        <f>(3/(1+('CurrentPor-Equ Factor Movements'!C75)/100)+103/POWER(1+('CurrentPor-Equ Factor Movements'!D75)/100,2))*100</f>
        <v>9707.5857774288397</v>
      </c>
      <c r="C75">
        <f>(3/(1+('CurrentPor-Equ Factor Movements'!C75+'CurrentPor-Equ Factor Movements'!G75)/100)+103/POWER(1+('CurrentPor-Equ Factor Movements'!D75+'CurrentPor-Equ Factor Movements'!G75)/100,2))*100</f>
        <v>9640.2582771647722</v>
      </c>
      <c r="D75">
        <f>(3/(1+('CurrentPor-Equ Factor Movements'!C75+'CurrentPor-Equ Factor Movements'!H75)/100)+103/POWER(1+('CurrentPor-Equ Factor Movements'!D75+'CurrentPor-Equ Factor Movements'!H75)/100,2))*100</f>
        <v>9589.7775477937776</v>
      </c>
      <c r="E75">
        <f>(3/(1+('CurrentPor-Equ Factor Movements'!C75+'CurrentPor-Equ Factor Movements'!I75)/100)+103/POWER(1+('CurrentPor-Equ Factor Movements'!D75+'CurrentPor-Equ Factor Movements'!I75)/100,2))*100</f>
        <v>9580.7848447800734</v>
      </c>
      <c r="F75">
        <f>Portfolio!B$5*'CurrentPor-Equ Factor Movements'!E75</f>
        <v>52143.895533915893</v>
      </c>
      <c r="G75">
        <f>Portfolio!B$6*'CurrentPor-Equ Factor Movements'!F75</f>
        <v>3696.2945087936532</v>
      </c>
      <c r="H75">
        <f>Portfolio!B$7*'CurrentPor-Equ Factor Movements'!J75</f>
        <v>2148.0998964419859</v>
      </c>
      <c r="I75">
        <f t="shared" si="2"/>
        <v>96506.696386318989</v>
      </c>
      <c r="J75">
        <f t="shared" si="1"/>
        <v>-19.080249660590198</v>
      </c>
    </row>
    <row r="76" spans="1:10">
      <c r="A76" s="1">
        <v>45575</v>
      </c>
      <c r="B76">
        <f>(3/(1+('CurrentPor-Equ Factor Movements'!C76)/100)+103/POWER(1+('CurrentPor-Equ Factor Movements'!D76)/100,2))*100</f>
        <v>9707.5857774288397</v>
      </c>
      <c r="C76">
        <f>(3/(1+('CurrentPor-Equ Factor Movements'!C76+'CurrentPor-Equ Factor Movements'!G76)/100)+103/POWER(1+('CurrentPor-Equ Factor Movements'!D76+'CurrentPor-Equ Factor Movements'!G76)/100,2))*100</f>
        <v>9642.0686266331541</v>
      </c>
      <c r="D76">
        <f>(3/(1+('CurrentPor-Equ Factor Movements'!C76+'CurrentPor-Equ Factor Movements'!H76)/100)+103/POWER(1+('CurrentPor-Equ Factor Movements'!D76+'CurrentPor-Equ Factor Movements'!H76)/100,2))*100</f>
        <v>9591.5763994074568</v>
      </c>
      <c r="E76">
        <f>(3/(1+('CurrentPor-Equ Factor Movements'!C76+'CurrentPor-Equ Factor Movements'!I76)/100)+103/POWER(1+('CurrentPor-Equ Factor Movements'!D76+'CurrentPor-Equ Factor Movements'!I76)/100,2))*100</f>
        <v>9580.489996119677</v>
      </c>
      <c r="F76">
        <f>Portfolio!B$5*'CurrentPor-Equ Factor Movements'!E76</f>
        <v>52143.895533915893</v>
      </c>
      <c r="G76">
        <f>Portfolio!B$6*'CurrentPor-Equ Factor Movements'!F76</f>
        <v>3696.2945087936532</v>
      </c>
      <c r="H76">
        <f>Portfolio!B$7*'CurrentPor-Equ Factor Movements'!J76</f>
        <v>2148.0998964419859</v>
      </c>
      <c r="I76">
        <f t="shared" si="2"/>
        <v>96510.010738740661</v>
      </c>
      <c r="J76">
        <f t="shared" si="1"/>
        <v>-16.198829171218676</v>
      </c>
    </row>
    <row r="77" spans="1:10">
      <c r="A77" s="1">
        <v>45576</v>
      </c>
      <c r="B77">
        <f>(3/(1+('CurrentPor-Equ Factor Movements'!C77)/100)+103/POWER(1+('CurrentPor-Equ Factor Movements'!D77)/100,2))*100</f>
        <v>9707.5857774288397</v>
      </c>
      <c r="C77">
        <f>(3/(1+('CurrentPor-Equ Factor Movements'!C77+'CurrentPor-Equ Factor Movements'!G77)/100)+103/POWER(1+('CurrentPor-Equ Factor Movements'!D77+'CurrentPor-Equ Factor Movements'!G77)/100,2))*100</f>
        <v>9642.0686266331541</v>
      </c>
      <c r="D77">
        <f>(3/(1+('CurrentPor-Equ Factor Movements'!C77+'CurrentPor-Equ Factor Movements'!H77)/100)+103/POWER(1+('CurrentPor-Equ Factor Movements'!D77+'CurrentPor-Equ Factor Movements'!H77)/100,2))*100</f>
        <v>9597.3391887643265</v>
      </c>
      <c r="E77">
        <f>(3/(1+('CurrentPor-Equ Factor Movements'!C77+'CurrentPor-Equ Factor Movements'!I77)/100)+103/POWER(1+('CurrentPor-Equ Factor Movements'!D77+'CurrentPor-Equ Factor Movements'!I77)/100,2))*100</f>
        <v>9582.3956915090057</v>
      </c>
      <c r="F77">
        <f>Portfolio!B$5*'CurrentPor-Equ Factor Movements'!E77</f>
        <v>52143.895533915893</v>
      </c>
      <c r="G77">
        <f>Portfolio!B$6*'CurrentPor-Equ Factor Movements'!F77</f>
        <v>3696.2945087936532</v>
      </c>
      <c r="H77">
        <f>Portfolio!B$7*'CurrentPor-Equ Factor Movements'!J77</f>
        <v>2148.0998964419859</v>
      </c>
      <c r="I77">
        <f t="shared" si="2"/>
        <v>96517.679223486848</v>
      </c>
      <c r="J77">
        <f t="shared" si="1"/>
        <v>6.7314414057327667</v>
      </c>
    </row>
    <row r="78" spans="1:10">
      <c r="A78" s="1">
        <v>45579</v>
      </c>
      <c r="B78">
        <f>(3/(1+('CurrentPor-Equ Factor Movements'!C78)/100)+103/POWER(1+('CurrentPor-Equ Factor Movements'!D78)/100,2))*100</f>
        <v>9707.5857774288397</v>
      </c>
      <c r="C78">
        <f>(3/(1+('CurrentPor-Equ Factor Movements'!C78+'CurrentPor-Equ Factor Movements'!G78)/100)+103/POWER(1+('CurrentPor-Equ Factor Movements'!D78+'CurrentPor-Equ Factor Movements'!G78)/100,2))*100</f>
        <v>9642.0686266331541</v>
      </c>
      <c r="D78">
        <f>(3/(1+('CurrentPor-Equ Factor Movements'!C78+'CurrentPor-Equ Factor Movements'!H78)/100)+103/POWER(1+('CurrentPor-Equ Factor Movements'!D78+'CurrentPor-Equ Factor Movements'!H78)/100,2))*100</f>
        <v>9607.7743638502561</v>
      </c>
      <c r="E78">
        <f>(3/(1+('CurrentPor-Equ Factor Movements'!C78+'CurrentPor-Equ Factor Movements'!I78)/100)+103/POWER(1+('CurrentPor-Equ Factor Movements'!D78+'CurrentPor-Equ Factor Movements'!I78)/100,2))*100</f>
        <v>9579.3572554563816</v>
      </c>
      <c r="F78">
        <f>Portfolio!B$5*'CurrentPor-Equ Factor Movements'!E78</f>
        <v>52143.895533915893</v>
      </c>
      <c r="G78">
        <f>Portfolio!B$6*'CurrentPor-Equ Factor Movements'!F78</f>
        <v>3696.2945087936532</v>
      </c>
      <c r="H78">
        <f>Portfolio!B$7*'CurrentPor-Equ Factor Movements'!J78</f>
        <v>2148.0998964419859</v>
      </c>
      <c r="I78">
        <f t="shared" si="2"/>
        <v>96525.075962520161</v>
      </c>
      <c r="J78">
        <f t="shared" ref="J78:J141" si="3">I78-I68</f>
        <v>21.212386144936318</v>
      </c>
    </row>
    <row r="79" spans="1:10">
      <c r="A79" s="1">
        <v>45580</v>
      </c>
      <c r="B79">
        <f>(3/(1+('CurrentPor-Equ Factor Movements'!C79)/100)+103/POWER(1+('CurrentPor-Equ Factor Movements'!D79)/100,2))*100</f>
        <v>9707.5857774288397</v>
      </c>
      <c r="C79">
        <f>(3/(1+('CurrentPor-Equ Factor Movements'!C79+'CurrentPor-Equ Factor Movements'!G79)/100)+103/POWER(1+('CurrentPor-Equ Factor Movements'!D79+'CurrentPor-Equ Factor Movements'!G79)/100,2))*100</f>
        <v>9642.0686266331541</v>
      </c>
      <c r="D79">
        <f>(3/(1+('CurrentPor-Equ Factor Movements'!C79+'CurrentPor-Equ Factor Movements'!H79)/100)+103/POWER(1+('CurrentPor-Equ Factor Movements'!D79+'CurrentPor-Equ Factor Movements'!H79)/100,2))*100</f>
        <v>9620.9816481323287</v>
      </c>
      <c r="E79">
        <f>(3/(1+('CurrentPor-Equ Factor Movements'!C79+'CurrentPor-Equ Factor Movements'!I79)/100)+103/POWER(1+('CurrentPor-Equ Factor Movements'!D79+'CurrentPor-Equ Factor Movements'!I79)/100,2))*100</f>
        <v>9580.0026500227395</v>
      </c>
      <c r="F79">
        <f>Portfolio!B$5*'CurrentPor-Equ Factor Movements'!E79</f>
        <v>52143.895533915893</v>
      </c>
      <c r="G79">
        <f>Portfolio!B$6*'CurrentPor-Equ Factor Movements'!F79</f>
        <v>3696.2945087936532</v>
      </c>
      <c r="H79">
        <f>Portfolio!B$7*'CurrentPor-Equ Factor Movements'!J79</f>
        <v>2148.0998964419859</v>
      </c>
      <c r="I79">
        <f t="shared" si="2"/>
        <v>96538.928641368591</v>
      </c>
      <c r="J79">
        <f t="shared" si="3"/>
        <v>30.384572611859767</v>
      </c>
    </row>
    <row r="80" spans="1:10">
      <c r="A80" s="1">
        <v>45581</v>
      </c>
      <c r="B80">
        <f>(3/(1+('CurrentPor-Equ Factor Movements'!C80)/100)+103/POWER(1+('CurrentPor-Equ Factor Movements'!D80)/100,2))*100</f>
        <v>9707.5857774288397</v>
      </c>
      <c r="C80">
        <f>(3/(1+('CurrentPor-Equ Factor Movements'!C80+'CurrentPor-Equ Factor Movements'!G80)/100)+103/POWER(1+('CurrentPor-Equ Factor Movements'!D80+'CurrentPor-Equ Factor Movements'!G80)/100,2))*100</f>
        <v>9645.6908709980435</v>
      </c>
      <c r="D80">
        <f>(3/(1+('CurrentPor-Equ Factor Movements'!C80+'CurrentPor-Equ Factor Movements'!H80)/100)+103/POWER(1+('CurrentPor-Equ Factor Movements'!D80+'CurrentPor-Equ Factor Movements'!H80)/100,2))*100</f>
        <v>9601.1583505225753</v>
      </c>
      <c r="E80">
        <f>(3/(1+('CurrentPor-Equ Factor Movements'!C80+'CurrentPor-Equ Factor Movements'!I80)/100)+103/POWER(1+('CurrentPor-Equ Factor Movements'!D80+'CurrentPor-Equ Factor Movements'!I80)/100,2))*100</f>
        <v>9582.2612830943108</v>
      </c>
      <c r="F80">
        <f>Portfolio!B$5*'CurrentPor-Equ Factor Movements'!E80</f>
        <v>52143.895533915893</v>
      </c>
      <c r="G80">
        <f>Portfolio!B$6*'CurrentPor-Equ Factor Movements'!F80</f>
        <v>3696.2945087936532</v>
      </c>
      <c r="H80">
        <f>Portfolio!B$7*'CurrentPor-Equ Factor Movements'!J80</f>
        <v>2148.0998964419859</v>
      </c>
      <c r="I80">
        <f t="shared" si="2"/>
        <v>96524.9862211953</v>
      </c>
      <c r="J80">
        <f t="shared" si="3"/>
        <v>7.8876636852219235</v>
      </c>
    </row>
    <row r="81" spans="1:10">
      <c r="A81" s="1">
        <v>45582</v>
      </c>
      <c r="B81">
        <f>(3/(1+('CurrentPor-Equ Factor Movements'!C81)/100)+103/POWER(1+('CurrentPor-Equ Factor Movements'!D81)/100,2))*100</f>
        <v>9707.5857774288397</v>
      </c>
      <c r="C81">
        <f>(3/(1+('CurrentPor-Equ Factor Movements'!C81+'CurrentPor-Equ Factor Movements'!G81)/100)+103/POWER(1+('CurrentPor-Equ Factor Movements'!D81+'CurrentPor-Equ Factor Movements'!G81)/100,2))*100</f>
        <v>9645.6908709980435</v>
      </c>
      <c r="D81">
        <f>(3/(1+('CurrentPor-Equ Factor Movements'!C81+'CurrentPor-Equ Factor Movements'!H81)/100)+103/POWER(1+('CurrentPor-Equ Factor Movements'!D81+'CurrentPor-Equ Factor Movements'!H81)/100,2))*100</f>
        <v>9587.2990066597595</v>
      </c>
      <c r="E81">
        <f>(3/(1+('CurrentPor-Equ Factor Movements'!C81+'CurrentPor-Equ Factor Movements'!I81)/100)+103/POWER(1+('CurrentPor-Equ Factor Movements'!D81+'CurrentPor-Equ Factor Movements'!I81)/100,2))*100</f>
        <v>9580.9383890343033</v>
      </c>
      <c r="F81">
        <f>Portfolio!B$5*'CurrentPor-Equ Factor Movements'!E81</f>
        <v>52143.895533915893</v>
      </c>
      <c r="G81">
        <f>Portfolio!B$6*'CurrentPor-Equ Factor Movements'!F81</f>
        <v>3696.2945087936532</v>
      </c>
      <c r="H81">
        <f>Portfolio!B$7*'CurrentPor-Equ Factor Movements'!J81</f>
        <v>2148.0998964419859</v>
      </c>
      <c r="I81">
        <f t="shared" si="2"/>
        <v>96509.803983272475</v>
      </c>
      <c r="J81">
        <f t="shared" si="3"/>
        <v>12.187082284915959</v>
      </c>
    </row>
    <row r="82" spans="1:10">
      <c r="A82" s="1">
        <v>45583</v>
      </c>
      <c r="B82">
        <f>(3/(1+('CurrentPor-Equ Factor Movements'!C82)/100)+103/POWER(1+('CurrentPor-Equ Factor Movements'!D82)/100,2))*100</f>
        <v>9707.5857774288397</v>
      </c>
      <c r="C82">
        <f>(3/(1+('CurrentPor-Equ Factor Movements'!C82+'CurrentPor-Equ Factor Movements'!G82)/100)+103/POWER(1+('CurrentPor-Equ Factor Movements'!D82+'CurrentPor-Equ Factor Movements'!G82)/100,2))*100</f>
        <v>9640.2582771647722</v>
      </c>
      <c r="D82">
        <f>(3/(1+('CurrentPor-Equ Factor Movements'!C82+'CurrentPor-Equ Factor Movements'!H82)/100)+103/POWER(1+('CurrentPor-Equ Factor Movements'!D82+'CurrentPor-Equ Factor Movements'!H82)/100,2))*100</f>
        <v>9599.4660613861888</v>
      </c>
      <c r="E82">
        <f>(3/(1+('CurrentPor-Equ Factor Movements'!C82+'CurrentPor-Equ Factor Movements'!I82)/100)+103/POWER(1+('CurrentPor-Equ Factor Movements'!D82+'CurrentPor-Equ Factor Movements'!I82)/100,2))*100</f>
        <v>9580.3612385826909</v>
      </c>
      <c r="F82">
        <f>Portfolio!B$5*'CurrentPor-Equ Factor Movements'!E82</f>
        <v>52143.895533915893</v>
      </c>
      <c r="G82">
        <f>Portfolio!B$6*'CurrentPor-Equ Factor Movements'!F82</f>
        <v>3696.2945087936532</v>
      </c>
      <c r="H82">
        <f>Portfolio!B$7*'CurrentPor-Equ Factor Movements'!J82</f>
        <v>2148.0998964419859</v>
      </c>
      <c r="I82">
        <f t="shared" si="2"/>
        <v>96515.961293714019</v>
      </c>
      <c r="J82">
        <f t="shared" si="3"/>
        <v>8.959404770139372</v>
      </c>
    </row>
    <row r="83" spans="1:10">
      <c r="A83" s="1">
        <v>45586</v>
      </c>
      <c r="B83">
        <f>(3/(1+('CurrentPor-Equ Factor Movements'!C83)/100)+103/POWER(1+('CurrentPor-Equ Factor Movements'!D83)/100,2))*100</f>
        <v>9707.5857774288397</v>
      </c>
      <c r="C83">
        <f>(3/(1+('CurrentPor-Equ Factor Movements'!C83+'CurrentPor-Equ Factor Movements'!G83)/100)+103/POWER(1+('CurrentPor-Equ Factor Movements'!D83+'CurrentPor-Equ Factor Movements'!G83)/100,2))*100</f>
        <v>9634.8303172663855</v>
      </c>
      <c r="D83">
        <f>(3/(1+('CurrentPor-Equ Factor Movements'!C83+'CurrentPor-Equ Factor Movements'!H83)/100)+103/POWER(1+('CurrentPor-Equ Factor Movements'!D83+'CurrentPor-Equ Factor Movements'!H83)/100,2))*100</f>
        <v>9611.6571750888579</v>
      </c>
      <c r="E83">
        <f>(3/(1+('CurrentPor-Equ Factor Movements'!C83+'CurrentPor-Equ Factor Movements'!I83)/100)+103/POWER(1+('CurrentPor-Equ Factor Movements'!D83+'CurrentPor-Equ Factor Movements'!I83)/100,2))*100</f>
        <v>9578.634427460509</v>
      </c>
      <c r="F83">
        <f>Portfolio!B$5*'CurrentPor-Equ Factor Movements'!E83</f>
        <v>52143.895533915893</v>
      </c>
      <c r="G83">
        <f>Portfolio!B$6*'CurrentPor-Equ Factor Movements'!F83</f>
        <v>3696.2945087936532</v>
      </c>
      <c r="H83">
        <f>Portfolio!B$7*'CurrentPor-Equ Factor Movements'!J83</f>
        <v>2148.0998964419859</v>
      </c>
      <c r="I83">
        <f t="shared" si="2"/>
        <v>96520.997636396132</v>
      </c>
      <c r="J83">
        <f t="shared" si="3"/>
        <v>1.8735734265355859</v>
      </c>
    </row>
    <row r="84" spans="1:10">
      <c r="A84" s="1">
        <v>45587</v>
      </c>
      <c r="B84">
        <f>(3/(1+('CurrentPor-Equ Factor Movements'!C84)/100)+103/POWER(1+('CurrentPor-Equ Factor Movements'!D84)/100,2))*100</f>
        <v>9707.5857774288397</v>
      </c>
      <c r="C84">
        <f>(3/(1+('CurrentPor-Equ Factor Movements'!C84+'CurrentPor-Equ Factor Movements'!G84)/100)+103/POWER(1+('CurrentPor-Equ Factor Movements'!D84+'CurrentPor-Equ Factor Movements'!G84)/100,2))*100</f>
        <v>9636.6391226770629</v>
      </c>
      <c r="D84">
        <f>(3/(1+('CurrentPor-Equ Factor Movements'!C84+'CurrentPor-Equ Factor Movements'!H84)/100)+103/POWER(1+('CurrentPor-Equ Factor Movements'!D84+'CurrentPor-Equ Factor Movements'!H84)/100,2))*100</f>
        <v>9601.8897761949283</v>
      </c>
      <c r="E84">
        <f>(3/(1+('CurrentPor-Equ Factor Movements'!C84+'CurrentPor-Equ Factor Movements'!I84)/100)+103/POWER(1+('CurrentPor-Equ Factor Movements'!D84+'CurrentPor-Equ Factor Movements'!I84)/100,2))*100</f>
        <v>9582.9047549846018</v>
      </c>
      <c r="F84">
        <f>Portfolio!B$5*'CurrentPor-Equ Factor Movements'!E84</f>
        <v>52143.895533915893</v>
      </c>
      <c r="G84">
        <f>Portfolio!B$6*'CurrentPor-Equ Factor Movements'!F84</f>
        <v>3696.2945087936532</v>
      </c>
      <c r="H84">
        <f>Portfolio!B$7*'CurrentPor-Equ Factor Movements'!J84</f>
        <v>2148.0998964419859</v>
      </c>
      <c r="I84">
        <f t="shared" si="2"/>
        <v>96517.309370436953</v>
      </c>
      <c r="J84">
        <f t="shared" si="3"/>
        <v>17.240768179908628</v>
      </c>
    </row>
    <row r="85" spans="1:10">
      <c r="A85" s="1">
        <v>45588</v>
      </c>
      <c r="B85">
        <f>(3/(1+('CurrentPor-Equ Factor Movements'!C85)/100)+103/POWER(1+('CurrentPor-Equ Factor Movements'!D85)/100,2))*100</f>
        <v>9707.5857774288397</v>
      </c>
      <c r="C85">
        <f>(3/(1+('CurrentPor-Equ Factor Movements'!C85+'CurrentPor-Equ Factor Movements'!G85)/100)+103/POWER(1+('CurrentPor-Equ Factor Movements'!D85+'CurrentPor-Equ Factor Movements'!G85)/100,2))*100</f>
        <v>9640.2582771647722</v>
      </c>
      <c r="D85">
        <f>(3/(1+('CurrentPor-Equ Factor Movements'!C85+'CurrentPor-Equ Factor Movements'!H85)/100)+103/POWER(1+('CurrentPor-Equ Factor Movements'!D85+'CurrentPor-Equ Factor Movements'!H85)/100,2))*100</f>
        <v>9587.7244928794116</v>
      </c>
      <c r="E85">
        <f>(3/(1+('CurrentPor-Equ Factor Movements'!C85+'CurrentPor-Equ Factor Movements'!I85)/100)+103/POWER(1+('CurrentPor-Equ Factor Movements'!D85+'CurrentPor-Equ Factor Movements'!I85)/100,2))*100</f>
        <v>9582.6528801111053</v>
      </c>
      <c r="F85">
        <f>Portfolio!B$5*'CurrentPor-Equ Factor Movements'!E85</f>
        <v>52143.895533915893</v>
      </c>
      <c r="G85">
        <f>Portfolio!B$6*'CurrentPor-Equ Factor Movements'!F85</f>
        <v>3696.2945087936532</v>
      </c>
      <c r="H85">
        <f>Portfolio!B$7*'CurrentPor-Equ Factor Movements'!J85</f>
        <v>2148.0998964419859</v>
      </c>
      <c r="I85">
        <f t="shared" si="2"/>
        <v>96506.511366735664</v>
      </c>
      <c r="J85">
        <f t="shared" si="3"/>
        <v>-0.18501958332490176</v>
      </c>
    </row>
    <row r="86" spans="1:10">
      <c r="A86" s="1">
        <v>45589</v>
      </c>
      <c r="B86">
        <f>(3/(1+('CurrentPor-Equ Factor Movements'!C86)/100)+103/POWER(1+('CurrentPor-Equ Factor Movements'!D86)/100,2))*100</f>
        <v>9707.5857774288397</v>
      </c>
      <c r="C86">
        <f>(3/(1+('CurrentPor-Equ Factor Movements'!C86+'CurrentPor-Equ Factor Movements'!G86)/100)+103/POWER(1+('CurrentPor-Equ Factor Movements'!D86+'CurrentPor-Equ Factor Movements'!G86)/100,2))*100</f>
        <v>9638.4484425779829</v>
      </c>
      <c r="D86">
        <f>(3/(1+('CurrentPor-Equ Factor Movements'!C86+'CurrentPor-Equ Factor Movements'!H86)/100)+103/POWER(1+('CurrentPor-Equ Factor Movements'!D86+'CurrentPor-Equ Factor Movements'!H86)/100,2))*100</f>
        <v>9603.089670627096</v>
      </c>
      <c r="E86">
        <f>(3/(1+('CurrentPor-Equ Factor Movements'!C86+'CurrentPor-Equ Factor Movements'!I86)/100)+103/POWER(1+('CurrentPor-Equ Factor Movements'!D86+'CurrentPor-Equ Factor Movements'!I86)/100,2))*100</f>
        <v>9579.6031360731467</v>
      </c>
      <c r="F86">
        <f>Portfolio!B$5*'CurrentPor-Equ Factor Movements'!E86</f>
        <v>52143.895533915893</v>
      </c>
      <c r="G86">
        <f>Portfolio!B$6*'CurrentPor-Equ Factor Movements'!F86</f>
        <v>3696.2945087936532</v>
      </c>
      <c r="H86">
        <f>Portfolio!B$7*'CurrentPor-Equ Factor Movements'!J86</f>
        <v>2148.0998964419859</v>
      </c>
      <c r="I86">
        <f t="shared" si="2"/>
        <v>96517.016965858595</v>
      </c>
      <c r="J86">
        <f t="shared" si="3"/>
        <v>7.0062271179340314</v>
      </c>
    </row>
    <row r="87" spans="1:10">
      <c r="A87" s="1">
        <v>45590</v>
      </c>
      <c r="B87">
        <f>(3/(1+('CurrentPor-Equ Factor Movements'!C87)/100)+103/POWER(1+('CurrentPor-Equ Factor Movements'!D87)/100,2))*100</f>
        <v>9707.5857774288397</v>
      </c>
      <c r="C87">
        <f>(3/(1+('CurrentPor-Equ Factor Movements'!C87+'CurrentPor-Equ Factor Movements'!G87)/100)+103/POWER(1+('CurrentPor-Equ Factor Movements'!D87+'CurrentPor-Equ Factor Movements'!G87)/100,2))*100</f>
        <v>9636.6391226770629</v>
      </c>
      <c r="D87">
        <f>(3/(1+('CurrentPor-Equ Factor Movements'!C87+'CurrentPor-Equ Factor Movements'!H87)/100)+103/POWER(1+('CurrentPor-Equ Factor Movements'!D87+'CurrentPor-Equ Factor Movements'!H87)/100,2))*100</f>
        <v>9591.5299328629117</v>
      </c>
      <c r="E87">
        <f>(3/(1+('CurrentPor-Equ Factor Movements'!C87+'CurrentPor-Equ Factor Movements'!I87)/100)+103/POWER(1+('CurrentPor-Equ Factor Movements'!D87+'CurrentPor-Equ Factor Movements'!I87)/100,2))*100</f>
        <v>9581.3894498585178</v>
      </c>
      <c r="F87">
        <f>Portfolio!B$5*'CurrentPor-Equ Factor Movements'!E87</f>
        <v>52143.895533915893</v>
      </c>
      <c r="G87">
        <f>Portfolio!B$6*'CurrentPor-Equ Factor Movements'!F87</f>
        <v>3696.2945087936532</v>
      </c>
      <c r="H87">
        <f>Portfolio!B$7*'CurrentPor-Equ Factor Movements'!J87</f>
        <v>2148.0998964419859</v>
      </c>
      <c r="I87">
        <f t="shared" si="2"/>
        <v>96505.434221978867</v>
      </c>
      <c r="J87">
        <f t="shared" si="3"/>
        <v>-12.245001507981215</v>
      </c>
    </row>
    <row r="88" spans="1:10">
      <c r="A88" s="1">
        <v>45593</v>
      </c>
      <c r="B88">
        <f>(3/(1+('CurrentPor-Equ Factor Movements'!C88)/100)+103/POWER(1+('CurrentPor-Equ Factor Movements'!D88)/100,2))*100</f>
        <v>9707.5857774288397</v>
      </c>
      <c r="C88">
        <f>(3/(1+('CurrentPor-Equ Factor Movements'!C88+'CurrentPor-Equ Factor Movements'!G88)/100)+103/POWER(1+('CurrentPor-Equ Factor Movements'!D88+'CurrentPor-Equ Factor Movements'!G88)/100,2))*100</f>
        <v>9640.2582771647722</v>
      </c>
      <c r="D88">
        <f>(3/(1+('CurrentPor-Equ Factor Movements'!C88+'CurrentPor-Equ Factor Movements'!H88)/100)+103/POWER(1+('CurrentPor-Equ Factor Movements'!D88+'CurrentPor-Equ Factor Movements'!H88)/100,2))*100</f>
        <v>9606.3992600756155</v>
      </c>
      <c r="E88">
        <f>(3/(1+('CurrentPor-Equ Factor Movements'!C88+'CurrentPor-Equ Factor Movements'!I88)/100)+103/POWER(1+('CurrentPor-Equ Factor Movements'!D88+'CurrentPor-Equ Factor Movements'!I88)/100,2))*100</f>
        <v>9580.9208248187424</v>
      </c>
      <c r="F88">
        <f>Portfolio!B$5*'CurrentPor-Equ Factor Movements'!E88</f>
        <v>52143.895533915893</v>
      </c>
      <c r="G88">
        <f>Portfolio!B$6*'CurrentPor-Equ Factor Movements'!F88</f>
        <v>3696.2945087936532</v>
      </c>
      <c r="H88">
        <f>Portfolio!B$7*'CurrentPor-Equ Factor Movements'!J88</f>
        <v>2148.0998964419859</v>
      </c>
      <c r="I88">
        <f t="shared" si="2"/>
        <v>96523.454078639494</v>
      </c>
      <c r="J88">
        <f t="shared" si="3"/>
        <v>-1.6218838806671556</v>
      </c>
    </row>
    <row r="89" spans="1:10">
      <c r="A89" s="1">
        <v>45594</v>
      </c>
      <c r="B89">
        <f>(3/(1+('CurrentPor-Equ Factor Movements'!C89)/100)+103/POWER(1+('CurrentPor-Equ Factor Movements'!D89)/100,2))*100</f>
        <v>9707.5857774288397</v>
      </c>
      <c r="C89">
        <f>(3/(1+('CurrentPor-Equ Factor Movements'!C89+'CurrentPor-Equ Factor Movements'!G89)/100)+103/POWER(1+('CurrentPor-Equ Factor Movements'!D89+'CurrentPor-Equ Factor Movements'!G89)/100,2))*100</f>
        <v>9640.2582771647722</v>
      </c>
      <c r="D89">
        <f>(3/(1+('CurrentPor-Equ Factor Movements'!C89+'CurrentPor-Equ Factor Movements'!H89)/100)+103/POWER(1+('CurrentPor-Equ Factor Movements'!D89+'CurrentPor-Equ Factor Movements'!H89)/100,2))*100</f>
        <v>9611.4268835599887</v>
      </c>
      <c r="E89">
        <f>(3/(1+('CurrentPor-Equ Factor Movements'!C89+'CurrentPor-Equ Factor Movements'!I89)/100)+103/POWER(1+('CurrentPor-Equ Factor Movements'!D89+'CurrentPor-Equ Factor Movements'!I89)/100,2))*100</f>
        <v>9579.4920440728438</v>
      </c>
      <c r="F89">
        <f>Portfolio!B$5*'CurrentPor-Equ Factor Movements'!E89</f>
        <v>52143.895533915893</v>
      </c>
      <c r="G89">
        <f>Portfolio!B$6*'CurrentPor-Equ Factor Movements'!F89</f>
        <v>3696.2945087936532</v>
      </c>
      <c r="H89">
        <f>Portfolio!B$7*'CurrentPor-Equ Factor Movements'!J89</f>
        <v>2148.0998964419859</v>
      </c>
      <c r="I89">
        <f t="shared" si="2"/>
        <v>96527.052921377981</v>
      </c>
      <c r="J89">
        <f t="shared" si="3"/>
        <v>-11.875719990610378</v>
      </c>
    </row>
    <row r="90" spans="1:10">
      <c r="A90" s="1">
        <v>45595</v>
      </c>
      <c r="B90">
        <f>(3/(1+('CurrentPor-Equ Factor Movements'!C90)/100)+103/POWER(1+('CurrentPor-Equ Factor Movements'!D90)/100,2))*100</f>
        <v>9707.5857774288397</v>
      </c>
      <c r="C90">
        <f>(3/(1+('CurrentPor-Equ Factor Movements'!C90+'CurrentPor-Equ Factor Movements'!G90)/100)+103/POWER(1+('CurrentPor-Equ Factor Movements'!D90+'CurrentPor-Equ Factor Movements'!G90)/100,2))*100</f>
        <v>9642.0686266331541</v>
      </c>
      <c r="D90">
        <f>(3/(1+('CurrentPor-Equ Factor Movements'!C90+'CurrentPor-Equ Factor Movements'!H90)/100)+103/POWER(1+('CurrentPor-Equ Factor Movements'!D90+'CurrentPor-Equ Factor Movements'!H90)/100,2))*100</f>
        <v>9589.4533787174823</v>
      </c>
      <c r="E90">
        <f>(3/(1+('CurrentPor-Equ Factor Movements'!C90+'CurrentPor-Equ Factor Movements'!I90)/100)+103/POWER(1+('CurrentPor-Equ Factor Movements'!D90+'CurrentPor-Equ Factor Movements'!I90)/100,2))*100</f>
        <v>9581.094488605384</v>
      </c>
      <c r="F90">
        <f>Portfolio!B$5*'CurrentPor-Equ Factor Movements'!E90</f>
        <v>52143.895533915893</v>
      </c>
      <c r="G90">
        <f>Portfolio!B$6*'CurrentPor-Equ Factor Movements'!F90</f>
        <v>3696.2945087936532</v>
      </c>
      <c r="H90">
        <f>Portfolio!B$7*'CurrentPor-Equ Factor Movements'!J90</f>
        <v>2148.0998964419859</v>
      </c>
      <c r="I90">
        <f t="shared" si="2"/>
        <v>96508.492210536395</v>
      </c>
      <c r="J90">
        <f t="shared" si="3"/>
        <v>-16.494010658905609</v>
      </c>
    </row>
    <row r="91" spans="1:10">
      <c r="A91" s="1">
        <v>45596</v>
      </c>
      <c r="B91">
        <f>(3/(1+('CurrentPor-Equ Factor Movements'!C91)/100)+103/POWER(1+('CurrentPor-Equ Factor Movements'!D91)/100,2))*100</f>
        <v>9707.5857774288397</v>
      </c>
      <c r="C91">
        <f>(3/(1+('CurrentPor-Equ Factor Movements'!C91+'CurrentPor-Equ Factor Movements'!G91)/100)+103/POWER(1+('CurrentPor-Equ Factor Movements'!D91+'CurrentPor-Equ Factor Movements'!G91)/100,2))*100</f>
        <v>9643.879491178941</v>
      </c>
      <c r="D91">
        <f>(3/(1+('CurrentPor-Equ Factor Movements'!C91+'CurrentPor-Equ Factor Movements'!H91)/100)+103/POWER(1+('CurrentPor-Equ Factor Movements'!D91+'CurrentPor-Equ Factor Movements'!H91)/100,2))*100</f>
        <v>9587.2511643885482</v>
      </c>
      <c r="E91">
        <f>(3/(1+('CurrentPor-Equ Factor Movements'!C91+'CurrentPor-Equ Factor Movements'!I91)/100)+103/POWER(1+('CurrentPor-Equ Factor Movements'!D91+'CurrentPor-Equ Factor Movements'!I91)/100,2))*100</f>
        <v>9581.9065970739757</v>
      </c>
      <c r="F91">
        <f>Portfolio!B$5*'CurrentPor-Equ Factor Movements'!E91</f>
        <v>52143.895533915893</v>
      </c>
      <c r="G91">
        <f>Portfolio!B$6*'CurrentPor-Equ Factor Movements'!F91</f>
        <v>3696.2945087936532</v>
      </c>
      <c r="H91">
        <f>Portfolio!B$7*'CurrentPor-Equ Factor Movements'!J91</f>
        <v>2148.0998964419859</v>
      </c>
      <c r="I91">
        <f t="shared" si="2"/>
        <v>96508.912969221841</v>
      </c>
      <c r="J91">
        <f t="shared" si="3"/>
        <v>-0.89101405063411221</v>
      </c>
    </row>
    <row r="92" spans="1:10">
      <c r="A92" s="1">
        <v>45597</v>
      </c>
      <c r="B92">
        <f>(3/(1+('CurrentPor-Equ Factor Movements'!C92)/100)+103/POWER(1+('CurrentPor-Equ Factor Movements'!D92)/100,2))*100</f>
        <v>9707.5857774288397</v>
      </c>
      <c r="C92">
        <f>(3/(1+('CurrentPor-Equ Factor Movements'!C92+'CurrentPor-Equ Factor Movements'!G92)/100)+103/POWER(1+('CurrentPor-Equ Factor Movements'!D92+'CurrentPor-Equ Factor Movements'!G92)/100,2))*100</f>
        <v>9638.4484425779829</v>
      </c>
      <c r="D92">
        <f>(3/(1+('CurrentPor-Equ Factor Movements'!C92+'CurrentPor-Equ Factor Movements'!H92)/100)+103/POWER(1+('CurrentPor-Equ Factor Movements'!D92+'CurrentPor-Equ Factor Movements'!H92)/100,2))*100</f>
        <v>9601.9734866883045</v>
      </c>
      <c r="E92">
        <f>(3/(1+('CurrentPor-Equ Factor Movements'!C92+'CurrentPor-Equ Factor Movements'!I92)/100)+103/POWER(1+('CurrentPor-Equ Factor Movements'!D92+'CurrentPor-Equ Factor Movements'!I92)/100,2))*100</f>
        <v>9580.1562036505784</v>
      </c>
      <c r="F92">
        <f>Portfolio!B$5*'CurrentPor-Equ Factor Movements'!E92</f>
        <v>52143.895533915893</v>
      </c>
      <c r="G92">
        <f>Portfolio!B$6*'CurrentPor-Equ Factor Movements'!F92</f>
        <v>3696.2945087936532</v>
      </c>
      <c r="H92">
        <f>Portfolio!B$7*'CurrentPor-Equ Factor Movements'!J92</f>
        <v>2148.0998964419859</v>
      </c>
      <c r="I92">
        <f t="shared" si="2"/>
        <v>96516.453849497237</v>
      </c>
      <c r="J92">
        <f t="shared" si="3"/>
        <v>0.49255578321754001</v>
      </c>
    </row>
    <row r="93" spans="1:10">
      <c r="A93" s="1">
        <v>45600</v>
      </c>
      <c r="B93">
        <f>(3/(1+('CurrentPor-Equ Factor Movements'!C93)/100)+103/POWER(1+('CurrentPor-Equ Factor Movements'!D93)/100,2))*100</f>
        <v>9707.5857774288397</v>
      </c>
      <c r="C93">
        <f>(3/(1+('CurrentPor-Equ Factor Movements'!C93+'CurrentPor-Equ Factor Movements'!G93)/100)+103/POWER(1+('CurrentPor-Equ Factor Movements'!D93+'CurrentPor-Equ Factor Movements'!G93)/100,2))*100</f>
        <v>9631.2142491337127</v>
      </c>
      <c r="D93">
        <f>(3/(1+('CurrentPor-Equ Factor Movements'!C93+'CurrentPor-Equ Factor Movements'!H93)/100)+103/POWER(1+('CurrentPor-Equ Factor Movements'!D93+'CurrentPor-Equ Factor Movements'!H93)/100,2))*100</f>
        <v>9592.6719611140124</v>
      </c>
      <c r="E93">
        <f>(3/(1+('CurrentPor-Equ Factor Movements'!C93+'CurrentPor-Equ Factor Movements'!I93)/100)+103/POWER(1+('CurrentPor-Equ Factor Movements'!D93+'CurrentPor-Equ Factor Movements'!I93)/100,2))*100</f>
        <v>9582.8382385454352</v>
      </c>
      <c r="F93">
        <f>Portfolio!B$5*'CurrentPor-Equ Factor Movements'!E93</f>
        <v>52143.895533915893</v>
      </c>
      <c r="G93">
        <f>Portfolio!B$6*'CurrentPor-Equ Factor Movements'!F93</f>
        <v>3696.2945087936532</v>
      </c>
      <c r="H93">
        <f>Portfolio!B$7*'CurrentPor-Equ Factor Movements'!J93</f>
        <v>2148.0998964419859</v>
      </c>
      <c r="I93">
        <f t="shared" si="2"/>
        <v>96502.600165373544</v>
      </c>
      <c r="J93">
        <f t="shared" si="3"/>
        <v>-18.397471022588434</v>
      </c>
    </row>
    <row r="94" spans="1:10">
      <c r="A94" s="1">
        <v>45601</v>
      </c>
      <c r="B94">
        <f>(3/(1+('CurrentPor-Equ Factor Movements'!C94)/100)+103/POWER(1+('CurrentPor-Equ Factor Movements'!D94)/100,2))*100</f>
        <v>9707.5857774288397</v>
      </c>
      <c r="C94">
        <f>(3/(1+('CurrentPor-Equ Factor Movements'!C94+'CurrentPor-Equ Factor Movements'!G94)/100)+103/POWER(1+('CurrentPor-Equ Factor Movements'!D94+'CurrentPor-Equ Factor Movements'!G94)/100,2))*100</f>
        <v>9633.0220261504182</v>
      </c>
      <c r="D94">
        <f>(3/(1+('CurrentPor-Equ Factor Movements'!C94+'CurrentPor-Equ Factor Movements'!H94)/100)+103/POWER(1+('CurrentPor-Equ Factor Movements'!D94+'CurrentPor-Equ Factor Movements'!H94)/100,2))*100</f>
        <v>9572.9984013688572</v>
      </c>
      <c r="E94">
        <f>(3/(1+('CurrentPor-Equ Factor Movements'!C94+'CurrentPor-Equ Factor Movements'!I94)/100)+103/POWER(1+('CurrentPor-Equ Factor Movements'!D94+'CurrentPor-Equ Factor Movements'!I94)/100,2))*100</f>
        <v>9581.8625517846067</v>
      </c>
      <c r="F94">
        <f>Portfolio!B$5*'CurrentPor-Equ Factor Movements'!E94</f>
        <v>52143.895533915893</v>
      </c>
      <c r="G94">
        <f>Portfolio!B$6*'CurrentPor-Equ Factor Movements'!F94</f>
        <v>3696.2945087936532</v>
      </c>
      <c r="H94">
        <f>Portfolio!B$7*'CurrentPor-Equ Factor Movements'!J94</f>
        <v>2148.0998964419859</v>
      </c>
      <c r="I94">
        <f t="shared" si="2"/>
        <v>96483.758695884258</v>
      </c>
      <c r="J94">
        <f t="shared" si="3"/>
        <v>-33.550674552694545</v>
      </c>
    </row>
    <row r="95" spans="1:10">
      <c r="A95" s="1">
        <v>45602</v>
      </c>
      <c r="B95">
        <f>(3/(1+('CurrentPor-Equ Factor Movements'!C95)/100)+103/POWER(1+('CurrentPor-Equ Factor Movements'!D95)/100,2))*100</f>
        <v>9707.5857774288397</v>
      </c>
      <c r="C95">
        <f>(3/(1+('CurrentPor-Equ Factor Movements'!C95+'CurrentPor-Equ Factor Movements'!G95)/100)+103/POWER(1+('CurrentPor-Equ Factor Movements'!D95+'CurrentPor-Equ Factor Movements'!G95)/100,2))*100</f>
        <v>9631.2142491337127</v>
      </c>
      <c r="D95">
        <f>(3/(1+('CurrentPor-Equ Factor Movements'!C95+'CurrentPor-Equ Factor Movements'!H95)/100)+103/POWER(1+('CurrentPor-Equ Factor Movements'!D95+'CurrentPor-Equ Factor Movements'!H95)/100,2))*100</f>
        <v>9604.9264476862427</v>
      </c>
      <c r="E95">
        <f>(3/(1+('CurrentPor-Equ Factor Movements'!C95+'CurrentPor-Equ Factor Movements'!I95)/100)+103/POWER(1+('CurrentPor-Equ Factor Movements'!D95+'CurrentPor-Equ Factor Movements'!I95)/100,2))*100</f>
        <v>9581.526550283339</v>
      </c>
      <c r="F95">
        <f>Portfolio!B$5*'CurrentPor-Equ Factor Movements'!E95</f>
        <v>52143.895533915893</v>
      </c>
      <c r="G95">
        <f>Portfolio!B$6*'CurrentPor-Equ Factor Movements'!F95</f>
        <v>3696.2945087936532</v>
      </c>
      <c r="H95">
        <f>Portfolio!B$7*'CurrentPor-Equ Factor Movements'!J95</f>
        <v>2148.0998964419859</v>
      </c>
      <c r="I95">
        <f t="shared" si="2"/>
        <v>96513.542963683678</v>
      </c>
      <c r="J95">
        <f t="shared" si="3"/>
        <v>7.0315969480143394</v>
      </c>
    </row>
    <row r="96" spans="1:10">
      <c r="A96" s="1">
        <v>45603</v>
      </c>
      <c r="B96">
        <f>(3/(1+('CurrentPor-Equ Factor Movements'!C96)/100)+103/POWER(1+('CurrentPor-Equ Factor Movements'!D96)/100,2))*100</f>
        <v>9707.5857774288397</v>
      </c>
      <c r="C96">
        <f>(3/(1+('CurrentPor-Equ Factor Movements'!C96+'CurrentPor-Equ Factor Movements'!G96)/100)+103/POWER(1+('CurrentPor-Equ Factor Movements'!D96+'CurrentPor-Equ Factor Movements'!G96)/100,2))*100</f>
        <v>9634.8303172663855</v>
      </c>
      <c r="D96">
        <f>(3/(1+('CurrentPor-Equ Factor Movements'!C96+'CurrentPor-Equ Factor Movements'!H96)/100)+103/POWER(1+('CurrentPor-Equ Factor Movements'!D96+'CurrentPor-Equ Factor Movements'!H96)/100,2))*100</f>
        <v>9597.3798109872332</v>
      </c>
      <c r="E96">
        <f>(3/(1+('CurrentPor-Equ Factor Movements'!C96+'CurrentPor-Equ Factor Movements'!I96)/100)+103/POWER(1+('CurrentPor-Equ Factor Movements'!D96+'CurrentPor-Equ Factor Movements'!I96)/100,2))*100</f>
        <v>9581.5408123538818</v>
      </c>
      <c r="F96">
        <f>Portfolio!B$5*'CurrentPor-Equ Factor Movements'!E96</f>
        <v>52143.895533915893</v>
      </c>
      <c r="G96">
        <f>Portfolio!B$6*'CurrentPor-Equ Factor Movements'!F96</f>
        <v>3696.2945087936532</v>
      </c>
      <c r="H96">
        <f>Portfolio!B$7*'CurrentPor-Equ Factor Movements'!J96</f>
        <v>2148.0998964419859</v>
      </c>
      <c r="I96">
        <f t="shared" si="2"/>
        <v>96509.626657187866</v>
      </c>
      <c r="J96">
        <f t="shared" si="3"/>
        <v>-7.3903086707287002</v>
      </c>
    </row>
    <row r="97" spans="1:10">
      <c r="A97" s="1">
        <v>45604</v>
      </c>
      <c r="B97">
        <f>(3/(1+('CurrentPor-Equ Factor Movements'!C97)/100)+103/POWER(1+('CurrentPor-Equ Factor Movements'!D97)/100,2))*100</f>
        <v>9707.5857774288397</v>
      </c>
      <c r="C97">
        <f>(3/(1+('CurrentPor-Equ Factor Movements'!C97+'CurrentPor-Equ Factor Movements'!G97)/100)+103/POWER(1+('CurrentPor-Equ Factor Movements'!D97+'CurrentPor-Equ Factor Movements'!G97)/100,2))*100</f>
        <v>9634.8303172663855</v>
      </c>
      <c r="D97">
        <f>(3/(1+('CurrentPor-Equ Factor Movements'!C97+'CurrentPor-Equ Factor Movements'!H97)/100)+103/POWER(1+('CurrentPor-Equ Factor Movements'!D97+'CurrentPor-Equ Factor Movements'!H97)/100,2))*100</f>
        <v>9593.3541996930999</v>
      </c>
      <c r="E97">
        <f>(3/(1+('CurrentPor-Equ Factor Movements'!C97+'CurrentPor-Equ Factor Movements'!I97)/100)+103/POWER(1+('CurrentPor-Equ Factor Movements'!D97+'CurrentPor-Equ Factor Movements'!I97)/100,2))*100</f>
        <v>9579.2146384022835</v>
      </c>
      <c r="F97">
        <f>Portfolio!B$5*'CurrentPor-Equ Factor Movements'!E97</f>
        <v>52143.895533915893</v>
      </c>
      <c r="G97">
        <f>Portfolio!B$6*'CurrentPor-Equ Factor Movements'!F97</f>
        <v>3696.2945087936532</v>
      </c>
      <c r="H97">
        <f>Portfolio!B$7*'CurrentPor-Equ Factor Movements'!J97</f>
        <v>2148.0998964419859</v>
      </c>
      <c r="I97">
        <f t="shared" si="2"/>
        <v>96503.274871942136</v>
      </c>
      <c r="J97">
        <f t="shared" si="3"/>
        <v>-2.159350036730757</v>
      </c>
    </row>
    <row r="98" spans="1:10">
      <c r="A98" s="1">
        <v>45607</v>
      </c>
      <c r="B98">
        <f>(3/(1+('CurrentPor-Equ Factor Movements'!C98)/100)+103/POWER(1+('CurrentPor-Equ Factor Movements'!D98)/100,2))*100</f>
        <v>9707.5857774288397</v>
      </c>
      <c r="C98">
        <f>(3/(1+('CurrentPor-Equ Factor Movements'!C98+'CurrentPor-Equ Factor Movements'!G98)/100)+103/POWER(1+('CurrentPor-Equ Factor Movements'!D98+'CurrentPor-Equ Factor Movements'!G98)/100,2))*100</f>
        <v>9642.0686266331541</v>
      </c>
      <c r="D98">
        <f>(3/(1+('CurrentPor-Equ Factor Movements'!C98+'CurrentPor-Equ Factor Movements'!H98)/100)+103/POWER(1+('CurrentPor-Equ Factor Movements'!D98+'CurrentPor-Equ Factor Movements'!H98)/100,2))*100</f>
        <v>9603.7595254689968</v>
      </c>
      <c r="E98">
        <f>(3/(1+('CurrentPor-Equ Factor Movements'!C98+'CurrentPor-Equ Factor Movements'!I98)/100)+103/POWER(1+('CurrentPor-Equ Factor Movements'!D98+'CurrentPor-Equ Factor Movements'!I98)/100,2))*100</f>
        <v>9579.1718369813316</v>
      </c>
      <c r="F98">
        <f>Portfolio!B$5*'CurrentPor-Equ Factor Movements'!E98</f>
        <v>52143.895533915893</v>
      </c>
      <c r="G98">
        <f>Portfolio!B$6*'CurrentPor-Equ Factor Movements'!F98</f>
        <v>3696.2945087936532</v>
      </c>
      <c r="H98">
        <f>Portfolio!B$7*'CurrentPor-Equ Factor Movements'!J98</f>
        <v>2148.0998964419859</v>
      </c>
      <c r="I98">
        <f t="shared" si="2"/>
        <v>96520.875705663857</v>
      </c>
      <c r="J98">
        <f t="shared" si="3"/>
        <v>-2.5783729756367393</v>
      </c>
    </row>
    <row r="99" spans="1:10">
      <c r="A99" s="1">
        <v>45608</v>
      </c>
      <c r="B99">
        <f>(3/(1+('CurrentPor-Equ Factor Movements'!C99)/100)+103/POWER(1+('CurrentPor-Equ Factor Movements'!D99)/100,2))*100</f>
        <v>9707.5857774288397</v>
      </c>
      <c r="C99">
        <f>(3/(1+('CurrentPor-Equ Factor Movements'!C99+'CurrentPor-Equ Factor Movements'!G99)/100)+103/POWER(1+('CurrentPor-Equ Factor Movements'!D99+'CurrentPor-Equ Factor Movements'!G99)/100,2))*100</f>
        <v>9643.879491178941</v>
      </c>
      <c r="D99">
        <f>(3/(1+('CurrentPor-Equ Factor Movements'!C99+'CurrentPor-Equ Factor Movements'!H99)/100)+103/POWER(1+('CurrentPor-Equ Factor Movements'!D99+'CurrentPor-Equ Factor Movements'!H99)/100,2))*100</f>
        <v>9605.0283388627304</v>
      </c>
      <c r="E99">
        <f>(3/(1+('CurrentPor-Equ Factor Movements'!C99+'CurrentPor-Equ Factor Movements'!I99)/100)+103/POWER(1+('CurrentPor-Equ Factor Movements'!D99+'CurrentPor-Equ Factor Movements'!I99)/100,2))*100</f>
        <v>9579.7257040427758</v>
      </c>
      <c r="F99">
        <f>Portfolio!B$5*'CurrentPor-Equ Factor Movements'!E99</f>
        <v>52143.895533915893</v>
      </c>
      <c r="G99">
        <f>Portfolio!B$6*'CurrentPor-Equ Factor Movements'!F99</f>
        <v>3696.2945087936532</v>
      </c>
      <c r="H99">
        <f>Portfolio!B$7*'CurrentPor-Equ Factor Movements'!J99</f>
        <v>2148.0998964419859</v>
      </c>
      <c r="I99">
        <f t="shared" si="2"/>
        <v>96524.509250664807</v>
      </c>
      <c r="J99">
        <f t="shared" si="3"/>
        <v>-2.543670713173924</v>
      </c>
    </row>
    <row r="100" spans="1:10">
      <c r="A100" s="1">
        <v>45609</v>
      </c>
      <c r="B100">
        <f>(3/(1+('CurrentPor-Equ Factor Movements'!C100)/100)+103/POWER(1+('CurrentPor-Equ Factor Movements'!D100)/100,2))*100</f>
        <v>9707.5857774288397</v>
      </c>
      <c r="C100">
        <f>(3/(1+('CurrentPor-Equ Factor Movements'!C100+'CurrentPor-Equ Factor Movements'!G100)/100)+103/POWER(1+('CurrentPor-Equ Factor Movements'!D100+'CurrentPor-Equ Factor Movements'!G100)/100,2))*100</f>
        <v>9642.0686266331541</v>
      </c>
      <c r="D100">
        <f>(3/(1+('CurrentPor-Equ Factor Movements'!C100+'CurrentPor-Equ Factor Movements'!H100)/100)+103/POWER(1+('CurrentPor-Equ Factor Movements'!D100+'CurrentPor-Equ Factor Movements'!H100)/100,2))*100</f>
        <v>9592.0163202746589</v>
      </c>
      <c r="E100">
        <f>(3/(1+('CurrentPor-Equ Factor Movements'!C100+'CurrentPor-Equ Factor Movements'!I100)/100)+103/POWER(1+('CurrentPor-Equ Factor Movements'!D100+'CurrentPor-Equ Factor Movements'!I100)/100,2))*100</f>
        <v>9580.1721860291091</v>
      </c>
      <c r="F100">
        <f>Portfolio!B$5*'CurrentPor-Equ Factor Movements'!E100</f>
        <v>52143.895533915893</v>
      </c>
      <c r="G100">
        <f>Portfolio!B$6*'CurrentPor-Equ Factor Movements'!F100</f>
        <v>3696.2945087936532</v>
      </c>
      <c r="H100">
        <f>Portfolio!B$7*'CurrentPor-Equ Factor Movements'!J100</f>
        <v>2148.0998964419859</v>
      </c>
      <c r="I100">
        <f t="shared" si="2"/>
        <v>96510.132849517293</v>
      </c>
      <c r="J100">
        <f t="shared" si="3"/>
        <v>1.6406389808980748</v>
      </c>
    </row>
    <row r="101" spans="1:10">
      <c r="A101" s="1">
        <v>45610</v>
      </c>
      <c r="B101">
        <f>(3/(1+('CurrentPor-Equ Factor Movements'!C101)/100)+103/POWER(1+('CurrentPor-Equ Factor Movements'!D101)/100,2))*100</f>
        <v>9707.5857774288397</v>
      </c>
      <c r="C101">
        <f>(3/(1+('CurrentPor-Equ Factor Movements'!C101+'CurrentPor-Equ Factor Movements'!G101)/100)+103/POWER(1+('CurrentPor-Equ Factor Movements'!D101+'CurrentPor-Equ Factor Movements'!G101)/100,2))*100</f>
        <v>9642.0686266331541</v>
      </c>
      <c r="D101">
        <f>(3/(1+('CurrentPor-Equ Factor Movements'!C101+'CurrentPor-Equ Factor Movements'!H101)/100)+103/POWER(1+('CurrentPor-Equ Factor Movements'!D101+'CurrentPor-Equ Factor Movements'!H101)/100,2))*100</f>
        <v>9611.734677976161</v>
      </c>
      <c r="E101">
        <f>(3/(1+('CurrentPor-Equ Factor Movements'!C101+'CurrentPor-Equ Factor Movements'!I101)/100)+103/POWER(1+('CurrentPor-Equ Factor Movements'!D101+'CurrentPor-Equ Factor Movements'!I101)/100,2))*100</f>
        <v>9579.3638022162249</v>
      </c>
      <c r="F101">
        <f>Portfolio!B$5*'CurrentPor-Equ Factor Movements'!E101</f>
        <v>52143.895533915893</v>
      </c>
      <c r="G101">
        <f>Portfolio!B$6*'CurrentPor-Equ Factor Movements'!F101</f>
        <v>3696.2945087936532</v>
      </c>
      <c r="H101">
        <f>Portfolio!B$7*'CurrentPor-Equ Factor Movements'!J101</f>
        <v>2148.0998964419859</v>
      </c>
      <c r="I101">
        <f t="shared" si="2"/>
        <v>96529.042823405907</v>
      </c>
      <c r="J101">
        <f t="shared" si="3"/>
        <v>20.129854184066062</v>
      </c>
    </row>
    <row r="102" spans="1:10">
      <c r="A102" s="1">
        <v>45611</v>
      </c>
      <c r="B102">
        <f>(3/(1+('CurrentPor-Equ Factor Movements'!C102)/100)+103/POWER(1+('CurrentPor-Equ Factor Movements'!D102)/100,2))*100</f>
        <v>9707.5857774288397</v>
      </c>
      <c r="C102">
        <f>(3/(1+('CurrentPor-Equ Factor Movements'!C102+'CurrentPor-Equ Factor Movements'!G102)/100)+103/POWER(1+('CurrentPor-Equ Factor Movements'!D102+'CurrentPor-Equ Factor Movements'!G102)/100,2))*100</f>
        <v>9642.0686266331541</v>
      </c>
      <c r="D102">
        <f>(3/(1+('CurrentPor-Equ Factor Movements'!C102+'CurrentPor-Equ Factor Movements'!H102)/100)+103/POWER(1+('CurrentPor-Equ Factor Movements'!D102+'CurrentPor-Equ Factor Movements'!H102)/100,2))*100</f>
        <v>9606.6387898890553</v>
      </c>
      <c r="E102">
        <f>(3/(1+('CurrentPor-Equ Factor Movements'!C102+'CurrentPor-Equ Factor Movements'!I102)/100)+103/POWER(1+('CurrentPor-Equ Factor Movements'!D102+'CurrentPor-Equ Factor Movements'!I102)/100,2))*100</f>
        <v>9581.4042787731596</v>
      </c>
      <c r="F102">
        <f>Portfolio!B$5*'CurrentPor-Equ Factor Movements'!E102</f>
        <v>52143.895533915893</v>
      </c>
      <c r="G102">
        <f>Portfolio!B$6*'CurrentPor-Equ Factor Movements'!F102</f>
        <v>3696.2945087936532</v>
      </c>
      <c r="H102">
        <f>Portfolio!B$7*'CurrentPor-Equ Factor Movements'!J102</f>
        <v>2148.0998964419859</v>
      </c>
      <c r="I102">
        <f t="shared" si="2"/>
        <v>96525.987411875729</v>
      </c>
      <c r="J102">
        <f t="shared" si="3"/>
        <v>9.5335623784922063</v>
      </c>
    </row>
    <row r="103" spans="1:10">
      <c r="A103" s="1">
        <v>45614</v>
      </c>
      <c r="B103">
        <f>(3/(1+('CurrentPor-Equ Factor Movements'!C103)/100)+103/POWER(1+('CurrentPor-Equ Factor Movements'!D103)/100,2))*100</f>
        <v>9707.5857774288397</v>
      </c>
      <c r="C103">
        <f>(3/(1+('CurrentPor-Equ Factor Movements'!C103+'CurrentPor-Equ Factor Movements'!G103)/100)+103/POWER(1+('CurrentPor-Equ Factor Movements'!D103+'CurrentPor-Equ Factor Movements'!G103)/100,2))*100</f>
        <v>9640.2582771647722</v>
      </c>
      <c r="D103">
        <f>(3/(1+('CurrentPor-Equ Factor Movements'!C103+'CurrentPor-Equ Factor Movements'!H103)/100)+103/POWER(1+('CurrentPor-Equ Factor Movements'!D103+'CurrentPor-Equ Factor Movements'!H103)/100,2))*100</f>
        <v>9599.2123115751165</v>
      </c>
      <c r="E103">
        <f>(3/(1+('CurrentPor-Equ Factor Movements'!C103+'CurrentPor-Equ Factor Movements'!I103)/100)+103/POWER(1+('CurrentPor-Equ Factor Movements'!D103+'CurrentPor-Equ Factor Movements'!I103)/100,2))*100</f>
        <v>9581.460767190023</v>
      </c>
      <c r="F103">
        <f>Portfolio!B$5*'CurrentPor-Equ Factor Movements'!E103</f>
        <v>52143.895533915893</v>
      </c>
      <c r="G103">
        <f>Portfolio!B$6*'CurrentPor-Equ Factor Movements'!F103</f>
        <v>3696.2945087936532</v>
      </c>
      <c r="H103">
        <f>Portfolio!B$7*'CurrentPor-Equ Factor Movements'!J103</f>
        <v>2148.0998964419859</v>
      </c>
      <c r="I103">
        <f t="shared" si="2"/>
        <v>96516.807072510288</v>
      </c>
      <c r="J103">
        <f t="shared" si="3"/>
        <v>14.206907136744121</v>
      </c>
    </row>
    <row r="104" spans="1:10">
      <c r="A104" s="1">
        <v>45615</v>
      </c>
      <c r="B104">
        <f>(3/(1+('CurrentPor-Equ Factor Movements'!C104)/100)+103/POWER(1+('CurrentPor-Equ Factor Movements'!D104)/100,2))*100</f>
        <v>9707.5857774288397</v>
      </c>
      <c r="C104">
        <f>(3/(1+('CurrentPor-Equ Factor Movements'!C104+'CurrentPor-Equ Factor Movements'!G104)/100)+103/POWER(1+('CurrentPor-Equ Factor Movements'!D104+'CurrentPor-Equ Factor Movements'!G104)/100,2))*100</f>
        <v>9638.4484425779829</v>
      </c>
      <c r="D104">
        <f>(3/(1+('CurrentPor-Equ Factor Movements'!C104+'CurrentPor-Equ Factor Movements'!H104)/100)+103/POWER(1+('CurrentPor-Equ Factor Movements'!D104+'CurrentPor-Equ Factor Movements'!H104)/100,2))*100</f>
        <v>9604.233254079445</v>
      </c>
      <c r="E104">
        <f>(3/(1+('CurrentPor-Equ Factor Movements'!C104+'CurrentPor-Equ Factor Movements'!I104)/100)+103/POWER(1+('CurrentPor-Equ Factor Movements'!D104+'CurrentPor-Equ Factor Movements'!I104)/100,2))*100</f>
        <v>9579.3393049235619</v>
      </c>
      <c r="F104">
        <f>Portfolio!B$5*'CurrentPor-Equ Factor Movements'!E104</f>
        <v>52143.895533915893</v>
      </c>
      <c r="G104">
        <f>Portfolio!B$6*'CurrentPor-Equ Factor Movements'!F104</f>
        <v>3696.2945087936532</v>
      </c>
      <c r="H104">
        <f>Portfolio!B$7*'CurrentPor-Equ Factor Movements'!J104</f>
        <v>2148.0998964419859</v>
      </c>
      <c r="I104">
        <f t="shared" si="2"/>
        <v>96517.89671816137</v>
      </c>
      <c r="J104">
        <f t="shared" si="3"/>
        <v>34.138022277111304</v>
      </c>
    </row>
    <row r="105" spans="1:10">
      <c r="A105" s="1">
        <v>45616</v>
      </c>
      <c r="B105">
        <f>(3/(1+('CurrentPor-Equ Factor Movements'!C105)/100)+103/POWER(1+('CurrentPor-Equ Factor Movements'!D105)/100,2))*100</f>
        <v>9707.5857774288397</v>
      </c>
      <c r="C105">
        <f>(3/(1+('CurrentPor-Equ Factor Movements'!C105+'CurrentPor-Equ Factor Movements'!G105)/100)+103/POWER(1+('CurrentPor-Equ Factor Movements'!D105+'CurrentPor-Equ Factor Movements'!G105)/100,2))*100</f>
        <v>9640.2582771647722</v>
      </c>
      <c r="D105">
        <f>(3/(1+('CurrentPor-Equ Factor Movements'!C105+'CurrentPor-Equ Factor Movements'!H105)/100)+103/POWER(1+('CurrentPor-Equ Factor Movements'!D105+'CurrentPor-Equ Factor Movements'!H105)/100,2))*100</f>
        <v>9620.3800925193445</v>
      </c>
      <c r="E105">
        <f>(3/(1+('CurrentPor-Equ Factor Movements'!C105+'CurrentPor-Equ Factor Movements'!I105)/100)+103/POWER(1+('CurrentPor-Equ Factor Movements'!D105+'CurrentPor-Equ Factor Movements'!I105)/100,2))*100</f>
        <v>9582.5487325298491</v>
      </c>
      <c r="F105">
        <f>Portfolio!B$5*'CurrentPor-Equ Factor Movements'!E105</f>
        <v>52143.895533915893</v>
      </c>
      <c r="G105">
        <f>Portfolio!B$6*'CurrentPor-Equ Factor Movements'!F105</f>
        <v>3696.2945087936532</v>
      </c>
      <c r="H105">
        <f>Portfolio!B$7*'CurrentPor-Equ Factor Movements'!J105</f>
        <v>2148.0998964419859</v>
      </c>
      <c r="I105">
        <f t="shared" si="2"/>
        <v>96539.062818794322</v>
      </c>
      <c r="J105">
        <f t="shared" si="3"/>
        <v>25.51985511064413</v>
      </c>
    </row>
    <row r="106" spans="1:10">
      <c r="A106" s="1">
        <v>45617</v>
      </c>
      <c r="B106">
        <f>(3/(1+('CurrentPor-Equ Factor Movements'!C106)/100)+103/POWER(1+('CurrentPor-Equ Factor Movements'!D106)/100,2))*100</f>
        <v>9707.5857774288397</v>
      </c>
      <c r="C106">
        <f>(3/(1+('CurrentPor-Equ Factor Movements'!C106+'CurrentPor-Equ Factor Movements'!G106)/100)+103/POWER(1+('CurrentPor-Equ Factor Movements'!D106+'CurrentPor-Equ Factor Movements'!G106)/100,2))*100</f>
        <v>9642.0686266331541</v>
      </c>
      <c r="D106">
        <f>(3/(1+('CurrentPor-Equ Factor Movements'!C106+'CurrentPor-Equ Factor Movements'!H106)/100)+103/POWER(1+('CurrentPor-Equ Factor Movements'!D106+'CurrentPor-Equ Factor Movements'!H106)/100,2))*100</f>
        <v>9618.9244570829196</v>
      </c>
      <c r="E106">
        <f>(3/(1+('CurrentPor-Equ Factor Movements'!C106+'CurrentPor-Equ Factor Movements'!I106)/100)+103/POWER(1+('CurrentPor-Equ Factor Movements'!D106+'CurrentPor-Equ Factor Movements'!I106)/100,2))*100</f>
        <v>9578.4108778118061</v>
      </c>
      <c r="F106">
        <f>Portfolio!B$5*'CurrentPor-Equ Factor Movements'!E106</f>
        <v>52143.895533915893</v>
      </c>
      <c r="G106">
        <f>Portfolio!B$6*'CurrentPor-Equ Factor Movements'!F106</f>
        <v>3696.2945087936532</v>
      </c>
      <c r="H106">
        <f>Portfolio!B$7*'CurrentPor-Equ Factor Movements'!J106</f>
        <v>2148.0998964419859</v>
      </c>
      <c r="I106">
        <f t="shared" si="2"/>
        <v>96535.279678108243</v>
      </c>
      <c r="J106">
        <f t="shared" si="3"/>
        <v>25.653020920377458</v>
      </c>
    </row>
    <row r="107" spans="1:10">
      <c r="A107" s="1">
        <v>45618</v>
      </c>
      <c r="B107">
        <f>(3/(1+('CurrentPor-Equ Factor Movements'!C107)/100)+103/POWER(1+('CurrentPor-Equ Factor Movements'!D107)/100,2))*100</f>
        <v>9707.5857774288397</v>
      </c>
      <c r="C107">
        <f>(3/(1+('CurrentPor-Equ Factor Movements'!C107+'CurrentPor-Equ Factor Movements'!G107)/100)+103/POWER(1+('CurrentPor-Equ Factor Movements'!D107+'CurrentPor-Equ Factor Movements'!G107)/100,2))*100</f>
        <v>9642.0686266331541</v>
      </c>
      <c r="D107">
        <f>(3/(1+('CurrentPor-Equ Factor Movements'!C107+'CurrentPor-Equ Factor Movements'!H107)/100)+103/POWER(1+('CurrentPor-Equ Factor Movements'!D107+'CurrentPor-Equ Factor Movements'!H107)/100,2))*100</f>
        <v>9595.7413073058633</v>
      </c>
      <c r="E107">
        <f>(3/(1+('CurrentPor-Equ Factor Movements'!C107+'CurrentPor-Equ Factor Movements'!I107)/100)+103/POWER(1+('CurrentPor-Equ Factor Movements'!D107+'CurrentPor-Equ Factor Movements'!I107)/100,2))*100</f>
        <v>9581.6823149198644</v>
      </c>
      <c r="F107">
        <f>Portfolio!B$5*'CurrentPor-Equ Factor Movements'!E107</f>
        <v>52143.895533915893</v>
      </c>
      <c r="G107">
        <f>Portfolio!B$6*'CurrentPor-Equ Factor Movements'!F107</f>
        <v>3696.2945087936532</v>
      </c>
      <c r="H107">
        <f>Portfolio!B$7*'CurrentPor-Equ Factor Movements'!J107</f>
        <v>2148.0998964419859</v>
      </c>
      <c r="I107">
        <f t="shared" si="2"/>
        <v>96515.367965439262</v>
      </c>
      <c r="J107">
        <f t="shared" si="3"/>
        <v>12.093093497125665</v>
      </c>
    </row>
    <row r="108" spans="1:10">
      <c r="A108" s="1">
        <v>45621</v>
      </c>
      <c r="B108">
        <f>(3/(1+('CurrentPor-Equ Factor Movements'!C108)/100)+103/POWER(1+('CurrentPor-Equ Factor Movements'!D108)/100,2))*100</f>
        <v>9707.5857774288397</v>
      </c>
      <c r="C108">
        <f>(3/(1+('CurrentPor-Equ Factor Movements'!C108+'CurrentPor-Equ Factor Movements'!G108)/100)+103/POWER(1+('CurrentPor-Equ Factor Movements'!D108+'CurrentPor-Equ Factor Movements'!G108)/100,2))*100</f>
        <v>9642.0686266331541</v>
      </c>
      <c r="D108">
        <f>(3/(1+('CurrentPor-Equ Factor Movements'!C108+'CurrentPor-Equ Factor Movements'!H108)/100)+103/POWER(1+('CurrentPor-Equ Factor Movements'!D108+'CurrentPor-Equ Factor Movements'!H108)/100,2))*100</f>
        <v>9580.228892426363</v>
      </c>
      <c r="E108">
        <f>(3/(1+('CurrentPor-Equ Factor Movements'!C108+'CurrentPor-Equ Factor Movements'!I108)/100)+103/POWER(1+('CurrentPor-Equ Factor Movements'!D108+'CurrentPor-Equ Factor Movements'!I108)/100,2))*100</f>
        <v>9580.3021025211638</v>
      </c>
      <c r="F108">
        <f>Portfolio!B$5*'CurrentPor-Equ Factor Movements'!E108</f>
        <v>52143.895533915893</v>
      </c>
      <c r="G108">
        <f>Portfolio!B$6*'CurrentPor-Equ Factor Movements'!F108</f>
        <v>3696.2945087936532</v>
      </c>
      <c r="H108">
        <f>Portfolio!B$7*'CurrentPor-Equ Factor Movements'!J108</f>
        <v>2148.0998964419859</v>
      </c>
      <c r="I108">
        <f t="shared" si="2"/>
        <v>96498.47533816105</v>
      </c>
      <c r="J108">
        <f t="shared" si="3"/>
        <v>-22.400367502807057</v>
      </c>
    </row>
    <row r="109" spans="1:10">
      <c r="A109" s="1">
        <v>45622</v>
      </c>
      <c r="B109">
        <f>(3/(1+('CurrentPor-Equ Factor Movements'!C109)/100)+103/POWER(1+('CurrentPor-Equ Factor Movements'!D109)/100,2))*100</f>
        <v>9707.5857774288397</v>
      </c>
      <c r="C109">
        <f>(3/(1+('CurrentPor-Equ Factor Movements'!C109+'CurrentPor-Equ Factor Movements'!G109)/100)+103/POWER(1+('CurrentPor-Equ Factor Movements'!D109+'CurrentPor-Equ Factor Movements'!G109)/100,2))*100</f>
        <v>9643.879491178941</v>
      </c>
      <c r="D109">
        <f>(3/(1+('CurrentPor-Equ Factor Movements'!C109+'CurrentPor-Equ Factor Movements'!H109)/100)+103/POWER(1+('CurrentPor-Equ Factor Movements'!D109+'CurrentPor-Equ Factor Movements'!H109)/100,2))*100</f>
        <v>9604.516645172871</v>
      </c>
      <c r="E109">
        <f>(3/(1+('CurrentPor-Equ Factor Movements'!C109+'CurrentPor-Equ Factor Movements'!I109)/100)+103/POWER(1+('CurrentPor-Equ Factor Movements'!D109+'CurrentPor-Equ Factor Movements'!I109)/100,2))*100</f>
        <v>9580.2687932720055</v>
      </c>
      <c r="F109">
        <f>Portfolio!B$5*'CurrentPor-Equ Factor Movements'!E109</f>
        <v>52143.895533915893</v>
      </c>
      <c r="G109">
        <f>Portfolio!B$6*'CurrentPor-Equ Factor Movements'!F109</f>
        <v>3696.2945087936532</v>
      </c>
      <c r="H109">
        <f>Portfolio!B$7*'CurrentPor-Equ Factor Movements'!J109</f>
        <v>2148.0998964419859</v>
      </c>
      <c r="I109">
        <f t="shared" si="2"/>
        <v>96524.540646204186</v>
      </c>
      <c r="J109">
        <f t="shared" si="3"/>
        <v>3.1395539379445836E-2</v>
      </c>
    </row>
    <row r="110" spans="1:10">
      <c r="A110" s="1">
        <v>45623</v>
      </c>
      <c r="B110">
        <f>(3/(1+('CurrentPor-Equ Factor Movements'!C110)/100)+103/POWER(1+('CurrentPor-Equ Factor Movements'!D110)/100,2))*100</f>
        <v>9707.5857774288397</v>
      </c>
      <c r="C110">
        <f>(3/(1+('CurrentPor-Equ Factor Movements'!C110+'CurrentPor-Equ Factor Movements'!G110)/100)+103/POWER(1+('CurrentPor-Equ Factor Movements'!D110+'CurrentPor-Equ Factor Movements'!G110)/100,2))*100</f>
        <v>9638.4484425779829</v>
      </c>
      <c r="D110">
        <f>(3/(1+('CurrentPor-Equ Factor Movements'!C110+'CurrentPor-Equ Factor Movements'!H110)/100)+103/POWER(1+('CurrentPor-Equ Factor Movements'!D110+'CurrentPor-Equ Factor Movements'!H110)/100,2))*100</f>
        <v>9586.4855131027853</v>
      </c>
      <c r="E110">
        <f>(3/(1+('CurrentPor-Equ Factor Movements'!C110+'CurrentPor-Equ Factor Movements'!I110)/100)+103/POWER(1+('CurrentPor-Equ Factor Movements'!D110+'CurrentPor-Equ Factor Movements'!I110)/100,2))*100</f>
        <v>9580.247029161148</v>
      </c>
      <c r="F110">
        <f>Portfolio!B$5*'CurrentPor-Equ Factor Movements'!E110</f>
        <v>52143.895533915893</v>
      </c>
      <c r="G110">
        <f>Portfolio!B$6*'CurrentPor-Equ Factor Movements'!F110</f>
        <v>3696.2945087936532</v>
      </c>
      <c r="H110">
        <f>Portfolio!B$7*'CurrentPor-Equ Factor Movements'!J110</f>
        <v>2148.0998964419859</v>
      </c>
      <c r="I110">
        <f t="shared" si="2"/>
        <v>96501.056701422276</v>
      </c>
      <c r="J110">
        <f t="shared" si="3"/>
        <v>-9.0761480950168334</v>
      </c>
    </row>
    <row r="111" spans="1:10">
      <c r="A111" s="1">
        <v>45624</v>
      </c>
      <c r="B111">
        <f>(3/(1+('CurrentPor-Equ Factor Movements'!C111)/100)+103/POWER(1+('CurrentPor-Equ Factor Movements'!D111)/100,2))*100</f>
        <v>9707.5857774288397</v>
      </c>
      <c r="C111">
        <f>(3/(1+('CurrentPor-Equ Factor Movements'!C111+'CurrentPor-Equ Factor Movements'!G111)/100)+103/POWER(1+('CurrentPor-Equ Factor Movements'!D111+'CurrentPor-Equ Factor Movements'!G111)/100,2))*100</f>
        <v>9638.4484425779829</v>
      </c>
      <c r="D111">
        <f>(3/(1+('CurrentPor-Equ Factor Movements'!C111+'CurrentPor-Equ Factor Movements'!H111)/100)+103/POWER(1+('CurrentPor-Equ Factor Movements'!D111+'CurrentPor-Equ Factor Movements'!H111)/100,2))*100</f>
        <v>9603.1188671695036</v>
      </c>
      <c r="E111">
        <f>(3/(1+('CurrentPor-Equ Factor Movements'!C111+'CurrentPor-Equ Factor Movements'!I111)/100)+103/POWER(1+('CurrentPor-Equ Factor Movements'!D111+'CurrentPor-Equ Factor Movements'!I111)/100,2))*100</f>
        <v>9580.5595188750722</v>
      </c>
      <c r="F111">
        <f>Portfolio!B$5*'CurrentPor-Equ Factor Movements'!E111</f>
        <v>52143.895533915893</v>
      </c>
      <c r="G111">
        <f>Portfolio!B$6*'CurrentPor-Equ Factor Movements'!F111</f>
        <v>3696.2945087936532</v>
      </c>
      <c r="H111">
        <f>Portfolio!B$7*'CurrentPor-Equ Factor Movements'!J111</f>
        <v>2148.0998964419859</v>
      </c>
      <c r="I111">
        <f t="shared" si="2"/>
        <v>96518.002545202922</v>
      </c>
      <c r="J111">
        <f t="shared" si="3"/>
        <v>-11.040278202985064</v>
      </c>
    </row>
    <row r="112" spans="1:10">
      <c r="A112" s="1">
        <v>45625</v>
      </c>
      <c r="B112">
        <f>(3/(1+('CurrentPor-Equ Factor Movements'!C112)/100)+103/POWER(1+('CurrentPor-Equ Factor Movements'!D112)/100,2))*100</f>
        <v>9707.5857774288397</v>
      </c>
      <c r="C112">
        <f>(3/(1+('CurrentPor-Equ Factor Movements'!C112+'CurrentPor-Equ Factor Movements'!G112)/100)+103/POWER(1+('CurrentPor-Equ Factor Movements'!D112+'CurrentPor-Equ Factor Movements'!G112)/100,2))*100</f>
        <v>9638.4484425779829</v>
      </c>
      <c r="D112">
        <f>(3/(1+('CurrentPor-Equ Factor Movements'!C112+'CurrentPor-Equ Factor Movements'!H112)/100)+103/POWER(1+('CurrentPor-Equ Factor Movements'!D112+'CurrentPor-Equ Factor Movements'!H112)/100,2))*100</f>
        <v>9604.7569095569252</v>
      </c>
      <c r="E112">
        <f>(3/(1+('CurrentPor-Equ Factor Movements'!C112+'CurrentPor-Equ Factor Movements'!I112)/100)+103/POWER(1+('CurrentPor-Equ Factor Movements'!D112+'CurrentPor-Equ Factor Movements'!I112)/100,2))*100</f>
        <v>9580.2757300834273</v>
      </c>
      <c r="F112">
        <f>Portfolio!B$5*'CurrentPor-Equ Factor Movements'!E112</f>
        <v>52143.895533915893</v>
      </c>
      <c r="G112">
        <f>Portfolio!B$6*'CurrentPor-Equ Factor Movements'!F112</f>
        <v>3696.2945087936532</v>
      </c>
      <c r="H112">
        <f>Portfolio!B$7*'CurrentPor-Equ Factor Movements'!J112</f>
        <v>2148.0998964419859</v>
      </c>
      <c r="I112">
        <f t="shared" si="2"/>
        <v>96519.356798798704</v>
      </c>
      <c r="J112">
        <f t="shared" si="3"/>
        <v>-6.6306130770244636</v>
      </c>
    </row>
    <row r="113" spans="1:10">
      <c r="A113" s="1">
        <v>45628</v>
      </c>
      <c r="B113">
        <f>(3/(1+('CurrentPor-Equ Factor Movements'!C113)/100)+103/POWER(1+('CurrentPor-Equ Factor Movements'!D113)/100,2))*100</f>
        <v>9707.5857774288397</v>
      </c>
      <c r="C113">
        <f>(3/(1+('CurrentPor-Equ Factor Movements'!C113+'CurrentPor-Equ Factor Movements'!G113)/100)+103/POWER(1+('CurrentPor-Equ Factor Movements'!D113+'CurrentPor-Equ Factor Movements'!G113)/100,2))*100</f>
        <v>9640.2582771647722</v>
      </c>
      <c r="D113">
        <f>(3/(1+('CurrentPor-Equ Factor Movements'!C113+'CurrentPor-Equ Factor Movements'!H113)/100)+103/POWER(1+('CurrentPor-Equ Factor Movements'!D113+'CurrentPor-Equ Factor Movements'!H113)/100,2))*100</f>
        <v>9610.720248617843</v>
      </c>
      <c r="E113">
        <f>(3/(1+('CurrentPor-Equ Factor Movements'!C113+'CurrentPor-Equ Factor Movements'!I113)/100)+103/POWER(1+('CurrentPor-Equ Factor Movements'!D113+'CurrentPor-Equ Factor Movements'!I113)/100,2))*100</f>
        <v>9580.9620001401818</v>
      </c>
      <c r="F113">
        <f>Portfolio!B$5*'CurrentPor-Equ Factor Movements'!E113</f>
        <v>52143.895533915893</v>
      </c>
      <c r="G113">
        <f>Portfolio!B$6*'CurrentPor-Equ Factor Movements'!F113</f>
        <v>3696.2945087936532</v>
      </c>
      <c r="H113">
        <f>Portfolio!B$7*'CurrentPor-Equ Factor Movements'!J113</f>
        <v>2148.0998964419859</v>
      </c>
      <c r="I113">
        <f t="shared" si="2"/>
        <v>96527.816242503162</v>
      </c>
      <c r="J113">
        <f t="shared" si="3"/>
        <v>11.009169992874376</v>
      </c>
    </row>
    <row r="114" spans="1:10">
      <c r="A114" s="1">
        <v>45629</v>
      </c>
      <c r="B114">
        <f>(3/(1+('CurrentPor-Equ Factor Movements'!C114)/100)+103/POWER(1+('CurrentPor-Equ Factor Movements'!D114)/100,2))*100</f>
        <v>9707.5857774288397</v>
      </c>
      <c r="C114">
        <f>(3/(1+('CurrentPor-Equ Factor Movements'!C114+'CurrentPor-Equ Factor Movements'!G114)/100)+103/POWER(1+('CurrentPor-Equ Factor Movements'!D114+'CurrentPor-Equ Factor Movements'!G114)/100,2))*100</f>
        <v>9642.0686266331541</v>
      </c>
      <c r="D114">
        <f>(3/(1+('CurrentPor-Equ Factor Movements'!C114+'CurrentPor-Equ Factor Movements'!H114)/100)+103/POWER(1+('CurrentPor-Equ Factor Movements'!D114+'CurrentPor-Equ Factor Movements'!H114)/100,2))*100</f>
        <v>9605.8909921301129</v>
      </c>
      <c r="E114">
        <f>(3/(1+('CurrentPor-Equ Factor Movements'!C114+'CurrentPor-Equ Factor Movements'!I114)/100)+103/POWER(1+('CurrentPor-Equ Factor Movements'!D114+'CurrentPor-Equ Factor Movements'!I114)/100,2))*100</f>
        <v>9580.7699175281105</v>
      </c>
      <c r="F114">
        <f>Portfolio!B$5*'CurrentPor-Equ Factor Movements'!E114</f>
        <v>52143.895533915893</v>
      </c>
      <c r="G114">
        <f>Portfolio!B$6*'CurrentPor-Equ Factor Movements'!F114</f>
        <v>3696.2945087936532</v>
      </c>
      <c r="H114">
        <f>Portfolio!B$7*'CurrentPor-Equ Factor Movements'!J114</f>
        <v>2148.0998964419859</v>
      </c>
      <c r="I114">
        <f t="shared" si="2"/>
        <v>96524.605252871741</v>
      </c>
      <c r="J114">
        <f t="shared" si="3"/>
        <v>6.7085347103711683</v>
      </c>
    </row>
    <row r="115" spans="1:10">
      <c r="A115" s="1">
        <v>45630</v>
      </c>
      <c r="B115">
        <f>(3/(1+('CurrentPor-Equ Factor Movements'!C115)/100)+103/POWER(1+('CurrentPor-Equ Factor Movements'!D115)/100,2))*100</f>
        <v>9707.5857774288397</v>
      </c>
      <c r="C115">
        <f>(3/(1+('CurrentPor-Equ Factor Movements'!C115+'CurrentPor-Equ Factor Movements'!G115)/100)+103/POWER(1+('CurrentPor-Equ Factor Movements'!D115+'CurrentPor-Equ Factor Movements'!G115)/100,2))*100</f>
        <v>9642.0686266331541</v>
      </c>
      <c r="D115">
        <f>(3/(1+('CurrentPor-Equ Factor Movements'!C115+'CurrentPor-Equ Factor Movements'!H115)/100)+103/POWER(1+('CurrentPor-Equ Factor Movements'!D115+'CurrentPor-Equ Factor Movements'!H115)/100,2))*100</f>
        <v>9621.8591838503235</v>
      </c>
      <c r="E115">
        <f>(3/(1+('CurrentPor-Equ Factor Movements'!C115+'CurrentPor-Equ Factor Movements'!I115)/100)+103/POWER(1+('CurrentPor-Equ Factor Movements'!D115+'CurrentPor-Equ Factor Movements'!I115)/100,2))*100</f>
        <v>9579.290936942909</v>
      </c>
      <c r="F115">
        <f>Portfolio!B$5*'CurrentPor-Equ Factor Movements'!E115</f>
        <v>52143.895533915893</v>
      </c>
      <c r="G115">
        <f>Portfolio!B$6*'CurrentPor-Equ Factor Movements'!F115</f>
        <v>3696.2945087936532</v>
      </c>
      <c r="H115">
        <f>Portfolio!B$7*'CurrentPor-Equ Factor Movements'!J115</f>
        <v>2148.0998964419859</v>
      </c>
      <c r="I115">
        <f t="shared" si="2"/>
        <v>96539.094464006761</v>
      </c>
      <c r="J115">
        <f t="shared" si="3"/>
        <v>3.1645212438888848E-2</v>
      </c>
    </row>
    <row r="116" spans="1:10">
      <c r="A116" s="1">
        <v>45631</v>
      </c>
      <c r="B116">
        <f>(3/(1+('CurrentPor-Equ Factor Movements'!C116)/100)+103/POWER(1+('CurrentPor-Equ Factor Movements'!D116)/100,2))*100</f>
        <v>9707.5857774288397</v>
      </c>
      <c r="C116">
        <f>(3/(1+('CurrentPor-Equ Factor Movements'!C116+'CurrentPor-Equ Factor Movements'!G116)/100)+103/POWER(1+('CurrentPor-Equ Factor Movements'!D116+'CurrentPor-Equ Factor Movements'!G116)/100,2))*100</f>
        <v>9642.0686266331541</v>
      </c>
      <c r="D116">
        <f>(3/(1+('CurrentPor-Equ Factor Movements'!C116+'CurrentPor-Equ Factor Movements'!H116)/100)+103/POWER(1+('CurrentPor-Equ Factor Movements'!D116+'CurrentPor-Equ Factor Movements'!H116)/100,2))*100</f>
        <v>9601.3571076738208</v>
      </c>
      <c r="E116">
        <f>(3/(1+('CurrentPor-Equ Factor Movements'!C116+'CurrentPor-Equ Factor Movements'!I116)/100)+103/POWER(1+('CurrentPor-Equ Factor Movements'!D116+'CurrentPor-Equ Factor Movements'!I116)/100,2))*100</f>
        <v>9580.8857283619127</v>
      </c>
      <c r="F116">
        <f>Portfolio!B$5*'CurrentPor-Equ Factor Movements'!E116</f>
        <v>52143.895533915893</v>
      </c>
      <c r="G116">
        <f>Portfolio!B$6*'CurrentPor-Equ Factor Movements'!F116</f>
        <v>3696.2945087936532</v>
      </c>
      <c r="H116">
        <f>Portfolio!B$7*'CurrentPor-Equ Factor Movements'!J116</f>
        <v>2148.0998964419859</v>
      </c>
      <c r="I116">
        <f t="shared" si="2"/>
        <v>96520.18717924926</v>
      </c>
      <c r="J116">
        <f t="shared" si="3"/>
        <v>-15.092498858983163</v>
      </c>
    </row>
    <row r="117" spans="1:10">
      <c r="A117" s="1">
        <v>45632</v>
      </c>
      <c r="B117">
        <f>(3/(1+('CurrentPor-Equ Factor Movements'!C117)/100)+103/POWER(1+('CurrentPor-Equ Factor Movements'!D117)/100,2))*100</f>
        <v>9707.5857774288397</v>
      </c>
      <c r="C117">
        <f>(3/(1+('CurrentPor-Equ Factor Movements'!C117+'CurrentPor-Equ Factor Movements'!G117)/100)+103/POWER(1+('CurrentPor-Equ Factor Movements'!D117+'CurrentPor-Equ Factor Movements'!G117)/100,2))*100</f>
        <v>9643.879491178941</v>
      </c>
      <c r="D117">
        <f>(3/(1+('CurrentPor-Equ Factor Movements'!C117+'CurrentPor-Equ Factor Movements'!H117)/100)+103/POWER(1+('CurrentPor-Equ Factor Movements'!D117+'CurrentPor-Equ Factor Movements'!H117)/100,2))*100</f>
        <v>9599.2168648117313</v>
      </c>
      <c r="E117">
        <f>(3/(1+('CurrentPor-Equ Factor Movements'!C117+'CurrentPor-Equ Factor Movements'!I117)/100)+103/POWER(1+('CurrentPor-Equ Factor Movements'!D117+'CurrentPor-Equ Factor Movements'!I117)/100,2))*100</f>
        <v>9581.2428232433667</v>
      </c>
      <c r="F117">
        <f>Portfolio!B$5*'CurrentPor-Equ Factor Movements'!E117</f>
        <v>52143.895533915893</v>
      </c>
      <c r="G117">
        <f>Portfolio!B$6*'CurrentPor-Equ Factor Movements'!F117</f>
        <v>3696.2945087936532</v>
      </c>
      <c r="H117">
        <f>Portfolio!B$7*'CurrentPor-Equ Factor Movements'!J117</f>
        <v>2148.0998964419859</v>
      </c>
      <c r="I117">
        <f t="shared" si="2"/>
        <v>96520.21489581441</v>
      </c>
      <c r="J117">
        <f t="shared" si="3"/>
        <v>4.8469303751480766</v>
      </c>
    </row>
    <row r="118" spans="1:10">
      <c r="A118" s="1">
        <v>45635</v>
      </c>
      <c r="B118">
        <f>(3/(1+('CurrentPor-Equ Factor Movements'!C118)/100)+103/POWER(1+('CurrentPor-Equ Factor Movements'!D118)/100,2))*100</f>
        <v>9707.5857774288397</v>
      </c>
      <c r="C118">
        <f>(3/(1+('CurrentPor-Equ Factor Movements'!C118+'CurrentPor-Equ Factor Movements'!G118)/100)+103/POWER(1+('CurrentPor-Equ Factor Movements'!D118+'CurrentPor-Equ Factor Movements'!G118)/100,2))*100</f>
        <v>9643.879491178941</v>
      </c>
      <c r="D118">
        <f>(3/(1+('CurrentPor-Equ Factor Movements'!C118+'CurrentPor-Equ Factor Movements'!H118)/100)+103/POWER(1+('CurrentPor-Equ Factor Movements'!D118+'CurrentPor-Equ Factor Movements'!H118)/100,2))*100</f>
        <v>9607.167874935607</v>
      </c>
      <c r="E118">
        <f>(3/(1+('CurrentPor-Equ Factor Movements'!C118+'CurrentPor-Equ Factor Movements'!I118)/100)+103/POWER(1+('CurrentPor-Equ Factor Movements'!D118+'CurrentPor-Equ Factor Movements'!I118)/100,2))*100</f>
        <v>9580.6542129293412</v>
      </c>
      <c r="F118">
        <f>Portfolio!B$5*'CurrentPor-Equ Factor Movements'!E118</f>
        <v>52143.895533915893</v>
      </c>
      <c r="G118">
        <f>Portfolio!B$6*'CurrentPor-Equ Factor Movements'!F118</f>
        <v>3696.2945087936532</v>
      </c>
      <c r="H118">
        <f>Portfolio!B$7*'CurrentPor-Equ Factor Movements'!J118</f>
        <v>2148.0998964419859</v>
      </c>
      <c r="I118">
        <f t="shared" si="2"/>
        <v>96527.577295624258</v>
      </c>
      <c r="J118">
        <f t="shared" si="3"/>
        <v>29.101957463208237</v>
      </c>
    </row>
    <row r="119" spans="1:10">
      <c r="A119" s="1">
        <v>45636</v>
      </c>
      <c r="B119">
        <f>(3/(1+('CurrentPor-Equ Factor Movements'!C119)/100)+103/POWER(1+('CurrentPor-Equ Factor Movements'!D119)/100,2))*100</f>
        <v>9707.5857774288397</v>
      </c>
      <c r="C119">
        <f>(3/(1+('CurrentPor-Equ Factor Movements'!C119+'CurrentPor-Equ Factor Movements'!G119)/100)+103/POWER(1+('CurrentPor-Equ Factor Movements'!D119+'CurrentPor-Equ Factor Movements'!G119)/100,2))*100</f>
        <v>9643.879491178941</v>
      </c>
      <c r="D119">
        <f>(3/(1+('CurrentPor-Equ Factor Movements'!C119+'CurrentPor-Equ Factor Movements'!H119)/100)+103/POWER(1+('CurrentPor-Equ Factor Movements'!D119+'CurrentPor-Equ Factor Movements'!H119)/100,2))*100</f>
        <v>9599.3408121781467</v>
      </c>
      <c r="E119">
        <f>(3/(1+('CurrentPor-Equ Factor Movements'!C119+'CurrentPor-Equ Factor Movements'!I119)/100)+103/POWER(1+('CurrentPor-Equ Factor Movements'!D119+'CurrentPor-Equ Factor Movements'!I119)/100,2))*100</f>
        <v>9580.3564694755823</v>
      </c>
      <c r="F119">
        <f>Portfolio!B$5*'CurrentPor-Equ Factor Movements'!E119</f>
        <v>52143.895533915893</v>
      </c>
      <c r="G119">
        <f>Portfolio!B$6*'CurrentPor-Equ Factor Movements'!F119</f>
        <v>3696.2945087936532</v>
      </c>
      <c r="H119">
        <f>Portfolio!B$7*'CurrentPor-Equ Factor Movements'!J119</f>
        <v>2148.0998964419859</v>
      </c>
      <c r="I119">
        <f t="shared" si="2"/>
        <v>96519.452489413045</v>
      </c>
      <c r="J119">
        <f t="shared" si="3"/>
        <v>-5.0881567911419552</v>
      </c>
    </row>
    <row r="120" spans="1:10">
      <c r="A120" s="1">
        <v>45637</v>
      </c>
      <c r="B120">
        <f>(3/(1+('CurrentPor-Equ Factor Movements'!C120)/100)+103/POWER(1+('CurrentPor-Equ Factor Movements'!D120)/100,2))*100</f>
        <v>9707.5857774288397</v>
      </c>
      <c r="C120">
        <f>(3/(1+('CurrentPor-Equ Factor Movements'!C120+'CurrentPor-Equ Factor Movements'!G120)/100)+103/POWER(1+('CurrentPor-Equ Factor Movements'!D120+'CurrentPor-Equ Factor Movements'!G120)/100,2))*100</f>
        <v>9642.0686266331541</v>
      </c>
      <c r="D120">
        <f>(3/(1+('CurrentPor-Equ Factor Movements'!C120+'CurrentPor-Equ Factor Movements'!H120)/100)+103/POWER(1+('CurrentPor-Equ Factor Movements'!D120+'CurrentPor-Equ Factor Movements'!H120)/100,2))*100</f>
        <v>9581.9812171778321</v>
      </c>
      <c r="E120">
        <f>(3/(1+('CurrentPor-Equ Factor Movements'!C120+'CurrentPor-Equ Factor Movements'!I120)/100)+103/POWER(1+('CurrentPor-Equ Factor Movements'!D120+'CurrentPor-Equ Factor Movements'!I120)/100,2))*100</f>
        <v>9580.5475670242795</v>
      </c>
      <c r="F120">
        <f>Portfolio!B$5*'CurrentPor-Equ Factor Movements'!E120</f>
        <v>52143.895533915893</v>
      </c>
      <c r="G120">
        <f>Portfolio!B$6*'CurrentPor-Equ Factor Movements'!F120</f>
        <v>3696.2945087936532</v>
      </c>
      <c r="H120">
        <f>Portfolio!B$7*'CurrentPor-Equ Factor Movements'!J120</f>
        <v>2148.0998964419859</v>
      </c>
      <c r="I120">
        <f t="shared" si="2"/>
        <v>96500.473127415637</v>
      </c>
      <c r="J120">
        <f t="shared" si="3"/>
        <v>-0.5835740066395374</v>
      </c>
    </row>
    <row r="121" spans="1:10">
      <c r="A121" s="1">
        <v>45638</v>
      </c>
      <c r="B121">
        <f>(3/(1+('CurrentPor-Equ Factor Movements'!C121)/100)+103/POWER(1+('CurrentPor-Equ Factor Movements'!D121)/100,2))*100</f>
        <v>9707.5857774288397</v>
      </c>
      <c r="C121">
        <f>(3/(1+('CurrentPor-Equ Factor Movements'!C121+'CurrentPor-Equ Factor Movements'!G121)/100)+103/POWER(1+('CurrentPor-Equ Factor Movements'!D121+'CurrentPor-Equ Factor Movements'!G121)/100,2))*100</f>
        <v>9640.2582771647722</v>
      </c>
      <c r="D121">
        <f>(3/(1+('CurrentPor-Equ Factor Movements'!C121+'CurrentPor-Equ Factor Movements'!H121)/100)+103/POWER(1+('CurrentPor-Equ Factor Movements'!D121+'CurrentPor-Equ Factor Movements'!H121)/100,2))*100</f>
        <v>9598.2009469458499</v>
      </c>
      <c r="E121">
        <f>(3/(1+('CurrentPor-Equ Factor Movements'!C121+'CurrentPor-Equ Factor Movements'!I121)/100)+103/POWER(1+('CurrentPor-Equ Factor Movements'!D121+'CurrentPor-Equ Factor Movements'!I121)/100,2))*100</f>
        <v>9581.1613817776724</v>
      </c>
      <c r="F121">
        <f>Portfolio!B$5*'CurrentPor-Equ Factor Movements'!E121</f>
        <v>52143.895533915893</v>
      </c>
      <c r="G121">
        <f>Portfolio!B$6*'CurrentPor-Equ Factor Movements'!F121</f>
        <v>3696.2945087936532</v>
      </c>
      <c r="H121">
        <f>Portfolio!B$7*'CurrentPor-Equ Factor Movements'!J121</f>
        <v>2148.0998964419859</v>
      </c>
      <c r="I121">
        <f t="shared" si="2"/>
        <v>96515.496322468665</v>
      </c>
      <c r="J121">
        <f t="shared" si="3"/>
        <v>-2.5062227342568804</v>
      </c>
    </row>
    <row r="122" spans="1:10">
      <c r="A122" s="1">
        <v>45639</v>
      </c>
      <c r="B122">
        <f>(3/(1+('CurrentPor-Equ Factor Movements'!C122)/100)+103/POWER(1+('CurrentPor-Equ Factor Movements'!D122)/100,2))*100</f>
        <v>9707.5857774288397</v>
      </c>
      <c r="C122">
        <f>(3/(1+('CurrentPor-Equ Factor Movements'!C122+'CurrentPor-Equ Factor Movements'!G122)/100)+103/POWER(1+('CurrentPor-Equ Factor Movements'!D122+'CurrentPor-Equ Factor Movements'!G122)/100,2))*100</f>
        <v>9640.2582771647722</v>
      </c>
      <c r="D122">
        <f>(3/(1+('CurrentPor-Equ Factor Movements'!C122+'CurrentPor-Equ Factor Movements'!H122)/100)+103/POWER(1+('CurrentPor-Equ Factor Movements'!D122+'CurrentPor-Equ Factor Movements'!H122)/100,2))*100</f>
        <v>9606.7331353113295</v>
      </c>
      <c r="E122">
        <f>(3/(1+('CurrentPor-Equ Factor Movements'!C122+'CurrentPor-Equ Factor Movements'!I122)/100)+103/POWER(1+('CurrentPor-Equ Factor Movements'!D122+'CurrentPor-Equ Factor Movements'!I122)/100,2))*100</f>
        <v>9579.7511137268666</v>
      </c>
      <c r="F122">
        <f>Portfolio!B$5*'CurrentPor-Equ Factor Movements'!E122</f>
        <v>52143.895533915893</v>
      </c>
      <c r="G122">
        <f>Portfolio!B$6*'CurrentPor-Equ Factor Movements'!F122</f>
        <v>3696.2945087936532</v>
      </c>
      <c r="H122">
        <f>Portfolio!B$7*'CurrentPor-Equ Factor Movements'!J122</f>
        <v>2148.0998964419859</v>
      </c>
      <c r="I122">
        <f t="shared" si="2"/>
        <v>96522.618242783341</v>
      </c>
      <c r="J122">
        <f t="shared" si="3"/>
        <v>3.2614439846365713</v>
      </c>
    </row>
    <row r="123" spans="1:10">
      <c r="A123" s="1">
        <v>45642</v>
      </c>
      <c r="B123">
        <f>(3/(1+('CurrentPor-Equ Factor Movements'!C123)/100)+103/POWER(1+('CurrentPor-Equ Factor Movements'!D123)/100,2))*100</f>
        <v>9707.5857774288397</v>
      </c>
      <c r="C123">
        <f>(3/(1+('CurrentPor-Equ Factor Movements'!C123+'CurrentPor-Equ Factor Movements'!G123)/100)+103/POWER(1+('CurrentPor-Equ Factor Movements'!D123+'CurrentPor-Equ Factor Movements'!G123)/100,2))*100</f>
        <v>9640.2582771647722</v>
      </c>
      <c r="D123">
        <f>(3/(1+('CurrentPor-Equ Factor Movements'!C123+'CurrentPor-Equ Factor Movements'!H123)/100)+103/POWER(1+('CurrentPor-Equ Factor Movements'!D123+'CurrentPor-Equ Factor Movements'!H123)/100,2))*100</f>
        <v>9594.4438659396492</v>
      </c>
      <c r="E123">
        <f>(3/(1+('CurrentPor-Equ Factor Movements'!C123+'CurrentPor-Equ Factor Movements'!I123)/100)+103/POWER(1+('CurrentPor-Equ Factor Movements'!D123+'CurrentPor-Equ Factor Movements'!I123)/100,2))*100</f>
        <v>9580.5846911005356</v>
      </c>
      <c r="F123">
        <f>Portfolio!B$5*'CurrentPor-Equ Factor Movements'!E123</f>
        <v>52143.895533915893</v>
      </c>
      <c r="G123">
        <f>Portfolio!B$6*'CurrentPor-Equ Factor Movements'!F123</f>
        <v>3696.2945087936532</v>
      </c>
      <c r="H123">
        <f>Portfolio!B$7*'CurrentPor-Equ Factor Movements'!J123</f>
        <v>2148.0998964419859</v>
      </c>
      <c r="I123">
        <f t="shared" si="2"/>
        <v>96511.162550785331</v>
      </c>
      <c r="J123">
        <f t="shared" si="3"/>
        <v>-16.653691717830952</v>
      </c>
    </row>
    <row r="124" spans="1:10">
      <c r="A124" s="1">
        <v>45643</v>
      </c>
      <c r="B124">
        <f>(3/(1+('CurrentPor-Equ Factor Movements'!C124)/100)+103/POWER(1+('CurrentPor-Equ Factor Movements'!D124)/100,2))*100</f>
        <v>9707.5857774288397</v>
      </c>
      <c r="C124">
        <f>(3/(1+('CurrentPor-Equ Factor Movements'!C124+'CurrentPor-Equ Factor Movements'!G124)/100)+103/POWER(1+('CurrentPor-Equ Factor Movements'!D124+'CurrentPor-Equ Factor Movements'!G124)/100,2))*100</f>
        <v>9638.4484425779829</v>
      </c>
      <c r="D124">
        <f>(3/(1+('CurrentPor-Equ Factor Movements'!C124+'CurrentPor-Equ Factor Movements'!H124)/100)+103/POWER(1+('CurrentPor-Equ Factor Movements'!D124+'CurrentPor-Equ Factor Movements'!H124)/100,2))*100</f>
        <v>9593.8694294002198</v>
      </c>
      <c r="E124">
        <f>(3/(1+('CurrentPor-Equ Factor Movements'!C124+'CurrentPor-Equ Factor Movements'!I124)/100)+103/POWER(1+('CurrentPor-Equ Factor Movements'!D124+'CurrentPor-Equ Factor Movements'!I124)/100,2))*100</f>
        <v>9580.7516500824258</v>
      </c>
      <c r="F124">
        <f>Portfolio!B$5*'CurrentPor-Equ Factor Movements'!E124</f>
        <v>52143.895533915893</v>
      </c>
      <c r="G124">
        <f>Portfolio!B$6*'CurrentPor-Equ Factor Movements'!F124</f>
        <v>3696.2945087936532</v>
      </c>
      <c r="H124">
        <f>Portfolio!B$7*'CurrentPor-Equ Factor Movements'!J124</f>
        <v>2148.0998964419859</v>
      </c>
      <c r="I124">
        <f t="shared" si="2"/>
        <v>96508.945238640998</v>
      </c>
      <c r="J124">
        <f t="shared" si="3"/>
        <v>-15.6600142307434</v>
      </c>
    </row>
    <row r="125" spans="1:10">
      <c r="A125" s="1">
        <v>45644</v>
      </c>
      <c r="B125">
        <f>(3/(1+('CurrentPor-Equ Factor Movements'!C125)/100)+103/POWER(1+('CurrentPor-Equ Factor Movements'!D125)/100,2))*100</f>
        <v>9707.5857774288397</v>
      </c>
      <c r="C125">
        <f>(3/(1+('CurrentPor-Equ Factor Movements'!C125+'CurrentPor-Equ Factor Movements'!G125)/100)+103/POWER(1+('CurrentPor-Equ Factor Movements'!D125+'CurrentPor-Equ Factor Movements'!G125)/100,2))*100</f>
        <v>9638.4484425779829</v>
      </c>
      <c r="D125">
        <f>(3/(1+('CurrentPor-Equ Factor Movements'!C125+'CurrentPor-Equ Factor Movements'!H125)/100)+103/POWER(1+('CurrentPor-Equ Factor Movements'!D125+'CurrentPor-Equ Factor Movements'!H125)/100,2))*100</f>
        <v>9590.7310198603318</v>
      </c>
      <c r="E125">
        <f>(3/(1+('CurrentPor-Equ Factor Movements'!C125+'CurrentPor-Equ Factor Movements'!I125)/100)+103/POWER(1+('CurrentPor-Equ Factor Movements'!D125+'CurrentPor-Equ Factor Movements'!I125)/100,2))*100</f>
        <v>9580.5324716588002</v>
      </c>
      <c r="F125">
        <f>Portfolio!B$5*'CurrentPor-Equ Factor Movements'!E125</f>
        <v>52143.895533915893</v>
      </c>
      <c r="G125">
        <f>Portfolio!B$6*'CurrentPor-Equ Factor Movements'!F125</f>
        <v>3696.2945087936532</v>
      </c>
      <c r="H125">
        <f>Portfolio!B$7*'CurrentPor-Equ Factor Movements'!J125</f>
        <v>2148.0998964419859</v>
      </c>
      <c r="I125">
        <f t="shared" si="2"/>
        <v>96505.587650677495</v>
      </c>
      <c r="J125">
        <f t="shared" si="3"/>
        <v>-33.506813329266151</v>
      </c>
    </row>
    <row r="126" spans="1:10">
      <c r="A126" s="1">
        <v>45645</v>
      </c>
      <c r="B126">
        <f>(3/(1+('CurrentPor-Equ Factor Movements'!C126)/100)+103/POWER(1+('CurrentPor-Equ Factor Movements'!D126)/100,2))*100</f>
        <v>9707.5857774288397</v>
      </c>
      <c r="C126">
        <f>(3/(1+('CurrentPor-Equ Factor Movements'!C126+'CurrentPor-Equ Factor Movements'!G126)/100)+103/POWER(1+('CurrentPor-Equ Factor Movements'!D126+'CurrentPor-Equ Factor Movements'!G126)/100,2))*100</f>
        <v>9640.2582771647722</v>
      </c>
      <c r="D126">
        <f>(3/(1+('CurrentPor-Equ Factor Movements'!C126+'CurrentPor-Equ Factor Movements'!H126)/100)+103/POWER(1+('CurrentPor-Equ Factor Movements'!D126+'CurrentPor-Equ Factor Movements'!H126)/100,2))*100</f>
        <v>9591.7529996003213</v>
      </c>
      <c r="E126">
        <f>(3/(1+('CurrentPor-Equ Factor Movements'!C126+'CurrentPor-Equ Factor Movements'!I126)/100)+103/POWER(1+('CurrentPor-Equ Factor Movements'!D126+'CurrentPor-Equ Factor Movements'!I126)/100,2))*100</f>
        <v>9580.0774297077205</v>
      </c>
      <c r="F126">
        <f>Portfolio!B$5*'CurrentPor-Equ Factor Movements'!E126</f>
        <v>52143.895533915893</v>
      </c>
      <c r="G126">
        <f>Portfolio!B$6*'CurrentPor-Equ Factor Movements'!F126</f>
        <v>3696.2945087936532</v>
      </c>
      <c r="H126">
        <f>Portfolio!B$7*'CurrentPor-Equ Factor Movements'!J126</f>
        <v>2148.0998964419859</v>
      </c>
      <c r="I126">
        <f t="shared" si="2"/>
        <v>96507.964423053185</v>
      </c>
      <c r="J126">
        <f t="shared" si="3"/>
        <v>-12.222756196075352</v>
      </c>
    </row>
    <row r="127" spans="1:10">
      <c r="A127" s="1">
        <v>45646</v>
      </c>
      <c r="B127">
        <f>(3/(1+('CurrentPor-Equ Factor Movements'!C127)/100)+103/POWER(1+('CurrentPor-Equ Factor Movements'!D127)/100,2))*100</f>
        <v>9707.5857774288397</v>
      </c>
      <c r="C127">
        <f>(3/(1+('CurrentPor-Equ Factor Movements'!C127+'CurrentPor-Equ Factor Movements'!G127)/100)+103/POWER(1+('CurrentPor-Equ Factor Movements'!D127+'CurrentPor-Equ Factor Movements'!G127)/100,2))*100</f>
        <v>9640.2582771647722</v>
      </c>
      <c r="D127">
        <f>(3/(1+('CurrentPor-Equ Factor Movements'!C127+'CurrentPor-Equ Factor Movements'!H127)/100)+103/POWER(1+('CurrentPor-Equ Factor Movements'!D127+'CurrentPor-Equ Factor Movements'!H127)/100,2))*100</f>
        <v>9604.0602304754975</v>
      </c>
      <c r="E127">
        <f>(3/(1+('CurrentPor-Equ Factor Movements'!C127+'CurrentPor-Equ Factor Movements'!I127)/100)+103/POWER(1+('CurrentPor-Equ Factor Movements'!D127+'CurrentPor-Equ Factor Movements'!I127)/100,2))*100</f>
        <v>9580.9255332380453</v>
      </c>
      <c r="F127">
        <f>Portfolio!B$5*'CurrentPor-Equ Factor Movements'!E127</f>
        <v>52143.895533915893</v>
      </c>
      <c r="G127">
        <f>Portfolio!B$6*'CurrentPor-Equ Factor Movements'!F127</f>
        <v>3696.2945087936532</v>
      </c>
      <c r="H127">
        <f>Portfolio!B$7*'CurrentPor-Equ Factor Movements'!J127</f>
        <v>2148.0998964419859</v>
      </c>
      <c r="I127">
        <f t="shared" si="2"/>
        <v>96521.119757458684</v>
      </c>
      <c r="J127">
        <f t="shared" si="3"/>
        <v>0.9048616442742059</v>
      </c>
    </row>
    <row r="128" spans="1:10">
      <c r="A128" s="1">
        <v>45649</v>
      </c>
      <c r="B128">
        <f>(3/(1+('CurrentPor-Equ Factor Movements'!C128)/100)+103/POWER(1+('CurrentPor-Equ Factor Movements'!D128)/100,2))*100</f>
        <v>9707.5857774288397</v>
      </c>
      <c r="C128">
        <f>(3/(1+('CurrentPor-Equ Factor Movements'!C128+'CurrentPor-Equ Factor Movements'!G128)/100)+103/POWER(1+('CurrentPor-Equ Factor Movements'!D128+'CurrentPor-Equ Factor Movements'!G128)/100,2))*100</f>
        <v>9638.4484425779829</v>
      </c>
      <c r="D128">
        <f>(3/(1+('CurrentPor-Equ Factor Movements'!C128+'CurrentPor-Equ Factor Movements'!H128)/100)+103/POWER(1+('CurrentPor-Equ Factor Movements'!D128+'CurrentPor-Equ Factor Movements'!H128)/100,2))*100</f>
        <v>9593.5743069351101</v>
      </c>
      <c r="E128">
        <f>(3/(1+('CurrentPor-Equ Factor Movements'!C128+'CurrentPor-Equ Factor Movements'!I128)/100)+103/POWER(1+('CurrentPor-Equ Factor Movements'!D128+'CurrentPor-Equ Factor Movements'!I128)/100,2))*100</f>
        <v>9578.1966732505916</v>
      </c>
      <c r="F128">
        <f>Portfolio!B$5*'CurrentPor-Equ Factor Movements'!E128</f>
        <v>52143.895533915893</v>
      </c>
      <c r="G128">
        <f>Portfolio!B$6*'CurrentPor-Equ Factor Movements'!F128</f>
        <v>3696.2945087936532</v>
      </c>
      <c r="H128">
        <f>Portfolio!B$7*'CurrentPor-Equ Factor Movements'!J128</f>
        <v>2148.0998964419859</v>
      </c>
      <c r="I128">
        <f t="shared" si="2"/>
        <v>96506.095139344063</v>
      </c>
      <c r="J128">
        <f t="shared" si="3"/>
        <v>-21.482156280195341</v>
      </c>
    </row>
    <row r="129" spans="1:10">
      <c r="A129" s="1">
        <v>45650</v>
      </c>
      <c r="B129">
        <f>(3/(1+('CurrentPor-Equ Factor Movements'!C129)/100)+103/POWER(1+('CurrentPor-Equ Factor Movements'!D129)/100,2))*100</f>
        <v>9707.5857774288397</v>
      </c>
      <c r="C129">
        <f>(3/(1+('CurrentPor-Equ Factor Movements'!C129+'CurrentPor-Equ Factor Movements'!G129)/100)+103/POWER(1+('CurrentPor-Equ Factor Movements'!D129+'CurrentPor-Equ Factor Movements'!G129)/100,2))*100</f>
        <v>9636.6391226770629</v>
      </c>
      <c r="D129">
        <f>(3/(1+('CurrentPor-Equ Factor Movements'!C129+'CurrentPor-Equ Factor Movements'!H129)/100)+103/POWER(1+('CurrentPor-Equ Factor Movements'!D129+'CurrentPor-Equ Factor Movements'!H129)/100,2))*100</f>
        <v>9615.9542959949868</v>
      </c>
      <c r="E129">
        <f>(3/(1+('CurrentPor-Equ Factor Movements'!C129+'CurrentPor-Equ Factor Movements'!I129)/100)+103/POWER(1+('CurrentPor-Equ Factor Movements'!D129+'CurrentPor-Equ Factor Movements'!I129)/100,2))*100</f>
        <v>9579.8108186065874</v>
      </c>
      <c r="F129">
        <f>Portfolio!B$5*'CurrentPor-Equ Factor Movements'!E129</f>
        <v>52143.895533915893</v>
      </c>
      <c r="G129">
        <f>Portfolio!B$6*'CurrentPor-Equ Factor Movements'!F129</f>
        <v>3696.2945087936532</v>
      </c>
      <c r="H129">
        <f>Portfolio!B$7*'CurrentPor-Equ Factor Movements'!J129</f>
        <v>2148.0998964419859</v>
      </c>
      <c r="I129">
        <f t="shared" si="2"/>
        <v>96528.279953859004</v>
      </c>
      <c r="J129">
        <f t="shared" si="3"/>
        <v>8.8274644459597766</v>
      </c>
    </row>
    <row r="130" spans="1:10">
      <c r="A130" s="1">
        <v>45651</v>
      </c>
      <c r="B130">
        <f>(3/(1+('CurrentPor-Equ Factor Movements'!C130)/100)+103/POWER(1+('CurrentPor-Equ Factor Movements'!D130)/100,2))*100</f>
        <v>9707.5857774288397</v>
      </c>
      <c r="C130">
        <f>(3/(1+('CurrentPor-Equ Factor Movements'!C130+'CurrentPor-Equ Factor Movements'!G130)/100)+103/POWER(1+('CurrentPor-Equ Factor Movements'!D130+'CurrentPor-Equ Factor Movements'!G130)/100,2))*100</f>
        <v>9636.6391226770629</v>
      </c>
      <c r="D130">
        <f>(3/(1+('CurrentPor-Equ Factor Movements'!C130+'CurrentPor-Equ Factor Movements'!H130)/100)+103/POWER(1+('CurrentPor-Equ Factor Movements'!D130+'CurrentPor-Equ Factor Movements'!H130)/100,2))*100</f>
        <v>9604.4626392167083</v>
      </c>
      <c r="E130">
        <f>(3/(1+('CurrentPor-Equ Factor Movements'!C130+'CurrentPor-Equ Factor Movements'!I130)/100)+103/POWER(1+('CurrentPor-Equ Factor Movements'!D130+'CurrentPor-Equ Factor Movements'!I130)/100,2))*100</f>
        <v>9580.2357928853471</v>
      </c>
      <c r="F130">
        <f>Portfolio!B$5*'CurrentPor-Equ Factor Movements'!E130</f>
        <v>52143.895533915893</v>
      </c>
      <c r="G130">
        <f>Portfolio!B$6*'CurrentPor-Equ Factor Movements'!F130</f>
        <v>3696.2945087936532</v>
      </c>
      <c r="H130">
        <f>Portfolio!B$7*'CurrentPor-Equ Factor Movements'!J130</f>
        <v>2148.0998964419859</v>
      </c>
      <c r="I130">
        <f t="shared" si="2"/>
        <v>96517.213271359491</v>
      </c>
      <c r="J130">
        <f t="shared" si="3"/>
        <v>16.740143943854491</v>
      </c>
    </row>
    <row r="131" spans="1:10">
      <c r="A131" s="1">
        <v>45652</v>
      </c>
      <c r="B131">
        <f>(3/(1+('CurrentPor-Equ Factor Movements'!C131)/100)+103/POWER(1+('CurrentPor-Equ Factor Movements'!D131)/100,2))*100</f>
        <v>9707.5857774288397</v>
      </c>
      <c r="C131">
        <f>(3/(1+('CurrentPor-Equ Factor Movements'!C131+'CurrentPor-Equ Factor Movements'!G131)/100)+103/POWER(1+('CurrentPor-Equ Factor Movements'!D131+'CurrentPor-Equ Factor Movements'!G131)/100,2))*100</f>
        <v>9638.4484425779829</v>
      </c>
      <c r="D131">
        <f>(3/(1+('CurrentPor-Equ Factor Movements'!C131+'CurrentPor-Equ Factor Movements'!H131)/100)+103/POWER(1+('CurrentPor-Equ Factor Movements'!D131+'CurrentPor-Equ Factor Movements'!H131)/100,2))*100</f>
        <v>9607.1139099875763</v>
      </c>
      <c r="E131">
        <f>(3/(1+('CurrentPor-Equ Factor Movements'!C131+'CurrentPor-Equ Factor Movements'!I131)/100)+103/POWER(1+('CurrentPor-Equ Factor Movements'!D131+'CurrentPor-Equ Factor Movements'!I131)/100,2))*100</f>
        <v>9581.0206695111883</v>
      </c>
      <c r="F131">
        <f>Portfolio!B$5*'CurrentPor-Equ Factor Movements'!E131</f>
        <v>52143.895533915893</v>
      </c>
      <c r="G131">
        <f>Portfolio!B$6*'CurrentPor-Equ Factor Movements'!F131</f>
        <v>3696.2945087936532</v>
      </c>
      <c r="H131">
        <f>Portfolio!B$7*'CurrentPor-Equ Factor Movements'!J131</f>
        <v>2148.0998964419859</v>
      </c>
      <c r="I131">
        <f t="shared" si="2"/>
        <v>96522.458738657107</v>
      </c>
      <c r="J131">
        <f t="shared" si="3"/>
        <v>6.9624161884421483</v>
      </c>
    </row>
    <row r="132" spans="1:10">
      <c r="A132" s="1">
        <v>45653</v>
      </c>
      <c r="B132">
        <f>(3/(1+('CurrentPor-Equ Factor Movements'!C132)/100)+103/POWER(1+('CurrentPor-Equ Factor Movements'!D132)/100,2))*100</f>
        <v>9707.5857774288397</v>
      </c>
      <c r="C132">
        <f>(3/(1+('CurrentPor-Equ Factor Movements'!C132+'CurrentPor-Equ Factor Movements'!G132)/100)+103/POWER(1+('CurrentPor-Equ Factor Movements'!D132+'CurrentPor-Equ Factor Movements'!G132)/100,2))*100</f>
        <v>9638.4484425779829</v>
      </c>
      <c r="D132">
        <f>(3/(1+('CurrentPor-Equ Factor Movements'!C132+'CurrentPor-Equ Factor Movements'!H132)/100)+103/POWER(1+('CurrentPor-Equ Factor Movements'!D132+'CurrentPor-Equ Factor Movements'!H132)/100,2))*100</f>
        <v>9597.3097298767407</v>
      </c>
      <c r="E132">
        <f>(3/(1+('CurrentPor-Equ Factor Movements'!C132+'CurrentPor-Equ Factor Movements'!I132)/100)+103/POWER(1+('CurrentPor-Equ Factor Movements'!D132+'CurrentPor-Equ Factor Movements'!I132)/100,2))*100</f>
        <v>9581.6239856129378</v>
      </c>
      <c r="F132">
        <f>Portfolio!B$5*'CurrentPor-Equ Factor Movements'!E132</f>
        <v>52143.895533915893</v>
      </c>
      <c r="G132">
        <f>Portfolio!B$6*'CurrentPor-Equ Factor Movements'!F132</f>
        <v>3696.2945087936532</v>
      </c>
      <c r="H132">
        <f>Portfolio!B$7*'CurrentPor-Equ Factor Movements'!J132</f>
        <v>2148.0998964419859</v>
      </c>
      <c r="I132">
        <f t="shared" ref="I132:I187" si="4">SUM(B132:H132)</f>
        <v>96513.257874648043</v>
      </c>
      <c r="J132">
        <f t="shared" si="3"/>
        <v>-9.3603681352979038</v>
      </c>
    </row>
    <row r="133" spans="1:10">
      <c r="A133" s="1">
        <v>45656</v>
      </c>
      <c r="B133">
        <f>(3/(1+('CurrentPor-Equ Factor Movements'!C133)/100)+103/POWER(1+('CurrentPor-Equ Factor Movements'!D133)/100,2))*100</f>
        <v>9707.5857774288397</v>
      </c>
      <c r="C133">
        <f>(3/(1+('CurrentPor-Equ Factor Movements'!C133+'CurrentPor-Equ Factor Movements'!G133)/100)+103/POWER(1+('CurrentPor-Equ Factor Movements'!D133+'CurrentPor-Equ Factor Movements'!G133)/100,2))*100</f>
        <v>9631.2142491337127</v>
      </c>
      <c r="D133">
        <f>(3/(1+('CurrentPor-Equ Factor Movements'!C133+'CurrentPor-Equ Factor Movements'!H133)/100)+103/POWER(1+('CurrentPor-Equ Factor Movements'!D133+'CurrentPor-Equ Factor Movements'!H133)/100,2))*100</f>
        <v>9609.6940714917473</v>
      </c>
      <c r="E133">
        <f>(3/(1+('CurrentPor-Equ Factor Movements'!C133+'CurrentPor-Equ Factor Movements'!I133)/100)+103/POWER(1+('CurrentPor-Equ Factor Movements'!D133+'CurrentPor-Equ Factor Movements'!I133)/100,2))*100</f>
        <v>9580.5624811036396</v>
      </c>
      <c r="F133">
        <f>Portfolio!B$5*'CurrentPor-Equ Factor Movements'!E133</f>
        <v>52143.895533915893</v>
      </c>
      <c r="G133">
        <f>Portfolio!B$6*'CurrentPor-Equ Factor Movements'!F133</f>
        <v>3696.2945087936532</v>
      </c>
      <c r="H133">
        <f>Portfolio!B$7*'CurrentPor-Equ Factor Movements'!J133</f>
        <v>2148.0998964419859</v>
      </c>
      <c r="I133">
        <f t="shared" si="4"/>
        <v>96517.346518309481</v>
      </c>
      <c r="J133">
        <f t="shared" si="3"/>
        <v>6.1839675241499208</v>
      </c>
    </row>
    <row r="134" spans="1:10">
      <c r="A134" s="1">
        <v>45657</v>
      </c>
      <c r="B134">
        <f>(3/(1+('CurrentPor-Equ Factor Movements'!C134)/100)+103/POWER(1+('CurrentPor-Equ Factor Movements'!D134)/100,2))*100</f>
        <v>9707.5857774288397</v>
      </c>
      <c r="C134">
        <f>(3/(1+('CurrentPor-Equ Factor Movements'!C134+'CurrentPor-Equ Factor Movements'!G134)/100)+103/POWER(1+('CurrentPor-Equ Factor Movements'!D134+'CurrentPor-Equ Factor Movements'!G134)/100,2))*100</f>
        <v>9631.2142491337127</v>
      </c>
      <c r="D134">
        <f>(3/(1+('CurrentPor-Equ Factor Movements'!C134+'CurrentPor-Equ Factor Movements'!H134)/100)+103/POWER(1+('CurrentPor-Equ Factor Movements'!D134+'CurrentPor-Equ Factor Movements'!H134)/100,2))*100</f>
        <v>9602.7745050467329</v>
      </c>
      <c r="E134">
        <f>(3/(1+('CurrentPor-Equ Factor Movements'!C134+'CurrentPor-Equ Factor Movements'!I134)/100)+103/POWER(1+('CurrentPor-Equ Factor Movements'!D134+'CurrentPor-Equ Factor Movements'!I134)/100,2))*100</f>
        <v>9580.7846881736496</v>
      </c>
      <c r="F134">
        <f>Portfolio!B$5*'CurrentPor-Equ Factor Movements'!E134</f>
        <v>52143.895533915893</v>
      </c>
      <c r="G134">
        <f>Portfolio!B$6*'CurrentPor-Equ Factor Movements'!F134</f>
        <v>3696.2945087936532</v>
      </c>
      <c r="H134">
        <f>Portfolio!B$7*'CurrentPor-Equ Factor Movements'!J134</f>
        <v>2148.0998964419859</v>
      </c>
      <c r="I134">
        <f t="shared" si="4"/>
        <v>96510.649158934466</v>
      </c>
      <c r="J134">
        <f t="shared" si="3"/>
        <v>1.7039202934683999</v>
      </c>
    </row>
    <row r="135" spans="1:10">
      <c r="A135" s="1">
        <v>45658</v>
      </c>
      <c r="B135">
        <f>(3/(1+('CurrentPor-Equ Factor Movements'!C135)/100)+103/POWER(1+('CurrentPor-Equ Factor Movements'!D135)/100,2))*100</f>
        <v>9707.5857774288397</v>
      </c>
      <c r="C135">
        <f>(3/(1+('CurrentPor-Equ Factor Movements'!C135+'CurrentPor-Equ Factor Movements'!G135)/100)+103/POWER(1+('CurrentPor-Equ Factor Movements'!D135+'CurrentPor-Equ Factor Movements'!G135)/100,2))*100</f>
        <v>9629.4069860209238</v>
      </c>
      <c r="D135">
        <f>(3/(1+('CurrentPor-Equ Factor Movements'!C135+'CurrentPor-Equ Factor Movements'!H135)/100)+103/POWER(1+('CurrentPor-Equ Factor Movements'!D135+'CurrentPor-Equ Factor Movements'!H135)/100,2))*100</f>
        <v>9593.0970046067578</v>
      </c>
      <c r="E135">
        <f>(3/(1+('CurrentPor-Equ Factor Movements'!C135+'CurrentPor-Equ Factor Movements'!I135)/100)+103/POWER(1+('CurrentPor-Equ Factor Movements'!D135+'CurrentPor-Equ Factor Movements'!I135)/100,2))*100</f>
        <v>9579.0066248431594</v>
      </c>
      <c r="F135">
        <f>Portfolio!B$5*'CurrentPor-Equ Factor Movements'!E135</f>
        <v>52143.895533915893</v>
      </c>
      <c r="G135">
        <f>Portfolio!B$6*'CurrentPor-Equ Factor Movements'!F135</f>
        <v>3696.2945087936532</v>
      </c>
      <c r="H135">
        <f>Portfolio!B$7*'CurrentPor-Equ Factor Movements'!J135</f>
        <v>2148.0998964419859</v>
      </c>
      <c r="I135">
        <f t="shared" si="4"/>
        <v>96497.386332051217</v>
      </c>
      <c r="J135">
        <f t="shared" si="3"/>
        <v>-8.201318626277498</v>
      </c>
    </row>
    <row r="136" spans="1:10">
      <c r="A136" s="1">
        <v>45659</v>
      </c>
      <c r="B136">
        <f>(3/(1+('CurrentPor-Equ Factor Movements'!C136)/100)+103/POWER(1+('CurrentPor-Equ Factor Movements'!D136)/100,2))*100</f>
        <v>9707.5857774288397</v>
      </c>
      <c r="C136">
        <f>(3/(1+('CurrentPor-Equ Factor Movements'!C136+'CurrentPor-Equ Factor Movements'!G136)/100)+103/POWER(1+('CurrentPor-Equ Factor Movements'!D136+'CurrentPor-Equ Factor Movements'!G136)/100,2))*100</f>
        <v>9631.2142491337127</v>
      </c>
      <c r="D136">
        <f>(3/(1+('CurrentPor-Equ Factor Movements'!C136+'CurrentPor-Equ Factor Movements'!H136)/100)+103/POWER(1+('CurrentPor-Equ Factor Movements'!D136+'CurrentPor-Equ Factor Movements'!H136)/100,2))*100</f>
        <v>9592.9984301086824</v>
      </c>
      <c r="E136">
        <f>(3/(1+('CurrentPor-Equ Factor Movements'!C136+'CurrentPor-Equ Factor Movements'!I136)/100)+103/POWER(1+('CurrentPor-Equ Factor Movements'!D136+'CurrentPor-Equ Factor Movements'!I136)/100,2))*100</f>
        <v>9580.5486399562433</v>
      </c>
      <c r="F136">
        <f>Portfolio!B$5*'CurrentPor-Equ Factor Movements'!E136</f>
        <v>52143.895533915893</v>
      </c>
      <c r="G136">
        <f>Portfolio!B$6*'CurrentPor-Equ Factor Movements'!F136</f>
        <v>3696.2945087936532</v>
      </c>
      <c r="H136">
        <f>Portfolio!B$7*'CurrentPor-Equ Factor Movements'!J136</f>
        <v>2148.0998964419859</v>
      </c>
      <c r="I136">
        <f t="shared" si="4"/>
        <v>96500.637035779</v>
      </c>
      <c r="J136">
        <f t="shared" si="3"/>
        <v>-7.3273872741847299</v>
      </c>
    </row>
    <row r="137" spans="1:10">
      <c r="A137" s="1">
        <v>45660</v>
      </c>
      <c r="B137">
        <f>(3/(1+('CurrentPor-Equ Factor Movements'!C137)/100)+103/POWER(1+('CurrentPor-Equ Factor Movements'!D137)/100,2))*100</f>
        <v>9707.5857774288397</v>
      </c>
      <c r="C137">
        <f>(3/(1+('CurrentPor-Equ Factor Movements'!C137+'CurrentPor-Equ Factor Movements'!G137)/100)+103/POWER(1+('CurrentPor-Equ Factor Movements'!D137+'CurrentPor-Equ Factor Movements'!G137)/100,2))*100</f>
        <v>9629.4069860209238</v>
      </c>
      <c r="D137">
        <f>(3/(1+('CurrentPor-Equ Factor Movements'!C137+'CurrentPor-Equ Factor Movements'!H137)/100)+103/POWER(1+('CurrentPor-Equ Factor Movements'!D137+'CurrentPor-Equ Factor Movements'!H137)/100,2))*100</f>
        <v>9605.7658854391539</v>
      </c>
      <c r="E137">
        <f>(3/(1+('CurrentPor-Equ Factor Movements'!C137+'CurrentPor-Equ Factor Movements'!I137)/100)+103/POWER(1+('CurrentPor-Equ Factor Movements'!D137+'CurrentPor-Equ Factor Movements'!I137)/100,2))*100</f>
        <v>9582.3509663142595</v>
      </c>
      <c r="F137">
        <f>Portfolio!B$5*'CurrentPor-Equ Factor Movements'!E137</f>
        <v>52143.895533915893</v>
      </c>
      <c r="G137">
        <f>Portfolio!B$6*'CurrentPor-Equ Factor Movements'!F137</f>
        <v>3696.2945087936532</v>
      </c>
      <c r="H137">
        <f>Portfolio!B$7*'CurrentPor-Equ Factor Movements'!J137</f>
        <v>2148.0998964419859</v>
      </c>
      <c r="I137">
        <f t="shared" si="4"/>
        <v>96513.399554354706</v>
      </c>
      <c r="J137">
        <f t="shared" si="3"/>
        <v>-7.7202031039778376</v>
      </c>
    </row>
    <row r="138" spans="1:10">
      <c r="A138" s="1">
        <v>45663</v>
      </c>
      <c r="B138">
        <f>(3/(1+('CurrentPor-Equ Factor Movements'!C138)/100)+103/POWER(1+('CurrentPor-Equ Factor Movements'!D138)/100,2))*100</f>
        <v>9707.5857774288397</v>
      </c>
      <c r="C138">
        <f>(3/(1+('CurrentPor-Equ Factor Movements'!C138+'CurrentPor-Equ Factor Movements'!G138)/100)+103/POWER(1+('CurrentPor-Equ Factor Movements'!D138+'CurrentPor-Equ Factor Movements'!G138)/100,2))*100</f>
        <v>9638.4484425779829</v>
      </c>
      <c r="D138">
        <f>(3/(1+('CurrentPor-Equ Factor Movements'!C138+'CurrentPor-Equ Factor Movements'!H138)/100)+103/POWER(1+('CurrentPor-Equ Factor Movements'!D138+'CurrentPor-Equ Factor Movements'!H138)/100,2))*100</f>
        <v>9603.1750789171438</v>
      </c>
      <c r="E138">
        <f>(3/(1+('CurrentPor-Equ Factor Movements'!C138+'CurrentPor-Equ Factor Movements'!I138)/100)+103/POWER(1+('CurrentPor-Equ Factor Movements'!D138+'CurrentPor-Equ Factor Movements'!I138)/100,2))*100</f>
        <v>9580.350510801798</v>
      </c>
      <c r="F138">
        <f>Portfolio!B$5*'CurrentPor-Equ Factor Movements'!E138</f>
        <v>52143.895533915893</v>
      </c>
      <c r="G138">
        <f>Portfolio!B$6*'CurrentPor-Equ Factor Movements'!F138</f>
        <v>3696.2945087936532</v>
      </c>
      <c r="H138">
        <f>Portfolio!B$7*'CurrentPor-Equ Factor Movements'!J138</f>
        <v>2148.0998964419859</v>
      </c>
      <c r="I138">
        <f t="shared" si="4"/>
        <v>96517.849748877299</v>
      </c>
      <c r="J138">
        <f t="shared" si="3"/>
        <v>11.754609533236362</v>
      </c>
    </row>
    <row r="139" spans="1:10">
      <c r="A139" s="1">
        <v>45664</v>
      </c>
      <c r="B139">
        <f>(3/(1+('CurrentPor-Equ Factor Movements'!C139)/100)+103/POWER(1+('CurrentPor-Equ Factor Movements'!D139)/100,2))*100</f>
        <v>9707.5857774288397</v>
      </c>
      <c r="C139">
        <f>(3/(1+('CurrentPor-Equ Factor Movements'!C139+'CurrentPor-Equ Factor Movements'!G139)/100)+103/POWER(1+('CurrentPor-Equ Factor Movements'!D139+'CurrentPor-Equ Factor Movements'!G139)/100,2))*100</f>
        <v>9640.2582771647722</v>
      </c>
      <c r="D139">
        <f>(3/(1+('CurrentPor-Equ Factor Movements'!C139+'CurrentPor-Equ Factor Movements'!H139)/100)+103/POWER(1+('CurrentPor-Equ Factor Movements'!D139+'CurrentPor-Equ Factor Movements'!H139)/100,2))*100</f>
        <v>9592.95319154563</v>
      </c>
      <c r="E139">
        <f>(3/(1+('CurrentPor-Equ Factor Movements'!C139+'CurrentPor-Equ Factor Movements'!I139)/100)+103/POWER(1+('CurrentPor-Equ Factor Movements'!D139+'CurrentPor-Equ Factor Movements'!I139)/100,2))*100</f>
        <v>9580.5443814391328</v>
      </c>
      <c r="F139">
        <f>Portfolio!B$5*'CurrentPor-Equ Factor Movements'!E139</f>
        <v>52143.895533915893</v>
      </c>
      <c r="G139">
        <f>Portfolio!B$6*'CurrentPor-Equ Factor Movements'!F139</f>
        <v>3696.2945087936532</v>
      </c>
      <c r="H139">
        <f>Portfolio!B$7*'CurrentPor-Equ Factor Movements'!J139</f>
        <v>2148.0998964419859</v>
      </c>
      <c r="I139">
        <f t="shared" si="4"/>
        <v>96509.631566729906</v>
      </c>
      <c r="J139">
        <f t="shared" si="3"/>
        <v>-18.64838712909841</v>
      </c>
    </row>
    <row r="140" spans="1:10">
      <c r="A140" s="1">
        <v>45665</v>
      </c>
      <c r="B140">
        <f>(3/(1+('CurrentPor-Equ Factor Movements'!C140)/100)+103/POWER(1+('CurrentPor-Equ Factor Movements'!D140)/100,2))*100</f>
        <v>9707.5857774288397</v>
      </c>
      <c r="C140">
        <f>(3/(1+('CurrentPor-Equ Factor Movements'!C140+'CurrentPor-Equ Factor Movements'!G140)/100)+103/POWER(1+('CurrentPor-Equ Factor Movements'!D140+'CurrentPor-Equ Factor Movements'!G140)/100,2))*100</f>
        <v>9638.4484425779829</v>
      </c>
      <c r="D140">
        <f>(3/(1+('CurrentPor-Equ Factor Movements'!C140+'CurrentPor-Equ Factor Movements'!H140)/100)+103/POWER(1+('CurrentPor-Equ Factor Movements'!D140+'CurrentPor-Equ Factor Movements'!H140)/100,2))*100</f>
        <v>9590.5436465270923</v>
      </c>
      <c r="E140">
        <f>(3/(1+('CurrentPor-Equ Factor Movements'!C140+'CurrentPor-Equ Factor Movements'!I140)/100)+103/POWER(1+('CurrentPor-Equ Factor Movements'!D140+'CurrentPor-Equ Factor Movements'!I140)/100,2))*100</f>
        <v>9580.7789557144333</v>
      </c>
      <c r="F140">
        <f>Portfolio!B$5*'CurrentPor-Equ Factor Movements'!E140</f>
        <v>52143.895533915893</v>
      </c>
      <c r="G140">
        <f>Portfolio!B$6*'CurrentPor-Equ Factor Movements'!F140</f>
        <v>3696.2945087936532</v>
      </c>
      <c r="H140">
        <f>Portfolio!B$7*'CurrentPor-Equ Factor Movements'!J140</f>
        <v>2148.0998964419859</v>
      </c>
      <c r="I140">
        <f t="shared" si="4"/>
        <v>96505.646761399883</v>
      </c>
      <c r="J140">
        <f t="shared" si="3"/>
        <v>-11.566509959608084</v>
      </c>
    </row>
    <row r="141" spans="1:10">
      <c r="A141" s="1">
        <v>45666</v>
      </c>
      <c r="B141">
        <f>(3/(1+('CurrentPor-Equ Factor Movements'!C141)/100)+103/POWER(1+('CurrentPor-Equ Factor Movements'!D141)/100,2))*100</f>
        <v>9707.5857774288397</v>
      </c>
      <c r="C141">
        <f>(3/(1+('CurrentPor-Equ Factor Movements'!C141+'CurrentPor-Equ Factor Movements'!G141)/100)+103/POWER(1+('CurrentPor-Equ Factor Movements'!D141+'CurrentPor-Equ Factor Movements'!G141)/100,2))*100</f>
        <v>9638.4484425779829</v>
      </c>
      <c r="D141">
        <f>(3/(1+('CurrentPor-Equ Factor Movements'!C141+'CurrentPor-Equ Factor Movements'!H141)/100)+103/POWER(1+('CurrentPor-Equ Factor Movements'!D141+'CurrentPor-Equ Factor Movements'!H141)/100,2))*100</f>
        <v>9597.9619523323472</v>
      </c>
      <c r="E141">
        <f>(3/(1+('CurrentPor-Equ Factor Movements'!C141+'CurrentPor-Equ Factor Movements'!I141)/100)+103/POWER(1+('CurrentPor-Equ Factor Movements'!D141+'CurrentPor-Equ Factor Movements'!I141)/100,2))*100</f>
        <v>9580.8863347847309</v>
      </c>
      <c r="F141">
        <f>Portfolio!B$5*'CurrentPor-Equ Factor Movements'!E141</f>
        <v>52143.895533915893</v>
      </c>
      <c r="G141">
        <f>Portfolio!B$6*'CurrentPor-Equ Factor Movements'!F141</f>
        <v>3696.2945087936532</v>
      </c>
      <c r="H141">
        <f>Portfolio!B$7*'CurrentPor-Equ Factor Movements'!J141</f>
        <v>2148.0998964419859</v>
      </c>
      <c r="I141">
        <f t="shared" si="4"/>
        <v>96513.172446275436</v>
      </c>
      <c r="J141">
        <f t="shared" si="3"/>
        <v>-9.2862923816719558</v>
      </c>
    </row>
    <row r="142" spans="1:10">
      <c r="A142" s="1">
        <v>45667</v>
      </c>
      <c r="B142">
        <f>(3/(1+('CurrentPor-Equ Factor Movements'!C142)/100)+103/POWER(1+('CurrentPor-Equ Factor Movements'!D142)/100,2))*100</f>
        <v>9707.5857774288397</v>
      </c>
      <c r="C142">
        <f>(3/(1+('CurrentPor-Equ Factor Movements'!C142+'CurrentPor-Equ Factor Movements'!G142)/100)+103/POWER(1+('CurrentPor-Equ Factor Movements'!D142+'CurrentPor-Equ Factor Movements'!G142)/100,2))*100</f>
        <v>9640.2582771647722</v>
      </c>
      <c r="D142">
        <f>(3/(1+('CurrentPor-Equ Factor Movements'!C142+'CurrentPor-Equ Factor Movements'!H142)/100)+103/POWER(1+('CurrentPor-Equ Factor Movements'!D142+'CurrentPor-Equ Factor Movements'!H142)/100,2))*100</f>
        <v>9601.8037275358856</v>
      </c>
      <c r="E142">
        <f>(3/(1+('CurrentPor-Equ Factor Movements'!C142+'CurrentPor-Equ Factor Movements'!I142)/100)+103/POWER(1+('CurrentPor-Equ Factor Movements'!D142+'CurrentPor-Equ Factor Movements'!I142)/100,2))*100</f>
        <v>9580.5194339819845</v>
      </c>
      <c r="F142">
        <f>Portfolio!B$5*'CurrentPor-Equ Factor Movements'!E142</f>
        <v>52143.895533915893</v>
      </c>
      <c r="G142">
        <f>Portfolio!B$6*'CurrentPor-Equ Factor Movements'!F142</f>
        <v>3696.2945087936532</v>
      </c>
      <c r="H142">
        <f>Portfolio!B$7*'CurrentPor-Equ Factor Movements'!J142</f>
        <v>2148.0998964419859</v>
      </c>
      <c r="I142">
        <f t="shared" si="4"/>
        <v>96518.457155263008</v>
      </c>
      <c r="J142">
        <f t="shared" ref="J142:J187" si="5">I142-I132</f>
        <v>5.199280614964664</v>
      </c>
    </row>
    <row r="143" spans="1:10">
      <c r="A143" s="1">
        <v>45670</v>
      </c>
      <c r="B143">
        <f>(3/(1+('CurrentPor-Equ Factor Movements'!C143)/100)+103/POWER(1+('CurrentPor-Equ Factor Movements'!D143)/100,2))*100</f>
        <v>9707.5857774288397</v>
      </c>
      <c r="C143">
        <f>(3/(1+('CurrentPor-Equ Factor Movements'!C143+'CurrentPor-Equ Factor Movements'!G143)/100)+103/POWER(1+('CurrentPor-Equ Factor Movements'!D143+'CurrentPor-Equ Factor Movements'!G143)/100,2))*100</f>
        <v>9640.2582771647722</v>
      </c>
      <c r="D143">
        <f>(3/(1+('CurrentPor-Equ Factor Movements'!C143+'CurrentPor-Equ Factor Movements'!H143)/100)+103/POWER(1+('CurrentPor-Equ Factor Movements'!D143+'CurrentPor-Equ Factor Movements'!H143)/100,2))*100</f>
        <v>9592.9156680648466</v>
      </c>
      <c r="E143">
        <f>(3/(1+('CurrentPor-Equ Factor Movements'!C143+'CurrentPor-Equ Factor Movements'!I143)/100)+103/POWER(1+('CurrentPor-Equ Factor Movements'!D143+'CurrentPor-Equ Factor Movements'!I143)/100,2))*100</f>
        <v>9579.877774571909</v>
      </c>
      <c r="F143">
        <f>Portfolio!B$5*'CurrentPor-Equ Factor Movements'!E143</f>
        <v>52143.895533915893</v>
      </c>
      <c r="G143">
        <f>Portfolio!B$6*'CurrentPor-Equ Factor Movements'!F143</f>
        <v>3696.2945087936532</v>
      </c>
      <c r="H143">
        <f>Portfolio!B$7*'CurrentPor-Equ Factor Movements'!J143</f>
        <v>2148.0998964419859</v>
      </c>
      <c r="I143">
        <f t="shared" si="4"/>
        <v>96508.927436381884</v>
      </c>
      <c r="J143">
        <f t="shared" si="5"/>
        <v>-8.4190819275972899</v>
      </c>
    </row>
    <row r="144" spans="1:10">
      <c r="A144" s="1">
        <v>45671</v>
      </c>
      <c r="B144">
        <f>(3/(1+('CurrentPor-Equ Factor Movements'!C144)/100)+103/POWER(1+('CurrentPor-Equ Factor Movements'!D144)/100,2))*100</f>
        <v>9707.5857774288397</v>
      </c>
      <c r="C144">
        <f>(3/(1+('CurrentPor-Equ Factor Movements'!C144+'CurrentPor-Equ Factor Movements'!G144)/100)+103/POWER(1+('CurrentPor-Equ Factor Movements'!D144+'CurrentPor-Equ Factor Movements'!G144)/100,2))*100</f>
        <v>9640.2582771647722</v>
      </c>
      <c r="D144">
        <f>(3/(1+('CurrentPor-Equ Factor Movements'!C144+'CurrentPor-Equ Factor Movements'!H144)/100)+103/POWER(1+('CurrentPor-Equ Factor Movements'!D144+'CurrentPor-Equ Factor Movements'!H144)/100,2))*100</f>
        <v>9592.8315612080532</v>
      </c>
      <c r="E144">
        <f>(3/(1+('CurrentPor-Equ Factor Movements'!C144+'CurrentPor-Equ Factor Movements'!I144)/100)+103/POWER(1+('CurrentPor-Equ Factor Movements'!D144+'CurrentPor-Equ Factor Movements'!I144)/100,2))*100</f>
        <v>9582.0966967007425</v>
      </c>
      <c r="F144">
        <f>Portfolio!B$5*'CurrentPor-Equ Factor Movements'!E144</f>
        <v>52143.895533915893</v>
      </c>
      <c r="G144">
        <f>Portfolio!B$6*'CurrentPor-Equ Factor Movements'!F144</f>
        <v>3696.2945087936532</v>
      </c>
      <c r="H144">
        <f>Portfolio!B$7*'CurrentPor-Equ Factor Movements'!J144</f>
        <v>2148.0998964419859</v>
      </c>
      <c r="I144">
        <f t="shared" si="4"/>
        <v>96511.062251653944</v>
      </c>
      <c r="J144">
        <f t="shared" si="5"/>
        <v>0.41309271947829984</v>
      </c>
    </row>
    <row r="145" spans="1:10">
      <c r="A145" s="1">
        <v>45672</v>
      </c>
      <c r="B145">
        <f>(3/(1+('CurrentPor-Equ Factor Movements'!C145)/100)+103/POWER(1+('CurrentPor-Equ Factor Movements'!D145)/100,2))*100</f>
        <v>9707.5857774288397</v>
      </c>
      <c r="C145">
        <f>(3/(1+('CurrentPor-Equ Factor Movements'!C145+'CurrentPor-Equ Factor Movements'!G145)/100)+103/POWER(1+('CurrentPor-Equ Factor Movements'!D145+'CurrentPor-Equ Factor Movements'!G145)/100,2))*100</f>
        <v>9638.4484425779829</v>
      </c>
      <c r="D145">
        <f>(3/(1+('CurrentPor-Equ Factor Movements'!C145+'CurrentPor-Equ Factor Movements'!H145)/100)+103/POWER(1+('CurrentPor-Equ Factor Movements'!D145+'CurrentPor-Equ Factor Movements'!H145)/100,2))*100</f>
        <v>9595.5621573486842</v>
      </c>
      <c r="E145">
        <f>(3/(1+('CurrentPor-Equ Factor Movements'!C145+'CurrentPor-Equ Factor Movements'!I145)/100)+103/POWER(1+('CurrentPor-Equ Factor Movements'!D145+'CurrentPor-Equ Factor Movements'!I145)/100,2))*100</f>
        <v>9580.3370446961108</v>
      </c>
      <c r="F145">
        <f>Portfolio!B$5*'CurrentPor-Equ Factor Movements'!E145</f>
        <v>52143.895533915893</v>
      </c>
      <c r="G145">
        <f>Portfolio!B$6*'CurrentPor-Equ Factor Movements'!F145</f>
        <v>3696.2945087936532</v>
      </c>
      <c r="H145">
        <f>Portfolio!B$7*'CurrentPor-Equ Factor Movements'!J145</f>
        <v>2148.0998964419859</v>
      </c>
      <c r="I145">
        <f t="shared" si="4"/>
        <v>96510.223361203141</v>
      </c>
      <c r="J145">
        <f t="shared" si="5"/>
        <v>12.837029151924071</v>
      </c>
    </row>
    <row r="146" spans="1:10">
      <c r="A146" s="1">
        <v>45673</v>
      </c>
      <c r="B146">
        <f>(3/(1+('CurrentPor-Equ Factor Movements'!C146)/100)+103/POWER(1+('CurrentPor-Equ Factor Movements'!D146)/100,2))*100</f>
        <v>9707.5857774288397</v>
      </c>
      <c r="C146">
        <f>(3/(1+('CurrentPor-Equ Factor Movements'!C146+'CurrentPor-Equ Factor Movements'!G146)/100)+103/POWER(1+('CurrentPor-Equ Factor Movements'!D146+'CurrentPor-Equ Factor Movements'!G146)/100,2))*100</f>
        <v>9638.4484425779829</v>
      </c>
      <c r="D146">
        <f>(3/(1+('CurrentPor-Equ Factor Movements'!C146+'CurrentPor-Equ Factor Movements'!H146)/100)+103/POWER(1+('CurrentPor-Equ Factor Movements'!D146+'CurrentPor-Equ Factor Movements'!H146)/100,2))*100</f>
        <v>9596.7480418199193</v>
      </c>
      <c r="E146">
        <f>(3/(1+('CurrentPor-Equ Factor Movements'!C146+'CurrentPor-Equ Factor Movements'!I146)/100)+103/POWER(1+('CurrentPor-Equ Factor Movements'!D146+'CurrentPor-Equ Factor Movements'!I146)/100,2))*100</f>
        <v>9579.2296827444679</v>
      </c>
      <c r="F146">
        <f>Portfolio!B$5*'CurrentPor-Equ Factor Movements'!E146</f>
        <v>52143.895533915893</v>
      </c>
      <c r="G146">
        <f>Portfolio!B$6*'CurrentPor-Equ Factor Movements'!F146</f>
        <v>3696.2945087936532</v>
      </c>
      <c r="H146">
        <f>Portfolio!B$7*'CurrentPor-Equ Factor Movements'!J146</f>
        <v>2148.0998964419859</v>
      </c>
      <c r="I146">
        <f t="shared" si="4"/>
        <v>96510.301883722743</v>
      </c>
      <c r="J146">
        <f t="shared" si="5"/>
        <v>9.6648479437426431</v>
      </c>
    </row>
    <row r="147" spans="1:10">
      <c r="A147" s="1">
        <v>45674</v>
      </c>
      <c r="B147">
        <f>(3/(1+('CurrentPor-Equ Factor Movements'!C147)/100)+103/POWER(1+('CurrentPor-Equ Factor Movements'!D147)/100,2))*100</f>
        <v>9707.5857774288397</v>
      </c>
      <c r="C147">
        <f>(3/(1+('CurrentPor-Equ Factor Movements'!C147+'CurrentPor-Equ Factor Movements'!G147)/100)+103/POWER(1+('CurrentPor-Equ Factor Movements'!D147+'CurrentPor-Equ Factor Movements'!G147)/100,2))*100</f>
        <v>9638.4484425779829</v>
      </c>
      <c r="D147">
        <f>(3/(1+('CurrentPor-Equ Factor Movements'!C147+'CurrentPor-Equ Factor Movements'!H147)/100)+103/POWER(1+('CurrentPor-Equ Factor Movements'!D147+'CurrentPor-Equ Factor Movements'!H147)/100,2))*100</f>
        <v>9598.2428418131494</v>
      </c>
      <c r="E147">
        <f>(3/(1+('CurrentPor-Equ Factor Movements'!C147+'CurrentPor-Equ Factor Movements'!I147)/100)+103/POWER(1+('CurrentPor-Equ Factor Movements'!D147+'CurrentPor-Equ Factor Movements'!I147)/100,2))*100</f>
        <v>9580.8636626406133</v>
      </c>
      <c r="F147">
        <f>Portfolio!B$5*'CurrentPor-Equ Factor Movements'!E147</f>
        <v>52143.895533915893</v>
      </c>
      <c r="G147">
        <f>Portfolio!B$6*'CurrentPor-Equ Factor Movements'!F147</f>
        <v>3696.2945087936532</v>
      </c>
      <c r="H147">
        <f>Portfolio!B$7*'CurrentPor-Equ Factor Movements'!J147</f>
        <v>2148.0998964419859</v>
      </c>
      <c r="I147">
        <f t="shared" si="4"/>
        <v>96513.430663612118</v>
      </c>
      <c r="J147">
        <f t="shared" si="5"/>
        <v>3.1109257412026636E-2</v>
      </c>
    </row>
    <row r="148" spans="1:10">
      <c r="A148" s="1">
        <v>45677</v>
      </c>
      <c r="B148">
        <f>(3/(1+('CurrentPor-Equ Factor Movements'!C148)/100)+103/POWER(1+('CurrentPor-Equ Factor Movements'!D148)/100,2))*100</f>
        <v>9707.5857774288397</v>
      </c>
      <c r="C148">
        <f>(3/(1+('CurrentPor-Equ Factor Movements'!C148+'CurrentPor-Equ Factor Movements'!G148)/100)+103/POWER(1+('CurrentPor-Equ Factor Movements'!D148+'CurrentPor-Equ Factor Movements'!G148)/100,2))*100</f>
        <v>9634.8303172663855</v>
      </c>
      <c r="D148">
        <f>(3/(1+('CurrentPor-Equ Factor Movements'!C148+'CurrentPor-Equ Factor Movements'!H148)/100)+103/POWER(1+('CurrentPor-Equ Factor Movements'!D148+'CurrentPor-Equ Factor Movements'!H148)/100,2))*100</f>
        <v>9579.7448049340383</v>
      </c>
      <c r="E148">
        <f>(3/(1+('CurrentPor-Equ Factor Movements'!C148+'CurrentPor-Equ Factor Movements'!I148)/100)+103/POWER(1+('CurrentPor-Equ Factor Movements'!D148+'CurrentPor-Equ Factor Movements'!I148)/100,2))*100</f>
        <v>9582.8736337425289</v>
      </c>
      <c r="F148">
        <f>Portfolio!B$5*'CurrentPor-Equ Factor Movements'!E148</f>
        <v>52143.895533915893</v>
      </c>
      <c r="G148">
        <f>Portfolio!B$6*'CurrentPor-Equ Factor Movements'!F148</f>
        <v>3696.2945087936532</v>
      </c>
      <c r="H148">
        <f>Portfolio!B$7*'CurrentPor-Equ Factor Movements'!J148</f>
        <v>2148.0998964419859</v>
      </c>
      <c r="I148">
        <f t="shared" si="4"/>
        <v>96493.324472523323</v>
      </c>
      <c r="J148">
        <f t="shared" si="5"/>
        <v>-24.525276353975642</v>
      </c>
    </row>
    <row r="149" spans="1:10">
      <c r="A149" s="1">
        <v>45678</v>
      </c>
      <c r="B149">
        <f>(3/(1+('CurrentPor-Equ Factor Movements'!C149)/100)+103/POWER(1+('CurrentPor-Equ Factor Movements'!D149)/100,2))*100</f>
        <v>9707.5857774288397</v>
      </c>
      <c r="C149">
        <f>(3/(1+('CurrentPor-Equ Factor Movements'!C149+'CurrentPor-Equ Factor Movements'!G149)/100)+103/POWER(1+('CurrentPor-Equ Factor Movements'!D149+'CurrentPor-Equ Factor Movements'!G149)/100,2))*100</f>
        <v>9633.0220261504182</v>
      </c>
      <c r="D149">
        <f>(3/(1+('CurrentPor-Equ Factor Movements'!C149+'CurrentPor-Equ Factor Movements'!H149)/100)+103/POWER(1+('CurrentPor-Equ Factor Movements'!D149+'CurrentPor-Equ Factor Movements'!H149)/100,2))*100</f>
        <v>9606.2032974685899</v>
      </c>
      <c r="E149">
        <f>(3/(1+('CurrentPor-Equ Factor Movements'!C149+'CurrentPor-Equ Factor Movements'!I149)/100)+103/POWER(1+('CurrentPor-Equ Factor Movements'!D149+'CurrentPor-Equ Factor Movements'!I149)/100,2))*100</f>
        <v>9581.1893794536463</v>
      </c>
      <c r="F149">
        <f>Portfolio!B$5*'CurrentPor-Equ Factor Movements'!E149</f>
        <v>52143.895533915893</v>
      </c>
      <c r="G149">
        <f>Portfolio!B$6*'CurrentPor-Equ Factor Movements'!F149</f>
        <v>3696.2945087936532</v>
      </c>
      <c r="H149">
        <f>Portfolio!B$7*'CurrentPor-Equ Factor Movements'!J149</f>
        <v>2148.0998964419859</v>
      </c>
      <c r="I149">
        <f t="shared" si="4"/>
        <v>96516.290419653029</v>
      </c>
      <c r="J149">
        <f t="shared" si="5"/>
        <v>6.6588529231230495</v>
      </c>
    </row>
    <row r="150" spans="1:10">
      <c r="A150" s="1">
        <v>45679</v>
      </c>
      <c r="B150">
        <f>(3/(1+('CurrentPor-Equ Factor Movements'!C150)/100)+103/POWER(1+('CurrentPor-Equ Factor Movements'!D150)/100,2))*100</f>
        <v>9707.5857774288397</v>
      </c>
      <c r="C150">
        <f>(3/(1+('CurrentPor-Equ Factor Movements'!C150+'CurrentPor-Equ Factor Movements'!G150)/100)+103/POWER(1+('CurrentPor-Equ Factor Movements'!D150+'CurrentPor-Equ Factor Movements'!G150)/100,2))*100</f>
        <v>9634.8303172663855</v>
      </c>
      <c r="D150">
        <f>(3/(1+('CurrentPor-Equ Factor Movements'!C150+'CurrentPor-Equ Factor Movements'!H150)/100)+103/POWER(1+('CurrentPor-Equ Factor Movements'!D150+'CurrentPor-Equ Factor Movements'!H150)/100,2))*100</f>
        <v>9600.6024648327857</v>
      </c>
      <c r="E150">
        <f>(3/(1+('CurrentPor-Equ Factor Movements'!C150+'CurrentPor-Equ Factor Movements'!I150)/100)+103/POWER(1+('CurrentPor-Equ Factor Movements'!D150+'CurrentPor-Equ Factor Movements'!I150)/100,2))*100</f>
        <v>9580.279882083827</v>
      </c>
      <c r="F150">
        <f>Portfolio!B$5*'CurrentPor-Equ Factor Movements'!E150</f>
        <v>52143.895533915893</v>
      </c>
      <c r="G150">
        <f>Portfolio!B$6*'CurrentPor-Equ Factor Movements'!F150</f>
        <v>3696.2945087936532</v>
      </c>
      <c r="H150">
        <f>Portfolio!B$7*'CurrentPor-Equ Factor Movements'!J150</f>
        <v>2148.0998964419859</v>
      </c>
      <c r="I150">
        <f t="shared" si="4"/>
        <v>96511.58838076338</v>
      </c>
      <c r="J150">
        <f t="shared" si="5"/>
        <v>5.9416193634970114</v>
      </c>
    </row>
    <row r="151" spans="1:10">
      <c r="A151" s="1">
        <v>45680</v>
      </c>
      <c r="B151">
        <f>(3/(1+('CurrentPor-Equ Factor Movements'!C151)/100)+103/POWER(1+('CurrentPor-Equ Factor Movements'!D151)/100,2))*100</f>
        <v>9707.5857774288397</v>
      </c>
      <c r="C151">
        <f>(3/(1+('CurrentPor-Equ Factor Movements'!C151+'CurrentPor-Equ Factor Movements'!G151)/100)+103/POWER(1+('CurrentPor-Equ Factor Movements'!D151+'CurrentPor-Equ Factor Movements'!G151)/100,2))*100</f>
        <v>9629.4069860209238</v>
      </c>
      <c r="D151">
        <f>(3/(1+('CurrentPor-Equ Factor Movements'!C151+'CurrentPor-Equ Factor Movements'!H151)/100)+103/POWER(1+('CurrentPor-Equ Factor Movements'!D151+'CurrentPor-Equ Factor Movements'!H151)/100,2))*100</f>
        <v>9603.5700485732868</v>
      </c>
      <c r="E151">
        <f>(3/(1+('CurrentPor-Equ Factor Movements'!C151+'CurrentPor-Equ Factor Movements'!I151)/100)+103/POWER(1+('CurrentPor-Equ Factor Movements'!D151+'CurrentPor-Equ Factor Movements'!I151)/100,2))*100</f>
        <v>9580.2644455527661</v>
      </c>
      <c r="F151">
        <f>Portfolio!B$5*'CurrentPor-Equ Factor Movements'!E151</f>
        <v>52143.895533915893</v>
      </c>
      <c r="G151">
        <f>Portfolio!B$6*'CurrentPor-Equ Factor Movements'!F151</f>
        <v>3696.2945087936532</v>
      </c>
      <c r="H151">
        <f>Portfolio!B$7*'CurrentPor-Equ Factor Movements'!J151</f>
        <v>2148.0998964419859</v>
      </c>
      <c r="I151">
        <f t="shared" si="4"/>
        <v>96509.117196727355</v>
      </c>
      <c r="J151">
        <f t="shared" si="5"/>
        <v>-4.0552495480806101</v>
      </c>
    </row>
    <row r="152" spans="1:10">
      <c r="A152" s="1">
        <v>45681</v>
      </c>
      <c r="B152">
        <f>(3/(1+('CurrentPor-Equ Factor Movements'!C152)/100)+103/POWER(1+('CurrentPor-Equ Factor Movements'!D152)/100,2))*100</f>
        <v>9707.5857774288397</v>
      </c>
      <c r="C152">
        <f>(3/(1+('CurrentPor-Equ Factor Movements'!C152+'CurrentPor-Equ Factor Movements'!G152)/100)+103/POWER(1+('CurrentPor-Equ Factor Movements'!D152+'CurrentPor-Equ Factor Movements'!G152)/100,2))*100</f>
        <v>9622.1830687052025</v>
      </c>
      <c r="D152">
        <f>(3/(1+('CurrentPor-Equ Factor Movements'!C152+'CurrentPor-Equ Factor Movements'!H152)/100)+103/POWER(1+('CurrentPor-Equ Factor Movements'!D152+'CurrentPor-Equ Factor Movements'!H152)/100,2))*100</f>
        <v>9597.6154154921751</v>
      </c>
      <c r="E152">
        <f>(3/(1+('CurrentPor-Equ Factor Movements'!C152+'CurrentPor-Equ Factor Movements'!I152)/100)+103/POWER(1+('CurrentPor-Equ Factor Movements'!D152+'CurrentPor-Equ Factor Movements'!I152)/100,2))*100</f>
        <v>9580.2220280971069</v>
      </c>
      <c r="F152">
        <f>Portfolio!B$5*'CurrentPor-Equ Factor Movements'!E152</f>
        <v>52143.895533915893</v>
      </c>
      <c r="G152">
        <f>Portfolio!B$6*'CurrentPor-Equ Factor Movements'!F152</f>
        <v>3696.2945087936532</v>
      </c>
      <c r="H152">
        <f>Portfolio!B$7*'CurrentPor-Equ Factor Movements'!J152</f>
        <v>2148.0998964419859</v>
      </c>
      <c r="I152">
        <f t="shared" si="4"/>
        <v>96495.896228874859</v>
      </c>
      <c r="J152">
        <f t="shared" si="5"/>
        <v>-22.5609263881488</v>
      </c>
    </row>
    <row r="153" spans="1:10">
      <c r="A153" s="1">
        <v>45684</v>
      </c>
      <c r="B153">
        <f>(3/(1+('CurrentPor-Equ Factor Movements'!C153)/100)+103/POWER(1+('CurrentPor-Equ Factor Movements'!D153)/100,2))*100</f>
        <v>9707.5857774288397</v>
      </c>
      <c r="C153">
        <f>(3/(1+('CurrentPor-Equ Factor Movements'!C153+'CurrentPor-Equ Factor Movements'!G153)/100)+103/POWER(1+('CurrentPor-Equ Factor Movements'!D153+'CurrentPor-Equ Factor Movements'!G153)/100,2))*100</f>
        <v>9625.7940007261659</v>
      </c>
      <c r="D153">
        <f>(3/(1+('CurrentPor-Equ Factor Movements'!C153+'CurrentPor-Equ Factor Movements'!H153)/100)+103/POWER(1+('CurrentPor-Equ Factor Movements'!D153+'CurrentPor-Equ Factor Movements'!H153)/100,2))*100</f>
        <v>9585.6662410424724</v>
      </c>
      <c r="E153">
        <f>(3/(1+('CurrentPor-Equ Factor Movements'!C153+'CurrentPor-Equ Factor Movements'!I153)/100)+103/POWER(1+('CurrentPor-Equ Factor Movements'!D153+'CurrentPor-Equ Factor Movements'!I153)/100,2))*100</f>
        <v>9580.9362831777344</v>
      </c>
      <c r="F153">
        <f>Portfolio!B$5*'CurrentPor-Equ Factor Movements'!E153</f>
        <v>52143.895533915893</v>
      </c>
      <c r="G153">
        <f>Portfolio!B$6*'CurrentPor-Equ Factor Movements'!F153</f>
        <v>3696.2945087936532</v>
      </c>
      <c r="H153">
        <f>Portfolio!B$7*'CurrentPor-Equ Factor Movements'!J153</f>
        <v>2148.0998964419859</v>
      </c>
      <c r="I153">
        <f t="shared" si="4"/>
        <v>96488.272241526734</v>
      </c>
      <c r="J153">
        <f t="shared" si="5"/>
        <v>-20.655194855149603</v>
      </c>
    </row>
    <row r="154" spans="1:10">
      <c r="A154" s="1">
        <v>45685</v>
      </c>
      <c r="B154">
        <f>(3/(1+('CurrentPor-Equ Factor Movements'!C154)/100)+103/POWER(1+('CurrentPor-Equ Factor Movements'!D154)/100,2))*100</f>
        <v>9707.5857774288397</v>
      </c>
      <c r="C154">
        <f>(3/(1+('CurrentPor-Equ Factor Movements'!C154+'CurrentPor-Equ Factor Movements'!G154)/100)+103/POWER(1+('CurrentPor-Equ Factor Movements'!D154+'CurrentPor-Equ Factor Movements'!G154)/100,2))*100</f>
        <v>9623.98827815396</v>
      </c>
      <c r="D154">
        <f>(3/(1+('CurrentPor-Equ Factor Movements'!C154+'CurrentPor-Equ Factor Movements'!H154)/100)+103/POWER(1+('CurrentPor-Equ Factor Movements'!D154+'CurrentPor-Equ Factor Movements'!H154)/100,2))*100</f>
        <v>9597.1922474597613</v>
      </c>
      <c r="E154">
        <f>(3/(1+('CurrentPor-Equ Factor Movements'!C154+'CurrentPor-Equ Factor Movements'!I154)/100)+103/POWER(1+('CurrentPor-Equ Factor Movements'!D154+'CurrentPor-Equ Factor Movements'!I154)/100,2))*100</f>
        <v>9580.1188291312865</v>
      </c>
      <c r="F154">
        <f>Portfolio!B$5*'CurrentPor-Equ Factor Movements'!E154</f>
        <v>52143.895533915893</v>
      </c>
      <c r="G154">
        <f>Portfolio!B$6*'CurrentPor-Equ Factor Movements'!F154</f>
        <v>3696.2945087936532</v>
      </c>
      <c r="H154">
        <f>Portfolio!B$7*'CurrentPor-Equ Factor Movements'!J154</f>
        <v>2148.0998964419859</v>
      </c>
      <c r="I154">
        <f t="shared" si="4"/>
        <v>96497.175071325371</v>
      </c>
      <c r="J154">
        <f t="shared" si="5"/>
        <v>-13.887180328572867</v>
      </c>
    </row>
    <row r="155" spans="1:10">
      <c r="A155" s="1">
        <v>45686</v>
      </c>
      <c r="B155">
        <f>(3/(1+('CurrentPor-Equ Factor Movements'!C155)/100)+103/POWER(1+('CurrentPor-Equ Factor Movements'!D155)/100,2))*100</f>
        <v>9707.5857774288397</v>
      </c>
      <c r="C155">
        <f>(3/(1+('CurrentPor-Equ Factor Movements'!C155+'CurrentPor-Equ Factor Movements'!G155)/100)+103/POWER(1+('CurrentPor-Equ Factor Movements'!D155+'CurrentPor-Equ Factor Movements'!G155)/100,2))*100</f>
        <v>9625.7940007261659</v>
      </c>
      <c r="D155">
        <f>(3/(1+('CurrentPor-Equ Factor Movements'!C155+'CurrentPor-Equ Factor Movements'!H155)/100)+103/POWER(1+('CurrentPor-Equ Factor Movements'!D155+'CurrentPor-Equ Factor Movements'!H155)/100,2))*100</f>
        <v>9583.1501190318959</v>
      </c>
      <c r="E155">
        <f>(3/(1+('CurrentPor-Equ Factor Movements'!C155+'CurrentPor-Equ Factor Movements'!I155)/100)+103/POWER(1+('CurrentPor-Equ Factor Movements'!D155+'CurrentPor-Equ Factor Movements'!I155)/100,2))*100</f>
        <v>9579.6893977633081</v>
      </c>
      <c r="F155">
        <f>Portfolio!B$5*'CurrentPor-Equ Factor Movements'!E155</f>
        <v>52143.895533915893</v>
      </c>
      <c r="G155">
        <f>Portfolio!B$6*'CurrentPor-Equ Factor Movements'!F155</f>
        <v>3696.2945087936532</v>
      </c>
      <c r="H155">
        <f>Portfolio!B$7*'CurrentPor-Equ Factor Movements'!J155</f>
        <v>2148.0998964419859</v>
      </c>
      <c r="I155">
        <f t="shared" si="4"/>
        <v>96484.50923410173</v>
      </c>
      <c r="J155">
        <f t="shared" si="5"/>
        <v>-25.714127101411577</v>
      </c>
    </row>
    <row r="156" spans="1:10">
      <c r="A156" s="1">
        <v>45687</v>
      </c>
      <c r="B156">
        <f>(3/(1+('CurrentPor-Equ Factor Movements'!C156)/100)+103/POWER(1+('CurrentPor-Equ Factor Movements'!D156)/100,2))*100</f>
        <v>9707.5857774288397</v>
      </c>
      <c r="C156">
        <f>(3/(1+('CurrentPor-Equ Factor Movements'!C156+'CurrentPor-Equ Factor Movements'!G156)/100)+103/POWER(1+('CurrentPor-Equ Factor Movements'!D156+'CurrentPor-Equ Factor Movements'!G156)/100,2))*100</f>
        <v>9627.6002366167941</v>
      </c>
      <c r="D156">
        <f>(3/(1+('CurrentPor-Equ Factor Movements'!C156+'CurrentPor-Equ Factor Movements'!H156)/100)+103/POWER(1+('CurrentPor-Equ Factor Movements'!D156+'CurrentPor-Equ Factor Movements'!H156)/100,2))*100</f>
        <v>9591.4492405190867</v>
      </c>
      <c r="E156">
        <f>(3/(1+('CurrentPor-Equ Factor Movements'!C156+'CurrentPor-Equ Factor Movements'!I156)/100)+103/POWER(1+('CurrentPor-Equ Factor Movements'!D156+'CurrentPor-Equ Factor Movements'!I156)/100,2))*100</f>
        <v>9580.5566226277369</v>
      </c>
      <c r="F156">
        <f>Portfolio!B$5*'CurrentPor-Equ Factor Movements'!E156</f>
        <v>52143.895533915893</v>
      </c>
      <c r="G156">
        <f>Portfolio!B$6*'CurrentPor-Equ Factor Movements'!F156</f>
        <v>3696.2945087936532</v>
      </c>
      <c r="H156">
        <f>Portfolio!B$7*'CurrentPor-Equ Factor Movements'!J156</f>
        <v>2148.0998964419859</v>
      </c>
      <c r="I156">
        <f t="shared" si="4"/>
        <v>96495.481816343978</v>
      </c>
      <c r="J156">
        <f t="shared" si="5"/>
        <v>-14.820067378765089</v>
      </c>
    </row>
    <row r="157" spans="1:10">
      <c r="A157" s="1">
        <v>45688</v>
      </c>
      <c r="B157">
        <f>(3/(1+('CurrentPor-Equ Factor Movements'!C157)/100)+103/POWER(1+('CurrentPor-Equ Factor Movements'!D157)/100,2))*100</f>
        <v>9707.5857774288397</v>
      </c>
      <c r="C157">
        <f>(3/(1+('CurrentPor-Equ Factor Movements'!C157+'CurrentPor-Equ Factor Movements'!G157)/100)+103/POWER(1+('CurrentPor-Equ Factor Movements'!D157+'CurrentPor-Equ Factor Movements'!G157)/100,2))*100</f>
        <v>9634.8303172663855</v>
      </c>
      <c r="D157">
        <f>(3/(1+('CurrentPor-Equ Factor Movements'!C157+'CurrentPor-Equ Factor Movements'!H157)/100)+103/POWER(1+('CurrentPor-Equ Factor Movements'!D157+'CurrentPor-Equ Factor Movements'!H157)/100,2))*100</f>
        <v>9585.3150119342426</v>
      </c>
      <c r="E157">
        <f>(3/(1+('CurrentPor-Equ Factor Movements'!C157+'CurrentPor-Equ Factor Movements'!I157)/100)+103/POWER(1+('CurrentPor-Equ Factor Movements'!D157+'CurrentPor-Equ Factor Movements'!I157)/100,2))*100</f>
        <v>9581.1764280347634</v>
      </c>
      <c r="F157">
        <f>Portfolio!B$5*'CurrentPor-Equ Factor Movements'!E157</f>
        <v>52143.895533915893</v>
      </c>
      <c r="G157">
        <f>Portfolio!B$6*'CurrentPor-Equ Factor Movements'!F157</f>
        <v>3696.2945087936532</v>
      </c>
      <c r="H157">
        <f>Portfolio!B$7*'CurrentPor-Equ Factor Movements'!J157</f>
        <v>2148.0998964419859</v>
      </c>
      <c r="I157">
        <f t="shared" si="4"/>
        <v>96497.197473815773</v>
      </c>
      <c r="J157">
        <f t="shared" si="5"/>
        <v>-16.233189796344959</v>
      </c>
    </row>
    <row r="158" spans="1:10">
      <c r="A158" s="1">
        <v>45691</v>
      </c>
      <c r="B158">
        <f>(3/(1+('CurrentPor-Equ Factor Movements'!C158)/100)+103/POWER(1+('CurrentPor-Equ Factor Movements'!D158)/100,2))*100</f>
        <v>9707.5857774288397</v>
      </c>
      <c r="C158">
        <f>(3/(1+('CurrentPor-Equ Factor Movements'!C158+'CurrentPor-Equ Factor Movements'!G158)/100)+103/POWER(1+('CurrentPor-Equ Factor Movements'!D158+'CurrentPor-Equ Factor Movements'!G158)/100,2))*100</f>
        <v>9636.6391226770629</v>
      </c>
      <c r="D158">
        <f>(3/(1+('CurrentPor-Equ Factor Movements'!C158+'CurrentPor-Equ Factor Movements'!H158)/100)+103/POWER(1+('CurrentPor-Equ Factor Movements'!D158+'CurrentPor-Equ Factor Movements'!H158)/100,2))*100</f>
        <v>9589.328558094252</v>
      </c>
      <c r="E158">
        <f>(3/(1+('CurrentPor-Equ Factor Movements'!C158+'CurrentPor-Equ Factor Movements'!I158)/100)+103/POWER(1+('CurrentPor-Equ Factor Movements'!D158+'CurrentPor-Equ Factor Movements'!I158)/100,2))*100</f>
        <v>9580.0205368822171</v>
      </c>
      <c r="F158">
        <f>Portfolio!B$5*'CurrentPor-Equ Factor Movements'!E158</f>
        <v>52143.895533915893</v>
      </c>
      <c r="G158">
        <f>Portfolio!B$6*'CurrentPor-Equ Factor Movements'!F158</f>
        <v>3696.2945087936532</v>
      </c>
      <c r="H158">
        <f>Portfolio!B$7*'CurrentPor-Equ Factor Movements'!J158</f>
        <v>2148.0998964419859</v>
      </c>
      <c r="I158">
        <f t="shared" si="4"/>
        <v>96501.863934233916</v>
      </c>
      <c r="J158">
        <f t="shared" si="5"/>
        <v>8.5394617105921498</v>
      </c>
    </row>
    <row r="159" spans="1:10">
      <c r="A159" s="1">
        <v>45692</v>
      </c>
      <c r="B159">
        <f>(3/(1+('CurrentPor-Equ Factor Movements'!C159)/100)+103/POWER(1+('CurrentPor-Equ Factor Movements'!D159)/100,2))*100</f>
        <v>9707.5857774288397</v>
      </c>
      <c r="C159">
        <f>(3/(1+('CurrentPor-Equ Factor Movements'!C159+'CurrentPor-Equ Factor Movements'!G159)/100)+103/POWER(1+('CurrentPor-Equ Factor Movements'!D159+'CurrentPor-Equ Factor Movements'!G159)/100,2))*100</f>
        <v>9638.4484425779829</v>
      </c>
      <c r="D159">
        <f>(3/(1+('CurrentPor-Equ Factor Movements'!C159+'CurrentPor-Equ Factor Movements'!H159)/100)+103/POWER(1+('CurrentPor-Equ Factor Movements'!D159+'CurrentPor-Equ Factor Movements'!H159)/100,2))*100</f>
        <v>9601.7982107596163</v>
      </c>
      <c r="E159">
        <f>(3/(1+('CurrentPor-Equ Factor Movements'!C159+'CurrentPor-Equ Factor Movements'!I159)/100)+103/POWER(1+('CurrentPor-Equ Factor Movements'!D159+'CurrentPor-Equ Factor Movements'!I159)/100,2))*100</f>
        <v>9581.4267629949518</v>
      </c>
      <c r="F159">
        <f>Portfolio!B$5*'CurrentPor-Equ Factor Movements'!E159</f>
        <v>52143.895533915893</v>
      </c>
      <c r="G159">
        <f>Portfolio!B$6*'CurrentPor-Equ Factor Movements'!F159</f>
        <v>3696.2945087936532</v>
      </c>
      <c r="H159">
        <f>Portfolio!B$7*'CurrentPor-Equ Factor Movements'!J159</f>
        <v>2148.0998964419859</v>
      </c>
      <c r="I159">
        <f t="shared" si="4"/>
        <v>96517.549132912929</v>
      </c>
      <c r="J159">
        <f t="shared" si="5"/>
        <v>1.2587132599001052</v>
      </c>
    </row>
    <row r="160" spans="1:10">
      <c r="A160" s="1">
        <v>45693</v>
      </c>
      <c r="B160">
        <f>(3/(1+('CurrentPor-Equ Factor Movements'!C160)/100)+103/POWER(1+('CurrentPor-Equ Factor Movements'!D160)/100,2))*100</f>
        <v>9707.5857774288397</v>
      </c>
      <c r="C160">
        <f>(3/(1+('CurrentPor-Equ Factor Movements'!C160+'CurrentPor-Equ Factor Movements'!G160)/100)+103/POWER(1+('CurrentPor-Equ Factor Movements'!D160+'CurrentPor-Equ Factor Movements'!G160)/100,2))*100</f>
        <v>9638.4484425779829</v>
      </c>
      <c r="D160">
        <f>(3/(1+('CurrentPor-Equ Factor Movements'!C160+'CurrentPor-Equ Factor Movements'!H160)/100)+103/POWER(1+('CurrentPor-Equ Factor Movements'!D160+'CurrentPor-Equ Factor Movements'!H160)/100,2))*100</f>
        <v>9601.3179423393958</v>
      </c>
      <c r="E160">
        <f>(3/(1+('CurrentPor-Equ Factor Movements'!C160+'CurrentPor-Equ Factor Movements'!I160)/100)+103/POWER(1+('CurrentPor-Equ Factor Movements'!D160+'CurrentPor-Equ Factor Movements'!I160)/100,2))*100</f>
        <v>9581.3339771800165</v>
      </c>
      <c r="F160">
        <f>Portfolio!B$5*'CurrentPor-Equ Factor Movements'!E160</f>
        <v>52143.895533915893</v>
      </c>
      <c r="G160">
        <f>Portfolio!B$6*'CurrentPor-Equ Factor Movements'!F160</f>
        <v>3696.2945087936532</v>
      </c>
      <c r="H160">
        <f>Portfolio!B$7*'CurrentPor-Equ Factor Movements'!J160</f>
        <v>2148.0998964419859</v>
      </c>
      <c r="I160">
        <f t="shared" si="4"/>
        <v>96516.976078677762</v>
      </c>
      <c r="J160">
        <f t="shared" si="5"/>
        <v>5.3876979143824428</v>
      </c>
    </row>
    <row r="161" spans="1:10">
      <c r="A161" s="1">
        <v>45694</v>
      </c>
      <c r="B161">
        <f>(3/(1+('CurrentPor-Equ Factor Movements'!C161)/100)+103/POWER(1+('CurrentPor-Equ Factor Movements'!D161)/100,2))*100</f>
        <v>9707.5857774288397</v>
      </c>
      <c r="C161">
        <f>(3/(1+('CurrentPor-Equ Factor Movements'!C161+'CurrentPor-Equ Factor Movements'!G161)/100)+103/POWER(1+('CurrentPor-Equ Factor Movements'!D161+'CurrentPor-Equ Factor Movements'!G161)/100,2))*100</f>
        <v>9638.4484425779829</v>
      </c>
      <c r="D161">
        <f>(3/(1+('CurrentPor-Equ Factor Movements'!C161+'CurrentPor-Equ Factor Movements'!H161)/100)+103/POWER(1+('CurrentPor-Equ Factor Movements'!D161+'CurrentPor-Equ Factor Movements'!H161)/100,2))*100</f>
        <v>9601.9975188898134</v>
      </c>
      <c r="E161">
        <f>(3/(1+('CurrentPor-Equ Factor Movements'!C161+'CurrentPor-Equ Factor Movements'!I161)/100)+103/POWER(1+('CurrentPor-Equ Factor Movements'!D161+'CurrentPor-Equ Factor Movements'!I161)/100,2))*100</f>
        <v>9581.3395422839985</v>
      </c>
      <c r="F161">
        <f>Portfolio!B$5*'CurrentPor-Equ Factor Movements'!E161</f>
        <v>52143.895533915893</v>
      </c>
      <c r="G161">
        <f>Portfolio!B$6*'CurrentPor-Equ Factor Movements'!F161</f>
        <v>3696.2945087936532</v>
      </c>
      <c r="H161">
        <f>Portfolio!B$7*'CurrentPor-Equ Factor Movements'!J161</f>
        <v>2148.0998964419859</v>
      </c>
      <c r="I161">
        <f t="shared" si="4"/>
        <v>96517.661220332157</v>
      </c>
      <c r="J161">
        <f t="shared" si="5"/>
        <v>8.5440236048016232</v>
      </c>
    </row>
    <row r="162" spans="1:10">
      <c r="A162" s="1">
        <v>45695</v>
      </c>
      <c r="B162">
        <f>(3/(1+('CurrentPor-Equ Factor Movements'!C162)/100)+103/POWER(1+('CurrentPor-Equ Factor Movements'!D162)/100,2))*100</f>
        <v>9707.5857774288397</v>
      </c>
      <c r="C162">
        <f>(3/(1+('CurrentPor-Equ Factor Movements'!C162+'CurrentPor-Equ Factor Movements'!G162)/100)+103/POWER(1+('CurrentPor-Equ Factor Movements'!D162+'CurrentPor-Equ Factor Movements'!G162)/100,2))*100</f>
        <v>9640.2582771647722</v>
      </c>
      <c r="D162">
        <f>(3/(1+('CurrentPor-Equ Factor Movements'!C162+'CurrentPor-Equ Factor Movements'!H162)/100)+103/POWER(1+('CurrentPor-Equ Factor Movements'!D162+'CurrentPor-Equ Factor Movements'!H162)/100,2))*100</f>
        <v>9596.7568168842481</v>
      </c>
      <c r="E162">
        <f>(3/(1+('CurrentPor-Equ Factor Movements'!C162+'CurrentPor-Equ Factor Movements'!I162)/100)+103/POWER(1+('CurrentPor-Equ Factor Movements'!D162+'CurrentPor-Equ Factor Movements'!I162)/100,2))*100</f>
        <v>9581.8406087416988</v>
      </c>
      <c r="F162">
        <f>Portfolio!B$5*'CurrentPor-Equ Factor Movements'!E162</f>
        <v>52143.895533915893</v>
      </c>
      <c r="G162">
        <f>Portfolio!B$6*'CurrentPor-Equ Factor Movements'!F162</f>
        <v>3696.2945087936532</v>
      </c>
      <c r="H162">
        <f>Portfolio!B$7*'CurrentPor-Equ Factor Movements'!J162</f>
        <v>2148.0998964419859</v>
      </c>
      <c r="I162">
        <f t="shared" si="4"/>
        <v>96514.731419371077</v>
      </c>
      <c r="J162">
        <f t="shared" si="5"/>
        <v>18.835190496218274</v>
      </c>
    </row>
    <row r="163" spans="1:10">
      <c r="A163" s="1">
        <v>45698</v>
      </c>
      <c r="B163">
        <f>(3/(1+('CurrentPor-Equ Factor Movements'!C163)/100)+103/POWER(1+('CurrentPor-Equ Factor Movements'!D163)/100,2))*100</f>
        <v>9707.5857774288397</v>
      </c>
      <c r="C163">
        <f>(3/(1+('CurrentPor-Equ Factor Movements'!C163+'CurrentPor-Equ Factor Movements'!G163)/100)+103/POWER(1+('CurrentPor-Equ Factor Movements'!D163+'CurrentPor-Equ Factor Movements'!G163)/100,2))*100</f>
        <v>9634.8303172663855</v>
      </c>
      <c r="D163">
        <f>(3/(1+('CurrentPor-Equ Factor Movements'!C163+'CurrentPor-Equ Factor Movements'!H163)/100)+103/POWER(1+('CurrentPor-Equ Factor Movements'!D163+'CurrentPor-Equ Factor Movements'!H163)/100,2))*100</f>
        <v>9593.2860701476184</v>
      </c>
      <c r="E163">
        <f>(3/(1+('CurrentPor-Equ Factor Movements'!C163+'CurrentPor-Equ Factor Movements'!I163)/100)+103/POWER(1+('CurrentPor-Equ Factor Movements'!D163+'CurrentPor-Equ Factor Movements'!I163)/100,2))*100</f>
        <v>9580.0853345159703</v>
      </c>
      <c r="F163">
        <f>Portfolio!B$5*'CurrentPor-Equ Factor Movements'!E163</f>
        <v>52143.895533915893</v>
      </c>
      <c r="G163">
        <f>Portfolio!B$6*'CurrentPor-Equ Factor Movements'!F163</f>
        <v>3696.2945087936532</v>
      </c>
      <c r="H163">
        <f>Portfolio!B$7*'CurrentPor-Equ Factor Movements'!J163</f>
        <v>2148.0998964419859</v>
      </c>
      <c r="I163">
        <f t="shared" si="4"/>
        <v>96504.077438510343</v>
      </c>
      <c r="J163">
        <f t="shared" si="5"/>
        <v>15.805196983608766</v>
      </c>
    </row>
    <row r="164" spans="1:10">
      <c r="A164" s="1">
        <v>45699</v>
      </c>
      <c r="B164">
        <f>(3/(1+('CurrentPor-Equ Factor Movements'!C164)/100)+103/POWER(1+('CurrentPor-Equ Factor Movements'!D164)/100,2))*100</f>
        <v>9707.5857774288397</v>
      </c>
      <c r="C164">
        <f>(3/(1+('CurrentPor-Equ Factor Movements'!C164+'CurrentPor-Equ Factor Movements'!G164)/100)+103/POWER(1+('CurrentPor-Equ Factor Movements'!D164+'CurrentPor-Equ Factor Movements'!G164)/100,2))*100</f>
        <v>9634.8303172663855</v>
      </c>
      <c r="D164">
        <f>(3/(1+('CurrentPor-Equ Factor Movements'!C164+'CurrentPor-Equ Factor Movements'!H164)/100)+103/POWER(1+('CurrentPor-Equ Factor Movements'!D164+'CurrentPor-Equ Factor Movements'!H164)/100,2))*100</f>
        <v>9597.0295239138231</v>
      </c>
      <c r="E164">
        <f>(3/(1+('CurrentPor-Equ Factor Movements'!C164+'CurrentPor-Equ Factor Movements'!I164)/100)+103/POWER(1+('CurrentPor-Equ Factor Movements'!D164+'CurrentPor-Equ Factor Movements'!I164)/100,2))*100</f>
        <v>9581.1530142653501</v>
      </c>
      <c r="F164">
        <f>Portfolio!B$5*'CurrentPor-Equ Factor Movements'!E164</f>
        <v>52143.895533915893</v>
      </c>
      <c r="G164">
        <f>Portfolio!B$6*'CurrentPor-Equ Factor Movements'!F164</f>
        <v>3696.2945087936532</v>
      </c>
      <c r="H164">
        <f>Portfolio!B$7*'CurrentPor-Equ Factor Movements'!J164</f>
        <v>2148.0998964419859</v>
      </c>
      <c r="I164">
        <f t="shared" si="4"/>
        <v>96508.888572025928</v>
      </c>
      <c r="J164">
        <f t="shared" si="5"/>
        <v>11.713500700556324</v>
      </c>
    </row>
    <row r="165" spans="1:10">
      <c r="A165" s="1">
        <v>45700</v>
      </c>
      <c r="B165">
        <f>(3/(1+('CurrentPor-Equ Factor Movements'!C165)/100)+103/POWER(1+('CurrentPor-Equ Factor Movements'!D165)/100,2))*100</f>
        <v>9707.5857774288397</v>
      </c>
      <c r="C165">
        <f>(3/(1+('CurrentPor-Equ Factor Movements'!C165+'CurrentPor-Equ Factor Movements'!G165)/100)+103/POWER(1+('CurrentPor-Equ Factor Movements'!D165+'CurrentPor-Equ Factor Movements'!G165)/100,2))*100</f>
        <v>9634.8303172663855</v>
      </c>
      <c r="D165">
        <f>(3/(1+('CurrentPor-Equ Factor Movements'!C165+'CurrentPor-Equ Factor Movements'!H165)/100)+103/POWER(1+('CurrentPor-Equ Factor Movements'!D165+'CurrentPor-Equ Factor Movements'!H165)/100,2))*100</f>
        <v>9591.2353080564626</v>
      </c>
      <c r="E165">
        <f>(3/(1+('CurrentPor-Equ Factor Movements'!C165+'CurrentPor-Equ Factor Movements'!I165)/100)+103/POWER(1+('CurrentPor-Equ Factor Movements'!D165+'CurrentPor-Equ Factor Movements'!I165)/100,2))*100</f>
        <v>9581.211711060063</v>
      </c>
      <c r="F165">
        <f>Portfolio!B$5*'CurrentPor-Equ Factor Movements'!E165</f>
        <v>52143.895533915893</v>
      </c>
      <c r="G165">
        <f>Portfolio!B$6*'CurrentPor-Equ Factor Movements'!F165</f>
        <v>3696.2945087936532</v>
      </c>
      <c r="H165">
        <f>Portfolio!B$7*'CurrentPor-Equ Factor Movements'!J165</f>
        <v>2148.0998964419859</v>
      </c>
      <c r="I165">
        <f t="shared" si="4"/>
        <v>96503.153052963273</v>
      </c>
      <c r="J165">
        <f t="shared" si="5"/>
        <v>18.643818861542968</v>
      </c>
    </row>
    <row r="166" spans="1:10">
      <c r="A166" s="1">
        <v>45701</v>
      </c>
      <c r="B166">
        <f>(3/(1+('CurrentPor-Equ Factor Movements'!C166)/100)+103/POWER(1+('CurrentPor-Equ Factor Movements'!D166)/100,2))*100</f>
        <v>9707.5857774288397</v>
      </c>
      <c r="C166">
        <f>(3/(1+('CurrentPor-Equ Factor Movements'!C166+'CurrentPor-Equ Factor Movements'!G166)/100)+103/POWER(1+('CurrentPor-Equ Factor Movements'!D166+'CurrentPor-Equ Factor Movements'!G166)/100,2))*100</f>
        <v>9634.8303172663855</v>
      </c>
      <c r="D166">
        <f>(3/(1+('CurrentPor-Equ Factor Movements'!C166+'CurrentPor-Equ Factor Movements'!H166)/100)+103/POWER(1+('CurrentPor-Equ Factor Movements'!D166+'CurrentPor-Equ Factor Movements'!H166)/100,2))*100</f>
        <v>9603.818716326834</v>
      </c>
      <c r="E166">
        <f>(3/(1+('CurrentPor-Equ Factor Movements'!C166+'CurrentPor-Equ Factor Movements'!I166)/100)+103/POWER(1+('CurrentPor-Equ Factor Movements'!D166+'CurrentPor-Equ Factor Movements'!I166)/100,2))*100</f>
        <v>9580.5309672130352</v>
      </c>
      <c r="F166">
        <f>Portfolio!B$5*'CurrentPor-Equ Factor Movements'!E166</f>
        <v>52143.895533915893</v>
      </c>
      <c r="G166">
        <f>Portfolio!B$6*'CurrentPor-Equ Factor Movements'!F166</f>
        <v>3696.2945087936532</v>
      </c>
      <c r="H166">
        <f>Portfolio!B$7*'CurrentPor-Equ Factor Movements'!J166</f>
        <v>2148.0998964419859</v>
      </c>
      <c r="I166">
        <f t="shared" si="4"/>
        <v>96515.055717386625</v>
      </c>
      <c r="J166">
        <f t="shared" si="5"/>
        <v>19.573901042647776</v>
      </c>
    </row>
    <row r="167" spans="1:10">
      <c r="A167" s="1">
        <v>45702</v>
      </c>
      <c r="B167">
        <f>(3/(1+('CurrentPor-Equ Factor Movements'!C167)/100)+103/POWER(1+('CurrentPor-Equ Factor Movements'!D167)/100,2))*100</f>
        <v>9707.5857774288397</v>
      </c>
      <c r="C167">
        <f>(3/(1+('CurrentPor-Equ Factor Movements'!C167+'CurrentPor-Equ Factor Movements'!G167)/100)+103/POWER(1+('CurrentPor-Equ Factor Movements'!D167+'CurrentPor-Equ Factor Movements'!G167)/100,2))*100</f>
        <v>9633.0220261504182</v>
      </c>
      <c r="D167">
        <f>(3/(1+('CurrentPor-Equ Factor Movements'!C167+'CurrentPor-Equ Factor Movements'!H167)/100)+103/POWER(1+('CurrentPor-Equ Factor Movements'!D167+'CurrentPor-Equ Factor Movements'!H167)/100,2))*100</f>
        <v>9601.2690624786501</v>
      </c>
      <c r="E167">
        <f>(3/(1+('CurrentPor-Equ Factor Movements'!C167+'CurrentPor-Equ Factor Movements'!I167)/100)+103/POWER(1+('CurrentPor-Equ Factor Movements'!D167+'CurrentPor-Equ Factor Movements'!I167)/100,2))*100</f>
        <v>9581.1266074224368</v>
      </c>
      <c r="F167">
        <f>Portfolio!B$5*'CurrentPor-Equ Factor Movements'!E167</f>
        <v>52143.895533915893</v>
      </c>
      <c r="G167">
        <f>Portfolio!B$6*'CurrentPor-Equ Factor Movements'!F167</f>
        <v>3696.2945087936532</v>
      </c>
      <c r="H167">
        <f>Portfolio!B$7*'CurrentPor-Equ Factor Movements'!J167</f>
        <v>2148.0998964419859</v>
      </c>
      <c r="I167">
        <f t="shared" si="4"/>
        <v>96511.293412631887</v>
      </c>
      <c r="J167">
        <f t="shared" si="5"/>
        <v>14.09593881611363</v>
      </c>
    </row>
    <row r="168" spans="1:10">
      <c r="A168" s="1">
        <v>45705</v>
      </c>
      <c r="B168">
        <f>(3/(1+('CurrentPor-Equ Factor Movements'!C168)/100)+103/POWER(1+('CurrentPor-Equ Factor Movements'!D168)/100,2))*100</f>
        <v>9707.5857774288397</v>
      </c>
      <c r="C168">
        <f>(3/(1+('CurrentPor-Equ Factor Movements'!C168+'CurrentPor-Equ Factor Movements'!G168)/100)+103/POWER(1+('CurrentPor-Equ Factor Movements'!D168+'CurrentPor-Equ Factor Movements'!G168)/100,2))*100</f>
        <v>9640.2582771647722</v>
      </c>
      <c r="D168">
        <f>(3/(1+('CurrentPor-Equ Factor Movements'!C168+'CurrentPor-Equ Factor Movements'!H168)/100)+103/POWER(1+('CurrentPor-Equ Factor Movements'!D168+'CurrentPor-Equ Factor Movements'!H168)/100,2))*100</f>
        <v>9599.5328865609517</v>
      </c>
      <c r="E168">
        <f>(3/(1+('CurrentPor-Equ Factor Movements'!C168+'CurrentPor-Equ Factor Movements'!I168)/100)+103/POWER(1+('CurrentPor-Equ Factor Movements'!D168+'CurrentPor-Equ Factor Movements'!I168)/100,2))*100</f>
        <v>9580.4183285495528</v>
      </c>
      <c r="F168">
        <f>Portfolio!B$5*'CurrentPor-Equ Factor Movements'!E168</f>
        <v>52143.895533915893</v>
      </c>
      <c r="G168">
        <f>Portfolio!B$6*'CurrentPor-Equ Factor Movements'!F168</f>
        <v>3696.2945087936532</v>
      </c>
      <c r="H168">
        <f>Portfolio!B$7*'CurrentPor-Equ Factor Movements'!J168</f>
        <v>2148.0998964419859</v>
      </c>
      <c r="I168">
        <f t="shared" si="4"/>
        <v>96516.085208855642</v>
      </c>
      <c r="J168">
        <f t="shared" si="5"/>
        <v>14.221274621726479</v>
      </c>
    </row>
    <row r="169" spans="1:10">
      <c r="A169" s="1">
        <v>45706</v>
      </c>
      <c r="B169">
        <f>(3/(1+('CurrentPor-Equ Factor Movements'!C169)/100)+103/POWER(1+('CurrentPor-Equ Factor Movements'!D169)/100,2))*100</f>
        <v>9707.5857774288397</v>
      </c>
      <c r="C169">
        <f>(3/(1+('CurrentPor-Equ Factor Movements'!C169+'CurrentPor-Equ Factor Movements'!G169)/100)+103/POWER(1+('CurrentPor-Equ Factor Movements'!D169+'CurrentPor-Equ Factor Movements'!G169)/100,2))*100</f>
        <v>9642.0686266331541</v>
      </c>
      <c r="D169">
        <f>(3/(1+('CurrentPor-Equ Factor Movements'!C169+'CurrentPor-Equ Factor Movements'!H169)/100)+103/POWER(1+('CurrentPor-Equ Factor Movements'!D169+'CurrentPor-Equ Factor Movements'!H169)/100,2))*100</f>
        <v>9596.2856929428399</v>
      </c>
      <c r="E169">
        <f>(3/(1+('CurrentPor-Equ Factor Movements'!C169+'CurrentPor-Equ Factor Movements'!I169)/100)+103/POWER(1+('CurrentPor-Equ Factor Movements'!D169+'CurrentPor-Equ Factor Movements'!I169)/100,2))*100</f>
        <v>9582.1206670582433</v>
      </c>
      <c r="F169">
        <f>Portfolio!B$5*'CurrentPor-Equ Factor Movements'!E169</f>
        <v>52143.895533915893</v>
      </c>
      <c r="G169">
        <f>Portfolio!B$6*'CurrentPor-Equ Factor Movements'!F169</f>
        <v>3696.2945087936532</v>
      </c>
      <c r="H169">
        <f>Portfolio!B$7*'CurrentPor-Equ Factor Movements'!J169</f>
        <v>2148.0998964419859</v>
      </c>
      <c r="I169">
        <f t="shared" si="4"/>
        <v>96516.350703214601</v>
      </c>
      <c r="J169">
        <f t="shared" si="5"/>
        <v>-1.1984296983282547</v>
      </c>
    </row>
    <row r="170" spans="1:10">
      <c r="A170" s="1">
        <v>45707</v>
      </c>
      <c r="B170">
        <f>(3/(1+('CurrentPor-Equ Factor Movements'!C170)/100)+103/POWER(1+('CurrentPor-Equ Factor Movements'!D170)/100,2))*100</f>
        <v>9707.5857774288397</v>
      </c>
      <c r="C170">
        <f>(3/(1+('CurrentPor-Equ Factor Movements'!C170+'CurrentPor-Equ Factor Movements'!G170)/100)+103/POWER(1+('CurrentPor-Equ Factor Movements'!D170+'CurrentPor-Equ Factor Movements'!G170)/100,2))*100</f>
        <v>9645.6908709980435</v>
      </c>
      <c r="D170">
        <f>(3/(1+('CurrentPor-Equ Factor Movements'!C170+'CurrentPor-Equ Factor Movements'!H170)/100)+103/POWER(1+('CurrentPor-Equ Factor Movements'!D170+'CurrentPor-Equ Factor Movements'!H170)/100,2))*100</f>
        <v>9589.9931499623963</v>
      </c>
      <c r="E170">
        <f>(3/(1+('CurrentPor-Equ Factor Movements'!C170+'CurrentPor-Equ Factor Movements'!I170)/100)+103/POWER(1+('CurrentPor-Equ Factor Movements'!D170+'CurrentPor-Equ Factor Movements'!I170)/100,2))*100</f>
        <v>9580.7381265307795</v>
      </c>
      <c r="F170">
        <f>Portfolio!B$5*'CurrentPor-Equ Factor Movements'!E170</f>
        <v>52143.895533915893</v>
      </c>
      <c r="G170">
        <f>Portfolio!B$6*'CurrentPor-Equ Factor Movements'!F170</f>
        <v>3696.2945087936532</v>
      </c>
      <c r="H170">
        <f>Portfolio!B$7*'CurrentPor-Equ Factor Movements'!J170</f>
        <v>2148.0998964419859</v>
      </c>
      <c r="I170">
        <f t="shared" si="4"/>
        <v>96512.297864071588</v>
      </c>
      <c r="J170">
        <f t="shared" si="5"/>
        <v>-4.6782146061741514</v>
      </c>
    </row>
    <row r="171" spans="1:10">
      <c r="A171" s="1">
        <v>45708</v>
      </c>
      <c r="B171">
        <f>(3/(1+('CurrentPor-Equ Factor Movements'!C171)/100)+103/POWER(1+('CurrentPor-Equ Factor Movements'!D171)/100,2))*100</f>
        <v>9707.5857774288397</v>
      </c>
      <c r="C171">
        <f>(3/(1+('CurrentPor-Equ Factor Movements'!C171+'CurrentPor-Equ Factor Movements'!G171)/100)+103/POWER(1+('CurrentPor-Equ Factor Movements'!D171+'CurrentPor-Equ Factor Movements'!G171)/100,2))*100</f>
        <v>9647.5027662864559</v>
      </c>
      <c r="D171">
        <f>(3/(1+('CurrentPor-Equ Factor Movements'!C171+'CurrentPor-Equ Factor Movements'!H171)/100)+103/POWER(1+('CurrentPor-Equ Factor Movements'!D171+'CurrentPor-Equ Factor Movements'!H171)/100,2))*100</f>
        <v>9597.4343629947107</v>
      </c>
      <c r="E171">
        <f>(3/(1+('CurrentPor-Equ Factor Movements'!C171+'CurrentPor-Equ Factor Movements'!I171)/100)+103/POWER(1+('CurrentPor-Equ Factor Movements'!D171+'CurrentPor-Equ Factor Movements'!I171)/100,2))*100</f>
        <v>9580.8027685194393</v>
      </c>
      <c r="F171">
        <f>Portfolio!B$5*'CurrentPor-Equ Factor Movements'!E171</f>
        <v>52143.895533915893</v>
      </c>
      <c r="G171">
        <f>Portfolio!B$6*'CurrentPor-Equ Factor Movements'!F171</f>
        <v>3696.2945087936532</v>
      </c>
      <c r="H171">
        <f>Portfolio!B$7*'CurrentPor-Equ Factor Movements'!J171</f>
        <v>2148.0998964419859</v>
      </c>
      <c r="I171">
        <f t="shared" si="4"/>
        <v>96521.615614380979</v>
      </c>
      <c r="J171">
        <f t="shared" si="5"/>
        <v>3.954394048821996</v>
      </c>
    </row>
    <row r="172" spans="1:10">
      <c r="A172" s="1">
        <v>45709</v>
      </c>
      <c r="B172">
        <f>(3/(1+('CurrentPor-Equ Factor Movements'!C172)/100)+103/POWER(1+('CurrentPor-Equ Factor Movements'!D172)/100,2))*100</f>
        <v>9707.5857774288397</v>
      </c>
      <c r="C172">
        <f>(3/(1+('CurrentPor-Equ Factor Movements'!C172+'CurrentPor-Equ Factor Movements'!G172)/100)+103/POWER(1+('CurrentPor-Equ Factor Movements'!D172+'CurrentPor-Equ Factor Movements'!G172)/100,2))*100</f>
        <v>9645.6908709980435</v>
      </c>
      <c r="D172">
        <f>(3/(1+('CurrentPor-Equ Factor Movements'!C172+'CurrentPor-Equ Factor Movements'!H172)/100)+103/POWER(1+('CurrentPor-Equ Factor Movements'!D172+'CurrentPor-Equ Factor Movements'!H172)/100,2))*100</f>
        <v>9588.0556703680959</v>
      </c>
      <c r="E172">
        <f>(3/(1+('CurrentPor-Equ Factor Movements'!C172+'CurrentPor-Equ Factor Movements'!I172)/100)+103/POWER(1+('CurrentPor-Equ Factor Movements'!D172+'CurrentPor-Equ Factor Movements'!I172)/100,2))*100</f>
        <v>9580.8246753988042</v>
      </c>
      <c r="F172">
        <f>Portfolio!B$5*'CurrentPor-Equ Factor Movements'!E172</f>
        <v>52143.895533915893</v>
      </c>
      <c r="G172">
        <f>Portfolio!B$6*'CurrentPor-Equ Factor Movements'!F172</f>
        <v>3696.2945087936532</v>
      </c>
      <c r="H172">
        <f>Portfolio!B$7*'CurrentPor-Equ Factor Movements'!J172</f>
        <v>2148.0998964419859</v>
      </c>
      <c r="I172">
        <f t="shared" si="4"/>
        <v>96510.446933345316</v>
      </c>
      <c r="J172">
        <f t="shared" si="5"/>
        <v>-4.284486025760998</v>
      </c>
    </row>
    <row r="173" spans="1:10">
      <c r="A173" s="1">
        <v>45712</v>
      </c>
      <c r="B173">
        <f>(3/(1+('CurrentPor-Equ Factor Movements'!C173)/100)+103/POWER(1+('CurrentPor-Equ Factor Movements'!D173)/100,2))*100</f>
        <v>9707.5857774288397</v>
      </c>
      <c r="C173">
        <f>(3/(1+('CurrentPor-Equ Factor Movements'!C173+'CurrentPor-Equ Factor Movements'!G173)/100)+103/POWER(1+('CurrentPor-Equ Factor Movements'!D173+'CurrentPor-Equ Factor Movements'!G173)/100,2))*100</f>
        <v>9645.6908709980435</v>
      </c>
      <c r="D173">
        <f>(3/(1+('CurrentPor-Equ Factor Movements'!C173+'CurrentPor-Equ Factor Movements'!H173)/100)+103/POWER(1+('CurrentPor-Equ Factor Movements'!D173+'CurrentPor-Equ Factor Movements'!H173)/100,2))*100</f>
        <v>9601.5192982912249</v>
      </c>
      <c r="E173">
        <f>(3/(1+('CurrentPor-Equ Factor Movements'!C173+'CurrentPor-Equ Factor Movements'!I173)/100)+103/POWER(1+('CurrentPor-Equ Factor Movements'!D173+'CurrentPor-Equ Factor Movements'!I173)/100,2))*100</f>
        <v>9580.2201101821247</v>
      </c>
      <c r="F173">
        <f>Portfolio!B$5*'CurrentPor-Equ Factor Movements'!E173</f>
        <v>52143.895533915893</v>
      </c>
      <c r="G173">
        <f>Portfolio!B$6*'CurrentPor-Equ Factor Movements'!F173</f>
        <v>3696.2945087936532</v>
      </c>
      <c r="H173">
        <f>Portfolio!B$7*'CurrentPor-Equ Factor Movements'!J173</f>
        <v>2148.0998964419859</v>
      </c>
      <c r="I173">
        <f t="shared" si="4"/>
        <v>96523.305996051771</v>
      </c>
      <c r="J173">
        <f t="shared" si="5"/>
        <v>19.228557541428017</v>
      </c>
    </row>
    <row r="174" spans="1:10">
      <c r="A174" s="1">
        <v>45713</v>
      </c>
      <c r="B174">
        <f>(3/(1+('CurrentPor-Equ Factor Movements'!C174)/100)+103/POWER(1+('CurrentPor-Equ Factor Movements'!D174)/100,2))*100</f>
        <v>9707.5857774288397</v>
      </c>
      <c r="C174">
        <f>(3/(1+('CurrentPor-Equ Factor Movements'!C174+'CurrentPor-Equ Factor Movements'!G174)/100)+103/POWER(1+('CurrentPor-Equ Factor Movements'!D174+'CurrentPor-Equ Factor Movements'!G174)/100,2))*100</f>
        <v>9647.5027662864559</v>
      </c>
      <c r="D174">
        <f>(3/(1+('CurrentPor-Equ Factor Movements'!C174+'CurrentPor-Equ Factor Movements'!H174)/100)+103/POWER(1+('CurrentPor-Equ Factor Movements'!D174+'CurrentPor-Equ Factor Movements'!H174)/100,2))*100</f>
        <v>9602.0150861927086</v>
      </c>
      <c r="E174">
        <f>(3/(1+('CurrentPor-Equ Factor Movements'!C174+'CurrentPor-Equ Factor Movements'!I174)/100)+103/POWER(1+('CurrentPor-Equ Factor Movements'!D174+'CurrentPor-Equ Factor Movements'!I174)/100,2))*100</f>
        <v>9580.976903943194</v>
      </c>
      <c r="F174">
        <f>Portfolio!B$5*'CurrentPor-Equ Factor Movements'!E174</f>
        <v>52143.895533915893</v>
      </c>
      <c r="G174">
        <f>Portfolio!B$6*'CurrentPor-Equ Factor Movements'!F174</f>
        <v>3696.2945087936532</v>
      </c>
      <c r="H174">
        <f>Portfolio!B$7*'CurrentPor-Equ Factor Movements'!J174</f>
        <v>2148.0998964419859</v>
      </c>
      <c r="I174">
        <f t="shared" si="4"/>
        <v>96526.370473002738</v>
      </c>
      <c r="J174">
        <f t="shared" si="5"/>
        <v>17.481900976810721</v>
      </c>
    </row>
    <row r="175" spans="1:10">
      <c r="A175" s="1">
        <v>45714</v>
      </c>
      <c r="B175">
        <f>(3/(1+('CurrentPor-Equ Factor Movements'!C175)/100)+103/POWER(1+('CurrentPor-Equ Factor Movements'!D175)/100,2))*100</f>
        <v>9707.5857774288397</v>
      </c>
      <c r="C175">
        <f>(3/(1+('CurrentPor-Equ Factor Movements'!C175+'CurrentPor-Equ Factor Movements'!G175)/100)+103/POWER(1+('CurrentPor-Equ Factor Movements'!D175+'CurrentPor-Equ Factor Movements'!G175)/100,2))*100</f>
        <v>9651.1281040556933</v>
      </c>
      <c r="D175">
        <f>(3/(1+('CurrentPor-Equ Factor Movements'!C175+'CurrentPor-Equ Factor Movements'!H175)/100)+103/POWER(1+('CurrentPor-Equ Factor Movements'!D175+'CurrentPor-Equ Factor Movements'!H175)/100,2))*100</f>
        <v>9604.4913975121763</v>
      </c>
      <c r="E175">
        <f>(3/(1+('CurrentPor-Equ Factor Movements'!C175+'CurrentPor-Equ Factor Movements'!I175)/100)+103/POWER(1+('CurrentPor-Equ Factor Movements'!D175+'CurrentPor-Equ Factor Movements'!I175)/100,2))*100</f>
        <v>9581.6531457080491</v>
      </c>
      <c r="F175">
        <f>Portfolio!B$5*'CurrentPor-Equ Factor Movements'!E175</f>
        <v>52143.895533915893</v>
      </c>
      <c r="G175">
        <f>Portfolio!B$6*'CurrentPor-Equ Factor Movements'!F175</f>
        <v>3696.2945087936532</v>
      </c>
      <c r="H175">
        <f>Portfolio!B$7*'CurrentPor-Equ Factor Movements'!J175</f>
        <v>2148.0998964419859</v>
      </c>
      <c r="I175">
        <f t="shared" si="4"/>
        <v>96533.148363856293</v>
      </c>
      <c r="J175">
        <f t="shared" si="5"/>
        <v>29.99531089302036</v>
      </c>
    </row>
    <row r="176" spans="1:10">
      <c r="A176" s="1">
        <v>45715</v>
      </c>
      <c r="B176">
        <f>(3/(1+('CurrentPor-Equ Factor Movements'!C176)/100)+103/POWER(1+('CurrentPor-Equ Factor Movements'!D176)/100,2))*100</f>
        <v>9707.5857774288397</v>
      </c>
      <c r="C176">
        <f>(3/(1+('CurrentPor-Equ Factor Movements'!C176+'CurrentPor-Equ Factor Movements'!G176)/100)+103/POWER(1+('CurrentPor-Equ Factor Movements'!D176+'CurrentPor-Equ Factor Movements'!G176)/100,2))*100</f>
        <v>9649.3151772402762</v>
      </c>
      <c r="D176">
        <f>(3/(1+('CurrentPor-Equ Factor Movements'!C176+'CurrentPor-Equ Factor Movements'!H176)/100)+103/POWER(1+('CurrentPor-Equ Factor Movements'!D176+'CurrentPor-Equ Factor Movements'!H176)/100,2))*100</f>
        <v>9582.6105389378336</v>
      </c>
      <c r="E176">
        <f>(3/(1+('CurrentPor-Equ Factor Movements'!C176+'CurrentPor-Equ Factor Movements'!I176)/100)+103/POWER(1+('CurrentPor-Equ Factor Movements'!D176+'CurrentPor-Equ Factor Movements'!I176)/100,2))*100</f>
        <v>9579.3951518741778</v>
      </c>
      <c r="F176">
        <f>Portfolio!B$5*'CurrentPor-Equ Factor Movements'!E176</f>
        <v>52143.895533915893</v>
      </c>
      <c r="G176">
        <f>Portfolio!B$6*'CurrentPor-Equ Factor Movements'!F176</f>
        <v>3696.2945087936532</v>
      </c>
      <c r="H176">
        <f>Portfolio!B$7*'CurrentPor-Equ Factor Movements'!J176</f>
        <v>2148.0998964419859</v>
      </c>
      <c r="I176">
        <f t="shared" si="4"/>
        <v>96507.196584632664</v>
      </c>
      <c r="J176">
        <f t="shared" si="5"/>
        <v>-7.8591327539616032</v>
      </c>
    </row>
    <row r="177" spans="1:10">
      <c r="A177" s="1">
        <v>45716</v>
      </c>
      <c r="B177">
        <f>(3/(1+('CurrentPor-Equ Factor Movements'!C177)/100)+103/POWER(1+('CurrentPor-Equ Factor Movements'!D177)/100,2))*100</f>
        <v>9707.5857774288397</v>
      </c>
      <c r="C177">
        <f>(3/(1+('CurrentPor-Equ Factor Movements'!C177+'CurrentPor-Equ Factor Movements'!G177)/100)+103/POWER(1+('CurrentPor-Equ Factor Movements'!D177+'CurrentPor-Equ Factor Movements'!G177)/100,2))*100</f>
        <v>9649.3151772402762</v>
      </c>
      <c r="D177">
        <f>(3/(1+('CurrentPor-Equ Factor Movements'!C177+'CurrentPor-Equ Factor Movements'!H177)/100)+103/POWER(1+('CurrentPor-Equ Factor Movements'!D177+'CurrentPor-Equ Factor Movements'!H177)/100,2))*100</f>
        <v>9615.4896586602463</v>
      </c>
      <c r="E177">
        <f>(3/(1+('CurrentPor-Equ Factor Movements'!C177+'CurrentPor-Equ Factor Movements'!I177)/100)+103/POWER(1+('CurrentPor-Equ Factor Movements'!D177+'CurrentPor-Equ Factor Movements'!I177)/100,2))*100</f>
        <v>9579.1437676115347</v>
      </c>
      <c r="F177">
        <f>Portfolio!B$5*'CurrentPor-Equ Factor Movements'!E177</f>
        <v>52143.895533915893</v>
      </c>
      <c r="G177">
        <f>Portfolio!B$6*'CurrentPor-Equ Factor Movements'!F177</f>
        <v>3696.2945087936532</v>
      </c>
      <c r="H177">
        <f>Portfolio!B$7*'CurrentPor-Equ Factor Movements'!J177</f>
        <v>2148.0998964419859</v>
      </c>
      <c r="I177">
        <f t="shared" si="4"/>
        <v>96539.824320092433</v>
      </c>
      <c r="J177">
        <f t="shared" si="5"/>
        <v>28.530907460546587</v>
      </c>
    </row>
    <row r="178" spans="1:10">
      <c r="A178" s="1">
        <v>45719</v>
      </c>
      <c r="B178">
        <f>(3/(1+('CurrentPor-Equ Factor Movements'!C178)/100)+103/POWER(1+('CurrentPor-Equ Factor Movements'!D178)/100,2))*100</f>
        <v>9707.5857774288397</v>
      </c>
      <c r="C178">
        <f>(3/(1+('CurrentPor-Equ Factor Movements'!C178+'CurrentPor-Equ Factor Movements'!G178)/100)+103/POWER(1+('CurrentPor-Equ Factor Movements'!D178+'CurrentPor-Equ Factor Movements'!G178)/100,2))*100</f>
        <v>9651.1281040556933</v>
      </c>
      <c r="D178">
        <f>(3/(1+('CurrentPor-Equ Factor Movements'!C178+'CurrentPor-Equ Factor Movements'!H178)/100)+103/POWER(1+('CurrentPor-Equ Factor Movements'!D178+'CurrentPor-Equ Factor Movements'!H178)/100,2))*100</f>
        <v>9597.8964400579171</v>
      </c>
      <c r="E178">
        <f>(3/(1+('CurrentPor-Equ Factor Movements'!C178+'CurrentPor-Equ Factor Movements'!I178)/100)+103/POWER(1+('CurrentPor-Equ Factor Movements'!D178+'CurrentPor-Equ Factor Movements'!I178)/100,2))*100</f>
        <v>9581.2673056063413</v>
      </c>
      <c r="F178">
        <f>Portfolio!B$5*'CurrentPor-Equ Factor Movements'!E178</f>
        <v>52143.895533915893</v>
      </c>
      <c r="G178">
        <f>Portfolio!B$6*'CurrentPor-Equ Factor Movements'!F178</f>
        <v>3696.2945087936532</v>
      </c>
      <c r="H178">
        <f>Portfolio!B$7*'CurrentPor-Equ Factor Movements'!J178</f>
        <v>2148.0998964419859</v>
      </c>
      <c r="I178">
        <f t="shared" si="4"/>
        <v>96526.167566300326</v>
      </c>
      <c r="J178">
        <f t="shared" si="5"/>
        <v>10.082357444684021</v>
      </c>
    </row>
    <row r="179" spans="1:10">
      <c r="A179" s="1">
        <v>45720</v>
      </c>
      <c r="B179">
        <f>(3/(1+('CurrentPor-Equ Factor Movements'!C179)/100)+103/POWER(1+('CurrentPor-Equ Factor Movements'!D179)/100,2))*100</f>
        <v>9707.5857774288397</v>
      </c>
      <c r="C179">
        <f>(3/(1+('CurrentPor-Equ Factor Movements'!C179+'CurrentPor-Equ Factor Movements'!G179)/100)+103/POWER(1+('CurrentPor-Equ Factor Movements'!D179+'CurrentPor-Equ Factor Movements'!G179)/100,2))*100</f>
        <v>9652.9415469289834</v>
      </c>
      <c r="D179">
        <f>(3/(1+('CurrentPor-Equ Factor Movements'!C179+'CurrentPor-Equ Factor Movements'!H179)/100)+103/POWER(1+('CurrentPor-Equ Factor Movements'!D179+'CurrentPor-Equ Factor Movements'!H179)/100,2))*100</f>
        <v>9591.6438731449743</v>
      </c>
      <c r="E179">
        <f>(3/(1+('CurrentPor-Equ Factor Movements'!C179+'CurrentPor-Equ Factor Movements'!I179)/100)+103/POWER(1+('CurrentPor-Equ Factor Movements'!D179+'CurrentPor-Equ Factor Movements'!I179)/100,2))*100</f>
        <v>9579.9048868127065</v>
      </c>
      <c r="F179">
        <f>Portfolio!B$5*'CurrentPor-Equ Factor Movements'!E179</f>
        <v>52143.895533915893</v>
      </c>
      <c r="G179">
        <f>Portfolio!B$6*'CurrentPor-Equ Factor Movements'!F179</f>
        <v>3696.2945087936532</v>
      </c>
      <c r="H179">
        <f>Portfolio!B$7*'CurrentPor-Equ Factor Movements'!J179</f>
        <v>2148.0998964419859</v>
      </c>
      <c r="I179">
        <f t="shared" si="4"/>
        <v>96520.366023467024</v>
      </c>
      <c r="J179">
        <f t="shared" si="5"/>
        <v>4.0153202524234075</v>
      </c>
    </row>
    <row r="180" spans="1:10">
      <c r="A180" s="1">
        <v>45721</v>
      </c>
      <c r="B180">
        <f>(3/(1+('CurrentPor-Equ Factor Movements'!C180)/100)+103/POWER(1+('CurrentPor-Equ Factor Movements'!D180)/100,2))*100</f>
        <v>9707.5857774288397</v>
      </c>
      <c r="C180">
        <f>(3/(1+('CurrentPor-Equ Factor Movements'!C180+'CurrentPor-Equ Factor Movements'!G180)/100)+103/POWER(1+('CurrentPor-Equ Factor Movements'!D180+'CurrentPor-Equ Factor Movements'!G180)/100,2))*100</f>
        <v>9652.9415469289834</v>
      </c>
      <c r="D180">
        <f>(3/(1+('CurrentPor-Equ Factor Movements'!C180+'CurrentPor-Equ Factor Movements'!H180)/100)+103/POWER(1+('CurrentPor-Equ Factor Movements'!D180+'CurrentPor-Equ Factor Movements'!H180)/100,2))*100</f>
        <v>9602.6036785744218</v>
      </c>
      <c r="E180">
        <f>(3/(1+('CurrentPor-Equ Factor Movements'!C180+'CurrentPor-Equ Factor Movements'!I180)/100)+103/POWER(1+('CurrentPor-Equ Factor Movements'!D180+'CurrentPor-Equ Factor Movements'!I180)/100,2))*100</f>
        <v>9579.9429569371223</v>
      </c>
      <c r="F180">
        <f>Portfolio!B$5*'CurrentPor-Equ Factor Movements'!E180</f>
        <v>52143.895533915893</v>
      </c>
      <c r="G180">
        <f>Portfolio!B$6*'CurrentPor-Equ Factor Movements'!F180</f>
        <v>3696.2945087936532</v>
      </c>
      <c r="H180">
        <f>Portfolio!B$7*'CurrentPor-Equ Factor Movements'!J180</f>
        <v>2148.0998964419859</v>
      </c>
      <c r="I180">
        <f t="shared" si="4"/>
        <v>96531.3638990209</v>
      </c>
      <c r="J180">
        <f t="shared" si="5"/>
        <v>19.06603494931187</v>
      </c>
    </row>
    <row r="181" spans="1:10">
      <c r="A181" s="1">
        <v>45722</v>
      </c>
      <c r="B181">
        <f>(3/(1+('CurrentPor-Equ Factor Movements'!C181)/100)+103/POWER(1+('CurrentPor-Equ Factor Movements'!D181)/100,2))*100</f>
        <v>9707.5857774288397</v>
      </c>
      <c r="C181">
        <f>(3/(1+('CurrentPor-Equ Factor Movements'!C181+'CurrentPor-Equ Factor Movements'!G181)/100)+103/POWER(1+('CurrentPor-Equ Factor Movements'!D181+'CurrentPor-Equ Factor Movements'!G181)/100,2))*100</f>
        <v>9652.9415469289834</v>
      </c>
      <c r="D181">
        <f>(3/(1+('CurrentPor-Equ Factor Movements'!C181+'CurrentPor-Equ Factor Movements'!H181)/100)+103/POWER(1+('CurrentPor-Equ Factor Movements'!D181+'CurrentPor-Equ Factor Movements'!H181)/100,2))*100</f>
        <v>9606.8862764337082</v>
      </c>
      <c r="E181">
        <f>(3/(1+('CurrentPor-Equ Factor Movements'!C181+'CurrentPor-Equ Factor Movements'!I181)/100)+103/POWER(1+('CurrentPor-Equ Factor Movements'!D181+'CurrentPor-Equ Factor Movements'!I181)/100,2))*100</f>
        <v>9579.6668647682745</v>
      </c>
      <c r="F181">
        <f>Portfolio!B$5*'CurrentPor-Equ Factor Movements'!E181</f>
        <v>52143.895533915893</v>
      </c>
      <c r="G181">
        <f>Portfolio!B$6*'CurrentPor-Equ Factor Movements'!F181</f>
        <v>3696.2945087936532</v>
      </c>
      <c r="H181">
        <f>Portfolio!B$7*'CurrentPor-Equ Factor Movements'!J181</f>
        <v>2148.0998964419859</v>
      </c>
      <c r="I181">
        <f t="shared" si="4"/>
        <v>96535.370404711328</v>
      </c>
      <c r="J181">
        <f t="shared" si="5"/>
        <v>13.754790330349351</v>
      </c>
    </row>
    <row r="182" spans="1:10">
      <c r="A182" s="1">
        <v>45723</v>
      </c>
      <c r="B182">
        <f>(3/(1+('CurrentPor-Equ Factor Movements'!C182)/100)+103/POWER(1+('CurrentPor-Equ Factor Movements'!D182)/100,2))*100</f>
        <v>9707.5857774288397</v>
      </c>
      <c r="C182">
        <f>(3/(1+('CurrentPor-Equ Factor Movements'!C182+'CurrentPor-Equ Factor Movements'!G182)/100)+103/POWER(1+('CurrentPor-Equ Factor Movements'!D182+'CurrentPor-Equ Factor Movements'!G182)/100,2))*100</f>
        <v>9647.5027662864559</v>
      </c>
      <c r="D182">
        <f>(3/(1+('CurrentPor-Equ Factor Movements'!C182+'CurrentPor-Equ Factor Movements'!H182)/100)+103/POWER(1+('CurrentPor-Equ Factor Movements'!D182+'CurrentPor-Equ Factor Movements'!H182)/100,2))*100</f>
        <v>9600.5729960441913</v>
      </c>
      <c r="E182">
        <f>(3/(1+('CurrentPor-Equ Factor Movements'!C182+'CurrentPor-Equ Factor Movements'!I182)/100)+103/POWER(1+('CurrentPor-Equ Factor Movements'!D182+'CurrentPor-Equ Factor Movements'!I182)/100,2))*100</f>
        <v>9581.4748378717886</v>
      </c>
      <c r="F182">
        <f>Portfolio!B$5*'CurrentPor-Equ Factor Movements'!E182</f>
        <v>52143.895533915893</v>
      </c>
      <c r="G182">
        <f>Portfolio!B$6*'CurrentPor-Equ Factor Movements'!F182</f>
        <v>3696.2945087936532</v>
      </c>
      <c r="H182">
        <f>Portfolio!B$7*'CurrentPor-Equ Factor Movements'!J182</f>
        <v>2148.0998964419859</v>
      </c>
      <c r="I182">
        <f t="shared" si="4"/>
        <v>96525.426316782818</v>
      </c>
      <c r="J182">
        <f t="shared" si="5"/>
        <v>14.979383437501383</v>
      </c>
    </row>
    <row r="183" spans="1:10">
      <c r="A183" s="1">
        <v>45726</v>
      </c>
      <c r="B183">
        <f>(3/(1+('CurrentPor-Equ Factor Movements'!C183)/100)+103/POWER(1+('CurrentPor-Equ Factor Movements'!D183)/100,2))*100</f>
        <v>9707.5857774288397</v>
      </c>
      <c r="C183">
        <f>(3/(1+('CurrentPor-Equ Factor Movements'!C183+'CurrentPor-Equ Factor Movements'!G183)/100)+103/POWER(1+('CurrentPor-Equ Factor Movements'!D183+'CurrentPor-Equ Factor Movements'!G183)/100,2))*100</f>
        <v>9649.3151772402762</v>
      </c>
      <c r="D183">
        <f>(3/(1+('CurrentPor-Equ Factor Movements'!C183+'CurrentPor-Equ Factor Movements'!H183)/100)+103/POWER(1+('CurrentPor-Equ Factor Movements'!D183+'CurrentPor-Equ Factor Movements'!H183)/100,2))*100</f>
        <v>9597.5780764416104</v>
      </c>
      <c r="E183">
        <f>(3/(1+('CurrentPor-Equ Factor Movements'!C183+'CurrentPor-Equ Factor Movements'!I183)/100)+103/POWER(1+('CurrentPor-Equ Factor Movements'!D183+'CurrentPor-Equ Factor Movements'!I183)/100,2))*100</f>
        <v>9582.0350652334091</v>
      </c>
      <c r="F183">
        <f>Portfolio!B$5*'CurrentPor-Equ Factor Movements'!E183</f>
        <v>52143.895533915893</v>
      </c>
      <c r="G183">
        <f>Portfolio!B$6*'CurrentPor-Equ Factor Movements'!F183</f>
        <v>3696.2945087936532</v>
      </c>
      <c r="H183">
        <f>Portfolio!B$7*'CurrentPor-Equ Factor Movements'!J183</f>
        <v>2148.0998964419859</v>
      </c>
      <c r="I183">
        <f t="shared" si="4"/>
        <v>96524.804035495661</v>
      </c>
      <c r="J183">
        <f t="shared" si="5"/>
        <v>1.4980394438898657</v>
      </c>
    </row>
    <row r="184" spans="1:10">
      <c r="A184" s="1">
        <v>45727</v>
      </c>
      <c r="B184">
        <f>(3/(1+('CurrentPor-Equ Factor Movements'!C184)/100)+103/POWER(1+('CurrentPor-Equ Factor Movements'!D184)/100,2))*100</f>
        <v>9707.5857774288397</v>
      </c>
      <c r="C184">
        <f>(3/(1+('CurrentPor-Equ Factor Movements'!C184+'CurrentPor-Equ Factor Movements'!G184)/100)+103/POWER(1+('CurrentPor-Equ Factor Movements'!D184+'CurrentPor-Equ Factor Movements'!G184)/100,2))*100</f>
        <v>9649.3151772402762</v>
      </c>
      <c r="D184">
        <f>(3/(1+('CurrentPor-Equ Factor Movements'!C184+'CurrentPor-Equ Factor Movements'!H184)/100)+103/POWER(1+('CurrentPor-Equ Factor Movements'!D184+'CurrentPor-Equ Factor Movements'!H184)/100,2))*100</f>
        <v>9605.658322180685</v>
      </c>
      <c r="E184">
        <f>(3/(1+('CurrentPor-Equ Factor Movements'!C184+'CurrentPor-Equ Factor Movements'!I184)/100)+103/POWER(1+('CurrentPor-Equ Factor Movements'!D184+'CurrentPor-Equ Factor Movements'!I184)/100,2))*100</f>
        <v>9579.6027309219098</v>
      </c>
      <c r="F184">
        <f>Portfolio!B$5*'CurrentPor-Equ Factor Movements'!E184</f>
        <v>52143.895533915893</v>
      </c>
      <c r="G184">
        <f>Portfolio!B$6*'CurrentPor-Equ Factor Movements'!F184</f>
        <v>3696.2945087936532</v>
      </c>
      <c r="H184">
        <f>Portfolio!B$7*'CurrentPor-Equ Factor Movements'!J184</f>
        <v>2148.0998964419859</v>
      </c>
      <c r="I184">
        <f t="shared" si="4"/>
        <v>96530.451946923233</v>
      </c>
      <c r="J184">
        <f t="shared" si="5"/>
        <v>4.081473920494318</v>
      </c>
    </row>
    <row r="185" spans="1:10">
      <c r="A185" s="1">
        <v>45728</v>
      </c>
      <c r="B185">
        <f>(3/(1+('CurrentPor-Equ Factor Movements'!C185)/100)+103/POWER(1+('CurrentPor-Equ Factor Movements'!D185)/100,2))*100</f>
        <v>9707.5857774288397</v>
      </c>
      <c r="C185">
        <f>(3/(1+('CurrentPor-Equ Factor Movements'!C185+'CurrentPor-Equ Factor Movements'!G185)/100)+103/POWER(1+('CurrentPor-Equ Factor Movements'!D185+'CurrentPor-Equ Factor Movements'!G185)/100,2))*100</f>
        <v>9643.879491178941</v>
      </c>
      <c r="D185">
        <f>(3/(1+('CurrentPor-Equ Factor Movements'!C185+'CurrentPor-Equ Factor Movements'!H185)/100)+103/POWER(1+('CurrentPor-Equ Factor Movements'!D185+'CurrentPor-Equ Factor Movements'!H185)/100,2))*100</f>
        <v>9592.7074768612092</v>
      </c>
      <c r="E185">
        <f>(3/(1+('CurrentPor-Equ Factor Movements'!C185+'CurrentPor-Equ Factor Movements'!I185)/100)+103/POWER(1+('CurrentPor-Equ Factor Movements'!D185+'CurrentPor-Equ Factor Movements'!I185)/100,2))*100</f>
        <v>9581.4150386279125</v>
      </c>
      <c r="F185">
        <f>Portfolio!B$5*'CurrentPor-Equ Factor Movements'!E185</f>
        <v>52143.895533915893</v>
      </c>
      <c r="G185">
        <f>Portfolio!B$6*'CurrentPor-Equ Factor Movements'!F185</f>
        <v>3696.2945087936532</v>
      </c>
      <c r="H185">
        <f>Portfolio!B$7*'CurrentPor-Equ Factor Movements'!J185</f>
        <v>2148.0998964419859</v>
      </c>
      <c r="I185">
        <f t="shared" si="4"/>
        <v>96513.877723248428</v>
      </c>
      <c r="J185">
        <f t="shared" si="5"/>
        <v>-19.270640607865062</v>
      </c>
    </row>
    <row r="186" spans="1:10">
      <c r="A186" s="1">
        <v>45729</v>
      </c>
      <c r="B186">
        <f>(3/(1+('CurrentPor-Equ Factor Movements'!C186)/100)+103/POWER(1+('CurrentPor-Equ Factor Movements'!D186)/100,2))*100</f>
        <v>9707.5857774288397</v>
      </c>
      <c r="C186">
        <f>(3/(1+('CurrentPor-Equ Factor Movements'!C186+'CurrentPor-Equ Factor Movements'!G186)/100)+103/POWER(1+('CurrentPor-Equ Factor Movements'!D186+'CurrentPor-Equ Factor Movements'!G186)/100,2))*100</f>
        <v>9645.6908709980435</v>
      </c>
      <c r="D186">
        <f>(3/(1+('CurrentPor-Equ Factor Movements'!C186+'CurrentPor-Equ Factor Movements'!H186)/100)+103/POWER(1+('CurrentPor-Equ Factor Movements'!D186+'CurrentPor-Equ Factor Movements'!H186)/100,2))*100</f>
        <v>9593.1008892286372</v>
      </c>
      <c r="E186">
        <f>(3/(1+('CurrentPor-Equ Factor Movements'!C186+'CurrentPor-Equ Factor Movements'!I186)/100)+103/POWER(1+('CurrentPor-Equ Factor Movements'!D186+'CurrentPor-Equ Factor Movements'!I186)/100,2))*100</f>
        <v>9579.9387901347636</v>
      </c>
      <c r="F186">
        <f>Portfolio!B$5*'CurrentPor-Equ Factor Movements'!E186</f>
        <v>52143.895533915893</v>
      </c>
      <c r="G186">
        <f>Portfolio!B$6*'CurrentPor-Equ Factor Movements'!F186</f>
        <v>3696.2945087936532</v>
      </c>
      <c r="H186">
        <f>Portfolio!B$7*'CurrentPor-Equ Factor Movements'!J186</f>
        <v>2148.0998964419859</v>
      </c>
      <c r="I186">
        <f t="shared" si="4"/>
        <v>96514.606266941817</v>
      </c>
      <c r="J186">
        <f t="shared" si="5"/>
        <v>7.4096823091531405</v>
      </c>
    </row>
    <row r="187" spans="1:10">
      <c r="A187" s="1">
        <v>45730</v>
      </c>
      <c r="B187">
        <f>(3/(1+('CurrentPor-Equ Factor Movements'!C187)/100)+103/POWER(1+('CurrentPor-Equ Factor Movements'!D187)/100,2))*100</f>
        <v>9707.5857774288397</v>
      </c>
      <c r="C187">
        <f>(3/(1+('CurrentPor-Equ Factor Movements'!C187+'CurrentPor-Equ Factor Movements'!G187)/100)+103/POWER(1+('CurrentPor-Equ Factor Movements'!D187+'CurrentPor-Equ Factor Movements'!G187)/100,2))*100</f>
        <v>9645.6908709980435</v>
      </c>
      <c r="D187">
        <f>(3/(1+('CurrentPor-Equ Factor Movements'!C187+'CurrentPor-Equ Factor Movements'!H187)/100)+103/POWER(1+('CurrentPor-Equ Factor Movements'!D187+'CurrentPor-Equ Factor Movements'!H187)/100,2))*100</f>
        <v>9598.7985397152024</v>
      </c>
      <c r="E187">
        <f>(3/(1+('CurrentPor-Equ Factor Movements'!C187+'CurrentPor-Equ Factor Movements'!I187)/100)+103/POWER(1+('CurrentPor-Equ Factor Movements'!D187+'CurrentPor-Equ Factor Movements'!I187)/100,2))*100</f>
        <v>9580.3644691577283</v>
      </c>
      <c r="F187">
        <f>Portfolio!B$5*'CurrentPor-Equ Factor Movements'!E187</f>
        <v>52143.895533915893</v>
      </c>
      <c r="G187">
        <f>Portfolio!B$6*'CurrentPor-Equ Factor Movements'!F187</f>
        <v>3696.2945087936532</v>
      </c>
      <c r="H187">
        <f>Portfolio!B$7*'CurrentPor-Equ Factor Movements'!J187</f>
        <v>2148.0998964419859</v>
      </c>
      <c r="I187">
        <f t="shared" si="4"/>
        <v>96520.729596451347</v>
      </c>
      <c r="J187">
        <f t="shared" si="5"/>
        <v>-19.094723641086603</v>
      </c>
    </row>
    <row r="188" spans="1:10">
      <c r="A188" s="13">
        <v>45733</v>
      </c>
      <c r="B188">
        <f>(3/(1+('CurrentPor-Equ Factor Movements'!C188)/100)+103/POWER(1+('CurrentPor-Equ Factor Movements'!D188)/100,2))*100</f>
        <v>9707.5857774288397</v>
      </c>
      <c r="C188">
        <f>(3/(1+('CurrentPor-Equ Factor Movements'!C188+'CurrentPor-Equ Factor Movements'!G188)/100)+103/POWER(1+('CurrentPor-Equ Factor Movements'!D188+'CurrentPor-Equ Factor Movements'!G188)/100,2))*100</f>
        <v>9647.5028913948045</v>
      </c>
      <c r="D188">
        <f>(3/(1+('CurrentPor-Equ Factor Movements'!C188+'CurrentPor-Equ Factor Movements'!H188)/100)+103/POWER(1+('CurrentPor-Equ Factor Movements'!D188+'CurrentPor-Equ Factor Movements'!H188)/100,2))*100</f>
        <v>9629.1227718222744</v>
      </c>
      <c r="E188">
        <f>(3/(1+('CurrentPor-Equ Factor Movements'!C188+'CurrentPor-Equ Factor Movements'!I188)/100)+103/POWER(1+('CurrentPor-Equ Factor Movements'!D188+'CurrentPor-Equ Factor Movements'!I188)/100,2))*100</f>
        <v>9580.6454985559321</v>
      </c>
      <c r="F188">
        <f>Portfolio!B$5*'CurrentPor-Equ Factor Movements'!E188</f>
        <v>52143.895533915893</v>
      </c>
      <c r="G188">
        <f>Portfolio!B$6*'CurrentPor-Equ Factor Movements'!F188</f>
        <v>3696.2945087936532</v>
      </c>
      <c r="H188">
        <f>Portfolio!B$7*'CurrentPor-Equ Factor Movements'!J188</f>
        <v>2148.0998964419859</v>
      </c>
      <c r="I188">
        <f t="shared" ref="I188:I251" si="6">SUM(B188:H188)</f>
        <v>96553.146878353378</v>
      </c>
      <c r="J188">
        <f t="shared" ref="J188:J251" si="7">I188-I178</f>
        <v>26.979312053052126</v>
      </c>
    </row>
    <row r="189" spans="1:10">
      <c r="A189" s="1">
        <v>45734</v>
      </c>
      <c r="B189">
        <f>(3/(1+('CurrentPor-Equ Factor Movements'!C189)/100)+103/POWER(1+('CurrentPor-Equ Factor Movements'!D189)/100,2))*100</f>
        <v>9707.5857774288397</v>
      </c>
      <c r="C189">
        <f>(3/(1+('CurrentPor-Equ Factor Movements'!C189+'CurrentPor-Equ Factor Movements'!G189)/100)+103/POWER(1+('CurrentPor-Equ Factor Movements'!D189+'CurrentPor-Equ Factor Movements'!G189)/100,2))*100</f>
        <v>9645.3417364441684</v>
      </c>
      <c r="D189">
        <f>(3/(1+('CurrentPor-Equ Factor Movements'!C189+'CurrentPor-Equ Factor Movements'!H189)/100)+103/POWER(1+('CurrentPor-Equ Factor Movements'!D189+'CurrentPor-Equ Factor Movements'!H189)/100,2))*100</f>
        <v>9587.4564671772368</v>
      </c>
      <c r="E189">
        <f>(3/(1+('CurrentPor-Equ Factor Movements'!C189+'CurrentPor-Equ Factor Movements'!I189)/100)+103/POWER(1+('CurrentPor-Equ Factor Movements'!D189+'CurrentPor-Equ Factor Movements'!I189)/100,2))*100</f>
        <v>9580.3887991504871</v>
      </c>
      <c r="F189">
        <f>Portfolio!B$5*'CurrentPor-Equ Factor Movements'!E189</f>
        <v>52143.895533915893</v>
      </c>
      <c r="G189">
        <f>Portfolio!B$6*'CurrentPor-Equ Factor Movements'!F189</f>
        <v>3696.2945087936532</v>
      </c>
      <c r="H189">
        <f>Portfolio!B$7*'CurrentPor-Equ Factor Movements'!J189</f>
        <v>2148.0998964419859</v>
      </c>
      <c r="I189">
        <f t="shared" si="6"/>
        <v>96509.062719352267</v>
      </c>
      <c r="J189">
        <f t="shared" si="7"/>
        <v>-11.303304114757339</v>
      </c>
    </row>
    <row r="190" spans="1:10">
      <c r="A190" s="1">
        <v>45735</v>
      </c>
      <c r="B190">
        <f>(3/(1+('CurrentPor-Equ Factor Movements'!C190)/100)+103/POWER(1+('CurrentPor-Equ Factor Movements'!D190)/100,2))*100</f>
        <v>9707.5857774288397</v>
      </c>
      <c r="C190">
        <f>(3/(1+('CurrentPor-Equ Factor Movements'!C190+'CurrentPor-Equ Factor Movements'!G190)/100)+103/POWER(1+('CurrentPor-Equ Factor Movements'!D190+'CurrentPor-Equ Factor Movements'!G190)/100,2))*100</f>
        <v>9644.67166122241</v>
      </c>
      <c r="D190">
        <f>(3/(1+('CurrentPor-Equ Factor Movements'!C190+'CurrentPor-Equ Factor Movements'!H190)/100)+103/POWER(1+('CurrentPor-Equ Factor Movements'!D190+'CurrentPor-Equ Factor Movements'!H190)/100,2))*100</f>
        <v>9615.2582549951694</v>
      </c>
      <c r="E190">
        <f>(3/(1+('CurrentPor-Equ Factor Movements'!C190+'CurrentPor-Equ Factor Movements'!I190)/100)+103/POWER(1+('CurrentPor-Equ Factor Movements'!D190+'CurrentPor-Equ Factor Movements'!I190)/100,2))*100</f>
        <v>9582.1119724264627</v>
      </c>
      <c r="F190">
        <f>Portfolio!B$5*'CurrentPor-Equ Factor Movements'!E190</f>
        <v>52143.895533915893</v>
      </c>
      <c r="G190">
        <f>Portfolio!B$6*'CurrentPor-Equ Factor Movements'!F190</f>
        <v>3696.2945087936532</v>
      </c>
      <c r="H190">
        <f>Portfolio!B$7*'CurrentPor-Equ Factor Movements'!J190</f>
        <v>2148.0998964419859</v>
      </c>
      <c r="I190">
        <f t="shared" si="6"/>
        <v>96537.917605224415</v>
      </c>
      <c r="J190">
        <f t="shared" si="7"/>
        <v>6.5537062035145937</v>
      </c>
    </row>
    <row r="191" spans="1:10">
      <c r="A191" s="1">
        <v>45736</v>
      </c>
      <c r="B191">
        <f>(3/(1+('CurrentPor-Equ Factor Movements'!C191)/100)+103/POWER(1+('CurrentPor-Equ Factor Movements'!D191)/100,2))*100</f>
        <v>9707.5857774288397</v>
      </c>
      <c r="C191">
        <f>(3/(1+('CurrentPor-Equ Factor Movements'!C191+'CurrentPor-Equ Factor Movements'!G191)/100)+103/POWER(1+('CurrentPor-Equ Factor Movements'!D191+'CurrentPor-Equ Factor Movements'!G191)/100,2))*100</f>
        <v>9665.9088657140892</v>
      </c>
      <c r="D191">
        <f>(3/(1+('CurrentPor-Equ Factor Movements'!C191+'CurrentPor-Equ Factor Movements'!H191)/100)+103/POWER(1+('CurrentPor-Equ Factor Movements'!D191+'CurrentPor-Equ Factor Movements'!H191)/100,2))*100</f>
        <v>9603.9733500566435</v>
      </c>
      <c r="E191">
        <f>(3/(1+('CurrentPor-Equ Factor Movements'!C191+'CurrentPor-Equ Factor Movements'!I191)/100)+103/POWER(1+('CurrentPor-Equ Factor Movements'!D191+'CurrentPor-Equ Factor Movements'!I191)/100,2))*100</f>
        <v>9581.5416821441668</v>
      </c>
      <c r="F191">
        <f>Portfolio!B$5*'CurrentPor-Equ Factor Movements'!E191</f>
        <v>52143.895533915893</v>
      </c>
      <c r="G191">
        <f>Portfolio!B$6*'CurrentPor-Equ Factor Movements'!F191</f>
        <v>3696.2945087936532</v>
      </c>
      <c r="H191">
        <f>Portfolio!B$7*'CurrentPor-Equ Factor Movements'!J191</f>
        <v>2148.0998964419859</v>
      </c>
      <c r="I191">
        <f t="shared" si="6"/>
        <v>96547.299614495263</v>
      </c>
      <c r="J191">
        <f t="shared" si="7"/>
        <v>11.929209783935221</v>
      </c>
    </row>
    <row r="192" spans="1:10">
      <c r="A192" s="1">
        <v>45737</v>
      </c>
      <c r="B192">
        <f>(3/(1+('CurrentPor-Equ Factor Movements'!C192)/100)+103/POWER(1+('CurrentPor-Equ Factor Movements'!D192)/100,2))*100</f>
        <v>9707.5857774288397</v>
      </c>
      <c r="C192">
        <f>(3/(1+('CurrentPor-Equ Factor Movements'!C192+'CurrentPor-Equ Factor Movements'!G192)/100)+103/POWER(1+('CurrentPor-Equ Factor Movements'!D192+'CurrentPor-Equ Factor Movements'!G192)/100,2))*100</f>
        <v>9641.2477691855656</v>
      </c>
      <c r="D192">
        <f>(3/(1+('CurrentPor-Equ Factor Movements'!C192+'CurrentPor-Equ Factor Movements'!H192)/100)+103/POWER(1+('CurrentPor-Equ Factor Movements'!D192+'CurrentPor-Equ Factor Movements'!H192)/100,2))*100</f>
        <v>9606.0550098903641</v>
      </c>
      <c r="E192">
        <f>(3/(1+('CurrentPor-Equ Factor Movements'!C192+'CurrentPor-Equ Factor Movements'!I192)/100)+103/POWER(1+('CurrentPor-Equ Factor Movements'!D192+'CurrentPor-Equ Factor Movements'!I192)/100,2))*100</f>
        <v>9578.2999225113654</v>
      </c>
      <c r="F192">
        <f>Portfolio!B$5*'CurrentPor-Equ Factor Movements'!E192</f>
        <v>52143.895533915893</v>
      </c>
      <c r="G192">
        <f>Portfolio!B$6*'CurrentPor-Equ Factor Movements'!F192</f>
        <v>3696.2945087936532</v>
      </c>
      <c r="H192">
        <f>Portfolio!B$7*'CurrentPor-Equ Factor Movements'!J192</f>
        <v>2148.0998964419859</v>
      </c>
      <c r="I192">
        <f t="shared" si="6"/>
        <v>96521.478418167666</v>
      </c>
      <c r="J192">
        <f t="shared" si="7"/>
        <v>-3.9478986151516438</v>
      </c>
    </row>
    <row r="193" spans="1:10">
      <c r="A193" s="1">
        <v>45740</v>
      </c>
      <c r="B193">
        <f>(3/(1+('CurrentPor-Equ Factor Movements'!C193)/100)+103/POWER(1+('CurrentPor-Equ Factor Movements'!D193)/100,2))*100</f>
        <v>9707.5857774288397</v>
      </c>
      <c r="C193">
        <f>(3/(1+('CurrentPor-Equ Factor Movements'!C193+'CurrentPor-Equ Factor Movements'!G193)/100)+103/POWER(1+('CurrentPor-Equ Factor Movements'!D193+'CurrentPor-Equ Factor Movements'!G193)/100,2))*100</f>
        <v>9647.6012759639034</v>
      </c>
      <c r="D193">
        <f>(3/(1+('CurrentPor-Equ Factor Movements'!C193+'CurrentPor-Equ Factor Movements'!H193)/100)+103/POWER(1+('CurrentPor-Equ Factor Movements'!D193+'CurrentPor-Equ Factor Movements'!H193)/100,2))*100</f>
        <v>9600.8417031250701</v>
      </c>
      <c r="E193">
        <f>(3/(1+('CurrentPor-Equ Factor Movements'!C193+'CurrentPor-Equ Factor Movements'!I193)/100)+103/POWER(1+('CurrentPor-Equ Factor Movements'!D193+'CurrentPor-Equ Factor Movements'!I193)/100,2))*100</f>
        <v>9581.0793804743462</v>
      </c>
      <c r="F193">
        <f>Portfolio!B$5*'CurrentPor-Equ Factor Movements'!E193</f>
        <v>52143.895533915893</v>
      </c>
      <c r="G193">
        <f>Portfolio!B$6*'CurrentPor-Equ Factor Movements'!F193</f>
        <v>3696.2945087936532</v>
      </c>
      <c r="H193">
        <f>Portfolio!B$7*'CurrentPor-Equ Factor Movements'!J193</f>
        <v>2148.0998964419859</v>
      </c>
      <c r="I193">
        <f t="shared" si="6"/>
        <v>96525.398076143683</v>
      </c>
      <c r="J193">
        <f t="shared" si="7"/>
        <v>0.59404064802220091</v>
      </c>
    </row>
    <row r="194" spans="1:10">
      <c r="A194" s="1">
        <v>45741</v>
      </c>
      <c r="B194">
        <f>(3/(1+('CurrentPor-Equ Factor Movements'!C194)/100)+103/POWER(1+('CurrentPor-Equ Factor Movements'!D194)/100,2))*100</f>
        <v>9707.5857774288397</v>
      </c>
      <c r="C194">
        <f>(3/(1+('CurrentPor-Equ Factor Movements'!C194+'CurrentPor-Equ Factor Movements'!G194)/100)+103/POWER(1+('CurrentPor-Equ Factor Movements'!D194+'CurrentPor-Equ Factor Movements'!G194)/100,2))*100</f>
        <v>9648.565676399814</v>
      </c>
      <c r="D194">
        <f>(3/(1+('CurrentPor-Equ Factor Movements'!C194+'CurrentPor-Equ Factor Movements'!H194)/100)+103/POWER(1+('CurrentPor-Equ Factor Movements'!D194+'CurrentPor-Equ Factor Movements'!H194)/100,2))*100</f>
        <v>9606.6247838101717</v>
      </c>
      <c r="E194">
        <f>(3/(1+('CurrentPor-Equ Factor Movements'!C194+'CurrentPor-Equ Factor Movements'!I194)/100)+103/POWER(1+('CurrentPor-Equ Factor Movements'!D194+'CurrentPor-Equ Factor Movements'!I194)/100,2))*100</f>
        <v>9580.8460628314042</v>
      </c>
      <c r="F194">
        <f>Portfolio!B$5*'CurrentPor-Equ Factor Movements'!E194</f>
        <v>52143.895533915893</v>
      </c>
      <c r="G194">
        <f>Portfolio!B$6*'CurrentPor-Equ Factor Movements'!F194</f>
        <v>3696.2945087936532</v>
      </c>
      <c r="H194">
        <f>Portfolio!B$7*'CurrentPor-Equ Factor Movements'!J194</f>
        <v>2148.0998964419859</v>
      </c>
      <c r="I194">
        <f t="shared" si="6"/>
        <v>96531.912239621757</v>
      </c>
      <c r="J194">
        <f t="shared" si="7"/>
        <v>1.4602926985244267</v>
      </c>
    </row>
    <row r="195" spans="1:10">
      <c r="A195" s="1">
        <v>45742</v>
      </c>
      <c r="B195">
        <f>(3/(1+('CurrentPor-Equ Factor Movements'!C195)/100)+103/POWER(1+('CurrentPor-Equ Factor Movements'!D195)/100,2))*100</f>
        <v>9707.5857774288397</v>
      </c>
      <c r="C195">
        <f>(3/(1+('CurrentPor-Equ Factor Movements'!C195+'CurrentPor-Equ Factor Movements'!G195)/100)+103/POWER(1+('CurrentPor-Equ Factor Movements'!D195+'CurrentPor-Equ Factor Movements'!G195)/100,2))*100</f>
        <v>9649.5679654341329</v>
      </c>
      <c r="D195">
        <f>(3/(1+('CurrentPor-Equ Factor Movements'!C195+'CurrentPor-Equ Factor Movements'!H195)/100)+103/POWER(1+('CurrentPor-Equ Factor Movements'!D195+'CurrentPor-Equ Factor Movements'!H195)/100,2))*100</f>
        <v>9597.2656959728192</v>
      </c>
      <c r="E195">
        <f>(3/(1+('CurrentPor-Equ Factor Movements'!C195+'CurrentPor-Equ Factor Movements'!I195)/100)+103/POWER(1+('CurrentPor-Equ Factor Movements'!D195+'CurrentPor-Equ Factor Movements'!I195)/100,2))*100</f>
        <v>9578.3316448618443</v>
      </c>
      <c r="F195">
        <f>Portfolio!B$5*'CurrentPor-Equ Factor Movements'!E195</f>
        <v>52143.895533915893</v>
      </c>
      <c r="G195">
        <f>Portfolio!B$6*'CurrentPor-Equ Factor Movements'!F195</f>
        <v>3696.2945087936532</v>
      </c>
      <c r="H195">
        <f>Portfolio!B$7*'CurrentPor-Equ Factor Movements'!J195</f>
        <v>2148.0998964419859</v>
      </c>
      <c r="I195">
        <f t="shared" si="6"/>
        <v>96521.041022849167</v>
      </c>
      <c r="J195">
        <f t="shared" si="7"/>
        <v>7.1632996007392649</v>
      </c>
    </row>
    <row r="196" spans="1:10">
      <c r="A196" s="1">
        <v>45743</v>
      </c>
      <c r="B196">
        <f>(3/(1+('CurrentPor-Equ Factor Movements'!C196)/100)+103/POWER(1+('CurrentPor-Equ Factor Movements'!D196)/100,2))*100</f>
        <v>9707.5857774288397</v>
      </c>
      <c r="C196">
        <f>(3/(1+('CurrentPor-Equ Factor Movements'!C196+'CurrentPor-Equ Factor Movements'!G196)/100)+103/POWER(1+('CurrentPor-Equ Factor Movements'!D196+'CurrentPor-Equ Factor Movements'!G196)/100,2))*100</f>
        <v>9650.4696874141664</v>
      </c>
      <c r="D196">
        <f>(3/(1+('CurrentPor-Equ Factor Movements'!C196+'CurrentPor-Equ Factor Movements'!H196)/100)+103/POWER(1+('CurrentPor-Equ Factor Movements'!D196+'CurrentPor-Equ Factor Movements'!H196)/100,2))*100</f>
        <v>9602.001826533331</v>
      </c>
      <c r="E196">
        <f>(3/(1+('CurrentPor-Equ Factor Movements'!C196+'CurrentPor-Equ Factor Movements'!I196)/100)+103/POWER(1+('CurrentPor-Equ Factor Movements'!D196+'CurrentPor-Equ Factor Movements'!I196)/100,2))*100</f>
        <v>9580.4631807122314</v>
      </c>
      <c r="F196">
        <f>Portfolio!B$5*'CurrentPor-Equ Factor Movements'!E196</f>
        <v>52143.895533915893</v>
      </c>
      <c r="G196">
        <f>Portfolio!B$6*'CurrentPor-Equ Factor Movements'!F196</f>
        <v>3696.2945087936532</v>
      </c>
      <c r="H196">
        <f>Portfolio!B$7*'CurrentPor-Equ Factor Movements'!J196</f>
        <v>2148.0998964419859</v>
      </c>
      <c r="I196">
        <f t="shared" si="6"/>
        <v>96528.810411240105</v>
      </c>
      <c r="J196">
        <f t="shared" si="7"/>
        <v>14.204144298288156</v>
      </c>
    </row>
    <row r="197" spans="1:10">
      <c r="A197" s="1">
        <v>45744</v>
      </c>
      <c r="B197">
        <f>(3/(1+('CurrentPor-Equ Factor Movements'!C197)/100)+103/POWER(1+('CurrentPor-Equ Factor Movements'!D197)/100,2))*100</f>
        <v>9707.5857774288397</v>
      </c>
      <c r="C197">
        <f>(3/(1+('CurrentPor-Equ Factor Movements'!C197+'CurrentPor-Equ Factor Movements'!G197)/100)+103/POWER(1+('CurrentPor-Equ Factor Movements'!D197+'CurrentPor-Equ Factor Movements'!G197)/100,2))*100</f>
        <v>9638.1314605737862</v>
      </c>
      <c r="D197">
        <f>(3/(1+('CurrentPor-Equ Factor Movements'!C197+'CurrentPor-Equ Factor Movements'!H197)/100)+103/POWER(1+('CurrentPor-Equ Factor Movements'!D197+'CurrentPor-Equ Factor Movements'!H197)/100,2))*100</f>
        <v>9598.4098553516797</v>
      </c>
      <c r="E197">
        <f>(3/(1+('CurrentPor-Equ Factor Movements'!C197+'CurrentPor-Equ Factor Movements'!I197)/100)+103/POWER(1+('CurrentPor-Equ Factor Movements'!D197+'CurrentPor-Equ Factor Movements'!I197)/100,2))*100</f>
        <v>9579.9611182409244</v>
      </c>
      <c r="F197">
        <f>Portfolio!B$5*'CurrentPor-Equ Factor Movements'!E197</f>
        <v>52143.895533915893</v>
      </c>
      <c r="G197">
        <f>Portfolio!B$6*'CurrentPor-Equ Factor Movements'!F197</f>
        <v>3696.2945087936532</v>
      </c>
      <c r="H197">
        <f>Portfolio!B$7*'CurrentPor-Equ Factor Movements'!J197</f>
        <v>2148.0998964419859</v>
      </c>
      <c r="I197">
        <f t="shared" si="6"/>
        <v>96512.378150746765</v>
      </c>
      <c r="J197">
        <f t="shared" si="7"/>
        <v>-8.3514457045821473</v>
      </c>
    </row>
    <row r="198" spans="1:10">
      <c r="A198" s="1">
        <v>45747</v>
      </c>
      <c r="B198">
        <f>(3/(1+('CurrentPor-Equ Factor Movements'!C198)/100)+103/POWER(1+('CurrentPor-Equ Factor Movements'!D198)/100,2))*100</f>
        <v>9707.5857774288397</v>
      </c>
      <c r="C198">
        <f>(3/(1+('CurrentPor-Equ Factor Movements'!C198+'CurrentPor-Equ Factor Movements'!G198)/100)+103/POWER(1+('CurrentPor-Equ Factor Movements'!D198+'CurrentPor-Equ Factor Movements'!G198)/100,2))*100</f>
        <v>9633.7586103368812</v>
      </c>
      <c r="D198">
        <f>(3/(1+('CurrentPor-Equ Factor Movements'!C198+'CurrentPor-Equ Factor Movements'!H198)/100)+103/POWER(1+('CurrentPor-Equ Factor Movements'!D198+'CurrentPor-Equ Factor Movements'!H198)/100,2))*100</f>
        <v>9613.8115361290984</v>
      </c>
      <c r="E198">
        <f>(3/(1+('CurrentPor-Equ Factor Movements'!C198+'CurrentPor-Equ Factor Movements'!I198)/100)+103/POWER(1+('CurrentPor-Equ Factor Movements'!D198+'CurrentPor-Equ Factor Movements'!I198)/100,2))*100</f>
        <v>9582.3862248828591</v>
      </c>
      <c r="F198">
        <f>Portfolio!B$5*'CurrentPor-Equ Factor Movements'!E198</f>
        <v>52143.895533915893</v>
      </c>
      <c r="G198">
        <f>Portfolio!B$6*'CurrentPor-Equ Factor Movements'!F198</f>
        <v>3696.2945087936532</v>
      </c>
      <c r="H198">
        <f>Portfolio!B$7*'CurrentPor-Equ Factor Movements'!J198</f>
        <v>2148.0998964419859</v>
      </c>
      <c r="I198">
        <f t="shared" si="6"/>
        <v>96525.8320879292</v>
      </c>
      <c r="J198">
        <f t="shared" si="7"/>
        <v>-27.314790424177772</v>
      </c>
    </row>
    <row r="199" spans="1:10">
      <c r="A199" s="1">
        <v>45748</v>
      </c>
      <c r="B199">
        <f>(3/(1+('CurrentPor-Equ Factor Movements'!C199)/100)+103/POWER(1+('CurrentPor-Equ Factor Movements'!D199)/100,2))*100</f>
        <v>9707.5857774288397</v>
      </c>
      <c r="C199">
        <f>(3/(1+('CurrentPor-Equ Factor Movements'!C199+'CurrentPor-Equ Factor Movements'!G199)/100)+103/POWER(1+('CurrentPor-Equ Factor Movements'!D199+'CurrentPor-Equ Factor Movements'!G199)/100,2))*100</f>
        <v>9642.0720964899192</v>
      </c>
      <c r="D199">
        <f>(3/(1+('CurrentPor-Equ Factor Movements'!C199+'CurrentPor-Equ Factor Movements'!H199)/100)+103/POWER(1+('CurrentPor-Equ Factor Movements'!D199+'CurrentPor-Equ Factor Movements'!H199)/100,2))*100</f>
        <v>9592.2905525057686</v>
      </c>
      <c r="E199">
        <f>(3/(1+('CurrentPor-Equ Factor Movements'!C199+'CurrentPor-Equ Factor Movements'!I199)/100)+103/POWER(1+('CurrentPor-Equ Factor Movements'!D199+'CurrentPor-Equ Factor Movements'!I199)/100,2))*100</f>
        <v>9579.8614289936904</v>
      </c>
      <c r="F199">
        <f>Portfolio!B$5*'CurrentPor-Equ Factor Movements'!E199</f>
        <v>52143.895533915893</v>
      </c>
      <c r="G199">
        <f>Portfolio!B$6*'CurrentPor-Equ Factor Movements'!F199</f>
        <v>3696.2945087936532</v>
      </c>
      <c r="H199">
        <f>Portfolio!B$7*'CurrentPor-Equ Factor Movements'!J199</f>
        <v>2148.0998964419859</v>
      </c>
      <c r="I199">
        <f t="shared" si="6"/>
        <v>96510.09979456976</v>
      </c>
      <c r="J199">
        <f t="shared" si="7"/>
        <v>1.0370752174931113</v>
      </c>
    </row>
    <row r="200" spans="1:10">
      <c r="A200" s="1">
        <v>45749</v>
      </c>
      <c r="B200">
        <f>(3/(1+('CurrentPor-Equ Factor Movements'!C200)/100)+103/POWER(1+('CurrentPor-Equ Factor Movements'!D200)/100,2))*100</f>
        <v>9707.5857774288397</v>
      </c>
      <c r="C200">
        <f>(3/(1+('CurrentPor-Equ Factor Movements'!C200+'CurrentPor-Equ Factor Movements'!G200)/100)+103/POWER(1+('CurrentPor-Equ Factor Movements'!D200+'CurrentPor-Equ Factor Movements'!G200)/100,2))*100</f>
        <v>9645.8054394874944</v>
      </c>
      <c r="D200">
        <f>(3/(1+('CurrentPor-Equ Factor Movements'!C200+'CurrentPor-Equ Factor Movements'!H200)/100)+103/POWER(1+('CurrentPor-Equ Factor Movements'!D200+'CurrentPor-Equ Factor Movements'!H200)/100,2))*100</f>
        <v>9585.3384234862369</v>
      </c>
      <c r="E200">
        <f>(3/(1+('CurrentPor-Equ Factor Movements'!C200+'CurrentPor-Equ Factor Movements'!I200)/100)+103/POWER(1+('CurrentPor-Equ Factor Movements'!D200+'CurrentPor-Equ Factor Movements'!I200)/100,2))*100</f>
        <v>9578.9470947184327</v>
      </c>
      <c r="F200">
        <f>Portfolio!B$5*'CurrentPor-Equ Factor Movements'!E200</f>
        <v>52143.895533915893</v>
      </c>
      <c r="G200">
        <f>Portfolio!B$6*'CurrentPor-Equ Factor Movements'!F200</f>
        <v>3696.2945087936532</v>
      </c>
      <c r="H200">
        <f>Portfolio!B$7*'CurrentPor-Equ Factor Movements'!J200</f>
        <v>2148.0998964419859</v>
      </c>
      <c r="I200">
        <f t="shared" si="6"/>
        <v>96505.966674272539</v>
      </c>
      <c r="J200">
        <f t="shared" si="7"/>
        <v>-31.950930951876217</v>
      </c>
    </row>
    <row r="201" spans="1:10">
      <c r="A201" s="1">
        <v>45750</v>
      </c>
      <c r="B201">
        <f>(3/(1+('CurrentPor-Equ Factor Movements'!C201)/100)+103/POWER(1+('CurrentPor-Equ Factor Movements'!D201)/100,2))*100</f>
        <v>9707.5857774288397</v>
      </c>
      <c r="C201">
        <f>(3/(1+('CurrentPor-Equ Factor Movements'!C201+'CurrentPor-Equ Factor Movements'!G201)/100)+103/POWER(1+('CurrentPor-Equ Factor Movements'!D201+'CurrentPor-Equ Factor Movements'!G201)/100,2))*100</f>
        <v>9649.9902804390349</v>
      </c>
      <c r="D201">
        <f>(3/(1+('CurrentPor-Equ Factor Movements'!C201+'CurrentPor-Equ Factor Movements'!H201)/100)+103/POWER(1+('CurrentPor-Equ Factor Movements'!D201+'CurrentPor-Equ Factor Movements'!H201)/100,2))*100</f>
        <v>9604.6807048775063</v>
      </c>
      <c r="E201">
        <f>(3/(1+('CurrentPor-Equ Factor Movements'!C201+'CurrentPor-Equ Factor Movements'!I201)/100)+103/POWER(1+('CurrentPor-Equ Factor Movements'!D201+'CurrentPor-Equ Factor Movements'!I201)/100,2))*100</f>
        <v>9580.5931539777375</v>
      </c>
      <c r="F201">
        <f>Portfolio!B$5*'CurrentPor-Equ Factor Movements'!E201</f>
        <v>52143.895533915893</v>
      </c>
      <c r="G201">
        <f>Portfolio!B$6*'CurrentPor-Equ Factor Movements'!F201</f>
        <v>3696.2945087936532</v>
      </c>
      <c r="H201">
        <f>Portfolio!B$7*'CurrentPor-Equ Factor Movements'!J201</f>
        <v>2148.0998964419859</v>
      </c>
      <c r="I201">
        <f t="shared" si="6"/>
        <v>96531.139855874659</v>
      </c>
      <c r="J201">
        <f t="shared" si="7"/>
        <v>-16.159758620604407</v>
      </c>
    </row>
    <row r="202" spans="1:10">
      <c r="A202" s="1">
        <v>45751</v>
      </c>
      <c r="B202">
        <f>(3/(1+('CurrentPor-Equ Factor Movements'!C202)/100)+103/POWER(1+('CurrentPor-Equ Factor Movements'!D202)/100,2))*100</f>
        <v>9707.5857774288397</v>
      </c>
      <c r="C202">
        <f>(3/(1+('CurrentPor-Equ Factor Movements'!C202+'CurrentPor-Equ Factor Movements'!G202)/100)+103/POWER(1+('CurrentPor-Equ Factor Movements'!D202+'CurrentPor-Equ Factor Movements'!G202)/100,2))*100</f>
        <v>9655.200658732052</v>
      </c>
      <c r="D202">
        <f>(3/(1+('CurrentPor-Equ Factor Movements'!C202+'CurrentPor-Equ Factor Movements'!H202)/100)+103/POWER(1+('CurrentPor-Equ Factor Movements'!D202+'CurrentPor-Equ Factor Movements'!H202)/100,2))*100</f>
        <v>9594.4475817672246</v>
      </c>
      <c r="E202">
        <f>(3/(1+('CurrentPor-Equ Factor Movements'!C202+'CurrentPor-Equ Factor Movements'!I202)/100)+103/POWER(1+('CurrentPor-Equ Factor Movements'!D202+'CurrentPor-Equ Factor Movements'!I202)/100,2))*100</f>
        <v>9579.580617643187</v>
      </c>
      <c r="F202">
        <f>Portfolio!B$5*'CurrentPor-Equ Factor Movements'!E202</f>
        <v>52143.895533915893</v>
      </c>
      <c r="G202">
        <f>Portfolio!B$6*'CurrentPor-Equ Factor Movements'!F202</f>
        <v>3696.2945087936532</v>
      </c>
      <c r="H202">
        <f>Portfolio!B$7*'CurrentPor-Equ Factor Movements'!J202</f>
        <v>2148.0998964419859</v>
      </c>
      <c r="I202">
        <f t="shared" si="6"/>
        <v>96525.104574722835</v>
      </c>
      <c r="J202">
        <f t="shared" si="7"/>
        <v>3.6261565551685635</v>
      </c>
    </row>
    <row r="203" spans="1:10">
      <c r="A203" s="1">
        <v>45754</v>
      </c>
      <c r="B203">
        <f>(3/(1+('CurrentPor-Equ Factor Movements'!C203)/100)+103/POWER(1+('CurrentPor-Equ Factor Movements'!D203)/100,2))*100</f>
        <v>9707.5857774288397</v>
      </c>
      <c r="C203">
        <f>(3/(1+('CurrentPor-Equ Factor Movements'!C203+'CurrentPor-Equ Factor Movements'!G203)/100)+103/POWER(1+('CurrentPor-Equ Factor Movements'!D203+'CurrentPor-Equ Factor Movements'!G203)/100,2))*100</f>
        <v>9647.4124356729208</v>
      </c>
      <c r="D203">
        <f>(3/(1+('CurrentPor-Equ Factor Movements'!C203+'CurrentPor-Equ Factor Movements'!H203)/100)+103/POWER(1+('CurrentPor-Equ Factor Movements'!D203+'CurrentPor-Equ Factor Movements'!H203)/100,2))*100</f>
        <v>9592.1545286175424</v>
      </c>
      <c r="E203">
        <f>(3/(1+('CurrentPor-Equ Factor Movements'!C203+'CurrentPor-Equ Factor Movements'!I203)/100)+103/POWER(1+('CurrentPor-Equ Factor Movements'!D203+'CurrentPor-Equ Factor Movements'!I203)/100,2))*100</f>
        <v>9580.0890355199026</v>
      </c>
      <c r="F203">
        <f>Portfolio!B$5*'CurrentPor-Equ Factor Movements'!E203</f>
        <v>52143.895533915893</v>
      </c>
      <c r="G203">
        <f>Portfolio!B$6*'CurrentPor-Equ Factor Movements'!F203</f>
        <v>3696.2945087936532</v>
      </c>
      <c r="H203">
        <f>Portfolio!B$7*'CurrentPor-Equ Factor Movements'!J203</f>
        <v>2148.0998964419859</v>
      </c>
      <c r="I203">
        <f t="shared" si="6"/>
        <v>96515.531716390731</v>
      </c>
      <c r="J203">
        <f t="shared" si="7"/>
        <v>-9.8663597529521212</v>
      </c>
    </row>
    <row r="204" spans="1:10">
      <c r="A204" s="1">
        <v>45755</v>
      </c>
      <c r="B204">
        <f>(3/(1+('CurrentPor-Equ Factor Movements'!C204)/100)+103/POWER(1+('CurrentPor-Equ Factor Movements'!D204)/100,2))*100</f>
        <v>9707.5857774288397</v>
      </c>
      <c r="C204">
        <f>(3/(1+('CurrentPor-Equ Factor Movements'!C204+'CurrentPor-Equ Factor Movements'!G204)/100)+103/POWER(1+('CurrentPor-Equ Factor Movements'!D204+'CurrentPor-Equ Factor Movements'!G204)/100,2))*100</f>
        <v>9654.5198898354465</v>
      </c>
      <c r="D204">
        <f>(3/(1+('CurrentPor-Equ Factor Movements'!C204+'CurrentPor-Equ Factor Movements'!H204)/100)+103/POWER(1+('CurrentPor-Equ Factor Movements'!D204+'CurrentPor-Equ Factor Movements'!H204)/100,2))*100</f>
        <v>9602.2104434592766</v>
      </c>
      <c r="E204">
        <f>(3/(1+('CurrentPor-Equ Factor Movements'!C204+'CurrentPor-Equ Factor Movements'!I204)/100)+103/POWER(1+('CurrentPor-Equ Factor Movements'!D204+'CurrentPor-Equ Factor Movements'!I204)/100,2))*100</f>
        <v>9577.4744915782867</v>
      </c>
      <c r="F204">
        <f>Portfolio!B$5*'CurrentPor-Equ Factor Movements'!E204</f>
        <v>52143.895533915893</v>
      </c>
      <c r="G204">
        <f>Portfolio!B$6*'CurrentPor-Equ Factor Movements'!F204</f>
        <v>3696.2945087936532</v>
      </c>
      <c r="H204">
        <f>Portfolio!B$7*'CurrentPor-Equ Factor Movements'!J204</f>
        <v>2148.0998964419859</v>
      </c>
      <c r="I204">
        <f t="shared" si="6"/>
        <v>96530.080541453382</v>
      </c>
      <c r="J204">
        <f t="shared" si="7"/>
        <v>-1.8316981683747144</v>
      </c>
    </row>
    <row r="205" spans="1:10">
      <c r="A205" s="1">
        <v>45756</v>
      </c>
      <c r="B205">
        <f>(3/(1+('CurrentPor-Equ Factor Movements'!C205)/100)+103/POWER(1+('CurrentPor-Equ Factor Movements'!D205)/100,2))*100</f>
        <v>9707.5857774288397</v>
      </c>
      <c r="C205">
        <f>(3/(1+('CurrentPor-Equ Factor Movements'!C205+'CurrentPor-Equ Factor Movements'!G205)/100)+103/POWER(1+('CurrentPor-Equ Factor Movements'!D205+'CurrentPor-Equ Factor Movements'!G205)/100,2))*100</f>
        <v>9646.6206418266629</v>
      </c>
      <c r="D205">
        <f>(3/(1+('CurrentPor-Equ Factor Movements'!C205+'CurrentPor-Equ Factor Movements'!H205)/100)+103/POWER(1+('CurrentPor-Equ Factor Movements'!D205+'CurrentPor-Equ Factor Movements'!H205)/100,2))*100</f>
        <v>9575.6895528802452</v>
      </c>
      <c r="E205">
        <f>(3/(1+('CurrentPor-Equ Factor Movements'!C205+'CurrentPor-Equ Factor Movements'!I205)/100)+103/POWER(1+('CurrentPor-Equ Factor Movements'!D205+'CurrentPor-Equ Factor Movements'!I205)/100,2))*100</f>
        <v>9579.3318572727694</v>
      </c>
      <c r="F205">
        <f>Portfolio!B$5*'CurrentPor-Equ Factor Movements'!E205</f>
        <v>52143.895533915893</v>
      </c>
      <c r="G205">
        <f>Portfolio!B$6*'CurrentPor-Equ Factor Movements'!F205</f>
        <v>3696.2945087936532</v>
      </c>
      <c r="H205">
        <f>Portfolio!B$7*'CurrentPor-Equ Factor Movements'!J205</f>
        <v>2148.0998964419859</v>
      </c>
      <c r="I205">
        <f t="shared" si="6"/>
        <v>96497.51776856005</v>
      </c>
      <c r="J205">
        <f t="shared" si="7"/>
        <v>-23.523254289117176</v>
      </c>
    </row>
    <row r="206" spans="1:10">
      <c r="A206" s="1">
        <v>45757</v>
      </c>
      <c r="B206">
        <f>(3/(1+('CurrentPor-Equ Factor Movements'!C206)/100)+103/POWER(1+('CurrentPor-Equ Factor Movements'!D206)/100,2))*100</f>
        <v>9707.5857774288397</v>
      </c>
      <c r="C206">
        <f>(3/(1+('CurrentPor-Equ Factor Movements'!C206+'CurrentPor-Equ Factor Movements'!G206)/100)+103/POWER(1+('CurrentPor-Equ Factor Movements'!D206+'CurrentPor-Equ Factor Movements'!G206)/100,2))*100</f>
        <v>9634.7033366477299</v>
      </c>
      <c r="D206">
        <f>(3/(1+('CurrentPor-Equ Factor Movements'!C206+'CurrentPor-Equ Factor Movements'!H206)/100)+103/POWER(1+('CurrentPor-Equ Factor Movements'!D206+'CurrentPor-Equ Factor Movements'!H206)/100,2))*100</f>
        <v>9599.1470407770994</v>
      </c>
      <c r="E206">
        <f>(3/(1+('CurrentPor-Equ Factor Movements'!C206+'CurrentPor-Equ Factor Movements'!I206)/100)+103/POWER(1+('CurrentPor-Equ Factor Movements'!D206+'CurrentPor-Equ Factor Movements'!I206)/100,2))*100</f>
        <v>9579.8326749195712</v>
      </c>
      <c r="F206">
        <f>Portfolio!B$5*'CurrentPor-Equ Factor Movements'!E206</f>
        <v>52143.895533915893</v>
      </c>
      <c r="G206">
        <f>Portfolio!B$6*'CurrentPor-Equ Factor Movements'!F206</f>
        <v>3696.2945087936532</v>
      </c>
      <c r="H206">
        <f>Portfolio!B$7*'CurrentPor-Equ Factor Movements'!J206</f>
        <v>2148.0998964419859</v>
      </c>
      <c r="I206">
        <f t="shared" si="6"/>
        <v>96509.558768924777</v>
      </c>
      <c r="J206">
        <f t="shared" si="7"/>
        <v>-19.251642315328354</v>
      </c>
    </row>
    <row r="207" spans="1:10">
      <c r="A207" s="1">
        <v>45758</v>
      </c>
      <c r="B207">
        <f>(3/(1+('CurrentPor-Equ Factor Movements'!C207)/100)+103/POWER(1+('CurrentPor-Equ Factor Movements'!D207)/100,2))*100</f>
        <v>9707.5857774288397</v>
      </c>
      <c r="C207">
        <f>(3/(1+('CurrentPor-Equ Factor Movements'!C207+'CurrentPor-Equ Factor Movements'!G207)/100)+103/POWER(1+('CurrentPor-Equ Factor Movements'!D207+'CurrentPor-Equ Factor Movements'!G207)/100,2))*100</f>
        <v>9647.1932491235348</v>
      </c>
      <c r="D207">
        <f>(3/(1+('CurrentPor-Equ Factor Movements'!C207+'CurrentPor-Equ Factor Movements'!H207)/100)+103/POWER(1+('CurrentPor-Equ Factor Movements'!D207+'CurrentPor-Equ Factor Movements'!H207)/100,2))*100</f>
        <v>9608.8092282369835</v>
      </c>
      <c r="E207">
        <f>(3/(1+('CurrentPor-Equ Factor Movements'!C207+'CurrentPor-Equ Factor Movements'!I207)/100)+103/POWER(1+('CurrentPor-Equ Factor Movements'!D207+'CurrentPor-Equ Factor Movements'!I207)/100,2))*100</f>
        <v>9580.4885829514042</v>
      </c>
      <c r="F207">
        <f>Portfolio!B$5*'CurrentPor-Equ Factor Movements'!E207</f>
        <v>52143.895533915893</v>
      </c>
      <c r="G207">
        <f>Portfolio!B$6*'CurrentPor-Equ Factor Movements'!F207</f>
        <v>3696.2945087936532</v>
      </c>
      <c r="H207">
        <f>Portfolio!B$7*'CurrentPor-Equ Factor Movements'!J207</f>
        <v>2148.0998964419859</v>
      </c>
      <c r="I207">
        <f t="shared" si="6"/>
        <v>96532.36677689229</v>
      </c>
      <c r="J207">
        <f t="shared" si="7"/>
        <v>19.988626145524904</v>
      </c>
    </row>
    <row r="208" spans="1:10">
      <c r="A208" s="1">
        <v>45761</v>
      </c>
      <c r="B208">
        <f>(3/(1+('CurrentPor-Equ Factor Movements'!C208)/100)+103/POWER(1+('CurrentPor-Equ Factor Movements'!D208)/100,2))*100</f>
        <v>9707.5857774288397</v>
      </c>
      <c r="C208">
        <f>(3/(1+('CurrentPor-Equ Factor Movements'!C208+'CurrentPor-Equ Factor Movements'!G208)/100)+103/POWER(1+('CurrentPor-Equ Factor Movements'!D208+'CurrentPor-Equ Factor Movements'!G208)/100,2))*100</f>
        <v>9633.4368832101572</v>
      </c>
      <c r="D208">
        <f>(3/(1+('CurrentPor-Equ Factor Movements'!C208+'CurrentPor-Equ Factor Movements'!H208)/100)+103/POWER(1+('CurrentPor-Equ Factor Movements'!D208+'CurrentPor-Equ Factor Movements'!H208)/100,2))*100</f>
        <v>9587.2812008711026</v>
      </c>
      <c r="E208">
        <f>(3/(1+('CurrentPor-Equ Factor Movements'!C208+'CurrentPor-Equ Factor Movements'!I208)/100)+103/POWER(1+('CurrentPor-Equ Factor Movements'!D208+'CurrentPor-Equ Factor Movements'!I208)/100,2))*100</f>
        <v>9582.2911040117997</v>
      </c>
      <c r="F208">
        <f>Portfolio!B$5*'CurrentPor-Equ Factor Movements'!E208</f>
        <v>52143.895533915893</v>
      </c>
      <c r="G208">
        <f>Portfolio!B$6*'CurrentPor-Equ Factor Movements'!F208</f>
        <v>3696.2945087936532</v>
      </c>
      <c r="H208">
        <f>Portfolio!B$7*'CurrentPor-Equ Factor Movements'!J208</f>
        <v>2148.0998964419859</v>
      </c>
      <c r="I208">
        <f t="shared" si="6"/>
        <v>96498.884904673425</v>
      </c>
      <c r="J208">
        <f t="shared" si="7"/>
        <v>-26.947183255775599</v>
      </c>
    </row>
    <row r="209" spans="1:10">
      <c r="A209" s="1">
        <v>45762</v>
      </c>
      <c r="B209">
        <f>(3/(1+('CurrentPor-Equ Factor Movements'!C209)/100)+103/POWER(1+('CurrentPor-Equ Factor Movements'!D209)/100,2))*100</f>
        <v>9707.5857774288397</v>
      </c>
      <c r="C209">
        <f>(3/(1+('CurrentPor-Equ Factor Movements'!C209+'CurrentPor-Equ Factor Movements'!G209)/100)+103/POWER(1+('CurrentPor-Equ Factor Movements'!D209+'CurrentPor-Equ Factor Movements'!G209)/100,2))*100</f>
        <v>9649.8047479716624</v>
      </c>
      <c r="D209">
        <f>(3/(1+('CurrentPor-Equ Factor Movements'!C209+'CurrentPor-Equ Factor Movements'!H209)/100)+103/POWER(1+('CurrentPor-Equ Factor Movements'!D209+'CurrentPor-Equ Factor Movements'!H209)/100,2))*100</f>
        <v>9597.2389014352339</v>
      </c>
      <c r="E209">
        <f>(3/(1+('CurrentPor-Equ Factor Movements'!C209+'CurrentPor-Equ Factor Movements'!I209)/100)+103/POWER(1+('CurrentPor-Equ Factor Movements'!D209+'CurrentPor-Equ Factor Movements'!I209)/100,2))*100</f>
        <v>9582.2866714527445</v>
      </c>
      <c r="F209">
        <f>Portfolio!B$5*'CurrentPor-Equ Factor Movements'!E209</f>
        <v>52143.895533915893</v>
      </c>
      <c r="G209">
        <f>Portfolio!B$6*'CurrentPor-Equ Factor Movements'!F209</f>
        <v>3696.2945087936532</v>
      </c>
      <c r="H209">
        <f>Portfolio!B$7*'CurrentPor-Equ Factor Movements'!J209</f>
        <v>2148.0998964419859</v>
      </c>
      <c r="I209">
        <f t="shared" si="6"/>
        <v>96525.206037440003</v>
      </c>
      <c r="J209">
        <f t="shared" si="7"/>
        <v>15.106242870242568</v>
      </c>
    </row>
    <row r="210" spans="1:10">
      <c r="A210" s="1">
        <v>45763</v>
      </c>
      <c r="B210">
        <f>(3/(1+('CurrentPor-Equ Factor Movements'!C210)/100)+103/POWER(1+('CurrentPor-Equ Factor Movements'!D210)/100,2))*100</f>
        <v>9707.5857774288397</v>
      </c>
      <c r="C210">
        <f>(3/(1+('CurrentPor-Equ Factor Movements'!C210+'CurrentPor-Equ Factor Movements'!G210)/100)+103/POWER(1+('CurrentPor-Equ Factor Movements'!D210+'CurrentPor-Equ Factor Movements'!G210)/100,2))*100</f>
        <v>9643.9979123927151</v>
      </c>
      <c r="D210">
        <f>(3/(1+('CurrentPor-Equ Factor Movements'!C210+'CurrentPor-Equ Factor Movements'!H210)/100)+103/POWER(1+('CurrentPor-Equ Factor Movements'!D210+'CurrentPor-Equ Factor Movements'!H210)/100,2))*100</f>
        <v>9609.2692128664075</v>
      </c>
      <c r="E210">
        <f>(3/(1+('CurrentPor-Equ Factor Movements'!C210+'CurrentPor-Equ Factor Movements'!I210)/100)+103/POWER(1+('CurrentPor-Equ Factor Movements'!D210+'CurrentPor-Equ Factor Movements'!I210)/100,2))*100</f>
        <v>9580.4366410927123</v>
      </c>
      <c r="F210">
        <f>Portfolio!B$5*'CurrentPor-Equ Factor Movements'!E210</f>
        <v>52143.895533915893</v>
      </c>
      <c r="G210">
        <f>Portfolio!B$6*'CurrentPor-Equ Factor Movements'!F210</f>
        <v>3696.2945087936532</v>
      </c>
      <c r="H210">
        <f>Portfolio!B$7*'CurrentPor-Equ Factor Movements'!J210</f>
        <v>2148.0998964419859</v>
      </c>
      <c r="I210">
        <f t="shared" si="6"/>
        <v>96529.579482932211</v>
      </c>
      <c r="J210">
        <f t="shared" si="7"/>
        <v>23.612808659672737</v>
      </c>
    </row>
    <row r="211" spans="1:10">
      <c r="A211" s="1">
        <v>45764</v>
      </c>
      <c r="B211">
        <f>(3/(1+('CurrentPor-Equ Factor Movements'!C211)/100)+103/POWER(1+('CurrentPor-Equ Factor Movements'!D211)/100,2))*100</f>
        <v>9707.5857774288397</v>
      </c>
      <c r="C211">
        <f>(3/(1+('CurrentPor-Equ Factor Movements'!C211+'CurrentPor-Equ Factor Movements'!G211)/100)+103/POWER(1+('CurrentPor-Equ Factor Movements'!D211+'CurrentPor-Equ Factor Movements'!G211)/100,2))*100</f>
        <v>9639.9980040705886</v>
      </c>
      <c r="D211">
        <f>(3/(1+('CurrentPor-Equ Factor Movements'!C211+'CurrentPor-Equ Factor Movements'!H211)/100)+103/POWER(1+('CurrentPor-Equ Factor Movements'!D211+'CurrentPor-Equ Factor Movements'!H211)/100,2))*100</f>
        <v>9607.2616685294888</v>
      </c>
      <c r="E211">
        <f>(3/(1+('CurrentPor-Equ Factor Movements'!C211+'CurrentPor-Equ Factor Movements'!I211)/100)+103/POWER(1+('CurrentPor-Equ Factor Movements'!D211+'CurrentPor-Equ Factor Movements'!I211)/100,2))*100</f>
        <v>9580.8447310471183</v>
      </c>
      <c r="F211">
        <f>Portfolio!B$5*'CurrentPor-Equ Factor Movements'!E211</f>
        <v>52143.895533915893</v>
      </c>
      <c r="G211">
        <f>Portfolio!B$6*'CurrentPor-Equ Factor Movements'!F211</f>
        <v>3696.2945087936532</v>
      </c>
      <c r="H211">
        <f>Portfolio!B$7*'CurrentPor-Equ Factor Movements'!J211</f>
        <v>2148.0998964419859</v>
      </c>
      <c r="I211">
        <f t="shared" si="6"/>
        <v>96523.98012022757</v>
      </c>
      <c r="J211">
        <f t="shared" si="7"/>
        <v>-7.1597356470883824</v>
      </c>
    </row>
    <row r="212" spans="1:10">
      <c r="A212" s="1">
        <v>45765</v>
      </c>
      <c r="B212">
        <f>(3/(1+('CurrentPor-Equ Factor Movements'!C212)/100)+103/POWER(1+('CurrentPor-Equ Factor Movements'!D212)/100,2))*100</f>
        <v>9707.5857774288397</v>
      </c>
      <c r="C212">
        <f>(3/(1+('CurrentPor-Equ Factor Movements'!C212+'CurrentPor-Equ Factor Movements'!G212)/100)+103/POWER(1+('CurrentPor-Equ Factor Movements'!D212+'CurrentPor-Equ Factor Movements'!G212)/100,2))*100</f>
        <v>9639.5034991930734</v>
      </c>
      <c r="D212">
        <f>(3/(1+('CurrentPor-Equ Factor Movements'!C212+'CurrentPor-Equ Factor Movements'!H212)/100)+103/POWER(1+('CurrentPor-Equ Factor Movements'!D212+'CurrentPor-Equ Factor Movements'!H212)/100,2))*100</f>
        <v>9598.8375028257615</v>
      </c>
      <c r="E212">
        <f>(3/(1+('CurrentPor-Equ Factor Movements'!C212+'CurrentPor-Equ Factor Movements'!I212)/100)+103/POWER(1+('CurrentPor-Equ Factor Movements'!D212+'CurrentPor-Equ Factor Movements'!I212)/100,2))*100</f>
        <v>9579.5132129173362</v>
      </c>
      <c r="F212">
        <f>Portfolio!B$5*'CurrentPor-Equ Factor Movements'!E212</f>
        <v>52143.895533915893</v>
      </c>
      <c r="G212">
        <f>Portfolio!B$6*'CurrentPor-Equ Factor Movements'!F212</f>
        <v>3696.2945087936532</v>
      </c>
      <c r="H212">
        <f>Portfolio!B$7*'CurrentPor-Equ Factor Movements'!J212</f>
        <v>2148.0998964419859</v>
      </c>
      <c r="I212">
        <f t="shared" si="6"/>
        <v>96513.729931516529</v>
      </c>
      <c r="J212">
        <f t="shared" si="7"/>
        <v>-11.374643206305336</v>
      </c>
    </row>
    <row r="213" spans="1:10">
      <c r="A213" s="1">
        <v>45768</v>
      </c>
      <c r="B213">
        <f>(3/(1+('CurrentPor-Equ Factor Movements'!C213)/100)+103/POWER(1+('CurrentPor-Equ Factor Movements'!D213)/100,2))*100</f>
        <v>9707.5857774288397</v>
      </c>
      <c r="C213">
        <f>(3/(1+('CurrentPor-Equ Factor Movements'!C213+'CurrentPor-Equ Factor Movements'!G213)/100)+103/POWER(1+('CurrentPor-Equ Factor Movements'!D213+'CurrentPor-Equ Factor Movements'!G213)/100,2))*100</f>
        <v>9642.0509443110041</v>
      </c>
      <c r="D213">
        <f>(3/(1+('CurrentPor-Equ Factor Movements'!C213+'CurrentPor-Equ Factor Movements'!H213)/100)+103/POWER(1+('CurrentPor-Equ Factor Movements'!D213+'CurrentPor-Equ Factor Movements'!H213)/100,2))*100</f>
        <v>9605.445928657351</v>
      </c>
      <c r="E213">
        <f>(3/(1+('CurrentPor-Equ Factor Movements'!C213+'CurrentPor-Equ Factor Movements'!I213)/100)+103/POWER(1+('CurrentPor-Equ Factor Movements'!D213+'CurrentPor-Equ Factor Movements'!I213)/100,2))*100</f>
        <v>9580.0160112982776</v>
      </c>
      <c r="F213">
        <f>Portfolio!B$5*'CurrentPor-Equ Factor Movements'!E213</f>
        <v>52143.895533915893</v>
      </c>
      <c r="G213">
        <f>Portfolio!B$6*'CurrentPor-Equ Factor Movements'!F213</f>
        <v>3696.2945087936532</v>
      </c>
      <c r="H213">
        <f>Portfolio!B$7*'CurrentPor-Equ Factor Movements'!J213</f>
        <v>2148.0998964419859</v>
      </c>
      <c r="I213">
        <f t="shared" si="6"/>
        <v>96523.388600847</v>
      </c>
      <c r="J213">
        <f t="shared" si="7"/>
        <v>7.8568844562687445</v>
      </c>
    </row>
    <row r="214" spans="1:10">
      <c r="A214" s="1">
        <v>45769</v>
      </c>
      <c r="B214">
        <f>(3/(1+('CurrentPor-Equ Factor Movements'!C214)/100)+103/POWER(1+('CurrentPor-Equ Factor Movements'!D214)/100,2))*100</f>
        <v>9707.5857774288397</v>
      </c>
      <c r="C214">
        <f>(3/(1+('CurrentPor-Equ Factor Movements'!C214+'CurrentPor-Equ Factor Movements'!G214)/100)+103/POWER(1+('CurrentPor-Equ Factor Movements'!D214+'CurrentPor-Equ Factor Movements'!G214)/100,2))*100</f>
        <v>9652.6575591464825</v>
      </c>
      <c r="D214">
        <f>(3/(1+('CurrentPor-Equ Factor Movements'!C214+'CurrentPor-Equ Factor Movements'!H214)/100)+103/POWER(1+('CurrentPor-Equ Factor Movements'!D214+'CurrentPor-Equ Factor Movements'!H214)/100,2))*100</f>
        <v>9612.6754825690132</v>
      </c>
      <c r="E214">
        <f>(3/(1+('CurrentPor-Equ Factor Movements'!C214+'CurrentPor-Equ Factor Movements'!I214)/100)+103/POWER(1+('CurrentPor-Equ Factor Movements'!D214+'CurrentPor-Equ Factor Movements'!I214)/100,2))*100</f>
        <v>9580.6461702907818</v>
      </c>
      <c r="F214">
        <f>Portfolio!B$5*'CurrentPor-Equ Factor Movements'!E214</f>
        <v>52143.895533915893</v>
      </c>
      <c r="G214">
        <f>Portfolio!B$6*'CurrentPor-Equ Factor Movements'!F214</f>
        <v>3696.2945087936532</v>
      </c>
      <c r="H214">
        <f>Portfolio!B$7*'CurrentPor-Equ Factor Movements'!J214</f>
        <v>2148.0998964419859</v>
      </c>
      <c r="I214">
        <f t="shared" si="6"/>
        <v>96541.854928586647</v>
      </c>
      <c r="J214">
        <f t="shared" si="7"/>
        <v>11.774387133264099</v>
      </c>
    </row>
    <row r="215" spans="1:10">
      <c r="A215" s="1">
        <v>45770</v>
      </c>
      <c r="B215">
        <f>(3/(1+('CurrentPor-Equ Factor Movements'!C215)/100)+103/POWER(1+('CurrentPor-Equ Factor Movements'!D215)/100,2))*100</f>
        <v>9707.5857774288397</v>
      </c>
      <c r="C215">
        <f>(3/(1+('CurrentPor-Equ Factor Movements'!C215+'CurrentPor-Equ Factor Movements'!G215)/100)+103/POWER(1+('CurrentPor-Equ Factor Movements'!D215+'CurrentPor-Equ Factor Movements'!G215)/100,2))*100</f>
        <v>9644.5302009398765</v>
      </c>
      <c r="D215">
        <f>(3/(1+('CurrentPor-Equ Factor Movements'!C215+'CurrentPor-Equ Factor Movements'!H215)/100)+103/POWER(1+('CurrentPor-Equ Factor Movements'!D215+'CurrentPor-Equ Factor Movements'!H215)/100,2))*100</f>
        <v>9591.0603875672477</v>
      </c>
      <c r="E215">
        <f>(3/(1+('CurrentPor-Equ Factor Movements'!C215+'CurrentPor-Equ Factor Movements'!I215)/100)+103/POWER(1+('CurrentPor-Equ Factor Movements'!D215+'CurrentPor-Equ Factor Movements'!I215)/100,2))*100</f>
        <v>9581.1060732120277</v>
      </c>
      <c r="F215">
        <f>Portfolio!B$5*'CurrentPor-Equ Factor Movements'!E215</f>
        <v>52143.895533915893</v>
      </c>
      <c r="G215">
        <f>Portfolio!B$6*'CurrentPor-Equ Factor Movements'!F215</f>
        <v>3696.2945087936532</v>
      </c>
      <c r="H215">
        <f>Portfolio!B$7*'CurrentPor-Equ Factor Movements'!J215</f>
        <v>2148.0998964419859</v>
      </c>
      <c r="I215">
        <f t="shared" si="6"/>
        <v>96512.572378299534</v>
      </c>
      <c r="J215">
        <f t="shared" si="7"/>
        <v>15.054609739483567</v>
      </c>
    </row>
    <row r="216" spans="1:10">
      <c r="A216" s="1">
        <v>45771</v>
      </c>
      <c r="B216">
        <f>(3/(1+('CurrentPor-Equ Factor Movements'!C216)/100)+103/POWER(1+('CurrentPor-Equ Factor Movements'!D216)/100,2))*100</f>
        <v>9707.5857774288397</v>
      </c>
      <c r="C216">
        <f>(3/(1+('CurrentPor-Equ Factor Movements'!C216+'CurrentPor-Equ Factor Movements'!G216)/100)+103/POWER(1+('CurrentPor-Equ Factor Movements'!D216+'CurrentPor-Equ Factor Movements'!G216)/100,2))*100</f>
        <v>9626.1882367315247</v>
      </c>
      <c r="D216">
        <f>(3/(1+('CurrentPor-Equ Factor Movements'!C216+'CurrentPor-Equ Factor Movements'!H216)/100)+103/POWER(1+('CurrentPor-Equ Factor Movements'!D216+'CurrentPor-Equ Factor Movements'!H216)/100,2))*100</f>
        <v>9613.7113936162423</v>
      </c>
      <c r="E216">
        <f>(3/(1+('CurrentPor-Equ Factor Movements'!C216+'CurrentPor-Equ Factor Movements'!I216)/100)+103/POWER(1+('CurrentPor-Equ Factor Movements'!D216+'CurrentPor-Equ Factor Movements'!I216)/100,2))*100</f>
        <v>9579.9643646704317</v>
      </c>
      <c r="F216">
        <f>Portfolio!B$5*'CurrentPor-Equ Factor Movements'!E216</f>
        <v>52143.895533915893</v>
      </c>
      <c r="G216">
        <f>Portfolio!B$6*'CurrentPor-Equ Factor Movements'!F216</f>
        <v>3696.2945087936532</v>
      </c>
      <c r="H216">
        <f>Portfolio!B$7*'CurrentPor-Equ Factor Movements'!J216</f>
        <v>2148.0998964419859</v>
      </c>
      <c r="I216">
        <f t="shared" si="6"/>
        <v>96515.739711598566</v>
      </c>
      <c r="J216">
        <f t="shared" si="7"/>
        <v>6.1809426737891044</v>
      </c>
    </row>
    <row r="217" spans="1:10">
      <c r="A217" s="1">
        <v>45772</v>
      </c>
      <c r="B217">
        <f>(3/(1+('CurrentPor-Equ Factor Movements'!C217)/100)+103/POWER(1+('CurrentPor-Equ Factor Movements'!D217)/100,2))*100</f>
        <v>9707.5857774288397</v>
      </c>
      <c r="C217">
        <f>(3/(1+('CurrentPor-Equ Factor Movements'!C217+'CurrentPor-Equ Factor Movements'!G217)/100)+103/POWER(1+('CurrentPor-Equ Factor Movements'!D217+'CurrentPor-Equ Factor Movements'!G217)/100,2))*100</f>
        <v>9641.8705028039603</v>
      </c>
      <c r="D217">
        <f>(3/(1+('CurrentPor-Equ Factor Movements'!C217+'CurrentPor-Equ Factor Movements'!H217)/100)+103/POWER(1+('CurrentPor-Equ Factor Movements'!D217+'CurrentPor-Equ Factor Movements'!H217)/100,2))*100</f>
        <v>9594.564727189756</v>
      </c>
      <c r="E217">
        <f>(3/(1+('CurrentPor-Equ Factor Movements'!C217+'CurrentPor-Equ Factor Movements'!I217)/100)+103/POWER(1+('CurrentPor-Equ Factor Movements'!D217+'CurrentPor-Equ Factor Movements'!I217)/100,2))*100</f>
        <v>9581.2738336585917</v>
      </c>
      <c r="F217">
        <f>Portfolio!B$5*'CurrentPor-Equ Factor Movements'!E217</f>
        <v>52143.895533915893</v>
      </c>
      <c r="G217">
        <f>Portfolio!B$6*'CurrentPor-Equ Factor Movements'!F217</f>
        <v>3696.2945087936532</v>
      </c>
      <c r="H217">
        <f>Portfolio!B$7*'CurrentPor-Equ Factor Movements'!J217</f>
        <v>2148.0998964419859</v>
      </c>
      <c r="I217">
        <f t="shared" si="6"/>
        <v>96513.584780232675</v>
      </c>
      <c r="J217">
        <f t="shared" si="7"/>
        <v>-18.781996659614379</v>
      </c>
    </row>
    <row r="218" spans="1:10">
      <c r="A218" s="1">
        <v>45775</v>
      </c>
      <c r="B218">
        <f>(3/(1+('CurrentPor-Equ Factor Movements'!C218)/100)+103/POWER(1+('CurrentPor-Equ Factor Movements'!D218)/100,2))*100</f>
        <v>9707.5857774288397</v>
      </c>
      <c r="C218">
        <f>(3/(1+('CurrentPor-Equ Factor Movements'!C218+'CurrentPor-Equ Factor Movements'!G218)/100)+103/POWER(1+('CurrentPor-Equ Factor Movements'!D218+'CurrentPor-Equ Factor Movements'!G218)/100,2))*100</f>
        <v>9647.8390182945259</v>
      </c>
      <c r="D218">
        <f>(3/(1+('CurrentPor-Equ Factor Movements'!C218+'CurrentPor-Equ Factor Movements'!H218)/100)+103/POWER(1+('CurrentPor-Equ Factor Movements'!D218+'CurrentPor-Equ Factor Movements'!H218)/100,2))*100</f>
        <v>9610.4476064957453</v>
      </c>
      <c r="E218">
        <f>(3/(1+('CurrentPor-Equ Factor Movements'!C218+'CurrentPor-Equ Factor Movements'!I218)/100)+103/POWER(1+('CurrentPor-Equ Factor Movements'!D218+'CurrentPor-Equ Factor Movements'!I218)/100,2))*100</f>
        <v>9581.7461701869233</v>
      </c>
      <c r="F218">
        <f>Portfolio!B$5*'CurrentPor-Equ Factor Movements'!E218</f>
        <v>52143.895533915893</v>
      </c>
      <c r="G218">
        <f>Portfolio!B$6*'CurrentPor-Equ Factor Movements'!F218</f>
        <v>3696.2945087936532</v>
      </c>
      <c r="H218">
        <f>Portfolio!B$7*'CurrentPor-Equ Factor Movements'!J218</f>
        <v>2148.0998964419859</v>
      </c>
      <c r="I218">
        <f t="shared" si="6"/>
        <v>96535.908511557573</v>
      </c>
      <c r="J218">
        <f t="shared" si="7"/>
        <v>37.023606884147739</v>
      </c>
    </row>
    <row r="219" spans="1:10">
      <c r="A219" s="1">
        <v>45776</v>
      </c>
      <c r="B219">
        <f>(3/(1+('CurrentPor-Equ Factor Movements'!C219)/100)+103/POWER(1+('CurrentPor-Equ Factor Movements'!D219)/100,2))*100</f>
        <v>9707.5857774288397</v>
      </c>
      <c r="C219">
        <f>(3/(1+('CurrentPor-Equ Factor Movements'!C219+'CurrentPor-Equ Factor Movements'!G219)/100)+103/POWER(1+('CurrentPor-Equ Factor Movements'!D219+'CurrentPor-Equ Factor Movements'!G219)/100,2))*100</f>
        <v>9639.5905880257851</v>
      </c>
      <c r="D219">
        <f>(3/(1+('CurrentPor-Equ Factor Movements'!C219+'CurrentPor-Equ Factor Movements'!H219)/100)+103/POWER(1+('CurrentPor-Equ Factor Movements'!D219+'CurrentPor-Equ Factor Movements'!H219)/100,2))*100</f>
        <v>9611.3718539671845</v>
      </c>
      <c r="E219">
        <f>(3/(1+('CurrentPor-Equ Factor Movements'!C219+'CurrentPor-Equ Factor Movements'!I219)/100)+103/POWER(1+('CurrentPor-Equ Factor Movements'!D219+'CurrentPor-Equ Factor Movements'!I219)/100,2))*100</f>
        <v>9580.1848347560372</v>
      </c>
      <c r="F219">
        <f>Portfolio!B$5*'CurrentPor-Equ Factor Movements'!E219</f>
        <v>52143.895533915893</v>
      </c>
      <c r="G219">
        <f>Portfolio!B$6*'CurrentPor-Equ Factor Movements'!F219</f>
        <v>3696.2945087936532</v>
      </c>
      <c r="H219">
        <f>Portfolio!B$7*'CurrentPor-Equ Factor Movements'!J219</f>
        <v>2148.0998964419859</v>
      </c>
      <c r="I219">
        <f t="shared" si="6"/>
        <v>96527.022993329374</v>
      </c>
      <c r="J219">
        <f t="shared" si="7"/>
        <v>1.8169558893714566</v>
      </c>
    </row>
    <row r="220" spans="1:10">
      <c r="A220" s="1">
        <v>45777</v>
      </c>
      <c r="B220">
        <f>(3/(1+('CurrentPor-Equ Factor Movements'!C220)/100)+103/POWER(1+('CurrentPor-Equ Factor Movements'!D220)/100,2))*100</f>
        <v>9707.5857774288397</v>
      </c>
      <c r="C220">
        <f>(3/(1+('CurrentPor-Equ Factor Movements'!C220+'CurrentPor-Equ Factor Movements'!G220)/100)+103/POWER(1+('CurrentPor-Equ Factor Movements'!D220+'CurrentPor-Equ Factor Movements'!G220)/100,2))*100</f>
        <v>9645.1015144982321</v>
      </c>
      <c r="D220">
        <f>(3/(1+('CurrentPor-Equ Factor Movements'!C220+'CurrentPor-Equ Factor Movements'!H220)/100)+103/POWER(1+('CurrentPor-Equ Factor Movements'!D220+'CurrentPor-Equ Factor Movements'!H220)/100,2))*100</f>
        <v>9610.637222203186</v>
      </c>
      <c r="E220">
        <f>(3/(1+('CurrentPor-Equ Factor Movements'!C220+'CurrentPor-Equ Factor Movements'!I220)/100)+103/POWER(1+('CurrentPor-Equ Factor Movements'!D220+'CurrentPor-Equ Factor Movements'!I220)/100,2))*100</f>
        <v>9579.8196664277166</v>
      </c>
      <c r="F220">
        <f>Portfolio!B$5*'CurrentPor-Equ Factor Movements'!E220</f>
        <v>52143.895533915893</v>
      </c>
      <c r="G220">
        <f>Portfolio!B$6*'CurrentPor-Equ Factor Movements'!F220</f>
        <v>3696.2945087936532</v>
      </c>
      <c r="H220">
        <f>Portfolio!B$7*'CurrentPor-Equ Factor Movements'!J220</f>
        <v>2148.0998964419859</v>
      </c>
      <c r="I220">
        <f t="shared" si="6"/>
        <v>96531.434119709505</v>
      </c>
      <c r="J220">
        <f t="shared" si="7"/>
        <v>1.8546367772942176</v>
      </c>
    </row>
    <row r="221" spans="1:10">
      <c r="A221" s="1">
        <v>45778</v>
      </c>
      <c r="B221">
        <f>(3/(1+('CurrentPor-Equ Factor Movements'!C221)/100)+103/POWER(1+('CurrentPor-Equ Factor Movements'!D221)/100,2))*100</f>
        <v>9707.5857774288397</v>
      </c>
      <c r="C221">
        <f>(3/(1+('CurrentPor-Equ Factor Movements'!C221+'CurrentPor-Equ Factor Movements'!G221)/100)+103/POWER(1+('CurrentPor-Equ Factor Movements'!D221+'CurrentPor-Equ Factor Movements'!G221)/100,2))*100</f>
        <v>9644.4796778694363</v>
      </c>
      <c r="D221">
        <f>(3/(1+('CurrentPor-Equ Factor Movements'!C221+'CurrentPor-Equ Factor Movements'!H221)/100)+103/POWER(1+('CurrentPor-Equ Factor Movements'!D221+'CurrentPor-Equ Factor Movements'!H221)/100,2))*100</f>
        <v>9608.9736424990479</v>
      </c>
      <c r="E221">
        <f>(3/(1+('CurrentPor-Equ Factor Movements'!C221+'CurrentPor-Equ Factor Movements'!I221)/100)+103/POWER(1+('CurrentPor-Equ Factor Movements'!D221+'CurrentPor-Equ Factor Movements'!I221)/100,2))*100</f>
        <v>9582.0116488298263</v>
      </c>
      <c r="F221">
        <f>Portfolio!B$5*'CurrentPor-Equ Factor Movements'!E221</f>
        <v>52143.895533915893</v>
      </c>
      <c r="G221">
        <f>Portfolio!B$6*'CurrentPor-Equ Factor Movements'!F221</f>
        <v>3696.2945087936532</v>
      </c>
      <c r="H221">
        <f>Portfolio!B$7*'CurrentPor-Equ Factor Movements'!J221</f>
        <v>2148.0998964419859</v>
      </c>
      <c r="I221">
        <f t="shared" si="6"/>
        <v>96531.34068577869</v>
      </c>
      <c r="J221">
        <f t="shared" si="7"/>
        <v>7.3605655511200894</v>
      </c>
    </row>
    <row r="222" spans="1:10">
      <c r="A222" s="1">
        <v>45779</v>
      </c>
      <c r="B222">
        <f>(3/(1+('CurrentPor-Equ Factor Movements'!C222)/100)+103/POWER(1+('CurrentPor-Equ Factor Movements'!D222)/100,2))*100</f>
        <v>9707.5857774288397</v>
      </c>
      <c r="C222">
        <f>(3/(1+('CurrentPor-Equ Factor Movements'!C222+'CurrentPor-Equ Factor Movements'!G222)/100)+103/POWER(1+('CurrentPor-Equ Factor Movements'!D222+'CurrentPor-Equ Factor Movements'!G222)/100,2))*100</f>
        <v>9650.7244348274071</v>
      </c>
      <c r="D222">
        <f>(3/(1+('CurrentPor-Equ Factor Movements'!C222+'CurrentPor-Equ Factor Movements'!H222)/100)+103/POWER(1+('CurrentPor-Equ Factor Movements'!D222+'CurrentPor-Equ Factor Movements'!H222)/100,2))*100</f>
        <v>9585.6351176792741</v>
      </c>
      <c r="E222">
        <f>(3/(1+('CurrentPor-Equ Factor Movements'!C222+'CurrentPor-Equ Factor Movements'!I222)/100)+103/POWER(1+('CurrentPor-Equ Factor Movements'!D222+'CurrentPor-Equ Factor Movements'!I222)/100,2))*100</f>
        <v>9582.1326987173798</v>
      </c>
      <c r="F222">
        <f>Portfolio!B$5*'CurrentPor-Equ Factor Movements'!E222</f>
        <v>52143.895533915893</v>
      </c>
      <c r="G222">
        <f>Portfolio!B$6*'CurrentPor-Equ Factor Movements'!F222</f>
        <v>3696.2945087936532</v>
      </c>
      <c r="H222">
        <f>Portfolio!B$7*'CurrentPor-Equ Factor Movements'!J222</f>
        <v>2148.0998964419859</v>
      </c>
      <c r="I222">
        <f t="shared" si="6"/>
        <v>96514.367967804443</v>
      </c>
      <c r="J222">
        <f t="shared" si="7"/>
        <v>0.63803628791356459</v>
      </c>
    </row>
    <row r="223" spans="1:10">
      <c r="A223" s="1">
        <v>45782</v>
      </c>
      <c r="B223">
        <f>(3/(1+('CurrentPor-Equ Factor Movements'!C223)/100)+103/POWER(1+('CurrentPor-Equ Factor Movements'!D223)/100,2))*100</f>
        <v>9707.5857774288397</v>
      </c>
      <c r="C223">
        <f>(3/(1+('CurrentPor-Equ Factor Movements'!C223+'CurrentPor-Equ Factor Movements'!G223)/100)+103/POWER(1+('CurrentPor-Equ Factor Movements'!D223+'CurrentPor-Equ Factor Movements'!G223)/100,2))*100</f>
        <v>9641.0591063330576</v>
      </c>
      <c r="D223">
        <f>(3/(1+('CurrentPor-Equ Factor Movements'!C223+'CurrentPor-Equ Factor Movements'!H223)/100)+103/POWER(1+('CurrentPor-Equ Factor Movements'!D223+'CurrentPor-Equ Factor Movements'!H223)/100,2))*100</f>
        <v>9595.2798181774815</v>
      </c>
      <c r="E223">
        <f>(3/(1+('CurrentPor-Equ Factor Movements'!C223+'CurrentPor-Equ Factor Movements'!I223)/100)+103/POWER(1+('CurrentPor-Equ Factor Movements'!D223+'CurrentPor-Equ Factor Movements'!I223)/100,2))*100</f>
        <v>9581.3670498975716</v>
      </c>
      <c r="F223">
        <f>Portfolio!B$5*'CurrentPor-Equ Factor Movements'!E223</f>
        <v>52143.895533915893</v>
      </c>
      <c r="G223">
        <f>Portfolio!B$6*'CurrentPor-Equ Factor Movements'!F223</f>
        <v>3696.2945087936532</v>
      </c>
      <c r="H223">
        <f>Portfolio!B$7*'CurrentPor-Equ Factor Movements'!J223</f>
        <v>2148.0998964419859</v>
      </c>
      <c r="I223">
        <f t="shared" si="6"/>
        <v>96513.581690988489</v>
      </c>
      <c r="J223">
        <f t="shared" si="7"/>
        <v>-9.8069098585110623</v>
      </c>
    </row>
    <row r="224" spans="1:10">
      <c r="A224" s="1">
        <v>45783</v>
      </c>
      <c r="B224">
        <f>(3/(1+('CurrentPor-Equ Factor Movements'!C224)/100)+103/POWER(1+('CurrentPor-Equ Factor Movements'!D224)/100,2))*100</f>
        <v>9707.5857774288397</v>
      </c>
      <c r="C224">
        <f>(3/(1+('CurrentPor-Equ Factor Movements'!C224+'CurrentPor-Equ Factor Movements'!G224)/100)+103/POWER(1+('CurrentPor-Equ Factor Movements'!D224+'CurrentPor-Equ Factor Movements'!G224)/100,2))*100</f>
        <v>9652.3563005486722</v>
      </c>
      <c r="D224">
        <f>(3/(1+('CurrentPor-Equ Factor Movements'!C224+'CurrentPor-Equ Factor Movements'!H224)/100)+103/POWER(1+('CurrentPor-Equ Factor Movements'!D224+'CurrentPor-Equ Factor Movements'!H224)/100,2))*100</f>
        <v>9600.7052993837169</v>
      </c>
      <c r="E224">
        <f>(3/(1+('CurrentPor-Equ Factor Movements'!C224+'CurrentPor-Equ Factor Movements'!I224)/100)+103/POWER(1+('CurrentPor-Equ Factor Movements'!D224+'CurrentPor-Equ Factor Movements'!I224)/100,2))*100</f>
        <v>9580.5783462320705</v>
      </c>
      <c r="F224">
        <f>Portfolio!B$5*'CurrentPor-Equ Factor Movements'!E224</f>
        <v>52143.895533915893</v>
      </c>
      <c r="G224">
        <f>Portfolio!B$6*'CurrentPor-Equ Factor Movements'!F224</f>
        <v>3696.2945087936532</v>
      </c>
      <c r="H224">
        <f>Portfolio!B$7*'CurrentPor-Equ Factor Movements'!J224</f>
        <v>2148.0998964419859</v>
      </c>
      <c r="I224">
        <f t="shared" si="6"/>
        <v>96529.51566274483</v>
      </c>
      <c r="J224">
        <f t="shared" si="7"/>
        <v>-12.339265841816086</v>
      </c>
    </row>
    <row r="225" spans="1:10">
      <c r="A225" s="1">
        <v>45784</v>
      </c>
      <c r="B225">
        <f>(3/(1+('CurrentPor-Equ Factor Movements'!C225)/100)+103/POWER(1+('CurrentPor-Equ Factor Movements'!D225)/100,2))*100</f>
        <v>9707.5857774288397</v>
      </c>
      <c r="C225">
        <f>(3/(1+('CurrentPor-Equ Factor Movements'!C225+'CurrentPor-Equ Factor Movements'!G225)/100)+103/POWER(1+('CurrentPor-Equ Factor Movements'!D225+'CurrentPor-Equ Factor Movements'!G225)/100,2))*100</f>
        <v>9629.1985445241935</v>
      </c>
      <c r="D225">
        <f>(3/(1+('CurrentPor-Equ Factor Movements'!C225+'CurrentPor-Equ Factor Movements'!H225)/100)+103/POWER(1+('CurrentPor-Equ Factor Movements'!D225+'CurrentPor-Equ Factor Movements'!H225)/100,2))*100</f>
        <v>9606.0650582133603</v>
      </c>
      <c r="E225">
        <f>(3/(1+('CurrentPor-Equ Factor Movements'!C225+'CurrentPor-Equ Factor Movements'!I225)/100)+103/POWER(1+('CurrentPor-Equ Factor Movements'!D225+'CurrentPor-Equ Factor Movements'!I225)/100,2))*100</f>
        <v>9579.4241231332035</v>
      </c>
      <c r="F225">
        <f>Portfolio!B$5*'CurrentPor-Equ Factor Movements'!E225</f>
        <v>52143.895533915893</v>
      </c>
      <c r="G225">
        <f>Portfolio!B$6*'CurrentPor-Equ Factor Movements'!F225</f>
        <v>3696.2945087936532</v>
      </c>
      <c r="H225">
        <f>Portfolio!B$7*'CurrentPor-Equ Factor Movements'!J225</f>
        <v>2148.0998964419859</v>
      </c>
      <c r="I225">
        <f t="shared" si="6"/>
        <v>96510.563442451137</v>
      </c>
      <c r="J225">
        <f t="shared" si="7"/>
        <v>-2.0089358483965043</v>
      </c>
    </row>
    <row r="226" spans="1:10">
      <c r="A226" s="1">
        <v>45785</v>
      </c>
      <c r="B226">
        <f>(3/(1+('CurrentPor-Equ Factor Movements'!C226)/100)+103/POWER(1+('CurrentPor-Equ Factor Movements'!D226)/100,2))*100</f>
        <v>9707.5857774288397</v>
      </c>
      <c r="C226">
        <f>(3/(1+('CurrentPor-Equ Factor Movements'!C226+'CurrentPor-Equ Factor Movements'!G226)/100)+103/POWER(1+('CurrentPor-Equ Factor Movements'!D226+'CurrentPor-Equ Factor Movements'!G226)/100,2))*100</f>
        <v>9657.7862016212403</v>
      </c>
      <c r="D226">
        <f>(3/(1+('CurrentPor-Equ Factor Movements'!C226+'CurrentPor-Equ Factor Movements'!H226)/100)+103/POWER(1+('CurrentPor-Equ Factor Movements'!D226+'CurrentPor-Equ Factor Movements'!H226)/100,2))*100</f>
        <v>9594.9564080463606</v>
      </c>
      <c r="E226">
        <f>(3/(1+('CurrentPor-Equ Factor Movements'!C226+'CurrentPor-Equ Factor Movements'!I226)/100)+103/POWER(1+('CurrentPor-Equ Factor Movements'!D226+'CurrentPor-Equ Factor Movements'!I226)/100,2))*100</f>
        <v>9579.3005286208645</v>
      </c>
      <c r="F226">
        <f>Portfolio!B$5*'CurrentPor-Equ Factor Movements'!E226</f>
        <v>52143.895533915893</v>
      </c>
      <c r="G226">
        <f>Portfolio!B$6*'CurrentPor-Equ Factor Movements'!F226</f>
        <v>3696.2945087936532</v>
      </c>
      <c r="H226">
        <f>Portfolio!B$7*'CurrentPor-Equ Factor Movements'!J226</f>
        <v>2148.0998964419859</v>
      </c>
      <c r="I226">
        <f t="shared" si="6"/>
        <v>96527.91885486884</v>
      </c>
      <c r="J226">
        <f t="shared" si="7"/>
        <v>12.179143270273926</v>
      </c>
    </row>
    <row r="227" spans="1:10">
      <c r="A227" s="1">
        <v>45786</v>
      </c>
      <c r="B227">
        <f>(3/(1+('CurrentPor-Equ Factor Movements'!C227)/100)+103/POWER(1+('CurrentPor-Equ Factor Movements'!D227)/100,2))*100</f>
        <v>9707.5857774288397</v>
      </c>
      <c r="C227">
        <f>(3/(1+('CurrentPor-Equ Factor Movements'!C227+'CurrentPor-Equ Factor Movements'!G227)/100)+103/POWER(1+('CurrentPor-Equ Factor Movements'!D227+'CurrentPor-Equ Factor Movements'!G227)/100,2))*100</f>
        <v>9646.1305966188611</v>
      </c>
      <c r="D227">
        <f>(3/(1+('CurrentPor-Equ Factor Movements'!C227+'CurrentPor-Equ Factor Movements'!H227)/100)+103/POWER(1+('CurrentPor-Equ Factor Movements'!D227+'CurrentPor-Equ Factor Movements'!H227)/100,2))*100</f>
        <v>9578.1818572321154</v>
      </c>
      <c r="E227">
        <f>(3/(1+('CurrentPor-Equ Factor Movements'!C227+'CurrentPor-Equ Factor Movements'!I227)/100)+103/POWER(1+('CurrentPor-Equ Factor Movements'!D227+'CurrentPor-Equ Factor Movements'!I227)/100,2))*100</f>
        <v>9580.996708806304</v>
      </c>
      <c r="F227">
        <f>Portfolio!B$5*'CurrentPor-Equ Factor Movements'!E227</f>
        <v>52143.895533915893</v>
      </c>
      <c r="G227">
        <f>Portfolio!B$6*'CurrentPor-Equ Factor Movements'!F227</f>
        <v>3696.2945087936532</v>
      </c>
      <c r="H227">
        <f>Portfolio!B$7*'CurrentPor-Equ Factor Movements'!J227</f>
        <v>2148.0998964419859</v>
      </c>
      <c r="I227">
        <f t="shared" si="6"/>
        <v>96501.184879237655</v>
      </c>
      <c r="J227">
        <f t="shared" si="7"/>
        <v>-12.399900995020289</v>
      </c>
    </row>
    <row r="228" spans="1:10">
      <c r="A228" s="1">
        <v>45789</v>
      </c>
      <c r="B228">
        <f>(3/(1+('CurrentPor-Equ Factor Movements'!C228)/100)+103/POWER(1+('CurrentPor-Equ Factor Movements'!D228)/100,2))*100</f>
        <v>9707.5857774288397</v>
      </c>
      <c r="C228">
        <f>(3/(1+('CurrentPor-Equ Factor Movements'!C228+'CurrentPor-Equ Factor Movements'!G228)/100)+103/POWER(1+('CurrentPor-Equ Factor Movements'!D228+'CurrentPor-Equ Factor Movements'!G228)/100,2))*100</f>
        <v>9648.3865624339469</v>
      </c>
      <c r="D228">
        <f>(3/(1+('CurrentPor-Equ Factor Movements'!C228+'CurrentPor-Equ Factor Movements'!H228)/100)+103/POWER(1+('CurrentPor-Equ Factor Movements'!D228+'CurrentPor-Equ Factor Movements'!H228)/100,2))*100</f>
        <v>9578.893126976549</v>
      </c>
      <c r="E228">
        <f>(3/(1+('CurrentPor-Equ Factor Movements'!C228+'CurrentPor-Equ Factor Movements'!I228)/100)+103/POWER(1+('CurrentPor-Equ Factor Movements'!D228+'CurrentPor-Equ Factor Movements'!I228)/100,2))*100</f>
        <v>9580.3650991372488</v>
      </c>
      <c r="F228">
        <f>Portfolio!B$5*'CurrentPor-Equ Factor Movements'!E228</f>
        <v>52143.895533915893</v>
      </c>
      <c r="G228">
        <f>Portfolio!B$6*'CurrentPor-Equ Factor Movements'!F228</f>
        <v>3696.2945087936532</v>
      </c>
      <c r="H228">
        <f>Portfolio!B$7*'CurrentPor-Equ Factor Movements'!J228</f>
        <v>2148.0998964419859</v>
      </c>
      <c r="I228">
        <f t="shared" si="6"/>
        <v>96503.520505128123</v>
      </c>
      <c r="J228">
        <f t="shared" si="7"/>
        <v>-32.388006429449888</v>
      </c>
    </row>
    <row r="229" spans="1:10">
      <c r="A229" s="1">
        <v>45790</v>
      </c>
      <c r="B229">
        <f>(3/(1+('CurrentPor-Equ Factor Movements'!C229)/100)+103/POWER(1+('CurrentPor-Equ Factor Movements'!D229)/100,2))*100</f>
        <v>9707.5857774288397</v>
      </c>
      <c r="C229">
        <f>(3/(1+('CurrentPor-Equ Factor Movements'!C229+'CurrentPor-Equ Factor Movements'!G229)/100)+103/POWER(1+('CurrentPor-Equ Factor Movements'!D229+'CurrentPor-Equ Factor Movements'!G229)/100,2))*100</f>
        <v>9634.7273167274871</v>
      </c>
      <c r="D229">
        <f>(3/(1+('CurrentPor-Equ Factor Movements'!C229+'CurrentPor-Equ Factor Movements'!H229)/100)+103/POWER(1+('CurrentPor-Equ Factor Movements'!D229+'CurrentPor-Equ Factor Movements'!H229)/100,2))*100</f>
        <v>9606.6627172992467</v>
      </c>
      <c r="E229">
        <f>(3/(1+('CurrentPor-Equ Factor Movements'!C229+'CurrentPor-Equ Factor Movements'!I229)/100)+103/POWER(1+('CurrentPor-Equ Factor Movements'!D229+'CurrentPor-Equ Factor Movements'!I229)/100,2))*100</f>
        <v>9580.2798343728318</v>
      </c>
      <c r="F229">
        <f>Portfolio!B$5*'CurrentPor-Equ Factor Movements'!E229</f>
        <v>52143.895533915893</v>
      </c>
      <c r="G229">
        <f>Portfolio!B$6*'CurrentPor-Equ Factor Movements'!F229</f>
        <v>3696.2945087936532</v>
      </c>
      <c r="H229">
        <f>Portfolio!B$7*'CurrentPor-Equ Factor Movements'!J229</f>
        <v>2148.0998964419859</v>
      </c>
      <c r="I229">
        <f t="shared" si="6"/>
        <v>96517.545584979947</v>
      </c>
      <c r="J229">
        <f t="shared" si="7"/>
        <v>-9.4774083494266961</v>
      </c>
    </row>
    <row r="230" spans="1:10">
      <c r="A230" s="1">
        <v>45791</v>
      </c>
      <c r="B230">
        <f>(3/(1+('CurrentPor-Equ Factor Movements'!C230)/100)+103/POWER(1+('CurrentPor-Equ Factor Movements'!D230)/100,2))*100</f>
        <v>9707.5857774288397</v>
      </c>
      <c r="C230">
        <f>(3/(1+('CurrentPor-Equ Factor Movements'!C230+'CurrentPor-Equ Factor Movements'!G230)/100)+103/POWER(1+('CurrentPor-Equ Factor Movements'!D230+'CurrentPor-Equ Factor Movements'!G230)/100,2))*100</f>
        <v>9632.7477693358414</v>
      </c>
      <c r="D230">
        <f>(3/(1+('CurrentPor-Equ Factor Movements'!C230+'CurrentPor-Equ Factor Movements'!H230)/100)+103/POWER(1+('CurrentPor-Equ Factor Movements'!D230+'CurrentPor-Equ Factor Movements'!H230)/100,2))*100</f>
        <v>9605.3464852354919</v>
      </c>
      <c r="E230">
        <f>(3/(1+('CurrentPor-Equ Factor Movements'!C230+'CurrentPor-Equ Factor Movements'!I230)/100)+103/POWER(1+('CurrentPor-Equ Factor Movements'!D230+'CurrentPor-Equ Factor Movements'!I230)/100,2))*100</f>
        <v>9580.7792612115554</v>
      </c>
      <c r="F230">
        <f>Portfolio!B$5*'CurrentPor-Equ Factor Movements'!E230</f>
        <v>52143.895533915893</v>
      </c>
      <c r="G230">
        <f>Portfolio!B$6*'CurrentPor-Equ Factor Movements'!F230</f>
        <v>3696.2945087936532</v>
      </c>
      <c r="H230">
        <f>Portfolio!B$7*'CurrentPor-Equ Factor Movements'!J230</f>
        <v>2148.0998964419859</v>
      </c>
      <c r="I230">
        <f t="shared" si="6"/>
        <v>96514.749232363261</v>
      </c>
      <c r="J230">
        <f t="shared" si="7"/>
        <v>-16.684887346244068</v>
      </c>
    </row>
    <row r="231" spans="1:10">
      <c r="A231" s="1">
        <v>45792</v>
      </c>
      <c r="B231">
        <f>(3/(1+('CurrentPor-Equ Factor Movements'!C231)/100)+103/POWER(1+('CurrentPor-Equ Factor Movements'!D231)/100,2))*100</f>
        <v>9707.5857774288397</v>
      </c>
      <c r="C231">
        <f>(3/(1+('CurrentPor-Equ Factor Movements'!C231+'CurrentPor-Equ Factor Movements'!G231)/100)+103/POWER(1+('CurrentPor-Equ Factor Movements'!D231+'CurrentPor-Equ Factor Movements'!G231)/100,2))*100</f>
        <v>9647.778135369841</v>
      </c>
      <c r="D231">
        <f>(3/(1+('CurrentPor-Equ Factor Movements'!C231+'CurrentPor-Equ Factor Movements'!H231)/100)+103/POWER(1+('CurrentPor-Equ Factor Movements'!D231+'CurrentPor-Equ Factor Movements'!H231)/100,2))*100</f>
        <v>9604.8056388094919</v>
      </c>
      <c r="E231">
        <f>(3/(1+('CurrentPor-Equ Factor Movements'!C231+'CurrentPor-Equ Factor Movements'!I231)/100)+103/POWER(1+('CurrentPor-Equ Factor Movements'!D231+'CurrentPor-Equ Factor Movements'!I231)/100,2))*100</f>
        <v>9580.70713809466</v>
      </c>
      <c r="F231">
        <f>Portfolio!B$5*'CurrentPor-Equ Factor Movements'!E231</f>
        <v>52143.895533915893</v>
      </c>
      <c r="G231">
        <f>Portfolio!B$6*'CurrentPor-Equ Factor Movements'!F231</f>
        <v>3696.2945087936532</v>
      </c>
      <c r="H231">
        <f>Portfolio!B$7*'CurrentPor-Equ Factor Movements'!J231</f>
        <v>2148.0998964419859</v>
      </c>
      <c r="I231">
        <f t="shared" si="6"/>
        <v>96529.166628854364</v>
      </c>
      <c r="J231">
        <f t="shared" si="7"/>
        <v>-2.1740569243265782</v>
      </c>
    </row>
    <row r="232" spans="1:10">
      <c r="A232" s="1">
        <v>45793</v>
      </c>
      <c r="B232">
        <f>(3/(1+('CurrentPor-Equ Factor Movements'!C232)/100)+103/POWER(1+('CurrentPor-Equ Factor Movements'!D232)/100,2))*100</f>
        <v>9707.5857774288397</v>
      </c>
      <c r="C232">
        <f>(3/(1+('CurrentPor-Equ Factor Movements'!C232+'CurrentPor-Equ Factor Movements'!G232)/100)+103/POWER(1+('CurrentPor-Equ Factor Movements'!D232+'CurrentPor-Equ Factor Movements'!G232)/100,2))*100</f>
        <v>9647.6855440936397</v>
      </c>
      <c r="D232">
        <f>(3/(1+('CurrentPor-Equ Factor Movements'!C232+'CurrentPor-Equ Factor Movements'!H232)/100)+103/POWER(1+('CurrentPor-Equ Factor Movements'!D232+'CurrentPor-Equ Factor Movements'!H232)/100,2))*100</f>
        <v>9605.0002854818231</v>
      </c>
      <c r="E232">
        <f>(3/(1+('CurrentPor-Equ Factor Movements'!C232+'CurrentPor-Equ Factor Movements'!I232)/100)+103/POWER(1+('CurrentPor-Equ Factor Movements'!D232+'CurrentPor-Equ Factor Movements'!I232)/100,2))*100</f>
        <v>9580.6265560858756</v>
      </c>
      <c r="F232">
        <f>Portfolio!B$5*'CurrentPor-Equ Factor Movements'!E232</f>
        <v>52143.895533915893</v>
      </c>
      <c r="G232">
        <f>Portfolio!B$6*'CurrentPor-Equ Factor Movements'!F232</f>
        <v>3696.2945087936532</v>
      </c>
      <c r="H232">
        <f>Portfolio!B$7*'CurrentPor-Equ Factor Movements'!J232</f>
        <v>2148.0998964419859</v>
      </c>
      <c r="I232">
        <f t="shared" si="6"/>
        <v>96529.188102241707</v>
      </c>
      <c r="J232">
        <f t="shared" si="7"/>
        <v>14.820134437264642</v>
      </c>
    </row>
    <row r="233" spans="1:10">
      <c r="A233" s="1">
        <v>45796</v>
      </c>
      <c r="B233">
        <f>(3/(1+('CurrentPor-Equ Factor Movements'!C233)/100)+103/POWER(1+('CurrentPor-Equ Factor Movements'!D233)/100,2))*100</f>
        <v>9707.5857774288397</v>
      </c>
      <c r="C233">
        <f>(3/(1+('CurrentPor-Equ Factor Movements'!C233+'CurrentPor-Equ Factor Movements'!G233)/100)+103/POWER(1+('CurrentPor-Equ Factor Movements'!D233+'CurrentPor-Equ Factor Movements'!G233)/100,2))*100</f>
        <v>9639.8215000133314</v>
      </c>
      <c r="D233">
        <f>(3/(1+('CurrentPor-Equ Factor Movements'!C233+'CurrentPor-Equ Factor Movements'!H233)/100)+103/POWER(1+('CurrentPor-Equ Factor Movements'!D233+'CurrentPor-Equ Factor Movements'!H233)/100,2))*100</f>
        <v>9592.1994997649181</v>
      </c>
      <c r="E233">
        <f>(3/(1+('CurrentPor-Equ Factor Movements'!C233+'CurrentPor-Equ Factor Movements'!I233)/100)+103/POWER(1+('CurrentPor-Equ Factor Movements'!D233+'CurrentPor-Equ Factor Movements'!I233)/100,2))*100</f>
        <v>9579.7043812262018</v>
      </c>
      <c r="F233">
        <f>Portfolio!B$5*'CurrentPor-Equ Factor Movements'!E233</f>
        <v>52143.895533915893</v>
      </c>
      <c r="G233">
        <f>Portfolio!B$6*'CurrentPor-Equ Factor Movements'!F233</f>
        <v>3696.2945087936532</v>
      </c>
      <c r="H233">
        <f>Portfolio!B$7*'CurrentPor-Equ Factor Movements'!J233</f>
        <v>2148.0998964419859</v>
      </c>
      <c r="I233">
        <f t="shared" si="6"/>
        <v>96507.601097584833</v>
      </c>
      <c r="J233">
        <f t="shared" si="7"/>
        <v>-5.9805934036558028</v>
      </c>
    </row>
    <row r="234" spans="1:10">
      <c r="A234" s="1">
        <v>45797</v>
      </c>
      <c r="B234">
        <f>(3/(1+('CurrentPor-Equ Factor Movements'!C234)/100)+103/POWER(1+('CurrentPor-Equ Factor Movements'!D234)/100,2))*100</f>
        <v>9707.5857774288397</v>
      </c>
      <c r="C234">
        <f>(3/(1+('CurrentPor-Equ Factor Movements'!C234+'CurrentPor-Equ Factor Movements'!G234)/100)+103/POWER(1+('CurrentPor-Equ Factor Movements'!D234+'CurrentPor-Equ Factor Movements'!G234)/100,2))*100</f>
        <v>9664.2207419427268</v>
      </c>
      <c r="D234">
        <f>(3/(1+('CurrentPor-Equ Factor Movements'!C234+'CurrentPor-Equ Factor Movements'!H234)/100)+103/POWER(1+('CurrentPor-Equ Factor Movements'!D234+'CurrentPor-Equ Factor Movements'!H234)/100,2))*100</f>
        <v>9592.7551537712206</v>
      </c>
      <c r="E234">
        <f>(3/(1+('CurrentPor-Equ Factor Movements'!C234+'CurrentPor-Equ Factor Movements'!I234)/100)+103/POWER(1+('CurrentPor-Equ Factor Movements'!D234+'CurrentPor-Equ Factor Movements'!I234)/100,2))*100</f>
        <v>9581.090087865281</v>
      </c>
      <c r="F234">
        <f>Portfolio!B$5*'CurrentPor-Equ Factor Movements'!E234</f>
        <v>52143.895533915893</v>
      </c>
      <c r="G234">
        <f>Portfolio!B$6*'CurrentPor-Equ Factor Movements'!F234</f>
        <v>3696.2945087936532</v>
      </c>
      <c r="H234">
        <f>Portfolio!B$7*'CurrentPor-Equ Factor Movements'!J234</f>
        <v>2148.0998964419859</v>
      </c>
      <c r="I234">
        <f t="shared" si="6"/>
        <v>96533.941700159601</v>
      </c>
      <c r="J234">
        <f t="shared" si="7"/>
        <v>4.4260374147706898</v>
      </c>
    </row>
    <row r="235" spans="1:10">
      <c r="A235" s="1">
        <v>45798</v>
      </c>
      <c r="B235">
        <f>(3/(1+('CurrentPor-Equ Factor Movements'!C235)/100)+103/POWER(1+('CurrentPor-Equ Factor Movements'!D235)/100,2))*100</f>
        <v>9707.5857774288397</v>
      </c>
      <c r="C235">
        <f>(3/(1+('CurrentPor-Equ Factor Movements'!C235+'CurrentPor-Equ Factor Movements'!G235)/100)+103/POWER(1+('CurrentPor-Equ Factor Movements'!D235+'CurrentPor-Equ Factor Movements'!G235)/100,2))*100</f>
        <v>9646.9633870994603</v>
      </c>
      <c r="D235">
        <f>(3/(1+('CurrentPor-Equ Factor Movements'!C235+'CurrentPor-Equ Factor Movements'!H235)/100)+103/POWER(1+('CurrentPor-Equ Factor Movements'!D235+'CurrentPor-Equ Factor Movements'!H235)/100,2))*100</f>
        <v>9614.3592258828867</v>
      </c>
      <c r="E235">
        <f>(3/(1+('CurrentPor-Equ Factor Movements'!C235+'CurrentPor-Equ Factor Movements'!I235)/100)+103/POWER(1+('CurrentPor-Equ Factor Movements'!D235+'CurrentPor-Equ Factor Movements'!I235)/100,2))*100</f>
        <v>9579.147512612697</v>
      </c>
      <c r="F235">
        <f>Portfolio!B$5*'CurrentPor-Equ Factor Movements'!E235</f>
        <v>52143.895533915893</v>
      </c>
      <c r="G235">
        <f>Portfolio!B$6*'CurrentPor-Equ Factor Movements'!F235</f>
        <v>3696.2945087936532</v>
      </c>
      <c r="H235">
        <f>Portfolio!B$7*'CurrentPor-Equ Factor Movements'!J235</f>
        <v>2148.0998964419859</v>
      </c>
      <c r="I235">
        <f t="shared" si="6"/>
        <v>96536.345842175404</v>
      </c>
      <c r="J235">
        <f t="shared" si="7"/>
        <v>25.782399724266725</v>
      </c>
    </row>
    <row r="236" spans="1:10">
      <c r="A236" s="1">
        <v>45799</v>
      </c>
      <c r="B236">
        <f>(3/(1+('CurrentPor-Equ Factor Movements'!C236)/100)+103/POWER(1+('CurrentPor-Equ Factor Movements'!D236)/100,2))*100</f>
        <v>9707.5857774288397</v>
      </c>
      <c r="C236">
        <f>(3/(1+('CurrentPor-Equ Factor Movements'!C236+'CurrentPor-Equ Factor Movements'!G236)/100)+103/POWER(1+('CurrentPor-Equ Factor Movements'!D236+'CurrentPor-Equ Factor Movements'!G236)/100,2))*100</f>
        <v>9646.5146154149315</v>
      </c>
      <c r="D236">
        <f>(3/(1+('CurrentPor-Equ Factor Movements'!C236+'CurrentPor-Equ Factor Movements'!H236)/100)+103/POWER(1+('CurrentPor-Equ Factor Movements'!D236+'CurrentPor-Equ Factor Movements'!H236)/100,2))*100</f>
        <v>9605.9163525079039</v>
      </c>
      <c r="E236">
        <f>(3/(1+('CurrentPor-Equ Factor Movements'!C236+'CurrentPor-Equ Factor Movements'!I236)/100)+103/POWER(1+('CurrentPor-Equ Factor Movements'!D236+'CurrentPor-Equ Factor Movements'!I236)/100,2))*100</f>
        <v>9580.4976876146775</v>
      </c>
      <c r="F236">
        <f>Portfolio!B$5*'CurrentPor-Equ Factor Movements'!E236</f>
        <v>52143.895533915893</v>
      </c>
      <c r="G236">
        <f>Portfolio!B$6*'CurrentPor-Equ Factor Movements'!F236</f>
        <v>3696.2945087936532</v>
      </c>
      <c r="H236">
        <f>Portfolio!B$7*'CurrentPor-Equ Factor Movements'!J236</f>
        <v>2148.0998964419859</v>
      </c>
      <c r="I236">
        <f t="shared" si="6"/>
        <v>96528.804372117884</v>
      </c>
      <c r="J236">
        <f t="shared" si="7"/>
        <v>0.88551724904391449</v>
      </c>
    </row>
    <row r="237" spans="1:10">
      <c r="A237" s="1">
        <v>45800</v>
      </c>
      <c r="B237">
        <f>(3/(1+('CurrentPor-Equ Factor Movements'!C237)/100)+103/POWER(1+('CurrentPor-Equ Factor Movements'!D237)/100,2))*100</f>
        <v>9707.5857774288397</v>
      </c>
      <c r="C237">
        <f>(3/(1+('CurrentPor-Equ Factor Movements'!C237+'CurrentPor-Equ Factor Movements'!G237)/100)+103/POWER(1+('CurrentPor-Equ Factor Movements'!D237+'CurrentPor-Equ Factor Movements'!G237)/100,2))*100</f>
        <v>9636.9887960515243</v>
      </c>
      <c r="D237">
        <f>(3/(1+('CurrentPor-Equ Factor Movements'!C237+'CurrentPor-Equ Factor Movements'!H237)/100)+103/POWER(1+('CurrentPor-Equ Factor Movements'!D237+'CurrentPor-Equ Factor Movements'!H237)/100,2))*100</f>
        <v>9608.6255415378819</v>
      </c>
      <c r="E237">
        <f>(3/(1+('CurrentPor-Equ Factor Movements'!C237+'CurrentPor-Equ Factor Movements'!I237)/100)+103/POWER(1+('CurrentPor-Equ Factor Movements'!D237+'CurrentPor-Equ Factor Movements'!I237)/100,2))*100</f>
        <v>9580.6341961793714</v>
      </c>
      <c r="F237">
        <f>Portfolio!B$5*'CurrentPor-Equ Factor Movements'!E237</f>
        <v>52143.895533915893</v>
      </c>
      <c r="G237">
        <f>Portfolio!B$6*'CurrentPor-Equ Factor Movements'!F237</f>
        <v>3696.2945087936532</v>
      </c>
      <c r="H237">
        <f>Portfolio!B$7*'CurrentPor-Equ Factor Movements'!J237</f>
        <v>2148.0998964419859</v>
      </c>
      <c r="I237">
        <f t="shared" si="6"/>
        <v>96522.124250349152</v>
      </c>
      <c r="J237">
        <f t="shared" si="7"/>
        <v>20.939371111497167</v>
      </c>
    </row>
    <row r="238" spans="1:10">
      <c r="A238" s="1">
        <v>45803</v>
      </c>
      <c r="B238">
        <f>(3/(1+('CurrentPor-Equ Factor Movements'!C238)/100)+103/POWER(1+('CurrentPor-Equ Factor Movements'!D238)/100,2))*100</f>
        <v>9707.5857774288397</v>
      </c>
      <c r="C238">
        <f>(3/(1+('CurrentPor-Equ Factor Movements'!C238+'CurrentPor-Equ Factor Movements'!G238)/100)+103/POWER(1+('CurrentPor-Equ Factor Movements'!D238+'CurrentPor-Equ Factor Movements'!G238)/100,2))*100</f>
        <v>9652.2288910510651</v>
      </c>
      <c r="D238">
        <f>(3/(1+('CurrentPor-Equ Factor Movements'!C238+'CurrentPor-Equ Factor Movements'!H238)/100)+103/POWER(1+('CurrentPor-Equ Factor Movements'!D238+'CurrentPor-Equ Factor Movements'!H238)/100,2))*100</f>
        <v>9578.2449868172571</v>
      </c>
      <c r="E238">
        <f>(3/(1+('CurrentPor-Equ Factor Movements'!C238+'CurrentPor-Equ Factor Movements'!I238)/100)+103/POWER(1+('CurrentPor-Equ Factor Movements'!D238+'CurrentPor-Equ Factor Movements'!I238)/100,2))*100</f>
        <v>9580.3464922530602</v>
      </c>
      <c r="F238">
        <f>Portfolio!B$5*'CurrentPor-Equ Factor Movements'!E238</f>
        <v>52143.895533915893</v>
      </c>
      <c r="G238">
        <f>Portfolio!B$6*'CurrentPor-Equ Factor Movements'!F238</f>
        <v>3696.2945087936532</v>
      </c>
      <c r="H238">
        <f>Portfolio!B$7*'CurrentPor-Equ Factor Movements'!J238</f>
        <v>2148.0998964419859</v>
      </c>
      <c r="I238">
        <f t="shared" si="6"/>
        <v>96506.696086701748</v>
      </c>
      <c r="J238">
        <f t="shared" si="7"/>
        <v>3.1755815736250952</v>
      </c>
    </row>
    <row r="239" spans="1:10">
      <c r="A239" s="1">
        <v>45804</v>
      </c>
      <c r="B239">
        <f>(3/(1+('CurrentPor-Equ Factor Movements'!C239)/100)+103/POWER(1+('CurrentPor-Equ Factor Movements'!D239)/100,2))*100</f>
        <v>9707.5857774288397</v>
      </c>
      <c r="C239">
        <f>(3/(1+('CurrentPor-Equ Factor Movements'!C239+'CurrentPor-Equ Factor Movements'!G239)/100)+103/POWER(1+('CurrentPor-Equ Factor Movements'!D239+'CurrentPor-Equ Factor Movements'!G239)/100,2))*100</f>
        <v>9653.4411758878214</v>
      </c>
      <c r="D239">
        <f>(3/(1+('CurrentPor-Equ Factor Movements'!C239+'CurrentPor-Equ Factor Movements'!H239)/100)+103/POWER(1+('CurrentPor-Equ Factor Movements'!D239+'CurrentPor-Equ Factor Movements'!H239)/100,2))*100</f>
        <v>9593.2656739560534</v>
      </c>
      <c r="E239">
        <f>(3/(1+('CurrentPor-Equ Factor Movements'!C239+'CurrentPor-Equ Factor Movements'!I239)/100)+103/POWER(1+('CurrentPor-Equ Factor Movements'!D239+'CurrentPor-Equ Factor Movements'!I239)/100,2))*100</f>
        <v>9578.4733380283378</v>
      </c>
      <c r="F239">
        <f>Portfolio!B$5*'CurrentPor-Equ Factor Movements'!E239</f>
        <v>52143.895533915893</v>
      </c>
      <c r="G239">
        <f>Portfolio!B$6*'CurrentPor-Equ Factor Movements'!F239</f>
        <v>3696.2945087936532</v>
      </c>
      <c r="H239">
        <f>Portfolio!B$7*'CurrentPor-Equ Factor Movements'!J239</f>
        <v>2148.0998964419859</v>
      </c>
      <c r="I239">
        <f t="shared" si="6"/>
        <v>96521.055904452587</v>
      </c>
      <c r="J239">
        <f t="shared" si="7"/>
        <v>3.5103194726398215</v>
      </c>
    </row>
    <row r="240" spans="1:10">
      <c r="A240" s="1">
        <v>45805</v>
      </c>
      <c r="B240">
        <f>(3/(1+('CurrentPor-Equ Factor Movements'!C240)/100)+103/POWER(1+('CurrentPor-Equ Factor Movements'!D240)/100,2))*100</f>
        <v>9707.5857774288397</v>
      </c>
      <c r="C240">
        <f>(3/(1+('CurrentPor-Equ Factor Movements'!C240+'CurrentPor-Equ Factor Movements'!G240)/100)+103/POWER(1+('CurrentPor-Equ Factor Movements'!D240+'CurrentPor-Equ Factor Movements'!G240)/100,2))*100</f>
        <v>9652.8954429524256</v>
      </c>
      <c r="D240">
        <f>(3/(1+('CurrentPor-Equ Factor Movements'!C240+'CurrentPor-Equ Factor Movements'!H240)/100)+103/POWER(1+('CurrentPor-Equ Factor Movements'!D240+'CurrentPor-Equ Factor Movements'!H240)/100,2))*100</f>
        <v>9595.2920546977894</v>
      </c>
      <c r="E240">
        <f>(3/(1+('CurrentPor-Equ Factor Movements'!C240+'CurrentPor-Equ Factor Movements'!I240)/100)+103/POWER(1+('CurrentPor-Equ Factor Movements'!D240+'CurrentPor-Equ Factor Movements'!I240)/100,2))*100</f>
        <v>9580.0821636801211</v>
      </c>
      <c r="F240">
        <f>Portfolio!B$5*'CurrentPor-Equ Factor Movements'!E240</f>
        <v>52143.895533915893</v>
      </c>
      <c r="G240">
        <f>Portfolio!B$6*'CurrentPor-Equ Factor Movements'!F240</f>
        <v>3696.2945087936532</v>
      </c>
      <c r="H240">
        <f>Portfolio!B$7*'CurrentPor-Equ Factor Movements'!J240</f>
        <v>2148.0998964419859</v>
      </c>
      <c r="I240">
        <f t="shared" si="6"/>
        <v>96524.145377910711</v>
      </c>
      <c r="J240">
        <f t="shared" si="7"/>
        <v>9.3961455474491231</v>
      </c>
    </row>
    <row r="241" spans="1:10">
      <c r="A241" s="1">
        <v>45806</v>
      </c>
      <c r="B241">
        <f>(3/(1+('CurrentPor-Equ Factor Movements'!C241)/100)+103/POWER(1+('CurrentPor-Equ Factor Movements'!D241)/100,2))*100</f>
        <v>9707.5857774288397</v>
      </c>
      <c r="C241">
        <f>(3/(1+('CurrentPor-Equ Factor Movements'!C241+'CurrentPor-Equ Factor Movements'!G241)/100)+103/POWER(1+('CurrentPor-Equ Factor Movements'!D241+'CurrentPor-Equ Factor Movements'!G241)/100,2))*100</f>
        <v>9629.3462478417932</v>
      </c>
      <c r="D241">
        <f>(3/(1+('CurrentPor-Equ Factor Movements'!C241+'CurrentPor-Equ Factor Movements'!H241)/100)+103/POWER(1+('CurrentPor-Equ Factor Movements'!D241+'CurrentPor-Equ Factor Movements'!H241)/100,2))*100</f>
        <v>9607.5250496986118</v>
      </c>
      <c r="E241">
        <f>(3/(1+('CurrentPor-Equ Factor Movements'!C241+'CurrentPor-Equ Factor Movements'!I241)/100)+103/POWER(1+('CurrentPor-Equ Factor Movements'!D241+'CurrentPor-Equ Factor Movements'!I241)/100,2))*100</f>
        <v>9578.6026130307127</v>
      </c>
      <c r="F241">
        <f>Portfolio!B$5*'CurrentPor-Equ Factor Movements'!E241</f>
        <v>52143.895533915893</v>
      </c>
      <c r="G241">
        <f>Portfolio!B$6*'CurrentPor-Equ Factor Movements'!F241</f>
        <v>3696.2945087936532</v>
      </c>
      <c r="H241">
        <f>Portfolio!B$7*'CurrentPor-Equ Factor Movements'!J241</f>
        <v>2148.0998964419859</v>
      </c>
      <c r="I241">
        <f t="shared" si="6"/>
        <v>96511.349627151489</v>
      </c>
      <c r="J241">
        <f t="shared" si="7"/>
        <v>-17.817001702875132</v>
      </c>
    </row>
    <row r="242" spans="1:10">
      <c r="A242" s="1">
        <v>45807</v>
      </c>
      <c r="B242">
        <f>(3/(1+('CurrentPor-Equ Factor Movements'!C242)/100)+103/POWER(1+('CurrentPor-Equ Factor Movements'!D242)/100,2))*100</f>
        <v>9707.5857774288397</v>
      </c>
      <c r="C242">
        <f>(3/(1+('CurrentPor-Equ Factor Movements'!C242+'CurrentPor-Equ Factor Movements'!G242)/100)+103/POWER(1+('CurrentPor-Equ Factor Movements'!D242+'CurrentPor-Equ Factor Movements'!G242)/100,2))*100</f>
        <v>9647.4306754259378</v>
      </c>
      <c r="D242">
        <f>(3/(1+('CurrentPor-Equ Factor Movements'!C242+'CurrentPor-Equ Factor Movements'!H242)/100)+103/POWER(1+('CurrentPor-Equ Factor Movements'!D242+'CurrentPor-Equ Factor Movements'!H242)/100,2))*100</f>
        <v>9597.1837849055282</v>
      </c>
      <c r="E242">
        <f>(3/(1+('CurrentPor-Equ Factor Movements'!C242+'CurrentPor-Equ Factor Movements'!I242)/100)+103/POWER(1+('CurrentPor-Equ Factor Movements'!D242+'CurrentPor-Equ Factor Movements'!I242)/100,2))*100</f>
        <v>9582.1736022824825</v>
      </c>
      <c r="F242">
        <f>Portfolio!B$5*'CurrentPor-Equ Factor Movements'!E242</f>
        <v>52143.895533915893</v>
      </c>
      <c r="G242">
        <f>Portfolio!B$6*'CurrentPor-Equ Factor Movements'!F242</f>
        <v>3696.2945087936532</v>
      </c>
      <c r="H242">
        <f>Portfolio!B$7*'CurrentPor-Equ Factor Movements'!J242</f>
        <v>2148.0998964419859</v>
      </c>
      <c r="I242">
        <f t="shared" si="6"/>
        <v>96522.663779194321</v>
      </c>
      <c r="J242">
        <f t="shared" si="7"/>
        <v>-6.5243230473861331</v>
      </c>
    </row>
    <row r="243" spans="1:10">
      <c r="A243" s="1">
        <v>45810</v>
      </c>
      <c r="B243">
        <f>(3/(1+('CurrentPor-Equ Factor Movements'!C243)/100)+103/POWER(1+('CurrentPor-Equ Factor Movements'!D243)/100,2))*100</f>
        <v>9707.5857774288397</v>
      </c>
      <c r="C243">
        <f>(3/(1+('CurrentPor-Equ Factor Movements'!C243+'CurrentPor-Equ Factor Movements'!G243)/100)+103/POWER(1+('CurrentPor-Equ Factor Movements'!D243+'CurrentPor-Equ Factor Movements'!G243)/100,2))*100</f>
        <v>9646.443258596395</v>
      </c>
      <c r="D243">
        <f>(3/(1+('CurrentPor-Equ Factor Movements'!C243+'CurrentPor-Equ Factor Movements'!H243)/100)+103/POWER(1+('CurrentPor-Equ Factor Movements'!D243+'CurrentPor-Equ Factor Movements'!H243)/100,2))*100</f>
        <v>9572.7564993013239</v>
      </c>
      <c r="E243">
        <f>(3/(1+('CurrentPor-Equ Factor Movements'!C243+'CurrentPor-Equ Factor Movements'!I243)/100)+103/POWER(1+('CurrentPor-Equ Factor Movements'!D243+'CurrentPor-Equ Factor Movements'!I243)/100,2))*100</f>
        <v>9581.3238986982269</v>
      </c>
      <c r="F243">
        <f>Portfolio!B$5*'CurrentPor-Equ Factor Movements'!E243</f>
        <v>52143.895533915893</v>
      </c>
      <c r="G243">
        <f>Portfolio!B$6*'CurrentPor-Equ Factor Movements'!F243</f>
        <v>3696.2945087936532</v>
      </c>
      <c r="H243">
        <f>Portfolio!B$7*'CurrentPor-Equ Factor Movements'!J243</f>
        <v>2148.0998964419859</v>
      </c>
      <c r="I243">
        <f t="shared" si="6"/>
        <v>96496.399373176318</v>
      </c>
      <c r="J243">
        <f t="shared" si="7"/>
        <v>-11.201724408514565</v>
      </c>
    </row>
    <row r="244" spans="1:10">
      <c r="A244" s="1">
        <v>45811</v>
      </c>
      <c r="B244">
        <f>(3/(1+('CurrentPor-Equ Factor Movements'!C244)/100)+103/POWER(1+('CurrentPor-Equ Factor Movements'!D244)/100,2))*100</f>
        <v>9707.5857774288397</v>
      </c>
      <c r="C244">
        <f>(3/(1+('CurrentPor-Equ Factor Movements'!C244+'CurrentPor-Equ Factor Movements'!G244)/100)+103/POWER(1+('CurrentPor-Equ Factor Movements'!D244+'CurrentPor-Equ Factor Movements'!G244)/100,2))*100</f>
        <v>9637.7754587464933</v>
      </c>
      <c r="D244">
        <f>(3/(1+('CurrentPor-Equ Factor Movements'!C244+'CurrentPor-Equ Factor Movements'!H244)/100)+103/POWER(1+('CurrentPor-Equ Factor Movements'!D244+'CurrentPor-Equ Factor Movements'!H244)/100,2))*100</f>
        <v>9593.0813615029529</v>
      </c>
      <c r="E244">
        <f>(3/(1+('CurrentPor-Equ Factor Movements'!C244+'CurrentPor-Equ Factor Movements'!I244)/100)+103/POWER(1+('CurrentPor-Equ Factor Movements'!D244+'CurrentPor-Equ Factor Movements'!I244)/100,2))*100</f>
        <v>9582.0486269684279</v>
      </c>
      <c r="F244">
        <f>Portfolio!B$5*'CurrentPor-Equ Factor Movements'!E244</f>
        <v>52143.895533915893</v>
      </c>
      <c r="G244">
        <f>Portfolio!B$6*'CurrentPor-Equ Factor Movements'!F244</f>
        <v>3696.2945087936532</v>
      </c>
      <c r="H244">
        <f>Portfolio!B$7*'CurrentPor-Equ Factor Movements'!J244</f>
        <v>2148.0998964419859</v>
      </c>
      <c r="I244">
        <f t="shared" si="6"/>
        <v>96508.781163798252</v>
      </c>
      <c r="J244">
        <f t="shared" si="7"/>
        <v>-25.160536361348932</v>
      </c>
    </row>
    <row r="245" spans="1:10">
      <c r="A245" s="1">
        <v>45812</v>
      </c>
      <c r="B245">
        <f>(3/(1+('CurrentPor-Equ Factor Movements'!C245)/100)+103/POWER(1+('CurrentPor-Equ Factor Movements'!D245)/100,2))*100</f>
        <v>9707.5857774288397</v>
      </c>
      <c r="C245">
        <f>(3/(1+('CurrentPor-Equ Factor Movements'!C245+'CurrentPor-Equ Factor Movements'!G245)/100)+103/POWER(1+('CurrentPor-Equ Factor Movements'!D245+'CurrentPor-Equ Factor Movements'!G245)/100,2))*100</f>
        <v>9645.6825283360013</v>
      </c>
      <c r="D245">
        <f>(3/(1+('CurrentPor-Equ Factor Movements'!C245+'CurrentPor-Equ Factor Movements'!H245)/100)+103/POWER(1+('CurrentPor-Equ Factor Movements'!D245+'CurrentPor-Equ Factor Movements'!H245)/100,2))*100</f>
        <v>9597.8939726600911</v>
      </c>
      <c r="E245">
        <f>(3/(1+('CurrentPor-Equ Factor Movements'!C245+'CurrentPor-Equ Factor Movements'!I245)/100)+103/POWER(1+('CurrentPor-Equ Factor Movements'!D245+'CurrentPor-Equ Factor Movements'!I245)/100,2))*100</f>
        <v>9578.7316904421295</v>
      </c>
      <c r="F245">
        <f>Portfolio!B$5*'CurrentPor-Equ Factor Movements'!E245</f>
        <v>52143.895533915893</v>
      </c>
      <c r="G245">
        <f>Portfolio!B$6*'CurrentPor-Equ Factor Movements'!F245</f>
        <v>3696.2945087936532</v>
      </c>
      <c r="H245">
        <f>Portfolio!B$7*'CurrentPor-Equ Factor Movements'!J245</f>
        <v>2148.0998964419859</v>
      </c>
      <c r="I245">
        <f t="shared" si="6"/>
        <v>96518.183908018589</v>
      </c>
      <c r="J245">
        <f t="shared" si="7"/>
        <v>-18.161934156814823</v>
      </c>
    </row>
    <row r="246" spans="1:10">
      <c r="A246" s="1">
        <v>45813</v>
      </c>
      <c r="B246">
        <f>(3/(1+('CurrentPor-Equ Factor Movements'!C246)/100)+103/POWER(1+('CurrentPor-Equ Factor Movements'!D246)/100,2))*100</f>
        <v>9707.5857774288397</v>
      </c>
      <c r="C246">
        <f>(3/(1+('CurrentPor-Equ Factor Movements'!C246+'CurrentPor-Equ Factor Movements'!G246)/100)+103/POWER(1+('CurrentPor-Equ Factor Movements'!D246+'CurrentPor-Equ Factor Movements'!G246)/100,2))*100</f>
        <v>9644.3831316621963</v>
      </c>
      <c r="D246">
        <f>(3/(1+('CurrentPor-Equ Factor Movements'!C246+'CurrentPor-Equ Factor Movements'!H246)/100)+103/POWER(1+('CurrentPor-Equ Factor Movements'!D246+'CurrentPor-Equ Factor Movements'!H246)/100,2))*100</f>
        <v>9593.3096901691606</v>
      </c>
      <c r="E246">
        <f>(3/(1+('CurrentPor-Equ Factor Movements'!C246+'CurrentPor-Equ Factor Movements'!I246)/100)+103/POWER(1+('CurrentPor-Equ Factor Movements'!D246+'CurrentPor-Equ Factor Movements'!I246)/100,2))*100</f>
        <v>9580.5509122102358</v>
      </c>
      <c r="F246">
        <f>Portfolio!B$5*'CurrentPor-Equ Factor Movements'!E246</f>
        <v>52143.895533915893</v>
      </c>
      <c r="G246">
        <f>Portfolio!B$6*'CurrentPor-Equ Factor Movements'!F246</f>
        <v>3696.2945087936532</v>
      </c>
      <c r="H246">
        <f>Portfolio!B$7*'CurrentPor-Equ Factor Movements'!J246</f>
        <v>2148.0998964419859</v>
      </c>
      <c r="I246">
        <f t="shared" si="6"/>
        <v>96514.119450621962</v>
      </c>
      <c r="J246">
        <f t="shared" si="7"/>
        <v>-14.684921495922026</v>
      </c>
    </row>
    <row r="247" spans="1:10">
      <c r="A247" s="1">
        <v>45814</v>
      </c>
      <c r="B247">
        <f>(3/(1+('CurrentPor-Equ Factor Movements'!C247)/100)+103/POWER(1+('CurrentPor-Equ Factor Movements'!D247)/100,2))*100</f>
        <v>9707.5857774288397</v>
      </c>
      <c r="C247">
        <f>(3/(1+('CurrentPor-Equ Factor Movements'!C247+'CurrentPor-Equ Factor Movements'!G247)/100)+103/POWER(1+('CurrentPor-Equ Factor Movements'!D247+'CurrentPor-Equ Factor Movements'!G247)/100,2))*100</f>
        <v>9645.5767532526897</v>
      </c>
      <c r="D247">
        <f>(3/(1+('CurrentPor-Equ Factor Movements'!C247+'CurrentPor-Equ Factor Movements'!H247)/100)+103/POWER(1+('CurrentPor-Equ Factor Movements'!D247+'CurrentPor-Equ Factor Movements'!H247)/100,2))*100</f>
        <v>9610.7434309632899</v>
      </c>
      <c r="E247">
        <f>(3/(1+('CurrentPor-Equ Factor Movements'!C247+'CurrentPor-Equ Factor Movements'!I247)/100)+103/POWER(1+('CurrentPor-Equ Factor Movements'!D247+'CurrentPor-Equ Factor Movements'!I247)/100,2))*100</f>
        <v>9580.5703435403866</v>
      </c>
      <c r="F247">
        <f>Portfolio!B$5*'CurrentPor-Equ Factor Movements'!E247</f>
        <v>52143.895533915893</v>
      </c>
      <c r="G247">
        <f>Portfolio!B$6*'CurrentPor-Equ Factor Movements'!F247</f>
        <v>3696.2945087936532</v>
      </c>
      <c r="H247">
        <f>Portfolio!B$7*'CurrentPor-Equ Factor Movements'!J247</f>
        <v>2148.0998964419859</v>
      </c>
      <c r="I247">
        <f t="shared" si="6"/>
        <v>96532.766244336744</v>
      </c>
      <c r="J247">
        <f t="shared" si="7"/>
        <v>10.641993987592286</v>
      </c>
    </row>
    <row r="248" spans="1:10">
      <c r="A248" s="1">
        <v>45817</v>
      </c>
      <c r="B248">
        <f>(3/(1+('CurrentPor-Equ Factor Movements'!C248)/100)+103/POWER(1+('CurrentPor-Equ Factor Movements'!D248)/100,2))*100</f>
        <v>9707.5857774288397</v>
      </c>
      <c r="C248">
        <f>(3/(1+('CurrentPor-Equ Factor Movements'!C248+'CurrentPor-Equ Factor Movements'!G248)/100)+103/POWER(1+('CurrentPor-Equ Factor Movements'!D248+'CurrentPor-Equ Factor Movements'!G248)/100,2))*100</f>
        <v>9649.2772476318569</v>
      </c>
      <c r="D248">
        <f>(3/(1+('CurrentPor-Equ Factor Movements'!C248+'CurrentPor-Equ Factor Movements'!H248)/100)+103/POWER(1+('CurrentPor-Equ Factor Movements'!D248+'CurrentPor-Equ Factor Movements'!H248)/100,2))*100</f>
        <v>9598.225577826046</v>
      </c>
      <c r="E248">
        <f>(3/(1+('CurrentPor-Equ Factor Movements'!C248+'CurrentPor-Equ Factor Movements'!I248)/100)+103/POWER(1+('CurrentPor-Equ Factor Movements'!D248+'CurrentPor-Equ Factor Movements'!I248)/100,2))*100</f>
        <v>9578.8212801099562</v>
      </c>
      <c r="F248">
        <f>Portfolio!B$5*'CurrentPor-Equ Factor Movements'!E248</f>
        <v>52143.895533915893</v>
      </c>
      <c r="G248">
        <f>Portfolio!B$6*'CurrentPor-Equ Factor Movements'!F248</f>
        <v>3696.2945087936532</v>
      </c>
      <c r="H248">
        <f>Portfolio!B$7*'CurrentPor-Equ Factor Movements'!J248</f>
        <v>2148.0998964419859</v>
      </c>
      <c r="I248">
        <f t="shared" si="6"/>
        <v>96522.199822148235</v>
      </c>
      <c r="J248">
        <f t="shared" si="7"/>
        <v>15.503735446487553</v>
      </c>
    </row>
    <row r="249" spans="1:10">
      <c r="A249" s="1">
        <v>45818</v>
      </c>
      <c r="B249">
        <f>(3/(1+('CurrentPor-Equ Factor Movements'!C249)/100)+103/POWER(1+('CurrentPor-Equ Factor Movements'!D249)/100,2))*100</f>
        <v>9707.5857774288397</v>
      </c>
      <c r="C249">
        <f>(3/(1+('CurrentPor-Equ Factor Movements'!C249+'CurrentPor-Equ Factor Movements'!G249)/100)+103/POWER(1+('CurrentPor-Equ Factor Movements'!D249+'CurrentPor-Equ Factor Movements'!G249)/100,2))*100</f>
        <v>9655.075733187794</v>
      </c>
      <c r="D249">
        <f>(3/(1+('CurrentPor-Equ Factor Movements'!C249+'CurrentPor-Equ Factor Movements'!H249)/100)+103/POWER(1+('CurrentPor-Equ Factor Movements'!D249+'CurrentPor-Equ Factor Movements'!H249)/100,2))*100</f>
        <v>9594.2397413920589</v>
      </c>
      <c r="E249">
        <f>(3/(1+('CurrentPor-Equ Factor Movements'!C249+'CurrentPor-Equ Factor Movements'!I249)/100)+103/POWER(1+('CurrentPor-Equ Factor Movements'!D249+'CurrentPor-Equ Factor Movements'!I249)/100,2))*100</f>
        <v>9580.40174148802</v>
      </c>
      <c r="F249">
        <f>Portfolio!B$5*'CurrentPor-Equ Factor Movements'!E249</f>
        <v>52143.895533915893</v>
      </c>
      <c r="G249">
        <f>Portfolio!B$6*'CurrentPor-Equ Factor Movements'!F249</f>
        <v>3696.2945087936532</v>
      </c>
      <c r="H249">
        <f>Portfolio!B$7*'CurrentPor-Equ Factor Movements'!J249</f>
        <v>2148.0998964419859</v>
      </c>
      <c r="I249">
        <f t="shared" si="6"/>
        <v>96525.592932648244</v>
      </c>
      <c r="J249">
        <f t="shared" si="7"/>
        <v>4.5370281956566032</v>
      </c>
    </row>
    <row r="250" spans="1:10">
      <c r="A250" s="1">
        <v>45819</v>
      </c>
      <c r="B250">
        <f>(3/(1+('CurrentPor-Equ Factor Movements'!C250)/100)+103/POWER(1+('CurrentPor-Equ Factor Movements'!D250)/100,2))*100</f>
        <v>9707.5857774288397</v>
      </c>
      <c r="C250">
        <f>(3/(1+('CurrentPor-Equ Factor Movements'!C250+'CurrentPor-Equ Factor Movements'!G250)/100)+103/POWER(1+('CurrentPor-Equ Factor Movements'!D250+'CurrentPor-Equ Factor Movements'!G250)/100,2))*100</f>
        <v>9650.3403534981917</v>
      </c>
      <c r="D250">
        <f>(3/(1+('CurrentPor-Equ Factor Movements'!C250+'CurrentPor-Equ Factor Movements'!H250)/100)+103/POWER(1+('CurrentPor-Equ Factor Movements'!D250+'CurrentPor-Equ Factor Movements'!H250)/100,2))*100</f>
        <v>9600.7061204328566</v>
      </c>
      <c r="E250">
        <f>(3/(1+('CurrentPor-Equ Factor Movements'!C250+'CurrentPor-Equ Factor Movements'!I250)/100)+103/POWER(1+('CurrentPor-Equ Factor Movements'!D250+'CurrentPor-Equ Factor Movements'!I250)/100,2))*100</f>
        <v>9582.3838735593145</v>
      </c>
      <c r="F250">
        <f>Portfolio!B$5*'CurrentPor-Equ Factor Movements'!E250</f>
        <v>52143.895533915893</v>
      </c>
      <c r="G250">
        <f>Portfolio!B$6*'CurrentPor-Equ Factor Movements'!F250</f>
        <v>3696.2945087936532</v>
      </c>
      <c r="H250">
        <f>Portfolio!B$7*'CurrentPor-Equ Factor Movements'!J250</f>
        <v>2148.0998964419859</v>
      </c>
      <c r="I250">
        <f t="shared" si="6"/>
        <v>96529.306064070741</v>
      </c>
      <c r="J250">
        <f t="shared" si="7"/>
        <v>5.1606861600303091</v>
      </c>
    </row>
    <row r="251" spans="1:10">
      <c r="A251" s="1">
        <v>45820</v>
      </c>
      <c r="B251">
        <f>(3/(1+('CurrentPor-Equ Factor Movements'!C251)/100)+103/POWER(1+('CurrentPor-Equ Factor Movements'!D251)/100,2))*100</f>
        <v>9707.5857774288397</v>
      </c>
      <c r="C251">
        <f>(3/(1+('CurrentPor-Equ Factor Movements'!C251+'CurrentPor-Equ Factor Movements'!G251)/100)+103/POWER(1+('CurrentPor-Equ Factor Movements'!D251+'CurrentPor-Equ Factor Movements'!G251)/100,2))*100</f>
        <v>9629.526657333301</v>
      </c>
      <c r="D251">
        <f>(3/(1+('CurrentPor-Equ Factor Movements'!C251+'CurrentPor-Equ Factor Movements'!H251)/100)+103/POWER(1+('CurrentPor-Equ Factor Movements'!D251+'CurrentPor-Equ Factor Movements'!H251)/100,2))*100</f>
        <v>9595.4375715804908</v>
      </c>
      <c r="E251">
        <f>(3/(1+('CurrentPor-Equ Factor Movements'!C251+'CurrentPor-Equ Factor Movements'!I251)/100)+103/POWER(1+('CurrentPor-Equ Factor Movements'!D251+'CurrentPor-Equ Factor Movements'!I251)/100,2))*100</f>
        <v>9578.8778233571502</v>
      </c>
      <c r="F251">
        <f>Portfolio!B$5*'CurrentPor-Equ Factor Movements'!E251</f>
        <v>52143.895533915893</v>
      </c>
      <c r="G251">
        <f>Portfolio!B$6*'CurrentPor-Equ Factor Movements'!F251</f>
        <v>3696.2945087936532</v>
      </c>
      <c r="H251">
        <f>Portfolio!B$7*'CurrentPor-Equ Factor Movements'!J251</f>
        <v>2148.0998964419859</v>
      </c>
      <c r="I251">
        <f t="shared" si="6"/>
        <v>96499.717768851304</v>
      </c>
      <c r="J251">
        <f t="shared" si="7"/>
        <v>-11.631858300184831</v>
      </c>
    </row>
    <row r="252" spans="1:10">
      <c r="A252" s="1">
        <v>45821</v>
      </c>
      <c r="B252">
        <f>(3/(1+('CurrentPor-Equ Factor Movements'!C252)/100)+103/POWER(1+('CurrentPor-Equ Factor Movements'!D252)/100,2))*100</f>
        <v>9707.5857774288397</v>
      </c>
      <c r="C252">
        <f>(3/(1+('CurrentPor-Equ Factor Movements'!C252+'CurrentPor-Equ Factor Movements'!G252)/100)+103/POWER(1+('CurrentPor-Equ Factor Movements'!D252+'CurrentPor-Equ Factor Movements'!G252)/100,2))*100</f>
        <v>9639.3599360354947</v>
      </c>
      <c r="D252">
        <f>(3/(1+('CurrentPor-Equ Factor Movements'!C252+'CurrentPor-Equ Factor Movements'!H252)/100)+103/POWER(1+('CurrentPor-Equ Factor Movements'!D252+'CurrentPor-Equ Factor Movements'!H252)/100,2))*100</f>
        <v>9592.9537116926895</v>
      </c>
      <c r="E252">
        <f>(3/(1+('CurrentPor-Equ Factor Movements'!C252+'CurrentPor-Equ Factor Movements'!I252)/100)+103/POWER(1+('CurrentPor-Equ Factor Movements'!D252+'CurrentPor-Equ Factor Movements'!I252)/100,2))*100</f>
        <v>9580.31831520378</v>
      </c>
      <c r="F252">
        <f>Portfolio!B$5*'CurrentPor-Equ Factor Movements'!E252</f>
        <v>52143.895533915893</v>
      </c>
      <c r="G252">
        <f>Portfolio!B$6*'CurrentPor-Equ Factor Movements'!F252</f>
        <v>3696.2945087936532</v>
      </c>
      <c r="H252">
        <f>Portfolio!B$7*'CurrentPor-Equ Factor Movements'!J252</f>
        <v>2148.0998964419859</v>
      </c>
      <c r="I252">
        <f t="shared" ref="I252:I263" si="8">SUM(B252:H252)</f>
        <v>96508.507679512331</v>
      </c>
      <c r="J252">
        <f t="shared" ref="J252:J263" si="9">I252-I242</f>
        <v>-14.156099681989872</v>
      </c>
    </row>
    <row r="253" spans="1:10">
      <c r="A253" s="1">
        <v>45824</v>
      </c>
      <c r="B253">
        <f>(3/(1+('CurrentPor-Equ Factor Movements'!C253)/100)+103/POWER(1+('CurrentPor-Equ Factor Movements'!D253)/100,2))*100</f>
        <v>9707.5857774288397</v>
      </c>
      <c r="C253">
        <f>(3/(1+('CurrentPor-Equ Factor Movements'!C253+'CurrentPor-Equ Factor Movements'!G253)/100)+103/POWER(1+('CurrentPor-Equ Factor Movements'!D253+'CurrentPor-Equ Factor Movements'!G253)/100,2))*100</f>
        <v>9643.6287242966373</v>
      </c>
      <c r="D253">
        <f>(3/(1+('CurrentPor-Equ Factor Movements'!C253+'CurrentPor-Equ Factor Movements'!H253)/100)+103/POWER(1+('CurrentPor-Equ Factor Movements'!D253+'CurrentPor-Equ Factor Movements'!H253)/100,2))*100</f>
        <v>9589.1775051307741</v>
      </c>
      <c r="E253">
        <f>(3/(1+('CurrentPor-Equ Factor Movements'!C253+'CurrentPor-Equ Factor Movements'!I253)/100)+103/POWER(1+('CurrentPor-Equ Factor Movements'!D253+'CurrentPor-Equ Factor Movements'!I253)/100,2))*100</f>
        <v>9580.1762428978691</v>
      </c>
      <c r="F253">
        <f>Portfolio!B$5*'CurrentPor-Equ Factor Movements'!E253</f>
        <v>52143.895533915893</v>
      </c>
      <c r="G253">
        <f>Portfolio!B$6*'CurrentPor-Equ Factor Movements'!F253</f>
        <v>3696.2945087936532</v>
      </c>
      <c r="H253">
        <f>Portfolio!B$7*'CurrentPor-Equ Factor Movements'!J253</f>
        <v>2148.0998964419859</v>
      </c>
      <c r="I253">
        <f t="shared" si="8"/>
        <v>96508.858188905651</v>
      </c>
      <c r="J253">
        <f t="shared" si="9"/>
        <v>12.458815729332855</v>
      </c>
    </row>
    <row r="254" spans="1:10">
      <c r="A254" s="1">
        <v>45825</v>
      </c>
      <c r="B254">
        <f>(3/(1+('CurrentPor-Equ Factor Movements'!C254)/100)+103/POWER(1+('CurrentPor-Equ Factor Movements'!D254)/100,2))*100</f>
        <v>9707.5857774288397</v>
      </c>
      <c r="C254">
        <f>(3/(1+('CurrentPor-Equ Factor Movements'!C254+'CurrentPor-Equ Factor Movements'!G254)/100)+103/POWER(1+('CurrentPor-Equ Factor Movements'!D254+'CurrentPor-Equ Factor Movements'!G254)/100,2))*100</f>
        <v>9648.3062660592514</v>
      </c>
      <c r="D254">
        <f>(3/(1+('CurrentPor-Equ Factor Movements'!C254+'CurrentPor-Equ Factor Movements'!H254)/100)+103/POWER(1+('CurrentPor-Equ Factor Movements'!D254+'CurrentPor-Equ Factor Movements'!H254)/100,2))*100</f>
        <v>9599.9720638752624</v>
      </c>
      <c r="E254">
        <f>(3/(1+('CurrentPor-Equ Factor Movements'!C254+'CurrentPor-Equ Factor Movements'!I254)/100)+103/POWER(1+('CurrentPor-Equ Factor Movements'!D254+'CurrentPor-Equ Factor Movements'!I254)/100,2))*100</f>
        <v>9582.7185105677108</v>
      </c>
      <c r="F254">
        <f>Portfolio!B$5*'CurrentPor-Equ Factor Movements'!E254</f>
        <v>52143.895533915893</v>
      </c>
      <c r="G254">
        <f>Portfolio!B$6*'CurrentPor-Equ Factor Movements'!F254</f>
        <v>3696.2945087936532</v>
      </c>
      <c r="H254">
        <f>Portfolio!B$7*'CurrentPor-Equ Factor Movements'!J254</f>
        <v>2148.0998964419859</v>
      </c>
      <c r="I254">
        <f t="shared" si="8"/>
        <v>96526.872557082606</v>
      </c>
      <c r="J254">
        <f t="shared" si="9"/>
        <v>18.091393284354126</v>
      </c>
    </row>
    <row r="255" spans="1:10">
      <c r="A255" s="1">
        <v>45826</v>
      </c>
      <c r="B255">
        <f>(3/(1+('CurrentPor-Equ Factor Movements'!C255)/100)+103/POWER(1+('CurrentPor-Equ Factor Movements'!D255)/100,2))*100</f>
        <v>9707.5857774288397</v>
      </c>
      <c r="C255">
        <f>(3/(1+('CurrentPor-Equ Factor Movements'!C255+'CurrentPor-Equ Factor Movements'!G255)/100)+103/POWER(1+('CurrentPor-Equ Factor Movements'!D255+'CurrentPor-Equ Factor Movements'!G255)/100,2))*100</f>
        <v>9653.6418991343235</v>
      </c>
      <c r="D255">
        <f>(3/(1+('CurrentPor-Equ Factor Movements'!C255+'CurrentPor-Equ Factor Movements'!H255)/100)+103/POWER(1+('CurrentPor-Equ Factor Movements'!D255+'CurrentPor-Equ Factor Movements'!H255)/100,2))*100</f>
        <v>9616.0143118851229</v>
      </c>
      <c r="E255">
        <f>(3/(1+('CurrentPor-Equ Factor Movements'!C255+'CurrentPor-Equ Factor Movements'!I255)/100)+103/POWER(1+('CurrentPor-Equ Factor Movements'!D255+'CurrentPor-Equ Factor Movements'!I255)/100,2))*100</f>
        <v>9579.010759048615</v>
      </c>
      <c r="F255">
        <f>Portfolio!B$5*'CurrentPor-Equ Factor Movements'!E255</f>
        <v>52143.895533915893</v>
      </c>
      <c r="G255">
        <f>Portfolio!B$6*'CurrentPor-Equ Factor Movements'!F255</f>
        <v>3696.2945087936532</v>
      </c>
      <c r="H255">
        <f>Portfolio!B$7*'CurrentPor-Equ Factor Movements'!J255</f>
        <v>2148.0998964419859</v>
      </c>
      <c r="I255">
        <f t="shared" si="8"/>
        <v>96544.542686648419</v>
      </c>
      <c r="J255">
        <f t="shared" si="9"/>
        <v>26.35877862983034</v>
      </c>
    </row>
    <row r="256" spans="1:10">
      <c r="A256" s="1">
        <v>45827</v>
      </c>
      <c r="B256">
        <f>(3/(1+('CurrentPor-Equ Factor Movements'!C256)/100)+103/POWER(1+('CurrentPor-Equ Factor Movements'!D256)/100,2))*100</f>
        <v>9707.5857774288397</v>
      </c>
      <c r="C256">
        <f>(3/(1+('CurrentPor-Equ Factor Movements'!C256+'CurrentPor-Equ Factor Movements'!G256)/100)+103/POWER(1+('CurrentPor-Equ Factor Movements'!D256+'CurrentPor-Equ Factor Movements'!G256)/100,2))*100</f>
        <v>9643.9084611421295</v>
      </c>
      <c r="D256">
        <f>(3/(1+('CurrentPor-Equ Factor Movements'!C256+'CurrentPor-Equ Factor Movements'!H256)/100)+103/POWER(1+('CurrentPor-Equ Factor Movements'!D256+'CurrentPor-Equ Factor Movements'!H256)/100,2))*100</f>
        <v>9603.2456808209172</v>
      </c>
      <c r="E256">
        <f>(3/(1+('CurrentPor-Equ Factor Movements'!C256+'CurrentPor-Equ Factor Movements'!I256)/100)+103/POWER(1+('CurrentPor-Equ Factor Movements'!D256+'CurrentPor-Equ Factor Movements'!I256)/100,2))*100</f>
        <v>9580.7188362021134</v>
      </c>
      <c r="F256">
        <f>Portfolio!B$5*'CurrentPor-Equ Factor Movements'!E256</f>
        <v>52143.895533915893</v>
      </c>
      <c r="G256">
        <f>Portfolio!B$6*'CurrentPor-Equ Factor Movements'!F256</f>
        <v>3696.2945087936532</v>
      </c>
      <c r="H256">
        <f>Portfolio!B$7*'CurrentPor-Equ Factor Movements'!J256</f>
        <v>2148.0998964419859</v>
      </c>
      <c r="I256">
        <f t="shared" si="8"/>
        <v>96523.748694745533</v>
      </c>
      <c r="J256">
        <f t="shared" si="9"/>
        <v>9.6292441235709703</v>
      </c>
    </row>
    <row r="257" spans="1:10">
      <c r="A257" s="1">
        <v>45828</v>
      </c>
      <c r="B257">
        <f>(3/(1+('CurrentPor-Equ Factor Movements'!C257)/100)+103/POWER(1+('CurrentPor-Equ Factor Movements'!D257)/100,2))*100</f>
        <v>9707.5857774288397</v>
      </c>
      <c r="C257">
        <f>(3/(1+('CurrentPor-Equ Factor Movements'!C257+'CurrentPor-Equ Factor Movements'!G257)/100)+103/POWER(1+('CurrentPor-Equ Factor Movements'!D257+'CurrentPor-Equ Factor Movements'!G257)/100,2))*100</f>
        <v>9646.1527201648387</v>
      </c>
      <c r="D257">
        <f>(3/(1+('CurrentPor-Equ Factor Movements'!C257+'CurrentPor-Equ Factor Movements'!H257)/100)+103/POWER(1+('CurrentPor-Equ Factor Movements'!D257+'CurrentPor-Equ Factor Movements'!H257)/100,2))*100</f>
        <v>9580.7913676363278</v>
      </c>
      <c r="E257">
        <f>(3/(1+('CurrentPor-Equ Factor Movements'!C257+'CurrentPor-Equ Factor Movements'!I257)/100)+103/POWER(1+('CurrentPor-Equ Factor Movements'!D257+'CurrentPor-Equ Factor Movements'!I257)/100,2))*100</f>
        <v>9579.0823356422243</v>
      </c>
      <c r="F257">
        <f>Portfolio!B$5*'CurrentPor-Equ Factor Movements'!E257</f>
        <v>52143.895533915893</v>
      </c>
      <c r="G257">
        <f>Portfolio!B$6*'CurrentPor-Equ Factor Movements'!F257</f>
        <v>3696.2945087936532</v>
      </c>
      <c r="H257">
        <f>Portfolio!B$7*'CurrentPor-Equ Factor Movements'!J257</f>
        <v>2148.0998964419859</v>
      </c>
      <c r="I257">
        <f t="shared" si="8"/>
        <v>96501.902140023754</v>
      </c>
      <c r="J257">
        <f t="shared" si="9"/>
        <v>-30.864104312990094</v>
      </c>
    </row>
    <row r="258" spans="1:10">
      <c r="A258" s="1">
        <v>45831</v>
      </c>
      <c r="B258">
        <f>(3/(1+('CurrentPor-Equ Factor Movements'!C258)/100)+103/POWER(1+('CurrentPor-Equ Factor Movements'!D258)/100,2))*100</f>
        <v>9707.5857774288397</v>
      </c>
      <c r="C258">
        <f>(3/(1+('CurrentPor-Equ Factor Movements'!C258+'CurrentPor-Equ Factor Movements'!G258)/100)+103/POWER(1+('CurrentPor-Equ Factor Movements'!D258+'CurrentPor-Equ Factor Movements'!G258)/100,2))*100</f>
        <v>9641.887956649216</v>
      </c>
      <c r="D258">
        <f>(3/(1+('CurrentPor-Equ Factor Movements'!C258+'CurrentPor-Equ Factor Movements'!H258)/100)+103/POWER(1+('CurrentPor-Equ Factor Movements'!D258+'CurrentPor-Equ Factor Movements'!H258)/100,2))*100</f>
        <v>9609.6312191696743</v>
      </c>
      <c r="E258">
        <f>(3/(1+('CurrentPor-Equ Factor Movements'!C258+'CurrentPor-Equ Factor Movements'!I258)/100)+103/POWER(1+('CurrentPor-Equ Factor Movements'!D258+'CurrentPor-Equ Factor Movements'!I258)/100,2))*100</f>
        <v>9579.6288351442217</v>
      </c>
      <c r="F258">
        <f>Portfolio!B$5*'CurrentPor-Equ Factor Movements'!E258</f>
        <v>52143.895533915893</v>
      </c>
      <c r="G258">
        <f>Portfolio!B$6*'CurrentPor-Equ Factor Movements'!F258</f>
        <v>3696.2945087936532</v>
      </c>
      <c r="H258">
        <f>Portfolio!B$7*'CurrentPor-Equ Factor Movements'!J258</f>
        <v>2148.0998964419859</v>
      </c>
      <c r="I258">
        <f t="shared" si="8"/>
        <v>96527.023727543492</v>
      </c>
      <c r="J258">
        <f t="shared" si="9"/>
        <v>4.8239053952565882</v>
      </c>
    </row>
    <row r="259" spans="1:10">
      <c r="A259" s="1">
        <v>45832</v>
      </c>
      <c r="B259">
        <f>(3/(1+('CurrentPor-Equ Factor Movements'!C259)/100)+103/POWER(1+('CurrentPor-Equ Factor Movements'!D259)/100,2))*100</f>
        <v>9707.5857774288397</v>
      </c>
      <c r="C259">
        <f>(3/(1+('CurrentPor-Equ Factor Movements'!C259+'CurrentPor-Equ Factor Movements'!G259)/100)+103/POWER(1+('CurrentPor-Equ Factor Movements'!D259+'CurrentPor-Equ Factor Movements'!G259)/100,2))*100</f>
        <v>9617.2088948996352</v>
      </c>
      <c r="D259">
        <f>(3/(1+('CurrentPor-Equ Factor Movements'!C259+'CurrentPor-Equ Factor Movements'!H259)/100)+103/POWER(1+('CurrentPor-Equ Factor Movements'!D259+'CurrentPor-Equ Factor Movements'!H259)/100,2))*100</f>
        <v>9599.9436299683312</v>
      </c>
      <c r="E259">
        <f>(3/(1+('CurrentPor-Equ Factor Movements'!C259+'CurrentPor-Equ Factor Movements'!I259)/100)+103/POWER(1+('CurrentPor-Equ Factor Movements'!D259+'CurrentPor-Equ Factor Movements'!I259)/100,2))*100</f>
        <v>9580.8706323447968</v>
      </c>
      <c r="F259">
        <f>Portfolio!B$5*'CurrentPor-Equ Factor Movements'!E259</f>
        <v>52143.895533915893</v>
      </c>
      <c r="G259">
        <f>Portfolio!B$6*'CurrentPor-Equ Factor Movements'!F259</f>
        <v>3696.2945087936532</v>
      </c>
      <c r="H259">
        <f>Portfolio!B$7*'CurrentPor-Equ Factor Movements'!J259</f>
        <v>2148.0998964419859</v>
      </c>
      <c r="I259">
        <f t="shared" si="8"/>
        <v>96493.898873793136</v>
      </c>
      <c r="J259">
        <f t="shared" si="9"/>
        <v>-31.694058855107869</v>
      </c>
    </row>
    <row r="260" spans="1:10">
      <c r="A260" s="1">
        <v>45833</v>
      </c>
      <c r="B260">
        <f>(3/(1+('CurrentPor-Equ Factor Movements'!C260)/100)+103/POWER(1+('CurrentPor-Equ Factor Movements'!D260)/100,2))*100</f>
        <v>9707.5857774288397</v>
      </c>
      <c r="C260">
        <f>(3/(1+('CurrentPor-Equ Factor Movements'!C260+'CurrentPor-Equ Factor Movements'!G260)/100)+103/POWER(1+('CurrentPor-Equ Factor Movements'!D260+'CurrentPor-Equ Factor Movements'!G260)/100,2))*100</f>
        <v>9638.968746779552</v>
      </c>
      <c r="D260">
        <f>(3/(1+('CurrentPor-Equ Factor Movements'!C260+'CurrentPor-Equ Factor Movements'!H260)/100)+103/POWER(1+('CurrentPor-Equ Factor Movements'!D260+'CurrentPor-Equ Factor Movements'!H260)/100,2))*100</f>
        <v>9600.1467176739607</v>
      </c>
      <c r="E260">
        <f>(3/(1+('CurrentPor-Equ Factor Movements'!C260+'CurrentPor-Equ Factor Movements'!I260)/100)+103/POWER(1+('CurrentPor-Equ Factor Movements'!D260+'CurrentPor-Equ Factor Movements'!I260)/100,2))*100</f>
        <v>9581.5270132168862</v>
      </c>
      <c r="F260">
        <f>Portfolio!B$5*'CurrentPor-Equ Factor Movements'!E260</f>
        <v>52143.895533915893</v>
      </c>
      <c r="G260">
        <f>Portfolio!B$6*'CurrentPor-Equ Factor Movements'!F260</f>
        <v>3696.2945087936532</v>
      </c>
      <c r="H260">
        <f>Portfolio!B$7*'CurrentPor-Equ Factor Movements'!J260</f>
        <v>2148.0998964419859</v>
      </c>
      <c r="I260">
        <f t="shared" si="8"/>
        <v>96516.518194250777</v>
      </c>
      <c r="J260">
        <f t="shared" si="9"/>
        <v>-12.787869819963817</v>
      </c>
    </row>
    <row r="261" spans="1:10">
      <c r="A261" s="1">
        <v>45834</v>
      </c>
      <c r="B261">
        <f>(3/(1+('CurrentPor-Equ Factor Movements'!C261)/100)+103/POWER(1+('CurrentPor-Equ Factor Movements'!D261)/100,2))*100</f>
        <v>9707.5857774288397</v>
      </c>
      <c r="C261">
        <f>(3/(1+('CurrentPor-Equ Factor Movements'!C261+'CurrentPor-Equ Factor Movements'!G261)/100)+103/POWER(1+('CurrentPor-Equ Factor Movements'!D261+'CurrentPor-Equ Factor Movements'!G261)/100,2))*100</f>
        <v>9620.4134052551908</v>
      </c>
      <c r="D261">
        <f>(3/(1+('CurrentPor-Equ Factor Movements'!C261+'CurrentPor-Equ Factor Movements'!H261)/100)+103/POWER(1+('CurrentPor-Equ Factor Movements'!D261+'CurrentPor-Equ Factor Movements'!H261)/100,2))*100</f>
        <v>9592.7745858498201</v>
      </c>
      <c r="E261">
        <f>(3/(1+('CurrentPor-Equ Factor Movements'!C261+'CurrentPor-Equ Factor Movements'!I261)/100)+103/POWER(1+('CurrentPor-Equ Factor Movements'!D261+'CurrentPor-Equ Factor Movements'!I261)/100,2))*100</f>
        <v>9579.9577290909056</v>
      </c>
      <c r="F261">
        <f>Portfolio!B$5*'CurrentPor-Equ Factor Movements'!E261</f>
        <v>52143.895533915893</v>
      </c>
      <c r="G261">
        <f>Portfolio!B$6*'CurrentPor-Equ Factor Movements'!F261</f>
        <v>3696.2945087936532</v>
      </c>
      <c r="H261">
        <f>Portfolio!B$7*'CurrentPor-Equ Factor Movements'!J261</f>
        <v>2148.0998964419859</v>
      </c>
      <c r="I261">
        <f t="shared" si="8"/>
        <v>96489.021436776282</v>
      </c>
      <c r="J261">
        <f t="shared" si="9"/>
        <v>-10.696332075021928</v>
      </c>
    </row>
    <row r="262" spans="1:10">
      <c r="A262" s="1">
        <v>45835</v>
      </c>
      <c r="B262">
        <f>(3/(1+('CurrentPor-Equ Factor Movements'!C262)/100)+103/POWER(1+('CurrentPor-Equ Factor Movements'!D262)/100,2))*100</f>
        <v>9707.5857774288397</v>
      </c>
      <c r="C262">
        <f>(3/(1+('CurrentPor-Equ Factor Movements'!C262+'CurrentPor-Equ Factor Movements'!G262)/100)+103/POWER(1+('CurrentPor-Equ Factor Movements'!D262+'CurrentPor-Equ Factor Movements'!G262)/100,2))*100</f>
        <v>9642.6262008599715</v>
      </c>
      <c r="D262">
        <f>(3/(1+('CurrentPor-Equ Factor Movements'!C262+'CurrentPor-Equ Factor Movements'!H262)/100)+103/POWER(1+('CurrentPor-Equ Factor Movements'!D262+'CurrentPor-Equ Factor Movements'!H262)/100,2))*100</f>
        <v>9601.0935830005292</v>
      </c>
      <c r="E262">
        <f>(3/(1+('CurrentPor-Equ Factor Movements'!C262+'CurrentPor-Equ Factor Movements'!I262)/100)+103/POWER(1+('CurrentPor-Equ Factor Movements'!D262+'CurrentPor-Equ Factor Movements'!I262)/100,2))*100</f>
        <v>9582.0954414573189</v>
      </c>
      <c r="F262">
        <f>Portfolio!B$5*'CurrentPor-Equ Factor Movements'!E262</f>
        <v>52143.895533915893</v>
      </c>
      <c r="G262">
        <f>Portfolio!B$6*'CurrentPor-Equ Factor Movements'!F262</f>
        <v>3696.2945087936532</v>
      </c>
      <c r="H262">
        <f>Portfolio!B$7*'CurrentPor-Equ Factor Movements'!J262</f>
        <v>2148.0998964419859</v>
      </c>
      <c r="I262">
        <f t="shared" si="8"/>
        <v>96521.690941898196</v>
      </c>
      <c r="J262">
        <f t="shared" si="9"/>
        <v>13.183262385864509</v>
      </c>
    </row>
    <row r="263" spans="1:10">
      <c r="A263" s="1">
        <v>45838</v>
      </c>
      <c r="B263">
        <f>(3/(1+('CurrentPor-Equ Factor Movements'!C263)/100)+103/POWER(1+('CurrentPor-Equ Factor Movements'!D263)/100,2))*100</f>
        <v>9707.5857774288397</v>
      </c>
      <c r="C263">
        <f>(3/(1+('CurrentPor-Equ Factor Movements'!C263+'CurrentPor-Equ Factor Movements'!G263)/100)+103/POWER(1+('CurrentPor-Equ Factor Movements'!D263+'CurrentPor-Equ Factor Movements'!G263)/100,2))*100</f>
        <v>9663.4973330196517</v>
      </c>
      <c r="D263">
        <f>(3/(1+('CurrentPor-Equ Factor Movements'!C263+'CurrentPor-Equ Factor Movements'!H263)/100)+103/POWER(1+('CurrentPor-Equ Factor Movements'!D263+'CurrentPor-Equ Factor Movements'!H263)/100,2))*100</f>
        <v>9604.1572253555169</v>
      </c>
      <c r="E263">
        <f>(3/(1+('CurrentPor-Equ Factor Movements'!C263+'CurrentPor-Equ Factor Movements'!I263)/100)+103/POWER(1+('CurrentPor-Equ Factor Movements'!D263+'CurrentPor-Equ Factor Movements'!I263)/100,2))*100</f>
        <v>9579.331729350537</v>
      </c>
      <c r="F263">
        <f>Portfolio!B$5*'CurrentPor-Equ Factor Movements'!E263</f>
        <v>52143.895533915893</v>
      </c>
      <c r="G263">
        <f>Portfolio!B$6*'CurrentPor-Equ Factor Movements'!F263</f>
        <v>3696.2945087936532</v>
      </c>
      <c r="H263">
        <f>Portfolio!B$7*'CurrentPor-Equ Factor Movements'!J263</f>
        <v>2148.0998964419859</v>
      </c>
      <c r="I263">
        <f t="shared" si="8"/>
        <v>96542.862004306066</v>
      </c>
      <c r="J263">
        <f t="shared" si="9"/>
        <v>34.003815400414169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2E3B-393F-4285-9623-93EEA85D72F9}">
  <dimension ref="A1:L263"/>
  <sheetViews>
    <sheetView topLeftCell="E1" workbookViewId="0">
      <selection activeCell="C8" sqref="C8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(3/(1+('CurrentPor-LH=10 unchanged'!C3)/100)+103/POWER(1+('CurrentPor-LH=10 unchanged'!D3)/100,2))*100</f>
        <v>9707.5857774288397</v>
      </c>
      <c r="C3">
        <f>(3/(1+('CurrentPor-LH=10 unchanged'!C3+'CurrentPor-LH=10 unchanged'!G3)/100)+103/POWER(1+('CurrentPor-LH=10 unchanged'!D3+'CurrentPor-LH=10 unchanged'!G3)/100,2))*100</f>
        <v>9614.9673582483465</v>
      </c>
      <c r="D3">
        <f>(3/(1+('CurrentPor-LH=10 unchanged'!C3+'CurrentPor-LH=10 unchanged'!H3)/100)+103/POWER(1+('CurrentPor-LH=10 unchanged'!D3+'CurrentPor-LH=10 unchanged'!H3)/100,2))*100</f>
        <v>9601.2395558122898</v>
      </c>
      <c r="E3">
        <f>(3/(1+('CurrentPor-LH=10 unchanged'!C3+'CurrentPor-LH=10 unchanged'!I3)/100)+103/POWER(1+('CurrentPor-LH=10 unchanged'!D3+'CurrentPor-LH=10 unchanged'!I3)/100,2))*100</f>
        <v>9581.4547115644182</v>
      </c>
      <c r="F3">
        <f>Portfolio!B$5*'CurrentPor-LH=10 unchanged'!E3</f>
        <v>52143.895533915893</v>
      </c>
      <c r="G3">
        <f>Portfolio!B$6*'CurrentPor-LH=10 unchanged'!F3</f>
        <v>3696.2945087936532</v>
      </c>
      <c r="H3">
        <f>Portfolio!B$7*'CurrentPor-LH=10 unchanged'!J3</f>
        <v>2148.0998964419859</v>
      </c>
      <c r="I3">
        <f>SUM(B3:H3)</f>
        <v>96493.537342205425</v>
      </c>
      <c r="K3" s="8">
        <f>_xlfn.PERCENTILE.INC(J13:J263, 0.025)</f>
        <v>-30.682237869594246</v>
      </c>
      <c r="L3">
        <f>AVERAGEIF(J13:J263, "&lt;="&amp;K3,J13:J263)</f>
        <v>-32.825414049121072</v>
      </c>
    </row>
    <row r="4" spans="1:12">
      <c r="A4" s="1">
        <v>45475</v>
      </c>
      <c r="B4">
        <f>(3/(1+('CurrentPor-LH=10 unchanged'!C4)/100)+103/POWER(1+('CurrentPor-LH=10 unchanged'!D4)/100,2))*100</f>
        <v>9707.5857774288397</v>
      </c>
      <c r="C4">
        <f>(3/(1+('CurrentPor-LH=10 unchanged'!C4+'CurrentPor-LH=10 unchanged'!G4)/100)+103/POWER(1+('CurrentPor-LH=10 unchanged'!D4+'CurrentPor-LH=10 unchanged'!G4)/100,2))*100</f>
        <v>9614.9673582483465</v>
      </c>
      <c r="D4">
        <f>(3/(1+('CurrentPor-LH=10 unchanged'!C4+'CurrentPor-LH=10 unchanged'!H4)/100)+103/POWER(1+('CurrentPor-LH=10 unchanged'!D4+'CurrentPor-LH=10 unchanged'!H4)/100,2))*100</f>
        <v>9586.753643287564</v>
      </c>
      <c r="E4">
        <f>(3/(1+('CurrentPor-LH=10 unchanged'!C4+'CurrentPor-LH=10 unchanged'!I4)/100)+103/POWER(1+('CurrentPor-LH=10 unchanged'!D4+'CurrentPor-LH=10 unchanged'!I4)/100,2))*100</f>
        <v>9579.1749716369959</v>
      </c>
      <c r="F4">
        <f>Portfolio!B$5*'CurrentPor-LH=10 unchanged'!E4</f>
        <v>52143.895533915893</v>
      </c>
      <c r="G4">
        <f>Portfolio!B$6*'CurrentPor-LH=10 unchanged'!F4</f>
        <v>3696.2945087936532</v>
      </c>
      <c r="H4">
        <f>Portfolio!B$7*'CurrentPor-LH=10 unchanged'!J4</f>
        <v>2148.0998964419859</v>
      </c>
      <c r="I4">
        <f t="shared" ref="I4:I67" si="0">SUM(B4:H4)</f>
        <v>96476.771689753266</v>
      </c>
    </row>
    <row r="5" spans="1:12">
      <c r="A5" s="1">
        <v>45476</v>
      </c>
      <c r="B5">
        <f>(3/(1+('CurrentPor-LH=10 unchanged'!C5)/100)+103/POWER(1+('CurrentPor-LH=10 unchanged'!D5)/100,2))*100</f>
        <v>9707.5857774288397</v>
      </c>
      <c r="C5">
        <f>(3/(1+('CurrentPor-LH=10 unchanged'!C5+'CurrentPor-LH=10 unchanged'!G5)/100)+103/POWER(1+('CurrentPor-LH=10 unchanged'!D5+'CurrentPor-LH=10 unchanged'!G5)/100,2))*100</f>
        <v>9614.9673582483465</v>
      </c>
      <c r="D5">
        <f>(3/(1+('CurrentPor-LH=10 unchanged'!C5+'CurrentPor-LH=10 unchanged'!H5)/100)+103/POWER(1+('CurrentPor-LH=10 unchanged'!D5+'CurrentPor-LH=10 unchanged'!H5)/100,2))*100</f>
        <v>9603.4629610150168</v>
      </c>
      <c r="E5">
        <f>(3/(1+('CurrentPor-LH=10 unchanged'!C5+'CurrentPor-LH=10 unchanged'!I5)/100)+103/POWER(1+('CurrentPor-LH=10 unchanged'!D5+'CurrentPor-LH=10 unchanged'!I5)/100,2))*100</f>
        <v>9580.4915809012364</v>
      </c>
      <c r="F5">
        <f>Portfolio!B$5*'CurrentPor-LH=10 unchanged'!E5</f>
        <v>52143.895533915893</v>
      </c>
      <c r="G5">
        <f>Portfolio!B$6*'CurrentPor-LH=10 unchanged'!F5</f>
        <v>3696.2945087936532</v>
      </c>
      <c r="H5">
        <f>Portfolio!B$7*'CurrentPor-LH=10 unchanged'!J5</f>
        <v>2148.0998964419859</v>
      </c>
      <c r="I5">
        <f t="shared" si="0"/>
        <v>96494.797616744981</v>
      </c>
    </row>
    <row r="6" spans="1:12">
      <c r="A6" s="1">
        <v>45477</v>
      </c>
      <c r="B6">
        <f>(3/(1+('CurrentPor-LH=10 unchanged'!C6)/100)+103/POWER(1+('CurrentPor-LH=10 unchanged'!D6)/100,2))*100</f>
        <v>9707.5857774288397</v>
      </c>
      <c r="C6">
        <f>(3/(1+('CurrentPor-LH=10 unchanged'!C6+'CurrentPor-LH=10 unchanged'!G6)/100)+103/POWER(1+('CurrentPor-LH=10 unchanged'!D6+'CurrentPor-LH=10 unchanged'!G6)/100,2))*100</f>
        <v>9614.9673582483465</v>
      </c>
      <c r="D6">
        <f>(3/(1+('CurrentPor-LH=10 unchanged'!C6+'CurrentPor-LH=10 unchanged'!H6)/100)+103/POWER(1+('CurrentPor-LH=10 unchanged'!D6+'CurrentPor-LH=10 unchanged'!H6)/100,2))*100</f>
        <v>9607.0114786197646</v>
      </c>
      <c r="E6">
        <f>(3/(1+('CurrentPor-LH=10 unchanged'!C6+'CurrentPor-LH=10 unchanged'!I6)/100)+103/POWER(1+('CurrentPor-LH=10 unchanged'!D6+'CurrentPor-LH=10 unchanged'!I6)/100,2))*100</f>
        <v>9583.5904538448758</v>
      </c>
      <c r="F6">
        <f>Portfolio!B$5*'CurrentPor-LH=10 unchanged'!E6</f>
        <v>52143.895533915893</v>
      </c>
      <c r="G6">
        <f>Portfolio!B$6*'CurrentPor-LH=10 unchanged'!F6</f>
        <v>3696.2945087936532</v>
      </c>
      <c r="H6">
        <f>Portfolio!B$7*'CurrentPor-LH=10 unchanged'!J6</f>
        <v>2148.0998964419859</v>
      </c>
      <c r="I6">
        <f t="shared" si="0"/>
        <v>96501.445007293354</v>
      </c>
    </row>
    <row r="7" spans="1:12">
      <c r="A7" s="1">
        <v>45478</v>
      </c>
      <c r="B7">
        <f>(3/(1+('CurrentPor-LH=10 unchanged'!C7)/100)+103/POWER(1+('CurrentPor-LH=10 unchanged'!D7)/100,2))*100</f>
        <v>9707.5857774288397</v>
      </c>
      <c r="C7">
        <f>(3/(1+('CurrentPor-LH=10 unchanged'!C7+'CurrentPor-LH=10 unchanged'!G7)/100)+103/POWER(1+('CurrentPor-LH=10 unchanged'!D7+'CurrentPor-LH=10 unchanged'!G7)/100,2))*100</f>
        <v>9616.7705171512371</v>
      </c>
      <c r="D7">
        <f>(3/(1+('CurrentPor-LH=10 unchanged'!C7+'CurrentPor-LH=10 unchanged'!H7)/100)+103/POWER(1+('CurrentPor-LH=10 unchanged'!D7+'CurrentPor-LH=10 unchanged'!H7)/100,2))*100</f>
        <v>9580.3056214308926</v>
      </c>
      <c r="E7">
        <f>(3/(1+('CurrentPor-LH=10 unchanged'!C7+'CurrentPor-LH=10 unchanged'!I7)/100)+103/POWER(1+('CurrentPor-LH=10 unchanged'!D7+'CurrentPor-LH=10 unchanged'!I7)/100,2))*100</f>
        <v>9579.5438969576826</v>
      </c>
      <c r="F7">
        <f>Portfolio!B$5*'CurrentPor-LH=10 unchanged'!E7</f>
        <v>52143.895533915893</v>
      </c>
      <c r="G7">
        <f>Portfolio!B$6*'CurrentPor-LH=10 unchanged'!F7</f>
        <v>3696.2945087936532</v>
      </c>
      <c r="H7">
        <f>Portfolio!B$7*'CurrentPor-LH=10 unchanged'!J7</f>
        <v>2148.0998964419859</v>
      </c>
      <c r="I7">
        <f t="shared" si="0"/>
        <v>96472.495752120172</v>
      </c>
    </row>
    <row r="8" spans="1:12">
      <c r="A8" s="1">
        <v>45481</v>
      </c>
      <c r="B8">
        <f>(3/(1+('CurrentPor-LH=10 unchanged'!C8)/100)+103/POWER(1+('CurrentPor-LH=10 unchanged'!D8)/100,2))*100</f>
        <v>9707.5857774288397</v>
      </c>
      <c r="C8">
        <f>(3/(1+('CurrentPor-LH=10 unchanged'!C8+'CurrentPor-LH=10 unchanged'!G8)/100)+103/POWER(1+('CurrentPor-LH=10 unchanged'!D8+'CurrentPor-LH=10 unchanged'!G8)/100,2))*100</f>
        <v>9613.1647114954067</v>
      </c>
      <c r="D8">
        <f>(3/(1+('CurrentPor-LH=10 unchanged'!C8+'CurrentPor-LH=10 unchanged'!H8)/100)+103/POWER(1+('CurrentPor-LH=10 unchanged'!D8+'CurrentPor-LH=10 unchanged'!H8)/100,2))*100</f>
        <v>9582.0863699912024</v>
      </c>
      <c r="E8">
        <f>(3/(1+('CurrentPor-LH=10 unchanged'!C8+'CurrentPor-LH=10 unchanged'!I8)/100)+103/POWER(1+('CurrentPor-LH=10 unchanged'!D8+'CurrentPor-LH=10 unchanged'!I8)/100,2))*100</f>
        <v>9580.4671604041887</v>
      </c>
      <c r="F8">
        <f>Portfolio!B$5*'CurrentPor-LH=10 unchanged'!E8</f>
        <v>52143.895533915893</v>
      </c>
      <c r="G8">
        <f>Portfolio!B$6*'CurrentPor-LH=10 unchanged'!F8</f>
        <v>3696.2945087936532</v>
      </c>
      <c r="H8">
        <f>Portfolio!B$7*'CurrentPor-LH=10 unchanged'!J8</f>
        <v>2148.0998964419859</v>
      </c>
      <c r="I8">
        <f t="shared" si="0"/>
        <v>96471.59395847116</v>
      </c>
    </row>
    <row r="9" spans="1:12">
      <c r="A9" s="1">
        <v>45482</v>
      </c>
      <c r="B9">
        <f>(3/(1+('CurrentPor-LH=10 unchanged'!C9)/100)+103/POWER(1+('CurrentPor-LH=10 unchanged'!D9)/100,2))*100</f>
        <v>9707.5857774288397</v>
      </c>
      <c r="C9">
        <f>(3/(1+('CurrentPor-LH=10 unchanged'!C9+'CurrentPor-LH=10 unchanged'!G9)/100)+103/POWER(1+('CurrentPor-LH=10 unchanged'!D9+'CurrentPor-LH=10 unchanged'!G9)/100,2))*100</f>
        <v>9613.1647114954067</v>
      </c>
      <c r="D9">
        <f>(3/(1+('CurrentPor-LH=10 unchanged'!C9+'CurrentPor-LH=10 unchanged'!H9)/100)+103/POWER(1+('CurrentPor-LH=10 unchanged'!D9+'CurrentPor-LH=10 unchanged'!H9)/100,2))*100</f>
        <v>9594.9699164194662</v>
      </c>
      <c r="E9">
        <f>(3/(1+('CurrentPor-LH=10 unchanged'!C9+'CurrentPor-LH=10 unchanged'!I9)/100)+103/POWER(1+('CurrentPor-LH=10 unchanged'!D9+'CurrentPor-LH=10 unchanged'!I9)/100,2))*100</f>
        <v>9580.9646345704259</v>
      </c>
      <c r="F9">
        <f>Portfolio!B$5*'CurrentPor-LH=10 unchanged'!E9</f>
        <v>52143.895533915893</v>
      </c>
      <c r="G9">
        <f>Portfolio!B$6*'CurrentPor-LH=10 unchanged'!F9</f>
        <v>3696.2945087936532</v>
      </c>
      <c r="H9">
        <f>Portfolio!B$7*'CurrentPor-LH=10 unchanged'!J9</f>
        <v>2148.0998964419859</v>
      </c>
      <c r="I9">
        <f t="shared" si="0"/>
        <v>96484.974979065664</v>
      </c>
    </row>
    <row r="10" spans="1:12">
      <c r="A10" s="1">
        <v>45483</v>
      </c>
      <c r="B10">
        <f>(3/(1+('CurrentPor-LH=10 unchanged'!C10)/100)+103/POWER(1+('CurrentPor-LH=10 unchanged'!D10)/100,2))*100</f>
        <v>9707.5857774288397</v>
      </c>
      <c r="C10">
        <f>(3/(1+('CurrentPor-LH=10 unchanged'!C10+'CurrentPor-LH=10 unchanged'!G10)/100)+103/POWER(1+('CurrentPor-LH=10 unchanged'!D10+'CurrentPor-LH=10 unchanged'!G10)/100,2))*100</f>
        <v>9614.9673582483465</v>
      </c>
      <c r="D10">
        <f>(3/(1+('CurrentPor-LH=10 unchanged'!C10+'CurrentPor-LH=10 unchanged'!H10)/100)+103/POWER(1+('CurrentPor-LH=10 unchanged'!D10+'CurrentPor-LH=10 unchanged'!H10)/100,2))*100</f>
        <v>9593.3699457073908</v>
      </c>
      <c r="E10">
        <f>(3/(1+('CurrentPor-LH=10 unchanged'!C10+'CurrentPor-LH=10 unchanged'!I10)/100)+103/POWER(1+('CurrentPor-LH=10 unchanged'!D10+'CurrentPor-LH=10 unchanged'!I10)/100,2))*100</f>
        <v>9580.3866228015249</v>
      </c>
      <c r="F10">
        <f>Portfolio!B$5*'CurrentPor-LH=10 unchanged'!E10</f>
        <v>52143.895533915893</v>
      </c>
      <c r="G10">
        <f>Portfolio!B$6*'CurrentPor-LH=10 unchanged'!F10</f>
        <v>3696.2945087936532</v>
      </c>
      <c r="H10">
        <f>Portfolio!B$7*'CurrentPor-LH=10 unchanged'!J10</f>
        <v>2148.0998964419859</v>
      </c>
      <c r="I10">
        <f t="shared" si="0"/>
        <v>96484.599643337642</v>
      </c>
    </row>
    <row r="11" spans="1:12">
      <c r="A11" s="1">
        <v>45484</v>
      </c>
      <c r="B11">
        <f>(3/(1+('CurrentPor-LH=10 unchanged'!C11)/100)+103/POWER(1+('CurrentPor-LH=10 unchanged'!D11)/100,2))*100</f>
        <v>9707.5857774288397</v>
      </c>
      <c r="C11">
        <f>(3/(1+('CurrentPor-LH=10 unchanged'!C11+'CurrentPor-LH=10 unchanged'!G11)/100)+103/POWER(1+('CurrentPor-LH=10 unchanged'!D11+'CurrentPor-LH=10 unchanged'!G11)/100,2))*100</f>
        <v>9614.9673582483465</v>
      </c>
      <c r="D11">
        <f>(3/(1+('CurrentPor-LH=10 unchanged'!C11+'CurrentPor-LH=10 unchanged'!H11)/100)+103/POWER(1+('CurrentPor-LH=10 unchanged'!D11+'CurrentPor-LH=10 unchanged'!H11)/100,2))*100</f>
        <v>9596.8685689189988</v>
      </c>
      <c r="E11">
        <f>(3/(1+('CurrentPor-LH=10 unchanged'!C11+'CurrentPor-LH=10 unchanged'!I11)/100)+103/POWER(1+('CurrentPor-LH=10 unchanged'!D11+'CurrentPor-LH=10 unchanged'!I11)/100,2))*100</f>
        <v>9577.986078619766</v>
      </c>
      <c r="F11">
        <f>Portfolio!B$5*'CurrentPor-LH=10 unchanged'!E11</f>
        <v>52143.895533915893</v>
      </c>
      <c r="G11">
        <f>Portfolio!B$6*'CurrentPor-LH=10 unchanged'!F11</f>
        <v>3696.2945087936532</v>
      </c>
      <c r="H11">
        <f>Portfolio!B$7*'CurrentPor-LH=10 unchanged'!J11</f>
        <v>2148.0998964419859</v>
      </c>
      <c r="I11">
        <f t="shared" si="0"/>
        <v>96485.697722367491</v>
      </c>
    </row>
    <row r="12" spans="1:12">
      <c r="A12" s="1">
        <v>45485</v>
      </c>
      <c r="B12">
        <f>(3/(1+('CurrentPor-LH=10 unchanged'!C12)/100)+103/POWER(1+('CurrentPor-LH=10 unchanged'!D12)/100,2))*100</f>
        <v>9707.5857774288397</v>
      </c>
      <c r="C12">
        <f>(3/(1+('CurrentPor-LH=10 unchanged'!C12+'CurrentPor-LH=10 unchanged'!G12)/100)+103/POWER(1+('CurrentPor-LH=10 unchanged'!D12+'CurrentPor-LH=10 unchanged'!G12)/100,2))*100</f>
        <v>9614.9673582483465</v>
      </c>
      <c r="D12">
        <f>(3/(1+('CurrentPor-LH=10 unchanged'!C12+'CurrentPor-LH=10 unchanged'!H12)/100)+103/POWER(1+('CurrentPor-LH=10 unchanged'!D12+'CurrentPor-LH=10 unchanged'!H12)/100,2))*100</f>
        <v>9593.7415131480611</v>
      </c>
      <c r="E12">
        <f>(3/(1+('CurrentPor-LH=10 unchanged'!C12+'CurrentPor-LH=10 unchanged'!I12)/100)+103/POWER(1+('CurrentPor-LH=10 unchanged'!D12+'CurrentPor-LH=10 unchanged'!I12)/100,2))*100</f>
        <v>9580.9201391213264</v>
      </c>
      <c r="F12">
        <f>Portfolio!B$5*'CurrentPor-LH=10 unchanged'!E12</f>
        <v>52143.895533915893</v>
      </c>
      <c r="G12">
        <f>Portfolio!B$6*'CurrentPor-LH=10 unchanged'!F12</f>
        <v>3696.2945087936532</v>
      </c>
      <c r="H12">
        <f>Portfolio!B$7*'CurrentPor-LH=10 unchanged'!J12</f>
        <v>2148.0998964419859</v>
      </c>
      <c r="I12">
        <f t="shared" si="0"/>
        <v>96485.504727098116</v>
      </c>
    </row>
    <row r="13" spans="1:12">
      <c r="A13" s="1">
        <v>45488</v>
      </c>
      <c r="B13">
        <f>(3/(1+('CurrentPor-LH=10 unchanged'!C13)/100)+103/POWER(1+('CurrentPor-LH=10 unchanged'!D13)/100,2))*100</f>
        <v>9707.5857774288397</v>
      </c>
      <c r="C13">
        <f>(3/(1+('CurrentPor-LH=10 unchanged'!C13+'CurrentPor-LH=10 unchanged'!G13)/100)+103/POWER(1+('CurrentPor-LH=10 unchanged'!D13+'CurrentPor-LH=10 unchanged'!G13)/100,2))*100</f>
        <v>9620.3783721850123</v>
      </c>
      <c r="D13">
        <f>(3/(1+('CurrentPor-LH=10 unchanged'!C13+'CurrentPor-LH=10 unchanged'!H13)/100)+103/POWER(1+('CurrentPor-LH=10 unchanged'!D13+'CurrentPor-LH=10 unchanged'!H13)/100,2))*100</f>
        <v>9583.1352871394211</v>
      </c>
      <c r="E13">
        <f>(3/(1+('CurrentPor-LH=10 unchanged'!C13+'CurrentPor-LH=10 unchanged'!I13)/100)+103/POWER(1+('CurrentPor-LH=10 unchanged'!D13+'CurrentPor-LH=10 unchanged'!I13)/100,2))*100</f>
        <v>9580.0297084687681</v>
      </c>
      <c r="F13">
        <f>Portfolio!B$5*'CurrentPor-LH=10 unchanged'!E13</f>
        <v>52143.895533915893</v>
      </c>
      <c r="G13">
        <f>Portfolio!B$6*'CurrentPor-LH=10 unchanged'!F13</f>
        <v>3696.2945087936532</v>
      </c>
      <c r="H13">
        <f>Portfolio!B$7*'CurrentPor-LH=10 unchanged'!J13</f>
        <v>2148.0998964419859</v>
      </c>
      <c r="I13">
        <f t="shared" si="0"/>
        <v>96479.419084373571</v>
      </c>
      <c r="J13">
        <f>I13-I3</f>
        <v>-14.118257831854862</v>
      </c>
    </row>
    <row r="14" spans="1:12">
      <c r="A14" s="1">
        <v>45489</v>
      </c>
      <c r="B14">
        <f>(3/(1+('CurrentPor-LH=10 unchanged'!C14)/100)+103/POWER(1+('CurrentPor-LH=10 unchanged'!D14)/100,2))*100</f>
        <v>9707.5857774288397</v>
      </c>
      <c r="C14">
        <f>(3/(1+('CurrentPor-LH=10 unchanged'!C14+'CurrentPor-LH=10 unchanged'!G14)/100)+103/POWER(1+('CurrentPor-LH=10 unchanged'!D14+'CurrentPor-LH=10 unchanged'!G14)/100,2))*100</f>
        <v>9616.7705171512371</v>
      </c>
      <c r="D14">
        <f>(3/(1+('CurrentPor-LH=10 unchanged'!C14+'CurrentPor-LH=10 unchanged'!H14)/100)+103/POWER(1+('CurrentPor-LH=10 unchanged'!D14+'CurrentPor-LH=10 unchanged'!H14)/100,2))*100</f>
        <v>9608.4612314889109</v>
      </c>
      <c r="E14">
        <f>(3/(1+('CurrentPor-LH=10 unchanged'!C14+'CurrentPor-LH=10 unchanged'!I14)/100)+103/POWER(1+('CurrentPor-LH=10 unchanged'!D14+'CurrentPor-LH=10 unchanged'!I14)/100,2))*100</f>
        <v>9580.3125208743077</v>
      </c>
      <c r="F14">
        <f>Portfolio!B$5*'CurrentPor-LH=10 unchanged'!E14</f>
        <v>52143.895533915893</v>
      </c>
      <c r="G14">
        <f>Portfolio!B$6*'CurrentPor-LH=10 unchanged'!F14</f>
        <v>3696.2945087936532</v>
      </c>
      <c r="H14">
        <f>Portfolio!B$7*'CurrentPor-LH=10 unchanged'!J14</f>
        <v>2148.0998964419859</v>
      </c>
      <c r="I14">
        <f t="shared" si="0"/>
        <v>96501.419986094828</v>
      </c>
      <c r="J14">
        <f t="shared" ref="J14:J77" si="1">I14-I4</f>
        <v>24.648296341561945</v>
      </c>
    </row>
    <row r="15" spans="1:12">
      <c r="A15" s="1">
        <v>45490</v>
      </c>
      <c r="B15">
        <f>(3/(1+('CurrentPor-LH=10 unchanged'!C15)/100)+103/POWER(1+('CurrentPor-LH=10 unchanged'!D15)/100,2))*100</f>
        <v>9707.5857774288397</v>
      </c>
      <c r="C15">
        <f>(3/(1+('CurrentPor-LH=10 unchanged'!C15+'CurrentPor-LH=10 unchanged'!G15)/100)+103/POWER(1+('CurrentPor-LH=10 unchanged'!D15+'CurrentPor-LH=10 unchanged'!G15)/100,2))*100</f>
        <v>9616.7705171512371</v>
      </c>
      <c r="D15">
        <f>(3/(1+('CurrentPor-LH=10 unchanged'!C15+'CurrentPor-LH=10 unchanged'!H15)/100)+103/POWER(1+('CurrentPor-LH=10 unchanged'!D15+'CurrentPor-LH=10 unchanged'!H15)/100,2))*100</f>
        <v>9605.5320342821306</v>
      </c>
      <c r="E15">
        <f>(3/(1+('CurrentPor-LH=10 unchanged'!C15+'CurrentPor-LH=10 unchanged'!I15)/100)+103/POWER(1+('CurrentPor-LH=10 unchanged'!D15+'CurrentPor-LH=10 unchanged'!I15)/100,2))*100</f>
        <v>9581.3179190716164</v>
      </c>
      <c r="F15">
        <f>Portfolio!B$5*'CurrentPor-LH=10 unchanged'!E15</f>
        <v>52143.895533915893</v>
      </c>
      <c r="G15">
        <f>Portfolio!B$6*'CurrentPor-LH=10 unchanged'!F15</f>
        <v>3696.2945087936532</v>
      </c>
      <c r="H15">
        <f>Portfolio!B$7*'CurrentPor-LH=10 unchanged'!J15</f>
        <v>2148.0998964419859</v>
      </c>
      <c r="I15">
        <f t="shared" si="0"/>
        <v>96499.496187085359</v>
      </c>
      <c r="J15">
        <f t="shared" si="1"/>
        <v>4.6985703403770458</v>
      </c>
    </row>
    <row r="16" spans="1:12">
      <c r="A16" s="1">
        <v>45491</v>
      </c>
      <c r="B16">
        <f>(3/(1+('CurrentPor-LH=10 unchanged'!C16)/100)+103/POWER(1+('CurrentPor-LH=10 unchanged'!D16)/100,2))*100</f>
        <v>9707.5857774288397</v>
      </c>
      <c r="C16">
        <f>(3/(1+('CurrentPor-LH=10 unchanged'!C16+'CurrentPor-LH=10 unchanged'!G16)/100)+103/POWER(1+('CurrentPor-LH=10 unchanged'!D16+'CurrentPor-LH=10 unchanged'!G16)/100,2))*100</f>
        <v>9618.5741883985884</v>
      </c>
      <c r="D16">
        <f>(3/(1+('CurrentPor-LH=10 unchanged'!C16+'CurrentPor-LH=10 unchanged'!H16)/100)+103/POWER(1+('CurrentPor-LH=10 unchanged'!D16+'CurrentPor-LH=10 unchanged'!H16)/100,2))*100</f>
        <v>9595.4362388343052</v>
      </c>
      <c r="E16">
        <f>(3/(1+('CurrentPor-LH=10 unchanged'!C16+'CurrentPor-LH=10 unchanged'!I16)/100)+103/POWER(1+('CurrentPor-LH=10 unchanged'!D16+'CurrentPor-LH=10 unchanged'!I16)/100,2))*100</f>
        <v>9583.0294773230526</v>
      </c>
      <c r="F16">
        <f>Portfolio!B$5*'CurrentPor-LH=10 unchanged'!E16</f>
        <v>52143.895533915893</v>
      </c>
      <c r="G16">
        <f>Portfolio!B$6*'CurrentPor-LH=10 unchanged'!F16</f>
        <v>3696.2945087936532</v>
      </c>
      <c r="H16">
        <f>Portfolio!B$7*'CurrentPor-LH=10 unchanged'!J16</f>
        <v>2148.0998964419859</v>
      </c>
      <c r="I16">
        <f t="shared" si="0"/>
        <v>96492.91562113633</v>
      </c>
      <c r="J16">
        <f t="shared" si="1"/>
        <v>-8.5293861570244189</v>
      </c>
    </row>
    <row r="17" spans="1:10">
      <c r="A17" s="1">
        <v>45492</v>
      </c>
      <c r="B17">
        <f>(3/(1+('CurrentPor-LH=10 unchanged'!C17)/100)+103/POWER(1+('CurrentPor-LH=10 unchanged'!D17)/100,2))*100</f>
        <v>9707.5857774288397</v>
      </c>
      <c r="C17">
        <f>(3/(1+('CurrentPor-LH=10 unchanged'!C17+'CurrentPor-LH=10 unchanged'!G17)/100)+103/POWER(1+('CurrentPor-LH=10 unchanged'!D17+'CurrentPor-LH=10 unchanged'!G17)/100,2))*100</f>
        <v>9616.7705171512371</v>
      </c>
      <c r="D17">
        <f>(3/(1+('CurrentPor-LH=10 unchanged'!C17+'CurrentPor-LH=10 unchanged'!H17)/100)+103/POWER(1+('CurrentPor-LH=10 unchanged'!D17+'CurrentPor-LH=10 unchanged'!H17)/100,2))*100</f>
        <v>9607.924067800639</v>
      </c>
      <c r="E17">
        <f>(3/(1+('CurrentPor-LH=10 unchanged'!C17+'CurrentPor-LH=10 unchanged'!I17)/100)+103/POWER(1+('CurrentPor-LH=10 unchanged'!D17+'CurrentPor-LH=10 unchanged'!I17)/100,2))*100</f>
        <v>9580.7932974062987</v>
      </c>
      <c r="F17">
        <f>Portfolio!B$5*'CurrentPor-LH=10 unchanged'!E17</f>
        <v>52143.895533915893</v>
      </c>
      <c r="G17">
        <f>Portfolio!B$6*'CurrentPor-LH=10 unchanged'!F17</f>
        <v>3696.2945087936532</v>
      </c>
      <c r="H17">
        <f>Portfolio!B$7*'CurrentPor-LH=10 unchanged'!J17</f>
        <v>2148.0998964419859</v>
      </c>
      <c r="I17">
        <f t="shared" si="0"/>
        <v>96501.363598938551</v>
      </c>
      <c r="J17">
        <f t="shared" si="1"/>
        <v>28.867846818378894</v>
      </c>
    </row>
    <row r="18" spans="1:10">
      <c r="A18" s="1">
        <v>45495</v>
      </c>
      <c r="B18">
        <f>(3/(1+('CurrentPor-LH=10 unchanged'!C18)/100)+103/POWER(1+('CurrentPor-LH=10 unchanged'!D18)/100,2))*100</f>
        <v>9707.5857774288397</v>
      </c>
      <c r="C18">
        <f>(3/(1+('CurrentPor-LH=10 unchanged'!C18+'CurrentPor-LH=10 unchanged'!G18)/100)+103/POWER(1+('CurrentPor-LH=10 unchanged'!D18+'CurrentPor-LH=10 unchanged'!G18)/100,2))*100</f>
        <v>9616.7705171512371</v>
      </c>
      <c r="D18">
        <f>(3/(1+('CurrentPor-LH=10 unchanged'!C18+'CurrentPor-LH=10 unchanged'!H18)/100)+103/POWER(1+('CurrentPor-LH=10 unchanged'!D18+'CurrentPor-LH=10 unchanged'!H18)/100,2))*100</f>
        <v>9603.7417214293109</v>
      </c>
      <c r="E18">
        <f>(3/(1+('CurrentPor-LH=10 unchanged'!C18+'CurrentPor-LH=10 unchanged'!I18)/100)+103/POWER(1+('CurrentPor-LH=10 unchanged'!D18+'CurrentPor-LH=10 unchanged'!I18)/100,2))*100</f>
        <v>9580.8467723897229</v>
      </c>
      <c r="F18">
        <f>Portfolio!B$5*'CurrentPor-LH=10 unchanged'!E18</f>
        <v>52143.895533915893</v>
      </c>
      <c r="G18">
        <f>Portfolio!B$6*'CurrentPor-LH=10 unchanged'!F18</f>
        <v>3696.2945087936532</v>
      </c>
      <c r="H18">
        <f>Portfolio!B$7*'CurrentPor-LH=10 unchanged'!J18</f>
        <v>2148.0998964419859</v>
      </c>
      <c r="I18">
        <f t="shared" si="0"/>
        <v>96497.234727550633</v>
      </c>
      <c r="J18">
        <f t="shared" si="1"/>
        <v>25.640769079473102</v>
      </c>
    </row>
    <row r="19" spans="1:10">
      <c r="A19" s="1">
        <v>45496</v>
      </c>
      <c r="B19">
        <f>(3/(1+('CurrentPor-LH=10 unchanged'!C19)/100)+103/POWER(1+('CurrentPor-LH=10 unchanged'!D19)/100,2))*100</f>
        <v>9707.5857774288397</v>
      </c>
      <c r="C19">
        <f>(3/(1+('CurrentPor-LH=10 unchanged'!C19+'CurrentPor-LH=10 unchanged'!G19)/100)+103/POWER(1+('CurrentPor-LH=10 unchanged'!D19+'CurrentPor-LH=10 unchanged'!G19)/100,2))*100</f>
        <v>9616.7705171512371</v>
      </c>
      <c r="D19">
        <f>(3/(1+('CurrentPor-LH=10 unchanged'!C19+'CurrentPor-LH=10 unchanged'!H19)/100)+103/POWER(1+('CurrentPor-LH=10 unchanged'!D19+'CurrentPor-LH=10 unchanged'!H19)/100,2))*100</f>
        <v>9590.1448307730843</v>
      </c>
      <c r="E19">
        <f>(3/(1+('CurrentPor-LH=10 unchanged'!C19+'CurrentPor-LH=10 unchanged'!I19)/100)+103/POWER(1+('CurrentPor-LH=10 unchanged'!D19+'CurrentPor-LH=10 unchanged'!I19)/100,2))*100</f>
        <v>9581.9982130363605</v>
      </c>
      <c r="F19">
        <f>Portfolio!B$5*'CurrentPor-LH=10 unchanged'!E19</f>
        <v>52143.895533915893</v>
      </c>
      <c r="G19">
        <f>Portfolio!B$6*'CurrentPor-LH=10 unchanged'!F19</f>
        <v>3696.2945087936532</v>
      </c>
      <c r="H19">
        <f>Portfolio!B$7*'CurrentPor-LH=10 unchanged'!J19</f>
        <v>2148.0998964419859</v>
      </c>
      <c r="I19">
        <f t="shared" si="0"/>
        <v>96484.789277541058</v>
      </c>
      <c r="J19">
        <f t="shared" si="1"/>
        <v>-0.18570152460597456</v>
      </c>
    </row>
    <row r="20" spans="1:10">
      <c r="A20" s="1">
        <v>45497</v>
      </c>
      <c r="B20">
        <f>(3/(1+('CurrentPor-LH=10 unchanged'!C20)/100)+103/POWER(1+('CurrentPor-LH=10 unchanged'!D20)/100,2))*100</f>
        <v>9707.5857774288397</v>
      </c>
      <c r="C20">
        <f>(3/(1+('CurrentPor-LH=10 unchanged'!C20+'CurrentPor-LH=10 unchanged'!G20)/100)+103/POWER(1+('CurrentPor-LH=10 unchanged'!D20+'CurrentPor-LH=10 unchanged'!G20)/100,2))*100</f>
        <v>9616.7705171512371</v>
      </c>
      <c r="D20">
        <f>(3/(1+('CurrentPor-LH=10 unchanged'!C20+'CurrentPor-LH=10 unchanged'!H20)/100)+103/POWER(1+('CurrentPor-LH=10 unchanged'!D20+'CurrentPor-LH=10 unchanged'!H20)/100,2))*100</f>
        <v>9590.0803677000113</v>
      </c>
      <c r="E20">
        <f>(3/(1+('CurrentPor-LH=10 unchanged'!C20+'CurrentPor-LH=10 unchanged'!I20)/100)+103/POWER(1+('CurrentPor-LH=10 unchanged'!D20+'CurrentPor-LH=10 unchanged'!I20)/100,2))*100</f>
        <v>9580.9064944615511</v>
      </c>
      <c r="F20">
        <f>Portfolio!B$5*'CurrentPor-LH=10 unchanged'!E20</f>
        <v>52143.895533915893</v>
      </c>
      <c r="G20">
        <f>Portfolio!B$6*'CurrentPor-LH=10 unchanged'!F20</f>
        <v>3696.2945087936532</v>
      </c>
      <c r="H20">
        <f>Portfolio!B$7*'CurrentPor-LH=10 unchanged'!J20</f>
        <v>2148.0998964419859</v>
      </c>
      <c r="I20">
        <f t="shared" si="0"/>
        <v>96483.633095893179</v>
      </c>
      <c r="J20">
        <f t="shared" si="1"/>
        <v>-0.96654744446277618</v>
      </c>
    </row>
    <row r="21" spans="1:10">
      <c r="A21" s="1">
        <v>45498</v>
      </c>
      <c r="B21">
        <f>(3/(1+('CurrentPor-LH=10 unchanged'!C21)/100)+103/POWER(1+('CurrentPor-LH=10 unchanged'!D21)/100,2))*100</f>
        <v>9707.5857774288397</v>
      </c>
      <c r="C21">
        <f>(3/(1+('CurrentPor-LH=10 unchanged'!C21+'CurrentPor-LH=10 unchanged'!G21)/100)+103/POWER(1+('CurrentPor-LH=10 unchanged'!D21+'CurrentPor-LH=10 unchanged'!G21)/100,2))*100</f>
        <v>9614.9673582483465</v>
      </c>
      <c r="D21">
        <f>(3/(1+('CurrentPor-LH=10 unchanged'!C21+'CurrentPor-LH=10 unchanged'!H21)/100)+103/POWER(1+('CurrentPor-LH=10 unchanged'!D21+'CurrentPor-LH=10 unchanged'!H21)/100,2))*100</f>
        <v>9601.3477255280559</v>
      </c>
      <c r="E21">
        <f>(3/(1+('CurrentPor-LH=10 unchanged'!C21+'CurrentPor-LH=10 unchanged'!I21)/100)+103/POWER(1+('CurrentPor-LH=10 unchanged'!D21+'CurrentPor-LH=10 unchanged'!I21)/100,2))*100</f>
        <v>9582.6411118772321</v>
      </c>
      <c r="F21">
        <f>Portfolio!B$5*'CurrentPor-LH=10 unchanged'!E21</f>
        <v>52143.895533915893</v>
      </c>
      <c r="G21">
        <f>Portfolio!B$6*'CurrentPor-LH=10 unchanged'!F21</f>
        <v>3696.2945087936532</v>
      </c>
      <c r="H21">
        <f>Portfolio!B$7*'CurrentPor-LH=10 unchanged'!J21</f>
        <v>2148.0998964419859</v>
      </c>
      <c r="I21">
        <f t="shared" si="0"/>
        <v>96494.831912234004</v>
      </c>
      <c r="J21">
        <f t="shared" si="1"/>
        <v>9.1341898665123153</v>
      </c>
    </row>
    <row r="22" spans="1:10">
      <c r="A22" s="1">
        <v>45499</v>
      </c>
      <c r="B22">
        <f>(3/(1+('CurrentPor-LH=10 unchanged'!C22)/100)+103/POWER(1+('CurrentPor-LH=10 unchanged'!D22)/100,2))*100</f>
        <v>9707.5857774288397</v>
      </c>
      <c r="C22">
        <f>(3/(1+('CurrentPor-LH=10 unchanged'!C22+'CurrentPor-LH=10 unchanged'!G22)/100)+103/POWER(1+('CurrentPor-LH=10 unchanged'!D22+'CurrentPor-LH=10 unchanged'!G22)/100,2))*100</f>
        <v>9616.7705171512371</v>
      </c>
      <c r="D22">
        <f>(3/(1+('CurrentPor-LH=10 unchanged'!C22+'CurrentPor-LH=10 unchanged'!H22)/100)+103/POWER(1+('CurrentPor-LH=10 unchanged'!D22+'CurrentPor-LH=10 unchanged'!H22)/100,2))*100</f>
        <v>9591.6421671244771</v>
      </c>
      <c r="E22">
        <f>(3/(1+('CurrentPor-LH=10 unchanged'!C22+'CurrentPor-LH=10 unchanged'!I22)/100)+103/POWER(1+('CurrentPor-LH=10 unchanged'!D22+'CurrentPor-LH=10 unchanged'!I22)/100,2))*100</f>
        <v>9581.467335193609</v>
      </c>
      <c r="F22">
        <f>Portfolio!B$5*'CurrentPor-LH=10 unchanged'!E22</f>
        <v>52143.895533915893</v>
      </c>
      <c r="G22">
        <f>Portfolio!B$6*'CurrentPor-LH=10 unchanged'!F22</f>
        <v>3696.2945087936532</v>
      </c>
      <c r="H22">
        <f>Portfolio!B$7*'CurrentPor-LH=10 unchanged'!J22</f>
        <v>2148.0998964419859</v>
      </c>
      <c r="I22">
        <f t="shared" si="0"/>
        <v>96485.755736049687</v>
      </c>
      <c r="J22">
        <f t="shared" si="1"/>
        <v>0.25100895157083869</v>
      </c>
    </row>
    <row r="23" spans="1:10">
      <c r="A23" s="1">
        <v>45502</v>
      </c>
      <c r="B23">
        <f>(3/(1+('CurrentPor-LH=10 unchanged'!C23)/100)+103/POWER(1+('CurrentPor-LH=10 unchanged'!D23)/100,2))*100</f>
        <v>9707.5857774288397</v>
      </c>
      <c r="C23">
        <f>(3/(1+('CurrentPor-LH=10 unchanged'!C23+'CurrentPor-LH=10 unchanged'!G23)/100)+103/POWER(1+('CurrentPor-LH=10 unchanged'!D23+'CurrentPor-LH=10 unchanged'!G23)/100,2))*100</f>
        <v>9622.1830687052025</v>
      </c>
      <c r="D23">
        <f>(3/(1+('CurrentPor-LH=10 unchanged'!C23+'CurrentPor-LH=10 unchanged'!H23)/100)+103/POWER(1+('CurrentPor-LH=10 unchanged'!D23+'CurrentPor-LH=10 unchanged'!H23)/100,2))*100</f>
        <v>9612.9613775579364</v>
      </c>
      <c r="E23">
        <f>(3/(1+('CurrentPor-LH=10 unchanged'!C23+'CurrentPor-LH=10 unchanged'!I23)/100)+103/POWER(1+('CurrentPor-LH=10 unchanged'!D23+'CurrentPor-LH=10 unchanged'!I23)/100,2))*100</f>
        <v>9580.3092192532367</v>
      </c>
      <c r="F23">
        <f>Portfolio!B$5*'CurrentPor-LH=10 unchanged'!E23</f>
        <v>52143.895533915893</v>
      </c>
      <c r="G23">
        <f>Portfolio!B$6*'CurrentPor-LH=10 unchanged'!F23</f>
        <v>3696.2945087936532</v>
      </c>
      <c r="H23">
        <f>Portfolio!B$7*'CurrentPor-LH=10 unchanged'!J23</f>
        <v>2148.0998964419859</v>
      </c>
      <c r="I23">
        <f t="shared" si="0"/>
        <v>96511.329382096752</v>
      </c>
      <c r="J23">
        <f t="shared" si="1"/>
        <v>31.910297723181429</v>
      </c>
    </row>
    <row r="24" spans="1:10">
      <c r="A24" s="1">
        <v>45503</v>
      </c>
      <c r="B24">
        <f>(3/(1+('CurrentPor-LH=10 unchanged'!C24)/100)+103/POWER(1+('CurrentPor-LH=10 unchanged'!D24)/100,2))*100</f>
        <v>9707.5857774288397</v>
      </c>
      <c r="C24">
        <f>(3/(1+('CurrentPor-LH=10 unchanged'!C24+'CurrentPor-LH=10 unchanged'!G24)/100)+103/POWER(1+('CurrentPor-LH=10 unchanged'!D24+'CurrentPor-LH=10 unchanged'!G24)/100,2))*100</f>
        <v>9622.1830687052025</v>
      </c>
      <c r="D24">
        <f>(3/(1+('CurrentPor-LH=10 unchanged'!C24+'CurrentPor-LH=10 unchanged'!H24)/100)+103/POWER(1+('CurrentPor-LH=10 unchanged'!D24+'CurrentPor-LH=10 unchanged'!H24)/100,2))*100</f>
        <v>9604.3100646544463</v>
      </c>
      <c r="E24">
        <f>(3/(1+('CurrentPor-LH=10 unchanged'!C24+'CurrentPor-LH=10 unchanged'!I24)/100)+103/POWER(1+('CurrentPor-LH=10 unchanged'!D24+'CurrentPor-LH=10 unchanged'!I24)/100,2))*100</f>
        <v>9580.4201315508617</v>
      </c>
      <c r="F24">
        <f>Portfolio!B$5*'CurrentPor-LH=10 unchanged'!E24</f>
        <v>52143.895533915893</v>
      </c>
      <c r="G24">
        <f>Portfolio!B$6*'CurrentPor-LH=10 unchanged'!F24</f>
        <v>3696.2945087936532</v>
      </c>
      <c r="H24">
        <f>Portfolio!B$7*'CurrentPor-LH=10 unchanged'!J24</f>
        <v>2148.0998964419859</v>
      </c>
      <c r="I24">
        <f t="shared" si="0"/>
        <v>96502.788981490885</v>
      </c>
      <c r="J24">
        <f t="shared" si="1"/>
        <v>1.3689953960565617</v>
      </c>
    </row>
    <row r="25" spans="1:10">
      <c r="A25" s="1">
        <v>45504</v>
      </c>
      <c r="B25">
        <f>(3/(1+('CurrentPor-LH=10 unchanged'!C25)/100)+103/POWER(1+('CurrentPor-LH=10 unchanged'!D25)/100,2))*100</f>
        <v>9707.5857774288397</v>
      </c>
      <c r="C25">
        <f>(3/(1+('CurrentPor-LH=10 unchanged'!C25+'CurrentPor-LH=10 unchanged'!G25)/100)+103/POWER(1+('CurrentPor-LH=10 unchanged'!D25+'CurrentPor-LH=10 unchanged'!G25)/100,2))*100</f>
        <v>9622.1830687052025</v>
      </c>
      <c r="D25">
        <f>(3/(1+('CurrentPor-LH=10 unchanged'!C25+'CurrentPor-LH=10 unchanged'!H25)/100)+103/POWER(1+('CurrentPor-LH=10 unchanged'!D25+'CurrentPor-LH=10 unchanged'!H25)/100,2))*100</f>
        <v>9600.8525262647672</v>
      </c>
      <c r="E25">
        <f>(3/(1+('CurrentPor-LH=10 unchanged'!C25+'CurrentPor-LH=10 unchanged'!I25)/100)+103/POWER(1+('CurrentPor-LH=10 unchanged'!D25+'CurrentPor-LH=10 unchanged'!I25)/100,2))*100</f>
        <v>9580.6721797268219</v>
      </c>
      <c r="F25">
        <f>Portfolio!B$5*'CurrentPor-LH=10 unchanged'!E25</f>
        <v>52143.895533915893</v>
      </c>
      <c r="G25">
        <f>Portfolio!B$6*'CurrentPor-LH=10 unchanged'!F25</f>
        <v>3696.2945087936532</v>
      </c>
      <c r="H25">
        <f>Portfolio!B$7*'CurrentPor-LH=10 unchanged'!J25</f>
        <v>2148.0998964419859</v>
      </c>
      <c r="I25">
        <f t="shared" si="0"/>
        <v>96499.583491277168</v>
      </c>
      <c r="J25">
        <f t="shared" si="1"/>
        <v>8.7304191809380427E-2</v>
      </c>
    </row>
    <row r="26" spans="1:10">
      <c r="A26" s="1">
        <v>45505</v>
      </c>
      <c r="B26">
        <f>(3/(1+('CurrentPor-LH=10 unchanged'!C26)/100)+103/POWER(1+('CurrentPor-LH=10 unchanged'!D26)/100,2))*100</f>
        <v>9707.5857774288397</v>
      </c>
      <c r="C26">
        <f>(3/(1+('CurrentPor-LH=10 unchanged'!C26+'CurrentPor-LH=10 unchanged'!G26)/100)+103/POWER(1+('CurrentPor-LH=10 unchanged'!D26+'CurrentPor-LH=10 unchanged'!G26)/100,2))*100</f>
        <v>9620.3783721850123</v>
      </c>
      <c r="D26">
        <f>(3/(1+('CurrentPor-LH=10 unchanged'!C26+'CurrentPor-LH=10 unchanged'!H26)/100)+103/POWER(1+('CurrentPor-LH=10 unchanged'!D26+'CurrentPor-LH=10 unchanged'!H26)/100,2))*100</f>
        <v>9592.3973171120942</v>
      </c>
      <c r="E26">
        <f>(3/(1+('CurrentPor-LH=10 unchanged'!C26+'CurrentPor-LH=10 unchanged'!I26)/100)+103/POWER(1+('CurrentPor-LH=10 unchanged'!D26+'CurrentPor-LH=10 unchanged'!I26)/100,2))*100</f>
        <v>9581.7126704693601</v>
      </c>
      <c r="F26">
        <f>Portfolio!B$5*'CurrentPor-LH=10 unchanged'!E26</f>
        <v>52143.895533915893</v>
      </c>
      <c r="G26">
        <f>Portfolio!B$6*'CurrentPor-LH=10 unchanged'!F26</f>
        <v>3696.2945087936532</v>
      </c>
      <c r="H26">
        <f>Portfolio!B$7*'CurrentPor-LH=10 unchanged'!J26</f>
        <v>2148.0998964419859</v>
      </c>
      <c r="I26">
        <f t="shared" si="0"/>
        <v>96490.364076346843</v>
      </c>
      <c r="J26">
        <f t="shared" si="1"/>
        <v>-2.5515447894867975</v>
      </c>
    </row>
    <row r="27" spans="1:10">
      <c r="A27" s="1">
        <v>45506</v>
      </c>
      <c r="B27">
        <f>(3/(1+('CurrentPor-LH=10 unchanged'!C27)/100)+103/POWER(1+('CurrentPor-LH=10 unchanged'!D27)/100,2))*100</f>
        <v>9707.5857774288397</v>
      </c>
      <c r="C27">
        <f>(3/(1+('CurrentPor-LH=10 unchanged'!C27+'CurrentPor-LH=10 unchanged'!G27)/100)+103/POWER(1+('CurrentPor-LH=10 unchanged'!D27+'CurrentPor-LH=10 unchanged'!G27)/100,2))*100</f>
        <v>9620.3783721850123</v>
      </c>
      <c r="D27">
        <f>(3/(1+('CurrentPor-LH=10 unchanged'!C27+'CurrentPor-LH=10 unchanged'!H27)/100)+103/POWER(1+('CurrentPor-LH=10 unchanged'!D27+'CurrentPor-LH=10 unchanged'!H27)/100,2))*100</f>
        <v>9580.1025386134588</v>
      </c>
      <c r="E27">
        <f>(3/(1+('CurrentPor-LH=10 unchanged'!C27+'CurrentPor-LH=10 unchanged'!I27)/100)+103/POWER(1+('CurrentPor-LH=10 unchanged'!D27+'CurrentPor-LH=10 unchanged'!I27)/100,2))*100</f>
        <v>9580.2243625264055</v>
      </c>
      <c r="F27">
        <f>Portfolio!B$5*'CurrentPor-LH=10 unchanged'!E27</f>
        <v>52143.895533915893</v>
      </c>
      <c r="G27">
        <f>Portfolio!B$6*'CurrentPor-LH=10 unchanged'!F27</f>
        <v>3696.2945087936532</v>
      </c>
      <c r="H27">
        <f>Portfolio!B$7*'CurrentPor-LH=10 unchanged'!J27</f>
        <v>2148.0998964419859</v>
      </c>
      <c r="I27">
        <f t="shared" si="0"/>
        <v>96476.58098990524</v>
      </c>
      <c r="J27">
        <f t="shared" si="1"/>
        <v>-24.782609033311019</v>
      </c>
    </row>
    <row r="28" spans="1:10">
      <c r="A28" s="1">
        <v>45509</v>
      </c>
      <c r="B28">
        <f>(3/(1+('CurrentPor-LH=10 unchanged'!C28)/100)+103/POWER(1+('CurrentPor-LH=10 unchanged'!D28)/100,2))*100</f>
        <v>9707.5857774288397</v>
      </c>
      <c r="C28">
        <f>(3/(1+('CurrentPor-LH=10 unchanged'!C28+'CurrentPor-LH=10 unchanged'!G28)/100)+103/POWER(1+('CurrentPor-LH=10 unchanged'!D28+'CurrentPor-LH=10 unchanged'!G28)/100,2))*100</f>
        <v>9622.1830687052025</v>
      </c>
      <c r="D28">
        <f>(3/(1+('CurrentPor-LH=10 unchanged'!C28+'CurrentPor-LH=10 unchanged'!H28)/100)+103/POWER(1+('CurrentPor-LH=10 unchanged'!D28+'CurrentPor-LH=10 unchanged'!H28)/100,2))*100</f>
        <v>9613.4258203789323</v>
      </c>
      <c r="E28">
        <f>(3/(1+('CurrentPor-LH=10 unchanged'!C28+'CurrentPor-LH=10 unchanged'!I28)/100)+103/POWER(1+('CurrentPor-LH=10 unchanged'!D28+'CurrentPor-LH=10 unchanged'!I28)/100,2))*100</f>
        <v>9580.8128809983627</v>
      </c>
      <c r="F28">
        <f>Portfolio!B$5*'CurrentPor-LH=10 unchanged'!E28</f>
        <v>52143.895533915893</v>
      </c>
      <c r="G28">
        <f>Portfolio!B$6*'CurrentPor-LH=10 unchanged'!F28</f>
        <v>3696.2945087936532</v>
      </c>
      <c r="H28">
        <f>Portfolio!B$7*'CurrentPor-LH=10 unchanged'!J28</f>
        <v>2148.0998964419859</v>
      </c>
      <c r="I28">
        <f t="shared" si="0"/>
        <v>96512.297486662879</v>
      </c>
      <c r="J28">
        <f t="shared" si="1"/>
        <v>15.062759112246567</v>
      </c>
    </row>
    <row r="29" spans="1:10">
      <c r="A29" s="1">
        <v>45510</v>
      </c>
      <c r="B29">
        <f>(3/(1+('CurrentPor-LH=10 unchanged'!C29)/100)+103/POWER(1+('CurrentPor-LH=10 unchanged'!D29)/100,2))*100</f>
        <v>9707.5857774288397</v>
      </c>
      <c r="C29">
        <f>(3/(1+('CurrentPor-LH=10 unchanged'!C29+'CurrentPor-LH=10 unchanged'!G29)/100)+103/POWER(1+('CurrentPor-LH=10 unchanged'!D29+'CurrentPor-LH=10 unchanged'!G29)/100,2))*100</f>
        <v>9620.3783721850123</v>
      </c>
      <c r="D29">
        <f>(3/(1+('CurrentPor-LH=10 unchanged'!C29+'CurrentPor-LH=10 unchanged'!H29)/100)+103/POWER(1+('CurrentPor-LH=10 unchanged'!D29+'CurrentPor-LH=10 unchanged'!H29)/100,2))*100</f>
        <v>9596.3427647590433</v>
      </c>
      <c r="E29">
        <f>(3/(1+('CurrentPor-LH=10 unchanged'!C29+'CurrentPor-LH=10 unchanged'!I29)/100)+103/POWER(1+('CurrentPor-LH=10 unchanged'!D29+'CurrentPor-LH=10 unchanged'!I29)/100,2))*100</f>
        <v>9582.0428982063986</v>
      </c>
      <c r="F29">
        <f>Portfolio!B$5*'CurrentPor-LH=10 unchanged'!E29</f>
        <v>52143.895533915893</v>
      </c>
      <c r="G29">
        <f>Portfolio!B$6*'CurrentPor-LH=10 unchanged'!F29</f>
        <v>3696.2945087936532</v>
      </c>
      <c r="H29">
        <f>Portfolio!B$7*'CurrentPor-LH=10 unchanged'!J29</f>
        <v>2148.0998964419859</v>
      </c>
      <c r="I29">
        <f t="shared" si="0"/>
        <v>96494.639751730821</v>
      </c>
      <c r="J29">
        <f t="shared" si="1"/>
        <v>9.8504741897631902</v>
      </c>
    </row>
    <row r="30" spans="1:10">
      <c r="A30" s="1">
        <v>45511</v>
      </c>
      <c r="B30">
        <f>(3/(1+('CurrentPor-LH=10 unchanged'!C30)/100)+103/POWER(1+('CurrentPor-LH=10 unchanged'!D30)/100,2))*100</f>
        <v>9707.5857774288397</v>
      </c>
      <c r="C30">
        <f>(3/(1+('CurrentPor-LH=10 unchanged'!C30+'CurrentPor-LH=10 unchanged'!G30)/100)+103/POWER(1+('CurrentPor-LH=10 unchanged'!D30+'CurrentPor-LH=10 unchanged'!G30)/100,2))*100</f>
        <v>9620.3783721850123</v>
      </c>
      <c r="D30">
        <f>(3/(1+('CurrentPor-LH=10 unchanged'!C30+'CurrentPor-LH=10 unchanged'!H30)/100)+103/POWER(1+('CurrentPor-LH=10 unchanged'!D30+'CurrentPor-LH=10 unchanged'!H30)/100,2))*100</f>
        <v>9614.4858949066092</v>
      </c>
      <c r="E30">
        <f>(3/(1+('CurrentPor-LH=10 unchanged'!C30+'CurrentPor-LH=10 unchanged'!I30)/100)+103/POWER(1+('CurrentPor-LH=10 unchanged'!D30+'CurrentPor-LH=10 unchanged'!I30)/100,2))*100</f>
        <v>9581.6327923457939</v>
      </c>
      <c r="F30">
        <f>Portfolio!B$5*'CurrentPor-LH=10 unchanged'!E30</f>
        <v>52143.895533915893</v>
      </c>
      <c r="G30">
        <f>Portfolio!B$6*'CurrentPor-LH=10 unchanged'!F30</f>
        <v>3696.2945087936532</v>
      </c>
      <c r="H30">
        <f>Portfolio!B$7*'CurrentPor-LH=10 unchanged'!J30</f>
        <v>2148.0998964419859</v>
      </c>
      <c r="I30">
        <f t="shared" si="0"/>
        <v>96512.372776017786</v>
      </c>
      <c r="J30">
        <f t="shared" si="1"/>
        <v>28.739680124606821</v>
      </c>
    </row>
    <row r="31" spans="1:10">
      <c r="A31" s="1">
        <v>45512</v>
      </c>
      <c r="B31">
        <f>(3/(1+('CurrentPor-LH=10 unchanged'!C31)/100)+103/POWER(1+('CurrentPor-LH=10 unchanged'!D31)/100,2))*100</f>
        <v>9707.5857774288397</v>
      </c>
      <c r="C31">
        <f>(3/(1+('CurrentPor-LH=10 unchanged'!C31+'CurrentPor-LH=10 unchanged'!G31)/100)+103/POWER(1+('CurrentPor-LH=10 unchanged'!D31+'CurrentPor-LH=10 unchanged'!G31)/100,2))*100</f>
        <v>9622.1830687052025</v>
      </c>
      <c r="D31">
        <f>(3/(1+('CurrentPor-LH=10 unchanged'!C31+'CurrentPor-LH=10 unchanged'!H31)/100)+103/POWER(1+('CurrentPor-LH=10 unchanged'!D31+'CurrentPor-LH=10 unchanged'!H31)/100,2))*100</f>
        <v>9597.2415742954363</v>
      </c>
      <c r="E31">
        <f>(3/(1+('CurrentPor-LH=10 unchanged'!C31+'CurrentPor-LH=10 unchanged'!I31)/100)+103/POWER(1+('CurrentPor-LH=10 unchanged'!D31+'CurrentPor-LH=10 unchanged'!I31)/100,2))*100</f>
        <v>9582.6635433669217</v>
      </c>
      <c r="F31">
        <f>Portfolio!B$5*'CurrentPor-LH=10 unchanged'!E31</f>
        <v>52143.895533915893</v>
      </c>
      <c r="G31">
        <f>Portfolio!B$6*'CurrentPor-LH=10 unchanged'!F31</f>
        <v>3696.2945087936532</v>
      </c>
      <c r="H31">
        <f>Portfolio!B$7*'CurrentPor-LH=10 unchanged'!J31</f>
        <v>2148.0998964419859</v>
      </c>
      <c r="I31">
        <f t="shared" si="0"/>
        <v>96497.963902947944</v>
      </c>
      <c r="J31">
        <f t="shared" si="1"/>
        <v>3.1319907139404677</v>
      </c>
    </row>
    <row r="32" spans="1:10">
      <c r="A32" s="1">
        <v>45513</v>
      </c>
      <c r="B32">
        <f>(3/(1+('CurrentPor-LH=10 unchanged'!C32)/100)+103/POWER(1+('CurrentPor-LH=10 unchanged'!D32)/100,2))*100</f>
        <v>9707.5857774288397</v>
      </c>
      <c r="C32">
        <f>(3/(1+('CurrentPor-LH=10 unchanged'!C32+'CurrentPor-LH=10 unchanged'!G32)/100)+103/POWER(1+('CurrentPor-LH=10 unchanged'!D32+'CurrentPor-LH=10 unchanged'!G32)/100,2))*100</f>
        <v>9622.1830687052025</v>
      </c>
      <c r="D32">
        <f>(3/(1+('CurrentPor-LH=10 unchanged'!C32+'CurrentPor-LH=10 unchanged'!H32)/100)+103/POWER(1+('CurrentPor-LH=10 unchanged'!D32+'CurrentPor-LH=10 unchanged'!H32)/100,2))*100</f>
        <v>9608.6398236915338</v>
      </c>
      <c r="E32">
        <f>(3/(1+('CurrentPor-LH=10 unchanged'!C32+'CurrentPor-LH=10 unchanged'!I32)/100)+103/POWER(1+('CurrentPor-LH=10 unchanged'!D32+'CurrentPor-LH=10 unchanged'!I32)/100,2))*100</f>
        <v>9582.7373531656012</v>
      </c>
      <c r="F32">
        <f>Portfolio!B$5*'CurrentPor-LH=10 unchanged'!E32</f>
        <v>52143.895533915893</v>
      </c>
      <c r="G32">
        <f>Portfolio!B$6*'CurrentPor-LH=10 unchanged'!F32</f>
        <v>3696.2945087936532</v>
      </c>
      <c r="H32">
        <f>Portfolio!B$7*'CurrentPor-LH=10 unchanged'!J32</f>
        <v>2148.0998964419859</v>
      </c>
      <c r="I32">
        <f t="shared" si="0"/>
        <v>96509.435962142699</v>
      </c>
      <c r="J32">
        <f t="shared" si="1"/>
        <v>23.680226093012607</v>
      </c>
    </row>
    <row r="33" spans="1:10">
      <c r="A33" s="1">
        <v>45516</v>
      </c>
      <c r="B33">
        <f>(3/(1+('CurrentPor-LH=10 unchanged'!C33)/100)+103/POWER(1+('CurrentPor-LH=10 unchanged'!D33)/100,2))*100</f>
        <v>9707.5857774288397</v>
      </c>
      <c r="C33">
        <f>(3/(1+('CurrentPor-LH=10 unchanged'!C33+'CurrentPor-LH=10 unchanged'!G33)/100)+103/POWER(1+('CurrentPor-LH=10 unchanged'!D33+'CurrentPor-LH=10 unchanged'!G33)/100,2))*100</f>
        <v>9625.7940007261659</v>
      </c>
      <c r="D33">
        <f>(3/(1+('CurrentPor-LH=10 unchanged'!C33+'CurrentPor-LH=10 unchanged'!H33)/100)+103/POWER(1+('CurrentPor-LH=10 unchanged'!D33+'CurrentPor-LH=10 unchanged'!H33)/100,2))*100</f>
        <v>9606.527963993005</v>
      </c>
      <c r="E33">
        <f>(3/(1+('CurrentPor-LH=10 unchanged'!C33+'CurrentPor-LH=10 unchanged'!I33)/100)+103/POWER(1+('CurrentPor-LH=10 unchanged'!D33+'CurrentPor-LH=10 unchanged'!I33)/100,2))*100</f>
        <v>9581.6017783514581</v>
      </c>
      <c r="F33">
        <f>Portfolio!B$5*'CurrentPor-LH=10 unchanged'!E33</f>
        <v>52143.895533915893</v>
      </c>
      <c r="G33">
        <f>Portfolio!B$6*'CurrentPor-LH=10 unchanged'!F33</f>
        <v>3696.2945087936532</v>
      </c>
      <c r="H33">
        <f>Portfolio!B$7*'CurrentPor-LH=10 unchanged'!J33</f>
        <v>2148.0998964419859</v>
      </c>
      <c r="I33">
        <f t="shared" si="0"/>
        <v>96509.799459651011</v>
      </c>
      <c r="J33">
        <f t="shared" si="1"/>
        <v>-1.5299224457412492</v>
      </c>
    </row>
    <row r="34" spans="1:10">
      <c r="A34" s="1">
        <v>45517</v>
      </c>
      <c r="B34">
        <f>(3/(1+('CurrentPor-LH=10 unchanged'!C34)/100)+103/POWER(1+('CurrentPor-LH=10 unchanged'!D34)/100,2))*100</f>
        <v>9707.5857774288397</v>
      </c>
      <c r="C34">
        <f>(3/(1+('CurrentPor-LH=10 unchanged'!C34+'CurrentPor-LH=10 unchanged'!G34)/100)+103/POWER(1+('CurrentPor-LH=10 unchanged'!D34+'CurrentPor-LH=10 unchanged'!G34)/100,2))*100</f>
        <v>9625.7940007261659</v>
      </c>
      <c r="D34">
        <f>(3/(1+('CurrentPor-LH=10 unchanged'!C34+'CurrentPor-LH=10 unchanged'!H34)/100)+103/POWER(1+('CurrentPor-LH=10 unchanged'!D34+'CurrentPor-LH=10 unchanged'!H34)/100,2))*100</f>
        <v>9594.5377309936757</v>
      </c>
      <c r="E34">
        <f>(3/(1+('CurrentPor-LH=10 unchanged'!C34+'CurrentPor-LH=10 unchanged'!I34)/100)+103/POWER(1+('CurrentPor-LH=10 unchanged'!D34+'CurrentPor-LH=10 unchanged'!I34)/100,2))*100</f>
        <v>9581.8701888552459</v>
      </c>
      <c r="F34">
        <f>Portfolio!B$5*'CurrentPor-LH=10 unchanged'!E34</f>
        <v>52143.895533915893</v>
      </c>
      <c r="G34">
        <f>Portfolio!B$6*'CurrentPor-LH=10 unchanged'!F34</f>
        <v>3696.2945087936532</v>
      </c>
      <c r="H34">
        <f>Portfolio!B$7*'CurrentPor-LH=10 unchanged'!J34</f>
        <v>2148.0998964419859</v>
      </c>
      <c r="I34">
        <f t="shared" si="0"/>
        <v>96498.077637155468</v>
      </c>
      <c r="J34">
        <f t="shared" si="1"/>
        <v>-4.7113443354173796</v>
      </c>
    </row>
    <row r="35" spans="1:10">
      <c r="A35" s="1">
        <v>45518</v>
      </c>
      <c r="B35">
        <f>(3/(1+('CurrentPor-LH=10 unchanged'!C35)/100)+103/POWER(1+('CurrentPor-LH=10 unchanged'!D35)/100,2))*100</f>
        <v>9707.5857774288397</v>
      </c>
      <c r="C35">
        <f>(3/(1+('CurrentPor-LH=10 unchanged'!C35+'CurrentPor-LH=10 unchanged'!G35)/100)+103/POWER(1+('CurrentPor-LH=10 unchanged'!D35+'CurrentPor-LH=10 unchanged'!G35)/100,2))*100</f>
        <v>9622.1830687052025</v>
      </c>
      <c r="D35">
        <f>(3/(1+('CurrentPor-LH=10 unchanged'!C35+'CurrentPor-LH=10 unchanged'!H35)/100)+103/POWER(1+('CurrentPor-LH=10 unchanged'!D35+'CurrentPor-LH=10 unchanged'!H35)/100,2))*100</f>
        <v>9608.7326212558746</v>
      </c>
      <c r="E35">
        <f>(3/(1+('CurrentPor-LH=10 unchanged'!C35+'CurrentPor-LH=10 unchanged'!I35)/100)+103/POWER(1+('CurrentPor-LH=10 unchanged'!D35+'CurrentPor-LH=10 unchanged'!I35)/100,2))*100</f>
        <v>9581.4251961795217</v>
      </c>
      <c r="F35">
        <f>Portfolio!B$5*'CurrentPor-LH=10 unchanged'!E35</f>
        <v>52143.895533915893</v>
      </c>
      <c r="G35">
        <f>Portfolio!B$6*'CurrentPor-LH=10 unchanged'!F35</f>
        <v>3696.2945087936532</v>
      </c>
      <c r="H35">
        <f>Portfolio!B$7*'CurrentPor-LH=10 unchanged'!J35</f>
        <v>2148.0998964419859</v>
      </c>
      <c r="I35">
        <f t="shared" si="0"/>
        <v>96508.216602720975</v>
      </c>
      <c r="J35">
        <f t="shared" si="1"/>
        <v>8.6331114438071381</v>
      </c>
    </row>
    <row r="36" spans="1:10">
      <c r="A36" s="1">
        <v>45519</v>
      </c>
      <c r="B36">
        <f>(3/(1+('CurrentPor-LH=10 unchanged'!C36)/100)+103/POWER(1+('CurrentPor-LH=10 unchanged'!D36)/100,2))*100</f>
        <v>9707.5857774288397</v>
      </c>
      <c r="C36">
        <f>(3/(1+('CurrentPor-LH=10 unchanged'!C36+'CurrentPor-LH=10 unchanged'!G36)/100)+103/POWER(1+('CurrentPor-LH=10 unchanged'!D36+'CurrentPor-LH=10 unchanged'!G36)/100,2))*100</f>
        <v>9622.1830687052025</v>
      </c>
      <c r="D36">
        <f>(3/(1+('CurrentPor-LH=10 unchanged'!C36+'CurrentPor-LH=10 unchanged'!H36)/100)+103/POWER(1+('CurrentPor-LH=10 unchanged'!D36+'CurrentPor-LH=10 unchanged'!H36)/100,2))*100</f>
        <v>9607.5616854519176</v>
      </c>
      <c r="E36">
        <f>(3/(1+('CurrentPor-LH=10 unchanged'!C36+'CurrentPor-LH=10 unchanged'!I36)/100)+103/POWER(1+('CurrentPor-LH=10 unchanged'!D36+'CurrentPor-LH=10 unchanged'!I36)/100,2))*100</f>
        <v>9579.7284877044658</v>
      </c>
      <c r="F36">
        <f>Portfolio!B$5*'CurrentPor-LH=10 unchanged'!E36</f>
        <v>52143.895533915893</v>
      </c>
      <c r="G36">
        <f>Portfolio!B$6*'CurrentPor-LH=10 unchanged'!F36</f>
        <v>3696.2945087936532</v>
      </c>
      <c r="H36">
        <f>Portfolio!B$7*'CurrentPor-LH=10 unchanged'!J36</f>
        <v>2148.0998964419859</v>
      </c>
      <c r="I36">
        <f t="shared" si="0"/>
        <v>96505.348958441959</v>
      </c>
      <c r="J36">
        <f t="shared" si="1"/>
        <v>14.984882095115609</v>
      </c>
    </row>
    <row r="37" spans="1:10">
      <c r="A37" s="1">
        <v>45520</v>
      </c>
      <c r="B37">
        <f>(3/(1+('CurrentPor-LH=10 unchanged'!C37)/100)+103/POWER(1+('CurrentPor-LH=10 unchanged'!D37)/100,2))*100</f>
        <v>9707.5857774288397</v>
      </c>
      <c r="C37">
        <f>(3/(1+('CurrentPor-LH=10 unchanged'!C37+'CurrentPor-LH=10 unchanged'!G37)/100)+103/POWER(1+('CurrentPor-LH=10 unchanged'!D37+'CurrentPor-LH=10 unchanged'!G37)/100,2))*100</f>
        <v>9622.1830687052025</v>
      </c>
      <c r="D37">
        <f>(3/(1+('CurrentPor-LH=10 unchanged'!C37+'CurrentPor-LH=10 unchanged'!H37)/100)+103/POWER(1+('CurrentPor-LH=10 unchanged'!D37+'CurrentPor-LH=10 unchanged'!H37)/100,2))*100</f>
        <v>9606.1106357583994</v>
      </c>
      <c r="E37">
        <f>(3/(1+('CurrentPor-LH=10 unchanged'!C37+'CurrentPor-LH=10 unchanged'!I37)/100)+103/POWER(1+('CurrentPor-LH=10 unchanged'!D37+'CurrentPor-LH=10 unchanged'!I37)/100,2))*100</f>
        <v>9578.9007657744351</v>
      </c>
      <c r="F37">
        <f>Portfolio!B$5*'CurrentPor-LH=10 unchanged'!E37</f>
        <v>52143.895533915893</v>
      </c>
      <c r="G37">
        <f>Portfolio!B$6*'CurrentPor-LH=10 unchanged'!F37</f>
        <v>3696.2945087936532</v>
      </c>
      <c r="H37">
        <f>Portfolio!B$7*'CurrentPor-LH=10 unchanged'!J37</f>
        <v>2148.0998964419859</v>
      </c>
      <c r="I37">
        <f t="shared" si="0"/>
        <v>96503.070186818411</v>
      </c>
      <c r="J37">
        <f t="shared" si="1"/>
        <v>26.489196913171327</v>
      </c>
    </row>
    <row r="38" spans="1:10">
      <c r="A38" s="1">
        <v>45523</v>
      </c>
      <c r="B38">
        <f>(3/(1+('CurrentPor-LH=10 unchanged'!C38)/100)+103/POWER(1+('CurrentPor-LH=10 unchanged'!D38)/100,2))*100</f>
        <v>9707.5857774288397</v>
      </c>
      <c r="C38">
        <f>(3/(1+('CurrentPor-LH=10 unchanged'!C38+'CurrentPor-LH=10 unchanged'!G38)/100)+103/POWER(1+('CurrentPor-LH=10 unchanged'!D38+'CurrentPor-LH=10 unchanged'!G38)/100,2))*100</f>
        <v>9620.3783721850123</v>
      </c>
      <c r="D38">
        <f>(3/(1+('CurrentPor-LH=10 unchanged'!C38+'CurrentPor-LH=10 unchanged'!H38)/100)+103/POWER(1+('CurrentPor-LH=10 unchanged'!D38+'CurrentPor-LH=10 unchanged'!H38)/100,2))*100</f>
        <v>9584.5899894685554</v>
      </c>
      <c r="E38">
        <f>(3/(1+('CurrentPor-LH=10 unchanged'!C38+'CurrentPor-LH=10 unchanged'!I38)/100)+103/POWER(1+('CurrentPor-LH=10 unchanged'!D38+'CurrentPor-LH=10 unchanged'!I38)/100,2))*100</f>
        <v>9581.3167698895377</v>
      </c>
      <c r="F38">
        <f>Portfolio!B$5*'CurrentPor-LH=10 unchanged'!E38</f>
        <v>52143.895533915893</v>
      </c>
      <c r="G38">
        <f>Portfolio!B$6*'CurrentPor-LH=10 unchanged'!F38</f>
        <v>3696.2945087936532</v>
      </c>
      <c r="H38">
        <f>Portfolio!B$7*'CurrentPor-LH=10 unchanged'!J38</f>
        <v>2148.0998964419859</v>
      </c>
      <c r="I38">
        <f t="shared" si="0"/>
        <v>96482.160848123473</v>
      </c>
      <c r="J38">
        <f t="shared" si="1"/>
        <v>-30.136638539406704</v>
      </c>
    </row>
    <row r="39" spans="1:10">
      <c r="A39" s="1">
        <v>45524</v>
      </c>
      <c r="B39">
        <f>(3/(1+('CurrentPor-LH=10 unchanged'!C39)/100)+103/POWER(1+('CurrentPor-LH=10 unchanged'!D39)/100,2))*100</f>
        <v>9707.5857774288397</v>
      </c>
      <c r="C39">
        <f>(3/(1+('CurrentPor-LH=10 unchanged'!C39+'CurrentPor-LH=10 unchanged'!G39)/100)+103/POWER(1+('CurrentPor-LH=10 unchanged'!D39+'CurrentPor-LH=10 unchanged'!G39)/100,2))*100</f>
        <v>9622.1830687052025</v>
      </c>
      <c r="D39">
        <f>(3/(1+('CurrentPor-LH=10 unchanged'!C39+'CurrentPor-LH=10 unchanged'!H39)/100)+103/POWER(1+('CurrentPor-LH=10 unchanged'!D39+'CurrentPor-LH=10 unchanged'!H39)/100,2))*100</f>
        <v>9592.986627535307</v>
      </c>
      <c r="E39">
        <f>(3/(1+('CurrentPor-LH=10 unchanged'!C39+'CurrentPor-LH=10 unchanged'!I39)/100)+103/POWER(1+('CurrentPor-LH=10 unchanged'!D39+'CurrentPor-LH=10 unchanged'!I39)/100,2))*100</f>
        <v>9582.3790901550801</v>
      </c>
      <c r="F39">
        <f>Portfolio!B$5*'CurrentPor-LH=10 unchanged'!E39</f>
        <v>52143.895533915893</v>
      </c>
      <c r="G39">
        <f>Portfolio!B$6*'CurrentPor-LH=10 unchanged'!F39</f>
        <v>3696.2945087936532</v>
      </c>
      <c r="H39">
        <f>Portfolio!B$7*'CurrentPor-LH=10 unchanged'!J39</f>
        <v>2148.0998964419859</v>
      </c>
      <c r="I39">
        <f t="shared" si="0"/>
        <v>96493.424502975962</v>
      </c>
      <c r="J39">
        <f t="shared" si="1"/>
        <v>-1.2152487548592035</v>
      </c>
    </row>
    <row r="40" spans="1:10">
      <c r="A40" s="1">
        <v>45525</v>
      </c>
      <c r="B40">
        <f>(3/(1+('CurrentPor-LH=10 unchanged'!C40)/100)+103/POWER(1+('CurrentPor-LH=10 unchanged'!D40)/100,2))*100</f>
        <v>9707.5857774288397</v>
      </c>
      <c r="C40">
        <f>(3/(1+('CurrentPor-LH=10 unchanged'!C40+'CurrentPor-LH=10 unchanged'!G40)/100)+103/POWER(1+('CurrentPor-LH=10 unchanged'!D40+'CurrentPor-LH=10 unchanged'!G40)/100,2))*100</f>
        <v>9620.3783721850123</v>
      </c>
      <c r="D40">
        <f>(3/(1+('CurrentPor-LH=10 unchanged'!C40+'CurrentPor-LH=10 unchanged'!H40)/100)+103/POWER(1+('CurrentPor-LH=10 unchanged'!D40+'CurrentPor-LH=10 unchanged'!H40)/100,2))*100</f>
        <v>9590.0459785141047</v>
      </c>
      <c r="E40">
        <f>(3/(1+('CurrentPor-LH=10 unchanged'!C40+'CurrentPor-LH=10 unchanged'!I40)/100)+103/POWER(1+('CurrentPor-LH=10 unchanged'!D40+'CurrentPor-LH=10 unchanged'!I40)/100,2))*100</f>
        <v>9581.0692464589501</v>
      </c>
      <c r="F40">
        <f>Portfolio!B$5*'CurrentPor-LH=10 unchanged'!E40</f>
        <v>52143.895533915893</v>
      </c>
      <c r="G40">
        <f>Portfolio!B$6*'CurrentPor-LH=10 unchanged'!F40</f>
        <v>3696.2945087936532</v>
      </c>
      <c r="H40">
        <f>Portfolio!B$7*'CurrentPor-LH=10 unchanged'!J40</f>
        <v>2148.0998964419859</v>
      </c>
      <c r="I40">
        <f t="shared" si="0"/>
        <v>96487.36931373844</v>
      </c>
      <c r="J40">
        <f t="shared" si="1"/>
        <v>-25.003462279346422</v>
      </c>
    </row>
    <row r="41" spans="1:10">
      <c r="A41" s="1">
        <v>45526</v>
      </c>
      <c r="B41">
        <f>(3/(1+('CurrentPor-LH=10 unchanged'!C41)/100)+103/POWER(1+('CurrentPor-LH=10 unchanged'!D41)/100,2))*100</f>
        <v>9707.5857774288397</v>
      </c>
      <c r="C41">
        <f>(3/(1+('CurrentPor-LH=10 unchanged'!C41+'CurrentPor-LH=10 unchanged'!G41)/100)+103/POWER(1+('CurrentPor-LH=10 unchanged'!D41+'CurrentPor-LH=10 unchanged'!G41)/100,2))*100</f>
        <v>9620.3783721850123</v>
      </c>
      <c r="D41">
        <f>(3/(1+('CurrentPor-LH=10 unchanged'!C41+'CurrentPor-LH=10 unchanged'!H41)/100)+103/POWER(1+('CurrentPor-LH=10 unchanged'!D41+'CurrentPor-LH=10 unchanged'!H41)/100,2))*100</f>
        <v>9590.3986063913599</v>
      </c>
      <c r="E41">
        <f>(3/(1+('CurrentPor-LH=10 unchanged'!C41+'CurrentPor-LH=10 unchanged'!I41)/100)+103/POWER(1+('CurrentPor-LH=10 unchanged'!D41+'CurrentPor-LH=10 unchanged'!I41)/100,2))*100</f>
        <v>9581.8453909640666</v>
      </c>
      <c r="F41">
        <f>Portfolio!B$5*'CurrentPor-LH=10 unchanged'!E41</f>
        <v>52143.895533915893</v>
      </c>
      <c r="G41">
        <f>Portfolio!B$6*'CurrentPor-LH=10 unchanged'!F41</f>
        <v>3696.2945087936532</v>
      </c>
      <c r="H41">
        <f>Portfolio!B$7*'CurrentPor-LH=10 unchanged'!J41</f>
        <v>2148.0998964419859</v>
      </c>
      <c r="I41">
        <f t="shared" si="0"/>
        <v>96488.498086120802</v>
      </c>
      <c r="J41">
        <f t="shared" si="1"/>
        <v>-9.4658168271416798</v>
      </c>
    </row>
    <row r="42" spans="1:10">
      <c r="A42" s="1">
        <v>45527</v>
      </c>
      <c r="B42">
        <f>(3/(1+('CurrentPor-LH=10 unchanged'!C42)/100)+103/POWER(1+('CurrentPor-LH=10 unchanged'!D42)/100,2))*100</f>
        <v>9707.5857774288397</v>
      </c>
      <c r="C42">
        <f>(3/(1+('CurrentPor-LH=10 unchanged'!C42+'CurrentPor-LH=10 unchanged'!G42)/100)+103/POWER(1+('CurrentPor-LH=10 unchanged'!D42+'CurrentPor-LH=10 unchanged'!G42)/100,2))*100</f>
        <v>9623.98827815396</v>
      </c>
      <c r="D42">
        <f>(3/(1+('CurrentPor-LH=10 unchanged'!C42+'CurrentPor-LH=10 unchanged'!H42)/100)+103/POWER(1+('CurrentPor-LH=10 unchanged'!D42+'CurrentPor-LH=10 unchanged'!H42)/100,2))*100</f>
        <v>9598.9630495882157</v>
      </c>
      <c r="E42">
        <f>(3/(1+('CurrentPor-LH=10 unchanged'!C42+'CurrentPor-LH=10 unchanged'!I42)/100)+103/POWER(1+('CurrentPor-LH=10 unchanged'!D42+'CurrentPor-LH=10 unchanged'!I42)/100,2))*100</f>
        <v>9580.4436617417286</v>
      </c>
      <c r="F42">
        <f>Portfolio!B$5*'CurrentPor-LH=10 unchanged'!E42</f>
        <v>52143.895533915893</v>
      </c>
      <c r="G42">
        <f>Portfolio!B$6*'CurrentPor-LH=10 unchanged'!F42</f>
        <v>3696.2945087936532</v>
      </c>
      <c r="H42">
        <f>Portfolio!B$7*'CurrentPor-LH=10 unchanged'!J42</f>
        <v>2148.0998964419859</v>
      </c>
      <c r="I42">
        <f t="shared" si="0"/>
        <v>96499.270706064286</v>
      </c>
      <c r="J42">
        <f t="shared" si="1"/>
        <v>-10.165256078413222</v>
      </c>
    </row>
    <row r="43" spans="1:10">
      <c r="A43" s="1">
        <v>45530</v>
      </c>
      <c r="B43">
        <f>(3/(1+('CurrentPor-LH=10 unchanged'!C43)/100)+103/POWER(1+('CurrentPor-LH=10 unchanged'!D43)/100,2))*100</f>
        <v>9707.5857774288397</v>
      </c>
      <c r="C43">
        <f>(3/(1+('CurrentPor-LH=10 unchanged'!C43+'CurrentPor-LH=10 unchanged'!G43)/100)+103/POWER(1+('CurrentPor-LH=10 unchanged'!D43+'CurrentPor-LH=10 unchanged'!G43)/100,2))*100</f>
        <v>9618.5741883985884</v>
      </c>
      <c r="D43">
        <f>(3/(1+('CurrentPor-LH=10 unchanged'!C43+'CurrentPor-LH=10 unchanged'!H43)/100)+103/POWER(1+('CurrentPor-LH=10 unchanged'!D43+'CurrentPor-LH=10 unchanged'!H43)/100,2))*100</f>
        <v>9606.9286815533123</v>
      </c>
      <c r="E43">
        <f>(3/(1+('CurrentPor-LH=10 unchanged'!C43+'CurrentPor-LH=10 unchanged'!I43)/100)+103/POWER(1+('CurrentPor-LH=10 unchanged'!D43+'CurrentPor-LH=10 unchanged'!I43)/100,2))*100</f>
        <v>9580.9276173093058</v>
      </c>
      <c r="F43">
        <f>Portfolio!B$5*'CurrentPor-LH=10 unchanged'!E43</f>
        <v>52143.895533915893</v>
      </c>
      <c r="G43">
        <f>Portfolio!B$6*'CurrentPor-LH=10 unchanged'!F43</f>
        <v>3696.2945087936532</v>
      </c>
      <c r="H43">
        <f>Portfolio!B$7*'CurrentPor-LH=10 unchanged'!J43</f>
        <v>2148.0998964419859</v>
      </c>
      <c r="I43">
        <f t="shared" si="0"/>
        <v>96502.306203841566</v>
      </c>
      <c r="J43">
        <f t="shared" si="1"/>
        <v>-7.4932558094442356</v>
      </c>
    </row>
    <row r="44" spans="1:10">
      <c r="A44" s="1">
        <v>45531</v>
      </c>
      <c r="B44">
        <f>(3/(1+('CurrentPor-LH=10 unchanged'!C44)/100)+103/POWER(1+('CurrentPor-LH=10 unchanged'!D44)/100,2))*100</f>
        <v>9707.5857774288397</v>
      </c>
      <c r="C44">
        <f>(3/(1+('CurrentPor-LH=10 unchanged'!C44+'CurrentPor-LH=10 unchanged'!G44)/100)+103/POWER(1+('CurrentPor-LH=10 unchanged'!D44+'CurrentPor-LH=10 unchanged'!G44)/100,2))*100</f>
        <v>9618.5741883985884</v>
      </c>
      <c r="D44">
        <f>(3/(1+('CurrentPor-LH=10 unchanged'!C44+'CurrentPor-LH=10 unchanged'!H44)/100)+103/POWER(1+('CurrentPor-LH=10 unchanged'!D44+'CurrentPor-LH=10 unchanged'!H44)/100,2))*100</f>
        <v>9600.4295335271127</v>
      </c>
      <c r="E44">
        <f>(3/(1+('CurrentPor-LH=10 unchanged'!C44+'CurrentPor-LH=10 unchanged'!I44)/100)+103/POWER(1+('CurrentPor-LH=10 unchanged'!D44+'CurrentPor-LH=10 unchanged'!I44)/100,2))*100</f>
        <v>9580.0335021781393</v>
      </c>
      <c r="F44">
        <f>Portfolio!B$5*'CurrentPor-LH=10 unchanged'!E44</f>
        <v>52143.895533915893</v>
      </c>
      <c r="G44">
        <f>Portfolio!B$6*'CurrentPor-LH=10 unchanged'!F44</f>
        <v>3696.2945087936532</v>
      </c>
      <c r="H44">
        <f>Portfolio!B$7*'CurrentPor-LH=10 unchanged'!J44</f>
        <v>2148.0998964419859</v>
      </c>
      <c r="I44">
        <f t="shared" si="0"/>
        <v>96494.912940684211</v>
      </c>
      <c r="J44">
        <f t="shared" si="1"/>
        <v>-3.1646964712563204</v>
      </c>
    </row>
    <row r="45" spans="1:10">
      <c r="A45" s="1">
        <v>45532</v>
      </c>
      <c r="B45">
        <f>(3/(1+('CurrentPor-LH=10 unchanged'!C45)/100)+103/POWER(1+('CurrentPor-LH=10 unchanged'!D45)/100,2))*100</f>
        <v>9707.5857774288397</v>
      </c>
      <c r="C45">
        <f>(3/(1+('CurrentPor-LH=10 unchanged'!C45+'CurrentPor-LH=10 unchanged'!G45)/100)+103/POWER(1+('CurrentPor-LH=10 unchanged'!D45+'CurrentPor-LH=10 unchanged'!G45)/100,2))*100</f>
        <v>9616.7705171512371</v>
      </c>
      <c r="D45">
        <f>(3/(1+('CurrentPor-LH=10 unchanged'!C45+'CurrentPor-LH=10 unchanged'!H45)/100)+103/POWER(1+('CurrentPor-LH=10 unchanged'!D45+'CurrentPor-LH=10 unchanged'!H45)/100,2))*100</f>
        <v>9604.6783978490421</v>
      </c>
      <c r="E45">
        <f>(3/(1+('CurrentPor-LH=10 unchanged'!C45+'CurrentPor-LH=10 unchanged'!I45)/100)+103/POWER(1+('CurrentPor-LH=10 unchanged'!D45+'CurrentPor-LH=10 unchanged'!I45)/100,2))*100</f>
        <v>9581.5383860136208</v>
      </c>
      <c r="F45">
        <f>Portfolio!B$5*'CurrentPor-LH=10 unchanged'!E45</f>
        <v>52143.895533915893</v>
      </c>
      <c r="G45">
        <f>Portfolio!B$6*'CurrentPor-LH=10 unchanged'!F45</f>
        <v>3696.2945087936532</v>
      </c>
      <c r="H45">
        <f>Portfolio!B$7*'CurrentPor-LH=10 unchanged'!J45</f>
        <v>2148.0998964419859</v>
      </c>
      <c r="I45">
        <f t="shared" si="0"/>
        <v>96498.863017594282</v>
      </c>
      <c r="J45">
        <f t="shared" si="1"/>
        <v>-9.3535851266933605</v>
      </c>
    </row>
    <row r="46" spans="1:10">
      <c r="A46" s="1">
        <v>45533</v>
      </c>
      <c r="B46">
        <f>(3/(1+('CurrentPor-LH=10 unchanged'!C46)/100)+103/POWER(1+('CurrentPor-LH=10 unchanged'!D46)/100,2))*100</f>
        <v>9707.5857774288397</v>
      </c>
      <c r="C46">
        <f>(3/(1+('CurrentPor-LH=10 unchanged'!C46+'CurrentPor-LH=10 unchanged'!G46)/100)+103/POWER(1+('CurrentPor-LH=10 unchanged'!D46+'CurrentPor-LH=10 unchanged'!G46)/100,2))*100</f>
        <v>9622.1830687052025</v>
      </c>
      <c r="D46">
        <f>(3/(1+('CurrentPor-LH=10 unchanged'!C46+'CurrentPor-LH=10 unchanged'!H46)/100)+103/POWER(1+('CurrentPor-LH=10 unchanged'!D46+'CurrentPor-LH=10 unchanged'!H46)/100,2))*100</f>
        <v>9603.5136274222132</v>
      </c>
      <c r="E46">
        <f>(3/(1+('CurrentPor-LH=10 unchanged'!C46+'CurrentPor-LH=10 unchanged'!I46)/100)+103/POWER(1+('CurrentPor-LH=10 unchanged'!D46+'CurrentPor-LH=10 unchanged'!I46)/100,2))*100</f>
        <v>9580.7210688352407</v>
      </c>
      <c r="F46">
        <f>Portfolio!B$5*'CurrentPor-LH=10 unchanged'!E46</f>
        <v>52143.895533915893</v>
      </c>
      <c r="G46">
        <f>Portfolio!B$6*'CurrentPor-LH=10 unchanged'!F46</f>
        <v>3696.2945087936532</v>
      </c>
      <c r="H46">
        <f>Portfolio!B$7*'CurrentPor-LH=10 unchanged'!J46</f>
        <v>2148.0998964419859</v>
      </c>
      <c r="I46">
        <f t="shared" si="0"/>
        <v>96502.293481543034</v>
      </c>
      <c r="J46">
        <f t="shared" si="1"/>
        <v>-3.0554768989240984</v>
      </c>
    </row>
    <row r="47" spans="1:10">
      <c r="A47" s="1">
        <v>45534</v>
      </c>
      <c r="B47">
        <f>(3/(1+('CurrentPor-LH=10 unchanged'!C47)/100)+103/POWER(1+('CurrentPor-LH=10 unchanged'!D47)/100,2))*100</f>
        <v>9707.5857774288397</v>
      </c>
      <c r="C47">
        <f>(3/(1+('CurrentPor-LH=10 unchanged'!C47+'CurrentPor-LH=10 unchanged'!G47)/100)+103/POWER(1+('CurrentPor-LH=10 unchanged'!D47+'CurrentPor-LH=10 unchanged'!G47)/100,2))*100</f>
        <v>9620.3783721850123</v>
      </c>
      <c r="D47">
        <f>(3/(1+('CurrentPor-LH=10 unchanged'!C47+'CurrentPor-LH=10 unchanged'!H47)/100)+103/POWER(1+('CurrentPor-LH=10 unchanged'!D47+'CurrentPor-LH=10 unchanged'!H47)/100,2))*100</f>
        <v>9595.1709859650473</v>
      </c>
      <c r="E47">
        <f>(3/(1+('CurrentPor-LH=10 unchanged'!C47+'CurrentPor-LH=10 unchanged'!I47)/100)+103/POWER(1+('CurrentPor-LH=10 unchanged'!D47+'CurrentPor-LH=10 unchanged'!I47)/100,2))*100</f>
        <v>9580.8765299426304</v>
      </c>
      <c r="F47">
        <f>Portfolio!B$5*'CurrentPor-LH=10 unchanged'!E47</f>
        <v>52143.895533915893</v>
      </c>
      <c r="G47">
        <f>Portfolio!B$6*'CurrentPor-LH=10 unchanged'!F47</f>
        <v>3696.2945087936532</v>
      </c>
      <c r="H47">
        <f>Portfolio!B$7*'CurrentPor-LH=10 unchanged'!J47</f>
        <v>2148.0998964419859</v>
      </c>
      <c r="I47">
        <f t="shared" si="0"/>
        <v>96492.301604673048</v>
      </c>
      <c r="J47">
        <f t="shared" si="1"/>
        <v>-10.768582145363325</v>
      </c>
    </row>
    <row r="48" spans="1:10">
      <c r="A48" s="1">
        <v>45537</v>
      </c>
      <c r="B48">
        <f>(3/(1+('CurrentPor-LH=10 unchanged'!C48)/100)+103/POWER(1+('CurrentPor-LH=10 unchanged'!D48)/100,2))*100</f>
        <v>9707.5857774288397</v>
      </c>
      <c r="C48">
        <f>(3/(1+('CurrentPor-LH=10 unchanged'!C48+'CurrentPor-LH=10 unchanged'!G48)/100)+103/POWER(1+('CurrentPor-LH=10 unchanged'!D48+'CurrentPor-LH=10 unchanged'!G48)/100,2))*100</f>
        <v>9618.5741883985884</v>
      </c>
      <c r="D48">
        <f>(3/(1+('CurrentPor-LH=10 unchanged'!C48+'CurrentPor-LH=10 unchanged'!H48)/100)+103/POWER(1+('CurrentPor-LH=10 unchanged'!D48+'CurrentPor-LH=10 unchanged'!H48)/100,2))*100</f>
        <v>9596.8867541885575</v>
      </c>
      <c r="E48">
        <f>(3/(1+('CurrentPor-LH=10 unchanged'!C48+'CurrentPor-LH=10 unchanged'!I48)/100)+103/POWER(1+('CurrentPor-LH=10 unchanged'!D48+'CurrentPor-LH=10 unchanged'!I48)/100,2))*100</f>
        <v>9581.8685111770646</v>
      </c>
      <c r="F48">
        <f>Portfolio!B$5*'CurrentPor-LH=10 unchanged'!E48</f>
        <v>52143.895533915893</v>
      </c>
      <c r="G48">
        <f>Portfolio!B$6*'CurrentPor-LH=10 unchanged'!F48</f>
        <v>3696.2945087936532</v>
      </c>
      <c r="H48">
        <f>Portfolio!B$7*'CurrentPor-LH=10 unchanged'!J48</f>
        <v>2148.0998964419859</v>
      </c>
      <c r="I48">
        <f t="shared" si="0"/>
        <v>96493.205170344576</v>
      </c>
      <c r="J48">
        <f t="shared" si="1"/>
        <v>11.044322221103357</v>
      </c>
    </row>
    <row r="49" spans="1:10">
      <c r="A49" s="1">
        <v>45538</v>
      </c>
      <c r="B49">
        <f>(3/(1+('CurrentPor-LH=10 unchanged'!C49)/100)+103/POWER(1+('CurrentPor-LH=10 unchanged'!D49)/100,2))*100</f>
        <v>9707.5857774288397</v>
      </c>
      <c r="C49">
        <f>(3/(1+('CurrentPor-LH=10 unchanged'!C49+'CurrentPor-LH=10 unchanged'!G49)/100)+103/POWER(1+('CurrentPor-LH=10 unchanged'!D49+'CurrentPor-LH=10 unchanged'!G49)/100,2))*100</f>
        <v>9623.98827815396</v>
      </c>
      <c r="D49">
        <f>(3/(1+('CurrentPor-LH=10 unchanged'!C49+'CurrentPor-LH=10 unchanged'!H49)/100)+103/POWER(1+('CurrentPor-LH=10 unchanged'!D49+'CurrentPor-LH=10 unchanged'!H49)/100,2))*100</f>
        <v>9624.7030766889202</v>
      </c>
      <c r="E49">
        <f>(3/(1+('CurrentPor-LH=10 unchanged'!C49+'CurrentPor-LH=10 unchanged'!I49)/100)+103/POWER(1+('CurrentPor-LH=10 unchanged'!D49+'CurrentPor-LH=10 unchanged'!I49)/100,2))*100</f>
        <v>9580.451743697784</v>
      </c>
      <c r="F49">
        <f>Portfolio!B$5*'CurrentPor-LH=10 unchanged'!E49</f>
        <v>52143.895533915893</v>
      </c>
      <c r="G49">
        <f>Portfolio!B$6*'CurrentPor-LH=10 unchanged'!F49</f>
        <v>3696.2945087936532</v>
      </c>
      <c r="H49">
        <f>Portfolio!B$7*'CurrentPor-LH=10 unchanged'!J49</f>
        <v>2148.0998964419859</v>
      </c>
      <c r="I49">
        <f t="shared" si="0"/>
        <v>96525.018815121046</v>
      </c>
      <c r="J49">
        <f t="shared" si="1"/>
        <v>31.594312145083677</v>
      </c>
    </row>
    <row r="50" spans="1:10">
      <c r="A50" s="1">
        <v>45539</v>
      </c>
      <c r="B50">
        <f>(3/(1+('CurrentPor-LH=10 unchanged'!C50)/100)+103/POWER(1+('CurrentPor-LH=10 unchanged'!D50)/100,2))*100</f>
        <v>9707.5857774288397</v>
      </c>
      <c r="C50">
        <f>(3/(1+('CurrentPor-LH=10 unchanged'!C50+'CurrentPor-LH=10 unchanged'!G50)/100)+103/POWER(1+('CurrentPor-LH=10 unchanged'!D50+'CurrentPor-LH=10 unchanged'!G50)/100,2))*100</f>
        <v>9623.98827815396</v>
      </c>
      <c r="D50">
        <f>(3/(1+('CurrentPor-LH=10 unchanged'!C50+'CurrentPor-LH=10 unchanged'!H50)/100)+103/POWER(1+('CurrentPor-LH=10 unchanged'!D50+'CurrentPor-LH=10 unchanged'!H50)/100,2))*100</f>
        <v>9610.8341407352054</v>
      </c>
      <c r="E50">
        <f>(3/(1+('CurrentPor-LH=10 unchanged'!C50+'CurrentPor-LH=10 unchanged'!I50)/100)+103/POWER(1+('CurrentPor-LH=10 unchanged'!D50+'CurrentPor-LH=10 unchanged'!I50)/100,2))*100</f>
        <v>9580.2788659877933</v>
      </c>
      <c r="F50">
        <f>Portfolio!B$5*'CurrentPor-LH=10 unchanged'!E50</f>
        <v>52143.895533915893</v>
      </c>
      <c r="G50">
        <f>Portfolio!B$6*'CurrentPor-LH=10 unchanged'!F50</f>
        <v>3696.2945087936532</v>
      </c>
      <c r="H50">
        <f>Portfolio!B$7*'CurrentPor-LH=10 unchanged'!J50</f>
        <v>2148.0998964419859</v>
      </c>
      <c r="I50">
        <f t="shared" si="0"/>
        <v>96510.97700145733</v>
      </c>
      <c r="J50">
        <f t="shared" si="1"/>
        <v>23.607687718889792</v>
      </c>
    </row>
    <row r="51" spans="1:10">
      <c r="A51" s="1">
        <v>45540</v>
      </c>
      <c r="B51">
        <f>(3/(1+('CurrentPor-LH=10 unchanged'!C51)/100)+103/POWER(1+('CurrentPor-LH=10 unchanged'!D51)/100,2))*100</f>
        <v>9707.5857774288397</v>
      </c>
      <c r="C51">
        <f>(3/(1+('CurrentPor-LH=10 unchanged'!C51+'CurrentPor-LH=10 unchanged'!G51)/100)+103/POWER(1+('CurrentPor-LH=10 unchanged'!D51+'CurrentPor-LH=10 unchanged'!G51)/100,2))*100</f>
        <v>9623.98827815396</v>
      </c>
      <c r="D51">
        <f>(3/(1+('CurrentPor-LH=10 unchanged'!C51+'CurrentPor-LH=10 unchanged'!H51)/100)+103/POWER(1+('CurrentPor-LH=10 unchanged'!D51+'CurrentPor-LH=10 unchanged'!H51)/100,2))*100</f>
        <v>9591.9017329797862</v>
      </c>
      <c r="E51">
        <f>(3/(1+('CurrentPor-LH=10 unchanged'!C51+'CurrentPor-LH=10 unchanged'!I51)/100)+103/POWER(1+('CurrentPor-LH=10 unchanged'!D51+'CurrentPor-LH=10 unchanged'!I51)/100,2))*100</f>
        <v>9579.1843047554121</v>
      </c>
      <c r="F51">
        <f>Portfolio!B$5*'CurrentPor-LH=10 unchanged'!E51</f>
        <v>52143.895533915893</v>
      </c>
      <c r="G51">
        <f>Portfolio!B$6*'CurrentPor-LH=10 unchanged'!F51</f>
        <v>3696.2945087936532</v>
      </c>
      <c r="H51">
        <f>Portfolio!B$7*'CurrentPor-LH=10 unchanged'!J51</f>
        <v>2148.0998964419859</v>
      </c>
      <c r="I51">
        <f t="shared" si="0"/>
        <v>96490.95003246954</v>
      </c>
      <c r="J51">
        <f t="shared" si="1"/>
        <v>2.4519463487376925</v>
      </c>
    </row>
    <row r="52" spans="1:10">
      <c r="A52" s="1">
        <v>45541</v>
      </c>
      <c r="B52">
        <f>(3/(1+('CurrentPor-LH=10 unchanged'!C52)/100)+103/POWER(1+('CurrentPor-LH=10 unchanged'!D52)/100,2))*100</f>
        <v>9707.5857774288397</v>
      </c>
      <c r="C52">
        <f>(3/(1+('CurrentPor-LH=10 unchanged'!C52+'CurrentPor-LH=10 unchanged'!G52)/100)+103/POWER(1+('CurrentPor-LH=10 unchanged'!D52+'CurrentPor-LH=10 unchanged'!G52)/100,2))*100</f>
        <v>9623.98827815396</v>
      </c>
      <c r="D52">
        <f>(3/(1+('CurrentPor-LH=10 unchanged'!C52+'CurrentPor-LH=10 unchanged'!H52)/100)+103/POWER(1+('CurrentPor-LH=10 unchanged'!D52+'CurrentPor-LH=10 unchanged'!H52)/100,2))*100</f>
        <v>9602.5500356131615</v>
      </c>
      <c r="E52">
        <f>(3/(1+('CurrentPor-LH=10 unchanged'!C52+'CurrentPor-LH=10 unchanged'!I52)/100)+103/POWER(1+('CurrentPor-LH=10 unchanged'!D52+'CurrentPor-LH=10 unchanged'!I52)/100,2))*100</f>
        <v>9580.2481663423441</v>
      </c>
      <c r="F52">
        <f>Portfolio!B$5*'CurrentPor-LH=10 unchanged'!E52</f>
        <v>52143.895533915893</v>
      </c>
      <c r="G52">
        <f>Portfolio!B$6*'CurrentPor-LH=10 unchanged'!F52</f>
        <v>3696.2945087936532</v>
      </c>
      <c r="H52">
        <f>Portfolio!B$7*'CurrentPor-LH=10 unchanged'!J52</f>
        <v>2148.0998964419859</v>
      </c>
      <c r="I52">
        <f t="shared" si="0"/>
        <v>96502.662196689838</v>
      </c>
      <c r="J52">
        <f t="shared" si="1"/>
        <v>3.391490625552251</v>
      </c>
    </row>
    <row r="53" spans="1:10">
      <c r="A53" s="1">
        <v>45544</v>
      </c>
      <c r="B53">
        <f>(3/(1+('CurrentPor-LH=10 unchanged'!C53)/100)+103/POWER(1+('CurrentPor-LH=10 unchanged'!D53)/100,2))*100</f>
        <v>9707.5857774288397</v>
      </c>
      <c r="C53">
        <f>(3/(1+('CurrentPor-LH=10 unchanged'!C53+'CurrentPor-LH=10 unchanged'!G53)/100)+103/POWER(1+('CurrentPor-LH=10 unchanged'!D53+'CurrentPor-LH=10 unchanged'!G53)/100,2))*100</f>
        <v>9629.4069860209238</v>
      </c>
      <c r="D53">
        <f>(3/(1+('CurrentPor-LH=10 unchanged'!C53+'CurrentPor-LH=10 unchanged'!H53)/100)+103/POWER(1+('CurrentPor-LH=10 unchanged'!D53+'CurrentPor-LH=10 unchanged'!H53)/100,2))*100</f>
        <v>9610.7303003650195</v>
      </c>
      <c r="E53">
        <f>(3/(1+('CurrentPor-LH=10 unchanged'!C53+'CurrentPor-LH=10 unchanged'!I53)/100)+103/POWER(1+('CurrentPor-LH=10 unchanged'!D53+'CurrentPor-LH=10 unchanged'!I53)/100,2))*100</f>
        <v>9580.5166768917297</v>
      </c>
      <c r="F53">
        <f>Portfolio!B$5*'CurrentPor-LH=10 unchanged'!E53</f>
        <v>52143.895533915893</v>
      </c>
      <c r="G53">
        <f>Portfolio!B$6*'CurrentPor-LH=10 unchanged'!F53</f>
        <v>3696.2945087936532</v>
      </c>
      <c r="H53">
        <f>Portfolio!B$7*'CurrentPor-LH=10 unchanged'!J53</f>
        <v>2148.0998964419859</v>
      </c>
      <c r="I53">
        <f t="shared" si="0"/>
        <v>96516.529679858053</v>
      </c>
      <c r="J53">
        <f t="shared" si="1"/>
        <v>14.223476016486529</v>
      </c>
    </row>
    <row r="54" spans="1:10">
      <c r="A54" s="1">
        <v>45545</v>
      </c>
      <c r="B54">
        <f>(3/(1+('CurrentPor-LH=10 unchanged'!C54)/100)+103/POWER(1+('CurrentPor-LH=10 unchanged'!D54)/100,2))*100</f>
        <v>9707.5857774288397</v>
      </c>
      <c r="C54">
        <f>(3/(1+('CurrentPor-LH=10 unchanged'!C54+'CurrentPor-LH=10 unchanged'!G54)/100)+103/POWER(1+('CurrentPor-LH=10 unchanged'!D54+'CurrentPor-LH=10 unchanged'!G54)/100,2))*100</f>
        <v>9631.2142491337127</v>
      </c>
      <c r="D54">
        <f>(3/(1+('CurrentPor-LH=10 unchanged'!C54+'CurrentPor-LH=10 unchanged'!H54)/100)+103/POWER(1+('CurrentPor-LH=10 unchanged'!D54+'CurrentPor-LH=10 unchanged'!H54)/100,2))*100</f>
        <v>9582.0723452286602</v>
      </c>
      <c r="E54">
        <f>(3/(1+('CurrentPor-LH=10 unchanged'!C54+'CurrentPor-LH=10 unchanged'!I54)/100)+103/POWER(1+('CurrentPor-LH=10 unchanged'!D54+'CurrentPor-LH=10 unchanged'!I54)/100,2))*100</f>
        <v>9579.7811761732028</v>
      </c>
      <c r="F54">
        <f>Portfolio!B$5*'CurrentPor-LH=10 unchanged'!E54</f>
        <v>52143.895533915893</v>
      </c>
      <c r="G54">
        <f>Portfolio!B$6*'CurrentPor-LH=10 unchanged'!F54</f>
        <v>3696.2945087936532</v>
      </c>
      <c r="H54">
        <f>Portfolio!B$7*'CurrentPor-LH=10 unchanged'!J54</f>
        <v>2148.0998964419859</v>
      </c>
      <c r="I54">
        <f t="shared" si="0"/>
        <v>96488.943487115946</v>
      </c>
      <c r="J54">
        <f t="shared" si="1"/>
        <v>-5.9694535682647256</v>
      </c>
    </row>
    <row r="55" spans="1:10">
      <c r="A55" s="1">
        <v>45546</v>
      </c>
      <c r="B55">
        <f>(3/(1+('CurrentPor-LH=10 unchanged'!C55)/100)+103/POWER(1+('CurrentPor-LH=10 unchanged'!D55)/100,2))*100</f>
        <v>9707.5857774288397</v>
      </c>
      <c r="C55">
        <f>(3/(1+('CurrentPor-LH=10 unchanged'!C55+'CurrentPor-LH=10 unchanged'!G55)/100)+103/POWER(1+('CurrentPor-LH=10 unchanged'!D55+'CurrentPor-LH=10 unchanged'!G55)/100,2))*100</f>
        <v>9633.0220261504182</v>
      </c>
      <c r="D55">
        <f>(3/(1+('CurrentPor-LH=10 unchanged'!C55+'CurrentPor-LH=10 unchanged'!H55)/100)+103/POWER(1+('CurrentPor-LH=10 unchanged'!D55+'CurrentPor-LH=10 unchanged'!H55)/100,2))*100</f>
        <v>9590.7574615146805</v>
      </c>
      <c r="E55">
        <f>(3/(1+('CurrentPor-LH=10 unchanged'!C55+'CurrentPor-LH=10 unchanged'!I55)/100)+103/POWER(1+('CurrentPor-LH=10 unchanged'!D55+'CurrentPor-LH=10 unchanged'!I55)/100,2))*100</f>
        <v>9579.1730355582913</v>
      </c>
      <c r="F55">
        <f>Portfolio!B$5*'CurrentPor-LH=10 unchanged'!E55</f>
        <v>52143.895533915893</v>
      </c>
      <c r="G55">
        <f>Portfolio!B$6*'CurrentPor-LH=10 unchanged'!F55</f>
        <v>3696.2945087936532</v>
      </c>
      <c r="H55">
        <f>Portfolio!B$7*'CurrentPor-LH=10 unchanged'!J55</f>
        <v>2148.0998964419859</v>
      </c>
      <c r="I55">
        <f t="shared" si="0"/>
        <v>96498.82823980377</v>
      </c>
      <c r="J55">
        <f t="shared" si="1"/>
        <v>-3.477779051172547E-2</v>
      </c>
    </row>
    <row r="56" spans="1:10">
      <c r="A56" s="1">
        <v>45547</v>
      </c>
      <c r="B56">
        <f>(3/(1+('CurrentPor-LH=10 unchanged'!C56)/100)+103/POWER(1+('CurrentPor-LH=10 unchanged'!D56)/100,2))*100</f>
        <v>9707.5857774288397</v>
      </c>
      <c r="C56">
        <f>(3/(1+('CurrentPor-LH=10 unchanged'!C56+'CurrentPor-LH=10 unchanged'!G56)/100)+103/POWER(1+('CurrentPor-LH=10 unchanged'!D56+'CurrentPor-LH=10 unchanged'!G56)/100,2))*100</f>
        <v>9634.8303172663855</v>
      </c>
      <c r="D56">
        <f>(3/(1+('CurrentPor-LH=10 unchanged'!C56+'CurrentPor-LH=10 unchanged'!H56)/100)+103/POWER(1+('CurrentPor-LH=10 unchanged'!D56+'CurrentPor-LH=10 unchanged'!H56)/100,2))*100</f>
        <v>9589.4873307870294</v>
      </c>
      <c r="E56">
        <f>(3/(1+('CurrentPor-LH=10 unchanged'!C56+'CurrentPor-LH=10 unchanged'!I56)/100)+103/POWER(1+('CurrentPor-LH=10 unchanged'!D56+'CurrentPor-LH=10 unchanged'!I56)/100,2))*100</f>
        <v>9579.6764814642956</v>
      </c>
      <c r="F56">
        <f>Portfolio!B$5*'CurrentPor-LH=10 unchanged'!E56</f>
        <v>52143.895533915893</v>
      </c>
      <c r="G56">
        <f>Portfolio!B$6*'CurrentPor-LH=10 unchanged'!F56</f>
        <v>3696.2945087936532</v>
      </c>
      <c r="H56">
        <f>Portfolio!B$7*'CurrentPor-LH=10 unchanged'!J56</f>
        <v>2148.0998964419859</v>
      </c>
      <c r="I56">
        <f t="shared" si="0"/>
        <v>96499.869846098081</v>
      </c>
      <c r="J56">
        <f t="shared" si="1"/>
        <v>-2.4236354449531063</v>
      </c>
    </row>
    <row r="57" spans="1:10">
      <c r="A57" s="1">
        <v>45548</v>
      </c>
      <c r="B57">
        <f>(3/(1+('CurrentPor-LH=10 unchanged'!C57)/100)+103/POWER(1+('CurrentPor-LH=10 unchanged'!D57)/100,2))*100</f>
        <v>9707.5857774288397</v>
      </c>
      <c r="C57">
        <f>(3/(1+('CurrentPor-LH=10 unchanged'!C57+'CurrentPor-LH=10 unchanged'!G57)/100)+103/POWER(1+('CurrentPor-LH=10 unchanged'!D57+'CurrentPor-LH=10 unchanged'!G57)/100,2))*100</f>
        <v>9638.4484425779829</v>
      </c>
      <c r="D57">
        <f>(3/(1+('CurrentPor-LH=10 unchanged'!C57+'CurrentPor-LH=10 unchanged'!H57)/100)+103/POWER(1+('CurrentPor-LH=10 unchanged'!D57+'CurrentPor-LH=10 unchanged'!H57)/100,2))*100</f>
        <v>9609.4433094780234</v>
      </c>
      <c r="E57">
        <f>(3/(1+('CurrentPor-LH=10 unchanged'!C57+'CurrentPor-LH=10 unchanged'!I57)/100)+103/POWER(1+('CurrentPor-LH=10 unchanged'!D57+'CurrentPor-LH=10 unchanged'!I57)/100,2))*100</f>
        <v>9580.6027631625293</v>
      </c>
      <c r="F57">
        <f>Portfolio!B$5*'CurrentPor-LH=10 unchanged'!E57</f>
        <v>52143.895533915893</v>
      </c>
      <c r="G57">
        <f>Portfolio!B$6*'CurrentPor-LH=10 unchanged'!F57</f>
        <v>3696.2945087936532</v>
      </c>
      <c r="H57">
        <f>Portfolio!B$7*'CurrentPor-LH=10 unchanged'!J57</f>
        <v>2148.0998964419859</v>
      </c>
      <c r="I57">
        <f t="shared" si="0"/>
        <v>96524.370231798894</v>
      </c>
      <c r="J57">
        <f t="shared" si="1"/>
        <v>32.068627125845524</v>
      </c>
    </row>
    <row r="58" spans="1:10">
      <c r="A58" s="1">
        <v>45551</v>
      </c>
      <c r="B58">
        <f>(3/(1+('CurrentPor-LH=10 unchanged'!C58)/100)+103/POWER(1+('CurrentPor-LH=10 unchanged'!D58)/100,2))*100</f>
        <v>9707.5857774288397</v>
      </c>
      <c r="C58">
        <f>(3/(1+('CurrentPor-LH=10 unchanged'!C58+'CurrentPor-LH=10 unchanged'!G58)/100)+103/POWER(1+('CurrentPor-LH=10 unchanged'!D58+'CurrentPor-LH=10 unchanged'!G58)/100,2))*100</f>
        <v>9640.2582771647722</v>
      </c>
      <c r="D58">
        <f>(3/(1+('CurrentPor-LH=10 unchanged'!C58+'CurrentPor-LH=10 unchanged'!H58)/100)+103/POWER(1+('CurrentPor-LH=10 unchanged'!D58+'CurrentPor-LH=10 unchanged'!H58)/100,2))*100</f>
        <v>9610.8271286705021</v>
      </c>
      <c r="E58">
        <f>(3/(1+('CurrentPor-LH=10 unchanged'!C58+'CurrentPor-LH=10 unchanged'!I58)/100)+103/POWER(1+('CurrentPor-LH=10 unchanged'!D58+'CurrentPor-LH=10 unchanged'!I58)/100,2))*100</f>
        <v>9582.4214932510877</v>
      </c>
      <c r="F58">
        <f>Portfolio!B$5*'CurrentPor-LH=10 unchanged'!E58</f>
        <v>52143.895533915893</v>
      </c>
      <c r="G58">
        <f>Portfolio!B$6*'CurrentPor-LH=10 unchanged'!F58</f>
        <v>3696.2945087936532</v>
      </c>
      <c r="H58">
        <f>Portfolio!B$7*'CurrentPor-LH=10 unchanged'!J58</f>
        <v>2148.0998964419859</v>
      </c>
      <c r="I58">
        <f t="shared" si="0"/>
        <v>96529.382615666735</v>
      </c>
      <c r="J58">
        <f t="shared" si="1"/>
        <v>36.177445322158746</v>
      </c>
    </row>
    <row r="59" spans="1:10">
      <c r="A59" s="1">
        <v>45552</v>
      </c>
      <c r="B59">
        <f>(3/(1+('CurrentPor-LH=10 unchanged'!C59)/100)+103/POWER(1+('CurrentPor-LH=10 unchanged'!D59)/100,2))*100</f>
        <v>9707.5857774288397</v>
      </c>
      <c r="C59">
        <f>(3/(1+('CurrentPor-LH=10 unchanged'!C59+'CurrentPor-LH=10 unchanged'!G59)/100)+103/POWER(1+('CurrentPor-LH=10 unchanged'!D59+'CurrentPor-LH=10 unchanged'!G59)/100,2))*100</f>
        <v>9642.0686266331541</v>
      </c>
      <c r="D59">
        <f>(3/(1+('CurrentPor-LH=10 unchanged'!C59+'CurrentPor-LH=10 unchanged'!H59)/100)+103/POWER(1+('CurrentPor-LH=10 unchanged'!D59+'CurrentPor-LH=10 unchanged'!H59)/100,2))*100</f>
        <v>9596.9147464911293</v>
      </c>
      <c r="E59">
        <f>(3/(1+('CurrentPor-LH=10 unchanged'!C59+'CurrentPor-LH=10 unchanged'!I59)/100)+103/POWER(1+('CurrentPor-LH=10 unchanged'!D59+'CurrentPor-LH=10 unchanged'!I59)/100,2))*100</f>
        <v>9582.5902372573873</v>
      </c>
      <c r="F59">
        <f>Portfolio!B$5*'CurrentPor-LH=10 unchanged'!E59</f>
        <v>52143.895533915893</v>
      </c>
      <c r="G59">
        <f>Portfolio!B$6*'CurrentPor-LH=10 unchanged'!F59</f>
        <v>3696.2945087936532</v>
      </c>
      <c r="H59">
        <f>Portfolio!B$7*'CurrentPor-LH=10 unchanged'!J59</f>
        <v>2148.0998964419859</v>
      </c>
      <c r="I59">
        <f t="shared" si="0"/>
        <v>96517.449326962043</v>
      </c>
      <c r="J59">
        <f t="shared" si="1"/>
        <v>-7.5694881590025034</v>
      </c>
    </row>
    <row r="60" spans="1:10">
      <c r="A60" s="1">
        <v>45553</v>
      </c>
      <c r="B60">
        <f>(3/(1+('CurrentPor-LH=10 unchanged'!C60)/100)+103/POWER(1+('CurrentPor-LH=10 unchanged'!D60)/100,2))*100</f>
        <v>9707.5857774288397</v>
      </c>
      <c r="C60">
        <f>(3/(1+('CurrentPor-LH=10 unchanged'!C60+'CurrentPor-LH=10 unchanged'!G60)/100)+103/POWER(1+('CurrentPor-LH=10 unchanged'!D60+'CurrentPor-LH=10 unchanged'!G60)/100,2))*100</f>
        <v>9643.879491178941</v>
      </c>
      <c r="D60">
        <f>(3/(1+('CurrentPor-LH=10 unchanged'!C60+'CurrentPor-LH=10 unchanged'!H60)/100)+103/POWER(1+('CurrentPor-LH=10 unchanged'!D60+'CurrentPor-LH=10 unchanged'!H60)/100,2))*100</f>
        <v>9593.162131592806</v>
      </c>
      <c r="E60">
        <f>(3/(1+('CurrentPor-LH=10 unchanged'!C60+'CurrentPor-LH=10 unchanged'!I60)/100)+103/POWER(1+('CurrentPor-LH=10 unchanged'!D60+'CurrentPor-LH=10 unchanged'!I60)/100,2))*100</f>
        <v>9581.7041576843294</v>
      </c>
      <c r="F60">
        <f>Portfolio!B$5*'CurrentPor-LH=10 unchanged'!E60</f>
        <v>52143.895533915893</v>
      </c>
      <c r="G60">
        <f>Portfolio!B$6*'CurrentPor-LH=10 unchanged'!F60</f>
        <v>3696.2945087936532</v>
      </c>
      <c r="H60">
        <f>Portfolio!B$7*'CurrentPor-LH=10 unchanged'!J60</f>
        <v>2148.0998964419859</v>
      </c>
      <c r="I60">
        <f t="shared" si="0"/>
        <v>96514.621497036438</v>
      </c>
      <c r="J60">
        <f t="shared" si="1"/>
        <v>3.6444955791084794</v>
      </c>
    </row>
    <row r="61" spans="1:10">
      <c r="A61" s="1">
        <v>45554</v>
      </c>
      <c r="B61">
        <f>(3/(1+('CurrentPor-LH=10 unchanged'!C61)/100)+103/POWER(1+('CurrentPor-LH=10 unchanged'!D61)/100,2))*100</f>
        <v>9707.5857774288397</v>
      </c>
      <c r="C61">
        <f>(3/(1+('CurrentPor-LH=10 unchanged'!C61+'CurrentPor-LH=10 unchanged'!G61)/100)+103/POWER(1+('CurrentPor-LH=10 unchanged'!D61+'CurrentPor-LH=10 unchanged'!G61)/100,2))*100</f>
        <v>9642.0686266331541</v>
      </c>
      <c r="D61">
        <f>(3/(1+('CurrentPor-LH=10 unchanged'!C61+'CurrentPor-LH=10 unchanged'!H61)/100)+103/POWER(1+('CurrentPor-LH=10 unchanged'!D61+'CurrentPor-LH=10 unchanged'!H61)/100,2))*100</f>
        <v>9604.9499368153101</v>
      </c>
      <c r="E61">
        <f>(3/(1+('CurrentPor-LH=10 unchanged'!C61+'CurrentPor-LH=10 unchanged'!I61)/100)+103/POWER(1+('CurrentPor-LH=10 unchanged'!D61+'CurrentPor-LH=10 unchanged'!I61)/100,2))*100</f>
        <v>9581.312489291573</v>
      </c>
      <c r="F61">
        <f>Portfolio!B$5*'CurrentPor-LH=10 unchanged'!E61</f>
        <v>52143.895533915893</v>
      </c>
      <c r="G61">
        <f>Portfolio!B$6*'CurrentPor-LH=10 unchanged'!F61</f>
        <v>3696.2945087936532</v>
      </c>
      <c r="H61">
        <f>Portfolio!B$7*'CurrentPor-LH=10 unchanged'!J61</f>
        <v>2148.0998964419859</v>
      </c>
      <c r="I61">
        <f t="shared" si="0"/>
        <v>96524.206769320401</v>
      </c>
      <c r="J61">
        <f t="shared" si="1"/>
        <v>33.256736850860761</v>
      </c>
    </row>
    <row r="62" spans="1:10">
      <c r="A62" s="1">
        <v>45555</v>
      </c>
      <c r="B62">
        <f>(3/(1+('CurrentPor-LH=10 unchanged'!C62)/100)+103/POWER(1+('CurrentPor-LH=10 unchanged'!D62)/100,2))*100</f>
        <v>9707.5857774288397</v>
      </c>
      <c r="C62">
        <f>(3/(1+('CurrentPor-LH=10 unchanged'!C62+'CurrentPor-LH=10 unchanged'!G62)/100)+103/POWER(1+('CurrentPor-LH=10 unchanged'!D62+'CurrentPor-LH=10 unchanged'!G62)/100,2))*100</f>
        <v>9640.2582771647722</v>
      </c>
      <c r="D62">
        <f>(3/(1+('CurrentPor-LH=10 unchanged'!C62+'CurrentPor-LH=10 unchanged'!H62)/100)+103/POWER(1+('CurrentPor-LH=10 unchanged'!D62+'CurrentPor-LH=10 unchanged'!H62)/100,2))*100</f>
        <v>9595.8487179296862</v>
      </c>
      <c r="E62">
        <f>(3/(1+('CurrentPor-LH=10 unchanged'!C62+'CurrentPor-LH=10 unchanged'!I62)/100)+103/POWER(1+('CurrentPor-LH=10 unchanged'!D62+'CurrentPor-LH=10 unchanged'!I62)/100,2))*100</f>
        <v>9583.3395659284597</v>
      </c>
      <c r="F62">
        <f>Portfolio!B$5*'CurrentPor-LH=10 unchanged'!E62</f>
        <v>52143.895533915893</v>
      </c>
      <c r="G62">
        <f>Portfolio!B$6*'CurrentPor-LH=10 unchanged'!F62</f>
        <v>3696.2945087936532</v>
      </c>
      <c r="H62">
        <f>Portfolio!B$7*'CurrentPor-LH=10 unchanged'!J62</f>
        <v>2148.0998964419859</v>
      </c>
      <c r="I62">
        <f t="shared" si="0"/>
        <v>96515.322277603278</v>
      </c>
      <c r="J62">
        <f t="shared" si="1"/>
        <v>12.660080913439742</v>
      </c>
    </row>
    <row r="63" spans="1:10">
      <c r="A63" s="1">
        <v>45558</v>
      </c>
      <c r="B63">
        <f>(3/(1+('CurrentPor-LH=10 unchanged'!C63)/100)+103/POWER(1+('CurrentPor-LH=10 unchanged'!D63)/100,2))*100</f>
        <v>9707.5857774288397</v>
      </c>
      <c r="C63">
        <f>(3/(1+('CurrentPor-LH=10 unchanged'!C63+'CurrentPor-LH=10 unchanged'!G63)/100)+103/POWER(1+('CurrentPor-LH=10 unchanged'!D63+'CurrentPor-LH=10 unchanged'!G63)/100,2))*100</f>
        <v>9642.0686266331541</v>
      </c>
      <c r="D63">
        <f>(3/(1+('CurrentPor-LH=10 unchanged'!C63+'CurrentPor-LH=10 unchanged'!H63)/100)+103/POWER(1+('CurrentPor-LH=10 unchanged'!D63+'CurrentPor-LH=10 unchanged'!H63)/100,2))*100</f>
        <v>9606.8098692856529</v>
      </c>
      <c r="E63">
        <f>(3/(1+('CurrentPor-LH=10 unchanged'!C63+'CurrentPor-LH=10 unchanged'!I63)/100)+103/POWER(1+('CurrentPor-LH=10 unchanged'!D63+'CurrentPor-LH=10 unchanged'!I63)/100,2))*100</f>
        <v>9579.4760908231528</v>
      </c>
      <c r="F63">
        <f>Portfolio!B$5*'CurrentPor-LH=10 unchanged'!E63</f>
        <v>52143.895533915893</v>
      </c>
      <c r="G63">
        <f>Portfolio!B$6*'CurrentPor-LH=10 unchanged'!F63</f>
        <v>3696.2945087936532</v>
      </c>
      <c r="H63">
        <f>Portfolio!B$7*'CurrentPor-LH=10 unchanged'!J63</f>
        <v>2148.0998964419859</v>
      </c>
      <c r="I63">
        <f t="shared" si="0"/>
        <v>96524.230303322329</v>
      </c>
      <c r="J63">
        <f t="shared" si="1"/>
        <v>7.70062346427585</v>
      </c>
    </row>
    <row r="64" spans="1:10">
      <c r="A64" s="1">
        <v>45559</v>
      </c>
      <c r="B64">
        <f>(3/(1+('CurrentPor-LH=10 unchanged'!C64)/100)+103/POWER(1+('CurrentPor-LH=10 unchanged'!D64)/100,2))*100</f>
        <v>9707.5857774288397</v>
      </c>
      <c r="C64">
        <f>(3/(1+('CurrentPor-LH=10 unchanged'!C64+'CurrentPor-LH=10 unchanged'!G64)/100)+103/POWER(1+('CurrentPor-LH=10 unchanged'!D64+'CurrentPor-LH=10 unchanged'!G64)/100,2))*100</f>
        <v>9643.879491178941</v>
      </c>
      <c r="D64">
        <f>(3/(1+('CurrentPor-LH=10 unchanged'!C64+'CurrentPor-LH=10 unchanged'!H64)/100)+103/POWER(1+('CurrentPor-LH=10 unchanged'!D64+'CurrentPor-LH=10 unchanged'!H64)/100,2))*100</f>
        <v>9614.896012983485</v>
      </c>
      <c r="E64">
        <f>(3/(1+('CurrentPor-LH=10 unchanged'!C64+'CurrentPor-LH=10 unchanged'!I64)/100)+103/POWER(1+('CurrentPor-LH=10 unchanged'!D64+'CurrentPor-LH=10 unchanged'!I64)/100,2))*100</f>
        <v>9581.2406914267158</v>
      </c>
      <c r="F64">
        <f>Portfolio!B$5*'CurrentPor-LH=10 unchanged'!E64</f>
        <v>52143.895533915893</v>
      </c>
      <c r="G64">
        <f>Portfolio!B$6*'CurrentPor-LH=10 unchanged'!F64</f>
        <v>3696.2945087936532</v>
      </c>
      <c r="H64">
        <f>Portfolio!B$7*'CurrentPor-LH=10 unchanged'!J64</f>
        <v>2148.0998964419859</v>
      </c>
      <c r="I64">
        <f t="shared" si="0"/>
        <v>96535.891912169507</v>
      </c>
      <c r="J64">
        <f t="shared" si="1"/>
        <v>46.948425053560641</v>
      </c>
    </row>
    <row r="65" spans="1:10">
      <c r="A65" s="1">
        <v>45560</v>
      </c>
      <c r="B65">
        <f>(3/(1+('CurrentPor-LH=10 unchanged'!C65)/100)+103/POWER(1+('CurrentPor-LH=10 unchanged'!D65)/100,2))*100</f>
        <v>9707.5857774288397</v>
      </c>
      <c r="C65">
        <f>(3/(1+('CurrentPor-LH=10 unchanged'!C65+'CurrentPor-LH=10 unchanged'!G65)/100)+103/POWER(1+('CurrentPor-LH=10 unchanged'!D65+'CurrentPor-LH=10 unchanged'!G65)/100,2))*100</f>
        <v>9640.2582771647722</v>
      </c>
      <c r="D65">
        <f>(3/(1+('CurrentPor-LH=10 unchanged'!C65+'CurrentPor-LH=10 unchanged'!H65)/100)+103/POWER(1+('CurrentPor-LH=10 unchanged'!D65+'CurrentPor-LH=10 unchanged'!H65)/100,2))*100</f>
        <v>9607.6985825555385</v>
      </c>
      <c r="E65">
        <f>(3/(1+('CurrentPor-LH=10 unchanged'!C65+'CurrentPor-LH=10 unchanged'!I65)/100)+103/POWER(1+('CurrentPor-LH=10 unchanged'!D65+'CurrentPor-LH=10 unchanged'!I65)/100,2))*100</f>
        <v>9581.9440596788936</v>
      </c>
      <c r="F65">
        <f>Portfolio!B$5*'CurrentPor-LH=10 unchanged'!E65</f>
        <v>52143.895533915893</v>
      </c>
      <c r="G65">
        <f>Portfolio!B$6*'CurrentPor-LH=10 unchanged'!F65</f>
        <v>3696.2945087936532</v>
      </c>
      <c r="H65">
        <f>Portfolio!B$7*'CurrentPor-LH=10 unchanged'!J65</f>
        <v>2148.0998964419859</v>
      </c>
      <c r="I65">
        <f t="shared" si="0"/>
        <v>96525.776635979579</v>
      </c>
      <c r="J65">
        <f t="shared" si="1"/>
        <v>26.948396175808739</v>
      </c>
    </row>
    <row r="66" spans="1:10">
      <c r="A66" s="1">
        <v>45561</v>
      </c>
      <c r="B66">
        <f>(3/(1+('CurrentPor-LH=10 unchanged'!C66)/100)+103/POWER(1+('CurrentPor-LH=10 unchanged'!D66)/100,2))*100</f>
        <v>9707.5857774288397</v>
      </c>
      <c r="C66">
        <f>(3/(1+('CurrentPor-LH=10 unchanged'!C66+'CurrentPor-LH=10 unchanged'!G66)/100)+103/POWER(1+('CurrentPor-LH=10 unchanged'!D66+'CurrentPor-LH=10 unchanged'!G66)/100,2))*100</f>
        <v>9638.4484425779829</v>
      </c>
      <c r="D66">
        <f>(3/(1+('CurrentPor-LH=10 unchanged'!C66+'CurrentPor-LH=10 unchanged'!H66)/100)+103/POWER(1+('CurrentPor-LH=10 unchanged'!D66+'CurrentPor-LH=10 unchanged'!H66)/100,2))*100</f>
        <v>9610.5328170949797</v>
      </c>
      <c r="E66">
        <f>(3/(1+('CurrentPor-LH=10 unchanged'!C66+'CurrentPor-LH=10 unchanged'!I66)/100)+103/POWER(1+('CurrentPor-LH=10 unchanged'!D66+'CurrentPor-LH=10 unchanged'!I66)/100,2))*100</f>
        <v>9581.3525916585568</v>
      </c>
      <c r="F66">
        <f>Portfolio!B$5*'CurrentPor-LH=10 unchanged'!E66</f>
        <v>52143.895533915893</v>
      </c>
      <c r="G66">
        <f>Portfolio!B$6*'CurrentPor-LH=10 unchanged'!F66</f>
        <v>3696.2945087936532</v>
      </c>
      <c r="H66">
        <f>Portfolio!B$7*'CurrentPor-LH=10 unchanged'!J66</f>
        <v>2148.0998964419859</v>
      </c>
      <c r="I66">
        <f t="shared" si="0"/>
        <v>96526.209567911879</v>
      </c>
      <c r="J66">
        <f t="shared" si="1"/>
        <v>26.339721813797951</v>
      </c>
    </row>
    <row r="67" spans="1:10">
      <c r="A67" s="1">
        <v>45562</v>
      </c>
      <c r="B67">
        <f>(3/(1+('CurrentPor-LH=10 unchanged'!C67)/100)+103/POWER(1+('CurrentPor-LH=10 unchanged'!D67)/100,2))*100</f>
        <v>9707.5857774288397</v>
      </c>
      <c r="C67">
        <f>(3/(1+('CurrentPor-LH=10 unchanged'!C67+'CurrentPor-LH=10 unchanged'!G67)/100)+103/POWER(1+('CurrentPor-LH=10 unchanged'!D67+'CurrentPor-LH=10 unchanged'!G67)/100,2))*100</f>
        <v>9636.6391226770629</v>
      </c>
      <c r="D67">
        <f>(3/(1+('CurrentPor-LH=10 unchanged'!C67+'CurrentPor-LH=10 unchanged'!H67)/100)+103/POWER(1+('CurrentPor-LH=10 unchanged'!D67+'CurrentPor-LH=10 unchanged'!H67)/100,2))*100</f>
        <v>9597.3544839682436</v>
      </c>
      <c r="E67">
        <f>(3/(1+('CurrentPor-LH=10 unchanged'!C67+'CurrentPor-LH=10 unchanged'!I67)/100)+103/POWER(1+('CurrentPor-LH=10 unchanged'!D67+'CurrentPor-LH=10 unchanged'!I67)/100,2))*100</f>
        <v>9581.0784588554361</v>
      </c>
      <c r="F67">
        <f>Portfolio!B$5*'CurrentPor-LH=10 unchanged'!E67</f>
        <v>52143.895533915893</v>
      </c>
      <c r="G67">
        <f>Portfolio!B$6*'CurrentPor-LH=10 unchanged'!F67</f>
        <v>3696.2945087936532</v>
      </c>
      <c r="H67">
        <f>Portfolio!B$7*'CurrentPor-LH=10 unchanged'!J67</f>
        <v>2148.0998964419859</v>
      </c>
      <c r="I67">
        <f t="shared" si="0"/>
        <v>96510.947782081115</v>
      </c>
      <c r="J67">
        <f t="shared" si="1"/>
        <v>-13.422449717778363</v>
      </c>
    </row>
    <row r="68" spans="1:10">
      <c r="A68" s="1">
        <v>45565</v>
      </c>
      <c r="B68">
        <f>(3/(1+('CurrentPor-LH=10 unchanged'!C68)/100)+103/POWER(1+('CurrentPor-LH=10 unchanged'!D68)/100,2))*100</f>
        <v>9707.5857774288397</v>
      </c>
      <c r="C68">
        <f>(3/(1+('CurrentPor-LH=10 unchanged'!C68+'CurrentPor-LH=10 unchanged'!G68)/100)+103/POWER(1+('CurrentPor-LH=10 unchanged'!D68+'CurrentPor-LH=10 unchanged'!G68)/100,2))*100</f>
        <v>9633.0220261504182</v>
      </c>
      <c r="D68">
        <f>(3/(1+('CurrentPor-LH=10 unchanged'!C68+'CurrentPor-LH=10 unchanged'!H68)/100)+103/POWER(1+('CurrentPor-LH=10 unchanged'!D68+'CurrentPor-LH=10 unchanged'!H68)/100,2))*100</f>
        <v>9594.7781927274227</v>
      </c>
      <c r="E68">
        <f>(3/(1+('CurrentPor-LH=10 unchanged'!C68+'CurrentPor-LH=10 unchanged'!I68)/100)+103/POWER(1+('CurrentPor-LH=10 unchanged'!D68+'CurrentPor-LH=10 unchanged'!I68)/100,2))*100</f>
        <v>9580.1876409170109</v>
      </c>
      <c r="F68">
        <f>Portfolio!B$5*'CurrentPor-LH=10 unchanged'!E68</f>
        <v>52143.895533915893</v>
      </c>
      <c r="G68">
        <f>Portfolio!B$6*'CurrentPor-LH=10 unchanged'!F68</f>
        <v>3696.2945087936532</v>
      </c>
      <c r="H68">
        <f>Portfolio!B$7*'CurrentPor-LH=10 unchanged'!J68</f>
        <v>2148.0998964419859</v>
      </c>
      <c r="I68">
        <f t="shared" ref="I68:I131" si="2">SUM(B68:H68)</f>
        <v>96503.863576375225</v>
      </c>
      <c r="J68">
        <f t="shared" si="1"/>
        <v>-25.519039291510126</v>
      </c>
    </row>
    <row r="69" spans="1:10">
      <c r="A69" s="1">
        <v>45566</v>
      </c>
      <c r="B69">
        <f>(3/(1+('CurrentPor-LH=10 unchanged'!C69)/100)+103/POWER(1+('CurrentPor-LH=10 unchanged'!D69)/100,2))*100</f>
        <v>9707.5857774288397</v>
      </c>
      <c r="C69">
        <f>(3/(1+('CurrentPor-LH=10 unchanged'!C69+'CurrentPor-LH=10 unchanged'!G69)/100)+103/POWER(1+('CurrentPor-LH=10 unchanged'!D69+'CurrentPor-LH=10 unchanged'!G69)/100,2))*100</f>
        <v>9634.8303172663855</v>
      </c>
      <c r="D69">
        <f>(3/(1+('CurrentPor-LH=10 unchanged'!C69+'CurrentPor-LH=10 unchanged'!H69)/100)+103/POWER(1+('CurrentPor-LH=10 unchanged'!D69+'CurrentPor-LH=10 unchanged'!H69)/100,2))*100</f>
        <v>9596.784888139191</v>
      </c>
      <c r="E69">
        <f>(3/(1+('CurrentPor-LH=10 unchanged'!C69+'CurrentPor-LH=10 unchanged'!I69)/100)+103/POWER(1+('CurrentPor-LH=10 unchanged'!D69+'CurrentPor-LH=10 unchanged'!I69)/100,2))*100</f>
        <v>9581.0531467707842</v>
      </c>
      <c r="F69">
        <f>Portfolio!B$5*'CurrentPor-LH=10 unchanged'!E69</f>
        <v>52143.895533915893</v>
      </c>
      <c r="G69">
        <f>Portfolio!B$6*'CurrentPor-LH=10 unchanged'!F69</f>
        <v>3696.2945087936532</v>
      </c>
      <c r="H69">
        <f>Portfolio!B$7*'CurrentPor-LH=10 unchanged'!J69</f>
        <v>2148.0998964419859</v>
      </c>
      <c r="I69">
        <f t="shared" si="2"/>
        <v>96508.544068756732</v>
      </c>
      <c r="J69">
        <f t="shared" si="1"/>
        <v>-8.9052582053118385</v>
      </c>
    </row>
    <row r="70" spans="1:10">
      <c r="A70" s="1">
        <v>45567</v>
      </c>
      <c r="B70">
        <f>(3/(1+('CurrentPor-LH=10 unchanged'!C70)/100)+103/POWER(1+('CurrentPor-LH=10 unchanged'!D70)/100,2))*100</f>
        <v>9707.5857774288397</v>
      </c>
      <c r="C70">
        <f>(3/(1+('CurrentPor-LH=10 unchanged'!C70+'CurrentPor-LH=10 unchanged'!G70)/100)+103/POWER(1+('CurrentPor-LH=10 unchanged'!D70+'CurrentPor-LH=10 unchanged'!G70)/100,2))*100</f>
        <v>9634.8303172663855</v>
      </c>
      <c r="D70">
        <f>(3/(1+('CurrentPor-LH=10 unchanged'!C70+'CurrentPor-LH=10 unchanged'!H70)/100)+103/POWER(1+('CurrentPor-LH=10 unchanged'!D70+'CurrentPor-LH=10 unchanged'!H70)/100,2))*100</f>
        <v>9606.033946273903</v>
      </c>
      <c r="E70">
        <f>(3/(1+('CurrentPor-LH=10 unchanged'!C70+'CurrentPor-LH=10 unchanged'!I70)/100)+103/POWER(1+('CurrentPor-LH=10 unchanged'!D70+'CurrentPor-LH=10 unchanged'!I70)/100,2))*100</f>
        <v>9580.3585773894247</v>
      </c>
      <c r="F70">
        <f>Portfolio!B$5*'CurrentPor-LH=10 unchanged'!E70</f>
        <v>52143.895533915893</v>
      </c>
      <c r="G70">
        <f>Portfolio!B$6*'CurrentPor-LH=10 unchanged'!F70</f>
        <v>3696.2945087936532</v>
      </c>
      <c r="H70">
        <f>Portfolio!B$7*'CurrentPor-LH=10 unchanged'!J70</f>
        <v>2148.0998964419859</v>
      </c>
      <c r="I70">
        <f t="shared" si="2"/>
        <v>96517.098557510079</v>
      </c>
      <c r="J70">
        <f t="shared" si="1"/>
        <v>2.4770604736404493</v>
      </c>
    </row>
    <row r="71" spans="1:10">
      <c r="A71" s="1">
        <v>45568</v>
      </c>
      <c r="B71">
        <f>(3/(1+('CurrentPor-LH=10 unchanged'!C71)/100)+103/POWER(1+('CurrentPor-LH=10 unchanged'!D71)/100,2))*100</f>
        <v>9707.5857774288397</v>
      </c>
      <c r="C71">
        <f>(3/(1+('CurrentPor-LH=10 unchanged'!C71+'CurrentPor-LH=10 unchanged'!G71)/100)+103/POWER(1+('CurrentPor-LH=10 unchanged'!D71+'CurrentPor-LH=10 unchanged'!G71)/100,2))*100</f>
        <v>9634.8303172663855</v>
      </c>
      <c r="D71">
        <f>(3/(1+('CurrentPor-LH=10 unchanged'!C71+'CurrentPor-LH=10 unchanged'!H71)/100)+103/POWER(1+('CurrentPor-LH=10 unchanged'!D71+'CurrentPor-LH=10 unchanged'!H71)/100,2))*100</f>
        <v>9585.4843833852265</v>
      </c>
      <c r="E71">
        <f>(3/(1+('CurrentPor-LH=10 unchanged'!C71+'CurrentPor-LH=10 unchanged'!I71)/100)+103/POWER(1+('CurrentPor-LH=10 unchanged'!D71+'CurrentPor-LH=10 unchanged'!I71)/100,2))*100</f>
        <v>9581.4264837555766</v>
      </c>
      <c r="F71">
        <f>Portfolio!B$5*'CurrentPor-LH=10 unchanged'!E71</f>
        <v>52143.895533915893</v>
      </c>
      <c r="G71">
        <f>Portfolio!B$6*'CurrentPor-LH=10 unchanged'!F71</f>
        <v>3696.2945087936532</v>
      </c>
      <c r="H71">
        <f>Portfolio!B$7*'CurrentPor-LH=10 unchanged'!J71</f>
        <v>2148.0998964419859</v>
      </c>
      <c r="I71">
        <f t="shared" si="2"/>
        <v>96497.616900987559</v>
      </c>
      <c r="J71">
        <f t="shared" si="1"/>
        <v>-26.589868332841434</v>
      </c>
    </row>
    <row r="72" spans="1:10">
      <c r="A72" s="1">
        <v>45569</v>
      </c>
      <c r="B72">
        <f>(3/(1+('CurrentPor-LH=10 unchanged'!C72)/100)+103/POWER(1+('CurrentPor-LH=10 unchanged'!D72)/100,2))*100</f>
        <v>9707.5857774288397</v>
      </c>
      <c r="C72">
        <f>(3/(1+('CurrentPor-LH=10 unchanged'!C72+'CurrentPor-LH=10 unchanged'!G72)/100)+103/POWER(1+('CurrentPor-LH=10 unchanged'!D72+'CurrentPor-LH=10 unchanged'!G72)/100,2))*100</f>
        <v>9631.2142491337127</v>
      </c>
      <c r="D72">
        <f>(3/(1+('CurrentPor-LH=10 unchanged'!C72+'CurrentPor-LH=10 unchanged'!H72)/100)+103/POWER(1+('CurrentPor-LH=10 unchanged'!D72+'CurrentPor-LH=10 unchanged'!H72)/100,2))*100</f>
        <v>9597.8405455466655</v>
      </c>
      <c r="E72">
        <f>(3/(1+('CurrentPor-LH=10 unchanged'!C72+'CurrentPor-LH=10 unchanged'!I72)/100)+103/POWER(1+('CurrentPor-LH=10 unchanged'!D72+'CurrentPor-LH=10 unchanged'!I72)/100,2))*100</f>
        <v>9582.0713776831362</v>
      </c>
      <c r="F72">
        <f>Portfolio!B$5*'CurrentPor-LH=10 unchanged'!E72</f>
        <v>52143.895533915893</v>
      </c>
      <c r="G72">
        <f>Portfolio!B$6*'CurrentPor-LH=10 unchanged'!F72</f>
        <v>3696.2945087936532</v>
      </c>
      <c r="H72">
        <f>Portfolio!B$7*'CurrentPor-LH=10 unchanged'!J72</f>
        <v>2148.0998964419859</v>
      </c>
      <c r="I72">
        <f t="shared" si="2"/>
        <v>96507.00188894388</v>
      </c>
      <c r="J72">
        <f t="shared" si="1"/>
        <v>-8.3203886593983043</v>
      </c>
    </row>
    <row r="73" spans="1:10">
      <c r="A73" s="1">
        <v>45572</v>
      </c>
      <c r="B73">
        <f>(3/(1+('CurrentPor-LH=10 unchanged'!C73)/100)+103/POWER(1+('CurrentPor-LH=10 unchanged'!D73)/100,2))*100</f>
        <v>9707.5857774288397</v>
      </c>
      <c r="C73">
        <f>(3/(1+('CurrentPor-LH=10 unchanged'!C73+'CurrentPor-LH=10 unchanged'!G73)/100)+103/POWER(1+('CurrentPor-LH=10 unchanged'!D73+'CurrentPor-LH=10 unchanged'!G73)/100,2))*100</f>
        <v>9629.4069860209238</v>
      </c>
      <c r="D73">
        <f>(3/(1+('CurrentPor-LH=10 unchanged'!C73+'CurrentPor-LH=10 unchanged'!H73)/100)+103/POWER(1+('CurrentPor-LH=10 unchanged'!D73+'CurrentPor-LH=10 unchanged'!H73)/100,2))*100</f>
        <v>9613.2645878226158</v>
      </c>
      <c r="E73">
        <f>(3/(1+('CurrentPor-LH=10 unchanged'!C73+'CurrentPor-LH=10 unchanged'!I73)/100)+103/POWER(1+('CurrentPor-LH=10 unchanged'!D73+'CurrentPor-LH=10 unchanged'!I73)/100,2))*100</f>
        <v>9580.5767725456863</v>
      </c>
      <c r="F73">
        <f>Portfolio!B$5*'CurrentPor-LH=10 unchanged'!E73</f>
        <v>52143.895533915893</v>
      </c>
      <c r="G73">
        <f>Portfolio!B$6*'CurrentPor-LH=10 unchanged'!F73</f>
        <v>3696.2945087936532</v>
      </c>
      <c r="H73">
        <f>Portfolio!B$7*'CurrentPor-LH=10 unchanged'!J73</f>
        <v>2148.0998964419859</v>
      </c>
      <c r="I73">
        <f t="shared" si="2"/>
        <v>96519.124062969597</v>
      </c>
      <c r="J73">
        <f t="shared" si="1"/>
        <v>-5.1062403527321294</v>
      </c>
    </row>
    <row r="74" spans="1:10">
      <c r="A74" s="1">
        <v>45573</v>
      </c>
      <c r="B74">
        <f>(3/(1+('CurrentPor-LH=10 unchanged'!C74)/100)+103/POWER(1+('CurrentPor-LH=10 unchanged'!D74)/100,2))*100</f>
        <v>9707.5857774288397</v>
      </c>
      <c r="C74">
        <f>(3/(1+('CurrentPor-LH=10 unchanged'!C74+'CurrentPor-LH=10 unchanged'!G74)/100)+103/POWER(1+('CurrentPor-LH=10 unchanged'!D74+'CurrentPor-LH=10 unchanged'!G74)/100,2))*100</f>
        <v>9636.6391226770629</v>
      </c>
      <c r="D74">
        <f>(3/(1+('CurrentPor-LH=10 unchanged'!C74+'CurrentPor-LH=10 unchanged'!H74)/100)+103/POWER(1+('CurrentPor-LH=10 unchanged'!D74+'CurrentPor-LH=10 unchanged'!H74)/100,2))*100</f>
        <v>9585.2118382865192</v>
      </c>
      <c r="E74">
        <f>(3/(1+('CurrentPor-LH=10 unchanged'!C74+'CurrentPor-LH=10 unchanged'!I74)/100)+103/POWER(1+('CurrentPor-LH=10 unchanged'!D74+'CurrentPor-LH=10 unchanged'!I74)/100,2))*100</f>
        <v>9582.3419247130823</v>
      </c>
      <c r="F74">
        <f>Portfolio!B$5*'CurrentPor-LH=10 unchanged'!E74</f>
        <v>52143.895533915893</v>
      </c>
      <c r="G74">
        <f>Portfolio!B$6*'CurrentPor-LH=10 unchanged'!F74</f>
        <v>3696.2945087936532</v>
      </c>
      <c r="H74">
        <f>Portfolio!B$7*'CurrentPor-LH=10 unchanged'!J74</f>
        <v>2148.0998964419859</v>
      </c>
      <c r="I74">
        <f t="shared" si="2"/>
        <v>96500.068602257044</v>
      </c>
      <c r="J74">
        <f t="shared" si="1"/>
        <v>-35.823309912462719</v>
      </c>
    </row>
    <row r="75" spans="1:10">
      <c r="A75" s="1">
        <v>45574</v>
      </c>
      <c r="B75">
        <f>(3/(1+('CurrentPor-LH=10 unchanged'!C75)/100)+103/POWER(1+('CurrentPor-LH=10 unchanged'!D75)/100,2))*100</f>
        <v>9707.5857774288397</v>
      </c>
      <c r="C75">
        <f>(3/(1+('CurrentPor-LH=10 unchanged'!C75+'CurrentPor-LH=10 unchanged'!G75)/100)+103/POWER(1+('CurrentPor-LH=10 unchanged'!D75+'CurrentPor-LH=10 unchanged'!G75)/100,2))*100</f>
        <v>9640.2582771647722</v>
      </c>
      <c r="D75">
        <f>(3/(1+('CurrentPor-LH=10 unchanged'!C75+'CurrentPor-LH=10 unchanged'!H75)/100)+103/POWER(1+('CurrentPor-LH=10 unchanged'!D75+'CurrentPor-LH=10 unchanged'!H75)/100,2))*100</f>
        <v>9589.7775477937776</v>
      </c>
      <c r="E75">
        <f>(3/(1+('CurrentPor-LH=10 unchanged'!C75+'CurrentPor-LH=10 unchanged'!I75)/100)+103/POWER(1+('CurrentPor-LH=10 unchanged'!D75+'CurrentPor-LH=10 unchanged'!I75)/100,2))*100</f>
        <v>9580.7848447800734</v>
      </c>
      <c r="F75">
        <f>Portfolio!B$5*'CurrentPor-LH=10 unchanged'!E75</f>
        <v>52143.895533915893</v>
      </c>
      <c r="G75">
        <f>Portfolio!B$6*'CurrentPor-LH=10 unchanged'!F75</f>
        <v>3696.2945087936532</v>
      </c>
      <c r="H75">
        <f>Portfolio!B$7*'CurrentPor-LH=10 unchanged'!J75</f>
        <v>2148.0998964419859</v>
      </c>
      <c r="I75">
        <f t="shared" si="2"/>
        <v>96506.696386318989</v>
      </c>
      <c r="J75">
        <f t="shared" si="1"/>
        <v>-19.080249660590198</v>
      </c>
    </row>
    <row r="76" spans="1:10">
      <c r="A76" s="1">
        <v>45575</v>
      </c>
      <c r="B76">
        <f>(3/(1+('CurrentPor-LH=10 unchanged'!C76)/100)+103/POWER(1+('CurrentPor-LH=10 unchanged'!D76)/100,2))*100</f>
        <v>9707.5857774288397</v>
      </c>
      <c r="C76">
        <f>(3/(1+('CurrentPor-LH=10 unchanged'!C76+'CurrentPor-LH=10 unchanged'!G76)/100)+103/POWER(1+('CurrentPor-LH=10 unchanged'!D76+'CurrentPor-LH=10 unchanged'!G76)/100,2))*100</f>
        <v>9642.0686266331541</v>
      </c>
      <c r="D76">
        <f>(3/(1+('CurrentPor-LH=10 unchanged'!C76+'CurrentPor-LH=10 unchanged'!H76)/100)+103/POWER(1+('CurrentPor-LH=10 unchanged'!D76+'CurrentPor-LH=10 unchanged'!H76)/100,2))*100</f>
        <v>9591.5763994074568</v>
      </c>
      <c r="E76">
        <f>(3/(1+('CurrentPor-LH=10 unchanged'!C76+'CurrentPor-LH=10 unchanged'!I76)/100)+103/POWER(1+('CurrentPor-LH=10 unchanged'!D76+'CurrentPor-LH=10 unchanged'!I76)/100,2))*100</f>
        <v>9580.489996119677</v>
      </c>
      <c r="F76">
        <f>Portfolio!B$5*'CurrentPor-LH=10 unchanged'!E76</f>
        <v>52143.895533915893</v>
      </c>
      <c r="G76">
        <f>Portfolio!B$6*'CurrentPor-LH=10 unchanged'!F76</f>
        <v>3696.2945087936532</v>
      </c>
      <c r="H76">
        <f>Portfolio!B$7*'CurrentPor-LH=10 unchanged'!J76</f>
        <v>2148.0998964419859</v>
      </c>
      <c r="I76">
        <f t="shared" si="2"/>
        <v>96510.010738740661</v>
      </c>
      <c r="J76">
        <f t="shared" si="1"/>
        <v>-16.198829171218676</v>
      </c>
    </row>
    <row r="77" spans="1:10">
      <c r="A77" s="1">
        <v>45576</v>
      </c>
      <c r="B77">
        <f>(3/(1+('CurrentPor-LH=10 unchanged'!C77)/100)+103/POWER(1+('CurrentPor-LH=10 unchanged'!D77)/100,2))*100</f>
        <v>9707.5857774288397</v>
      </c>
      <c r="C77">
        <f>(3/(1+('CurrentPor-LH=10 unchanged'!C77+'CurrentPor-LH=10 unchanged'!G77)/100)+103/POWER(1+('CurrentPor-LH=10 unchanged'!D77+'CurrentPor-LH=10 unchanged'!G77)/100,2))*100</f>
        <v>9642.0686266331541</v>
      </c>
      <c r="D77">
        <f>(3/(1+('CurrentPor-LH=10 unchanged'!C77+'CurrentPor-LH=10 unchanged'!H77)/100)+103/POWER(1+('CurrentPor-LH=10 unchanged'!D77+'CurrentPor-LH=10 unchanged'!H77)/100,2))*100</f>
        <v>9597.3391887643265</v>
      </c>
      <c r="E77">
        <f>(3/(1+('CurrentPor-LH=10 unchanged'!C77+'CurrentPor-LH=10 unchanged'!I77)/100)+103/POWER(1+('CurrentPor-LH=10 unchanged'!D77+'CurrentPor-LH=10 unchanged'!I77)/100,2))*100</f>
        <v>9582.3956915090057</v>
      </c>
      <c r="F77">
        <f>Portfolio!B$5*'CurrentPor-LH=10 unchanged'!E77</f>
        <v>52143.895533915893</v>
      </c>
      <c r="G77">
        <f>Portfolio!B$6*'CurrentPor-LH=10 unchanged'!F77</f>
        <v>3696.2945087936532</v>
      </c>
      <c r="H77">
        <f>Portfolio!B$7*'CurrentPor-LH=10 unchanged'!J77</f>
        <v>2148.0998964419859</v>
      </c>
      <c r="I77">
        <f t="shared" si="2"/>
        <v>96517.679223486848</v>
      </c>
      <c r="J77">
        <f t="shared" si="1"/>
        <v>6.7314414057327667</v>
      </c>
    </row>
    <row r="78" spans="1:10">
      <c r="A78" s="1">
        <v>45579</v>
      </c>
      <c r="B78">
        <f>(3/(1+('CurrentPor-LH=10 unchanged'!C78)/100)+103/POWER(1+('CurrentPor-LH=10 unchanged'!D78)/100,2))*100</f>
        <v>9707.5857774288397</v>
      </c>
      <c r="C78">
        <f>(3/(1+('CurrentPor-LH=10 unchanged'!C78+'CurrentPor-LH=10 unchanged'!G78)/100)+103/POWER(1+('CurrentPor-LH=10 unchanged'!D78+'CurrentPor-LH=10 unchanged'!G78)/100,2))*100</f>
        <v>9642.0686266331541</v>
      </c>
      <c r="D78">
        <f>(3/(1+('CurrentPor-LH=10 unchanged'!C78+'CurrentPor-LH=10 unchanged'!H78)/100)+103/POWER(1+('CurrentPor-LH=10 unchanged'!D78+'CurrentPor-LH=10 unchanged'!H78)/100,2))*100</f>
        <v>9607.7743638502561</v>
      </c>
      <c r="E78">
        <f>(3/(1+('CurrentPor-LH=10 unchanged'!C78+'CurrentPor-LH=10 unchanged'!I78)/100)+103/POWER(1+('CurrentPor-LH=10 unchanged'!D78+'CurrentPor-LH=10 unchanged'!I78)/100,2))*100</f>
        <v>9579.3572554563816</v>
      </c>
      <c r="F78">
        <f>Portfolio!B$5*'CurrentPor-LH=10 unchanged'!E78</f>
        <v>52143.895533915893</v>
      </c>
      <c r="G78">
        <f>Portfolio!B$6*'CurrentPor-LH=10 unchanged'!F78</f>
        <v>3696.2945087936532</v>
      </c>
      <c r="H78">
        <f>Portfolio!B$7*'CurrentPor-LH=10 unchanged'!J78</f>
        <v>2148.0998964419859</v>
      </c>
      <c r="I78">
        <f t="shared" si="2"/>
        <v>96525.075962520161</v>
      </c>
      <c r="J78">
        <f t="shared" ref="J78:J141" si="3">I78-I68</f>
        <v>21.212386144936318</v>
      </c>
    </row>
    <row r="79" spans="1:10">
      <c r="A79" s="1">
        <v>45580</v>
      </c>
      <c r="B79">
        <f>(3/(1+('CurrentPor-LH=10 unchanged'!C79)/100)+103/POWER(1+('CurrentPor-LH=10 unchanged'!D79)/100,2))*100</f>
        <v>9707.5857774288397</v>
      </c>
      <c r="C79">
        <f>(3/(1+('CurrentPor-LH=10 unchanged'!C79+'CurrentPor-LH=10 unchanged'!G79)/100)+103/POWER(1+('CurrentPor-LH=10 unchanged'!D79+'CurrentPor-LH=10 unchanged'!G79)/100,2))*100</f>
        <v>9642.0686266331541</v>
      </c>
      <c r="D79">
        <f>(3/(1+('CurrentPor-LH=10 unchanged'!C79+'CurrentPor-LH=10 unchanged'!H79)/100)+103/POWER(1+('CurrentPor-LH=10 unchanged'!D79+'CurrentPor-LH=10 unchanged'!H79)/100,2))*100</f>
        <v>9620.9816481323287</v>
      </c>
      <c r="E79">
        <f>(3/(1+('CurrentPor-LH=10 unchanged'!C79+'CurrentPor-LH=10 unchanged'!I79)/100)+103/POWER(1+('CurrentPor-LH=10 unchanged'!D79+'CurrentPor-LH=10 unchanged'!I79)/100,2))*100</f>
        <v>9580.0026500227395</v>
      </c>
      <c r="F79">
        <f>Portfolio!B$5*'CurrentPor-LH=10 unchanged'!E79</f>
        <v>52143.895533915893</v>
      </c>
      <c r="G79">
        <f>Portfolio!B$6*'CurrentPor-LH=10 unchanged'!F79</f>
        <v>3696.2945087936532</v>
      </c>
      <c r="H79">
        <f>Portfolio!B$7*'CurrentPor-LH=10 unchanged'!J79</f>
        <v>2148.0998964419859</v>
      </c>
      <c r="I79">
        <f t="shared" si="2"/>
        <v>96538.928641368591</v>
      </c>
      <c r="J79">
        <f t="shared" si="3"/>
        <v>30.384572611859767</v>
      </c>
    </row>
    <row r="80" spans="1:10">
      <c r="A80" s="1">
        <v>45581</v>
      </c>
      <c r="B80">
        <f>(3/(1+('CurrentPor-LH=10 unchanged'!C80)/100)+103/POWER(1+('CurrentPor-LH=10 unchanged'!D80)/100,2))*100</f>
        <v>9707.5857774288397</v>
      </c>
      <c r="C80">
        <f>(3/(1+('CurrentPor-LH=10 unchanged'!C80+'CurrentPor-LH=10 unchanged'!G80)/100)+103/POWER(1+('CurrentPor-LH=10 unchanged'!D80+'CurrentPor-LH=10 unchanged'!G80)/100,2))*100</f>
        <v>9645.6908709980435</v>
      </c>
      <c r="D80">
        <f>(3/(1+('CurrentPor-LH=10 unchanged'!C80+'CurrentPor-LH=10 unchanged'!H80)/100)+103/POWER(1+('CurrentPor-LH=10 unchanged'!D80+'CurrentPor-LH=10 unchanged'!H80)/100,2))*100</f>
        <v>9601.1583505225753</v>
      </c>
      <c r="E80">
        <f>(3/(1+('CurrentPor-LH=10 unchanged'!C80+'CurrentPor-LH=10 unchanged'!I80)/100)+103/POWER(1+('CurrentPor-LH=10 unchanged'!D80+'CurrentPor-LH=10 unchanged'!I80)/100,2))*100</f>
        <v>9582.2612830943108</v>
      </c>
      <c r="F80">
        <f>Portfolio!B$5*'CurrentPor-LH=10 unchanged'!E80</f>
        <v>52143.895533915893</v>
      </c>
      <c r="G80">
        <f>Portfolio!B$6*'CurrentPor-LH=10 unchanged'!F80</f>
        <v>3696.2945087936532</v>
      </c>
      <c r="H80">
        <f>Portfolio!B$7*'CurrentPor-LH=10 unchanged'!J80</f>
        <v>2148.0998964419859</v>
      </c>
      <c r="I80">
        <f t="shared" si="2"/>
        <v>96524.9862211953</v>
      </c>
      <c r="J80">
        <f t="shared" si="3"/>
        <v>7.8876636852219235</v>
      </c>
    </row>
    <row r="81" spans="1:10">
      <c r="A81" s="1">
        <v>45582</v>
      </c>
      <c r="B81">
        <f>(3/(1+('CurrentPor-LH=10 unchanged'!C81)/100)+103/POWER(1+('CurrentPor-LH=10 unchanged'!D81)/100,2))*100</f>
        <v>9707.5857774288397</v>
      </c>
      <c r="C81">
        <f>(3/(1+('CurrentPor-LH=10 unchanged'!C81+'CurrentPor-LH=10 unchanged'!G81)/100)+103/POWER(1+('CurrentPor-LH=10 unchanged'!D81+'CurrentPor-LH=10 unchanged'!G81)/100,2))*100</f>
        <v>9645.6908709980435</v>
      </c>
      <c r="D81">
        <f>(3/(1+('CurrentPor-LH=10 unchanged'!C81+'CurrentPor-LH=10 unchanged'!H81)/100)+103/POWER(1+('CurrentPor-LH=10 unchanged'!D81+'CurrentPor-LH=10 unchanged'!H81)/100,2))*100</f>
        <v>9587.2990066597595</v>
      </c>
      <c r="E81">
        <f>(3/(1+('CurrentPor-LH=10 unchanged'!C81+'CurrentPor-LH=10 unchanged'!I81)/100)+103/POWER(1+('CurrentPor-LH=10 unchanged'!D81+'CurrentPor-LH=10 unchanged'!I81)/100,2))*100</f>
        <v>9580.9383890343033</v>
      </c>
      <c r="F81">
        <f>Portfolio!B$5*'CurrentPor-LH=10 unchanged'!E81</f>
        <v>52143.895533915893</v>
      </c>
      <c r="G81">
        <f>Portfolio!B$6*'CurrentPor-LH=10 unchanged'!F81</f>
        <v>3696.2945087936532</v>
      </c>
      <c r="H81">
        <f>Portfolio!B$7*'CurrentPor-LH=10 unchanged'!J81</f>
        <v>2148.0998964419859</v>
      </c>
      <c r="I81">
        <f t="shared" si="2"/>
        <v>96509.803983272475</v>
      </c>
      <c r="J81">
        <f t="shared" si="3"/>
        <v>12.187082284915959</v>
      </c>
    </row>
    <row r="82" spans="1:10">
      <c r="A82" s="1">
        <v>45583</v>
      </c>
      <c r="B82">
        <f>(3/(1+('CurrentPor-LH=10 unchanged'!C82)/100)+103/POWER(1+('CurrentPor-LH=10 unchanged'!D82)/100,2))*100</f>
        <v>9707.5857774288397</v>
      </c>
      <c r="C82">
        <f>(3/(1+('CurrentPor-LH=10 unchanged'!C82+'CurrentPor-LH=10 unchanged'!G82)/100)+103/POWER(1+('CurrentPor-LH=10 unchanged'!D82+'CurrentPor-LH=10 unchanged'!G82)/100,2))*100</f>
        <v>9640.2582771647722</v>
      </c>
      <c r="D82">
        <f>(3/(1+('CurrentPor-LH=10 unchanged'!C82+'CurrentPor-LH=10 unchanged'!H82)/100)+103/POWER(1+('CurrentPor-LH=10 unchanged'!D82+'CurrentPor-LH=10 unchanged'!H82)/100,2))*100</f>
        <v>9599.4660613861888</v>
      </c>
      <c r="E82">
        <f>(3/(1+('CurrentPor-LH=10 unchanged'!C82+'CurrentPor-LH=10 unchanged'!I82)/100)+103/POWER(1+('CurrentPor-LH=10 unchanged'!D82+'CurrentPor-LH=10 unchanged'!I82)/100,2))*100</f>
        <v>9580.3612385826909</v>
      </c>
      <c r="F82">
        <f>Portfolio!B$5*'CurrentPor-LH=10 unchanged'!E82</f>
        <v>52143.895533915893</v>
      </c>
      <c r="G82">
        <f>Portfolio!B$6*'CurrentPor-LH=10 unchanged'!F82</f>
        <v>3696.2945087936532</v>
      </c>
      <c r="H82">
        <f>Portfolio!B$7*'CurrentPor-LH=10 unchanged'!J82</f>
        <v>2148.0998964419859</v>
      </c>
      <c r="I82">
        <f t="shared" si="2"/>
        <v>96515.961293714019</v>
      </c>
      <c r="J82">
        <f t="shared" si="3"/>
        <v>8.959404770139372</v>
      </c>
    </row>
    <row r="83" spans="1:10">
      <c r="A83" s="1">
        <v>45586</v>
      </c>
      <c r="B83">
        <f>(3/(1+('CurrentPor-LH=10 unchanged'!C83)/100)+103/POWER(1+('CurrentPor-LH=10 unchanged'!D83)/100,2))*100</f>
        <v>9707.5857774288397</v>
      </c>
      <c r="C83">
        <f>(3/(1+('CurrentPor-LH=10 unchanged'!C83+'CurrentPor-LH=10 unchanged'!G83)/100)+103/POWER(1+('CurrentPor-LH=10 unchanged'!D83+'CurrentPor-LH=10 unchanged'!G83)/100,2))*100</f>
        <v>9634.8303172663855</v>
      </c>
      <c r="D83">
        <f>(3/(1+('CurrentPor-LH=10 unchanged'!C83+'CurrentPor-LH=10 unchanged'!H83)/100)+103/POWER(1+('CurrentPor-LH=10 unchanged'!D83+'CurrentPor-LH=10 unchanged'!H83)/100,2))*100</f>
        <v>9611.6571750888579</v>
      </c>
      <c r="E83">
        <f>(3/(1+('CurrentPor-LH=10 unchanged'!C83+'CurrentPor-LH=10 unchanged'!I83)/100)+103/POWER(1+('CurrentPor-LH=10 unchanged'!D83+'CurrentPor-LH=10 unchanged'!I83)/100,2))*100</f>
        <v>9578.634427460509</v>
      </c>
      <c r="F83">
        <f>Portfolio!B$5*'CurrentPor-LH=10 unchanged'!E83</f>
        <v>52143.895533915893</v>
      </c>
      <c r="G83">
        <f>Portfolio!B$6*'CurrentPor-LH=10 unchanged'!F83</f>
        <v>3696.2945087936532</v>
      </c>
      <c r="H83">
        <f>Portfolio!B$7*'CurrentPor-LH=10 unchanged'!J83</f>
        <v>2148.0998964419859</v>
      </c>
      <c r="I83">
        <f t="shared" si="2"/>
        <v>96520.997636396132</v>
      </c>
      <c r="J83">
        <f t="shared" si="3"/>
        <v>1.8735734265355859</v>
      </c>
    </row>
    <row r="84" spans="1:10">
      <c r="A84" s="1">
        <v>45587</v>
      </c>
      <c r="B84">
        <f>(3/(1+('CurrentPor-LH=10 unchanged'!C84)/100)+103/POWER(1+('CurrentPor-LH=10 unchanged'!D84)/100,2))*100</f>
        <v>9707.5857774288397</v>
      </c>
      <c r="C84">
        <f>(3/(1+('CurrentPor-LH=10 unchanged'!C84+'CurrentPor-LH=10 unchanged'!G84)/100)+103/POWER(1+('CurrentPor-LH=10 unchanged'!D84+'CurrentPor-LH=10 unchanged'!G84)/100,2))*100</f>
        <v>9636.6391226770629</v>
      </c>
      <c r="D84">
        <f>(3/(1+('CurrentPor-LH=10 unchanged'!C84+'CurrentPor-LH=10 unchanged'!H84)/100)+103/POWER(1+('CurrentPor-LH=10 unchanged'!D84+'CurrentPor-LH=10 unchanged'!H84)/100,2))*100</f>
        <v>9601.8897761949283</v>
      </c>
      <c r="E84">
        <f>(3/(1+('CurrentPor-LH=10 unchanged'!C84+'CurrentPor-LH=10 unchanged'!I84)/100)+103/POWER(1+('CurrentPor-LH=10 unchanged'!D84+'CurrentPor-LH=10 unchanged'!I84)/100,2))*100</f>
        <v>9582.9047549846018</v>
      </c>
      <c r="F84">
        <f>Portfolio!B$5*'CurrentPor-LH=10 unchanged'!E84</f>
        <v>52143.895533915893</v>
      </c>
      <c r="G84">
        <f>Portfolio!B$6*'CurrentPor-LH=10 unchanged'!F84</f>
        <v>3696.2945087936532</v>
      </c>
      <c r="H84">
        <f>Portfolio!B$7*'CurrentPor-LH=10 unchanged'!J84</f>
        <v>2148.0998964419859</v>
      </c>
      <c r="I84">
        <f t="shared" si="2"/>
        <v>96517.309370436953</v>
      </c>
      <c r="J84">
        <f t="shared" si="3"/>
        <v>17.240768179908628</v>
      </c>
    </row>
    <row r="85" spans="1:10">
      <c r="A85" s="1">
        <v>45588</v>
      </c>
      <c r="B85">
        <f>(3/(1+('CurrentPor-LH=10 unchanged'!C85)/100)+103/POWER(1+('CurrentPor-LH=10 unchanged'!D85)/100,2))*100</f>
        <v>9707.5857774288397</v>
      </c>
      <c r="C85">
        <f>(3/(1+('CurrentPor-LH=10 unchanged'!C85+'CurrentPor-LH=10 unchanged'!G85)/100)+103/POWER(1+('CurrentPor-LH=10 unchanged'!D85+'CurrentPor-LH=10 unchanged'!G85)/100,2))*100</f>
        <v>9640.2582771647722</v>
      </c>
      <c r="D85">
        <f>(3/(1+('CurrentPor-LH=10 unchanged'!C85+'CurrentPor-LH=10 unchanged'!H85)/100)+103/POWER(1+('CurrentPor-LH=10 unchanged'!D85+'CurrentPor-LH=10 unchanged'!H85)/100,2))*100</f>
        <v>9587.7244928794116</v>
      </c>
      <c r="E85">
        <f>(3/(1+('CurrentPor-LH=10 unchanged'!C85+'CurrentPor-LH=10 unchanged'!I85)/100)+103/POWER(1+('CurrentPor-LH=10 unchanged'!D85+'CurrentPor-LH=10 unchanged'!I85)/100,2))*100</f>
        <v>9582.6528801111053</v>
      </c>
      <c r="F85">
        <f>Portfolio!B$5*'CurrentPor-LH=10 unchanged'!E85</f>
        <v>52143.895533915893</v>
      </c>
      <c r="G85">
        <f>Portfolio!B$6*'CurrentPor-LH=10 unchanged'!F85</f>
        <v>3696.2945087936532</v>
      </c>
      <c r="H85">
        <f>Portfolio!B$7*'CurrentPor-LH=10 unchanged'!J85</f>
        <v>2148.0998964419859</v>
      </c>
      <c r="I85">
        <f t="shared" si="2"/>
        <v>96506.511366735664</v>
      </c>
      <c r="J85">
        <f t="shared" si="3"/>
        <v>-0.18501958332490176</v>
      </c>
    </row>
    <row r="86" spans="1:10">
      <c r="A86" s="1">
        <v>45589</v>
      </c>
      <c r="B86">
        <f>(3/(1+('CurrentPor-LH=10 unchanged'!C86)/100)+103/POWER(1+('CurrentPor-LH=10 unchanged'!D86)/100,2))*100</f>
        <v>9707.5857774288397</v>
      </c>
      <c r="C86">
        <f>(3/(1+('CurrentPor-LH=10 unchanged'!C86+'CurrentPor-LH=10 unchanged'!G86)/100)+103/POWER(1+('CurrentPor-LH=10 unchanged'!D86+'CurrentPor-LH=10 unchanged'!G86)/100,2))*100</f>
        <v>9638.4484425779829</v>
      </c>
      <c r="D86">
        <f>(3/(1+('CurrentPor-LH=10 unchanged'!C86+'CurrentPor-LH=10 unchanged'!H86)/100)+103/POWER(1+('CurrentPor-LH=10 unchanged'!D86+'CurrentPor-LH=10 unchanged'!H86)/100,2))*100</f>
        <v>9603.089670627096</v>
      </c>
      <c r="E86">
        <f>(3/(1+('CurrentPor-LH=10 unchanged'!C86+'CurrentPor-LH=10 unchanged'!I86)/100)+103/POWER(1+('CurrentPor-LH=10 unchanged'!D86+'CurrentPor-LH=10 unchanged'!I86)/100,2))*100</f>
        <v>9579.6031360731467</v>
      </c>
      <c r="F86">
        <f>Portfolio!B$5*'CurrentPor-LH=10 unchanged'!E86</f>
        <v>52143.895533915893</v>
      </c>
      <c r="G86">
        <f>Portfolio!B$6*'CurrentPor-LH=10 unchanged'!F86</f>
        <v>3696.2945087936532</v>
      </c>
      <c r="H86">
        <f>Portfolio!B$7*'CurrentPor-LH=10 unchanged'!J86</f>
        <v>2148.0998964419859</v>
      </c>
      <c r="I86">
        <f t="shared" si="2"/>
        <v>96517.016965858595</v>
      </c>
      <c r="J86">
        <f t="shared" si="3"/>
        <v>7.0062271179340314</v>
      </c>
    </row>
    <row r="87" spans="1:10">
      <c r="A87" s="1">
        <v>45590</v>
      </c>
      <c r="B87">
        <f>(3/(1+('CurrentPor-LH=10 unchanged'!C87)/100)+103/POWER(1+('CurrentPor-LH=10 unchanged'!D87)/100,2))*100</f>
        <v>9707.5857774288397</v>
      </c>
      <c r="C87">
        <f>(3/(1+('CurrentPor-LH=10 unchanged'!C87+'CurrentPor-LH=10 unchanged'!G87)/100)+103/POWER(1+('CurrentPor-LH=10 unchanged'!D87+'CurrentPor-LH=10 unchanged'!G87)/100,2))*100</f>
        <v>9636.6391226770629</v>
      </c>
      <c r="D87">
        <f>(3/(1+('CurrentPor-LH=10 unchanged'!C87+'CurrentPor-LH=10 unchanged'!H87)/100)+103/POWER(1+('CurrentPor-LH=10 unchanged'!D87+'CurrentPor-LH=10 unchanged'!H87)/100,2))*100</f>
        <v>9591.5299328629117</v>
      </c>
      <c r="E87">
        <f>(3/(1+('CurrentPor-LH=10 unchanged'!C87+'CurrentPor-LH=10 unchanged'!I87)/100)+103/POWER(1+('CurrentPor-LH=10 unchanged'!D87+'CurrentPor-LH=10 unchanged'!I87)/100,2))*100</f>
        <v>9581.3894498585178</v>
      </c>
      <c r="F87">
        <f>Portfolio!B$5*'CurrentPor-LH=10 unchanged'!E87</f>
        <v>52143.895533915893</v>
      </c>
      <c r="G87">
        <f>Portfolio!B$6*'CurrentPor-LH=10 unchanged'!F87</f>
        <v>3696.2945087936532</v>
      </c>
      <c r="H87">
        <f>Portfolio!B$7*'CurrentPor-LH=10 unchanged'!J87</f>
        <v>2148.0998964419859</v>
      </c>
      <c r="I87">
        <f t="shared" si="2"/>
        <v>96505.434221978867</v>
      </c>
      <c r="J87">
        <f t="shared" si="3"/>
        <v>-12.245001507981215</v>
      </c>
    </row>
    <row r="88" spans="1:10">
      <c r="A88" s="1">
        <v>45593</v>
      </c>
      <c r="B88">
        <f>(3/(1+('CurrentPor-LH=10 unchanged'!C88)/100)+103/POWER(1+('CurrentPor-LH=10 unchanged'!D88)/100,2))*100</f>
        <v>9707.5857774288397</v>
      </c>
      <c r="C88">
        <f>(3/(1+('CurrentPor-LH=10 unchanged'!C88+'CurrentPor-LH=10 unchanged'!G88)/100)+103/POWER(1+('CurrentPor-LH=10 unchanged'!D88+'CurrentPor-LH=10 unchanged'!G88)/100,2))*100</f>
        <v>9640.2582771647722</v>
      </c>
      <c r="D88">
        <f>(3/(1+('CurrentPor-LH=10 unchanged'!C88+'CurrentPor-LH=10 unchanged'!H88)/100)+103/POWER(1+('CurrentPor-LH=10 unchanged'!D88+'CurrentPor-LH=10 unchanged'!H88)/100,2))*100</f>
        <v>9606.3992600756155</v>
      </c>
      <c r="E88">
        <f>(3/(1+('CurrentPor-LH=10 unchanged'!C88+'CurrentPor-LH=10 unchanged'!I88)/100)+103/POWER(1+('CurrentPor-LH=10 unchanged'!D88+'CurrentPor-LH=10 unchanged'!I88)/100,2))*100</f>
        <v>9580.9208248187424</v>
      </c>
      <c r="F88">
        <f>Portfolio!B$5*'CurrentPor-LH=10 unchanged'!E88</f>
        <v>52143.895533915893</v>
      </c>
      <c r="G88">
        <f>Portfolio!B$6*'CurrentPor-LH=10 unchanged'!F88</f>
        <v>3696.2945087936532</v>
      </c>
      <c r="H88">
        <f>Portfolio!B$7*'CurrentPor-LH=10 unchanged'!J88</f>
        <v>2148.0998964419859</v>
      </c>
      <c r="I88">
        <f t="shared" si="2"/>
        <v>96523.454078639494</v>
      </c>
      <c r="J88">
        <f t="shared" si="3"/>
        <v>-1.6218838806671556</v>
      </c>
    </row>
    <row r="89" spans="1:10">
      <c r="A89" s="1">
        <v>45594</v>
      </c>
      <c r="B89">
        <f>(3/(1+('CurrentPor-LH=10 unchanged'!C89)/100)+103/POWER(1+('CurrentPor-LH=10 unchanged'!D89)/100,2))*100</f>
        <v>9707.5857774288397</v>
      </c>
      <c r="C89">
        <f>(3/(1+('CurrentPor-LH=10 unchanged'!C89+'CurrentPor-LH=10 unchanged'!G89)/100)+103/POWER(1+('CurrentPor-LH=10 unchanged'!D89+'CurrentPor-LH=10 unchanged'!G89)/100,2))*100</f>
        <v>9640.2582771647722</v>
      </c>
      <c r="D89">
        <f>(3/(1+('CurrentPor-LH=10 unchanged'!C89+'CurrentPor-LH=10 unchanged'!H89)/100)+103/POWER(1+('CurrentPor-LH=10 unchanged'!D89+'CurrentPor-LH=10 unchanged'!H89)/100,2))*100</f>
        <v>9611.4268835599887</v>
      </c>
      <c r="E89">
        <f>(3/(1+('CurrentPor-LH=10 unchanged'!C89+'CurrentPor-LH=10 unchanged'!I89)/100)+103/POWER(1+('CurrentPor-LH=10 unchanged'!D89+'CurrentPor-LH=10 unchanged'!I89)/100,2))*100</f>
        <v>9579.4920440728438</v>
      </c>
      <c r="F89">
        <f>Portfolio!B$5*'CurrentPor-LH=10 unchanged'!E89</f>
        <v>52143.895533915893</v>
      </c>
      <c r="G89">
        <f>Portfolio!B$6*'CurrentPor-LH=10 unchanged'!F89</f>
        <v>3696.2945087936532</v>
      </c>
      <c r="H89">
        <f>Portfolio!B$7*'CurrentPor-LH=10 unchanged'!J89</f>
        <v>2148.0998964419859</v>
      </c>
      <c r="I89">
        <f t="shared" si="2"/>
        <v>96527.052921377981</v>
      </c>
      <c r="J89">
        <f t="shared" si="3"/>
        <v>-11.875719990610378</v>
      </c>
    </row>
    <row r="90" spans="1:10">
      <c r="A90" s="1">
        <v>45595</v>
      </c>
      <c r="B90">
        <f>(3/(1+('CurrentPor-LH=10 unchanged'!C90)/100)+103/POWER(1+('CurrentPor-LH=10 unchanged'!D90)/100,2))*100</f>
        <v>9707.5857774288397</v>
      </c>
      <c r="C90">
        <f>(3/(1+('CurrentPor-LH=10 unchanged'!C90+'CurrentPor-LH=10 unchanged'!G90)/100)+103/POWER(1+('CurrentPor-LH=10 unchanged'!D90+'CurrentPor-LH=10 unchanged'!G90)/100,2))*100</f>
        <v>9642.0686266331541</v>
      </c>
      <c r="D90">
        <f>(3/(1+('CurrentPor-LH=10 unchanged'!C90+'CurrentPor-LH=10 unchanged'!H90)/100)+103/POWER(1+('CurrentPor-LH=10 unchanged'!D90+'CurrentPor-LH=10 unchanged'!H90)/100,2))*100</f>
        <v>9589.4533787174823</v>
      </c>
      <c r="E90">
        <f>(3/(1+('CurrentPor-LH=10 unchanged'!C90+'CurrentPor-LH=10 unchanged'!I90)/100)+103/POWER(1+('CurrentPor-LH=10 unchanged'!D90+'CurrentPor-LH=10 unchanged'!I90)/100,2))*100</f>
        <v>9581.094488605384</v>
      </c>
      <c r="F90">
        <f>Portfolio!B$5*'CurrentPor-LH=10 unchanged'!E90</f>
        <v>52143.895533915893</v>
      </c>
      <c r="G90">
        <f>Portfolio!B$6*'CurrentPor-LH=10 unchanged'!F90</f>
        <v>3696.2945087936532</v>
      </c>
      <c r="H90">
        <f>Portfolio!B$7*'CurrentPor-LH=10 unchanged'!J90</f>
        <v>2148.0998964419859</v>
      </c>
      <c r="I90">
        <f t="shared" si="2"/>
        <v>96508.492210536395</v>
      </c>
      <c r="J90">
        <f t="shared" si="3"/>
        <v>-16.494010658905609</v>
      </c>
    </row>
    <row r="91" spans="1:10">
      <c r="A91" s="1">
        <v>45596</v>
      </c>
      <c r="B91">
        <f>(3/(1+('CurrentPor-LH=10 unchanged'!C91)/100)+103/POWER(1+('CurrentPor-LH=10 unchanged'!D91)/100,2))*100</f>
        <v>9707.5857774288397</v>
      </c>
      <c r="C91">
        <f>(3/(1+('CurrentPor-LH=10 unchanged'!C91+'CurrentPor-LH=10 unchanged'!G91)/100)+103/POWER(1+('CurrentPor-LH=10 unchanged'!D91+'CurrentPor-LH=10 unchanged'!G91)/100,2))*100</f>
        <v>9643.879491178941</v>
      </c>
      <c r="D91">
        <f>(3/(1+('CurrentPor-LH=10 unchanged'!C91+'CurrentPor-LH=10 unchanged'!H91)/100)+103/POWER(1+('CurrentPor-LH=10 unchanged'!D91+'CurrentPor-LH=10 unchanged'!H91)/100,2))*100</f>
        <v>9587.2511643885482</v>
      </c>
      <c r="E91">
        <f>(3/(1+('CurrentPor-LH=10 unchanged'!C91+'CurrentPor-LH=10 unchanged'!I91)/100)+103/POWER(1+('CurrentPor-LH=10 unchanged'!D91+'CurrentPor-LH=10 unchanged'!I91)/100,2))*100</f>
        <v>9581.9065970739757</v>
      </c>
      <c r="F91">
        <f>Portfolio!B$5*'CurrentPor-LH=10 unchanged'!E91</f>
        <v>52143.895533915893</v>
      </c>
      <c r="G91">
        <f>Portfolio!B$6*'CurrentPor-LH=10 unchanged'!F91</f>
        <v>3696.2945087936532</v>
      </c>
      <c r="H91">
        <f>Portfolio!B$7*'CurrentPor-LH=10 unchanged'!J91</f>
        <v>2148.0998964419859</v>
      </c>
      <c r="I91">
        <f t="shared" si="2"/>
        <v>96508.912969221841</v>
      </c>
      <c r="J91">
        <f t="shared" si="3"/>
        <v>-0.89101405063411221</v>
      </c>
    </row>
    <row r="92" spans="1:10">
      <c r="A92" s="1">
        <v>45597</v>
      </c>
      <c r="B92">
        <f>(3/(1+('CurrentPor-LH=10 unchanged'!C92)/100)+103/POWER(1+('CurrentPor-LH=10 unchanged'!D92)/100,2))*100</f>
        <v>9707.5857774288397</v>
      </c>
      <c r="C92">
        <f>(3/(1+('CurrentPor-LH=10 unchanged'!C92+'CurrentPor-LH=10 unchanged'!G92)/100)+103/POWER(1+('CurrentPor-LH=10 unchanged'!D92+'CurrentPor-LH=10 unchanged'!G92)/100,2))*100</f>
        <v>9638.4484425779829</v>
      </c>
      <c r="D92">
        <f>(3/(1+('CurrentPor-LH=10 unchanged'!C92+'CurrentPor-LH=10 unchanged'!H92)/100)+103/POWER(1+('CurrentPor-LH=10 unchanged'!D92+'CurrentPor-LH=10 unchanged'!H92)/100,2))*100</f>
        <v>9601.9734866883045</v>
      </c>
      <c r="E92">
        <f>(3/(1+('CurrentPor-LH=10 unchanged'!C92+'CurrentPor-LH=10 unchanged'!I92)/100)+103/POWER(1+('CurrentPor-LH=10 unchanged'!D92+'CurrentPor-LH=10 unchanged'!I92)/100,2))*100</f>
        <v>9580.1562036505784</v>
      </c>
      <c r="F92">
        <f>Portfolio!B$5*'CurrentPor-LH=10 unchanged'!E92</f>
        <v>52143.895533915893</v>
      </c>
      <c r="G92">
        <f>Portfolio!B$6*'CurrentPor-LH=10 unchanged'!F92</f>
        <v>3696.2945087936532</v>
      </c>
      <c r="H92">
        <f>Portfolio!B$7*'CurrentPor-LH=10 unchanged'!J92</f>
        <v>2148.0998964419859</v>
      </c>
      <c r="I92">
        <f t="shared" si="2"/>
        <v>96516.453849497237</v>
      </c>
      <c r="J92">
        <f t="shared" si="3"/>
        <v>0.49255578321754001</v>
      </c>
    </row>
    <row r="93" spans="1:10">
      <c r="A93" s="1">
        <v>45600</v>
      </c>
      <c r="B93">
        <f>(3/(1+('CurrentPor-LH=10 unchanged'!C93)/100)+103/POWER(1+('CurrentPor-LH=10 unchanged'!D93)/100,2))*100</f>
        <v>9707.5857774288397</v>
      </c>
      <c r="C93">
        <f>(3/(1+('CurrentPor-LH=10 unchanged'!C93+'CurrentPor-LH=10 unchanged'!G93)/100)+103/POWER(1+('CurrentPor-LH=10 unchanged'!D93+'CurrentPor-LH=10 unchanged'!G93)/100,2))*100</f>
        <v>9631.2142491337127</v>
      </c>
      <c r="D93">
        <f>(3/(1+('CurrentPor-LH=10 unchanged'!C93+'CurrentPor-LH=10 unchanged'!H93)/100)+103/POWER(1+('CurrentPor-LH=10 unchanged'!D93+'CurrentPor-LH=10 unchanged'!H93)/100,2))*100</f>
        <v>9592.6719611140124</v>
      </c>
      <c r="E93">
        <f>(3/(1+('CurrentPor-LH=10 unchanged'!C93+'CurrentPor-LH=10 unchanged'!I93)/100)+103/POWER(1+('CurrentPor-LH=10 unchanged'!D93+'CurrentPor-LH=10 unchanged'!I93)/100,2))*100</f>
        <v>9582.8382385454352</v>
      </c>
      <c r="F93">
        <f>Portfolio!B$5*'CurrentPor-LH=10 unchanged'!E93</f>
        <v>52143.895533915893</v>
      </c>
      <c r="G93">
        <f>Portfolio!B$6*'CurrentPor-LH=10 unchanged'!F93</f>
        <v>3696.2945087936532</v>
      </c>
      <c r="H93">
        <f>Portfolio!B$7*'CurrentPor-LH=10 unchanged'!J93</f>
        <v>2148.0998964419859</v>
      </c>
      <c r="I93">
        <f t="shared" si="2"/>
        <v>96502.600165373544</v>
      </c>
      <c r="J93">
        <f t="shared" si="3"/>
        <v>-18.397471022588434</v>
      </c>
    </row>
    <row r="94" spans="1:10">
      <c r="A94" s="1">
        <v>45601</v>
      </c>
      <c r="B94">
        <f>(3/(1+('CurrentPor-LH=10 unchanged'!C94)/100)+103/POWER(1+('CurrentPor-LH=10 unchanged'!D94)/100,2))*100</f>
        <v>9707.5857774288397</v>
      </c>
      <c r="C94">
        <f>(3/(1+('CurrentPor-LH=10 unchanged'!C94+'CurrentPor-LH=10 unchanged'!G94)/100)+103/POWER(1+('CurrentPor-LH=10 unchanged'!D94+'CurrentPor-LH=10 unchanged'!G94)/100,2))*100</f>
        <v>9633.0220261504182</v>
      </c>
      <c r="D94">
        <f>(3/(1+('CurrentPor-LH=10 unchanged'!C94+'CurrentPor-LH=10 unchanged'!H94)/100)+103/POWER(1+('CurrentPor-LH=10 unchanged'!D94+'CurrentPor-LH=10 unchanged'!H94)/100,2))*100</f>
        <v>9572.9984013688572</v>
      </c>
      <c r="E94">
        <f>(3/(1+('CurrentPor-LH=10 unchanged'!C94+'CurrentPor-LH=10 unchanged'!I94)/100)+103/POWER(1+('CurrentPor-LH=10 unchanged'!D94+'CurrentPor-LH=10 unchanged'!I94)/100,2))*100</f>
        <v>9581.8625517846067</v>
      </c>
      <c r="F94">
        <f>Portfolio!B$5*'CurrentPor-LH=10 unchanged'!E94</f>
        <v>52143.895533915893</v>
      </c>
      <c r="G94">
        <f>Portfolio!B$6*'CurrentPor-LH=10 unchanged'!F94</f>
        <v>3696.2945087936532</v>
      </c>
      <c r="H94">
        <f>Portfolio!B$7*'CurrentPor-LH=10 unchanged'!J94</f>
        <v>2148.0998964419859</v>
      </c>
      <c r="I94">
        <f t="shared" si="2"/>
        <v>96483.758695884258</v>
      </c>
      <c r="J94">
        <f t="shared" si="3"/>
        <v>-33.550674552694545</v>
      </c>
    </row>
    <row r="95" spans="1:10">
      <c r="A95" s="1">
        <v>45602</v>
      </c>
      <c r="B95">
        <f>(3/(1+('CurrentPor-LH=10 unchanged'!C95)/100)+103/POWER(1+('CurrentPor-LH=10 unchanged'!D95)/100,2))*100</f>
        <v>9707.5857774288397</v>
      </c>
      <c r="C95">
        <f>(3/(1+('CurrentPor-LH=10 unchanged'!C95+'CurrentPor-LH=10 unchanged'!G95)/100)+103/POWER(1+('CurrentPor-LH=10 unchanged'!D95+'CurrentPor-LH=10 unchanged'!G95)/100,2))*100</f>
        <v>9631.2142491337127</v>
      </c>
      <c r="D95">
        <f>(3/(1+('CurrentPor-LH=10 unchanged'!C95+'CurrentPor-LH=10 unchanged'!H95)/100)+103/POWER(1+('CurrentPor-LH=10 unchanged'!D95+'CurrentPor-LH=10 unchanged'!H95)/100,2))*100</f>
        <v>9604.9264476862427</v>
      </c>
      <c r="E95">
        <f>(3/(1+('CurrentPor-LH=10 unchanged'!C95+'CurrentPor-LH=10 unchanged'!I95)/100)+103/POWER(1+('CurrentPor-LH=10 unchanged'!D95+'CurrentPor-LH=10 unchanged'!I95)/100,2))*100</f>
        <v>9581.526550283339</v>
      </c>
      <c r="F95">
        <f>Portfolio!B$5*'CurrentPor-LH=10 unchanged'!E95</f>
        <v>52143.895533915893</v>
      </c>
      <c r="G95">
        <f>Portfolio!B$6*'CurrentPor-LH=10 unchanged'!F95</f>
        <v>3696.2945087936532</v>
      </c>
      <c r="H95">
        <f>Portfolio!B$7*'CurrentPor-LH=10 unchanged'!J95</f>
        <v>2148.0998964419859</v>
      </c>
      <c r="I95">
        <f t="shared" si="2"/>
        <v>96513.542963683678</v>
      </c>
      <c r="J95">
        <f t="shared" si="3"/>
        <v>7.0315969480143394</v>
      </c>
    </row>
    <row r="96" spans="1:10">
      <c r="A96" s="1">
        <v>45603</v>
      </c>
      <c r="B96">
        <f>(3/(1+('CurrentPor-LH=10 unchanged'!C96)/100)+103/POWER(1+('CurrentPor-LH=10 unchanged'!D96)/100,2))*100</f>
        <v>9707.5857774288397</v>
      </c>
      <c r="C96">
        <f>(3/(1+('CurrentPor-LH=10 unchanged'!C96+'CurrentPor-LH=10 unchanged'!G96)/100)+103/POWER(1+('CurrentPor-LH=10 unchanged'!D96+'CurrentPor-LH=10 unchanged'!G96)/100,2))*100</f>
        <v>9634.8303172663855</v>
      </c>
      <c r="D96">
        <f>(3/(1+('CurrentPor-LH=10 unchanged'!C96+'CurrentPor-LH=10 unchanged'!H96)/100)+103/POWER(1+('CurrentPor-LH=10 unchanged'!D96+'CurrentPor-LH=10 unchanged'!H96)/100,2))*100</f>
        <v>9597.3798109872332</v>
      </c>
      <c r="E96">
        <f>(3/(1+('CurrentPor-LH=10 unchanged'!C96+'CurrentPor-LH=10 unchanged'!I96)/100)+103/POWER(1+('CurrentPor-LH=10 unchanged'!D96+'CurrentPor-LH=10 unchanged'!I96)/100,2))*100</f>
        <v>9581.5408123538818</v>
      </c>
      <c r="F96">
        <f>Portfolio!B$5*'CurrentPor-LH=10 unchanged'!E96</f>
        <v>52143.895533915893</v>
      </c>
      <c r="G96">
        <f>Portfolio!B$6*'CurrentPor-LH=10 unchanged'!F96</f>
        <v>3696.2945087936532</v>
      </c>
      <c r="H96">
        <f>Portfolio!B$7*'CurrentPor-LH=10 unchanged'!J96</f>
        <v>2148.0998964419859</v>
      </c>
      <c r="I96">
        <f t="shared" si="2"/>
        <v>96509.626657187866</v>
      </c>
      <c r="J96">
        <f t="shared" si="3"/>
        <v>-7.3903086707287002</v>
      </c>
    </row>
    <row r="97" spans="1:10">
      <c r="A97" s="1">
        <v>45604</v>
      </c>
      <c r="B97">
        <f>(3/(1+('CurrentPor-LH=10 unchanged'!C97)/100)+103/POWER(1+('CurrentPor-LH=10 unchanged'!D97)/100,2))*100</f>
        <v>9707.5857774288397</v>
      </c>
      <c r="C97">
        <f>(3/(1+('CurrentPor-LH=10 unchanged'!C97+'CurrentPor-LH=10 unchanged'!G97)/100)+103/POWER(1+('CurrentPor-LH=10 unchanged'!D97+'CurrentPor-LH=10 unchanged'!G97)/100,2))*100</f>
        <v>9634.8303172663855</v>
      </c>
      <c r="D97">
        <f>(3/(1+('CurrentPor-LH=10 unchanged'!C97+'CurrentPor-LH=10 unchanged'!H97)/100)+103/POWER(1+('CurrentPor-LH=10 unchanged'!D97+'CurrentPor-LH=10 unchanged'!H97)/100,2))*100</f>
        <v>9593.3541996930999</v>
      </c>
      <c r="E97">
        <f>(3/(1+('CurrentPor-LH=10 unchanged'!C97+'CurrentPor-LH=10 unchanged'!I97)/100)+103/POWER(1+('CurrentPor-LH=10 unchanged'!D97+'CurrentPor-LH=10 unchanged'!I97)/100,2))*100</f>
        <v>9579.2146384022835</v>
      </c>
      <c r="F97">
        <f>Portfolio!B$5*'CurrentPor-LH=10 unchanged'!E97</f>
        <v>52143.895533915893</v>
      </c>
      <c r="G97">
        <f>Portfolio!B$6*'CurrentPor-LH=10 unchanged'!F97</f>
        <v>3696.2945087936532</v>
      </c>
      <c r="H97">
        <f>Portfolio!B$7*'CurrentPor-LH=10 unchanged'!J97</f>
        <v>2148.0998964419859</v>
      </c>
      <c r="I97">
        <f t="shared" si="2"/>
        <v>96503.274871942136</v>
      </c>
      <c r="J97">
        <f t="shared" si="3"/>
        <v>-2.159350036730757</v>
      </c>
    </row>
    <row r="98" spans="1:10">
      <c r="A98" s="1">
        <v>45607</v>
      </c>
      <c r="B98">
        <f>(3/(1+('CurrentPor-LH=10 unchanged'!C98)/100)+103/POWER(1+('CurrentPor-LH=10 unchanged'!D98)/100,2))*100</f>
        <v>9707.5857774288397</v>
      </c>
      <c r="C98">
        <f>(3/(1+('CurrentPor-LH=10 unchanged'!C98+'CurrentPor-LH=10 unchanged'!G98)/100)+103/POWER(1+('CurrentPor-LH=10 unchanged'!D98+'CurrentPor-LH=10 unchanged'!G98)/100,2))*100</f>
        <v>9642.0686266331541</v>
      </c>
      <c r="D98">
        <f>(3/(1+('CurrentPor-LH=10 unchanged'!C98+'CurrentPor-LH=10 unchanged'!H98)/100)+103/POWER(1+('CurrentPor-LH=10 unchanged'!D98+'CurrentPor-LH=10 unchanged'!H98)/100,2))*100</f>
        <v>9603.7595254689968</v>
      </c>
      <c r="E98">
        <f>(3/(1+('CurrentPor-LH=10 unchanged'!C98+'CurrentPor-LH=10 unchanged'!I98)/100)+103/POWER(1+('CurrentPor-LH=10 unchanged'!D98+'CurrentPor-LH=10 unchanged'!I98)/100,2))*100</f>
        <v>9579.1718369813316</v>
      </c>
      <c r="F98">
        <f>Portfolio!B$5*'CurrentPor-LH=10 unchanged'!E98</f>
        <v>52143.895533915893</v>
      </c>
      <c r="G98">
        <f>Portfolio!B$6*'CurrentPor-LH=10 unchanged'!F98</f>
        <v>3696.2945087936532</v>
      </c>
      <c r="H98">
        <f>Portfolio!B$7*'CurrentPor-LH=10 unchanged'!J98</f>
        <v>2148.0998964419859</v>
      </c>
      <c r="I98">
        <f t="shared" si="2"/>
        <v>96520.875705663857</v>
      </c>
      <c r="J98">
        <f t="shared" si="3"/>
        <v>-2.5783729756367393</v>
      </c>
    </row>
    <row r="99" spans="1:10">
      <c r="A99" s="1">
        <v>45608</v>
      </c>
      <c r="B99">
        <f>(3/(1+('CurrentPor-LH=10 unchanged'!C99)/100)+103/POWER(1+('CurrentPor-LH=10 unchanged'!D99)/100,2))*100</f>
        <v>9707.5857774288397</v>
      </c>
      <c r="C99">
        <f>(3/(1+('CurrentPor-LH=10 unchanged'!C99+'CurrentPor-LH=10 unchanged'!G99)/100)+103/POWER(1+('CurrentPor-LH=10 unchanged'!D99+'CurrentPor-LH=10 unchanged'!G99)/100,2))*100</f>
        <v>9643.879491178941</v>
      </c>
      <c r="D99">
        <f>(3/(1+('CurrentPor-LH=10 unchanged'!C99+'CurrentPor-LH=10 unchanged'!H99)/100)+103/POWER(1+('CurrentPor-LH=10 unchanged'!D99+'CurrentPor-LH=10 unchanged'!H99)/100,2))*100</f>
        <v>9605.0283388627304</v>
      </c>
      <c r="E99">
        <f>(3/(1+('CurrentPor-LH=10 unchanged'!C99+'CurrentPor-LH=10 unchanged'!I99)/100)+103/POWER(1+('CurrentPor-LH=10 unchanged'!D99+'CurrentPor-LH=10 unchanged'!I99)/100,2))*100</f>
        <v>9579.7257040427758</v>
      </c>
      <c r="F99">
        <f>Portfolio!B$5*'CurrentPor-LH=10 unchanged'!E99</f>
        <v>52143.895533915893</v>
      </c>
      <c r="G99">
        <f>Portfolio!B$6*'CurrentPor-LH=10 unchanged'!F99</f>
        <v>3696.2945087936532</v>
      </c>
      <c r="H99">
        <f>Portfolio!B$7*'CurrentPor-LH=10 unchanged'!J99</f>
        <v>2148.0998964419859</v>
      </c>
      <c r="I99">
        <f t="shared" si="2"/>
        <v>96524.509250664807</v>
      </c>
      <c r="J99">
        <f t="shared" si="3"/>
        <v>-2.543670713173924</v>
      </c>
    </row>
    <row r="100" spans="1:10">
      <c r="A100" s="1">
        <v>45609</v>
      </c>
      <c r="B100">
        <f>(3/(1+('CurrentPor-LH=10 unchanged'!C100)/100)+103/POWER(1+('CurrentPor-LH=10 unchanged'!D100)/100,2))*100</f>
        <v>9707.5857774288397</v>
      </c>
      <c r="C100">
        <f>(3/(1+('CurrentPor-LH=10 unchanged'!C100+'CurrentPor-LH=10 unchanged'!G100)/100)+103/POWER(1+('CurrentPor-LH=10 unchanged'!D100+'CurrentPor-LH=10 unchanged'!G100)/100,2))*100</f>
        <v>9642.0686266331541</v>
      </c>
      <c r="D100">
        <f>(3/(1+('CurrentPor-LH=10 unchanged'!C100+'CurrentPor-LH=10 unchanged'!H100)/100)+103/POWER(1+('CurrentPor-LH=10 unchanged'!D100+'CurrentPor-LH=10 unchanged'!H100)/100,2))*100</f>
        <v>9592.0163202746589</v>
      </c>
      <c r="E100">
        <f>(3/(1+('CurrentPor-LH=10 unchanged'!C100+'CurrentPor-LH=10 unchanged'!I100)/100)+103/POWER(1+('CurrentPor-LH=10 unchanged'!D100+'CurrentPor-LH=10 unchanged'!I100)/100,2))*100</f>
        <v>9580.1721860291091</v>
      </c>
      <c r="F100">
        <f>Portfolio!B$5*'CurrentPor-LH=10 unchanged'!E100</f>
        <v>52143.895533915893</v>
      </c>
      <c r="G100">
        <f>Portfolio!B$6*'CurrentPor-LH=10 unchanged'!F100</f>
        <v>3696.2945087936532</v>
      </c>
      <c r="H100">
        <f>Portfolio!B$7*'CurrentPor-LH=10 unchanged'!J100</f>
        <v>2148.0998964419859</v>
      </c>
      <c r="I100">
        <f t="shared" si="2"/>
        <v>96510.132849517293</v>
      </c>
      <c r="J100">
        <f t="shared" si="3"/>
        <v>1.6406389808980748</v>
      </c>
    </row>
    <row r="101" spans="1:10">
      <c r="A101" s="1">
        <v>45610</v>
      </c>
      <c r="B101">
        <f>(3/(1+('CurrentPor-LH=10 unchanged'!C101)/100)+103/POWER(1+('CurrentPor-LH=10 unchanged'!D101)/100,2))*100</f>
        <v>9707.5857774288397</v>
      </c>
      <c r="C101">
        <f>(3/(1+('CurrentPor-LH=10 unchanged'!C101+'CurrentPor-LH=10 unchanged'!G101)/100)+103/POWER(1+('CurrentPor-LH=10 unchanged'!D101+'CurrentPor-LH=10 unchanged'!G101)/100,2))*100</f>
        <v>9642.0686266331541</v>
      </c>
      <c r="D101">
        <f>(3/(1+('CurrentPor-LH=10 unchanged'!C101+'CurrentPor-LH=10 unchanged'!H101)/100)+103/POWER(1+('CurrentPor-LH=10 unchanged'!D101+'CurrentPor-LH=10 unchanged'!H101)/100,2))*100</f>
        <v>9611.734677976161</v>
      </c>
      <c r="E101">
        <f>(3/(1+('CurrentPor-LH=10 unchanged'!C101+'CurrentPor-LH=10 unchanged'!I101)/100)+103/POWER(1+('CurrentPor-LH=10 unchanged'!D101+'CurrentPor-LH=10 unchanged'!I101)/100,2))*100</f>
        <v>9579.3638022162249</v>
      </c>
      <c r="F101">
        <f>Portfolio!B$5*'CurrentPor-LH=10 unchanged'!E101</f>
        <v>52143.895533915893</v>
      </c>
      <c r="G101">
        <f>Portfolio!B$6*'CurrentPor-LH=10 unchanged'!F101</f>
        <v>3696.2945087936532</v>
      </c>
      <c r="H101">
        <f>Portfolio!B$7*'CurrentPor-LH=10 unchanged'!J101</f>
        <v>2148.0998964419859</v>
      </c>
      <c r="I101">
        <f t="shared" si="2"/>
        <v>96529.042823405907</v>
      </c>
      <c r="J101">
        <f t="shared" si="3"/>
        <v>20.129854184066062</v>
      </c>
    </row>
    <row r="102" spans="1:10">
      <c r="A102" s="1">
        <v>45611</v>
      </c>
      <c r="B102">
        <f>(3/(1+('CurrentPor-LH=10 unchanged'!C102)/100)+103/POWER(1+('CurrentPor-LH=10 unchanged'!D102)/100,2))*100</f>
        <v>9707.5857774288397</v>
      </c>
      <c r="C102">
        <f>(3/(1+('CurrentPor-LH=10 unchanged'!C102+'CurrentPor-LH=10 unchanged'!G102)/100)+103/POWER(1+('CurrentPor-LH=10 unchanged'!D102+'CurrentPor-LH=10 unchanged'!G102)/100,2))*100</f>
        <v>9642.0686266331541</v>
      </c>
      <c r="D102">
        <f>(3/(1+('CurrentPor-LH=10 unchanged'!C102+'CurrentPor-LH=10 unchanged'!H102)/100)+103/POWER(1+('CurrentPor-LH=10 unchanged'!D102+'CurrentPor-LH=10 unchanged'!H102)/100,2))*100</f>
        <v>9606.6387898890553</v>
      </c>
      <c r="E102">
        <f>(3/(1+('CurrentPor-LH=10 unchanged'!C102+'CurrentPor-LH=10 unchanged'!I102)/100)+103/POWER(1+('CurrentPor-LH=10 unchanged'!D102+'CurrentPor-LH=10 unchanged'!I102)/100,2))*100</f>
        <v>9581.4042787731596</v>
      </c>
      <c r="F102">
        <f>Portfolio!B$5*'CurrentPor-LH=10 unchanged'!E102</f>
        <v>52143.895533915893</v>
      </c>
      <c r="G102">
        <f>Portfolio!B$6*'CurrentPor-LH=10 unchanged'!F102</f>
        <v>3696.2945087936532</v>
      </c>
      <c r="H102">
        <f>Portfolio!B$7*'CurrentPor-LH=10 unchanged'!J102</f>
        <v>2148.0998964419859</v>
      </c>
      <c r="I102">
        <f t="shared" si="2"/>
        <v>96525.987411875729</v>
      </c>
      <c r="J102">
        <f t="shared" si="3"/>
        <v>9.5335623784922063</v>
      </c>
    </row>
    <row r="103" spans="1:10">
      <c r="A103" s="1">
        <v>45614</v>
      </c>
      <c r="B103">
        <f>(3/(1+('CurrentPor-LH=10 unchanged'!C103)/100)+103/POWER(1+('CurrentPor-LH=10 unchanged'!D103)/100,2))*100</f>
        <v>9707.5857774288397</v>
      </c>
      <c r="C103">
        <f>(3/(1+('CurrentPor-LH=10 unchanged'!C103+'CurrentPor-LH=10 unchanged'!G103)/100)+103/POWER(1+('CurrentPor-LH=10 unchanged'!D103+'CurrentPor-LH=10 unchanged'!G103)/100,2))*100</f>
        <v>9640.2582771647722</v>
      </c>
      <c r="D103">
        <f>(3/(1+('CurrentPor-LH=10 unchanged'!C103+'CurrentPor-LH=10 unchanged'!H103)/100)+103/POWER(1+('CurrentPor-LH=10 unchanged'!D103+'CurrentPor-LH=10 unchanged'!H103)/100,2))*100</f>
        <v>9599.2123115751165</v>
      </c>
      <c r="E103">
        <f>(3/(1+('CurrentPor-LH=10 unchanged'!C103+'CurrentPor-LH=10 unchanged'!I103)/100)+103/POWER(1+('CurrentPor-LH=10 unchanged'!D103+'CurrentPor-LH=10 unchanged'!I103)/100,2))*100</f>
        <v>9581.460767190023</v>
      </c>
      <c r="F103">
        <f>Portfolio!B$5*'CurrentPor-LH=10 unchanged'!E103</f>
        <v>52143.895533915893</v>
      </c>
      <c r="G103">
        <f>Portfolio!B$6*'CurrentPor-LH=10 unchanged'!F103</f>
        <v>3696.2945087936532</v>
      </c>
      <c r="H103">
        <f>Portfolio!B$7*'CurrentPor-LH=10 unchanged'!J103</f>
        <v>2148.0998964419859</v>
      </c>
      <c r="I103">
        <f t="shared" si="2"/>
        <v>96516.807072510288</v>
      </c>
      <c r="J103">
        <f t="shared" si="3"/>
        <v>14.206907136744121</v>
      </c>
    </row>
    <row r="104" spans="1:10">
      <c r="A104" s="1">
        <v>45615</v>
      </c>
      <c r="B104">
        <f>(3/(1+('CurrentPor-LH=10 unchanged'!C104)/100)+103/POWER(1+('CurrentPor-LH=10 unchanged'!D104)/100,2))*100</f>
        <v>9707.5857774288397</v>
      </c>
      <c r="C104">
        <f>(3/(1+('CurrentPor-LH=10 unchanged'!C104+'CurrentPor-LH=10 unchanged'!G104)/100)+103/POWER(1+('CurrentPor-LH=10 unchanged'!D104+'CurrentPor-LH=10 unchanged'!G104)/100,2))*100</f>
        <v>9638.4484425779829</v>
      </c>
      <c r="D104">
        <f>(3/(1+('CurrentPor-LH=10 unchanged'!C104+'CurrentPor-LH=10 unchanged'!H104)/100)+103/POWER(1+('CurrentPor-LH=10 unchanged'!D104+'CurrentPor-LH=10 unchanged'!H104)/100,2))*100</f>
        <v>9604.233254079445</v>
      </c>
      <c r="E104">
        <f>(3/(1+('CurrentPor-LH=10 unchanged'!C104+'CurrentPor-LH=10 unchanged'!I104)/100)+103/POWER(1+('CurrentPor-LH=10 unchanged'!D104+'CurrentPor-LH=10 unchanged'!I104)/100,2))*100</f>
        <v>9579.3393049235619</v>
      </c>
      <c r="F104">
        <f>Portfolio!B$5*'CurrentPor-LH=10 unchanged'!E104</f>
        <v>52143.895533915893</v>
      </c>
      <c r="G104">
        <f>Portfolio!B$6*'CurrentPor-LH=10 unchanged'!F104</f>
        <v>3696.2945087936532</v>
      </c>
      <c r="H104">
        <f>Portfolio!B$7*'CurrentPor-LH=10 unchanged'!J104</f>
        <v>2148.0998964419859</v>
      </c>
      <c r="I104">
        <f t="shared" si="2"/>
        <v>96517.89671816137</v>
      </c>
      <c r="J104">
        <f t="shared" si="3"/>
        <v>34.138022277111304</v>
      </c>
    </row>
    <row r="105" spans="1:10">
      <c r="A105" s="1">
        <v>45616</v>
      </c>
      <c r="B105">
        <f>(3/(1+('CurrentPor-LH=10 unchanged'!C105)/100)+103/POWER(1+('CurrentPor-LH=10 unchanged'!D105)/100,2))*100</f>
        <v>9707.5857774288397</v>
      </c>
      <c r="C105">
        <f>(3/(1+('CurrentPor-LH=10 unchanged'!C105+'CurrentPor-LH=10 unchanged'!G105)/100)+103/POWER(1+('CurrentPor-LH=10 unchanged'!D105+'CurrentPor-LH=10 unchanged'!G105)/100,2))*100</f>
        <v>9640.2582771647722</v>
      </c>
      <c r="D105">
        <f>(3/(1+('CurrentPor-LH=10 unchanged'!C105+'CurrentPor-LH=10 unchanged'!H105)/100)+103/POWER(1+('CurrentPor-LH=10 unchanged'!D105+'CurrentPor-LH=10 unchanged'!H105)/100,2))*100</f>
        <v>9620.3800925193445</v>
      </c>
      <c r="E105">
        <f>(3/(1+('CurrentPor-LH=10 unchanged'!C105+'CurrentPor-LH=10 unchanged'!I105)/100)+103/POWER(1+('CurrentPor-LH=10 unchanged'!D105+'CurrentPor-LH=10 unchanged'!I105)/100,2))*100</f>
        <v>9582.5487325298491</v>
      </c>
      <c r="F105">
        <f>Portfolio!B$5*'CurrentPor-LH=10 unchanged'!E105</f>
        <v>52143.895533915893</v>
      </c>
      <c r="G105">
        <f>Portfolio!B$6*'CurrentPor-LH=10 unchanged'!F105</f>
        <v>3696.2945087936532</v>
      </c>
      <c r="H105">
        <f>Portfolio!B$7*'CurrentPor-LH=10 unchanged'!J105</f>
        <v>2148.0998964419859</v>
      </c>
      <c r="I105">
        <f t="shared" si="2"/>
        <v>96539.062818794322</v>
      </c>
      <c r="J105">
        <f t="shared" si="3"/>
        <v>25.51985511064413</v>
      </c>
    </row>
    <row r="106" spans="1:10">
      <c r="A106" s="1">
        <v>45617</v>
      </c>
      <c r="B106">
        <f>(3/(1+('CurrentPor-LH=10 unchanged'!C106)/100)+103/POWER(1+('CurrentPor-LH=10 unchanged'!D106)/100,2))*100</f>
        <v>9707.5857774288397</v>
      </c>
      <c r="C106">
        <f>(3/(1+('CurrentPor-LH=10 unchanged'!C106+'CurrentPor-LH=10 unchanged'!G106)/100)+103/POWER(1+('CurrentPor-LH=10 unchanged'!D106+'CurrentPor-LH=10 unchanged'!G106)/100,2))*100</f>
        <v>9642.0686266331541</v>
      </c>
      <c r="D106">
        <f>(3/(1+('CurrentPor-LH=10 unchanged'!C106+'CurrentPor-LH=10 unchanged'!H106)/100)+103/POWER(1+('CurrentPor-LH=10 unchanged'!D106+'CurrentPor-LH=10 unchanged'!H106)/100,2))*100</f>
        <v>9618.9244570829196</v>
      </c>
      <c r="E106">
        <f>(3/(1+('CurrentPor-LH=10 unchanged'!C106+'CurrentPor-LH=10 unchanged'!I106)/100)+103/POWER(1+('CurrentPor-LH=10 unchanged'!D106+'CurrentPor-LH=10 unchanged'!I106)/100,2))*100</f>
        <v>9578.4108778118061</v>
      </c>
      <c r="F106">
        <f>Portfolio!B$5*'CurrentPor-LH=10 unchanged'!E106</f>
        <v>52143.895533915893</v>
      </c>
      <c r="G106">
        <f>Portfolio!B$6*'CurrentPor-LH=10 unchanged'!F106</f>
        <v>3696.2945087936532</v>
      </c>
      <c r="H106">
        <f>Portfolio!B$7*'CurrentPor-LH=10 unchanged'!J106</f>
        <v>2148.0998964419859</v>
      </c>
      <c r="I106">
        <f t="shared" si="2"/>
        <v>96535.279678108243</v>
      </c>
      <c r="J106">
        <f t="shared" si="3"/>
        <v>25.653020920377458</v>
      </c>
    </row>
    <row r="107" spans="1:10">
      <c r="A107" s="1">
        <v>45618</v>
      </c>
      <c r="B107">
        <f>(3/(1+('CurrentPor-LH=10 unchanged'!C107)/100)+103/POWER(1+('CurrentPor-LH=10 unchanged'!D107)/100,2))*100</f>
        <v>9707.5857774288397</v>
      </c>
      <c r="C107">
        <f>(3/(1+('CurrentPor-LH=10 unchanged'!C107+'CurrentPor-LH=10 unchanged'!G107)/100)+103/POWER(1+('CurrentPor-LH=10 unchanged'!D107+'CurrentPor-LH=10 unchanged'!G107)/100,2))*100</f>
        <v>9642.0686266331541</v>
      </c>
      <c r="D107">
        <f>(3/(1+('CurrentPor-LH=10 unchanged'!C107+'CurrentPor-LH=10 unchanged'!H107)/100)+103/POWER(1+('CurrentPor-LH=10 unchanged'!D107+'CurrentPor-LH=10 unchanged'!H107)/100,2))*100</f>
        <v>9595.7413073058633</v>
      </c>
      <c r="E107">
        <f>(3/(1+('CurrentPor-LH=10 unchanged'!C107+'CurrentPor-LH=10 unchanged'!I107)/100)+103/POWER(1+('CurrentPor-LH=10 unchanged'!D107+'CurrentPor-LH=10 unchanged'!I107)/100,2))*100</f>
        <v>9581.6823149198644</v>
      </c>
      <c r="F107">
        <f>Portfolio!B$5*'CurrentPor-LH=10 unchanged'!E107</f>
        <v>52143.895533915893</v>
      </c>
      <c r="G107">
        <f>Portfolio!B$6*'CurrentPor-LH=10 unchanged'!F107</f>
        <v>3696.2945087936532</v>
      </c>
      <c r="H107">
        <f>Portfolio!B$7*'CurrentPor-LH=10 unchanged'!J107</f>
        <v>2148.0998964419859</v>
      </c>
      <c r="I107">
        <f t="shared" si="2"/>
        <v>96515.367965439262</v>
      </c>
      <c r="J107">
        <f t="shared" si="3"/>
        <v>12.093093497125665</v>
      </c>
    </row>
    <row r="108" spans="1:10">
      <c r="A108" s="1">
        <v>45621</v>
      </c>
      <c r="B108">
        <f>(3/(1+('CurrentPor-LH=10 unchanged'!C108)/100)+103/POWER(1+('CurrentPor-LH=10 unchanged'!D108)/100,2))*100</f>
        <v>9707.5857774288397</v>
      </c>
      <c r="C108">
        <f>(3/(1+('CurrentPor-LH=10 unchanged'!C108+'CurrentPor-LH=10 unchanged'!G108)/100)+103/POWER(1+('CurrentPor-LH=10 unchanged'!D108+'CurrentPor-LH=10 unchanged'!G108)/100,2))*100</f>
        <v>9642.0686266331541</v>
      </c>
      <c r="D108">
        <f>(3/(1+('CurrentPor-LH=10 unchanged'!C108+'CurrentPor-LH=10 unchanged'!H108)/100)+103/POWER(1+('CurrentPor-LH=10 unchanged'!D108+'CurrentPor-LH=10 unchanged'!H108)/100,2))*100</f>
        <v>9580.228892426363</v>
      </c>
      <c r="E108">
        <f>(3/(1+('CurrentPor-LH=10 unchanged'!C108+'CurrentPor-LH=10 unchanged'!I108)/100)+103/POWER(1+('CurrentPor-LH=10 unchanged'!D108+'CurrentPor-LH=10 unchanged'!I108)/100,2))*100</f>
        <v>9580.3021025211638</v>
      </c>
      <c r="F108">
        <f>Portfolio!B$5*'CurrentPor-LH=10 unchanged'!E108</f>
        <v>52143.895533915893</v>
      </c>
      <c r="G108">
        <f>Portfolio!B$6*'CurrentPor-LH=10 unchanged'!F108</f>
        <v>3696.2945087936532</v>
      </c>
      <c r="H108">
        <f>Portfolio!B$7*'CurrentPor-LH=10 unchanged'!J108</f>
        <v>2148.0998964419859</v>
      </c>
      <c r="I108">
        <f t="shared" si="2"/>
        <v>96498.47533816105</v>
      </c>
      <c r="J108">
        <f t="shared" si="3"/>
        <v>-22.400367502807057</v>
      </c>
    </row>
    <row r="109" spans="1:10">
      <c r="A109" s="1">
        <v>45622</v>
      </c>
      <c r="B109">
        <f>(3/(1+('CurrentPor-LH=10 unchanged'!C109)/100)+103/POWER(1+('CurrentPor-LH=10 unchanged'!D109)/100,2))*100</f>
        <v>9707.5857774288397</v>
      </c>
      <c r="C109">
        <f>(3/(1+('CurrentPor-LH=10 unchanged'!C109+'CurrentPor-LH=10 unchanged'!G109)/100)+103/POWER(1+('CurrentPor-LH=10 unchanged'!D109+'CurrentPor-LH=10 unchanged'!G109)/100,2))*100</f>
        <v>9643.879491178941</v>
      </c>
      <c r="D109">
        <f>(3/(1+('CurrentPor-LH=10 unchanged'!C109+'CurrentPor-LH=10 unchanged'!H109)/100)+103/POWER(1+('CurrentPor-LH=10 unchanged'!D109+'CurrentPor-LH=10 unchanged'!H109)/100,2))*100</f>
        <v>9604.516645172871</v>
      </c>
      <c r="E109">
        <f>(3/(1+('CurrentPor-LH=10 unchanged'!C109+'CurrentPor-LH=10 unchanged'!I109)/100)+103/POWER(1+('CurrentPor-LH=10 unchanged'!D109+'CurrentPor-LH=10 unchanged'!I109)/100,2))*100</f>
        <v>9580.2687932720055</v>
      </c>
      <c r="F109">
        <f>Portfolio!B$5*'CurrentPor-LH=10 unchanged'!E109</f>
        <v>52143.895533915893</v>
      </c>
      <c r="G109">
        <f>Portfolio!B$6*'CurrentPor-LH=10 unchanged'!F109</f>
        <v>3696.2945087936532</v>
      </c>
      <c r="H109">
        <f>Portfolio!B$7*'CurrentPor-LH=10 unchanged'!J109</f>
        <v>2148.0998964419859</v>
      </c>
      <c r="I109">
        <f t="shared" si="2"/>
        <v>96524.540646204186</v>
      </c>
      <c r="J109">
        <f t="shared" si="3"/>
        <v>3.1395539379445836E-2</v>
      </c>
    </row>
    <row r="110" spans="1:10">
      <c r="A110" s="1">
        <v>45623</v>
      </c>
      <c r="B110">
        <f>(3/(1+('CurrentPor-LH=10 unchanged'!C110)/100)+103/POWER(1+('CurrentPor-LH=10 unchanged'!D110)/100,2))*100</f>
        <v>9707.5857774288397</v>
      </c>
      <c r="C110">
        <f>(3/(1+('CurrentPor-LH=10 unchanged'!C110+'CurrentPor-LH=10 unchanged'!G110)/100)+103/POWER(1+('CurrentPor-LH=10 unchanged'!D110+'CurrentPor-LH=10 unchanged'!G110)/100,2))*100</f>
        <v>9638.4484425779829</v>
      </c>
      <c r="D110">
        <f>(3/(1+('CurrentPor-LH=10 unchanged'!C110+'CurrentPor-LH=10 unchanged'!H110)/100)+103/POWER(1+('CurrentPor-LH=10 unchanged'!D110+'CurrentPor-LH=10 unchanged'!H110)/100,2))*100</f>
        <v>9586.4855131027853</v>
      </c>
      <c r="E110">
        <f>(3/(1+('CurrentPor-LH=10 unchanged'!C110+'CurrentPor-LH=10 unchanged'!I110)/100)+103/POWER(1+('CurrentPor-LH=10 unchanged'!D110+'CurrentPor-LH=10 unchanged'!I110)/100,2))*100</f>
        <v>9580.247029161148</v>
      </c>
      <c r="F110">
        <f>Portfolio!B$5*'CurrentPor-LH=10 unchanged'!E110</f>
        <v>52143.895533915893</v>
      </c>
      <c r="G110">
        <f>Portfolio!B$6*'CurrentPor-LH=10 unchanged'!F110</f>
        <v>3696.2945087936532</v>
      </c>
      <c r="H110">
        <f>Portfolio!B$7*'CurrentPor-LH=10 unchanged'!J110</f>
        <v>2148.0998964419859</v>
      </c>
      <c r="I110">
        <f t="shared" si="2"/>
        <v>96501.056701422276</v>
      </c>
      <c r="J110">
        <f t="shared" si="3"/>
        <v>-9.0761480950168334</v>
      </c>
    </row>
    <row r="111" spans="1:10">
      <c r="A111" s="1">
        <v>45624</v>
      </c>
      <c r="B111">
        <f>(3/(1+('CurrentPor-LH=10 unchanged'!C111)/100)+103/POWER(1+('CurrentPor-LH=10 unchanged'!D111)/100,2))*100</f>
        <v>9707.5857774288397</v>
      </c>
      <c r="C111">
        <f>(3/(1+('CurrentPor-LH=10 unchanged'!C111+'CurrentPor-LH=10 unchanged'!G111)/100)+103/POWER(1+('CurrentPor-LH=10 unchanged'!D111+'CurrentPor-LH=10 unchanged'!G111)/100,2))*100</f>
        <v>9638.4484425779829</v>
      </c>
      <c r="D111">
        <f>(3/(1+('CurrentPor-LH=10 unchanged'!C111+'CurrentPor-LH=10 unchanged'!H111)/100)+103/POWER(1+('CurrentPor-LH=10 unchanged'!D111+'CurrentPor-LH=10 unchanged'!H111)/100,2))*100</f>
        <v>9603.1188671695036</v>
      </c>
      <c r="E111">
        <f>(3/(1+('CurrentPor-LH=10 unchanged'!C111+'CurrentPor-LH=10 unchanged'!I111)/100)+103/POWER(1+('CurrentPor-LH=10 unchanged'!D111+'CurrentPor-LH=10 unchanged'!I111)/100,2))*100</f>
        <v>9580.5595188750722</v>
      </c>
      <c r="F111">
        <f>Portfolio!B$5*'CurrentPor-LH=10 unchanged'!E111</f>
        <v>52143.895533915893</v>
      </c>
      <c r="G111">
        <f>Portfolio!B$6*'CurrentPor-LH=10 unchanged'!F111</f>
        <v>3696.2945087936532</v>
      </c>
      <c r="H111">
        <f>Portfolio!B$7*'CurrentPor-LH=10 unchanged'!J111</f>
        <v>2148.0998964419859</v>
      </c>
      <c r="I111">
        <f t="shared" si="2"/>
        <v>96518.002545202922</v>
      </c>
      <c r="J111">
        <f t="shared" si="3"/>
        <v>-11.040278202985064</v>
      </c>
    </row>
    <row r="112" spans="1:10">
      <c r="A112" s="1">
        <v>45625</v>
      </c>
      <c r="B112">
        <f>(3/(1+('CurrentPor-LH=10 unchanged'!C112)/100)+103/POWER(1+('CurrentPor-LH=10 unchanged'!D112)/100,2))*100</f>
        <v>9707.5857774288397</v>
      </c>
      <c r="C112">
        <f>(3/(1+('CurrentPor-LH=10 unchanged'!C112+'CurrentPor-LH=10 unchanged'!G112)/100)+103/POWER(1+('CurrentPor-LH=10 unchanged'!D112+'CurrentPor-LH=10 unchanged'!G112)/100,2))*100</f>
        <v>9638.4484425779829</v>
      </c>
      <c r="D112">
        <f>(3/(1+('CurrentPor-LH=10 unchanged'!C112+'CurrentPor-LH=10 unchanged'!H112)/100)+103/POWER(1+('CurrentPor-LH=10 unchanged'!D112+'CurrentPor-LH=10 unchanged'!H112)/100,2))*100</f>
        <v>9604.7569095569252</v>
      </c>
      <c r="E112">
        <f>(3/(1+('CurrentPor-LH=10 unchanged'!C112+'CurrentPor-LH=10 unchanged'!I112)/100)+103/POWER(1+('CurrentPor-LH=10 unchanged'!D112+'CurrentPor-LH=10 unchanged'!I112)/100,2))*100</f>
        <v>9580.2757300834273</v>
      </c>
      <c r="F112">
        <f>Portfolio!B$5*'CurrentPor-LH=10 unchanged'!E112</f>
        <v>52143.895533915893</v>
      </c>
      <c r="G112">
        <f>Portfolio!B$6*'CurrentPor-LH=10 unchanged'!F112</f>
        <v>3696.2945087936532</v>
      </c>
      <c r="H112">
        <f>Portfolio!B$7*'CurrentPor-LH=10 unchanged'!J112</f>
        <v>2148.0998964419859</v>
      </c>
      <c r="I112">
        <f t="shared" si="2"/>
        <v>96519.356798798704</v>
      </c>
      <c r="J112">
        <f t="shared" si="3"/>
        <v>-6.6306130770244636</v>
      </c>
    </row>
    <row r="113" spans="1:10">
      <c r="A113" s="1">
        <v>45628</v>
      </c>
      <c r="B113">
        <f>(3/(1+('CurrentPor-LH=10 unchanged'!C113)/100)+103/POWER(1+('CurrentPor-LH=10 unchanged'!D113)/100,2))*100</f>
        <v>9707.5857774288397</v>
      </c>
      <c r="C113">
        <f>(3/(1+('CurrentPor-LH=10 unchanged'!C113+'CurrentPor-LH=10 unchanged'!G113)/100)+103/POWER(1+('CurrentPor-LH=10 unchanged'!D113+'CurrentPor-LH=10 unchanged'!G113)/100,2))*100</f>
        <v>9640.2582771647722</v>
      </c>
      <c r="D113">
        <f>(3/(1+('CurrentPor-LH=10 unchanged'!C113+'CurrentPor-LH=10 unchanged'!H113)/100)+103/POWER(1+('CurrentPor-LH=10 unchanged'!D113+'CurrentPor-LH=10 unchanged'!H113)/100,2))*100</f>
        <v>9610.720248617843</v>
      </c>
      <c r="E113">
        <f>(3/(1+('CurrentPor-LH=10 unchanged'!C113+'CurrentPor-LH=10 unchanged'!I113)/100)+103/POWER(1+('CurrentPor-LH=10 unchanged'!D113+'CurrentPor-LH=10 unchanged'!I113)/100,2))*100</f>
        <v>9580.9620001401818</v>
      </c>
      <c r="F113">
        <f>Portfolio!B$5*'CurrentPor-LH=10 unchanged'!E113</f>
        <v>52143.895533915893</v>
      </c>
      <c r="G113">
        <f>Portfolio!B$6*'CurrentPor-LH=10 unchanged'!F113</f>
        <v>3696.2945087936532</v>
      </c>
      <c r="H113">
        <f>Portfolio!B$7*'CurrentPor-LH=10 unchanged'!J113</f>
        <v>2148.0998964419859</v>
      </c>
      <c r="I113">
        <f t="shared" si="2"/>
        <v>96527.816242503162</v>
      </c>
      <c r="J113">
        <f t="shared" si="3"/>
        <v>11.009169992874376</v>
      </c>
    </row>
    <row r="114" spans="1:10">
      <c r="A114" s="1">
        <v>45629</v>
      </c>
      <c r="B114">
        <f>(3/(1+('CurrentPor-LH=10 unchanged'!C114)/100)+103/POWER(1+('CurrentPor-LH=10 unchanged'!D114)/100,2))*100</f>
        <v>9707.5857774288397</v>
      </c>
      <c r="C114">
        <f>(3/(1+('CurrentPor-LH=10 unchanged'!C114+'CurrentPor-LH=10 unchanged'!G114)/100)+103/POWER(1+('CurrentPor-LH=10 unchanged'!D114+'CurrentPor-LH=10 unchanged'!G114)/100,2))*100</f>
        <v>9642.0686266331541</v>
      </c>
      <c r="D114">
        <f>(3/(1+('CurrentPor-LH=10 unchanged'!C114+'CurrentPor-LH=10 unchanged'!H114)/100)+103/POWER(1+('CurrentPor-LH=10 unchanged'!D114+'CurrentPor-LH=10 unchanged'!H114)/100,2))*100</f>
        <v>9605.8909921301129</v>
      </c>
      <c r="E114">
        <f>(3/(1+('CurrentPor-LH=10 unchanged'!C114+'CurrentPor-LH=10 unchanged'!I114)/100)+103/POWER(1+('CurrentPor-LH=10 unchanged'!D114+'CurrentPor-LH=10 unchanged'!I114)/100,2))*100</f>
        <v>9580.7699175281105</v>
      </c>
      <c r="F114">
        <f>Portfolio!B$5*'CurrentPor-LH=10 unchanged'!E114</f>
        <v>52143.895533915893</v>
      </c>
      <c r="G114">
        <f>Portfolio!B$6*'CurrentPor-LH=10 unchanged'!F114</f>
        <v>3696.2945087936532</v>
      </c>
      <c r="H114">
        <f>Portfolio!B$7*'CurrentPor-LH=10 unchanged'!J114</f>
        <v>2148.0998964419859</v>
      </c>
      <c r="I114">
        <f t="shared" si="2"/>
        <v>96524.605252871741</v>
      </c>
      <c r="J114">
        <f t="shared" si="3"/>
        <v>6.7085347103711683</v>
      </c>
    </row>
    <row r="115" spans="1:10">
      <c r="A115" s="1">
        <v>45630</v>
      </c>
      <c r="B115">
        <f>(3/(1+('CurrentPor-LH=10 unchanged'!C115)/100)+103/POWER(1+('CurrentPor-LH=10 unchanged'!D115)/100,2))*100</f>
        <v>9707.5857774288397</v>
      </c>
      <c r="C115">
        <f>(3/(1+('CurrentPor-LH=10 unchanged'!C115+'CurrentPor-LH=10 unchanged'!G115)/100)+103/POWER(1+('CurrentPor-LH=10 unchanged'!D115+'CurrentPor-LH=10 unchanged'!G115)/100,2))*100</f>
        <v>9642.0686266331541</v>
      </c>
      <c r="D115">
        <f>(3/(1+('CurrentPor-LH=10 unchanged'!C115+'CurrentPor-LH=10 unchanged'!H115)/100)+103/POWER(1+('CurrentPor-LH=10 unchanged'!D115+'CurrentPor-LH=10 unchanged'!H115)/100,2))*100</f>
        <v>9621.8591838503235</v>
      </c>
      <c r="E115">
        <f>(3/(1+('CurrentPor-LH=10 unchanged'!C115+'CurrentPor-LH=10 unchanged'!I115)/100)+103/POWER(1+('CurrentPor-LH=10 unchanged'!D115+'CurrentPor-LH=10 unchanged'!I115)/100,2))*100</f>
        <v>9579.290936942909</v>
      </c>
      <c r="F115">
        <f>Portfolio!B$5*'CurrentPor-LH=10 unchanged'!E115</f>
        <v>52143.895533915893</v>
      </c>
      <c r="G115">
        <f>Portfolio!B$6*'CurrentPor-LH=10 unchanged'!F115</f>
        <v>3696.2945087936532</v>
      </c>
      <c r="H115">
        <f>Portfolio!B$7*'CurrentPor-LH=10 unchanged'!J115</f>
        <v>2148.0998964419859</v>
      </c>
      <c r="I115">
        <f t="shared" si="2"/>
        <v>96539.094464006761</v>
      </c>
      <c r="J115">
        <f t="shared" si="3"/>
        <v>3.1645212438888848E-2</v>
      </c>
    </row>
    <row r="116" spans="1:10">
      <c r="A116" s="1">
        <v>45631</v>
      </c>
      <c r="B116">
        <f>(3/(1+('CurrentPor-LH=10 unchanged'!C116)/100)+103/POWER(1+('CurrentPor-LH=10 unchanged'!D116)/100,2))*100</f>
        <v>9707.5857774288397</v>
      </c>
      <c r="C116">
        <f>(3/(1+('CurrentPor-LH=10 unchanged'!C116+'CurrentPor-LH=10 unchanged'!G116)/100)+103/POWER(1+('CurrentPor-LH=10 unchanged'!D116+'CurrentPor-LH=10 unchanged'!G116)/100,2))*100</f>
        <v>9642.0686266331541</v>
      </c>
      <c r="D116">
        <f>(3/(1+('CurrentPor-LH=10 unchanged'!C116+'CurrentPor-LH=10 unchanged'!H116)/100)+103/POWER(1+('CurrentPor-LH=10 unchanged'!D116+'CurrentPor-LH=10 unchanged'!H116)/100,2))*100</f>
        <v>9601.3571076738208</v>
      </c>
      <c r="E116">
        <f>(3/(1+('CurrentPor-LH=10 unchanged'!C116+'CurrentPor-LH=10 unchanged'!I116)/100)+103/POWER(1+('CurrentPor-LH=10 unchanged'!D116+'CurrentPor-LH=10 unchanged'!I116)/100,2))*100</f>
        <v>9580.8857283619127</v>
      </c>
      <c r="F116">
        <f>Portfolio!B$5*'CurrentPor-LH=10 unchanged'!E116</f>
        <v>52143.895533915893</v>
      </c>
      <c r="G116">
        <f>Portfolio!B$6*'CurrentPor-LH=10 unchanged'!F116</f>
        <v>3696.2945087936532</v>
      </c>
      <c r="H116">
        <f>Portfolio!B$7*'CurrentPor-LH=10 unchanged'!J116</f>
        <v>2148.0998964419859</v>
      </c>
      <c r="I116">
        <f t="shared" si="2"/>
        <v>96520.18717924926</v>
      </c>
      <c r="J116">
        <f t="shared" si="3"/>
        <v>-15.092498858983163</v>
      </c>
    </row>
    <row r="117" spans="1:10">
      <c r="A117" s="1">
        <v>45632</v>
      </c>
      <c r="B117">
        <f>(3/(1+('CurrentPor-LH=10 unchanged'!C117)/100)+103/POWER(1+('CurrentPor-LH=10 unchanged'!D117)/100,2))*100</f>
        <v>9707.5857774288397</v>
      </c>
      <c r="C117">
        <f>(3/(1+('CurrentPor-LH=10 unchanged'!C117+'CurrentPor-LH=10 unchanged'!G117)/100)+103/POWER(1+('CurrentPor-LH=10 unchanged'!D117+'CurrentPor-LH=10 unchanged'!G117)/100,2))*100</f>
        <v>9643.879491178941</v>
      </c>
      <c r="D117">
        <f>(3/(1+('CurrentPor-LH=10 unchanged'!C117+'CurrentPor-LH=10 unchanged'!H117)/100)+103/POWER(1+('CurrentPor-LH=10 unchanged'!D117+'CurrentPor-LH=10 unchanged'!H117)/100,2))*100</f>
        <v>9599.2168648117313</v>
      </c>
      <c r="E117">
        <f>(3/(1+('CurrentPor-LH=10 unchanged'!C117+'CurrentPor-LH=10 unchanged'!I117)/100)+103/POWER(1+('CurrentPor-LH=10 unchanged'!D117+'CurrentPor-LH=10 unchanged'!I117)/100,2))*100</f>
        <v>9581.2428232433667</v>
      </c>
      <c r="F117">
        <f>Portfolio!B$5*'CurrentPor-LH=10 unchanged'!E117</f>
        <v>52143.895533915893</v>
      </c>
      <c r="G117">
        <f>Portfolio!B$6*'CurrentPor-LH=10 unchanged'!F117</f>
        <v>3696.2945087936532</v>
      </c>
      <c r="H117">
        <f>Portfolio!B$7*'CurrentPor-LH=10 unchanged'!J117</f>
        <v>2148.0998964419859</v>
      </c>
      <c r="I117">
        <f t="shared" si="2"/>
        <v>96520.21489581441</v>
      </c>
      <c r="J117">
        <f t="shared" si="3"/>
        <v>4.8469303751480766</v>
      </c>
    </row>
    <row r="118" spans="1:10">
      <c r="A118" s="1">
        <v>45635</v>
      </c>
      <c r="B118">
        <f>(3/(1+('CurrentPor-LH=10 unchanged'!C118)/100)+103/POWER(1+('CurrentPor-LH=10 unchanged'!D118)/100,2))*100</f>
        <v>9707.5857774288397</v>
      </c>
      <c r="C118">
        <f>(3/(1+('CurrentPor-LH=10 unchanged'!C118+'CurrentPor-LH=10 unchanged'!G118)/100)+103/POWER(1+('CurrentPor-LH=10 unchanged'!D118+'CurrentPor-LH=10 unchanged'!G118)/100,2))*100</f>
        <v>9643.879491178941</v>
      </c>
      <c r="D118">
        <f>(3/(1+('CurrentPor-LH=10 unchanged'!C118+'CurrentPor-LH=10 unchanged'!H118)/100)+103/POWER(1+('CurrentPor-LH=10 unchanged'!D118+'CurrentPor-LH=10 unchanged'!H118)/100,2))*100</f>
        <v>9607.167874935607</v>
      </c>
      <c r="E118">
        <f>(3/(1+('CurrentPor-LH=10 unchanged'!C118+'CurrentPor-LH=10 unchanged'!I118)/100)+103/POWER(1+('CurrentPor-LH=10 unchanged'!D118+'CurrentPor-LH=10 unchanged'!I118)/100,2))*100</f>
        <v>9580.6542129293412</v>
      </c>
      <c r="F118">
        <f>Portfolio!B$5*'CurrentPor-LH=10 unchanged'!E118</f>
        <v>52143.895533915893</v>
      </c>
      <c r="G118">
        <f>Portfolio!B$6*'CurrentPor-LH=10 unchanged'!F118</f>
        <v>3696.2945087936532</v>
      </c>
      <c r="H118">
        <f>Portfolio!B$7*'CurrentPor-LH=10 unchanged'!J118</f>
        <v>2148.0998964419859</v>
      </c>
      <c r="I118">
        <f t="shared" si="2"/>
        <v>96527.577295624258</v>
      </c>
      <c r="J118">
        <f t="shared" si="3"/>
        <v>29.101957463208237</v>
      </c>
    </row>
    <row r="119" spans="1:10">
      <c r="A119" s="1">
        <v>45636</v>
      </c>
      <c r="B119">
        <f>(3/(1+('CurrentPor-LH=10 unchanged'!C119)/100)+103/POWER(1+('CurrentPor-LH=10 unchanged'!D119)/100,2))*100</f>
        <v>9707.5857774288397</v>
      </c>
      <c r="C119">
        <f>(3/(1+('CurrentPor-LH=10 unchanged'!C119+'CurrentPor-LH=10 unchanged'!G119)/100)+103/POWER(1+('CurrentPor-LH=10 unchanged'!D119+'CurrentPor-LH=10 unchanged'!G119)/100,2))*100</f>
        <v>9643.879491178941</v>
      </c>
      <c r="D119">
        <f>(3/(1+('CurrentPor-LH=10 unchanged'!C119+'CurrentPor-LH=10 unchanged'!H119)/100)+103/POWER(1+('CurrentPor-LH=10 unchanged'!D119+'CurrentPor-LH=10 unchanged'!H119)/100,2))*100</f>
        <v>9599.3408121781467</v>
      </c>
      <c r="E119">
        <f>(3/(1+('CurrentPor-LH=10 unchanged'!C119+'CurrentPor-LH=10 unchanged'!I119)/100)+103/POWER(1+('CurrentPor-LH=10 unchanged'!D119+'CurrentPor-LH=10 unchanged'!I119)/100,2))*100</f>
        <v>9580.3564694755823</v>
      </c>
      <c r="F119">
        <f>Portfolio!B$5*'CurrentPor-LH=10 unchanged'!E119</f>
        <v>52143.895533915893</v>
      </c>
      <c r="G119">
        <f>Portfolio!B$6*'CurrentPor-LH=10 unchanged'!F119</f>
        <v>3696.2945087936532</v>
      </c>
      <c r="H119">
        <f>Portfolio!B$7*'CurrentPor-LH=10 unchanged'!J119</f>
        <v>2148.0998964419859</v>
      </c>
      <c r="I119">
        <f t="shared" si="2"/>
        <v>96519.452489413045</v>
      </c>
      <c r="J119">
        <f t="shared" si="3"/>
        <v>-5.0881567911419552</v>
      </c>
    </row>
    <row r="120" spans="1:10">
      <c r="A120" s="1">
        <v>45637</v>
      </c>
      <c r="B120">
        <f>(3/(1+('CurrentPor-LH=10 unchanged'!C120)/100)+103/POWER(1+('CurrentPor-LH=10 unchanged'!D120)/100,2))*100</f>
        <v>9707.5857774288397</v>
      </c>
      <c r="C120">
        <f>(3/(1+('CurrentPor-LH=10 unchanged'!C120+'CurrentPor-LH=10 unchanged'!G120)/100)+103/POWER(1+('CurrentPor-LH=10 unchanged'!D120+'CurrentPor-LH=10 unchanged'!G120)/100,2))*100</f>
        <v>9642.0686266331541</v>
      </c>
      <c r="D120">
        <f>(3/(1+('CurrentPor-LH=10 unchanged'!C120+'CurrentPor-LH=10 unchanged'!H120)/100)+103/POWER(1+('CurrentPor-LH=10 unchanged'!D120+'CurrentPor-LH=10 unchanged'!H120)/100,2))*100</f>
        <v>9581.9812171778321</v>
      </c>
      <c r="E120">
        <f>(3/(1+('CurrentPor-LH=10 unchanged'!C120+'CurrentPor-LH=10 unchanged'!I120)/100)+103/POWER(1+('CurrentPor-LH=10 unchanged'!D120+'CurrentPor-LH=10 unchanged'!I120)/100,2))*100</f>
        <v>9580.5475670242795</v>
      </c>
      <c r="F120">
        <f>Portfolio!B$5*'CurrentPor-LH=10 unchanged'!E120</f>
        <v>52143.895533915893</v>
      </c>
      <c r="G120">
        <f>Portfolio!B$6*'CurrentPor-LH=10 unchanged'!F120</f>
        <v>3696.2945087936532</v>
      </c>
      <c r="H120">
        <f>Portfolio!B$7*'CurrentPor-LH=10 unchanged'!J120</f>
        <v>2148.0998964419859</v>
      </c>
      <c r="I120">
        <f t="shared" si="2"/>
        <v>96500.473127415637</v>
      </c>
      <c r="J120">
        <f t="shared" si="3"/>
        <v>-0.5835740066395374</v>
      </c>
    </row>
    <row r="121" spans="1:10">
      <c r="A121" s="1">
        <v>45638</v>
      </c>
      <c r="B121">
        <f>(3/(1+('CurrentPor-LH=10 unchanged'!C121)/100)+103/POWER(1+('CurrentPor-LH=10 unchanged'!D121)/100,2))*100</f>
        <v>9707.5857774288397</v>
      </c>
      <c r="C121">
        <f>(3/(1+('CurrentPor-LH=10 unchanged'!C121+'CurrentPor-LH=10 unchanged'!G121)/100)+103/POWER(1+('CurrentPor-LH=10 unchanged'!D121+'CurrentPor-LH=10 unchanged'!G121)/100,2))*100</f>
        <v>9640.2582771647722</v>
      </c>
      <c r="D121">
        <f>(3/(1+('CurrentPor-LH=10 unchanged'!C121+'CurrentPor-LH=10 unchanged'!H121)/100)+103/POWER(1+('CurrentPor-LH=10 unchanged'!D121+'CurrentPor-LH=10 unchanged'!H121)/100,2))*100</f>
        <v>9598.2009469458499</v>
      </c>
      <c r="E121">
        <f>(3/(1+('CurrentPor-LH=10 unchanged'!C121+'CurrentPor-LH=10 unchanged'!I121)/100)+103/POWER(1+('CurrentPor-LH=10 unchanged'!D121+'CurrentPor-LH=10 unchanged'!I121)/100,2))*100</f>
        <v>9581.1613817776724</v>
      </c>
      <c r="F121">
        <f>Portfolio!B$5*'CurrentPor-LH=10 unchanged'!E121</f>
        <v>52143.895533915893</v>
      </c>
      <c r="G121">
        <f>Portfolio!B$6*'CurrentPor-LH=10 unchanged'!F121</f>
        <v>3696.2945087936532</v>
      </c>
      <c r="H121">
        <f>Portfolio!B$7*'CurrentPor-LH=10 unchanged'!J121</f>
        <v>2148.0998964419859</v>
      </c>
      <c r="I121">
        <f t="shared" si="2"/>
        <v>96515.496322468665</v>
      </c>
      <c r="J121">
        <f t="shared" si="3"/>
        <v>-2.5062227342568804</v>
      </c>
    </row>
    <row r="122" spans="1:10">
      <c r="A122" s="1">
        <v>45639</v>
      </c>
      <c r="B122">
        <f>(3/(1+('CurrentPor-LH=10 unchanged'!C122)/100)+103/POWER(1+('CurrentPor-LH=10 unchanged'!D122)/100,2))*100</f>
        <v>9707.5857774288397</v>
      </c>
      <c r="C122">
        <f>(3/(1+('CurrentPor-LH=10 unchanged'!C122+'CurrentPor-LH=10 unchanged'!G122)/100)+103/POWER(1+('CurrentPor-LH=10 unchanged'!D122+'CurrentPor-LH=10 unchanged'!G122)/100,2))*100</f>
        <v>9640.2582771647722</v>
      </c>
      <c r="D122">
        <f>(3/(1+('CurrentPor-LH=10 unchanged'!C122+'CurrentPor-LH=10 unchanged'!H122)/100)+103/POWER(1+('CurrentPor-LH=10 unchanged'!D122+'CurrentPor-LH=10 unchanged'!H122)/100,2))*100</f>
        <v>9606.7331353113295</v>
      </c>
      <c r="E122">
        <f>(3/(1+('CurrentPor-LH=10 unchanged'!C122+'CurrentPor-LH=10 unchanged'!I122)/100)+103/POWER(1+('CurrentPor-LH=10 unchanged'!D122+'CurrentPor-LH=10 unchanged'!I122)/100,2))*100</f>
        <v>9579.7511137268666</v>
      </c>
      <c r="F122">
        <f>Portfolio!B$5*'CurrentPor-LH=10 unchanged'!E122</f>
        <v>52143.895533915893</v>
      </c>
      <c r="G122">
        <f>Portfolio!B$6*'CurrentPor-LH=10 unchanged'!F122</f>
        <v>3696.2945087936532</v>
      </c>
      <c r="H122">
        <f>Portfolio!B$7*'CurrentPor-LH=10 unchanged'!J122</f>
        <v>2148.0998964419859</v>
      </c>
      <c r="I122">
        <f t="shared" si="2"/>
        <v>96522.618242783341</v>
      </c>
      <c r="J122">
        <f t="shared" si="3"/>
        <v>3.2614439846365713</v>
      </c>
    </row>
    <row r="123" spans="1:10">
      <c r="A123" s="1">
        <v>45642</v>
      </c>
      <c r="B123">
        <f>(3/(1+('CurrentPor-LH=10 unchanged'!C123)/100)+103/POWER(1+('CurrentPor-LH=10 unchanged'!D123)/100,2))*100</f>
        <v>9707.5857774288397</v>
      </c>
      <c r="C123">
        <f>(3/(1+('CurrentPor-LH=10 unchanged'!C123+'CurrentPor-LH=10 unchanged'!G123)/100)+103/POWER(1+('CurrentPor-LH=10 unchanged'!D123+'CurrentPor-LH=10 unchanged'!G123)/100,2))*100</f>
        <v>9640.2582771647722</v>
      </c>
      <c r="D123">
        <f>(3/(1+('CurrentPor-LH=10 unchanged'!C123+'CurrentPor-LH=10 unchanged'!H123)/100)+103/POWER(1+('CurrentPor-LH=10 unchanged'!D123+'CurrentPor-LH=10 unchanged'!H123)/100,2))*100</f>
        <v>9594.4438659396492</v>
      </c>
      <c r="E123">
        <f>(3/(1+('CurrentPor-LH=10 unchanged'!C123+'CurrentPor-LH=10 unchanged'!I123)/100)+103/POWER(1+('CurrentPor-LH=10 unchanged'!D123+'CurrentPor-LH=10 unchanged'!I123)/100,2))*100</f>
        <v>9580.5846911005356</v>
      </c>
      <c r="F123">
        <f>Portfolio!B$5*'CurrentPor-LH=10 unchanged'!E123</f>
        <v>52143.895533915893</v>
      </c>
      <c r="G123">
        <f>Portfolio!B$6*'CurrentPor-LH=10 unchanged'!F123</f>
        <v>3696.2945087936532</v>
      </c>
      <c r="H123">
        <f>Portfolio!B$7*'CurrentPor-LH=10 unchanged'!J123</f>
        <v>2148.0998964419859</v>
      </c>
      <c r="I123">
        <f t="shared" si="2"/>
        <v>96511.162550785331</v>
      </c>
      <c r="J123">
        <f t="shared" si="3"/>
        <v>-16.653691717830952</v>
      </c>
    </row>
    <row r="124" spans="1:10">
      <c r="A124" s="1">
        <v>45643</v>
      </c>
      <c r="B124">
        <f>(3/(1+('CurrentPor-LH=10 unchanged'!C124)/100)+103/POWER(1+('CurrentPor-LH=10 unchanged'!D124)/100,2))*100</f>
        <v>9707.5857774288397</v>
      </c>
      <c r="C124">
        <f>(3/(1+('CurrentPor-LH=10 unchanged'!C124+'CurrentPor-LH=10 unchanged'!G124)/100)+103/POWER(1+('CurrentPor-LH=10 unchanged'!D124+'CurrentPor-LH=10 unchanged'!G124)/100,2))*100</f>
        <v>9638.4484425779829</v>
      </c>
      <c r="D124">
        <f>(3/(1+('CurrentPor-LH=10 unchanged'!C124+'CurrentPor-LH=10 unchanged'!H124)/100)+103/POWER(1+('CurrentPor-LH=10 unchanged'!D124+'CurrentPor-LH=10 unchanged'!H124)/100,2))*100</f>
        <v>9593.8694294002198</v>
      </c>
      <c r="E124">
        <f>(3/(1+('CurrentPor-LH=10 unchanged'!C124+'CurrentPor-LH=10 unchanged'!I124)/100)+103/POWER(1+('CurrentPor-LH=10 unchanged'!D124+'CurrentPor-LH=10 unchanged'!I124)/100,2))*100</f>
        <v>9580.7516500824258</v>
      </c>
      <c r="F124">
        <f>Portfolio!B$5*'CurrentPor-LH=10 unchanged'!E124</f>
        <v>52143.895533915893</v>
      </c>
      <c r="G124">
        <f>Portfolio!B$6*'CurrentPor-LH=10 unchanged'!F124</f>
        <v>3696.2945087936532</v>
      </c>
      <c r="H124">
        <f>Portfolio!B$7*'CurrentPor-LH=10 unchanged'!J124</f>
        <v>2148.0998964419859</v>
      </c>
      <c r="I124">
        <f t="shared" si="2"/>
        <v>96508.945238640998</v>
      </c>
      <c r="J124">
        <f t="shared" si="3"/>
        <v>-15.6600142307434</v>
      </c>
    </row>
    <row r="125" spans="1:10">
      <c r="A125" s="1">
        <v>45644</v>
      </c>
      <c r="B125">
        <f>(3/(1+('CurrentPor-LH=10 unchanged'!C125)/100)+103/POWER(1+('CurrentPor-LH=10 unchanged'!D125)/100,2))*100</f>
        <v>9707.5857774288397</v>
      </c>
      <c r="C125">
        <f>(3/(1+('CurrentPor-LH=10 unchanged'!C125+'CurrentPor-LH=10 unchanged'!G125)/100)+103/POWER(1+('CurrentPor-LH=10 unchanged'!D125+'CurrentPor-LH=10 unchanged'!G125)/100,2))*100</f>
        <v>9638.4484425779829</v>
      </c>
      <c r="D125">
        <f>(3/(1+('CurrentPor-LH=10 unchanged'!C125+'CurrentPor-LH=10 unchanged'!H125)/100)+103/POWER(1+('CurrentPor-LH=10 unchanged'!D125+'CurrentPor-LH=10 unchanged'!H125)/100,2))*100</f>
        <v>9590.7310198603318</v>
      </c>
      <c r="E125">
        <f>(3/(1+('CurrentPor-LH=10 unchanged'!C125+'CurrentPor-LH=10 unchanged'!I125)/100)+103/POWER(1+('CurrentPor-LH=10 unchanged'!D125+'CurrentPor-LH=10 unchanged'!I125)/100,2))*100</f>
        <v>9580.5324716588002</v>
      </c>
      <c r="F125">
        <f>Portfolio!B$5*'CurrentPor-LH=10 unchanged'!E125</f>
        <v>52143.895533915893</v>
      </c>
      <c r="G125">
        <f>Portfolio!B$6*'CurrentPor-LH=10 unchanged'!F125</f>
        <v>3696.2945087936532</v>
      </c>
      <c r="H125">
        <f>Portfolio!B$7*'CurrentPor-LH=10 unchanged'!J125</f>
        <v>2148.0998964419859</v>
      </c>
      <c r="I125">
        <f t="shared" si="2"/>
        <v>96505.587650677495</v>
      </c>
      <c r="J125">
        <f t="shared" si="3"/>
        <v>-33.506813329266151</v>
      </c>
    </row>
    <row r="126" spans="1:10">
      <c r="A126" s="1">
        <v>45645</v>
      </c>
      <c r="B126">
        <f>(3/(1+('CurrentPor-LH=10 unchanged'!C126)/100)+103/POWER(1+('CurrentPor-LH=10 unchanged'!D126)/100,2))*100</f>
        <v>9707.5857774288397</v>
      </c>
      <c r="C126">
        <f>(3/(1+('CurrentPor-LH=10 unchanged'!C126+'CurrentPor-LH=10 unchanged'!G126)/100)+103/POWER(1+('CurrentPor-LH=10 unchanged'!D126+'CurrentPor-LH=10 unchanged'!G126)/100,2))*100</f>
        <v>9640.2582771647722</v>
      </c>
      <c r="D126">
        <f>(3/(1+('CurrentPor-LH=10 unchanged'!C126+'CurrentPor-LH=10 unchanged'!H126)/100)+103/POWER(1+('CurrentPor-LH=10 unchanged'!D126+'CurrentPor-LH=10 unchanged'!H126)/100,2))*100</f>
        <v>9591.7529996003213</v>
      </c>
      <c r="E126">
        <f>(3/(1+('CurrentPor-LH=10 unchanged'!C126+'CurrentPor-LH=10 unchanged'!I126)/100)+103/POWER(1+('CurrentPor-LH=10 unchanged'!D126+'CurrentPor-LH=10 unchanged'!I126)/100,2))*100</f>
        <v>9580.0774297077205</v>
      </c>
      <c r="F126">
        <f>Portfolio!B$5*'CurrentPor-LH=10 unchanged'!E126</f>
        <v>52143.895533915893</v>
      </c>
      <c r="G126">
        <f>Portfolio!B$6*'CurrentPor-LH=10 unchanged'!F126</f>
        <v>3696.2945087936532</v>
      </c>
      <c r="H126">
        <f>Portfolio!B$7*'CurrentPor-LH=10 unchanged'!J126</f>
        <v>2148.0998964419859</v>
      </c>
      <c r="I126">
        <f t="shared" si="2"/>
        <v>96507.964423053185</v>
      </c>
      <c r="J126">
        <f t="shared" si="3"/>
        <v>-12.222756196075352</v>
      </c>
    </row>
    <row r="127" spans="1:10">
      <c r="A127" s="1">
        <v>45646</v>
      </c>
      <c r="B127">
        <f>(3/(1+('CurrentPor-LH=10 unchanged'!C127)/100)+103/POWER(1+('CurrentPor-LH=10 unchanged'!D127)/100,2))*100</f>
        <v>9707.5857774288397</v>
      </c>
      <c r="C127">
        <f>(3/(1+('CurrentPor-LH=10 unchanged'!C127+'CurrentPor-LH=10 unchanged'!G127)/100)+103/POWER(1+('CurrentPor-LH=10 unchanged'!D127+'CurrentPor-LH=10 unchanged'!G127)/100,2))*100</f>
        <v>9640.2582771647722</v>
      </c>
      <c r="D127">
        <f>(3/(1+('CurrentPor-LH=10 unchanged'!C127+'CurrentPor-LH=10 unchanged'!H127)/100)+103/POWER(1+('CurrentPor-LH=10 unchanged'!D127+'CurrentPor-LH=10 unchanged'!H127)/100,2))*100</f>
        <v>9604.0602304754975</v>
      </c>
      <c r="E127">
        <f>(3/(1+('CurrentPor-LH=10 unchanged'!C127+'CurrentPor-LH=10 unchanged'!I127)/100)+103/POWER(1+('CurrentPor-LH=10 unchanged'!D127+'CurrentPor-LH=10 unchanged'!I127)/100,2))*100</f>
        <v>9580.9255332380453</v>
      </c>
      <c r="F127">
        <f>Portfolio!B$5*'CurrentPor-LH=10 unchanged'!E127</f>
        <v>52143.895533915893</v>
      </c>
      <c r="G127">
        <f>Portfolio!B$6*'CurrentPor-LH=10 unchanged'!F127</f>
        <v>3696.2945087936532</v>
      </c>
      <c r="H127">
        <f>Portfolio!B$7*'CurrentPor-LH=10 unchanged'!J127</f>
        <v>2148.0998964419859</v>
      </c>
      <c r="I127">
        <f t="shared" si="2"/>
        <v>96521.119757458684</v>
      </c>
      <c r="J127">
        <f t="shared" si="3"/>
        <v>0.9048616442742059</v>
      </c>
    </row>
    <row r="128" spans="1:10">
      <c r="A128" s="1">
        <v>45649</v>
      </c>
      <c r="B128">
        <f>(3/(1+('CurrentPor-LH=10 unchanged'!C128)/100)+103/POWER(1+('CurrentPor-LH=10 unchanged'!D128)/100,2))*100</f>
        <v>9707.5857774288397</v>
      </c>
      <c r="C128">
        <f>(3/(1+('CurrentPor-LH=10 unchanged'!C128+'CurrentPor-LH=10 unchanged'!G128)/100)+103/POWER(1+('CurrentPor-LH=10 unchanged'!D128+'CurrentPor-LH=10 unchanged'!G128)/100,2))*100</f>
        <v>9638.4484425779829</v>
      </c>
      <c r="D128">
        <f>(3/(1+('CurrentPor-LH=10 unchanged'!C128+'CurrentPor-LH=10 unchanged'!H128)/100)+103/POWER(1+('CurrentPor-LH=10 unchanged'!D128+'CurrentPor-LH=10 unchanged'!H128)/100,2))*100</f>
        <v>9593.5743069351101</v>
      </c>
      <c r="E128">
        <f>(3/(1+('CurrentPor-LH=10 unchanged'!C128+'CurrentPor-LH=10 unchanged'!I128)/100)+103/POWER(1+('CurrentPor-LH=10 unchanged'!D128+'CurrentPor-LH=10 unchanged'!I128)/100,2))*100</f>
        <v>9578.1966732505916</v>
      </c>
      <c r="F128">
        <f>Portfolio!B$5*'CurrentPor-LH=10 unchanged'!E128</f>
        <v>52143.895533915893</v>
      </c>
      <c r="G128">
        <f>Portfolio!B$6*'CurrentPor-LH=10 unchanged'!F128</f>
        <v>3696.2945087936532</v>
      </c>
      <c r="H128">
        <f>Portfolio!B$7*'CurrentPor-LH=10 unchanged'!J128</f>
        <v>2148.0998964419859</v>
      </c>
      <c r="I128">
        <f t="shared" si="2"/>
        <v>96506.095139344063</v>
      </c>
      <c r="J128">
        <f t="shared" si="3"/>
        <v>-21.482156280195341</v>
      </c>
    </row>
    <row r="129" spans="1:10">
      <c r="A129" s="1">
        <v>45650</v>
      </c>
      <c r="B129">
        <f>(3/(1+('CurrentPor-LH=10 unchanged'!C129)/100)+103/POWER(1+('CurrentPor-LH=10 unchanged'!D129)/100,2))*100</f>
        <v>9707.5857774288397</v>
      </c>
      <c r="C129">
        <f>(3/(1+('CurrentPor-LH=10 unchanged'!C129+'CurrentPor-LH=10 unchanged'!G129)/100)+103/POWER(1+('CurrentPor-LH=10 unchanged'!D129+'CurrentPor-LH=10 unchanged'!G129)/100,2))*100</f>
        <v>9636.6391226770629</v>
      </c>
      <c r="D129">
        <f>(3/(1+('CurrentPor-LH=10 unchanged'!C129+'CurrentPor-LH=10 unchanged'!H129)/100)+103/POWER(1+('CurrentPor-LH=10 unchanged'!D129+'CurrentPor-LH=10 unchanged'!H129)/100,2))*100</f>
        <v>9615.9542959949868</v>
      </c>
      <c r="E129">
        <f>(3/(1+('CurrentPor-LH=10 unchanged'!C129+'CurrentPor-LH=10 unchanged'!I129)/100)+103/POWER(1+('CurrentPor-LH=10 unchanged'!D129+'CurrentPor-LH=10 unchanged'!I129)/100,2))*100</f>
        <v>9579.8108186065874</v>
      </c>
      <c r="F129">
        <f>Portfolio!B$5*'CurrentPor-LH=10 unchanged'!E129</f>
        <v>52143.895533915893</v>
      </c>
      <c r="G129">
        <f>Portfolio!B$6*'CurrentPor-LH=10 unchanged'!F129</f>
        <v>3696.2945087936532</v>
      </c>
      <c r="H129">
        <f>Portfolio!B$7*'CurrentPor-LH=10 unchanged'!J129</f>
        <v>2148.0998964419859</v>
      </c>
      <c r="I129">
        <f t="shared" si="2"/>
        <v>96528.279953859004</v>
      </c>
      <c r="J129">
        <f t="shared" si="3"/>
        <v>8.8274644459597766</v>
      </c>
    </row>
    <row r="130" spans="1:10">
      <c r="A130" s="1">
        <v>45651</v>
      </c>
      <c r="B130">
        <f>(3/(1+('CurrentPor-LH=10 unchanged'!C130)/100)+103/POWER(1+('CurrentPor-LH=10 unchanged'!D130)/100,2))*100</f>
        <v>9707.5857774288397</v>
      </c>
      <c r="C130">
        <f>(3/(1+('CurrentPor-LH=10 unchanged'!C130+'CurrentPor-LH=10 unchanged'!G130)/100)+103/POWER(1+('CurrentPor-LH=10 unchanged'!D130+'CurrentPor-LH=10 unchanged'!G130)/100,2))*100</f>
        <v>9636.6391226770629</v>
      </c>
      <c r="D130">
        <f>(3/(1+('CurrentPor-LH=10 unchanged'!C130+'CurrentPor-LH=10 unchanged'!H130)/100)+103/POWER(1+('CurrentPor-LH=10 unchanged'!D130+'CurrentPor-LH=10 unchanged'!H130)/100,2))*100</f>
        <v>9604.4626392167083</v>
      </c>
      <c r="E130">
        <f>(3/(1+('CurrentPor-LH=10 unchanged'!C130+'CurrentPor-LH=10 unchanged'!I130)/100)+103/POWER(1+('CurrentPor-LH=10 unchanged'!D130+'CurrentPor-LH=10 unchanged'!I130)/100,2))*100</f>
        <v>9580.2357928853471</v>
      </c>
      <c r="F130">
        <f>Portfolio!B$5*'CurrentPor-LH=10 unchanged'!E130</f>
        <v>52143.895533915893</v>
      </c>
      <c r="G130">
        <f>Portfolio!B$6*'CurrentPor-LH=10 unchanged'!F130</f>
        <v>3696.2945087936532</v>
      </c>
      <c r="H130">
        <f>Portfolio!B$7*'CurrentPor-LH=10 unchanged'!J130</f>
        <v>2148.0998964419859</v>
      </c>
      <c r="I130">
        <f t="shared" si="2"/>
        <v>96517.213271359491</v>
      </c>
      <c r="J130">
        <f t="shared" si="3"/>
        <v>16.740143943854491</v>
      </c>
    </row>
    <row r="131" spans="1:10">
      <c r="A131" s="1">
        <v>45652</v>
      </c>
      <c r="B131">
        <f>(3/(1+('CurrentPor-LH=10 unchanged'!C131)/100)+103/POWER(1+('CurrentPor-LH=10 unchanged'!D131)/100,2))*100</f>
        <v>9707.5857774288397</v>
      </c>
      <c r="C131">
        <f>(3/(1+('CurrentPor-LH=10 unchanged'!C131+'CurrentPor-LH=10 unchanged'!G131)/100)+103/POWER(1+('CurrentPor-LH=10 unchanged'!D131+'CurrentPor-LH=10 unchanged'!G131)/100,2))*100</f>
        <v>9638.4484425779829</v>
      </c>
      <c r="D131">
        <f>(3/(1+('CurrentPor-LH=10 unchanged'!C131+'CurrentPor-LH=10 unchanged'!H131)/100)+103/POWER(1+('CurrentPor-LH=10 unchanged'!D131+'CurrentPor-LH=10 unchanged'!H131)/100,2))*100</f>
        <v>9607.1139099875763</v>
      </c>
      <c r="E131">
        <f>(3/(1+('CurrentPor-LH=10 unchanged'!C131+'CurrentPor-LH=10 unchanged'!I131)/100)+103/POWER(1+('CurrentPor-LH=10 unchanged'!D131+'CurrentPor-LH=10 unchanged'!I131)/100,2))*100</f>
        <v>9581.0206695111883</v>
      </c>
      <c r="F131">
        <f>Portfolio!B$5*'CurrentPor-LH=10 unchanged'!E131</f>
        <v>52143.895533915893</v>
      </c>
      <c r="G131">
        <f>Portfolio!B$6*'CurrentPor-LH=10 unchanged'!F131</f>
        <v>3696.2945087936532</v>
      </c>
      <c r="H131">
        <f>Portfolio!B$7*'CurrentPor-LH=10 unchanged'!J131</f>
        <v>2148.0998964419859</v>
      </c>
      <c r="I131">
        <f t="shared" si="2"/>
        <v>96522.458738657107</v>
      </c>
      <c r="J131">
        <f t="shared" si="3"/>
        <v>6.9624161884421483</v>
      </c>
    </row>
    <row r="132" spans="1:10">
      <c r="A132" s="1">
        <v>45653</v>
      </c>
      <c r="B132">
        <f>(3/(1+('CurrentPor-LH=10 unchanged'!C132)/100)+103/POWER(1+('CurrentPor-LH=10 unchanged'!D132)/100,2))*100</f>
        <v>9707.5857774288397</v>
      </c>
      <c r="C132">
        <f>(3/(1+('CurrentPor-LH=10 unchanged'!C132+'CurrentPor-LH=10 unchanged'!G132)/100)+103/POWER(1+('CurrentPor-LH=10 unchanged'!D132+'CurrentPor-LH=10 unchanged'!G132)/100,2))*100</f>
        <v>9638.4484425779829</v>
      </c>
      <c r="D132">
        <f>(3/(1+('CurrentPor-LH=10 unchanged'!C132+'CurrentPor-LH=10 unchanged'!H132)/100)+103/POWER(1+('CurrentPor-LH=10 unchanged'!D132+'CurrentPor-LH=10 unchanged'!H132)/100,2))*100</f>
        <v>9597.3097298767407</v>
      </c>
      <c r="E132">
        <f>(3/(1+('CurrentPor-LH=10 unchanged'!C132+'CurrentPor-LH=10 unchanged'!I132)/100)+103/POWER(1+('CurrentPor-LH=10 unchanged'!D132+'CurrentPor-LH=10 unchanged'!I132)/100,2))*100</f>
        <v>9581.6239856129378</v>
      </c>
      <c r="F132">
        <f>Portfolio!B$5*'CurrentPor-LH=10 unchanged'!E132</f>
        <v>52143.895533915893</v>
      </c>
      <c r="G132">
        <f>Portfolio!B$6*'CurrentPor-LH=10 unchanged'!F132</f>
        <v>3696.2945087936532</v>
      </c>
      <c r="H132">
        <f>Portfolio!B$7*'CurrentPor-LH=10 unchanged'!J132</f>
        <v>2148.0998964419859</v>
      </c>
      <c r="I132">
        <f t="shared" ref="I132:I195" si="4">SUM(B132:H132)</f>
        <v>96513.257874648043</v>
      </c>
      <c r="J132">
        <f t="shared" si="3"/>
        <v>-9.3603681352979038</v>
      </c>
    </row>
    <row r="133" spans="1:10">
      <c r="A133" s="1">
        <v>45656</v>
      </c>
      <c r="B133">
        <f>(3/(1+('CurrentPor-LH=10 unchanged'!C133)/100)+103/POWER(1+('CurrentPor-LH=10 unchanged'!D133)/100,2))*100</f>
        <v>9707.5857774288397</v>
      </c>
      <c r="C133">
        <f>(3/(1+('CurrentPor-LH=10 unchanged'!C133+'CurrentPor-LH=10 unchanged'!G133)/100)+103/POWER(1+('CurrentPor-LH=10 unchanged'!D133+'CurrentPor-LH=10 unchanged'!G133)/100,2))*100</f>
        <v>9631.2142491337127</v>
      </c>
      <c r="D133">
        <f>(3/(1+('CurrentPor-LH=10 unchanged'!C133+'CurrentPor-LH=10 unchanged'!H133)/100)+103/POWER(1+('CurrentPor-LH=10 unchanged'!D133+'CurrentPor-LH=10 unchanged'!H133)/100,2))*100</f>
        <v>9609.6940714917473</v>
      </c>
      <c r="E133">
        <f>(3/(1+('CurrentPor-LH=10 unchanged'!C133+'CurrentPor-LH=10 unchanged'!I133)/100)+103/POWER(1+('CurrentPor-LH=10 unchanged'!D133+'CurrentPor-LH=10 unchanged'!I133)/100,2))*100</f>
        <v>9580.5624811036396</v>
      </c>
      <c r="F133">
        <f>Portfolio!B$5*'CurrentPor-LH=10 unchanged'!E133</f>
        <v>52143.895533915893</v>
      </c>
      <c r="G133">
        <f>Portfolio!B$6*'CurrentPor-LH=10 unchanged'!F133</f>
        <v>3696.2945087936532</v>
      </c>
      <c r="H133">
        <f>Portfolio!B$7*'CurrentPor-LH=10 unchanged'!J133</f>
        <v>2148.0998964419859</v>
      </c>
      <c r="I133">
        <f t="shared" si="4"/>
        <v>96517.346518309481</v>
      </c>
      <c r="J133">
        <f t="shared" si="3"/>
        <v>6.1839675241499208</v>
      </c>
    </row>
    <row r="134" spans="1:10">
      <c r="A134" s="1">
        <v>45657</v>
      </c>
      <c r="B134">
        <f>(3/(1+('CurrentPor-LH=10 unchanged'!C134)/100)+103/POWER(1+('CurrentPor-LH=10 unchanged'!D134)/100,2))*100</f>
        <v>9707.5857774288397</v>
      </c>
      <c r="C134">
        <f>(3/(1+('CurrentPor-LH=10 unchanged'!C134+'CurrentPor-LH=10 unchanged'!G134)/100)+103/POWER(1+('CurrentPor-LH=10 unchanged'!D134+'CurrentPor-LH=10 unchanged'!G134)/100,2))*100</f>
        <v>9631.2142491337127</v>
      </c>
      <c r="D134">
        <f>(3/(1+('CurrentPor-LH=10 unchanged'!C134+'CurrentPor-LH=10 unchanged'!H134)/100)+103/POWER(1+('CurrentPor-LH=10 unchanged'!D134+'CurrentPor-LH=10 unchanged'!H134)/100,2))*100</f>
        <v>9602.7745050467329</v>
      </c>
      <c r="E134">
        <f>(3/(1+('CurrentPor-LH=10 unchanged'!C134+'CurrentPor-LH=10 unchanged'!I134)/100)+103/POWER(1+('CurrentPor-LH=10 unchanged'!D134+'CurrentPor-LH=10 unchanged'!I134)/100,2))*100</f>
        <v>9580.7846881736496</v>
      </c>
      <c r="F134">
        <f>Portfolio!B$5*'CurrentPor-LH=10 unchanged'!E134</f>
        <v>52143.895533915893</v>
      </c>
      <c r="G134">
        <f>Portfolio!B$6*'CurrentPor-LH=10 unchanged'!F134</f>
        <v>3696.2945087936532</v>
      </c>
      <c r="H134">
        <f>Portfolio!B$7*'CurrentPor-LH=10 unchanged'!J134</f>
        <v>2148.0998964419859</v>
      </c>
      <c r="I134">
        <f t="shared" si="4"/>
        <v>96510.649158934466</v>
      </c>
      <c r="J134">
        <f t="shared" si="3"/>
        <v>1.7039202934683999</v>
      </c>
    </row>
    <row r="135" spans="1:10">
      <c r="A135" s="1">
        <v>45658</v>
      </c>
      <c r="B135">
        <f>(3/(1+('CurrentPor-LH=10 unchanged'!C135)/100)+103/POWER(1+('CurrentPor-LH=10 unchanged'!D135)/100,2))*100</f>
        <v>9707.5857774288397</v>
      </c>
      <c r="C135">
        <f>(3/(1+('CurrentPor-LH=10 unchanged'!C135+'CurrentPor-LH=10 unchanged'!G135)/100)+103/POWER(1+('CurrentPor-LH=10 unchanged'!D135+'CurrentPor-LH=10 unchanged'!G135)/100,2))*100</f>
        <v>9629.4069860209238</v>
      </c>
      <c r="D135">
        <f>(3/(1+('CurrentPor-LH=10 unchanged'!C135+'CurrentPor-LH=10 unchanged'!H135)/100)+103/POWER(1+('CurrentPor-LH=10 unchanged'!D135+'CurrentPor-LH=10 unchanged'!H135)/100,2))*100</f>
        <v>9593.0970046067578</v>
      </c>
      <c r="E135">
        <f>(3/(1+('CurrentPor-LH=10 unchanged'!C135+'CurrentPor-LH=10 unchanged'!I135)/100)+103/POWER(1+('CurrentPor-LH=10 unchanged'!D135+'CurrentPor-LH=10 unchanged'!I135)/100,2))*100</f>
        <v>9579.0066248431594</v>
      </c>
      <c r="F135">
        <f>Portfolio!B$5*'CurrentPor-LH=10 unchanged'!E135</f>
        <v>52143.895533915893</v>
      </c>
      <c r="G135">
        <f>Portfolio!B$6*'CurrentPor-LH=10 unchanged'!F135</f>
        <v>3696.2945087936532</v>
      </c>
      <c r="H135">
        <f>Portfolio!B$7*'CurrentPor-LH=10 unchanged'!J135</f>
        <v>2148.0998964419859</v>
      </c>
      <c r="I135">
        <f t="shared" si="4"/>
        <v>96497.386332051217</v>
      </c>
      <c r="J135">
        <f t="shared" si="3"/>
        <v>-8.201318626277498</v>
      </c>
    </row>
    <row r="136" spans="1:10">
      <c r="A136" s="1">
        <v>45659</v>
      </c>
      <c r="B136">
        <f>(3/(1+('CurrentPor-LH=10 unchanged'!C136)/100)+103/POWER(1+('CurrentPor-LH=10 unchanged'!D136)/100,2))*100</f>
        <v>9707.5857774288397</v>
      </c>
      <c r="C136">
        <f>(3/(1+('CurrentPor-LH=10 unchanged'!C136+'CurrentPor-LH=10 unchanged'!G136)/100)+103/POWER(1+('CurrentPor-LH=10 unchanged'!D136+'CurrentPor-LH=10 unchanged'!G136)/100,2))*100</f>
        <v>9631.2142491337127</v>
      </c>
      <c r="D136">
        <f>(3/(1+('CurrentPor-LH=10 unchanged'!C136+'CurrentPor-LH=10 unchanged'!H136)/100)+103/POWER(1+('CurrentPor-LH=10 unchanged'!D136+'CurrentPor-LH=10 unchanged'!H136)/100,2))*100</f>
        <v>9592.9984301086824</v>
      </c>
      <c r="E136">
        <f>(3/(1+('CurrentPor-LH=10 unchanged'!C136+'CurrentPor-LH=10 unchanged'!I136)/100)+103/POWER(1+('CurrentPor-LH=10 unchanged'!D136+'CurrentPor-LH=10 unchanged'!I136)/100,2))*100</f>
        <v>9580.5486399562433</v>
      </c>
      <c r="F136">
        <f>Portfolio!B$5*'CurrentPor-LH=10 unchanged'!E136</f>
        <v>52143.895533915893</v>
      </c>
      <c r="G136">
        <f>Portfolio!B$6*'CurrentPor-LH=10 unchanged'!F136</f>
        <v>3696.2945087936532</v>
      </c>
      <c r="H136">
        <f>Portfolio!B$7*'CurrentPor-LH=10 unchanged'!J136</f>
        <v>2148.0998964419859</v>
      </c>
      <c r="I136">
        <f t="shared" si="4"/>
        <v>96500.637035779</v>
      </c>
      <c r="J136">
        <f t="shared" si="3"/>
        <v>-7.3273872741847299</v>
      </c>
    </row>
    <row r="137" spans="1:10">
      <c r="A137" s="1">
        <v>45660</v>
      </c>
      <c r="B137">
        <f>(3/(1+('CurrentPor-LH=10 unchanged'!C137)/100)+103/POWER(1+('CurrentPor-LH=10 unchanged'!D137)/100,2))*100</f>
        <v>9707.5857774288397</v>
      </c>
      <c r="C137">
        <f>(3/(1+('CurrentPor-LH=10 unchanged'!C137+'CurrentPor-LH=10 unchanged'!G137)/100)+103/POWER(1+('CurrentPor-LH=10 unchanged'!D137+'CurrentPor-LH=10 unchanged'!G137)/100,2))*100</f>
        <v>9629.4069860209238</v>
      </c>
      <c r="D137">
        <f>(3/(1+('CurrentPor-LH=10 unchanged'!C137+'CurrentPor-LH=10 unchanged'!H137)/100)+103/POWER(1+('CurrentPor-LH=10 unchanged'!D137+'CurrentPor-LH=10 unchanged'!H137)/100,2))*100</f>
        <v>9605.7658854391539</v>
      </c>
      <c r="E137">
        <f>(3/(1+('CurrentPor-LH=10 unchanged'!C137+'CurrentPor-LH=10 unchanged'!I137)/100)+103/POWER(1+('CurrentPor-LH=10 unchanged'!D137+'CurrentPor-LH=10 unchanged'!I137)/100,2))*100</f>
        <v>9582.3509663142595</v>
      </c>
      <c r="F137">
        <f>Portfolio!B$5*'CurrentPor-LH=10 unchanged'!E137</f>
        <v>52143.895533915893</v>
      </c>
      <c r="G137">
        <f>Portfolio!B$6*'CurrentPor-LH=10 unchanged'!F137</f>
        <v>3696.2945087936532</v>
      </c>
      <c r="H137">
        <f>Portfolio!B$7*'CurrentPor-LH=10 unchanged'!J137</f>
        <v>2148.0998964419859</v>
      </c>
      <c r="I137">
        <f t="shared" si="4"/>
        <v>96513.399554354706</v>
      </c>
      <c r="J137">
        <f t="shared" si="3"/>
        <v>-7.7202031039778376</v>
      </c>
    </row>
    <row r="138" spans="1:10">
      <c r="A138" s="1">
        <v>45663</v>
      </c>
      <c r="B138">
        <f>(3/(1+('CurrentPor-LH=10 unchanged'!C138)/100)+103/POWER(1+('CurrentPor-LH=10 unchanged'!D138)/100,2))*100</f>
        <v>9707.5857774288397</v>
      </c>
      <c r="C138">
        <f>(3/(1+('CurrentPor-LH=10 unchanged'!C138+'CurrentPor-LH=10 unchanged'!G138)/100)+103/POWER(1+('CurrentPor-LH=10 unchanged'!D138+'CurrentPor-LH=10 unchanged'!G138)/100,2))*100</f>
        <v>9638.4484425779829</v>
      </c>
      <c r="D138">
        <f>(3/(1+('CurrentPor-LH=10 unchanged'!C138+'CurrentPor-LH=10 unchanged'!H138)/100)+103/POWER(1+('CurrentPor-LH=10 unchanged'!D138+'CurrentPor-LH=10 unchanged'!H138)/100,2))*100</f>
        <v>9603.1750789171438</v>
      </c>
      <c r="E138">
        <f>(3/(1+('CurrentPor-LH=10 unchanged'!C138+'CurrentPor-LH=10 unchanged'!I138)/100)+103/POWER(1+('CurrentPor-LH=10 unchanged'!D138+'CurrentPor-LH=10 unchanged'!I138)/100,2))*100</f>
        <v>9580.350510801798</v>
      </c>
      <c r="F138">
        <f>Portfolio!B$5*'CurrentPor-LH=10 unchanged'!E138</f>
        <v>52143.895533915893</v>
      </c>
      <c r="G138">
        <f>Portfolio!B$6*'CurrentPor-LH=10 unchanged'!F138</f>
        <v>3696.2945087936532</v>
      </c>
      <c r="H138">
        <f>Portfolio!B$7*'CurrentPor-LH=10 unchanged'!J138</f>
        <v>2148.0998964419859</v>
      </c>
      <c r="I138">
        <f t="shared" si="4"/>
        <v>96517.849748877299</v>
      </c>
      <c r="J138">
        <f t="shared" si="3"/>
        <v>11.754609533236362</v>
      </c>
    </row>
    <row r="139" spans="1:10">
      <c r="A139" s="1">
        <v>45664</v>
      </c>
      <c r="B139">
        <f>(3/(1+('CurrentPor-LH=10 unchanged'!C139)/100)+103/POWER(1+('CurrentPor-LH=10 unchanged'!D139)/100,2))*100</f>
        <v>9707.5857774288397</v>
      </c>
      <c r="C139">
        <f>(3/(1+('CurrentPor-LH=10 unchanged'!C139+'CurrentPor-LH=10 unchanged'!G139)/100)+103/POWER(1+('CurrentPor-LH=10 unchanged'!D139+'CurrentPor-LH=10 unchanged'!G139)/100,2))*100</f>
        <v>9640.2582771647722</v>
      </c>
      <c r="D139">
        <f>(3/(1+('CurrentPor-LH=10 unchanged'!C139+'CurrentPor-LH=10 unchanged'!H139)/100)+103/POWER(1+('CurrentPor-LH=10 unchanged'!D139+'CurrentPor-LH=10 unchanged'!H139)/100,2))*100</f>
        <v>9592.95319154563</v>
      </c>
      <c r="E139">
        <f>(3/(1+('CurrentPor-LH=10 unchanged'!C139+'CurrentPor-LH=10 unchanged'!I139)/100)+103/POWER(1+('CurrentPor-LH=10 unchanged'!D139+'CurrentPor-LH=10 unchanged'!I139)/100,2))*100</f>
        <v>9580.5443814391328</v>
      </c>
      <c r="F139">
        <f>Portfolio!B$5*'CurrentPor-LH=10 unchanged'!E139</f>
        <v>52143.895533915893</v>
      </c>
      <c r="G139">
        <f>Portfolio!B$6*'CurrentPor-LH=10 unchanged'!F139</f>
        <v>3696.2945087936532</v>
      </c>
      <c r="H139">
        <f>Portfolio!B$7*'CurrentPor-LH=10 unchanged'!J139</f>
        <v>2148.0998964419859</v>
      </c>
      <c r="I139">
        <f t="shared" si="4"/>
        <v>96509.631566729906</v>
      </c>
      <c r="J139">
        <f t="shared" si="3"/>
        <v>-18.64838712909841</v>
      </c>
    </row>
    <row r="140" spans="1:10">
      <c r="A140" s="1">
        <v>45665</v>
      </c>
      <c r="B140">
        <f>(3/(1+('CurrentPor-LH=10 unchanged'!C140)/100)+103/POWER(1+('CurrentPor-LH=10 unchanged'!D140)/100,2))*100</f>
        <v>9707.5857774288397</v>
      </c>
      <c r="C140">
        <f>(3/(1+('CurrentPor-LH=10 unchanged'!C140+'CurrentPor-LH=10 unchanged'!G140)/100)+103/POWER(1+('CurrentPor-LH=10 unchanged'!D140+'CurrentPor-LH=10 unchanged'!G140)/100,2))*100</f>
        <v>9638.4484425779829</v>
      </c>
      <c r="D140">
        <f>(3/(1+('CurrentPor-LH=10 unchanged'!C140+'CurrentPor-LH=10 unchanged'!H140)/100)+103/POWER(1+('CurrentPor-LH=10 unchanged'!D140+'CurrentPor-LH=10 unchanged'!H140)/100,2))*100</f>
        <v>9590.5436465270923</v>
      </c>
      <c r="E140">
        <f>(3/(1+('CurrentPor-LH=10 unchanged'!C140+'CurrentPor-LH=10 unchanged'!I140)/100)+103/POWER(1+('CurrentPor-LH=10 unchanged'!D140+'CurrentPor-LH=10 unchanged'!I140)/100,2))*100</f>
        <v>9580.7789557144333</v>
      </c>
      <c r="F140">
        <f>Portfolio!B$5*'CurrentPor-LH=10 unchanged'!E140</f>
        <v>52143.895533915893</v>
      </c>
      <c r="G140">
        <f>Portfolio!B$6*'CurrentPor-LH=10 unchanged'!F140</f>
        <v>3696.2945087936532</v>
      </c>
      <c r="H140">
        <f>Portfolio!B$7*'CurrentPor-LH=10 unchanged'!J140</f>
        <v>2148.0998964419859</v>
      </c>
      <c r="I140">
        <f t="shared" si="4"/>
        <v>96505.646761399883</v>
      </c>
      <c r="J140">
        <f t="shared" si="3"/>
        <v>-11.566509959608084</v>
      </c>
    </row>
    <row r="141" spans="1:10">
      <c r="A141" s="1">
        <v>45666</v>
      </c>
      <c r="B141">
        <f>(3/(1+('CurrentPor-LH=10 unchanged'!C141)/100)+103/POWER(1+('CurrentPor-LH=10 unchanged'!D141)/100,2))*100</f>
        <v>9707.5857774288397</v>
      </c>
      <c r="C141">
        <f>(3/(1+('CurrentPor-LH=10 unchanged'!C141+'CurrentPor-LH=10 unchanged'!G141)/100)+103/POWER(1+('CurrentPor-LH=10 unchanged'!D141+'CurrentPor-LH=10 unchanged'!G141)/100,2))*100</f>
        <v>9638.4484425779829</v>
      </c>
      <c r="D141">
        <f>(3/(1+('CurrentPor-LH=10 unchanged'!C141+'CurrentPor-LH=10 unchanged'!H141)/100)+103/POWER(1+('CurrentPor-LH=10 unchanged'!D141+'CurrentPor-LH=10 unchanged'!H141)/100,2))*100</f>
        <v>9597.9619523323472</v>
      </c>
      <c r="E141">
        <f>(3/(1+('CurrentPor-LH=10 unchanged'!C141+'CurrentPor-LH=10 unchanged'!I141)/100)+103/POWER(1+('CurrentPor-LH=10 unchanged'!D141+'CurrentPor-LH=10 unchanged'!I141)/100,2))*100</f>
        <v>9580.8863347847309</v>
      </c>
      <c r="F141">
        <f>Portfolio!B$5*'CurrentPor-LH=10 unchanged'!E141</f>
        <v>52143.895533915893</v>
      </c>
      <c r="G141">
        <f>Portfolio!B$6*'CurrentPor-LH=10 unchanged'!F141</f>
        <v>3696.2945087936532</v>
      </c>
      <c r="H141">
        <f>Portfolio!B$7*'CurrentPor-LH=10 unchanged'!J141</f>
        <v>2148.0998964419859</v>
      </c>
      <c r="I141">
        <f t="shared" si="4"/>
        <v>96513.172446275436</v>
      </c>
      <c r="J141">
        <f t="shared" si="3"/>
        <v>-9.2862923816719558</v>
      </c>
    </row>
    <row r="142" spans="1:10">
      <c r="A142" s="1">
        <v>45667</v>
      </c>
      <c r="B142">
        <f>(3/(1+('CurrentPor-LH=10 unchanged'!C142)/100)+103/POWER(1+('CurrentPor-LH=10 unchanged'!D142)/100,2))*100</f>
        <v>9707.5857774288397</v>
      </c>
      <c r="C142">
        <f>(3/(1+('CurrentPor-LH=10 unchanged'!C142+'CurrentPor-LH=10 unchanged'!G142)/100)+103/POWER(1+('CurrentPor-LH=10 unchanged'!D142+'CurrentPor-LH=10 unchanged'!G142)/100,2))*100</f>
        <v>9640.2582771647722</v>
      </c>
      <c r="D142">
        <f>(3/(1+('CurrentPor-LH=10 unchanged'!C142+'CurrentPor-LH=10 unchanged'!H142)/100)+103/POWER(1+('CurrentPor-LH=10 unchanged'!D142+'CurrentPor-LH=10 unchanged'!H142)/100,2))*100</f>
        <v>9601.8037275358856</v>
      </c>
      <c r="E142">
        <f>(3/(1+('CurrentPor-LH=10 unchanged'!C142+'CurrentPor-LH=10 unchanged'!I142)/100)+103/POWER(1+('CurrentPor-LH=10 unchanged'!D142+'CurrentPor-LH=10 unchanged'!I142)/100,2))*100</f>
        <v>9580.5194339819845</v>
      </c>
      <c r="F142">
        <f>Portfolio!B$5*'CurrentPor-LH=10 unchanged'!E142</f>
        <v>52143.895533915893</v>
      </c>
      <c r="G142">
        <f>Portfolio!B$6*'CurrentPor-LH=10 unchanged'!F142</f>
        <v>3696.2945087936532</v>
      </c>
      <c r="H142">
        <f>Portfolio!B$7*'CurrentPor-LH=10 unchanged'!J142</f>
        <v>2148.0998964419859</v>
      </c>
      <c r="I142">
        <f t="shared" si="4"/>
        <v>96518.457155263008</v>
      </c>
      <c r="J142">
        <f t="shared" ref="J142:J205" si="5">I142-I132</f>
        <v>5.199280614964664</v>
      </c>
    </row>
    <row r="143" spans="1:10">
      <c r="A143" s="1">
        <v>45670</v>
      </c>
      <c r="B143">
        <f>(3/(1+('CurrentPor-LH=10 unchanged'!C143)/100)+103/POWER(1+('CurrentPor-LH=10 unchanged'!D143)/100,2))*100</f>
        <v>9707.5857774288397</v>
      </c>
      <c r="C143">
        <f>(3/(1+('CurrentPor-LH=10 unchanged'!C143+'CurrentPor-LH=10 unchanged'!G143)/100)+103/POWER(1+('CurrentPor-LH=10 unchanged'!D143+'CurrentPor-LH=10 unchanged'!G143)/100,2))*100</f>
        <v>9640.2582771647722</v>
      </c>
      <c r="D143">
        <f>(3/(1+('CurrentPor-LH=10 unchanged'!C143+'CurrentPor-LH=10 unchanged'!H143)/100)+103/POWER(1+('CurrentPor-LH=10 unchanged'!D143+'CurrentPor-LH=10 unchanged'!H143)/100,2))*100</f>
        <v>9592.9156680648466</v>
      </c>
      <c r="E143">
        <f>(3/(1+('CurrentPor-LH=10 unchanged'!C143+'CurrentPor-LH=10 unchanged'!I143)/100)+103/POWER(1+('CurrentPor-LH=10 unchanged'!D143+'CurrentPor-LH=10 unchanged'!I143)/100,2))*100</f>
        <v>9579.877774571909</v>
      </c>
      <c r="F143">
        <f>Portfolio!B$5*'CurrentPor-LH=10 unchanged'!E143</f>
        <v>52143.895533915893</v>
      </c>
      <c r="G143">
        <f>Portfolio!B$6*'CurrentPor-LH=10 unchanged'!F143</f>
        <v>3696.2945087936532</v>
      </c>
      <c r="H143">
        <f>Portfolio!B$7*'CurrentPor-LH=10 unchanged'!J143</f>
        <v>2148.0998964419859</v>
      </c>
      <c r="I143">
        <f t="shared" si="4"/>
        <v>96508.927436381884</v>
      </c>
      <c r="J143">
        <f t="shared" si="5"/>
        <v>-8.4190819275972899</v>
      </c>
    </row>
    <row r="144" spans="1:10">
      <c r="A144" s="1">
        <v>45671</v>
      </c>
      <c r="B144">
        <f>(3/(1+('CurrentPor-LH=10 unchanged'!C144)/100)+103/POWER(1+('CurrentPor-LH=10 unchanged'!D144)/100,2))*100</f>
        <v>9707.5857774288397</v>
      </c>
      <c r="C144">
        <f>(3/(1+('CurrentPor-LH=10 unchanged'!C144+'CurrentPor-LH=10 unchanged'!G144)/100)+103/POWER(1+('CurrentPor-LH=10 unchanged'!D144+'CurrentPor-LH=10 unchanged'!G144)/100,2))*100</f>
        <v>9640.2582771647722</v>
      </c>
      <c r="D144">
        <f>(3/(1+('CurrentPor-LH=10 unchanged'!C144+'CurrentPor-LH=10 unchanged'!H144)/100)+103/POWER(1+('CurrentPor-LH=10 unchanged'!D144+'CurrentPor-LH=10 unchanged'!H144)/100,2))*100</f>
        <v>9592.8315612080532</v>
      </c>
      <c r="E144">
        <f>(3/(1+('CurrentPor-LH=10 unchanged'!C144+'CurrentPor-LH=10 unchanged'!I144)/100)+103/POWER(1+('CurrentPor-LH=10 unchanged'!D144+'CurrentPor-LH=10 unchanged'!I144)/100,2))*100</f>
        <v>9582.0966967007425</v>
      </c>
      <c r="F144">
        <f>Portfolio!B$5*'CurrentPor-LH=10 unchanged'!E144</f>
        <v>52143.895533915893</v>
      </c>
      <c r="G144">
        <f>Portfolio!B$6*'CurrentPor-LH=10 unchanged'!F144</f>
        <v>3696.2945087936532</v>
      </c>
      <c r="H144">
        <f>Portfolio!B$7*'CurrentPor-LH=10 unchanged'!J144</f>
        <v>2148.0998964419859</v>
      </c>
      <c r="I144">
        <f t="shared" si="4"/>
        <v>96511.062251653944</v>
      </c>
      <c r="J144">
        <f t="shared" si="5"/>
        <v>0.41309271947829984</v>
      </c>
    </row>
    <row r="145" spans="1:10">
      <c r="A145" s="1">
        <v>45672</v>
      </c>
      <c r="B145">
        <f>(3/(1+('CurrentPor-LH=10 unchanged'!C145)/100)+103/POWER(1+('CurrentPor-LH=10 unchanged'!D145)/100,2))*100</f>
        <v>9707.5857774288397</v>
      </c>
      <c r="C145">
        <f>(3/(1+('CurrentPor-LH=10 unchanged'!C145+'CurrentPor-LH=10 unchanged'!G145)/100)+103/POWER(1+('CurrentPor-LH=10 unchanged'!D145+'CurrentPor-LH=10 unchanged'!G145)/100,2))*100</f>
        <v>9638.4484425779829</v>
      </c>
      <c r="D145">
        <f>(3/(1+('CurrentPor-LH=10 unchanged'!C145+'CurrentPor-LH=10 unchanged'!H145)/100)+103/POWER(1+('CurrentPor-LH=10 unchanged'!D145+'CurrentPor-LH=10 unchanged'!H145)/100,2))*100</f>
        <v>9595.5621573486842</v>
      </c>
      <c r="E145">
        <f>(3/(1+('CurrentPor-LH=10 unchanged'!C145+'CurrentPor-LH=10 unchanged'!I145)/100)+103/POWER(1+('CurrentPor-LH=10 unchanged'!D145+'CurrentPor-LH=10 unchanged'!I145)/100,2))*100</f>
        <v>9580.3370446961108</v>
      </c>
      <c r="F145">
        <f>Portfolio!B$5*'CurrentPor-LH=10 unchanged'!E145</f>
        <v>52143.895533915893</v>
      </c>
      <c r="G145">
        <f>Portfolio!B$6*'CurrentPor-LH=10 unchanged'!F145</f>
        <v>3696.2945087936532</v>
      </c>
      <c r="H145">
        <f>Portfolio!B$7*'CurrentPor-LH=10 unchanged'!J145</f>
        <v>2148.0998964419859</v>
      </c>
      <c r="I145">
        <f t="shared" si="4"/>
        <v>96510.223361203141</v>
      </c>
      <c r="J145">
        <f t="shared" si="5"/>
        <v>12.837029151924071</v>
      </c>
    </row>
    <row r="146" spans="1:10">
      <c r="A146" s="1">
        <v>45673</v>
      </c>
      <c r="B146">
        <f>(3/(1+('CurrentPor-LH=10 unchanged'!C146)/100)+103/POWER(1+('CurrentPor-LH=10 unchanged'!D146)/100,2))*100</f>
        <v>9707.5857774288397</v>
      </c>
      <c r="C146">
        <f>(3/(1+('CurrentPor-LH=10 unchanged'!C146+'CurrentPor-LH=10 unchanged'!G146)/100)+103/POWER(1+('CurrentPor-LH=10 unchanged'!D146+'CurrentPor-LH=10 unchanged'!G146)/100,2))*100</f>
        <v>9638.4484425779829</v>
      </c>
      <c r="D146">
        <f>(3/(1+('CurrentPor-LH=10 unchanged'!C146+'CurrentPor-LH=10 unchanged'!H146)/100)+103/POWER(1+('CurrentPor-LH=10 unchanged'!D146+'CurrentPor-LH=10 unchanged'!H146)/100,2))*100</f>
        <v>9596.7480418199193</v>
      </c>
      <c r="E146">
        <f>(3/(1+('CurrentPor-LH=10 unchanged'!C146+'CurrentPor-LH=10 unchanged'!I146)/100)+103/POWER(1+('CurrentPor-LH=10 unchanged'!D146+'CurrentPor-LH=10 unchanged'!I146)/100,2))*100</f>
        <v>9579.2296827444679</v>
      </c>
      <c r="F146">
        <f>Portfolio!B$5*'CurrentPor-LH=10 unchanged'!E146</f>
        <v>52143.895533915893</v>
      </c>
      <c r="G146">
        <f>Portfolio!B$6*'CurrentPor-LH=10 unchanged'!F146</f>
        <v>3696.2945087936532</v>
      </c>
      <c r="H146">
        <f>Portfolio!B$7*'CurrentPor-LH=10 unchanged'!J146</f>
        <v>2148.0998964419859</v>
      </c>
      <c r="I146">
        <f t="shared" si="4"/>
        <v>96510.301883722743</v>
      </c>
      <c r="J146">
        <f t="shared" si="5"/>
        <v>9.6648479437426431</v>
      </c>
    </row>
    <row r="147" spans="1:10">
      <c r="A147" s="1">
        <v>45674</v>
      </c>
      <c r="B147">
        <f>(3/(1+('CurrentPor-LH=10 unchanged'!C147)/100)+103/POWER(1+('CurrentPor-LH=10 unchanged'!D147)/100,2))*100</f>
        <v>9707.5857774288397</v>
      </c>
      <c r="C147">
        <f>(3/(1+('CurrentPor-LH=10 unchanged'!C147+'CurrentPor-LH=10 unchanged'!G147)/100)+103/POWER(1+('CurrentPor-LH=10 unchanged'!D147+'CurrentPor-LH=10 unchanged'!G147)/100,2))*100</f>
        <v>9638.4484425779829</v>
      </c>
      <c r="D147">
        <f>(3/(1+('CurrentPor-LH=10 unchanged'!C147+'CurrentPor-LH=10 unchanged'!H147)/100)+103/POWER(1+('CurrentPor-LH=10 unchanged'!D147+'CurrentPor-LH=10 unchanged'!H147)/100,2))*100</f>
        <v>9598.2428418131494</v>
      </c>
      <c r="E147">
        <f>(3/(1+('CurrentPor-LH=10 unchanged'!C147+'CurrentPor-LH=10 unchanged'!I147)/100)+103/POWER(1+('CurrentPor-LH=10 unchanged'!D147+'CurrentPor-LH=10 unchanged'!I147)/100,2))*100</f>
        <v>9580.8636626406133</v>
      </c>
      <c r="F147">
        <f>Portfolio!B$5*'CurrentPor-LH=10 unchanged'!E147</f>
        <v>52143.895533915893</v>
      </c>
      <c r="G147">
        <f>Portfolio!B$6*'CurrentPor-LH=10 unchanged'!F147</f>
        <v>3696.2945087936532</v>
      </c>
      <c r="H147">
        <f>Portfolio!B$7*'CurrentPor-LH=10 unchanged'!J147</f>
        <v>2148.0998964419859</v>
      </c>
      <c r="I147">
        <f t="shared" si="4"/>
        <v>96513.430663612118</v>
      </c>
      <c r="J147">
        <f t="shared" si="5"/>
        <v>3.1109257412026636E-2</v>
      </c>
    </row>
    <row r="148" spans="1:10">
      <c r="A148" s="1">
        <v>45677</v>
      </c>
      <c r="B148">
        <f>(3/(1+('CurrentPor-LH=10 unchanged'!C148)/100)+103/POWER(1+('CurrentPor-LH=10 unchanged'!D148)/100,2))*100</f>
        <v>9707.5857774288397</v>
      </c>
      <c r="C148">
        <f>(3/(1+('CurrentPor-LH=10 unchanged'!C148+'CurrentPor-LH=10 unchanged'!G148)/100)+103/POWER(1+('CurrentPor-LH=10 unchanged'!D148+'CurrentPor-LH=10 unchanged'!G148)/100,2))*100</f>
        <v>9634.8303172663855</v>
      </c>
      <c r="D148">
        <f>(3/(1+('CurrentPor-LH=10 unchanged'!C148+'CurrentPor-LH=10 unchanged'!H148)/100)+103/POWER(1+('CurrentPor-LH=10 unchanged'!D148+'CurrentPor-LH=10 unchanged'!H148)/100,2))*100</f>
        <v>9579.7448049340383</v>
      </c>
      <c r="E148">
        <f>(3/(1+('CurrentPor-LH=10 unchanged'!C148+'CurrentPor-LH=10 unchanged'!I148)/100)+103/POWER(1+('CurrentPor-LH=10 unchanged'!D148+'CurrentPor-LH=10 unchanged'!I148)/100,2))*100</f>
        <v>9582.8736337425289</v>
      </c>
      <c r="F148">
        <f>Portfolio!B$5*'CurrentPor-LH=10 unchanged'!E148</f>
        <v>52143.895533915893</v>
      </c>
      <c r="G148">
        <f>Portfolio!B$6*'CurrentPor-LH=10 unchanged'!F148</f>
        <v>3696.2945087936532</v>
      </c>
      <c r="H148">
        <f>Portfolio!B$7*'CurrentPor-LH=10 unchanged'!J148</f>
        <v>2148.0998964419859</v>
      </c>
      <c r="I148">
        <f t="shared" si="4"/>
        <v>96493.324472523323</v>
      </c>
      <c r="J148">
        <f t="shared" si="5"/>
        <v>-24.525276353975642</v>
      </c>
    </row>
    <row r="149" spans="1:10">
      <c r="A149" s="1">
        <v>45678</v>
      </c>
      <c r="B149">
        <f>(3/(1+('CurrentPor-LH=10 unchanged'!C149)/100)+103/POWER(1+('CurrentPor-LH=10 unchanged'!D149)/100,2))*100</f>
        <v>9707.5857774288397</v>
      </c>
      <c r="C149">
        <f>(3/(1+('CurrentPor-LH=10 unchanged'!C149+'CurrentPor-LH=10 unchanged'!G149)/100)+103/POWER(1+('CurrentPor-LH=10 unchanged'!D149+'CurrentPor-LH=10 unchanged'!G149)/100,2))*100</f>
        <v>9633.0220261504182</v>
      </c>
      <c r="D149">
        <f>(3/(1+('CurrentPor-LH=10 unchanged'!C149+'CurrentPor-LH=10 unchanged'!H149)/100)+103/POWER(1+('CurrentPor-LH=10 unchanged'!D149+'CurrentPor-LH=10 unchanged'!H149)/100,2))*100</f>
        <v>9606.2032974685899</v>
      </c>
      <c r="E149">
        <f>(3/(1+('CurrentPor-LH=10 unchanged'!C149+'CurrentPor-LH=10 unchanged'!I149)/100)+103/POWER(1+('CurrentPor-LH=10 unchanged'!D149+'CurrentPor-LH=10 unchanged'!I149)/100,2))*100</f>
        <v>9581.1893794536463</v>
      </c>
      <c r="F149">
        <f>Portfolio!B$5*'CurrentPor-LH=10 unchanged'!E149</f>
        <v>52143.895533915893</v>
      </c>
      <c r="G149">
        <f>Portfolio!B$6*'CurrentPor-LH=10 unchanged'!F149</f>
        <v>3696.2945087936532</v>
      </c>
      <c r="H149">
        <f>Portfolio!B$7*'CurrentPor-LH=10 unchanged'!J149</f>
        <v>2148.0998964419859</v>
      </c>
      <c r="I149">
        <f t="shared" si="4"/>
        <v>96516.290419653029</v>
      </c>
      <c r="J149">
        <f t="shared" si="5"/>
        <v>6.6588529231230495</v>
      </c>
    </row>
    <row r="150" spans="1:10">
      <c r="A150" s="1">
        <v>45679</v>
      </c>
      <c r="B150">
        <f>(3/(1+('CurrentPor-LH=10 unchanged'!C150)/100)+103/POWER(1+('CurrentPor-LH=10 unchanged'!D150)/100,2))*100</f>
        <v>9707.5857774288397</v>
      </c>
      <c r="C150">
        <f>(3/(1+('CurrentPor-LH=10 unchanged'!C150+'CurrentPor-LH=10 unchanged'!G150)/100)+103/POWER(1+('CurrentPor-LH=10 unchanged'!D150+'CurrentPor-LH=10 unchanged'!G150)/100,2))*100</f>
        <v>9634.8303172663855</v>
      </c>
      <c r="D150">
        <f>(3/(1+('CurrentPor-LH=10 unchanged'!C150+'CurrentPor-LH=10 unchanged'!H150)/100)+103/POWER(1+('CurrentPor-LH=10 unchanged'!D150+'CurrentPor-LH=10 unchanged'!H150)/100,2))*100</f>
        <v>9600.6024648327857</v>
      </c>
      <c r="E150">
        <f>(3/(1+('CurrentPor-LH=10 unchanged'!C150+'CurrentPor-LH=10 unchanged'!I150)/100)+103/POWER(1+('CurrentPor-LH=10 unchanged'!D150+'CurrentPor-LH=10 unchanged'!I150)/100,2))*100</f>
        <v>9580.279882083827</v>
      </c>
      <c r="F150">
        <f>Portfolio!B$5*'CurrentPor-LH=10 unchanged'!E150</f>
        <v>52143.895533915893</v>
      </c>
      <c r="G150">
        <f>Portfolio!B$6*'CurrentPor-LH=10 unchanged'!F150</f>
        <v>3696.2945087936532</v>
      </c>
      <c r="H150">
        <f>Portfolio!B$7*'CurrentPor-LH=10 unchanged'!J150</f>
        <v>2148.0998964419859</v>
      </c>
      <c r="I150">
        <f t="shared" si="4"/>
        <v>96511.58838076338</v>
      </c>
      <c r="J150">
        <f t="shared" si="5"/>
        <v>5.9416193634970114</v>
      </c>
    </row>
    <row r="151" spans="1:10">
      <c r="A151" s="1">
        <v>45680</v>
      </c>
      <c r="B151">
        <f>(3/(1+('CurrentPor-LH=10 unchanged'!C151)/100)+103/POWER(1+('CurrentPor-LH=10 unchanged'!D151)/100,2))*100</f>
        <v>9707.5857774288397</v>
      </c>
      <c r="C151">
        <f>(3/(1+('CurrentPor-LH=10 unchanged'!C151+'CurrentPor-LH=10 unchanged'!G151)/100)+103/POWER(1+('CurrentPor-LH=10 unchanged'!D151+'CurrentPor-LH=10 unchanged'!G151)/100,2))*100</f>
        <v>9629.4069860209238</v>
      </c>
      <c r="D151">
        <f>(3/(1+('CurrentPor-LH=10 unchanged'!C151+'CurrentPor-LH=10 unchanged'!H151)/100)+103/POWER(1+('CurrentPor-LH=10 unchanged'!D151+'CurrentPor-LH=10 unchanged'!H151)/100,2))*100</f>
        <v>9603.5700485732868</v>
      </c>
      <c r="E151">
        <f>(3/(1+('CurrentPor-LH=10 unchanged'!C151+'CurrentPor-LH=10 unchanged'!I151)/100)+103/POWER(1+('CurrentPor-LH=10 unchanged'!D151+'CurrentPor-LH=10 unchanged'!I151)/100,2))*100</f>
        <v>9580.2644455527661</v>
      </c>
      <c r="F151">
        <f>Portfolio!B$5*'CurrentPor-LH=10 unchanged'!E151</f>
        <v>52143.895533915893</v>
      </c>
      <c r="G151">
        <f>Portfolio!B$6*'CurrentPor-LH=10 unchanged'!F151</f>
        <v>3696.2945087936532</v>
      </c>
      <c r="H151">
        <f>Portfolio!B$7*'CurrentPor-LH=10 unchanged'!J151</f>
        <v>2148.0998964419859</v>
      </c>
      <c r="I151">
        <f t="shared" si="4"/>
        <v>96509.117196727355</v>
      </c>
      <c r="J151">
        <f t="shared" si="5"/>
        <v>-4.0552495480806101</v>
      </c>
    </row>
    <row r="152" spans="1:10">
      <c r="A152" s="1">
        <v>45681</v>
      </c>
      <c r="B152">
        <f>(3/(1+('CurrentPor-LH=10 unchanged'!C152)/100)+103/POWER(1+('CurrentPor-LH=10 unchanged'!D152)/100,2))*100</f>
        <v>9707.5857774288397</v>
      </c>
      <c r="C152">
        <f>(3/(1+('CurrentPor-LH=10 unchanged'!C152+'CurrentPor-LH=10 unchanged'!G152)/100)+103/POWER(1+('CurrentPor-LH=10 unchanged'!D152+'CurrentPor-LH=10 unchanged'!G152)/100,2))*100</f>
        <v>9622.1830687052025</v>
      </c>
      <c r="D152">
        <f>(3/(1+('CurrentPor-LH=10 unchanged'!C152+'CurrentPor-LH=10 unchanged'!H152)/100)+103/POWER(1+('CurrentPor-LH=10 unchanged'!D152+'CurrentPor-LH=10 unchanged'!H152)/100,2))*100</f>
        <v>9597.6154154921751</v>
      </c>
      <c r="E152">
        <f>(3/(1+('CurrentPor-LH=10 unchanged'!C152+'CurrentPor-LH=10 unchanged'!I152)/100)+103/POWER(1+('CurrentPor-LH=10 unchanged'!D152+'CurrentPor-LH=10 unchanged'!I152)/100,2))*100</f>
        <v>9580.2220280971069</v>
      </c>
      <c r="F152">
        <f>Portfolio!B$5*'CurrentPor-LH=10 unchanged'!E152</f>
        <v>52143.895533915893</v>
      </c>
      <c r="G152">
        <f>Portfolio!B$6*'CurrentPor-LH=10 unchanged'!F152</f>
        <v>3696.2945087936532</v>
      </c>
      <c r="H152">
        <f>Portfolio!B$7*'CurrentPor-LH=10 unchanged'!J152</f>
        <v>2148.0998964419859</v>
      </c>
      <c r="I152">
        <f t="shared" si="4"/>
        <v>96495.896228874859</v>
      </c>
      <c r="J152">
        <f t="shared" si="5"/>
        <v>-22.5609263881488</v>
      </c>
    </row>
    <row r="153" spans="1:10">
      <c r="A153" s="1">
        <v>45684</v>
      </c>
      <c r="B153">
        <f>(3/(1+('CurrentPor-LH=10 unchanged'!C153)/100)+103/POWER(1+('CurrentPor-LH=10 unchanged'!D153)/100,2))*100</f>
        <v>9707.5857774288397</v>
      </c>
      <c r="C153">
        <f>(3/(1+('CurrentPor-LH=10 unchanged'!C153+'CurrentPor-LH=10 unchanged'!G153)/100)+103/POWER(1+('CurrentPor-LH=10 unchanged'!D153+'CurrentPor-LH=10 unchanged'!G153)/100,2))*100</f>
        <v>9625.7940007261659</v>
      </c>
      <c r="D153">
        <f>(3/(1+('CurrentPor-LH=10 unchanged'!C153+'CurrentPor-LH=10 unchanged'!H153)/100)+103/POWER(1+('CurrentPor-LH=10 unchanged'!D153+'CurrentPor-LH=10 unchanged'!H153)/100,2))*100</f>
        <v>9585.6662410424724</v>
      </c>
      <c r="E153">
        <f>(3/(1+('CurrentPor-LH=10 unchanged'!C153+'CurrentPor-LH=10 unchanged'!I153)/100)+103/POWER(1+('CurrentPor-LH=10 unchanged'!D153+'CurrentPor-LH=10 unchanged'!I153)/100,2))*100</f>
        <v>9580.9362831777344</v>
      </c>
      <c r="F153">
        <f>Portfolio!B$5*'CurrentPor-LH=10 unchanged'!E153</f>
        <v>52143.895533915893</v>
      </c>
      <c r="G153">
        <f>Portfolio!B$6*'CurrentPor-LH=10 unchanged'!F153</f>
        <v>3696.2945087936532</v>
      </c>
      <c r="H153">
        <f>Portfolio!B$7*'CurrentPor-LH=10 unchanged'!J153</f>
        <v>2148.0998964419859</v>
      </c>
      <c r="I153">
        <f t="shared" si="4"/>
        <v>96488.272241526734</v>
      </c>
      <c r="J153">
        <f t="shared" si="5"/>
        <v>-20.655194855149603</v>
      </c>
    </row>
    <row r="154" spans="1:10">
      <c r="A154" s="1">
        <v>45685</v>
      </c>
      <c r="B154">
        <f>(3/(1+('CurrentPor-LH=10 unchanged'!C154)/100)+103/POWER(1+('CurrentPor-LH=10 unchanged'!D154)/100,2))*100</f>
        <v>9707.5857774288397</v>
      </c>
      <c r="C154">
        <f>(3/(1+('CurrentPor-LH=10 unchanged'!C154+'CurrentPor-LH=10 unchanged'!G154)/100)+103/POWER(1+('CurrentPor-LH=10 unchanged'!D154+'CurrentPor-LH=10 unchanged'!G154)/100,2))*100</f>
        <v>9623.98827815396</v>
      </c>
      <c r="D154">
        <f>(3/(1+('CurrentPor-LH=10 unchanged'!C154+'CurrentPor-LH=10 unchanged'!H154)/100)+103/POWER(1+('CurrentPor-LH=10 unchanged'!D154+'CurrentPor-LH=10 unchanged'!H154)/100,2))*100</f>
        <v>9597.1922474597613</v>
      </c>
      <c r="E154">
        <f>(3/(1+('CurrentPor-LH=10 unchanged'!C154+'CurrentPor-LH=10 unchanged'!I154)/100)+103/POWER(1+('CurrentPor-LH=10 unchanged'!D154+'CurrentPor-LH=10 unchanged'!I154)/100,2))*100</f>
        <v>9580.1188291312865</v>
      </c>
      <c r="F154">
        <f>Portfolio!B$5*'CurrentPor-LH=10 unchanged'!E154</f>
        <v>52143.895533915893</v>
      </c>
      <c r="G154">
        <f>Portfolio!B$6*'CurrentPor-LH=10 unchanged'!F154</f>
        <v>3696.2945087936532</v>
      </c>
      <c r="H154">
        <f>Portfolio!B$7*'CurrentPor-LH=10 unchanged'!J154</f>
        <v>2148.0998964419859</v>
      </c>
      <c r="I154">
        <f t="shared" si="4"/>
        <v>96497.175071325371</v>
      </c>
      <c r="J154">
        <f t="shared" si="5"/>
        <v>-13.887180328572867</v>
      </c>
    </row>
    <row r="155" spans="1:10">
      <c r="A155" s="1">
        <v>45686</v>
      </c>
      <c r="B155">
        <f>(3/(1+('CurrentPor-LH=10 unchanged'!C155)/100)+103/POWER(1+('CurrentPor-LH=10 unchanged'!D155)/100,2))*100</f>
        <v>9707.5857774288397</v>
      </c>
      <c r="C155">
        <f>(3/(1+('CurrentPor-LH=10 unchanged'!C155+'CurrentPor-LH=10 unchanged'!G155)/100)+103/POWER(1+('CurrentPor-LH=10 unchanged'!D155+'CurrentPor-LH=10 unchanged'!G155)/100,2))*100</f>
        <v>9625.7940007261659</v>
      </c>
      <c r="D155">
        <f>(3/(1+('CurrentPor-LH=10 unchanged'!C155+'CurrentPor-LH=10 unchanged'!H155)/100)+103/POWER(1+('CurrentPor-LH=10 unchanged'!D155+'CurrentPor-LH=10 unchanged'!H155)/100,2))*100</f>
        <v>9583.1501190318959</v>
      </c>
      <c r="E155">
        <f>(3/(1+('CurrentPor-LH=10 unchanged'!C155+'CurrentPor-LH=10 unchanged'!I155)/100)+103/POWER(1+('CurrentPor-LH=10 unchanged'!D155+'CurrentPor-LH=10 unchanged'!I155)/100,2))*100</f>
        <v>9579.6893977633081</v>
      </c>
      <c r="F155">
        <f>Portfolio!B$5*'CurrentPor-LH=10 unchanged'!E155</f>
        <v>52143.895533915893</v>
      </c>
      <c r="G155">
        <f>Portfolio!B$6*'CurrentPor-LH=10 unchanged'!F155</f>
        <v>3696.2945087936532</v>
      </c>
      <c r="H155">
        <f>Portfolio!B$7*'CurrentPor-LH=10 unchanged'!J155</f>
        <v>2148.0998964419859</v>
      </c>
      <c r="I155">
        <f t="shared" si="4"/>
        <v>96484.50923410173</v>
      </c>
      <c r="J155">
        <f t="shared" si="5"/>
        <v>-25.714127101411577</v>
      </c>
    </row>
    <row r="156" spans="1:10">
      <c r="A156" s="1">
        <v>45687</v>
      </c>
      <c r="B156">
        <f>(3/(1+('CurrentPor-LH=10 unchanged'!C156)/100)+103/POWER(1+('CurrentPor-LH=10 unchanged'!D156)/100,2))*100</f>
        <v>9707.5857774288397</v>
      </c>
      <c r="C156">
        <f>(3/(1+('CurrentPor-LH=10 unchanged'!C156+'CurrentPor-LH=10 unchanged'!G156)/100)+103/POWER(1+('CurrentPor-LH=10 unchanged'!D156+'CurrentPor-LH=10 unchanged'!G156)/100,2))*100</f>
        <v>9627.6002366167941</v>
      </c>
      <c r="D156">
        <f>(3/(1+('CurrentPor-LH=10 unchanged'!C156+'CurrentPor-LH=10 unchanged'!H156)/100)+103/POWER(1+('CurrentPor-LH=10 unchanged'!D156+'CurrentPor-LH=10 unchanged'!H156)/100,2))*100</f>
        <v>9591.4492405190867</v>
      </c>
      <c r="E156">
        <f>(3/(1+('CurrentPor-LH=10 unchanged'!C156+'CurrentPor-LH=10 unchanged'!I156)/100)+103/POWER(1+('CurrentPor-LH=10 unchanged'!D156+'CurrentPor-LH=10 unchanged'!I156)/100,2))*100</f>
        <v>9580.5566226277369</v>
      </c>
      <c r="F156">
        <f>Portfolio!B$5*'CurrentPor-LH=10 unchanged'!E156</f>
        <v>52143.895533915893</v>
      </c>
      <c r="G156">
        <f>Portfolio!B$6*'CurrentPor-LH=10 unchanged'!F156</f>
        <v>3696.2945087936532</v>
      </c>
      <c r="H156">
        <f>Portfolio!B$7*'CurrentPor-LH=10 unchanged'!J156</f>
        <v>2148.0998964419859</v>
      </c>
      <c r="I156">
        <f t="shared" si="4"/>
        <v>96495.481816343978</v>
      </c>
      <c r="J156">
        <f t="shared" si="5"/>
        <v>-14.820067378765089</v>
      </c>
    </row>
    <row r="157" spans="1:10">
      <c r="A157" s="1">
        <v>45688</v>
      </c>
      <c r="B157">
        <f>(3/(1+('CurrentPor-LH=10 unchanged'!C157)/100)+103/POWER(1+('CurrentPor-LH=10 unchanged'!D157)/100,2))*100</f>
        <v>9707.5857774288397</v>
      </c>
      <c r="C157">
        <f>(3/(1+('CurrentPor-LH=10 unchanged'!C157+'CurrentPor-LH=10 unchanged'!G157)/100)+103/POWER(1+('CurrentPor-LH=10 unchanged'!D157+'CurrentPor-LH=10 unchanged'!G157)/100,2))*100</f>
        <v>9634.8303172663855</v>
      </c>
      <c r="D157">
        <f>(3/(1+('CurrentPor-LH=10 unchanged'!C157+'CurrentPor-LH=10 unchanged'!H157)/100)+103/POWER(1+('CurrentPor-LH=10 unchanged'!D157+'CurrentPor-LH=10 unchanged'!H157)/100,2))*100</f>
        <v>9585.3150119342426</v>
      </c>
      <c r="E157">
        <f>(3/(1+('CurrentPor-LH=10 unchanged'!C157+'CurrentPor-LH=10 unchanged'!I157)/100)+103/POWER(1+('CurrentPor-LH=10 unchanged'!D157+'CurrentPor-LH=10 unchanged'!I157)/100,2))*100</f>
        <v>9581.1764280347634</v>
      </c>
      <c r="F157">
        <f>Portfolio!B$5*'CurrentPor-LH=10 unchanged'!E157</f>
        <v>52143.895533915893</v>
      </c>
      <c r="G157">
        <f>Portfolio!B$6*'CurrentPor-LH=10 unchanged'!F157</f>
        <v>3696.2945087936532</v>
      </c>
      <c r="H157">
        <f>Portfolio!B$7*'CurrentPor-LH=10 unchanged'!J157</f>
        <v>2148.0998964419859</v>
      </c>
      <c r="I157">
        <f t="shared" si="4"/>
        <v>96497.197473815773</v>
      </c>
      <c r="J157">
        <f t="shared" si="5"/>
        <v>-16.233189796344959</v>
      </c>
    </row>
    <row r="158" spans="1:10">
      <c r="A158" s="1">
        <v>45691</v>
      </c>
      <c r="B158">
        <f>(3/(1+('CurrentPor-LH=10 unchanged'!C158)/100)+103/POWER(1+('CurrentPor-LH=10 unchanged'!D158)/100,2))*100</f>
        <v>9707.5857774288397</v>
      </c>
      <c r="C158">
        <f>(3/(1+('CurrentPor-LH=10 unchanged'!C158+'CurrentPor-LH=10 unchanged'!G158)/100)+103/POWER(1+('CurrentPor-LH=10 unchanged'!D158+'CurrentPor-LH=10 unchanged'!G158)/100,2))*100</f>
        <v>9636.6391226770629</v>
      </c>
      <c r="D158">
        <f>(3/(1+('CurrentPor-LH=10 unchanged'!C158+'CurrentPor-LH=10 unchanged'!H158)/100)+103/POWER(1+('CurrentPor-LH=10 unchanged'!D158+'CurrentPor-LH=10 unchanged'!H158)/100,2))*100</f>
        <v>9589.328558094252</v>
      </c>
      <c r="E158">
        <f>(3/(1+('CurrentPor-LH=10 unchanged'!C158+'CurrentPor-LH=10 unchanged'!I158)/100)+103/POWER(1+('CurrentPor-LH=10 unchanged'!D158+'CurrentPor-LH=10 unchanged'!I158)/100,2))*100</f>
        <v>9580.0205368822171</v>
      </c>
      <c r="F158">
        <f>Portfolio!B$5*'CurrentPor-LH=10 unchanged'!E158</f>
        <v>52143.895533915893</v>
      </c>
      <c r="G158">
        <f>Portfolio!B$6*'CurrentPor-LH=10 unchanged'!F158</f>
        <v>3696.2945087936532</v>
      </c>
      <c r="H158">
        <f>Portfolio!B$7*'CurrentPor-LH=10 unchanged'!J158</f>
        <v>2148.0998964419859</v>
      </c>
      <c r="I158">
        <f t="shared" si="4"/>
        <v>96501.863934233916</v>
      </c>
      <c r="J158">
        <f t="shared" si="5"/>
        <v>8.5394617105921498</v>
      </c>
    </row>
    <row r="159" spans="1:10">
      <c r="A159" s="1">
        <v>45692</v>
      </c>
      <c r="B159">
        <f>(3/(1+('CurrentPor-LH=10 unchanged'!C159)/100)+103/POWER(1+('CurrentPor-LH=10 unchanged'!D159)/100,2))*100</f>
        <v>9707.5857774288397</v>
      </c>
      <c r="C159">
        <f>(3/(1+('CurrentPor-LH=10 unchanged'!C159+'CurrentPor-LH=10 unchanged'!G159)/100)+103/POWER(1+('CurrentPor-LH=10 unchanged'!D159+'CurrentPor-LH=10 unchanged'!G159)/100,2))*100</f>
        <v>9638.4484425779829</v>
      </c>
      <c r="D159">
        <f>(3/(1+('CurrentPor-LH=10 unchanged'!C159+'CurrentPor-LH=10 unchanged'!H159)/100)+103/POWER(1+('CurrentPor-LH=10 unchanged'!D159+'CurrentPor-LH=10 unchanged'!H159)/100,2))*100</f>
        <v>9601.7982107596163</v>
      </c>
      <c r="E159">
        <f>(3/(1+('CurrentPor-LH=10 unchanged'!C159+'CurrentPor-LH=10 unchanged'!I159)/100)+103/POWER(1+('CurrentPor-LH=10 unchanged'!D159+'CurrentPor-LH=10 unchanged'!I159)/100,2))*100</f>
        <v>9581.4267629949518</v>
      </c>
      <c r="F159">
        <f>Portfolio!B$5*'CurrentPor-LH=10 unchanged'!E159</f>
        <v>52143.895533915893</v>
      </c>
      <c r="G159">
        <f>Portfolio!B$6*'CurrentPor-LH=10 unchanged'!F159</f>
        <v>3696.2945087936532</v>
      </c>
      <c r="H159">
        <f>Portfolio!B$7*'CurrentPor-LH=10 unchanged'!J159</f>
        <v>2148.0998964419859</v>
      </c>
      <c r="I159">
        <f t="shared" si="4"/>
        <v>96517.549132912929</v>
      </c>
      <c r="J159">
        <f t="shared" si="5"/>
        <v>1.2587132599001052</v>
      </c>
    </row>
    <row r="160" spans="1:10">
      <c r="A160" s="1">
        <v>45693</v>
      </c>
      <c r="B160">
        <f>(3/(1+('CurrentPor-LH=10 unchanged'!C160)/100)+103/POWER(1+('CurrentPor-LH=10 unchanged'!D160)/100,2))*100</f>
        <v>9707.5857774288397</v>
      </c>
      <c r="C160">
        <f>(3/(1+('CurrentPor-LH=10 unchanged'!C160+'CurrentPor-LH=10 unchanged'!G160)/100)+103/POWER(1+('CurrentPor-LH=10 unchanged'!D160+'CurrentPor-LH=10 unchanged'!G160)/100,2))*100</f>
        <v>9638.4484425779829</v>
      </c>
      <c r="D160">
        <f>(3/(1+('CurrentPor-LH=10 unchanged'!C160+'CurrentPor-LH=10 unchanged'!H160)/100)+103/POWER(1+('CurrentPor-LH=10 unchanged'!D160+'CurrentPor-LH=10 unchanged'!H160)/100,2))*100</f>
        <v>9601.3179423393958</v>
      </c>
      <c r="E160">
        <f>(3/(1+('CurrentPor-LH=10 unchanged'!C160+'CurrentPor-LH=10 unchanged'!I160)/100)+103/POWER(1+('CurrentPor-LH=10 unchanged'!D160+'CurrentPor-LH=10 unchanged'!I160)/100,2))*100</f>
        <v>9581.3339771800165</v>
      </c>
      <c r="F160">
        <f>Portfolio!B$5*'CurrentPor-LH=10 unchanged'!E160</f>
        <v>52143.895533915893</v>
      </c>
      <c r="G160">
        <f>Portfolio!B$6*'CurrentPor-LH=10 unchanged'!F160</f>
        <v>3696.2945087936532</v>
      </c>
      <c r="H160">
        <f>Portfolio!B$7*'CurrentPor-LH=10 unchanged'!J160</f>
        <v>2148.0998964419859</v>
      </c>
      <c r="I160">
        <f t="shared" si="4"/>
        <v>96516.976078677762</v>
      </c>
      <c r="J160">
        <f t="shared" si="5"/>
        <v>5.3876979143824428</v>
      </c>
    </row>
    <row r="161" spans="1:10">
      <c r="A161" s="1">
        <v>45694</v>
      </c>
      <c r="B161">
        <f>(3/(1+('CurrentPor-LH=10 unchanged'!C161)/100)+103/POWER(1+('CurrentPor-LH=10 unchanged'!D161)/100,2))*100</f>
        <v>9707.5857774288397</v>
      </c>
      <c r="C161">
        <f>(3/(1+('CurrentPor-LH=10 unchanged'!C161+'CurrentPor-LH=10 unchanged'!G161)/100)+103/POWER(1+('CurrentPor-LH=10 unchanged'!D161+'CurrentPor-LH=10 unchanged'!G161)/100,2))*100</f>
        <v>9638.4484425779829</v>
      </c>
      <c r="D161">
        <f>(3/(1+('CurrentPor-LH=10 unchanged'!C161+'CurrentPor-LH=10 unchanged'!H161)/100)+103/POWER(1+('CurrentPor-LH=10 unchanged'!D161+'CurrentPor-LH=10 unchanged'!H161)/100,2))*100</f>
        <v>9601.9975188898134</v>
      </c>
      <c r="E161">
        <f>(3/(1+('CurrentPor-LH=10 unchanged'!C161+'CurrentPor-LH=10 unchanged'!I161)/100)+103/POWER(1+('CurrentPor-LH=10 unchanged'!D161+'CurrentPor-LH=10 unchanged'!I161)/100,2))*100</f>
        <v>9581.3395422839985</v>
      </c>
      <c r="F161">
        <f>Portfolio!B$5*'CurrentPor-LH=10 unchanged'!E161</f>
        <v>52143.895533915893</v>
      </c>
      <c r="G161">
        <f>Portfolio!B$6*'CurrentPor-LH=10 unchanged'!F161</f>
        <v>3696.2945087936532</v>
      </c>
      <c r="H161">
        <f>Portfolio!B$7*'CurrentPor-LH=10 unchanged'!J161</f>
        <v>2148.0998964419859</v>
      </c>
      <c r="I161">
        <f t="shared" si="4"/>
        <v>96517.661220332157</v>
      </c>
      <c r="J161">
        <f t="shared" si="5"/>
        <v>8.5440236048016232</v>
      </c>
    </row>
    <row r="162" spans="1:10">
      <c r="A162" s="1">
        <v>45695</v>
      </c>
      <c r="B162">
        <f>(3/(1+('CurrentPor-LH=10 unchanged'!C162)/100)+103/POWER(1+('CurrentPor-LH=10 unchanged'!D162)/100,2))*100</f>
        <v>9707.5857774288397</v>
      </c>
      <c r="C162">
        <f>(3/(1+('CurrentPor-LH=10 unchanged'!C162+'CurrentPor-LH=10 unchanged'!G162)/100)+103/POWER(1+('CurrentPor-LH=10 unchanged'!D162+'CurrentPor-LH=10 unchanged'!G162)/100,2))*100</f>
        <v>9640.2582771647722</v>
      </c>
      <c r="D162">
        <f>(3/(1+('CurrentPor-LH=10 unchanged'!C162+'CurrentPor-LH=10 unchanged'!H162)/100)+103/POWER(1+('CurrentPor-LH=10 unchanged'!D162+'CurrentPor-LH=10 unchanged'!H162)/100,2))*100</f>
        <v>9596.7568168842481</v>
      </c>
      <c r="E162">
        <f>(3/(1+('CurrentPor-LH=10 unchanged'!C162+'CurrentPor-LH=10 unchanged'!I162)/100)+103/POWER(1+('CurrentPor-LH=10 unchanged'!D162+'CurrentPor-LH=10 unchanged'!I162)/100,2))*100</f>
        <v>9581.8406087416988</v>
      </c>
      <c r="F162">
        <f>Portfolio!B$5*'CurrentPor-LH=10 unchanged'!E162</f>
        <v>52143.895533915893</v>
      </c>
      <c r="G162">
        <f>Portfolio!B$6*'CurrentPor-LH=10 unchanged'!F162</f>
        <v>3696.2945087936532</v>
      </c>
      <c r="H162">
        <f>Portfolio!B$7*'CurrentPor-LH=10 unchanged'!J162</f>
        <v>2148.0998964419859</v>
      </c>
      <c r="I162">
        <f t="shared" si="4"/>
        <v>96514.731419371077</v>
      </c>
      <c r="J162">
        <f t="shared" si="5"/>
        <v>18.835190496218274</v>
      </c>
    </row>
    <row r="163" spans="1:10">
      <c r="A163" s="1">
        <v>45698</v>
      </c>
      <c r="B163">
        <f>(3/(1+('CurrentPor-LH=10 unchanged'!C163)/100)+103/POWER(1+('CurrentPor-LH=10 unchanged'!D163)/100,2))*100</f>
        <v>9707.5857774288397</v>
      </c>
      <c r="C163">
        <f>(3/(1+('CurrentPor-LH=10 unchanged'!C163+'CurrentPor-LH=10 unchanged'!G163)/100)+103/POWER(1+('CurrentPor-LH=10 unchanged'!D163+'CurrentPor-LH=10 unchanged'!G163)/100,2))*100</f>
        <v>9634.8303172663855</v>
      </c>
      <c r="D163">
        <f>(3/(1+('CurrentPor-LH=10 unchanged'!C163+'CurrentPor-LH=10 unchanged'!H163)/100)+103/POWER(1+('CurrentPor-LH=10 unchanged'!D163+'CurrentPor-LH=10 unchanged'!H163)/100,2))*100</f>
        <v>9593.2860701476184</v>
      </c>
      <c r="E163">
        <f>(3/(1+('CurrentPor-LH=10 unchanged'!C163+'CurrentPor-LH=10 unchanged'!I163)/100)+103/POWER(1+('CurrentPor-LH=10 unchanged'!D163+'CurrentPor-LH=10 unchanged'!I163)/100,2))*100</f>
        <v>9580.0853345159703</v>
      </c>
      <c r="F163">
        <f>Portfolio!B$5*'CurrentPor-LH=10 unchanged'!E163</f>
        <v>52143.895533915893</v>
      </c>
      <c r="G163">
        <f>Portfolio!B$6*'CurrentPor-LH=10 unchanged'!F163</f>
        <v>3696.2945087936532</v>
      </c>
      <c r="H163">
        <f>Portfolio!B$7*'CurrentPor-LH=10 unchanged'!J163</f>
        <v>2148.0998964419859</v>
      </c>
      <c r="I163">
        <f t="shared" si="4"/>
        <v>96504.077438510343</v>
      </c>
      <c r="J163">
        <f t="shared" si="5"/>
        <v>15.805196983608766</v>
      </c>
    </row>
    <row r="164" spans="1:10">
      <c r="A164" s="1">
        <v>45699</v>
      </c>
      <c r="B164">
        <f>(3/(1+('CurrentPor-LH=10 unchanged'!C164)/100)+103/POWER(1+('CurrentPor-LH=10 unchanged'!D164)/100,2))*100</f>
        <v>9707.5857774288397</v>
      </c>
      <c r="C164">
        <f>(3/(1+('CurrentPor-LH=10 unchanged'!C164+'CurrentPor-LH=10 unchanged'!G164)/100)+103/POWER(1+('CurrentPor-LH=10 unchanged'!D164+'CurrentPor-LH=10 unchanged'!G164)/100,2))*100</f>
        <v>9634.8303172663855</v>
      </c>
      <c r="D164">
        <f>(3/(1+('CurrentPor-LH=10 unchanged'!C164+'CurrentPor-LH=10 unchanged'!H164)/100)+103/POWER(1+('CurrentPor-LH=10 unchanged'!D164+'CurrentPor-LH=10 unchanged'!H164)/100,2))*100</f>
        <v>9597.0295239138231</v>
      </c>
      <c r="E164">
        <f>(3/(1+('CurrentPor-LH=10 unchanged'!C164+'CurrentPor-LH=10 unchanged'!I164)/100)+103/POWER(1+('CurrentPor-LH=10 unchanged'!D164+'CurrentPor-LH=10 unchanged'!I164)/100,2))*100</f>
        <v>9581.1530142653501</v>
      </c>
      <c r="F164">
        <f>Portfolio!B$5*'CurrentPor-LH=10 unchanged'!E164</f>
        <v>52143.895533915893</v>
      </c>
      <c r="G164">
        <f>Portfolio!B$6*'CurrentPor-LH=10 unchanged'!F164</f>
        <v>3696.2945087936532</v>
      </c>
      <c r="H164">
        <f>Portfolio!B$7*'CurrentPor-LH=10 unchanged'!J164</f>
        <v>2148.0998964419859</v>
      </c>
      <c r="I164">
        <f t="shared" si="4"/>
        <v>96508.888572025928</v>
      </c>
      <c r="J164">
        <f t="shared" si="5"/>
        <v>11.713500700556324</v>
      </c>
    </row>
    <row r="165" spans="1:10">
      <c r="A165" s="1">
        <v>45700</v>
      </c>
      <c r="B165">
        <f>(3/(1+('CurrentPor-LH=10 unchanged'!C165)/100)+103/POWER(1+('CurrentPor-LH=10 unchanged'!D165)/100,2))*100</f>
        <v>9707.5857774288397</v>
      </c>
      <c r="C165">
        <f>(3/(1+('CurrentPor-LH=10 unchanged'!C165+'CurrentPor-LH=10 unchanged'!G165)/100)+103/POWER(1+('CurrentPor-LH=10 unchanged'!D165+'CurrentPor-LH=10 unchanged'!G165)/100,2))*100</f>
        <v>9634.8303172663855</v>
      </c>
      <c r="D165">
        <f>(3/(1+('CurrentPor-LH=10 unchanged'!C165+'CurrentPor-LH=10 unchanged'!H165)/100)+103/POWER(1+('CurrentPor-LH=10 unchanged'!D165+'CurrentPor-LH=10 unchanged'!H165)/100,2))*100</f>
        <v>9591.2353080564626</v>
      </c>
      <c r="E165">
        <f>(3/(1+('CurrentPor-LH=10 unchanged'!C165+'CurrentPor-LH=10 unchanged'!I165)/100)+103/POWER(1+('CurrentPor-LH=10 unchanged'!D165+'CurrentPor-LH=10 unchanged'!I165)/100,2))*100</f>
        <v>9581.211711060063</v>
      </c>
      <c r="F165">
        <f>Portfolio!B$5*'CurrentPor-LH=10 unchanged'!E165</f>
        <v>52143.895533915893</v>
      </c>
      <c r="G165">
        <f>Portfolio!B$6*'CurrentPor-LH=10 unchanged'!F165</f>
        <v>3696.2945087936532</v>
      </c>
      <c r="H165">
        <f>Portfolio!B$7*'CurrentPor-LH=10 unchanged'!J165</f>
        <v>2148.0998964419859</v>
      </c>
      <c r="I165">
        <f t="shared" si="4"/>
        <v>96503.153052963273</v>
      </c>
      <c r="J165">
        <f t="shared" si="5"/>
        <v>18.643818861542968</v>
      </c>
    </row>
    <row r="166" spans="1:10">
      <c r="A166" s="1">
        <v>45701</v>
      </c>
      <c r="B166">
        <f>(3/(1+('CurrentPor-LH=10 unchanged'!C166)/100)+103/POWER(1+('CurrentPor-LH=10 unchanged'!D166)/100,2))*100</f>
        <v>9707.5857774288397</v>
      </c>
      <c r="C166">
        <f>(3/(1+('CurrentPor-LH=10 unchanged'!C166+'CurrentPor-LH=10 unchanged'!G166)/100)+103/POWER(1+('CurrentPor-LH=10 unchanged'!D166+'CurrentPor-LH=10 unchanged'!G166)/100,2))*100</f>
        <v>9634.8303172663855</v>
      </c>
      <c r="D166">
        <f>(3/(1+('CurrentPor-LH=10 unchanged'!C166+'CurrentPor-LH=10 unchanged'!H166)/100)+103/POWER(1+('CurrentPor-LH=10 unchanged'!D166+'CurrentPor-LH=10 unchanged'!H166)/100,2))*100</f>
        <v>9603.818716326834</v>
      </c>
      <c r="E166">
        <f>(3/(1+('CurrentPor-LH=10 unchanged'!C166+'CurrentPor-LH=10 unchanged'!I166)/100)+103/POWER(1+('CurrentPor-LH=10 unchanged'!D166+'CurrentPor-LH=10 unchanged'!I166)/100,2))*100</f>
        <v>9580.5309672130352</v>
      </c>
      <c r="F166">
        <f>Portfolio!B$5*'CurrentPor-LH=10 unchanged'!E166</f>
        <v>52143.895533915893</v>
      </c>
      <c r="G166">
        <f>Portfolio!B$6*'CurrentPor-LH=10 unchanged'!F166</f>
        <v>3696.2945087936532</v>
      </c>
      <c r="H166">
        <f>Portfolio!B$7*'CurrentPor-LH=10 unchanged'!J166</f>
        <v>2148.0998964419859</v>
      </c>
      <c r="I166">
        <f t="shared" si="4"/>
        <v>96515.055717386625</v>
      </c>
      <c r="J166">
        <f t="shared" si="5"/>
        <v>19.573901042647776</v>
      </c>
    </row>
    <row r="167" spans="1:10">
      <c r="A167" s="1">
        <v>45702</v>
      </c>
      <c r="B167">
        <f>(3/(1+('CurrentPor-LH=10 unchanged'!C167)/100)+103/POWER(1+('CurrentPor-LH=10 unchanged'!D167)/100,2))*100</f>
        <v>9707.5857774288397</v>
      </c>
      <c r="C167">
        <f>(3/(1+('CurrentPor-LH=10 unchanged'!C167+'CurrentPor-LH=10 unchanged'!G167)/100)+103/POWER(1+('CurrentPor-LH=10 unchanged'!D167+'CurrentPor-LH=10 unchanged'!G167)/100,2))*100</f>
        <v>9633.0220261504182</v>
      </c>
      <c r="D167">
        <f>(3/(1+('CurrentPor-LH=10 unchanged'!C167+'CurrentPor-LH=10 unchanged'!H167)/100)+103/POWER(1+('CurrentPor-LH=10 unchanged'!D167+'CurrentPor-LH=10 unchanged'!H167)/100,2))*100</f>
        <v>9601.2690624786501</v>
      </c>
      <c r="E167">
        <f>(3/(1+('CurrentPor-LH=10 unchanged'!C167+'CurrentPor-LH=10 unchanged'!I167)/100)+103/POWER(1+('CurrentPor-LH=10 unchanged'!D167+'CurrentPor-LH=10 unchanged'!I167)/100,2))*100</f>
        <v>9581.1266074224368</v>
      </c>
      <c r="F167">
        <f>Portfolio!B$5*'CurrentPor-LH=10 unchanged'!E167</f>
        <v>52143.895533915893</v>
      </c>
      <c r="G167">
        <f>Portfolio!B$6*'CurrentPor-LH=10 unchanged'!F167</f>
        <v>3696.2945087936532</v>
      </c>
      <c r="H167">
        <f>Portfolio!B$7*'CurrentPor-LH=10 unchanged'!J167</f>
        <v>2148.0998964419859</v>
      </c>
      <c r="I167">
        <f t="shared" si="4"/>
        <v>96511.293412631887</v>
      </c>
      <c r="J167">
        <f t="shared" si="5"/>
        <v>14.09593881611363</v>
      </c>
    </row>
    <row r="168" spans="1:10">
      <c r="A168" s="1">
        <v>45705</v>
      </c>
      <c r="B168">
        <f>(3/(1+('CurrentPor-LH=10 unchanged'!C168)/100)+103/POWER(1+('CurrentPor-LH=10 unchanged'!D168)/100,2))*100</f>
        <v>9707.5857774288397</v>
      </c>
      <c r="C168">
        <f>(3/(1+('CurrentPor-LH=10 unchanged'!C168+'CurrentPor-LH=10 unchanged'!G168)/100)+103/POWER(1+('CurrentPor-LH=10 unchanged'!D168+'CurrentPor-LH=10 unchanged'!G168)/100,2))*100</f>
        <v>9640.2582771647722</v>
      </c>
      <c r="D168">
        <f>(3/(1+('CurrentPor-LH=10 unchanged'!C168+'CurrentPor-LH=10 unchanged'!H168)/100)+103/POWER(1+('CurrentPor-LH=10 unchanged'!D168+'CurrentPor-LH=10 unchanged'!H168)/100,2))*100</f>
        <v>9599.5328865609517</v>
      </c>
      <c r="E168">
        <f>(3/(1+('CurrentPor-LH=10 unchanged'!C168+'CurrentPor-LH=10 unchanged'!I168)/100)+103/POWER(1+('CurrentPor-LH=10 unchanged'!D168+'CurrentPor-LH=10 unchanged'!I168)/100,2))*100</f>
        <v>9580.4183285495528</v>
      </c>
      <c r="F168">
        <f>Portfolio!B$5*'CurrentPor-LH=10 unchanged'!E168</f>
        <v>52143.895533915893</v>
      </c>
      <c r="G168">
        <f>Portfolio!B$6*'CurrentPor-LH=10 unchanged'!F168</f>
        <v>3696.2945087936532</v>
      </c>
      <c r="H168">
        <f>Portfolio!B$7*'CurrentPor-LH=10 unchanged'!J168</f>
        <v>2148.0998964419859</v>
      </c>
      <c r="I168">
        <f t="shared" si="4"/>
        <v>96516.085208855642</v>
      </c>
      <c r="J168">
        <f t="shared" si="5"/>
        <v>14.221274621726479</v>
      </c>
    </row>
    <row r="169" spans="1:10">
      <c r="A169" s="1">
        <v>45706</v>
      </c>
      <c r="B169">
        <f>(3/(1+('CurrentPor-LH=10 unchanged'!C169)/100)+103/POWER(1+('CurrentPor-LH=10 unchanged'!D169)/100,2))*100</f>
        <v>9707.5857774288397</v>
      </c>
      <c r="C169">
        <f>(3/(1+('CurrentPor-LH=10 unchanged'!C169+'CurrentPor-LH=10 unchanged'!G169)/100)+103/POWER(1+('CurrentPor-LH=10 unchanged'!D169+'CurrentPor-LH=10 unchanged'!G169)/100,2))*100</f>
        <v>9642.0686266331541</v>
      </c>
      <c r="D169">
        <f>(3/(1+('CurrentPor-LH=10 unchanged'!C169+'CurrentPor-LH=10 unchanged'!H169)/100)+103/POWER(1+('CurrentPor-LH=10 unchanged'!D169+'CurrentPor-LH=10 unchanged'!H169)/100,2))*100</f>
        <v>9596.2856929428399</v>
      </c>
      <c r="E169">
        <f>(3/(1+('CurrentPor-LH=10 unchanged'!C169+'CurrentPor-LH=10 unchanged'!I169)/100)+103/POWER(1+('CurrentPor-LH=10 unchanged'!D169+'CurrentPor-LH=10 unchanged'!I169)/100,2))*100</f>
        <v>9582.1206670582433</v>
      </c>
      <c r="F169">
        <f>Portfolio!B$5*'CurrentPor-LH=10 unchanged'!E169</f>
        <v>52143.895533915893</v>
      </c>
      <c r="G169">
        <f>Portfolio!B$6*'CurrentPor-LH=10 unchanged'!F169</f>
        <v>3696.2945087936532</v>
      </c>
      <c r="H169">
        <f>Portfolio!B$7*'CurrentPor-LH=10 unchanged'!J169</f>
        <v>2148.0998964419859</v>
      </c>
      <c r="I169">
        <f t="shared" si="4"/>
        <v>96516.350703214601</v>
      </c>
      <c r="J169">
        <f t="shared" si="5"/>
        <v>-1.1984296983282547</v>
      </c>
    </row>
    <row r="170" spans="1:10">
      <c r="A170" s="1">
        <v>45707</v>
      </c>
      <c r="B170">
        <f>(3/(1+('CurrentPor-LH=10 unchanged'!C170)/100)+103/POWER(1+('CurrentPor-LH=10 unchanged'!D170)/100,2))*100</f>
        <v>9707.5857774288397</v>
      </c>
      <c r="C170">
        <f>(3/(1+('CurrentPor-LH=10 unchanged'!C170+'CurrentPor-LH=10 unchanged'!G170)/100)+103/POWER(1+('CurrentPor-LH=10 unchanged'!D170+'CurrentPor-LH=10 unchanged'!G170)/100,2))*100</f>
        <v>9645.6908709980435</v>
      </c>
      <c r="D170">
        <f>(3/(1+('CurrentPor-LH=10 unchanged'!C170+'CurrentPor-LH=10 unchanged'!H170)/100)+103/POWER(1+('CurrentPor-LH=10 unchanged'!D170+'CurrentPor-LH=10 unchanged'!H170)/100,2))*100</f>
        <v>9589.9931499623963</v>
      </c>
      <c r="E170">
        <f>(3/(1+('CurrentPor-LH=10 unchanged'!C170+'CurrentPor-LH=10 unchanged'!I170)/100)+103/POWER(1+('CurrentPor-LH=10 unchanged'!D170+'CurrentPor-LH=10 unchanged'!I170)/100,2))*100</f>
        <v>9580.7381265307795</v>
      </c>
      <c r="F170">
        <f>Portfolio!B$5*'CurrentPor-LH=10 unchanged'!E170</f>
        <v>52143.895533915893</v>
      </c>
      <c r="G170">
        <f>Portfolio!B$6*'CurrentPor-LH=10 unchanged'!F170</f>
        <v>3696.2945087936532</v>
      </c>
      <c r="H170">
        <f>Portfolio!B$7*'CurrentPor-LH=10 unchanged'!J170</f>
        <v>2148.0998964419859</v>
      </c>
      <c r="I170">
        <f t="shared" si="4"/>
        <v>96512.297864071588</v>
      </c>
      <c r="J170">
        <f t="shared" si="5"/>
        <v>-4.6782146061741514</v>
      </c>
    </row>
    <row r="171" spans="1:10">
      <c r="A171" s="1">
        <v>45708</v>
      </c>
      <c r="B171">
        <f>(3/(1+('CurrentPor-LH=10 unchanged'!C171)/100)+103/POWER(1+('CurrentPor-LH=10 unchanged'!D171)/100,2))*100</f>
        <v>9707.5857774288397</v>
      </c>
      <c r="C171">
        <f>(3/(1+('CurrentPor-LH=10 unchanged'!C171+'CurrentPor-LH=10 unchanged'!G171)/100)+103/POWER(1+('CurrentPor-LH=10 unchanged'!D171+'CurrentPor-LH=10 unchanged'!G171)/100,2))*100</f>
        <v>9647.5027662864559</v>
      </c>
      <c r="D171">
        <f>(3/(1+('CurrentPor-LH=10 unchanged'!C171+'CurrentPor-LH=10 unchanged'!H171)/100)+103/POWER(1+('CurrentPor-LH=10 unchanged'!D171+'CurrentPor-LH=10 unchanged'!H171)/100,2))*100</f>
        <v>9597.4343629947107</v>
      </c>
      <c r="E171">
        <f>(3/(1+('CurrentPor-LH=10 unchanged'!C171+'CurrentPor-LH=10 unchanged'!I171)/100)+103/POWER(1+('CurrentPor-LH=10 unchanged'!D171+'CurrentPor-LH=10 unchanged'!I171)/100,2))*100</f>
        <v>9580.8027685194393</v>
      </c>
      <c r="F171">
        <f>Portfolio!B$5*'CurrentPor-LH=10 unchanged'!E171</f>
        <v>52143.895533915893</v>
      </c>
      <c r="G171">
        <f>Portfolio!B$6*'CurrentPor-LH=10 unchanged'!F171</f>
        <v>3696.2945087936532</v>
      </c>
      <c r="H171">
        <f>Portfolio!B$7*'CurrentPor-LH=10 unchanged'!J171</f>
        <v>2148.0998964419859</v>
      </c>
      <c r="I171">
        <f t="shared" si="4"/>
        <v>96521.615614380979</v>
      </c>
      <c r="J171">
        <f t="shared" si="5"/>
        <v>3.954394048821996</v>
      </c>
    </row>
    <row r="172" spans="1:10">
      <c r="A172" s="1">
        <v>45709</v>
      </c>
      <c r="B172">
        <f>(3/(1+('CurrentPor-LH=10 unchanged'!C172)/100)+103/POWER(1+('CurrentPor-LH=10 unchanged'!D172)/100,2))*100</f>
        <v>9707.5857774288397</v>
      </c>
      <c r="C172">
        <f>(3/(1+('CurrentPor-LH=10 unchanged'!C172+'CurrentPor-LH=10 unchanged'!G172)/100)+103/POWER(1+('CurrentPor-LH=10 unchanged'!D172+'CurrentPor-LH=10 unchanged'!G172)/100,2))*100</f>
        <v>9645.6908709980435</v>
      </c>
      <c r="D172">
        <f>(3/(1+('CurrentPor-LH=10 unchanged'!C172+'CurrentPor-LH=10 unchanged'!H172)/100)+103/POWER(1+('CurrentPor-LH=10 unchanged'!D172+'CurrentPor-LH=10 unchanged'!H172)/100,2))*100</f>
        <v>9588.0556703680959</v>
      </c>
      <c r="E172">
        <f>(3/(1+('CurrentPor-LH=10 unchanged'!C172+'CurrentPor-LH=10 unchanged'!I172)/100)+103/POWER(1+('CurrentPor-LH=10 unchanged'!D172+'CurrentPor-LH=10 unchanged'!I172)/100,2))*100</f>
        <v>9580.8246753988042</v>
      </c>
      <c r="F172">
        <f>Portfolio!B$5*'CurrentPor-LH=10 unchanged'!E172</f>
        <v>52143.895533915893</v>
      </c>
      <c r="G172">
        <f>Portfolio!B$6*'CurrentPor-LH=10 unchanged'!F172</f>
        <v>3696.2945087936532</v>
      </c>
      <c r="H172">
        <f>Portfolio!B$7*'CurrentPor-LH=10 unchanged'!J172</f>
        <v>2148.0998964419859</v>
      </c>
      <c r="I172">
        <f t="shared" si="4"/>
        <v>96510.446933345316</v>
      </c>
      <c r="J172">
        <f t="shared" si="5"/>
        <v>-4.284486025760998</v>
      </c>
    </row>
    <row r="173" spans="1:10">
      <c r="A173" s="1">
        <v>45712</v>
      </c>
      <c r="B173">
        <f>(3/(1+('CurrentPor-LH=10 unchanged'!C173)/100)+103/POWER(1+('CurrentPor-LH=10 unchanged'!D173)/100,2))*100</f>
        <v>9707.5857774288397</v>
      </c>
      <c r="C173">
        <f>(3/(1+('CurrentPor-LH=10 unchanged'!C173+'CurrentPor-LH=10 unchanged'!G173)/100)+103/POWER(1+('CurrentPor-LH=10 unchanged'!D173+'CurrentPor-LH=10 unchanged'!G173)/100,2))*100</f>
        <v>9645.6908709980435</v>
      </c>
      <c r="D173">
        <f>(3/(1+('CurrentPor-LH=10 unchanged'!C173+'CurrentPor-LH=10 unchanged'!H173)/100)+103/POWER(1+('CurrentPor-LH=10 unchanged'!D173+'CurrentPor-LH=10 unchanged'!H173)/100,2))*100</f>
        <v>9601.5192982912249</v>
      </c>
      <c r="E173">
        <f>(3/(1+('CurrentPor-LH=10 unchanged'!C173+'CurrentPor-LH=10 unchanged'!I173)/100)+103/POWER(1+('CurrentPor-LH=10 unchanged'!D173+'CurrentPor-LH=10 unchanged'!I173)/100,2))*100</f>
        <v>9580.2201101821247</v>
      </c>
      <c r="F173">
        <f>Portfolio!B$5*'CurrentPor-LH=10 unchanged'!E173</f>
        <v>52143.895533915893</v>
      </c>
      <c r="G173">
        <f>Portfolio!B$6*'CurrentPor-LH=10 unchanged'!F173</f>
        <v>3696.2945087936532</v>
      </c>
      <c r="H173">
        <f>Portfolio!B$7*'CurrentPor-LH=10 unchanged'!J173</f>
        <v>2148.0998964419859</v>
      </c>
      <c r="I173">
        <f t="shared" si="4"/>
        <v>96523.305996051771</v>
      </c>
      <c r="J173">
        <f t="shared" si="5"/>
        <v>19.228557541428017</v>
      </c>
    </row>
    <row r="174" spans="1:10">
      <c r="A174" s="1">
        <v>45713</v>
      </c>
      <c r="B174">
        <f>(3/(1+('CurrentPor-LH=10 unchanged'!C174)/100)+103/POWER(1+('CurrentPor-LH=10 unchanged'!D174)/100,2))*100</f>
        <v>9707.5857774288397</v>
      </c>
      <c r="C174">
        <f>(3/(1+('CurrentPor-LH=10 unchanged'!C174+'CurrentPor-LH=10 unchanged'!G174)/100)+103/POWER(1+('CurrentPor-LH=10 unchanged'!D174+'CurrentPor-LH=10 unchanged'!G174)/100,2))*100</f>
        <v>9647.5027662864559</v>
      </c>
      <c r="D174">
        <f>(3/(1+('CurrentPor-LH=10 unchanged'!C174+'CurrentPor-LH=10 unchanged'!H174)/100)+103/POWER(1+('CurrentPor-LH=10 unchanged'!D174+'CurrentPor-LH=10 unchanged'!H174)/100,2))*100</f>
        <v>9602.0150861927086</v>
      </c>
      <c r="E174">
        <f>(3/(1+('CurrentPor-LH=10 unchanged'!C174+'CurrentPor-LH=10 unchanged'!I174)/100)+103/POWER(1+('CurrentPor-LH=10 unchanged'!D174+'CurrentPor-LH=10 unchanged'!I174)/100,2))*100</f>
        <v>9580.976903943194</v>
      </c>
      <c r="F174">
        <f>Portfolio!B$5*'CurrentPor-LH=10 unchanged'!E174</f>
        <v>52143.895533915893</v>
      </c>
      <c r="G174">
        <f>Portfolio!B$6*'CurrentPor-LH=10 unchanged'!F174</f>
        <v>3696.2945087936532</v>
      </c>
      <c r="H174">
        <f>Portfolio!B$7*'CurrentPor-LH=10 unchanged'!J174</f>
        <v>2148.0998964419859</v>
      </c>
      <c r="I174">
        <f t="shared" si="4"/>
        <v>96526.370473002738</v>
      </c>
      <c r="J174">
        <f t="shared" si="5"/>
        <v>17.481900976810721</v>
      </c>
    </row>
    <row r="175" spans="1:10">
      <c r="A175" s="1">
        <v>45714</v>
      </c>
      <c r="B175">
        <f>(3/(1+('CurrentPor-LH=10 unchanged'!C175)/100)+103/POWER(1+('CurrentPor-LH=10 unchanged'!D175)/100,2))*100</f>
        <v>9707.5857774288397</v>
      </c>
      <c r="C175">
        <f>(3/(1+('CurrentPor-LH=10 unchanged'!C175+'CurrentPor-LH=10 unchanged'!G175)/100)+103/POWER(1+('CurrentPor-LH=10 unchanged'!D175+'CurrentPor-LH=10 unchanged'!G175)/100,2))*100</f>
        <v>9651.1281040556933</v>
      </c>
      <c r="D175">
        <f>(3/(1+('CurrentPor-LH=10 unchanged'!C175+'CurrentPor-LH=10 unchanged'!H175)/100)+103/POWER(1+('CurrentPor-LH=10 unchanged'!D175+'CurrentPor-LH=10 unchanged'!H175)/100,2))*100</f>
        <v>9604.4913975121763</v>
      </c>
      <c r="E175">
        <f>(3/(1+('CurrentPor-LH=10 unchanged'!C175+'CurrentPor-LH=10 unchanged'!I175)/100)+103/POWER(1+('CurrentPor-LH=10 unchanged'!D175+'CurrentPor-LH=10 unchanged'!I175)/100,2))*100</f>
        <v>9581.6531457080491</v>
      </c>
      <c r="F175">
        <f>Portfolio!B$5*'CurrentPor-LH=10 unchanged'!E175</f>
        <v>52143.895533915893</v>
      </c>
      <c r="G175">
        <f>Portfolio!B$6*'CurrentPor-LH=10 unchanged'!F175</f>
        <v>3696.2945087936532</v>
      </c>
      <c r="H175">
        <f>Portfolio!B$7*'CurrentPor-LH=10 unchanged'!J175</f>
        <v>2148.0998964419859</v>
      </c>
      <c r="I175">
        <f t="shared" si="4"/>
        <v>96533.148363856293</v>
      </c>
      <c r="J175">
        <f t="shared" si="5"/>
        <v>29.99531089302036</v>
      </c>
    </row>
    <row r="176" spans="1:10">
      <c r="A176" s="1">
        <v>45715</v>
      </c>
      <c r="B176">
        <f>(3/(1+('CurrentPor-LH=10 unchanged'!C176)/100)+103/POWER(1+('CurrentPor-LH=10 unchanged'!D176)/100,2))*100</f>
        <v>9707.5857774288397</v>
      </c>
      <c r="C176">
        <f>(3/(1+('CurrentPor-LH=10 unchanged'!C176+'CurrentPor-LH=10 unchanged'!G176)/100)+103/POWER(1+('CurrentPor-LH=10 unchanged'!D176+'CurrentPor-LH=10 unchanged'!G176)/100,2))*100</f>
        <v>9649.3151772402762</v>
      </c>
      <c r="D176">
        <f>(3/(1+('CurrentPor-LH=10 unchanged'!C176+'CurrentPor-LH=10 unchanged'!H176)/100)+103/POWER(1+('CurrentPor-LH=10 unchanged'!D176+'CurrentPor-LH=10 unchanged'!H176)/100,2))*100</f>
        <v>9582.6105389378336</v>
      </c>
      <c r="E176">
        <f>(3/(1+('CurrentPor-LH=10 unchanged'!C176+'CurrentPor-LH=10 unchanged'!I176)/100)+103/POWER(1+('CurrentPor-LH=10 unchanged'!D176+'CurrentPor-LH=10 unchanged'!I176)/100,2))*100</f>
        <v>9579.3951518741778</v>
      </c>
      <c r="F176">
        <f>Portfolio!B$5*'CurrentPor-LH=10 unchanged'!E176</f>
        <v>52143.895533915893</v>
      </c>
      <c r="G176">
        <f>Portfolio!B$6*'CurrentPor-LH=10 unchanged'!F176</f>
        <v>3696.2945087936532</v>
      </c>
      <c r="H176">
        <f>Portfolio!B$7*'CurrentPor-LH=10 unchanged'!J176</f>
        <v>2148.0998964419859</v>
      </c>
      <c r="I176">
        <f t="shared" si="4"/>
        <v>96507.196584632664</v>
      </c>
      <c r="J176">
        <f t="shared" si="5"/>
        <v>-7.8591327539616032</v>
      </c>
    </row>
    <row r="177" spans="1:10">
      <c r="A177" s="1">
        <v>45716</v>
      </c>
      <c r="B177">
        <f>(3/(1+('CurrentPor-LH=10 unchanged'!C177)/100)+103/POWER(1+('CurrentPor-LH=10 unchanged'!D177)/100,2))*100</f>
        <v>9707.5857774288397</v>
      </c>
      <c r="C177">
        <f>(3/(1+('CurrentPor-LH=10 unchanged'!C177+'CurrentPor-LH=10 unchanged'!G177)/100)+103/POWER(1+('CurrentPor-LH=10 unchanged'!D177+'CurrentPor-LH=10 unchanged'!G177)/100,2))*100</f>
        <v>9649.3151772402762</v>
      </c>
      <c r="D177">
        <f>(3/(1+('CurrentPor-LH=10 unchanged'!C177+'CurrentPor-LH=10 unchanged'!H177)/100)+103/POWER(1+('CurrentPor-LH=10 unchanged'!D177+'CurrentPor-LH=10 unchanged'!H177)/100,2))*100</f>
        <v>9615.4896586602463</v>
      </c>
      <c r="E177">
        <f>(3/(1+('CurrentPor-LH=10 unchanged'!C177+'CurrentPor-LH=10 unchanged'!I177)/100)+103/POWER(1+('CurrentPor-LH=10 unchanged'!D177+'CurrentPor-LH=10 unchanged'!I177)/100,2))*100</f>
        <v>9579.1437676115347</v>
      </c>
      <c r="F177">
        <f>Portfolio!B$5*'CurrentPor-LH=10 unchanged'!E177</f>
        <v>52143.895533915893</v>
      </c>
      <c r="G177">
        <f>Portfolio!B$6*'CurrentPor-LH=10 unchanged'!F177</f>
        <v>3696.2945087936532</v>
      </c>
      <c r="H177">
        <f>Portfolio!B$7*'CurrentPor-LH=10 unchanged'!J177</f>
        <v>2148.0998964419859</v>
      </c>
      <c r="I177">
        <f t="shared" si="4"/>
        <v>96539.824320092433</v>
      </c>
      <c r="J177">
        <f t="shared" si="5"/>
        <v>28.530907460546587</v>
      </c>
    </row>
    <row r="178" spans="1:10">
      <c r="A178" s="1">
        <v>45719</v>
      </c>
      <c r="B178">
        <f>(3/(1+('CurrentPor-LH=10 unchanged'!C178)/100)+103/POWER(1+('CurrentPor-LH=10 unchanged'!D178)/100,2))*100</f>
        <v>9707.5857774288397</v>
      </c>
      <c r="C178">
        <f>(3/(1+('CurrentPor-LH=10 unchanged'!C178+'CurrentPor-LH=10 unchanged'!G178)/100)+103/POWER(1+('CurrentPor-LH=10 unchanged'!D178+'CurrentPor-LH=10 unchanged'!G178)/100,2))*100</f>
        <v>9651.1281040556933</v>
      </c>
      <c r="D178">
        <f>(3/(1+('CurrentPor-LH=10 unchanged'!C178+'CurrentPor-LH=10 unchanged'!H178)/100)+103/POWER(1+('CurrentPor-LH=10 unchanged'!D178+'CurrentPor-LH=10 unchanged'!H178)/100,2))*100</f>
        <v>9597.8964400579171</v>
      </c>
      <c r="E178">
        <f>(3/(1+('CurrentPor-LH=10 unchanged'!C178+'CurrentPor-LH=10 unchanged'!I178)/100)+103/POWER(1+('CurrentPor-LH=10 unchanged'!D178+'CurrentPor-LH=10 unchanged'!I178)/100,2))*100</f>
        <v>9581.2673056063413</v>
      </c>
      <c r="F178">
        <f>Portfolio!B$5*'CurrentPor-LH=10 unchanged'!E178</f>
        <v>52143.895533915893</v>
      </c>
      <c r="G178">
        <f>Portfolio!B$6*'CurrentPor-LH=10 unchanged'!F178</f>
        <v>3696.2945087936532</v>
      </c>
      <c r="H178">
        <f>Portfolio!B$7*'CurrentPor-LH=10 unchanged'!J178</f>
        <v>2148.0998964419859</v>
      </c>
      <c r="I178">
        <f t="shared" si="4"/>
        <v>96526.167566300326</v>
      </c>
      <c r="J178">
        <f t="shared" si="5"/>
        <v>10.082357444684021</v>
      </c>
    </row>
    <row r="179" spans="1:10">
      <c r="A179" s="1">
        <v>45720</v>
      </c>
      <c r="B179">
        <f>(3/(1+('CurrentPor-LH=10 unchanged'!C179)/100)+103/POWER(1+('CurrentPor-LH=10 unchanged'!D179)/100,2))*100</f>
        <v>9707.5857774288397</v>
      </c>
      <c r="C179">
        <f>(3/(1+('CurrentPor-LH=10 unchanged'!C179+'CurrentPor-LH=10 unchanged'!G179)/100)+103/POWER(1+('CurrentPor-LH=10 unchanged'!D179+'CurrentPor-LH=10 unchanged'!G179)/100,2))*100</f>
        <v>9652.9415469289834</v>
      </c>
      <c r="D179">
        <f>(3/(1+('CurrentPor-LH=10 unchanged'!C179+'CurrentPor-LH=10 unchanged'!H179)/100)+103/POWER(1+('CurrentPor-LH=10 unchanged'!D179+'CurrentPor-LH=10 unchanged'!H179)/100,2))*100</f>
        <v>9591.6438731449743</v>
      </c>
      <c r="E179">
        <f>(3/(1+('CurrentPor-LH=10 unchanged'!C179+'CurrentPor-LH=10 unchanged'!I179)/100)+103/POWER(1+('CurrentPor-LH=10 unchanged'!D179+'CurrentPor-LH=10 unchanged'!I179)/100,2))*100</f>
        <v>9579.9048868127065</v>
      </c>
      <c r="F179">
        <f>Portfolio!B$5*'CurrentPor-LH=10 unchanged'!E179</f>
        <v>52143.895533915893</v>
      </c>
      <c r="G179">
        <f>Portfolio!B$6*'CurrentPor-LH=10 unchanged'!F179</f>
        <v>3696.2945087936532</v>
      </c>
      <c r="H179">
        <f>Portfolio!B$7*'CurrentPor-LH=10 unchanged'!J179</f>
        <v>2148.0998964419859</v>
      </c>
      <c r="I179">
        <f t="shared" si="4"/>
        <v>96520.366023467024</v>
      </c>
      <c r="J179">
        <f t="shared" si="5"/>
        <v>4.0153202524234075</v>
      </c>
    </row>
    <row r="180" spans="1:10">
      <c r="A180" s="1">
        <v>45721</v>
      </c>
      <c r="B180">
        <f>(3/(1+('CurrentPor-LH=10 unchanged'!C180)/100)+103/POWER(1+('CurrentPor-LH=10 unchanged'!D180)/100,2))*100</f>
        <v>9707.5857774288397</v>
      </c>
      <c r="C180">
        <f>(3/(1+('CurrentPor-LH=10 unchanged'!C180+'CurrentPor-LH=10 unchanged'!G180)/100)+103/POWER(1+('CurrentPor-LH=10 unchanged'!D180+'CurrentPor-LH=10 unchanged'!G180)/100,2))*100</f>
        <v>9652.9415469289834</v>
      </c>
      <c r="D180">
        <f>(3/(1+('CurrentPor-LH=10 unchanged'!C180+'CurrentPor-LH=10 unchanged'!H180)/100)+103/POWER(1+('CurrentPor-LH=10 unchanged'!D180+'CurrentPor-LH=10 unchanged'!H180)/100,2))*100</f>
        <v>9602.6036785744218</v>
      </c>
      <c r="E180">
        <f>(3/(1+('CurrentPor-LH=10 unchanged'!C180+'CurrentPor-LH=10 unchanged'!I180)/100)+103/POWER(1+('CurrentPor-LH=10 unchanged'!D180+'CurrentPor-LH=10 unchanged'!I180)/100,2))*100</f>
        <v>9579.9429569371223</v>
      </c>
      <c r="F180">
        <f>Portfolio!B$5*'CurrentPor-LH=10 unchanged'!E180</f>
        <v>52143.895533915893</v>
      </c>
      <c r="G180">
        <f>Portfolio!B$6*'CurrentPor-LH=10 unchanged'!F180</f>
        <v>3696.2945087936532</v>
      </c>
      <c r="H180">
        <f>Portfolio!B$7*'CurrentPor-LH=10 unchanged'!J180</f>
        <v>2148.0998964419859</v>
      </c>
      <c r="I180">
        <f t="shared" si="4"/>
        <v>96531.3638990209</v>
      </c>
      <c r="J180">
        <f t="shared" si="5"/>
        <v>19.06603494931187</v>
      </c>
    </row>
    <row r="181" spans="1:10">
      <c r="A181" s="1">
        <v>45722</v>
      </c>
      <c r="B181">
        <f>(3/(1+('CurrentPor-LH=10 unchanged'!C181)/100)+103/POWER(1+('CurrentPor-LH=10 unchanged'!D181)/100,2))*100</f>
        <v>9707.5857774288397</v>
      </c>
      <c r="C181">
        <f>(3/(1+('CurrentPor-LH=10 unchanged'!C181+'CurrentPor-LH=10 unchanged'!G181)/100)+103/POWER(1+('CurrentPor-LH=10 unchanged'!D181+'CurrentPor-LH=10 unchanged'!G181)/100,2))*100</f>
        <v>9652.9415469289834</v>
      </c>
      <c r="D181">
        <f>(3/(1+('CurrentPor-LH=10 unchanged'!C181+'CurrentPor-LH=10 unchanged'!H181)/100)+103/POWER(1+('CurrentPor-LH=10 unchanged'!D181+'CurrentPor-LH=10 unchanged'!H181)/100,2))*100</f>
        <v>9606.8862764337082</v>
      </c>
      <c r="E181">
        <f>(3/(1+('CurrentPor-LH=10 unchanged'!C181+'CurrentPor-LH=10 unchanged'!I181)/100)+103/POWER(1+('CurrentPor-LH=10 unchanged'!D181+'CurrentPor-LH=10 unchanged'!I181)/100,2))*100</f>
        <v>9579.6668647682745</v>
      </c>
      <c r="F181">
        <f>Portfolio!B$5*'CurrentPor-LH=10 unchanged'!E181</f>
        <v>52143.895533915893</v>
      </c>
      <c r="G181">
        <f>Portfolio!B$6*'CurrentPor-LH=10 unchanged'!F181</f>
        <v>3696.2945087936532</v>
      </c>
      <c r="H181">
        <f>Portfolio!B$7*'CurrentPor-LH=10 unchanged'!J181</f>
        <v>2148.0998964419859</v>
      </c>
      <c r="I181">
        <f t="shared" si="4"/>
        <v>96535.370404711328</v>
      </c>
      <c r="J181">
        <f t="shared" si="5"/>
        <v>13.754790330349351</v>
      </c>
    </row>
    <row r="182" spans="1:10">
      <c r="A182" s="1">
        <v>45723</v>
      </c>
      <c r="B182">
        <f>(3/(1+('CurrentPor-LH=10 unchanged'!C182)/100)+103/POWER(1+('CurrentPor-LH=10 unchanged'!D182)/100,2))*100</f>
        <v>9707.5857774288397</v>
      </c>
      <c r="C182">
        <f>(3/(1+('CurrentPor-LH=10 unchanged'!C182+'CurrentPor-LH=10 unchanged'!G182)/100)+103/POWER(1+('CurrentPor-LH=10 unchanged'!D182+'CurrentPor-LH=10 unchanged'!G182)/100,2))*100</f>
        <v>9647.5027662864559</v>
      </c>
      <c r="D182">
        <f>(3/(1+('CurrentPor-LH=10 unchanged'!C182+'CurrentPor-LH=10 unchanged'!H182)/100)+103/POWER(1+('CurrentPor-LH=10 unchanged'!D182+'CurrentPor-LH=10 unchanged'!H182)/100,2))*100</f>
        <v>9600.5729960441913</v>
      </c>
      <c r="E182">
        <f>(3/(1+('CurrentPor-LH=10 unchanged'!C182+'CurrentPor-LH=10 unchanged'!I182)/100)+103/POWER(1+('CurrentPor-LH=10 unchanged'!D182+'CurrentPor-LH=10 unchanged'!I182)/100,2))*100</f>
        <v>9581.4748378717886</v>
      </c>
      <c r="F182">
        <f>Portfolio!B$5*'CurrentPor-LH=10 unchanged'!E182</f>
        <v>52143.895533915893</v>
      </c>
      <c r="G182">
        <f>Portfolio!B$6*'CurrentPor-LH=10 unchanged'!F182</f>
        <v>3696.2945087936532</v>
      </c>
      <c r="H182">
        <f>Portfolio!B$7*'CurrentPor-LH=10 unchanged'!J182</f>
        <v>2148.0998964419859</v>
      </c>
      <c r="I182">
        <f t="shared" si="4"/>
        <v>96525.426316782818</v>
      </c>
      <c r="J182">
        <f t="shared" si="5"/>
        <v>14.979383437501383</v>
      </c>
    </row>
    <row r="183" spans="1:10">
      <c r="A183" s="1">
        <v>45726</v>
      </c>
      <c r="B183">
        <f>(3/(1+('CurrentPor-LH=10 unchanged'!C183)/100)+103/POWER(1+('CurrentPor-LH=10 unchanged'!D183)/100,2))*100</f>
        <v>9707.5857774288397</v>
      </c>
      <c r="C183">
        <f>(3/(1+('CurrentPor-LH=10 unchanged'!C183+'CurrentPor-LH=10 unchanged'!G183)/100)+103/POWER(1+('CurrentPor-LH=10 unchanged'!D183+'CurrentPor-LH=10 unchanged'!G183)/100,2))*100</f>
        <v>9649.3151772402762</v>
      </c>
      <c r="D183">
        <f>(3/(1+('CurrentPor-LH=10 unchanged'!C183+'CurrentPor-LH=10 unchanged'!H183)/100)+103/POWER(1+('CurrentPor-LH=10 unchanged'!D183+'CurrentPor-LH=10 unchanged'!H183)/100,2))*100</f>
        <v>9597.5780764416104</v>
      </c>
      <c r="E183">
        <f>(3/(1+('CurrentPor-LH=10 unchanged'!C183+'CurrentPor-LH=10 unchanged'!I183)/100)+103/POWER(1+('CurrentPor-LH=10 unchanged'!D183+'CurrentPor-LH=10 unchanged'!I183)/100,2))*100</f>
        <v>9582.0350652334091</v>
      </c>
      <c r="F183">
        <f>Portfolio!B$5*'CurrentPor-LH=10 unchanged'!E183</f>
        <v>52143.895533915893</v>
      </c>
      <c r="G183">
        <f>Portfolio!B$6*'CurrentPor-LH=10 unchanged'!F183</f>
        <v>3696.2945087936532</v>
      </c>
      <c r="H183">
        <f>Portfolio!B$7*'CurrentPor-LH=10 unchanged'!J183</f>
        <v>2148.0998964419859</v>
      </c>
      <c r="I183">
        <f t="shared" si="4"/>
        <v>96524.804035495661</v>
      </c>
      <c r="J183">
        <f t="shared" si="5"/>
        <v>1.4980394438898657</v>
      </c>
    </row>
    <row r="184" spans="1:10">
      <c r="A184" s="1">
        <v>45727</v>
      </c>
      <c r="B184">
        <f>(3/(1+('CurrentPor-LH=10 unchanged'!C184)/100)+103/POWER(1+('CurrentPor-LH=10 unchanged'!D184)/100,2))*100</f>
        <v>9707.5857774288397</v>
      </c>
      <c r="C184">
        <f>(3/(1+('CurrentPor-LH=10 unchanged'!C184+'CurrentPor-LH=10 unchanged'!G184)/100)+103/POWER(1+('CurrentPor-LH=10 unchanged'!D184+'CurrentPor-LH=10 unchanged'!G184)/100,2))*100</f>
        <v>9649.3151772402762</v>
      </c>
      <c r="D184">
        <f>(3/(1+('CurrentPor-LH=10 unchanged'!C184+'CurrentPor-LH=10 unchanged'!H184)/100)+103/POWER(1+('CurrentPor-LH=10 unchanged'!D184+'CurrentPor-LH=10 unchanged'!H184)/100,2))*100</f>
        <v>9605.658322180685</v>
      </c>
      <c r="E184">
        <f>(3/(1+('CurrentPor-LH=10 unchanged'!C184+'CurrentPor-LH=10 unchanged'!I184)/100)+103/POWER(1+('CurrentPor-LH=10 unchanged'!D184+'CurrentPor-LH=10 unchanged'!I184)/100,2))*100</f>
        <v>9579.6027309219098</v>
      </c>
      <c r="F184">
        <f>Portfolio!B$5*'CurrentPor-LH=10 unchanged'!E184</f>
        <v>52143.895533915893</v>
      </c>
      <c r="G184">
        <f>Portfolio!B$6*'CurrentPor-LH=10 unchanged'!F184</f>
        <v>3696.2945087936532</v>
      </c>
      <c r="H184">
        <f>Portfolio!B$7*'CurrentPor-LH=10 unchanged'!J184</f>
        <v>2148.0998964419859</v>
      </c>
      <c r="I184">
        <f t="shared" si="4"/>
        <v>96530.451946923233</v>
      </c>
      <c r="J184">
        <f t="shared" si="5"/>
        <v>4.081473920494318</v>
      </c>
    </row>
    <row r="185" spans="1:10">
      <c r="A185" s="1">
        <v>45728</v>
      </c>
      <c r="B185">
        <f>(3/(1+('CurrentPor-LH=10 unchanged'!C185)/100)+103/POWER(1+('CurrentPor-LH=10 unchanged'!D185)/100,2))*100</f>
        <v>9707.5857774288397</v>
      </c>
      <c r="C185">
        <f>(3/(1+('CurrentPor-LH=10 unchanged'!C185+'CurrentPor-LH=10 unchanged'!G185)/100)+103/POWER(1+('CurrentPor-LH=10 unchanged'!D185+'CurrentPor-LH=10 unchanged'!G185)/100,2))*100</f>
        <v>9643.879491178941</v>
      </c>
      <c r="D185">
        <f>(3/(1+('CurrentPor-LH=10 unchanged'!C185+'CurrentPor-LH=10 unchanged'!H185)/100)+103/POWER(1+('CurrentPor-LH=10 unchanged'!D185+'CurrentPor-LH=10 unchanged'!H185)/100,2))*100</f>
        <v>9592.7074768612092</v>
      </c>
      <c r="E185">
        <f>(3/(1+('CurrentPor-LH=10 unchanged'!C185+'CurrentPor-LH=10 unchanged'!I185)/100)+103/POWER(1+('CurrentPor-LH=10 unchanged'!D185+'CurrentPor-LH=10 unchanged'!I185)/100,2))*100</f>
        <v>9581.4150386279125</v>
      </c>
      <c r="F185">
        <f>Portfolio!B$5*'CurrentPor-LH=10 unchanged'!E185</f>
        <v>52143.895533915893</v>
      </c>
      <c r="G185">
        <f>Portfolio!B$6*'CurrentPor-LH=10 unchanged'!F185</f>
        <v>3696.2945087936532</v>
      </c>
      <c r="H185">
        <f>Portfolio!B$7*'CurrentPor-LH=10 unchanged'!J185</f>
        <v>2148.0998964419859</v>
      </c>
      <c r="I185">
        <f t="shared" si="4"/>
        <v>96513.877723248428</v>
      </c>
      <c r="J185">
        <f t="shared" si="5"/>
        <v>-19.270640607865062</v>
      </c>
    </row>
    <row r="186" spans="1:10">
      <c r="A186" s="1">
        <v>45729</v>
      </c>
      <c r="B186">
        <f>(3/(1+('CurrentPor-LH=10 unchanged'!C186)/100)+103/POWER(1+('CurrentPor-LH=10 unchanged'!D186)/100,2))*100</f>
        <v>9707.5857774288397</v>
      </c>
      <c r="C186">
        <f>(3/(1+('CurrentPor-LH=10 unchanged'!C186+'CurrentPor-LH=10 unchanged'!G186)/100)+103/POWER(1+('CurrentPor-LH=10 unchanged'!D186+'CurrentPor-LH=10 unchanged'!G186)/100,2))*100</f>
        <v>9645.6908709980435</v>
      </c>
      <c r="D186">
        <f>(3/(1+('CurrentPor-LH=10 unchanged'!C186+'CurrentPor-LH=10 unchanged'!H186)/100)+103/POWER(1+('CurrentPor-LH=10 unchanged'!D186+'CurrentPor-LH=10 unchanged'!H186)/100,2))*100</f>
        <v>9593.1008892286372</v>
      </c>
      <c r="E186">
        <f>(3/(1+('CurrentPor-LH=10 unchanged'!C186+'CurrentPor-LH=10 unchanged'!I186)/100)+103/POWER(1+('CurrentPor-LH=10 unchanged'!D186+'CurrentPor-LH=10 unchanged'!I186)/100,2))*100</f>
        <v>9579.9387901347636</v>
      </c>
      <c r="F186">
        <f>Portfolio!B$5*'CurrentPor-LH=10 unchanged'!E186</f>
        <v>52143.895533915893</v>
      </c>
      <c r="G186">
        <f>Portfolio!B$6*'CurrentPor-LH=10 unchanged'!F186</f>
        <v>3696.2945087936532</v>
      </c>
      <c r="H186">
        <f>Portfolio!B$7*'CurrentPor-LH=10 unchanged'!J186</f>
        <v>2148.0998964419859</v>
      </c>
      <c r="I186">
        <f t="shared" si="4"/>
        <v>96514.606266941817</v>
      </c>
      <c r="J186">
        <f t="shared" si="5"/>
        <v>7.4096823091531405</v>
      </c>
    </row>
    <row r="187" spans="1:10">
      <c r="A187" s="1">
        <v>45730</v>
      </c>
      <c r="B187">
        <f>(3/(1+('CurrentPor-LH=10 unchanged'!C187)/100)+103/POWER(1+('CurrentPor-LH=10 unchanged'!D187)/100,2))*100</f>
        <v>9707.5857774288397</v>
      </c>
      <c r="C187">
        <f>(3/(1+('CurrentPor-LH=10 unchanged'!C187+'CurrentPor-LH=10 unchanged'!G187)/100)+103/POWER(1+('CurrentPor-LH=10 unchanged'!D187+'CurrentPor-LH=10 unchanged'!G187)/100,2))*100</f>
        <v>9645.6908709980435</v>
      </c>
      <c r="D187">
        <f>(3/(1+('CurrentPor-LH=10 unchanged'!C187+'CurrentPor-LH=10 unchanged'!H187)/100)+103/POWER(1+('CurrentPor-LH=10 unchanged'!D187+'CurrentPor-LH=10 unchanged'!H187)/100,2))*100</f>
        <v>9598.7985397152024</v>
      </c>
      <c r="E187">
        <f>(3/(1+('CurrentPor-LH=10 unchanged'!C187+'CurrentPor-LH=10 unchanged'!I187)/100)+103/POWER(1+('CurrentPor-LH=10 unchanged'!D187+'CurrentPor-LH=10 unchanged'!I187)/100,2))*100</f>
        <v>9580.3644691577283</v>
      </c>
      <c r="F187">
        <f>Portfolio!B$5*'CurrentPor-LH=10 unchanged'!E187</f>
        <v>52143.895533915893</v>
      </c>
      <c r="G187">
        <f>Portfolio!B$6*'CurrentPor-LH=10 unchanged'!F187</f>
        <v>3696.2945087936532</v>
      </c>
      <c r="H187">
        <f>Portfolio!B$7*'CurrentPor-LH=10 unchanged'!J187</f>
        <v>2148.0998964419859</v>
      </c>
      <c r="I187">
        <f t="shared" si="4"/>
        <v>96520.729596451347</v>
      </c>
      <c r="J187">
        <f t="shared" si="5"/>
        <v>-19.094723641086603</v>
      </c>
    </row>
    <row r="188" spans="1:10">
      <c r="A188" s="13">
        <v>45733</v>
      </c>
      <c r="B188">
        <f>(3/(1+('CurrentPor-LH=10 unchanged'!C188)/100)+103/POWER(1+('CurrentPor-LH=10 unchanged'!D188)/100,2))*100</f>
        <v>9707.5857774288397</v>
      </c>
      <c r="C188">
        <f>(3/(1+('CurrentPor-LH=10 unchanged'!C188+'CurrentPor-LH=10 unchanged'!G188)/100)+103/POWER(1+('CurrentPor-LH=10 unchanged'!D188+'CurrentPor-LH=10 unchanged'!G188)/100,2))*100</f>
        <v>9647.5028913948045</v>
      </c>
      <c r="D188">
        <f>(3/(1+('CurrentPor-LH=10 unchanged'!C188+'CurrentPor-LH=10 unchanged'!H188)/100)+103/POWER(1+('CurrentPor-LH=10 unchanged'!D188+'CurrentPor-LH=10 unchanged'!H188)/100,2))*100</f>
        <v>9629.1227718222744</v>
      </c>
      <c r="E188">
        <f>(3/(1+('CurrentPor-LH=10 unchanged'!C188+'CurrentPor-LH=10 unchanged'!I188)/100)+103/POWER(1+('CurrentPor-LH=10 unchanged'!D188+'CurrentPor-LH=10 unchanged'!I188)/100,2))*100</f>
        <v>9580.6454985559321</v>
      </c>
      <c r="F188">
        <f>Portfolio!B$5*'CurrentPor-LH=10 unchanged'!E188</f>
        <v>52143.895533915893</v>
      </c>
      <c r="G188">
        <f>Portfolio!B$6*'CurrentPor-LH=10 unchanged'!F188</f>
        <v>3696.2945087936532</v>
      </c>
      <c r="H188">
        <f>Portfolio!B$7*'CurrentPor-LH=10 unchanged'!J188</f>
        <v>2148.0998964419859</v>
      </c>
      <c r="I188">
        <f t="shared" si="4"/>
        <v>96553.146878353378</v>
      </c>
      <c r="J188">
        <f t="shared" si="5"/>
        <v>26.979312053052126</v>
      </c>
    </row>
    <row r="189" spans="1:10">
      <c r="A189" s="1">
        <v>45734</v>
      </c>
      <c r="B189">
        <f>(3/(1+('CurrentPor-LH=10 unchanged'!C189)/100)+103/POWER(1+('CurrentPor-LH=10 unchanged'!D189)/100,2))*100</f>
        <v>9707.5857774288397</v>
      </c>
      <c r="C189">
        <f>(3/(1+('CurrentPor-LH=10 unchanged'!C189+'CurrentPor-LH=10 unchanged'!G189)/100)+103/POWER(1+('CurrentPor-LH=10 unchanged'!D189+'CurrentPor-LH=10 unchanged'!G189)/100,2))*100</f>
        <v>9645.3417364441684</v>
      </c>
      <c r="D189">
        <f>(3/(1+('CurrentPor-LH=10 unchanged'!C189+'CurrentPor-LH=10 unchanged'!H189)/100)+103/POWER(1+('CurrentPor-LH=10 unchanged'!D189+'CurrentPor-LH=10 unchanged'!H189)/100,2))*100</f>
        <v>9587.4564671772368</v>
      </c>
      <c r="E189">
        <f>(3/(1+('CurrentPor-LH=10 unchanged'!C189+'CurrentPor-LH=10 unchanged'!I189)/100)+103/POWER(1+('CurrentPor-LH=10 unchanged'!D189+'CurrentPor-LH=10 unchanged'!I189)/100,2))*100</f>
        <v>9580.3887991504871</v>
      </c>
      <c r="F189">
        <f>Portfolio!B$5*'CurrentPor-LH=10 unchanged'!E189</f>
        <v>52143.895533915893</v>
      </c>
      <c r="G189">
        <f>Portfolio!B$6*'CurrentPor-LH=10 unchanged'!F189</f>
        <v>3696.2945087936532</v>
      </c>
      <c r="H189">
        <f>Portfolio!B$7*'CurrentPor-LH=10 unchanged'!J189</f>
        <v>2148.0998964419859</v>
      </c>
      <c r="I189">
        <f t="shared" si="4"/>
        <v>96509.062719352267</v>
      </c>
      <c r="J189">
        <f t="shared" si="5"/>
        <v>-11.303304114757339</v>
      </c>
    </row>
    <row r="190" spans="1:10">
      <c r="A190" s="1">
        <v>45735</v>
      </c>
      <c r="B190">
        <f>(3/(1+('CurrentPor-LH=10 unchanged'!C190)/100)+103/POWER(1+('CurrentPor-LH=10 unchanged'!D190)/100,2))*100</f>
        <v>9707.5857774288397</v>
      </c>
      <c r="C190">
        <f>(3/(1+('CurrentPor-LH=10 unchanged'!C190+'CurrentPor-LH=10 unchanged'!G190)/100)+103/POWER(1+('CurrentPor-LH=10 unchanged'!D190+'CurrentPor-LH=10 unchanged'!G190)/100,2))*100</f>
        <v>9644.67166122241</v>
      </c>
      <c r="D190">
        <f>(3/(1+('CurrentPor-LH=10 unchanged'!C190+'CurrentPor-LH=10 unchanged'!H190)/100)+103/POWER(1+('CurrentPor-LH=10 unchanged'!D190+'CurrentPor-LH=10 unchanged'!H190)/100,2))*100</f>
        <v>9615.2582549951694</v>
      </c>
      <c r="E190">
        <f>(3/(1+('CurrentPor-LH=10 unchanged'!C190+'CurrentPor-LH=10 unchanged'!I190)/100)+103/POWER(1+('CurrentPor-LH=10 unchanged'!D190+'CurrentPor-LH=10 unchanged'!I190)/100,2))*100</f>
        <v>9582.1119724264627</v>
      </c>
      <c r="F190">
        <f>Portfolio!B$5*'CurrentPor-LH=10 unchanged'!E190</f>
        <v>52143.895533915893</v>
      </c>
      <c r="G190">
        <f>Portfolio!B$6*'CurrentPor-LH=10 unchanged'!F190</f>
        <v>3696.2945087936532</v>
      </c>
      <c r="H190">
        <f>Portfolio!B$7*'CurrentPor-LH=10 unchanged'!J190</f>
        <v>2148.0998964419859</v>
      </c>
      <c r="I190">
        <f t="shared" si="4"/>
        <v>96537.917605224415</v>
      </c>
      <c r="J190">
        <f t="shared" si="5"/>
        <v>6.5537062035145937</v>
      </c>
    </row>
    <row r="191" spans="1:10">
      <c r="A191" s="1">
        <v>45736</v>
      </c>
      <c r="B191">
        <f>(3/(1+('CurrentPor-LH=10 unchanged'!C191)/100)+103/POWER(1+('CurrentPor-LH=10 unchanged'!D191)/100,2))*100</f>
        <v>9707.5857774288397</v>
      </c>
      <c r="C191">
        <f>(3/(1+('CurrentPor-LH=10 unchanged'!C191+'CurrentPor-LH=10 unchanged'!G191)/100)+103/POWER(1+('CurrentPor-LH=10 unchanged'!D191+'CurrentPor-LH=10 unchanged'!G191)/100,2))*100</f>
        <v>9665.9088657140892</v>
      </c>
      <c r="D191">
        <f>(3/(1+('CurrentPor-LH=10 unchanged'!C191+'CurrentPor-LH=10 unchanged'!H191)/100)+103/POWER(1+('CurrentPor-LH=10 unchanged'!D191+'CurrentPor-LH=10 unchanged'!H191)/100,2))*100</f>
        <v>9603.9733500566435</v>
      </c>
      <c r="E191">
        <f>(3/(1+('CurrentPor-LH=10 unchanged'!C191+'CurrentPor-LH=10 unchanged'!I191)/100)+103/POWER(1+('CurrentPor-LH=10 unchanged'!D191+'CurrentPor-LH=10 unchanged'!I191)/100,2))*100</f>
        <v>9581.5416821441668</v>
      </c>
      <c r="F191">
        <f>Portfolio!B$5*'CurrentPor-LH=10 unchanged'!E191</f>
        <v>52143.895533915893</v>
      </c>
      <c r="G191">
        <f>Portfolio!B$6*'CurrentPor-LH=10 unchanged'!F191</f>
        <v>3696.2945087936532</v>
      </c>
      <c r="H191">
        <f>Portfolio!B$7*'CurrentPor-LH=10 unchanged'!J191</f>
        <v>2148.0998964419859</v>
      </c>
      <c r="I191">
        <f t="shared" si="4"/>
        <v>96547.299614495263</v>
      </c>
      <c r="J191">
        <f t="shared" si="5"/>
        <v>11.929209783935221</v>
      </c>
    </row>
    <row r="192" spans="1:10">
      <c r="A192" s="1">
        <v>45737</v>
      </c>
      <c r="B192">
        <f>(3/(1+('CurrentPor-LH=10 unchanged'!C192)/100)+103/POWER(1+('CurrentPor-LH=10 unchanged'!D192)/100,2))*100</f>
        <v>9707.5857774288397</v>
      </c>
      <c r="C192">
        <f>(3/(1+('CurrentPor-LH=10 unchanged'!C192+'CurrentPor-LH=10 unchanged'!G192)/100)+103/POWER(1+('CurrentPor-LH=10 unchanged'!D192+'CurrentPor-LH=10 unchanged'!G192)/100,2))*100</f>
        <v>9641.2477691855656</v>
      </c>
      <c r="D192">
        <f>(3/(1+('CurrentPor-LH=10 unchanged'!C192+'CurrentPor-LH=10 unchanged'!H192)/100)+103/POWER(1+('CurrentPor-LH=10 unchanged'!D192+'CurrentPor-LH=10 unchanged'!H192)/100,2))*100</f>
        <v>9606.0550098903641</v>
      </c>
      <c r="E192">
        <f>(3/(1+('CurrentPor-LH=10 unchanged'!C192+'CurrentPor-LH=10 unchanged'!I192)/100)+103/POWER(1+('CurrentPor-LH=10 unchanged'!D192+'CurrentPor-LH=10 unchanged'!I192)/100,2))*100</f>
        <v>9578.2999225113654</v>
      </c>
      <c r="F192">
        <f>Portfolio!B$5*'CurrentPor-LH=10 unchanged'!E192</f>
        <v>52143.895533915893</v>
      </c>
      <c r="G192">
        <f>Portfolio!B$6*'CurrentPor-LH=10 unchanged'!F192</f>
        <v>3696.2945087936532</v>
      </c>
      <c r="H192">
        <f>Portfolio!B$7*'CurrentPor-LH=10 unchanged'!J192</f>
        <v>2148.0998964419859</v>
      </c>
      <c r="I192">
        <f t="shared" si="4"/>
        <v>96521.478418167666</v>
      </c>
      <c r="J192">
        <f t="shared" si="5"/>
        <v>-3.9478986151516438</v>
      </c>
    </row>
    <row r="193" spans="1:10">
      <c r="A193" s="1">
        <v>45740</v>
      </c>
      <c r="B193">
        <f>(3/(1+('CurrentPor-LH=10 unchanged'!C193)/100)+103/POWER(1+('CurrentPor-LH=10 unchanged'!D193)/100,2))*100</f>
        <v>9707.5857774288397</v>
      </c>
      <c r="C193">
        <f>(3/(1+('CurrentPor-LH=10 unchanged'!C193+'CurrentPor-LH=10 unchanged'!G193)/100)+103/POWER(1+('CurrentPor-LH=10 unchanged'!D193+'CurrentPor-LH=10 unchanged'!G193)/100,2))*100</f>
        <v>9647.6012759639034</v>
      </c>
      <c r="D193">
        <f>(3/(1+('CurrentPor-LH=10 unchanged'!C193+'CurrentPor-LH=10 unchanged'!H193)/100)+103/POWER(1+('CurrentPor-LH=10 unchanged'!D193+'CurrentPor-LH=10 unchanged'!H193)/100,2))*100</f>
        <v>9600.8417031250701</v>
      </c>
      <c r="E193">
        <f>(3/(1+('CurrentPor-LH=10 unchanged'!C193+'CurrentPor-LH=10 unchanged'!I193)/100)+103/POWER(1+('CurrentPor-LH=10 unchanged'!D193+'CurrentPor-LH=10 unchanged'!I193)/100,2))*100</f>
        <v>9581.0793804743462</v>
      </c>
      <c r="F193">
        <f>Portfolio!B$5*'CurrentPor-LH=10 unchanged'!E193</f>
        <v>52143.895533915893</v>
      </c>
      <c r="G193">
        <f>Portfolio!B$6*'CurrentPor-LH=10 unchanged'!F193</f>
        <v>3696.2945087936532</v>
      </c>
      <c r="H193">
        <f>Portfolio!B$7*'CurrentPor-LH=10 unchanged'!J193</f>
        <v>2148.0998964419859</v>
      </c>
      <c r="I193">
        <f t="shared" si="4"/>
        <v>96525.398076143683</v>
      </c>
      <c r="J193">
        <f t="shared" si="5"/>
        <v>0.59404064802220091</v>
      </c>
    </row>
    <row r="194" spans="1:10">
      <c r="A194" s="1">
        <v>45741</v>
      </c>
      <c r="B194">
        <f>(3/(1+('CurrentPor-LH=10 unchanged'!C194)/100)+103/POWER(1+('CurrentPor-LH=10 unchanged'!D194)/100,2))*100</f>
        <v>9707.5857774288397</v>
      </c>
      <c r="C194">
        <f>(3/(1+('CurrentPor-LH=10 unchanged'!C194+'CurrentPor-LH=10 unchanged'!G194)/100)+103/POWER(1+('CurrentPor-LH=10 unchanged'!D194+'CurrentPor-LH=10 unchanged'!G194)/100,2))*100</f>
        <v>9648.565676399814</v>
      </c>
      <c r="D194">
        <f>(3/(1+('CurrentPor-LH=10 unchanged'!C194+'CurrentPor-LH=10 unchanged'!H194)/100)+103/POWER(1+('CurrentPor-LH=10 unchanged'!D194+'CurrentPor-LH=10 unchanged'!H194)/100,2))*100</f>
        <v>9606.6247838101717</v>
      </c>
      <c r="E194">
        <f>(3/(1+('CurrentPor-LH=10 unchanged'!C194+'CurrentPor-LH=10 unchanged'!I194)/100)+103/POWER(1+('CurrentPor-LH=10 unchanged'!D194+'CurrentPor-LH=10 unchanged'!I194)/100,2))*100</f>
        <v>9580.8460628314042</v>
      </c>
      <c r="F194">
        <f>Portfolio!B$5*'CurrentPor-LH=10 unchanged'!E194</f>
        <v>52143.895533915893</v>
      </c>
      <c r="G194">
        <f>Portfolio!B$6*'CurrentPor-LH=10 unchanged'!F194</f>
        <v>3696.2945087936532</v>
      </c>
      <c r="H194">
        <f>Portfolio!B$7*'CurrentPor-LH=10 unchanged'!J194</f>
        <v>2148.0998964419859</v>
      </c>
      <c r="I194">
        <f t="shared" si="4"/>
        <v>96531.912239621757</v>
      </c>
      <c r="J194">
        <f t="shared" si="5"/>
        <v>1.4602926985244267</v>
      </c>
    </row>
    <row r="195" spans="1:10">
      <c r="A195" s="1">
        <v>45742</v>
      </c>
      <c r="B195">
        <f>(3/(1+('CurrentPor-LH=10 unchanged'!C195)/100)+103/POWER(1+('CurrentPor-LH=10 unchanged'!D195)/100,2))*100</f>
        <v>9707.5857774288397</v>
      </c>
      <c r="C195">
        <f>(3/(1+('CurrentPor-LH=10 unchanged'!C195+'CurrentPor-LH=10 unchanged'!G195)/100)+103/POWER(1+('CurrentPor-LH=10 unchanged'!D195+'CurrentPor-LH=10 unchanged'!G195)/100,2))*100</f>
        <v>9649.5679654341329</v>
      </c>
      <c r="D195">
        <f>(3/(1+('CurrentPor-LH=10 unchanged'!C195+'CurrentPor-LH=10 unchanged'!H195)/100)+103/POWER(1+('CurrentPor-LH=10 unchanged'!D195+'CurrentPor-LH=10 unchanged'!H195)/100,2))*100</f>
        <v>9597.2656959728192</v>
      </c>
      <c r="E195">
        <f>(3/(1+('CurrentPor-LH=10 unchanged'!C195+'CurrentPor-LH=10 unchanged'!I195)/100)+103/POWER(1+('CurrentPor-LH=10 unchanged'!D195+'CurrentPor-LH=10 unchanged'!I195)/100,2))*100</f>
        <v>9578.3316448618443</v>
      </c>
      <c r="F195">
        <f>Portfolio!B$5*'CurrentPor-LH=10 unchanged'!E195</f>
        <v>52143.895533915893</v>
      </c>
      <c r="G195">
        <f>Portfolio!B$6*'CurrentPor-LH=10 unchanged'!F195</f>
        <v>3696.2945087936532</v>
      </c>
      <c r="H195">
        <f>Portfolio!B$7*'CurrentPor-LH=10 unchanged'!J195</f>
        <v>2148.0998964419859</v>
      </c>
      <c r="I195">
        <f t="shared" si="4"/>
        <v>96521.041022849167</v>
      </c>
      <c r="J195">
        <f t="shared" si="5"/>
        <v>7.1632996007392649</v>
      </c>
    </row>
    <row r="196" spans="1:10">
      <c r="A196" s="1">
        <v>45743</v>
      </c>
      <c r="B196">
        <f>(3/(1+('CurrentPor-LH=10 unchanged'!C196)/100)+103/POWER(1+('CurrentPor-LH=10 unchanged'!D196)/100,2))*100</f>
        <v>9707.5857774288397</v>
      </c>
      <c r="C196">
        <f>(3/(1+('CurrentPor-LH=10 unchanged'!C196+'CurrentPor-LH=10 unchanged'!G196)/100)+103/POWER(1+('CurrentPor-LH=10 unchanged'!D196+'CurrentPor-LH=10 unchanged'!G196)/100,2))*100</f>
        <v>9650.4696874141664</v>
      </c>
      <c r="D196">
        <f>(3/(1+('CurrentPor-LH=10 unchanged'!C196+'CurrentPor-LH=10 unchanged'!H196)/100)+103/POWER(1+('CurrentPor-LH=10 unchanged'!D196+'CurrentPor-LH=10 unchanged'!H196)/100,2))*100</f>
        <v>9602.001826533331</v>
      </c>
      <c r="E196">
        <f>(3/(1+('CurrentPor-LH=10 unchanged'!C196+'CurrentPor-LH=10 unchanged'!I196)/100)+103/POWER(1+('CurrentPor-LH=10 unchanged'!D196+'CurrentPor-LH=10 unchanged'!I196)/100,2))*100</f>
        <v>9580.4631807122314</v>
      </c>
      <c r="F196">
        <f>Portfolio!B$5*'CurrentPor-LH=10 unchanged'!E196</f>
        <v>52143.895533915893</v>
      </c>
      <c r="G196">
        <f>Portfolio!B$6*'CurrentPor-LH=10 unchanged'!F196</f>
        <v>3696.2945087936532</v>
      </c>
      <c r="H196">
        <f>Portfolio!B$7*'CurrentPor-LH=10 unchanged'!J196</f>
        <v>2148.0998964419859</v>
      </c>
      <c r="I196">
        <f t="shared" ref="I196:I259" si="6">SUM(B196:H196)</f>
        <v>96528.810411240105</v>
      </c>
      <c r="J196">
        <f t="shared" si="5"/>
        <v>14.204144298288156</v>
      </c>
    </row>
    <row r="197" spans="1:10">
      <c r="A197" s="1">
        <v>45744</v>
      </c>
      <c r="B197">
        <f>(3/(1+('CurrentPor-LH=10 unchanged'!C197)/100)+103/POWER(1+('CurrentPor-LH=10 unchanged'!D197)/100,2))*100</f>
        <v>9707.5857774288397</v>
      </c>
      <c r="C197">
        <f>(3/(1+('CurrentPor-LH=10 unchanged'!C197+'CurrentPor-LH=10 unchanged'!G197)/100)+103/POWER(1+('CurrentPor-LH=10 unchanged'!D197+'CurrentPor-LH=10 unchanged'!G197)/100,2))*100</f>
        <v>9638.1314605737862</v>
      </c>
      <c r="D197">
        <f>(3/(1+('CurrentPor-LH=10 unchanged'!C197+'CurrentPor-LH=10 unchanged'!H197)/100)+103/POWER(1+('CurrentPor-LH=10 unchanged'!D197+'CurrentPor-LH=10 unchanged'!H197)/100,2))*100</f>
        <v>9598.4098553516797</v>
      </c>
      <c r="E197">
        <f>(3/(1+('CurrentPor-LH=10 unchanged'!C197+'CurrentPor-LH=10 unchanged'!I197)/100)+103/POWER(1+('CurrentPor-LH=10 unchanged'!D197+'CurrentPor-LH=10 unchanged'!I197)/100,2))*100</f>
        <v>9579.9611182409244</v>
      </c>
      <c r="F197">
        <f>Portfolio!B$5*'CurrentPor-LH=10 unchanged'!E197</f>
        <v>52143.895533915893</v>
      </c>
      <c r="G197">
        <f>Portfolio!B$6*'CurrentPor-LH=10 unchanged'!F197</f>
        <v>3696.2945087936532</v>
      </c>
      <c r="H197">
        <f>Portfolio!B$7*'CurrentPor-LH=10 unchanged'!J197</f>
        <v>2148.0998964419859</v>
      </c>
      <c r="I197">
        <f t="shared" si="6"/>
        <v>96512.378150746765</v>
      </c>
      <c r="J197">
        <f t="shared" si="5"/>
        <v>-8.3514457045821473</v>
      </c>
    </row>
    <row r="198" spans="1:10">
      <c r="A198" s="1">
        <v>45747</v>
      </c>
      <c r="B198">
        <f>(3/(1+('CurrentPor-LH=10 unchanged'!C198)/100)+103/POWER(1+('CurrentPor-LH=10 unchanged'!D198)/100,2))*100</f>
        <v>9707.5857774288397</v>
      </c>
      <c r="C198">
        <f>(3/(1+('CurrentPor-LH=10 unchanged'!C198+'CurrentPor-LH=10 unchanged'!G198)/100)+103/POWER(1+('CurrentPor-LH=10 unchanged'!D198+'CurrentPor-LH=10 unchanged'!G198)/100,2))*100</f>
        <v>9633.7586103368812</v>
      </c>
      <c r="D198">
        <f>(3/(1+('CurrentPor-LH=10 unchanged'!C198+'CurrentPor-LH=10 unchanged'!H198)/100)+103/POWER(1+('CurrentPor-LH=10 unchanged'!D198+'CurrentPor-LH=10 unchanged'!H198)/100,2))*100</f>
        <v>9613.8115361290984</v>
      </c>
      <c r="E198">
        <f>(3/(1+('CurrentPor-LH=10 unchanged'!C198+'CurrentPor-LH=10 unchanged'!I198)/100)+103/POWER(1+('CurrentPor-LH=10 unchanged'!D198+'CurrentPor-LH=10 unchanged'!I198)/100,2))*100</f>
        <v>9582.3862248828591</v>
      </c>
      <c r="F198">
        <f>Portfolio!B$5*'CurrentPor-LH=10 unchanged'!E198</f>
        <v>52143.895533915893</v>
      </c>
      <c r="G198">
        <f>Portfolio!B$6*'CurrentPor-LH=10 unchanged'!F198</f>
        <v>3696.2945087936532</v>
      </c>
      <c r="H198">
        <f>Portfolio!B$7*'CurrentPor-LH=10 unchanged'!J198</f>
        <v>2148.0998964419859</v>
      </c>
      <c r="I198">
        <f t="shared" si="6"/>
        <v>96525.8320879292</v>
      </c>
      <c r="J198">
        <f t="shared" si="5"/>
        <v>-27.314790424177772</v>
      </c>
    </row>
    <row r="199" spans="1:10">
      <c r="A199" s="1">
        <v>45748</v>
      </c>
      <c r="B199">
        <f>(3/(1+('CurrentPor-LH=10 unchanged'!C199)/100)+103/POWER(1+('CurrentPor-LH=10 unchanged'!D199)/100,2))*100</f>
        <v>9707.5857774288397</v>
      </c>
      <c r="C199">
        <f>(3/(1+('CurrentPor-LH=10 unchanged'!C199+'CurrentPor-LH=10 unchanged'!G199)/100)+103/POWER(1+('CurrentPor-LH=10 unchanged'!D199+'CurrentPor-LH=10 unchanged'!G199)/100,2))*100</f>
        <v>9642.0720964899192</v>
      </c>
      <c r="D199">
        <f>(3/(1+('CurrentPor-LH=10 unchanged'!C199+'CurrentPor-LH=10 unchanged'!H199)/100)+103/POWER(1+('CurrentPor-LH=10 unchanged'!D199+'CurrentPor-LH=10 unchanged'!H199)/100,2))*100</f>
        <v>9592.2905525057686</v>
      </c>
      <c r="E199">
        <f>(3/(1+('CurrentPor-LH=10 unchanged'!C199+'CurrentPor-LH=10 unchanged'!I199)/100)+103/POWER(1+('CurrentPor-LH=10 unchanged'!D199+'CurrentPor-LH=10 unchanged'!I199)/100,2))*100</f>
        <v>9579.8614289936904</v>
      </c>
      <c r="F199">
        <f>Portfolio!B$5*'CurrentPor-LH=10 unchanged'!E199</f>
        <v>52143.895533915893</v>
      </c>
      <c r="G199">
        <f>Portfolio!B$6*'CurrentPor-LH=10 unchanged'!F199</f>
        <v>3696.2945087936532</v>
      </c>
      <c r="H199">
        <f>Portfolio!B$7*'CurrentPor-LH=10 unchanged'!J199</f>
        <v>2148.0998964419859</v>
      </c>
      <c r="I199">
        <f t="shared" si="6"/>
        <v>96510.09979456976</v>
      </c>
      <c r="J199">
        <f t="shared" si="5"/>
        <v>1.0370752174931113</v>
      </c>
    </row>
    <row r="200" spans="1:10">
      <c r="A200" s="1">
        <v>45749</v>
      </c>
      <c r="B200">
        <f>(3/(1+('CurrentPor-LH=10 unchanged'!C200)/100)+103/POWER(1+('CurrentPor-LH=10 unchanged'!D200)/100,2))*100</f>
        <v>9707.5857774288397</v>
      </c>
      <c r="C200">
        <f>(3/(1+('CurrentPor-LH=10 unchanged'!C200+'CurrentPor-LH=10 unchanged'!G200)/100)+103/POWER(1+('CurrentPor-LH=10 unchanged'!D200+'CurrentPor-LH=10 unchanged'!G200)/100,2))*100</f>
        <v>9645.8054394874944</v>
      </c>
      <c r="D200">
        <f>(3/(1+('CurrentPor-LH=10 unchanged'!C200+'CurrentPor-LH=10 unchanged'!H200)/100)+103/POWER(1+('CurrentPor-LH=10 unchanged'!D200+'CurrentPor-LH=10 unchanged'!H200)/100,2))*100</f>
        <v>9585.3384234862369</v>
      </c>
      <c r="E200">
        <f>(3/(1+('CurrentPor-LH=10 unchanged'!C200+'CurrentPor-LH=10 unchanged'!I200)/100)+103/POWER(1+('CurrentPor-LH=10 unchanged'!D200+'CurrentPor-LH=10 unchanged'!I200)/100,2))*100</f>
        <v>9578.9470947184327</v>
      </c>
      <c r="F200">
        <f>Portfolio!B$5*'CurrentPor-LH=10 unchanged'!E200</f>
        <v>52143.895533915893</v>
      </c>
      <c r="G200">
        <f>Portfolio!B$6*'CurrentPor-LH=10 unchanged'!F200</f>
        <v>3696.2945087936532</v>
      </c>
      <c r="H200">
        <f>Portfolio!B$7*'CurrentPor-LH=10 unchanged'!J200</f>
        <v>2148.0998964419859</v>
      </c>
      <c r="I200">
        <f t="shared" si="6"/>
        <v>96505.966674272539</v>
      </c>
      <c r="J200">
        <f t="shared" si="5"/>
        <v>-31.950930951876217</v>
      </c>
    </row>
    <row r="201" spans="1:10">
      <c r="A201" s="1">
        <v>45750</v>
      </c>
      <c r="B201">
        <f>(3/(1+('CurrentPor-LH=10 unchanged'!C201)/100)+103/POWER(1+('CurrentPor-LH=10 unchanged'!D201)/100,2))*100</f>
        <v>9707.5857774288397</v>
      </c>
      <c r="C201">
        <f>(3/(1+('CurrentPor-LH=10 unchanged'!C201+'CurrentPor-LH=10 unchanged'!G201)/100)+103/POWER(1+('CurrentPor-LH=10 unchanged'!D201+'CurrentPor-LH=10 unchanged'!G201)/100,2))*100</f>
        <v>9649.9902804390349</v>
      </c>
      <c r="D201">
        <f>(3/(1+('CurrentPor-LH=10 unchanged'!C201+'CurrentPor-LH=10 unchanged'!H201)/100)+103/POWER(1+('CurrentPor-LH=10 unchanged'!D201+'CurrentPor-LH=10 unchanged'!H201)/100,2))*100</f>
        <v>9604.6807048775063</v>
      </c>
      <c r="E201">
        <f>(3/(1+('CurrentPor-LH=10 unchanged'!C201+'CurrentPor-LH=10 unchanged'!I201)/100)+103/POWER(1+('CurrentPor-LH=10 unchanged'!D201+'CurrentPor-LH=10 unchanged'!I201)/100,2))*100</f>
        <v>9580.5931539777375</v>
      </c>
      <c r="F201">
        <f>Portfolio!B$5*'CurrentPor-LH=10 unchanged'!E201</f>
        <v>52143.895533915893</v>
      </c>
      <c r="G201">
        <f>Portfolio!B$6*'CurrentPor-LH=10 unchanged'!F201</f>
        <v>3696.2945087936532</v>
      </c>
      <c r="H201">
        <f>Portfolio!B$7*'CurrentPor-LH=10 unchanged'!J201</f>
        <v>2148.0998964419859</v>
      </c>
      <c r="I201">
        <f t="shared" si="6"/>
        <v>96531.139855874659</v>
      </c>
      <c r="J201">
        <f t="shared" si="5"/>
        <v>-16.159758620604407</v>
      </c>
    </row>
    <row r="202" spans="1:10">
      <c r="A202" s="1">
        <v>45751</v>
      </c>
      <c r="B202">
        <f>(3/(1+('CurrentPor-LH=10 unchanged'!C202)/100)+103/POWER(1+('CurrentPor-LH=10 unchanged'!D202)/100,2))*100</f>
        <v>9707.5857774288397</v>
      </c>
      <c r="C202">
        <f>(3/(1+('CurrentPor-LH=10 unchanged'!C202+'CurrentPor-LH=10 unchanged'!G202)/100)+103/POWER(1+('CurrentPor-LH=10 unchanged'!D202+'CurrentPor-LH=10 unchanged'!G202)/100,2))*100</f>
        <v>9655.200658732052</v>
      </c>
      <c r="D202">
        <f>(3/(1+('CurrentPor-LH=10 unchanged'!C202+'CurrentPor-LH=10 unchanged'!H202)/100)+103/POWER(1+('CurrentPor-LH=10 unchanged'!D202+'CurrentPor-LH=10 unchanged'!H202)/100,2))*100</f>
        <v>9594.4475817672246</v>
      </c>
      <c r="E202">
        <f>(3/(1+('CurrentPor-LH=10 unchanged'!C202+'CurrentPor-LH=10 unchanged'!I202)/100)+103/POWER(1+('CurrentPor-LH=10 unchanged'!D202+'CurrentPor-LH=10 unchanged'!I202)/100,2))*100</f>
        <v>9579.580617643187</v>
      </c>
      <c r="F202">
        <f>Portfolio!B$5*'CurrentPor-LH=10 unchanged'!E202</f>
        <v>52143.895533915893</v>
      </c>
      <c r="G202">
        <f>Portfolio!B$6*'CurrentPor-LH=10 unchanged'!F202</f>
        <v>3696.2945087936532</v>
      </c>
      <c r="H202">
        <f>Portfolio!B$7*'CurrentPor-LH=10 unchanged'!J202</f>
        <v>2148.0998964419859</v>
      </c>
      <c r="I202">
        <f t="shared" si="6"/>
        <v>96525.104574722835</v>
      </c>
      <c r="J202">
        <f t="shared" si="5"/>
        <v>3.6261565551685635</v>
      </c>
    </row>
    <row r="203" spans="1:10">
      <c r="A203" s="1">
        <v>45754</v>
      </c>
      <c r="B203">
        <f>(3/(1+('CurrentPor-LH=10 unchanged'!C203)/100)+103/POWER(1+('CurrentPor-LH=10 unchanged'!D203)/100,2))*100</f>
        <v>9707.5857774288397</v>
      </c>
      <c r="C203">
        <f>(3/(1+('CurrentPor-LH=10 unchanged'!C203+'CurrentPor-LH=10 unchanged'!G203)/100)+103/POWER(1+('CurrentPor-LH=10 unchanged'!D203+'CurrentPor-LH=10 unchanged'!G203)/100,2))*100</f>
        <v>9647.4124356729208</v>
      </c>
      <c r="D203">
        <f>(3/(1+('CurrentPor-LH=10 unchanged'!C203+'CurrentPor-LH=10 unchanged'!H203)/100)+103/POWER(1+('CurrentPor-LH=10 unchanged'!D203+'CurrentPor-LH=10 unchanged'!H203)/100,2))*100</f>
        <v>9592.1545286175424</v>
      </c>
      <c r="E203">
        <f>(3/(1+('CurrentPor-LH=10 unchanged'!C203+'CurrentPor-LH=10 unchanged'!I203)/100)+103/POWER(1+('CurrentPor-LH=10 unchanged'!D203+'CurrentPor-LH=10 unchanged'!I203)/100,2))*100</f>
        <v>9580.0890355199026</v>
      </c>
      <c r="F203">
        <f>Portfolio!B$5*'CurrentPor-LH=10 unchanged'!E203</f>
        <v>52143.895533915893</v>
      </c>
      <c r="G203">
        <f>Portfolio!B$6*'CurrentPor-LH=10 unchanged'!F203</f>
        <v>3696.2945087936532</v>
      </c>
      <c r="H203">
        <f>Portfolio!B$7*'CurrentPor-LH=10 unchanged'!J203</f>
        <v>2148.0998964419859</v>
      </c>
      <c r="I203">
        <f t="shared" si="6"/>
        <v>96515.531716390731</v>
      </c>
      <c r="J203">
        <f t="shared" si="5"/>
        <v>-9.8663597529521212</v>
      </c>
    </row>
    <row r="204" spans="1:10">
      <c r="A204" s="1">
        <v>45755</v>
      </c>
      <c r="B204">
        <f>(3/(1+('CurrentPor-LH=10 unchanged'!C204)/100)+103/POWER(1+('CurrentPor-LH=10 unchanged'!D204)/100,2))*100</f>
        <v>9707.5857774288397</v>
      </c>
      <c r="C204">
        <f>(3/(1+('CurrentPor-LH=10 unchanged'!C204+'CurrentPor-LH=10 unchanged'!G204)/100)+103/POWER(1+('CurrentPor-LH=10 unchanged'!D204+'CurrentPor-LH=10 unchanged'!G204)/100,2))*100</f>
        <v>9654.5198898354465</v>
      </c>
      <c r="D204">
        <f>(3/(1+('CurrentPor-LH=10 unchanged'!C204+'CurrentPor-LH=10 unchanged'!H204)/100)+103/POWER(1+('CurrentPor-LH=10 unchanged'!D204+'CurrentPor-LH=10 unchanged'!H204)/100,2))*100</f>
        <v>9602.2104434592766</v>
      </c>
      <c r="E204">
        <f>(3/(1+('CurrentPor-LH=10 unchanged'!C204+'CurrentPor-LH=10 unchanged'!I204)/100)+103/POWER(1+('CurrentPor-LH=10 unchanged'!D204+'CurrentPor-LH=10 unchanged'!I204)/100,2))*100</f>
        <v>9577.4744915782867</v>
      </c>
      <c r="F204">
        <f>Portfolio!B$5*'CurrentPor-LH=10 unchanged'!E204</f>
        <v>52143.895533915893</v>
      </c>
      <c r="G204">
        <f>Portfolio!B$6*'CurrentPor-LH=10 unchanged'!F204</f>
        <v>3696.2945087936532</v>
      </c>
      <c r="H204">
        <f>Portfolio!B$7*'CurrentPor-LH=10 unchanged'!J204</f>
        <v>2148.0998964419859</v>
      </c>
      <c r="I204">
        <f t="shared" si="6"/>
        <v>96530.080541453382</v>
      </c>
      <c r="J204">
        <f t="shared" si="5"/>
        <v>-1.8316981683747144</v>
      </c>
    </row>
    <row r="205" spans="1:10">
      <c r="A205" s="1">
        <v>45756</v>
      </c>
      <c r="B205">
        <f>(3/(1+('CurrentPor-LH=10 unchanged'!C205)/100)+103/POWER(1+('CurrentPor-LH=10 unchanged'!D205)/100,2))*100</f>
        <v>9707.5857774288397</v>
      </c>
      <c r="C205">
        <f>(3/(1+('CurrentPor-LH=10 unchanged'!C205+'CurrentPor-LH=10 unchanged'!G205)/100)+103/POWER(1+('CurrentPor-LH=10 unchanged'!D205+'CurrentPor-LH=10 unchanged'!G205)/100,2))*100</f>
        <v>9646.6206418266629</v>
      </c>
      <c r="D205">
        <f>(3/(1+('CurrentPor-LH=10 unchanged'!C205+'CurrentPor-LH=10 unchanged'!H205)/100)+103/POWER(1+('CurrentPor-LH=10 unchanged'!D205+'CurrentPor-LH=10 unchanged'!H205)/100,2))*100</f>
        <v>9575.6895528802452</v>
      </c>
      <c r="E205">
        <f>(3/(1+('CurrentPor-LH=10 unchanged'!C205+'CurrentPor-LH=10 unchanged'!I205)/100)+103/POWER(1+('CurrentPor-LH=10 unchanged'!D205+'CurrentPor-LH=10 unchanged'!I205)/100,2))*100</f>
        <v>9579.3318572727694</v>
      </c>
      <c r="F205">
        <f>Portfolio!B$5*'CurrentPor-LH=10 unchanged'!E205</f>
        <v>52143.895533915893</v>
      </c>
      <c r="G205">
        <f>Portfolio!B$6*'CurrentPor-LH=10 unchanged'!F205</f>
        <v>3696.2945087936532</v>
      </c>
      <c r="H205">
        <f>Portfolio!B$7*'CurrentPor-LH=10 unchanged'!J205</f>
        <v>2148.0998964419859</v>
      </c>
      <c r="I205">
        <f t="shared" si="6"/>
        <v>96497.51776856005</v>
      </c>
      <c r="J205">
        <f t="shared" si="5"/>
        <v>-23.523254289117176</v>
      </c>
    </row>
    <row r="206" spans="1:10">
      <c r="A206" s="1">
        <v>45757</v>
      </c>
      <c r="B206">
        <f>(3/(1+('CurrentPor-LH=10 unchanged'!C206)/100)+103/POWER(1+('CurrentPor-LH=10 unchanged'!D206)/100,2))*100</f>
        <v>9707.5857774288397</v>
      </c>
      <c r="C206">
        <f>(3/(1+('CurrentPor-LH=10 unchanged'!C206+'CurrentPor-LH=10 unchanged'!G206)/100)+103/POWER(1+('CurrentPor-LH=10 unchanged'!D206+'CurrentPor-LH=10 unchanged'!G206)/100,2))*100</f>
        <v>9634.7033366477299</v>
      </c>
      <c r="D206">
        <f>(3/(1+('CurrentPor-LH=10 unchanged'!C206+'CurrentPor-LH=10 unchanged'!H206)/100)+103/POWER(1+('CurrentPor-LH=10 unchanged'!D206+'CurrentPor-LH=10 unchanged'!H206)/100,2))*100</f>
        <v>9599.1470407770994</v>
      </c>
      <c r="E206">
        <f>(3/(1+('CurrentPor-LH=10 unchanged'!C206+'CurrentPor-LH=10 unchanged'!I206)/100)+103/POWER(1+('CurrentPor-LH=10 unchanged'!D206+'CurrentPor-LH=10 unchanged'!I206)/100,2))*100</f>
        <v>9579.8326749195712</v>
      </c>
      <c r="F206">
        <f>Portfolio!B$5*'CurrentPor-LH=10 unchanged'!E206</f>
        <v>52143.895533915893</v>
      </c>
      <c r="G206">
        <f>Portfolio!B$6*'CurrentPor-LH=10 unchanged'!F206</f>
        <v>3696.2945087936532</v>
      </c>
      <c r="H206">
        <f>Portfolio!B$7*'CurrentPor-LH=10 unchanged'!J206</f>
        <v>2148.0998964419859</v>
      </c>
      <c r="I206">
        <f t="shared" si="6"/>
        <v>96509.558768924777</v>
      </c>
      <c r="J206">
        <f t="shared" ref="J206:J263" si="7">I206-I196</f>
        <v>-19.251642315328354</v>
      </c>
    </row>
    <row r="207" spans="1:10">
      <c r="A207" s="1">
        <v>45758</v>
      </c>
      <c r="B207">
        <f>(3/(1+('CurrentPor-LH=10 unchanged'!C207)/100)+103/POWER(1+('CurrentPor-LH=10 unchanged'!D207)/100,2))*100</f>
        <v>9707.5857774288397</v>
      </c>
      <c r="C207">
        <f>(3/(1+('CurrentPor-LH=10 unchanged'!C207+'CurrentPor-LH=10 unchanged'!G207)/100)+103/POWER(1+('CurrentPor-LH=10 unchanged'!D207+'CurrentPor-LH=10 unchanged'!G207)/100,2))*100</f>
        <v>9647.1932491235348</v>
      </c>
      <c r="D207">
        <f>(3/(1+('CurrentPor-LH=10 unchanged'!C207+'CurrentPor-LH=10 unchanged'!H207)/100)+103/POWER(1+('CurrentPor-LH=10 unchanged'!D207+'CurrentPor-LH=10 unchanged'!H207)/100,2))*100</f>
        <v>9608.8092282369835</v>
      </c>
      <c r="E207">
        <f>(3/(1+('CurrentPor-LH=10 unchanged'!C207+'CurrentPor-LH=10 unchanged'!I207)/100)+103/POWER(1+('CurrentPor-LH=10 unchanged'!D207+'CurrentPor-LH=10 unchanged'!I207)/100,2))*100</f>
        <v>9580.4885829514042</v>
      </c>
      <c r="F207">
        <f>Portfolio!B$5*'CurrentPor-LH=10 unchanged'!E207</f>
        <v>52143.895533915893</v>
      </c>
      <c r="G207">
        <f>Portfolio!B$6*'CurrentPor-LH=10 unchanged'!F207</f>
        <v>3696.2945087936532</v>
      </c>
      <c r="H207">
        <f>Portfolio!B$7*'CurrentPor-LH=10 unchanged'!J207</f>
        <v>2148.0998964419859</v>
      </c>
      <c r="I207">
        <f t="shared" si="6"/>
        <v>96532.36677689229</v>
      </c>
      <c r="J207">
        <f t="shared" si="7"/>
        <v>19.988626145524904</v>
      </c>
    </row>
    <row r="208" spans="1:10">
      <c r="A208" s="1">
        <v>45761</v>
      </c>
      <c r="B208">
        <f>(3/(1+('CurrentPor-LH=10 unchanged'!C208)/100)+103/POWER(1+('CurrentPor-LH=10 unchanged'!D208)/100,2))*100</f>
        <v>9707.5857774288397</v>
      </c>
      <c r="C208">
        <f>(3/(1+('CurrentPor-LH=10 unchanged'!C208+'CurrentPor-LH=10 unchanged'!G208)/100)+103/POWER(1+('CurrentPor-LH=10 unchanged'!D208+'CurrentPor-LH=10 unchanged'!G208)/100,2))*100</f>
        <v>9633.4368832101572</v>
      </c>
      <c r="D208">
        <f>(3/(1+('CurrentPor-LH=10 unchanged'!C208+'CurrentPor-LH=10 unchanged'!H208)/100)+103/POWER(1+('CurrentPor-LH=10 unchanged'!D208+'CurrentPor-LH=10 unchanged'!H208)/100,2))*100</f>
        <v>9587.2812008711026</v>
      </c>
      <c r="E208">
        <f>(3/(1+('CurrentPor-LH=10 unchanged'!C208+'CurrentPor-LH=10 unchanged'!I208)/100)+103/POWER(1+('CurrentPor-LH=10 unchanged'!D208+'CurrentPor-LH=10 unchanged'!I208)/100,2))*100</f>
        <v>9582.2911040117997</v>
      </c>
      <c r="F208">
        <f>Portfolio!B$5*'CurrentPor-LH=10 unchanged'!E208</f>
        <v>52143.895533915893</v>
      </c>
      <c r="G208">
        <f>Portfolio!B$6*'CurrentPor-LH=10 unchanged'!F208</f>
        <v>3696.2945087936532</v>
      </c>
      <c r="H208">
        <f>Portfolio!B$7*'CurrentPor-LH=10 unchanged'!J208</f>
        <v>2148.0998964419859</v>
      </c>
      <c r="I208">
        <f t="shared" si="6"/>
        <v>96498.884904673425</v>
      </c>
      <c r="J208">
        <f t="shared" si="7"/>
        <v>-26.947183255775599</v>
      </c>
    </row>
    <row r="209" spans="1:10">
      <c r="A209" s="1">
        <v>45762</v>
      </c>
      <c r="B209">
        <f>(3/(1+('CurrentPor-LH=10 unchanged'!C209)/100)+103/POWER(1+('CurrentPor-LH=10 unchanged'!D209)/100,2))*100</f>
        <v>9707.5857774288397</v>
      </c>
      <c r="C209">
        <f>(3/(1+('CurrentPor-LH=10 unchanged'!C209+'CurrentPor-LH=10 unchanged'!G209)/100)+103/POWER(1+('CurrentPor-LH=10 unchanged'!D209+'CurrentPor-LH=10 unchanged'!G209)/100,2))*100</f>
        <v>9649.8047479716624</v>
      </c>
      <c r="D209">
        <f>(3/(1+('CurrentPor-LH=10 unchanged'!C209+'CurrentPor-LH=10 unchanged'!H209)/100)+103/POWER(1+('CurrentPor-LH=10 unchanged'!D209+'CurrentPor-LH=10 unchanged'!H209)/100,2))*100</f>
        <v>9597.2389014352339</v>
      </c>
      <c r="E209">
        <f>(3/(1+('CurrentPor-LH=10 unchanged'!C209+'CurrentPor-LH=10 unchanged'!I209)/100)+103/POWER(1+('CurrentPor-LH=10 unchanged'!D209+'CurrentPor-LH=10 unchanged'!I209)/100,2))*100</f>
        <v>9582.2866714527445</v>
      </c>
      <c r="F209">
        <f>Portfolio!B$5*'CurrentPor-LH=10 unchanged'!E209</f>
        <v>52143.895533915893</v>
      </c>
      <c r="G209">
        <f>Portfolio!B$6*'CurrentPor-LH=10 unchanged'!F209</f>
        <v>3696.2945087936532</v>
      </c>
      <c r="H209">
        <f>Portfolio!B$7*'CurrentPor-LH=10 unchanged'!J209</f>
        <v>2148.0998964419859</v>
      </c>
      <c r="I209">
        <f t="shared" si="6"/>
        <v>96525.206037440003</v>
      </c>
      <c r="J209">
        <f t="shared" si="7"/>
        <v>15.106242870242568</v>
      </c>
    </row>
    <row r="210" spans="1:10">
      <c r="A210" s="1">
        <v>45763</v>
      </c>
      <c r="B210">
        <f>(3/(1+('CurrentPor-LH=10 unchanged'!C210)/100)+103/POWER(1+('CurrentPor-LH=10 unchanged'!D210)/100,2))*100</f>
        <v>9707.5857774288397</v>
      </c>
      <c r="C210">
        <f>(3/(1+('CurrentPor-LH=10 unchanged'!C210+'CurrentPor-LH=10 unchanged'!G210)/100)+103/POWER(1+('CurrentPor-LH=10 unchanged'!D210+'CurrentPor-LH=10 unchanged'!G210)/100,2))*100</f>
        <v>9643.9979123927151</v>
      </c>
      <c r="D210">
        <f>(3/(1+('CurrentPor-LH=10 unchanged'!C210+'CurrentPor-LH=10 unchanged'!H210)/100)+103/POWER(1+('CurrentPor-LH=10 unchanged'!D210+'CurrentPor-LH=10 unchanged'!H210)/100,2))*100</f>
        <v>9609.2692128664075</v>
      </c>
      <c r="E210">
        <f>(3/(1+('CurrentPor-LH=10 unchanged'!C210+'CurrentPor-LH=10 unchanged'!I210)/100)+103/POWER(1+('CurrentPor-LH=10 unchanged'!D210+'CurrentPor-LH=10 unchanged'!I210)/100,2))*100</f>
        <v>9580.4366410927123</v>
      </c>
      <c r="F210">
        <f>Portfolio!B$5*'CurrentPor-LH=10 unchanged'!E210</f>
        <v>52143.895533915893</v>
      </c>
      <c r="G210">
        <f>Portfolio!B$6*'CurrentPor-LH=10 unchanged'!F210</f>
        <v>3696.2945087936532</v>
      </c>
      <c r="H210">
        <f>Portfolio!B$7*'CurrentPor-LH=10 unchanged'!J210</f>
        <v>2148.0998964419859</v>
      </c>
      <c r="I210">
        <f t="shared" si="6"/>
        <v>96529.579482932211</v>
      </c>
      <c r="J210">
        <f t="shared" si="7"/>
        <v>23.612808659672737</v>
      </c>
    </row>
    <row r="211" spans="1:10">
      <c r="A211" s="1">
        <v>45764</v>
      </c>
      <c r="B211">
        <f>(3/(1+('CurrentPor-LH=10 unchanged'!C211)/100)+103/POWER(1+('CurrentPor-LH=10 unchanged'!D211)/100,2))*100</f>
        <v>9707.5857774288397</v>
      </c>
      <c r="C211">
        <f>(3/(1+('CurrentPor-LH=10 unchanged'!C211+'CurrentPor-LH=10 unchanged'!G211)/100)+103/POWER(1+('CurrentPor-LH=10 unchanged'!D211+'CurrentPor-LH=10 unchanged'!G211)/100,2))*100</f>
        <v>9639.9980040705886</v>
      </c>
      <c r="D211">
        <f>(3/(1+('CurrentPor-LH=10 unchanged'!C211+'CurrentPor-LH=10 unchanged'!H211)/100)+103/POWER(1+('CurrentPor-LH=10 unchanged'!D211+'CurrentPor-LH=10 unchanged'!H211)/100,2))*100</f>
        <v>9607.2616685294888</v>
      </c>
      <c r="E211">
        <f>(3/(1+('CurrentPor-LH=10 unchanged'!C211+'CurrentPor-LH=10 unchanged'!I211)/100)+103/POWER(1+('CurrentPor-LH=10 unchanged'!D211+'CurrentPor-LH=10 unchanged'!I211)/100,2))*100</f>
        <v>9580.8447310471183</v>
      </c>
      <c r="F211">
        <f>Portfolio!B$5*'CurrentPor-LH=10 unchanged'!E211</f>
        <v>52143.895533915893</v>
      </c>
      <c r="G211">
        <f>Portfolio!B$6*'CurrentPor-LH=10 unchanged'!F211</f>
        <v>3696.2945087936532</v>
      </c>
      <c r="H211">
        <f>Portfolio!B$7*'CurrentPor-LH=10 unchanged'!J211</f>
        <v>2148.0998964419859</v>
      </c>
      <c r="I211">
        <f t="shared" si="6"/>
        <v>96523.98012022757</v>
      </c>
      <c r="J211">
        <f t="shared" si="7"/>
        <v>-7.1597356470883824</v>
      </c>
    </row>
    <row r="212" spans="1:10">
      <c r="A212" s="1">
        <v>45765</v>
      </c>
      <c r="B212">
        <f>(3/(1+('CurrentPor-LH=10 unchanged'!C212)/100)+103/POWER(1+('CurrentPor-LH=10 unchanged'!D212)/100,2))*100</f>
        <v>9707.5857774288397</v>
      </c>
      <c r="C212">
        <f>(3/(1+('CurrentPor-LH=10 unchanged'!C212+'CurrentPor-LH=10 unchanged'!G212)/100)+103/POWER(1+('CurrentPor-LH=10 unchanged'!D212+'CurrentPor-LH=10 unchanged'!G212)/100,2))*100</f>
        <v>9639.5034991930734</v>
      </c>
      <c r="D212">
        <f>(3/(1+('CurrentPor-LH=10 unchanged'!C212+'CurrentPor-LH=10 unchanged'!H212)/100)+103/POWER(1+('CurrentPor-LH=10 unchanged'!D212+'CurrentPor-LH=10 unchanged'!H212)/100,2))*100</f>
        <v>9598.8375028257615</v>
      </c>
      <c r="E212">
        <f>(3/(1+('CurrentPor-LH=10 unchanged'!C212+'CurrentPor-LH=10 unchanged'!I212)/100)+103/POWER(1+('CurrentPor-LH=10 unchanged'!D212+'CurrentPor-LH=10 unchanged'!I212)/100,2))*100</f>
        <v>9579.5132129173362</v>
      </c>
      <c r="F212">
        <f>Portfolio!B$5*'CurrentPor-LH=10 unchanged'!E212</f>
        <v>52143.895533915893</v>
      </c>
      <c r="G212">
        <f>Portfolio!B$6*'CurrentPor-LH=10 unchanged'!F212</f>
        <v>3696.2945087936532</v>
      </c>
      <c r="H212">
        <f>Portfolio!B$7*'CurrentPor-LH=10 unchanged'!J212</f>
        <v>2148.0998964419859</v>
      </c>
      <c r="I212">
        <f t="shared" si="6"/>
        <v>96513.729931516529</v>
      </c>
      <c r="J212">
        <f t="shared" si="7"/>
        <v>-11.374643206305336</v>
      </c>
    </row>
    <row r="213" spans="1:10">
      <c r="A213" s="1">
        <v>45768</v>
      </c>
      <c r="B213">
        <f>(3/(1+('CurrentPor-LH=10 unchanged'!C213)/100)+103/POWER(1+('CurrentPor-LH=10 unchanged'!D213)/100,2))*100</f>
        <v>9707.5857774288397</v>
      </c>
      <c r="C213">
        <f>(3/(1+('CurrentPor-LH=10 unchanged'!C213+'CurrentPor-LH=10 unchanged'!G213)/100)+103/POWER(1+('CurrentPor-LH=10 unchanged'!D213+'CurrentPor-LH=10 unchanged'!G213)/100,2))*100</f>
        <v>9642.0509443110041</v>
      </c>
      <c r="D213">
        <f>(3/(1+('CurrentPor-LH=10 unchanged'!C213+'CurrentPor-LH=10 unchanged'!H213)/100)+103/POWER(1+('CurrentPor-LH=10 unchanged'!D213+'CurrentPor-LH=10 unchanged'!H213)/100,2))*100</f>
        <v>9605.445928657351</v>
      </c>
      <c r="E213">
        <f>(3/(1+('CurrentPor-LH=10 unchanged'!C213+'CurrentPor-LH=10 unchanged'!I213)/100)+103/POWER(1+('CurrentPor-LH=10 unchanged'!D213+'CurrentPor-LH=10 unchanged'!I213)/100,2))*100</f>
        <v>9580.0160112982776</v>
      </c>
      <c r="F213">
        <f>Portfolio!B$5*'CurrentPor-LH=10 unchanged'!E213</f>
        <v>52143.895533915893</v>
      </c>
      <c r="G213">
        <f>Portfolio!B$6*'CurrentPor-LH=10 unchanged'!F213</f>
        <v>3696.2945087936532</v>
      </c>
      <c r="H213">
        <f>Portfolio!B$7*'CurrentPor-LH=10 unchanged'!J213</f>
        <v>2148.0998964419859</v>
      </c>
      <c r="I213">
        <f t="shared" si="6"/>
        <v>96523.388600847</v>
      </c>
      <c r="J213">
        <f t="shared" si="7"/>
        <v>7.8568844562687445</v>
      </c>
    </row>
    <row r="214" spans="1:10">
      <c r="A214" s="1">
        <v>45769</v>
      </c>
      <c r="B214">
        <f>(3/(1+('CurrentPor-LH=10 unchanged'!C214)/100)+103/POWER(1+('CurrentPor-LH=10 unchanged'!D214)/100,2))*100</f>
        <v>9707.5857774288397</v>
      </c>
      <c r="C214">
        <f>(3/(1+('CurrentPor-LH=10 unchanged'!C214+'CurrentPor-LH=10 unchanged'!G214)/100)+103/POWER(1+('CurrentPor-LH=10 unchanged'!D214+'CurrentPor-LH=10 unchanged'!G214)/100,2))*100</f>
        <v>9652.6575591464825</v>
      </c>
      <c r="D214">
        <f>(3/(1+('CurrentPor-LH=10 unchanged'!C214+'CurrentPor-LH=10 unchanged'!H214)/100)+103/POWER(1+('CurrentPor-LH=10 unchanged'!D214+'CurrentPor-LH=10 unchanged'!H214)/100,2))*100</f>
        <v>9612.6754825690132</v>
      </c>
      <c r="E214">
        <f>(3/(1+('CurrentPor-LH=10 unchanged'!C214+'CurrentPor-LH=10 unchanged'!I214)/100)+103/POWER(1+('CurrentPor-LH=10 unchanged'!D214+'CurrentPor-LH=10 unchanged'!I214)/100,2))*100</f>
        <v>9580.6461702907818</v>
      </c>
      <c r="F214">
        <f>Portfolio!B$5*'CurrentPor-LH=10 unchanged'!E214</f>
        <v>52143.895533915893</v>
      </c>
      <c r="G214">
        <f>Portfolio!B$6*'CurrentPor-LH=10 unchanged'!F214</f>
        <v>3696.2945087936532</v>
      </c>
      <c r="H214">
        <f>Portfolio!B$7*'CurrentPor-LH=10 unchanged'!J214</f>
        <v>2148.0998964419859</v>
      </c>
      <c r="I214">
        <f t="shared" si="6"/>
        <v>96541.854928586647</v>
      </c>
      <c r="J214">
        <f t="shared" si="7"/>
        <v>11.774387133264099</v>
      </c>
    </row>
    <row r="215" spans="1:10">
      <c r="A215" s="1">
        <v>45770</v>
      </c>
      <c r="B215">
        <f>(3/(1+('CurrentPor-LH=10 unchanged'!C215)/100)+103/POWER(1+('CurrentPor-LH=10 unchanged'!D215)/100,2))*100</f>
        <v>9707.5857774288397</v>
      </c>
      <c r="C215">
        <f>(3/(1+('CurrentPor-LH=10 unchanged'!C215+'CurrentPor-LH=10 unchanged'!G215)/100)+103/POWER(1+('CurrentPor-LH=10 unchanged'!D215+'CurrentPor-LH=10 unchanged'!G215)/100,2))*100</f>
        <v>9644.5302009398765</v>
      </c>
      <c r="D215">
        <f>(3/(1+('CurrentPor-LH=10 unchanged'!C215+'CurrentPor-LH=10 unchanged'!H215)/100)+103/POWER(1+('CurrentPor-LH=10 unchanged'!D215+'CurrentPor-LH=10 unchanged'!H215)/100,2))*100</f>
        <v>9591.0603875672477</v>
      </c>
      <c r="E215">
        <f>(3/(1+('CurrentPor-LH=10 unchanged'!C215+'CurrentPor-LH=10 unchanged'!I215)/100)+103/POWER(1+('CurrentPor-LH=10 unchanged'!D215+'CurrentPor-LH=10 unchanged'!I215)/100,2))*100</f>
        <v>9581.1060732120277</v>
      </c>
      <c r="F215">
        <f>Portfolio!B$5*'CurrentPor-LH=10 unchanged'!E215</f>
        <v>52143.895533915893</v>
      </c>
      <c r="G215">
        <f>Portfolio!B$6*'CurrentPor-LH=10 unchanged'!F215</f>
        <v>3696.2945087936532</v>
      </c>
      <c r="H215">
        <f>Portfolio!B$7*'CurrentPor-LH=10 unchanged'!J215</f>
        <v>2148.0998964419859</v>
      </c>
      <c r="I215">
        <f t="shared" si="6"/>
        <v>96512.572378299534</v>
      </c>
      <c r="J215">
        <f t="shared" si="7"/>
        <v>15.054609739483567</v>
      </c>
    </row>
    <row r="216" spans="1:10">
      <c r="A216" s="1">
        <v>45771</v>
      </c>
      <c r="B216">
        <f>(3/(1+('CurrentPor-LH=10 unchanged'!C216)/100)+103/POWER(1+('CurrentPor-LH=10 unchanged'!D216)/100,2))*100</f>
        <v>9707.5857774288397</v>
      </c>
      <c r="C216">
        <f>(3/(1+('CurrentPor-LH=10 unchanged'!C216+'CurrentPor-LH=10 unchanged'!G216)/100)+103/POWER(1+('CurrentPor-LH=10 unchanged'!D216+'CurrentPor-LH=10 unchanged'!G216)/100,2))*100</f>
        <v>9626.1882367315247</v>
      </c>
      <c r="D216">
        <f>(3/(1+('CurrentPor-LH=10 unchanged'!C216+'CurrentPor-LH=10 unchanged'!H216)/100)+103/POWER(1+('CurrentPor-LH=10 unchanged'!D216+'CurrentPor-LH=10 unchanged'!H216)/100,2))*100</f>
        <v>9613.7113936162423</v>
      </c>
      <c r="E216">
        <f>(3/(1+('CurrentPor-LH=10 unchanged'!C216+'CurrentPor-LH=10 unchanged'!I216)/100)+103/POWER(1+('CurrentPor-LH=10 unchanged'!D216+'CurrentPor-LH=10 unchanged'!I216)/100,2))*100</f>
        <v>9579.9643646704317</v>
      </c>
      <c r="F216">
        <f>Portfolio!B$5*'CurrentPor-LH=10 unchanged'!E216</f>
        <v>52143.895533915893</v>
      </c>
      <c r="G216">
        <f>Portfolio!B$6*'CurrentPor-LH=10 unchanged'!F216</f>
        <v>3696.2945087936532</v>
      </c>
      <c r="H216">
        <f>Portfolio!B$7*'CurrentPor-LH=10 unchanged'!J216</f>
        <v>2148.0998964419859</v>
      </c>
      <c r="I216">
        <f t="shared" si="6"/>
        <v>96515.739711598566</v>
      </c>
      <c r="J216">
        <f t="shared" si="7"/>
        <v>6.1809426737891044</v>
      </c>
    </row>
    <row r="217" spans="1:10">
      <c r="A217" s="1">
        <v>45772</v>
      </c>
      <c r="B217">
        <f>(3/(1+('CurrentPor-LH=10 unchanged'!C217)/100)+103/POWER(1+('CurrentPor-LH=10 unchanged'!D217)/100,2))*100</f>
        <v>9707.5857774288397</v>
      </c>
      <c r="C217">
        <f>(3/(1+('CurrentPor-LH=10 unchanged'!C217+'CurrentPor-LH=10 unchanged'!G217)/100)+103/POWER(1+('CurrentPor-LH=10 unchanged'!D217+'CurrentPor-LH=10 unchanged'!G217)/100,2))*100</f>
        <v>9641.8705028039603</v>
      </c>
      <c r="D217">
        <f>(3/(1+('CurrentPor-LH=10 unchanged'!C217+'CurrentPor-LH=10 unchanged'!H217)/100)+103/POWER(1+('CurrentPor-LH=10 unchanged'!D217+'CurrentPor-LH=10 unchanged'!H217)/100,2))*100</f>
        <v>9594.564727189756</v>
      </c>
      <c r="E217">
        <f>(3/(1+('CurrentPor-LH=10 unchanged'!C217+'CurrentPor-LH=10 unchanged'!I217)/100)+103/POWER(1+('CurrentPor-LH=10 unchanged'!D217+'CurrentPor-LH=10 unchanged'!I217)/100,2))*100</f>
        <v>9581.2738336585917</v>
      </c>
      <c r="F217">
        <f>Portfolio!B$5*'CurrentPor-LH=10 unchanged'!E217</f>
        <v>52143.895533915893</v>
      </c>
      <c r="G217">
        <f>Portfolio!B$6*'CurrentPor-LH=10 unchanged'!F217</f>
        <v>3696.2945087936532</v>
      </c>
      <c r="H217">
        <f>Portfolio!B$7*'CurrentPor-LH=10 unchanged'!J217</f>
        <v>2148.0998964419859</v>
      </c>
      <c r="I217">
        <f t="shared" si="6"/>
        <v>96513.584780232675</v>
      </c>
      <c r="J217">
        <f t="shared" si="7"/>
        <v>-18.781996659614379</v>
      </c>
    </row>
    <row r="218" spans="1:10">
      <c r="A218" s="1">
        <v>45775</v>
      </c>
      <c r="B218">
        <f>(3/(1+('CurrentPor-LH=10 unchanged'!C218)/100)+103/POWER(1+('CurrentPor-LH=10 unchanged'!D218)/100,2))*100</f>
        <v>9707.5857774288397</v>
      </c>
      <c r="C218">
        <f>(3/(1+('CurrentPor-LH=10 unchanged'!C218+'CurrentPor-LH=10 unchanged'!G218)/100)+103/POWER(1+('CurrentPor-LH=10 unchanged'!D218+'CurrentPor-LH=10 unchanged'!G218)/100,2))*100</f>
        <v>9647.8390182945259</v>
      </c>
      <c r="D218">
        <f>(3/(1+('CurrentPor-LH=10 unchanged'!C218+'CurrentPor-LH=10 unchanged'!H218)/100)+103/POWER(1+('CurrentPor-LH=10 unchanged'!D218+'CurrentPor-LH=10 unchanged'!H218)/100,2))*100</f>
        <v>9610.4476064957453</v>
      </c>
      <c r="E218">
        <f>(3/(1+('CurrentPor-LH=10 unchanged'!C218+'CurrentPor-LH=10 unchanged'!I218)/100)+103/POWER(1+('CurrentPor-LH=10 unchanged'!D218+'CurrentPor-LH=10 unchanged'!I218)/100,2))*100</f>
        <v>9581.7461701869233</v>
      </c>
      <c r="F218">
        <f>Portfolio!B$5*'CurrentPor-LH=10 unchanged'!E218</f>
        <v>52143.895533915893</v>
      </c>
      <c r="G218">
        <f>Portfolio!B$6*'CurrentPor-LH=10 unchanged'!F218</f>
        <v>3696.2945087936532</v>
      </c>
      <c r="H218">
        <f>Portfolio!B$7*'CurrentPor-LH=10 unchanged'!J218</f>
        <v>2148.0998964419859</v>
      </c>
      <c r="I218">
        <f t="shared" si="6"/>
        <v>96535.908511557573</v>
      </c>
      <c r="J218">
        <f t="shared" si="7"/>
        <v>37.023606884147739</v>
      </c>
    </row>
    <row r="219" spans="1:10">
      <c r="A219" s="1">
        <v>45776</v>
      </c>
      <c r="B219">
        <f>(3/(1+('CurrentPor-LH=10 unchanged'!C219)/100)+103/POWER(1+('CurrentPor-LH=10 unchanged'!D219)/100,2))*100</f>
        <v>9707.5857774288397</v>
      </c>
      <c r="C219">
        <f>(3/(1+('CurrentPor-LH=10 unchanged'!C219+'CurrentPor-LH=10 unchanged'!G219)/100)+103/POWER(1+('CurrentPor-LH=10 unchanged'!D219+'CurrentPor-LH=10 unchanged'!G219)/100,2))*100</f>
        <v>9639.5905880257851</v>
      </c>
      <c r="D219">
        <f>(3/(1+('CurrentPor-LH=10 unchanged'!C219+'CurrentPor-LH=10 unchanged'!H219)/100)+103/POWER(1+('CurrentPor-LH=10 unchanged'!D219+'CurrentPor-LH=10 unchanged'!H219)/100,2))*100</f>
        <v>9611.3718539671845</v>
      </c>
      <c r="E219">
        <f>(3/(1+('CurrentPor-LH=10 unchanged'!C219+'CurrentPor-LH=10 unchanged'!I219)/100)+103/POWER(1+('CurrentPor-LH=10 unchanged'!D219+'CurrentPor-LH=10 unchanged'!I219)/100,2))*100</f>
        <v>9580.1848347560372</v>
      </c>
      <c r="F219">
        <f>Portfolio!B$5*'CurrentPor-LH=10 unchanged'!E219</f>
        <v>52143.895533915893</v>
      </c>
      <c r="G219">
        <f>Portfolio!B$6*'CurrentPor-LH=10 unchanged'!F219</f>
        <v>3696.2945087936532</v>
      </c>
      <c r="H219">
        <f>Portfolio!B$7*'CurrentPor-LH=10 unchanged'!J219</f>
        <v>2148.0998964419859</v>
      </c>
      <c r="I219">
        <f t="shared" si="6"/>
        <v>96527.022993329374</v>
      </c>
      <c r="J219">
        <f t="shared" si="7"/>
        <v>1.8169558893714566</v>
      </c>
    </row>
    <row r="220" spans="1:10">
      <c r="A220" s="1">
        <v>45777</v>
      </c>
      <c r="B220">
        <f>(3/(1+('CurrentPor-LH=10 unchanged'!C220)/100)+103/POWER(1+('CurrentPor-LH=10 unchanged'!D220)/100,2))*100</f>
        <v>9707.5857774288397</v>
      </c>
      <c r="C220">
        <f>(3/(1+('CurrentPor-LH=10 unchanged'!C220+'CurrentPor-LH=10 unchanged'!G220)/100)+103/POWER(1+('CurrentPor-LH=10 unchanged'!D220+'CurrentPor-LH=10 unchanged'!G220)/100,2))*100</f>
        <v>9645.1015144982321</v>
      </c>
      <c r="D220">
        <f>(3/(1+('CurrentPor-LH=10 unchanged'!C220+'CurrentPor-LH=10 unchanged'!H220)/100)+103/POWER(1+('CurrentPor-LH=10 unchanged'!D220+'CurrentPor-LH=10 unchanged'!H220)/100,2))*100</f>
        <v>9610.637222203186</v>
      </c>
      <c r="E220">
        <f>(3/(1+('CurrentPor-LH=10 unchanged'!C220+'CurrentPor-LH=10 unchanged'!I220)/100)+103/POWER(1+('CurrentPor-LH=10 unchanged'!D220+'CurrentPor-LH=10 unchanged'!I220)/100,2))*100</f>
        <v>9579.8196664277166</v>
      </c>
      <c r="F220">
        <f>Portfolio!B$5*'CurrentPor-LH=10 unchanged'!E220</f>
        <v>52143.895533915893</v>
      </c>
      <c r="G220">
        <f>Portfolio!B$6*'CurrentPor-LH=10 unchanged'!F220</f>
        <v>3696.2945087936532</v>
      </c>
      <c r="H220">
        <f>Portfolio!B$7*'CurrentPor-LH=10 unchanged'!J220</f>
        <v>2148.0998964419859</v>
      </c>
      <c r="I220">
        <f t="shared" si="6"/>
        <v>96531.434119709505</v>
      </c>
      <c r="J220">
        <f t="shared" si="7"/>
        <v>1.8546367772942176</v>
      </c>
    </row>
    <row r="221" spans="1:10">
      <c r="A221" s="1">
        <v>45778</v>
      </c>
      <c r="B221">
        <f>(3/(1+('CurrentPor-LH=10 unchanged'!C221)/100)+103/POWER(1+('CurrentPor-LH=10 unchanged'!D221)/100,2))*100</f>
        <v>9707.5857774288397</v>
      </c>
      <c r="C221">
        <f>(3/(1+('CurrentPor-LH=10 unchanged'!C221+'CurrentPor-LH=10 unchanged'!G221)/100)+103/POWER(1+('CurrentPor-LH=10 unchanged'!D221+'CurrentPor-LH=10 unchanged'!G221)/100,2))*100</f>
        <v>9644.4796778694363</v>
      </c>
      <c r="D221">
        <f>(3/(1+('CurrentPor-LH=10 unchanged'!C221+'CurrentPor-LH=10 unchanged'!H221)/100)+103/POWER(1+('CurrentPor-LH=10 unchanged'!D221+'CurrentPor-LH=10 unchanged'!H221)/100,2))*100</f>
        <v>9608.9736424990479</v>
      </c>
      <c r="E221">
        <f>(3/(1+('CurrentPor-LH=10 unchanged'!C221+'CurrentPor-LH=10 unchanged'!I221)/100)+103/POWER(1+('CurrentPor-LH=10 unchanged'!D221+'CurrentPor-LH=10 unchanged'!I221)/100,2))*100</f>
        <v>9582.0116488298263</v>
      </c>
      <c r="F221">
        <f>Portfolio!B$5*'CurrentPor-LH=10 unchanged'!E221</f>
        <v>52143.895533915893</v>
      </c>
      <c r="G221">
        <f>Portfolio!B$6*'CurrentPor-LH=10 unchanged'!F221</f>
        <v>3696.2945087936532</v>
      </c>
      <c r="H221">
        <f>Portfolio!B$7*'CurrentPor-LH=10 unchanged'!J221</f>
        <v>2148.0998964419859</v>
      </c>
      <c r="I221">
        <f t="shared" si="6"/>
        <v>96531.34068577869</v>
      </c>
      <c r="J221">
        <f t="shared" si="7"/>
        <v>7.3605655511200894</v>
      </c>
    </row>
    <row r="222" spans="1:10">
      <c r="A222" s="1">
        <v>45779</v>
      </c>
      <c r="B222">
        <f>(3/(1+('CurrentPor-LH=10 unchanged'!C222)/100)+103/POWER(1+('CurrentPor-LH=10 unchanged'!D222)/100,2))*100</f>
        <v>9707.5857774288397</v>
      </c>
      <c r="C222">
        <f>(3/(1+('CurrentPor-LH=10 unchanged'!C222+'CurrentPor-LH=10 unchanged'!G222)/100)+103/POWER(1+('CurrentPor-LH=10 unchanged'!D222+'CurrentPor-LH=10 unchanged'!G222)/100,2))*100</f>
        <v>9650.7244348274071</v>
      </c>
      <c r="D222">
        <f>(3/(1+('CurrentPor-LH=10 unchanged'!C222+'CurrentPor-LH=10 unchanged'!H222)/100)+103/POWER(1+('CurrentPor-LH=10 unchanged'!D222+'CurrentPor-LH=10 unchanged'!H222)/100,2))*100</f>
        <v>9585.6351176792741</v>
      </c>
      <c r="E222">
        <f>(3/(1+('CurrentPor-LH=10 unchanged'!C222+'CurrentPor-LH=10 unchanged'!I222)/100)+103/POWER(1+('CurrentPor-LH=10 unchanged'!D222+'CurrentPor-LH=10 unchanged'!I222)/100,2))*100</f>
        <v>9582.1326987173798</v>
      </c>
      <c r="F222">
        <f>Portfolio!B$5*'CurrentPor-LH=10 unchanged'!E222</f>
        <v>52143.895533915893</v>
      </c>
      <c r="G222">
        <f>Portfolio!B$6*'CurrentPor-LH=10 unchanged'!F222</f>
        <v>3696.2945087936532</v>
      </c>
      <c r="H222">
        <f>Portfolio!B$7*'CurrentPor-LH=10 unchanged'!J222</f>
        <v>2148.0998964419859</v>
      </c>
      <c r="I222">
        <f t="shared" si="6"/>
        <v>96514.367967804443</v>
      </c>
      <c r="J222">
        <f t="shared" si="7"/>
        <v>0.63803628791356459</v>
      </c>
    </row>
    <row r="223" spans="1:10">
      <c r="A223" s="1">
        <v>45782</v>
      </c>
      <c r="B223">
        <f>(3/(1+('CurrentPor-LH=10 unchanged'!C223)/100)+103/POWER(1+('CurrentPor-LH=10 unchanged'!D223)/100,2))*100</f>
        <v>9707.5857774288397</v>
      </c>
      <c r="C223">
        <f>(3/(1+('CurrentPor-LH=10 unchanged'!C223+'CurrentPor-LH=10 unchanged'!G223)/100)+103/POWER(1+('CurrentPor-LH=10 unchanged'!D223+'CurrentPor-LH=10 unchanged'!G223)/100,2))*100</f>
        <v>9641.0591063330576</v>
      </c>
      <c r="D223">
        <f>(3/(1+('CurrentPor-LH=10 unchanged'!C223+'CurrentPor-LH=10 unchanged'!H223)/100)+103/POWER(1+('CurrentPor-LH=10 unchanged'!D223+'CurrentPor-LH=10 unchanged'!H223)/100,2))*100</f>
        <v>9595.2798181774815</v>
      </c>
      <c r="E223">
        <f>(3/(1+('CurrentPor-LH=10 unchanged'!C223+'CurrentPor-LH=10 unchanged'!I223)/100)+103/POWER(1+('CurrentPor-LH=10 unchanged'!D223+'CurrentPor-LH=10 unchanged'!I223)/100,2))*100</f>
        <v>9581.3670498975716</v>
      </c>
      <c r="F223">
        <f>Portfolio!B$5*'CurrentPor-LH=10 unchanged'!E223</f>
        <v>52143.895533915893</v>
      </c>
      <c r="G223">
        <f>Portfolio!B$6*'CurrentPor-LH=10 unchanged'!F223</f>
        <v>3696.2945087936532</v>
      </c>
      <c r="H223">
        <f>Portfolio!B$7*'CurrentPor-LH=10 unchanged'!J223</f>
        <v>2148.0998964419859</v>
      </c>
      <c r="I223">
        <f t="shared" si="6"/>
        <v>96513.581690988489</v>
      </c>
      <c r="J223">
        <f t="shared" si="7"/>
        <v>-9.8069098585110623</v>
      </c>
    </row>
    <row r="224" spans="1:10">
      <c r="A224" s="1">
        <v>45783</v>
      </c>
      <c r="B224">
        <f>(3/(1+('CurrentPor-LH=10 unchanged'!C224)/100)+103/POWER(1+('CurrentPor-LH=10 unchanged'!D224)/100,2))*100</f>
        <v>9707.5857774288397</v>
      </c>
      <c r="C224">
        <f>(3/(1+('CurrentPor-LH=10 unchanged'!C224+'CurrentPor-LH=10 unchanged'!G224)/100)+103/POWER(1+('CurrentPor-LH=10 unchanged'!D224+'CurrentPor-LH=10 unchanged'!G224)/100,2))*100</f>
        <v>9652.3563005486722</v>
      </c>
      <c r="D224">
        <f>(3/(1+('CurrentPor-LH=10 unchanged'!C224+'CurrentPor-LH=10 unchanged'!H224)/100)+103/POWER(1+('CurrentPor-LH=10 unchanged'!D224+'CurrentPor-LH=10 unchanged'!H224)/100,2))*100</f>
        <v>9600.7052993837169</v>
      </c>
      <c r="E224">
        <f>(3/(1+('CurrentPor-LH=10 unchanged'!C224+'CurrentPor-LH=10 unchanged'!I224)/100)+103/POWER(1+('CurrentPor-LH=10 unchanged'!D224+'CurrentPor-LH=10 unchanged'!I224)/100,2))*100</f>
        <v>9580.5783462320705</v>
      </c>
      <c r="F224">
        <f>Portfolio!B$5*'CurrentPor-LH=10 unchanged'!E224</f>
        <v>52143.895533915893</v>
      </c>
      <c r="G224">
        <f>Portfolio!B$6*'CurrentPor-LH=10 unchanged'!F224</f>
        <v>3696.2945087936532</v>
      </c>
      <c r="H224">
        <f>Portfolio!B$7*'CurrentPor-LH=10 unchanged'!J224</f>
        <v>2148.0998964419859</v>
      </c>
      <c r="I224">
        <f t="shared" si="6"/>
        <v>96529.51566274483</v>
      </c>
      <c r="J224">
        <f t="shared" si="7"/>
        <v>-12.339265841816086</v>
      </c>
    </row>
    <row r="225" spans="1:10">
      <c r="A225" s="1">
        <v>45784</v>
      </c>
      <c r="B225">
        <f>(3/(1+('CurrentPor-LH=10 unchanged'!C225)/100)+103/POWER(1+('CurrentPor-LH=10 unchanged'!D225)/100,2))*100</f>
        <v>9707.5857774288397</v>
      </c>
      <c r="C225">
        <f>(3/(1+('CurrentPor-LH=10 unchanged'!C225+'CurrentPor-LH=10 unchanged'!G225)/100)+103/POWER(1+('CurrentPor-LH=10 unchanged'!D225+'CurrentPor-LH=10 unchanged'!G225)/100,2))*100</f>
        <v>9629.1985445241935</v>
      </c>
      <c r="D225">
        <f>(3/(1+('CurrentPor-LH=10 unchanged'!C225+'CurrentPor-LH=10 unchanged'!H225)/100)+103/POWER(1+('CurrentPor-LH=10 unchanged'!D225+'CurrentPor-LH=10 unchanged'!H225)/100,2))*100</f>
        <v>9606.0650582133603</v>
      </c>
      <c r="E225">
        <f>(3/(1+('CurrentPor-LH=10 unchanged'!C225+'CurrentPor-LH=10 unchanged'!I225)/100)+103/POWER(1+('CurrentPor-LH=10 unchanged'!D225+'CurrentPor-LH=10 unchanged'!I225)/100,2))*100</f>
        <v>9579.4241231332035</v>
      </c>
      <c r="F225">
        <f>Portfolio!B$5*'CurrentPor-LH=10 unchanged'!E225</f>
        <v>52143.895533915893</v>
      </c>
      <c r="G225">
        <f>Portfolio!B$6*'CurrentPor-LH=10 unchanged'!F225</f>
        <v>3696.2945087936532</v>
      </c>
      <c r="H225">
        <f>Portfolio!B$7*'CurrentPor-LH=10 unchanged'!J225</f>
        <v>2148.0998964419859</v>
      </c>
      <c r="I225">
        <f t="shared" si="6"/>
        <v>96510.563442451137</v>
      </c>
      <c r="J225">
        <f t="shared" si="7"/>
        <v>-2.0089358483965043</v>
      </c>
    </row>
    <row r="226" spans="1:10">
      <c r="A226" s="1">
        <v>45785</v>
      </c>
      <c r="B226">
        <f>(3/(1+('CurrentPor-LH=10 unchanged'!C226)/100)+103/POWER(1+('CurrentPor-LH=10 unchanged'!D226)/100,2))*100</f>
        <v>9707.5857774288397</v>
      </c>
      <c r="C226">
        <f>(3/(1+('CurrentPor-LH=10 unchanged'!C226+'CurrentPor-LH=10 unchanged'!G226)/100)+103/POWER(1+('CurrentPor-LH=10 unchanged'!D226+'CurrentPor-LH=10 unchanged'!G226)/100,2))*100</f>
        <v>9657.7862016212403</v>
      </c>
      <c r="D226">
        <f>(3/(1+('CurrentPor-LH=10 unchanged'!C226+'CurrentPor-LH=10 unchanged'!H226)/100)+103/POWER(1+('CurrentPor-LH=10 unchanged'!D226+'CurrentPor-LH=10 unchanged'!H226)/100,2))*100</f>
        <v>9594.9564080463606</v>
      </c>
      <c r="E226">
        <f>(3/(1+('CurrentPor-LH=10 unchanged'!C226+'CurrentPor-LH=10 unchanged'!I226)/100)+103/POWER(1+('CurrentPor-LH=10 unchanged'!D226+'CurrentPor-LH=10 unchanged'!I226)/100,2))*100</f>
        <v>9579.3005286208645</v>
      </c>
      <c r="F226">
        <f>Portfolio!B$5*'CurrentPor-LH=10 unchanged'!E226</f>
        <v>52143.895533915893</v>
      </c>
      <c r="G226">
        <f>Portfolio!B$6*'CurrentPor-LH=10 unchanged'!F226</f>
        <v>3696.2945087936532</v>
      </c>
      <c r="H226">
        <f>Portfolio!B$7*'CurrentPor-LH=10 unchanged'!J226</f>
        <v>2148.0998964419859</v>
      </c>
      <c r="I226">
        <f t="shared" si="6"/>
        <v>96527.91885486884</v>
      </c>
      <c r="J226">
        <f t="shared" si="7"/>
        <v>12.179143270273926</v>
      </c>
    </row>
    <row r="227" spans="1:10">
      <c r="A227" s="1">
        <v>45786</v>
      </c>
      <c r="B227">
        <f>(3/(1+('CurrentPor-LH=10 unchanged'!C227)/100)+103/POWER(1+('CurrentPor-LH=10 unchanged'!D227)/100,2))*100</f>
        <v>9707.5857774288397</v>
      </c>
      <c r="C227">
        <f>(3/(1+('CurrentPor-LH=10 unchanged'!C227+'CurrentPor-LH=10 unchanged'!G227)/100)+103/POWER(1+('CurrentPor-LH=10 unchanged'!D227+'CurrentPor-LH=10 unchanged'!G227)/100,2))*100</f>
        <v>9646.1305966188611</v>
      </c>
      <c r="D227">
        <f>(3/(1+('CurrentPor-LH=10 unchanged'!C227+'CurrentPor-LH=10 unchanged'!H227)/100)+103/POWER(1+('CurrentPor-LH=10 unchanged'!D227+'CurrentPor-LH=10 unchanged'!H227)/100,2))*100</f>
        <v>9578.1818572321154</v>
      </c>
      <c r="E227">
        <f>(3/(1+('CurrentPor-LH=10 unchanged'!C227+'CurrentPor-LH=10 unchanged'!I227)/100)+103/POWER(1+('CurrentPor-LH=10 unchanged'!D227+'CurrentPor-LH=10 unchanged'!I227)/100,2))*100</f>
        <v>9580.996708806304</v>
      </c>
      <c r="F227">
        <f>Portfolio!B$5*'CurrentPor-LH=10 unchanged'!E227</f>
        <v>52143.895533915893</v>
      </c>
      <c r="G227">
        <f>Portfolio!B$6*'CurrentPor-LH=10 unchanged'!F227</f>
        <v>3696.2945087936532</v>
      </c>
      <c r="H227">
        <f>Portfolio!B$7*'CurrentPor-LH=10 unchanged'!J227</f>
        <v>2148.0998964419859</v>
      </c>
      <c r="I227">
        <f t="shared" si="6"/>
        <v>96501.184879237655</v>
      </c>
      <c r="J227">
        <f t="shared" si="7"/>
        <v>-12.399900995020289</v>
      </c>
    </row>
    <row r="228" spans="1:10">
      <c r="A228" s="1">
        <v>45789</v>
      </c>
      <c r="B228">
        <f>(3/(1+('CurrentPor-LH=10 unchanged'!C228)/100)+103/POWER(1+('CurrentPor-LH=10 unchanged'!D228)/100,2))*100</f>
        <v>9707.5857774288397</v>
      </c>
      <c r="C228">
        <f>(3/(1+('CurrentPor-LH=10 unchanged'!C228+'CurrentPor-LH=10 unchanged'!G228)/100)+103/POWER(1+('CurrentPor-LH=10 unchanged'!D228+'CurrentPor-LH=10 unchanged'!G228)/100,2))*100</f>
        <v>9648.3865624339469</v>
      </c>
      <c r="D228">
        <f>(3/(1+('CurrentPor-LH=10 unchanged'!C228+'CurrentPor-LH=10 unchanged'!H228)/100)+103/POWER(1+('CurrentPor-LH=10 unchanged'!D228+'CurrentPor-LH=10 unchanged'!H228)/100,2))*100</f>
        <v>9578.893126976549</v>
      </c>
      <c r="E228">
        <f>(3/(1+('CurrentPor-LH=10 unchanged'!C228+'CurrentPor-LH=10 unchanged'!I228)/100)+103/POWER(1+('CurrentPor-LH=10 unchanged'!D228+'CurrentPor-LH=10 unchanged'!I228)/100,2))*100</f>
        <v>9580.3650991372488</v>
      </c>
      <c r="F228">
        <f>Portfolio!B$5*'CurrentPor-LH=10 unchanged'!E228</f>
        <v>52143.895533915893</v>
      </c>
      <c r="G228">
        <f>Portfolio!B$6*'CurrentPor-LH=10 unchanged'!F228</f>
        <v>3696.2945087936532</v>
      </c>
      <c r="H228">
        <f>Portfolio!B$7*'CurrentPor-LH=10 unchanged'!J228</f>
        <v>2148.0998964419859</v>
      </c>
      <c r="I228">
        <f t="shared" si="6"/>
        <v>96503.520505128123</v>
      </c>
      <c r="J228">
        <f t="shared" si="7"/>
        <v>-32.388006429449888</v>
      </c>
    </row>
    <row r="229" spans="1:10">
      <c r="A229" s="1">
        <v>45790</v>
      </c>
      <c r="B229">
        <f>(3/(1+('CurrentPor-LH=10 unchanged'!C229)/100)+103/POWER(1+('CurrentPor-LH=10 unchanged'!D229)/100,2))*100</f>
        <v>9707.5857774288397</v>
      </c>
      <c r="C229">
        <f>(3/(1+('CurrentPor-LH=10 unchanged'!C229+'CurrentPor-LH=10 unchanged'!G229)/100)+103/POWER(1+('CurrentPor-LH=10 unchanged'!D229+'CurrentPor-LH=10 unchanged'!G229)/100,2))*100</f>
        <v>9634.7273167274871</v>
      </c>
      <c r="D229">
        <f>(3/(1+('CurrentPor-LH=10 unchanged'!C229+'CurrentPor-LH=10 unchanged'!H229)/100)+103/POWER(1+('CurrentPor-LH=10 unchanged'!D229+'CurrentPor-LH=10 unchanged'!H229)/100,2))*100</f>
        <v>9606.6627172992467</v>
      </c>
      <c r="E229">
        <f>(3/(1+('CurrentPor-LH=10 unchanged'!C229+'CurrentPor-LH=10 unchanged'!I229)/100)+103/POWER(1+('CurrentPor-LH=10 unchanged'!D229+'CurrentPor-LH=10 unchanged'!I229)/100,2))*100</f>
        <v>9580.2798343728318</v>
      </c>
      <c r="F229">
        <f>Portfolio!B$5*'CurrentPor-LH=10 unchanged'!E229</f>
        <v>52143.895533915893</v>
      </c>
      <c r="G229">
        <f>Portfolio!B$6*'CurrentPor-LH=10 unchanged'!F229</f>
        <v>3696.2945087936532</v>
      </c>
      <c r="H229">
        <f>Portfolio!B$7*'CurrentPor-LH=10 unchanged'!J229</f>
        <v>2148.0998964419859</v>
      </c>
      <c r="I229">
        <f t="shared" si="6"/>
        <v>96517.545584979947</v>
      </c>
      <c r="J229">
        <f t="shared" si="7"/>
        <v>-9.4774083494266961</v>
      </c>
    </row>
    <row r="230" spans="1:10">
      <c r="A230" s="1">
        <v>45791</v>
      </c>
      <c r="B230">
        <f>(3/(1+('CurrentPor-LH=10 unchanged'!C230)/100)+103/POWER(1+('CurrentPor-LH=10 unchanged'!D230)/100,2))*100</f>
        <v>9707.5857774288397</v>
      </c>
      <c r="C230">
        <f>(3/(1+('CurrentPor-LH=10 unchanged'!C230+'CurrentPor-LH=10 unchanged'!G230)/100)+103/POWER(1+('CurrentPor-LH=10 unchanged'!D230+'CurrentPor-LH=10 unchanged'!G230)/100,2))*100</f>
        <v>9632.7477693358414</v>
      </c>
      <c r="D230">
        <f>(3/(1+('CurrentPor-LH=10 unchanged'!C230+'CurrentPor-LH=10 unchanged'!H230)/100)+103/POWER(1+('CurrentPor-LH=10 unchanged'!D230+'CurrentPor-LH=10 unchanged'!H230)/100,2))*100</f>
        <v>9605.3464852354919</v>
      </c>
      <c r="E230">
        <f>(3/(1+('CurrentPor-LH=10 unchanged'!C230+'CurrentPor-LH=10 unchanged'!I230)/100)+103/POWER(1+('CurrentPor-LH=10 unchanged'!D230+'CurrentPor-LH=10 unchanged'!I230)/100,2))*100</f>
        <v>9580.7792612115554</v>
      </c>
      <c r="F230">
        <f>Portfolio!B$5*'CurrentPor-LH=10 unchanged'!E230</f>
        <v>52143.895533915893</v>
      </c>
      <c r="G230">
        <f>Portfolio!B$6*'CurrentPor-LH=10 unchanged'!F230</f>
        <v>3696.2945087936532</v>
      </c>
      <c r="H230">
        <f>Portfolio!B$7*'CurrentPor-LH=10 unchanged'!J230</f>
        <v>2148.0998964419859</v>
      </c>
      <c r="I230">
        <f t="shared" si="6"/>
        <v>96514.749232363261</v>
      </c>
      <c r="J230">
        <f t="shared" si="7"/>
        <v>-16.684887346244068</v>
      </c>
    </row>
    <row r="231" spans="1:10">
      <c r="A231" s="1">
        <v>45792</v>
      </c>
      <c r="B231">
        <f>(3/(1+('CurrentPor-LH=10 unchanged'!C231)/100)+103/POWER(1+('CurrentPor-LH=10 unchanged'!D231)/100,2))*100</f>
        <v>9707.5857774288397</v>
      </c>
      <c r="C231">
        <f>(3/(1+('CurrentPor-LH=10 unchanged'!C231+'CurrentPor-LH=10 unchanged'!G231)/100)+103/POWER(1+('CurrentPor-LH=10 unchanged'!D231+'CurrentPor-LH=10 unchanged'!G231)/100,2))*100</f>
        <v>9647.778135369841</v>
      </c>
      <c r="D231">
        <f>(3/(1+('CurrentPor-LH=10 unchanged'!C231+'CurrentPor-LH=10 unchanged'!H231)/100)+103/POWER(1+('CurrentPor-LH=10 unchanged'!D231+'CurrentPor-LH=10 unchanged'!H231)/100,2))*100</f>
        <v>9604.8056388094919</v>
      </c>
      <c r="E231">
        <f>(3/(1+('CurrentPor-LH=10 unchanged'!C231+'CurrentPor-LH=10 unchanged'!I231)/100)+103/POWER(1+('CurrentPor-LH=10 unchanged'!D231+'CurrentPor-LH=10 unchanged'!I231)/100,2))*100</f>
        <v>9580.70713809466</v>
      </c>
      <c r="F231">
        <f>Portfolio!B$5*'CurrentPor-LH=10 unchanged'!E231</f>
        <v>52143.895533915893</v>
      </c>
      <c r="G231">
        <f>Portfolio!B$6*'CurrentPor-LH=10 unchanged'!F231</f>
        <v>3696.2945087936532</v>
      </c>
      <c r="H231">
        <f>Portfolio!B$7*'CurrentPor-LH=10 unchanged'!J231</f>
        <v>2148.0998964419859</v>
      </c>
      <c r="I231">
        <f t="shared" si="6"/>
        <v>96529.166628854364</v>
      </c>
      <c r="J231">
        <f t="shared" si="7"/>
        <v>-2.1740569243265782</v>
      </c>
    </row>
    <row r="232" spans="1:10">
      <c r="A232" s="1">
        <v>45793</v>
      </c>
      <c r="B232">
        <f>(3/(1+('CurrentPor-LH=10 unchanged'!C232)/100)+103/POWER(1+('CurrentPor-LH=10 unchanged'!D232)/100,2))*100</f>
        <v>9707.5857774288397</v>
      </c>
      <c r="C232">
        <f>(3/(1+('CurrentPor-LH=10 unchanged'!C232+'CurrentPor-LH=10 unchanged'!G232)/100)+103/POWER(1+('CurrentPor-LH=10 unchanged'!D232+'CurrentPor-LH=10 unchanged'!G232)/100,2))*100</f>
        <v>9647.6855440936397</v>
      </c>
      <c r="D232">
        <f>(3/(1+('CurrentPor-LH=10 unchanged'!C232+'CurrentPor-LH=10 unchanged'!H232)/100)+103/POWER(1+('CurrentPor-LH=10 unchanged'!D232+'CurrentPor-LH=10 unchanged'!H232)/100,2))*100</f>
        <v>9605.0002854818231</v>
      </c>
      <c r="E232">
        <f>(3/(1+('CurrentPor-LH=10 unchanged'!C232+'CurrentPor-LH=10 unchanged'!I232)/100)+103/POWER(1+('CurrentPor-LH=10 unchanged'!D232+'CurrentPor-LH=10 unchanged'!I232)/100,2))*100</f>
        <v>9580.6265560858756</v>
      </c>
      <c r="F232">
        <f>Portfolio!B$5*'CurrentPor-LH=10 unchanged'!E232</f>
        <v>52143.895533915893</v>
      </c>
      <c r="G232">
        <f>Portfolio!B$6*'CurrentPor-LH=10 unchanged'!F232</f>
        <v>3696.2945087936532</v>
      </c>
      <c r="H232">
        <f>Portfolio!B$7*'CurrentPor-LH=10 unchanged'!J232</f>
        <v>2148.0998964419859</v>
      </c>
      <c r="I232">
        <f t="shared" si="6"/>
        <v>96529.188102241707</v>
      </c>
      <c r="J232">
        <f t="shared" si="7"/>
        <v>14.820134437264642</v>
      </c>
    </row>
    <row r="233" spans="1:10">
      <c r="A233" s="1">
        <v>45796</v>
      </c>
      <c r="B233">
        <f>(3/(1+('CurrentPor-LH=10 unchanged'!C233)/100)+103/POWER(1+('CurrentPor-LH=10 unchanged'!D233)/100,2))*100</f>
        <v>9707.5857774288397</v>
      </c>
      <c r="C233">
        <f>(3/(1+('CurrentPor-LH=10 unchanged'!C233+'CurrentPor-LH=10 unchanged'!G233)/100)+103/POWER(1+('CurrentPor-LH=10 unchanged'!D233+'CurrentPor-LH=10 unchanged'!G233)/100,2))*100</f>
        <v>9639.8215000133314</v>
      </c>
      <c r="D233">
        <f>(3/(1+('CurrentPor-LH=10 unchanged'!C233+'CurrentPor-LH=10 unchanged'!H233)/100)+103/POWER(1+('CurrentPor-LH=10 unchanged'!D233+'CurrentPor-LH=10 unchanged'!H233)/100,2))*100</f>
        <v>9592.1994997649181</v>
      </c>
      <c r="E233">
        <f>(3/(1+('CurrentPor-LH=10 unchanged'!C233+'CurrentPor-LH=10 unchanged'!I233)/100)+103/POWER(1+('CurrentPor-LH=10 unchanged'!D233+'CurrentPor-LH=10 unchanged'!I233)/100,2))*100</f>
        <v>9579.7043812262018</v>
      </c>
      <c r="F233">
        <f>Portfolio!B$5*'CurrentPor-LH=10 unchanged'!E233</f>
        <v>52143.895533915893</v>
      </c>
      <c r="G233">
        <f>Portfolio!B$6*'CurrentPor-LH=10 unchanged'!F233</f>
        <v>3696.2945087936532</v>
      </c>
      <c r="H233">
        <f>Portfolio!B$7*'CurrentPor-LH=10 unchanged'!J233</f>
        <v>2148.0998964419859</v>
      </c>
      <c r="I233">
        <f t="shared" si="6"/>
        <v>96507.601097584833</v>
      </c>
      <c r="J233">
        <f t="shared" si="7"/>
        <v>-5.9805934036558028</v>
      </c>
    </row>
    <row r="234" spans="1:10">
      <c r="A234" s="1">
        <v>45797</v>
      </c>
      <c r="B234">
        <f>(3/(1+('CurrentPor-LH=10 unchanged'!C234)/100)+103/POWER(1+('CurrentPor-LH=10 unchanged'!D234)/100,2))*100</f>
        <v>9707.5857774288397</v>
      </c>
      <c r="C234">
        <f>(3/(1+('CurrentPor-LH=10 unchanged'!C234+'CurrentPor-LH=10 unchanged'!G234)/100)+103/POWER(1+('CurrentPor-LH=10 unchanged'!D234+'CurrentPor-LH=10 unchanged'!G234)/100,2))*100</f>
        <v>9664.2207419427268</v>
      </c>
      <c r="D234">
        <f>(3/(1+('CurrentPor-LH=10 unchanged'!C234+'CurrentPor-LH=10 unchanged'!H234)/100)+103/POWER(1+('CurrentPor-LH=10 unchanged'!D234+'CurrentPor-LH=10 unchanged'!H234)/100,2))*100</f>
        <v>9592.7551537712206</v>
      </c>
      <c r="E234">
        <f>(3/(1+('CurrentPor-LH=10 unchanged'!C234+'CurrentPor-LH=10 unchanged'!I234)/100)+103/POWER(1+('CurrentPor-LH=10 unchanged'!D234+'CurrentPor-LH=10 unchanged'!I234)/100,2))*100</f>
        <v>9581.090087865281</v>
      </c>
      <c r="F234">
        <f>Portfolio!B$5*'CurrentPor-LH=10 unchanged'!E234</f>
        <v>52143.895533915893</v>
      </c>
      <c r="G234">
        <f>Portfolio!B$6*'CurrentPor-LH=10 unchanged'!F234</f>
        <v>3696.2945087936532</v>
      </c>
      <c r="H234">
        <f>Portfolio!B$7*'CurrentPor-LH=10 unchanged'!J234</f>
        <v>2148.0998964419859</v>
      </c>
      <c r="I234">
        <f t="shared" si="6"/>
        <v>96533.941700159601</v>
      </c>
      <c r="J234">
        <f t="shared" si="7"/>
        <v>4.4260374147706898</v>
      </c>
    </row>
    <row r="235" spans="1:10">
      <c r="A235" s="1">
        <v>45798</v>
      </c>
      <c r="B235">
        <f>(3/(1+('CurrentPor-LH=10 unchanged'!C235)/100)+103/POWER(1+('CurrentPor-LH=10 unchanged'!D235)/100,2))*100</f>
        <v>9707.5857774288397</v>
      </c>
      <c r="C235">
        <f>(3/(1+('CurrentPor-LH=10 unchanged'!C235+'CurrentPor-LH=10 unchanged'!G235)/100)+103/POWER(1+('CurrentPor-LH=10 unchanged'!D235+'CurrentPor-LH=10 unchanged'!G235)/100,2))*100</f>
        <v>9646.9633870994603</v>
      </c>
      <c r="D235">
        <f>(3/(1+('CurrentPor-LH=10 unchanged'!C235+'CurrentPor-LH=10 unchanged'!H235)/100)+103/POWER(1+('CurrentPor-LH=10 unchanged'!D235+'CurrentPor-LH=10 unchanged'!H235)/100,2))*100</f>
        <v>9614.3592258828867</v>
      </c>
      <c r="E235">
        <f>(3/(1+('CurrentPor-LH=10 unchanged'!C235+'CurrentPor-LH=10 unchanged'!I235)/100)+103/POWER(1+('CurrentPor-LH=10 unchanged'!D235+'CurrentPor-LH=10 unchanged'!I235)/100,2))*100</f>
        <v>9579.147512612697</v>
      </c>
      <c r="F235">
        <f>Portfolio!B$5*'CurrentPor-LH=10 unchanged'!E235</f>
        <v>52143.895533915893</v>
      </c>
      <c r="G235">
        <f>Portfolio!B$6*'CurrentPor-LH=10 unchanged'!F235</f>
        <v>3696.2945087936532</v>
      </c>
      <c r="H235">
        <f>Portfolio!B$7*'CurrentPor-LH=10 unchanged'!J235</f>
        <v>2148.0998964419859</v>
      </c>
      <c r="I235">
        <f t="shared" si="6"/>
        <v>96536.345842175404</v>
      </c>
      <c r="J235">
        <f t="shared" si="7"/>
        <v>25.782399724266725</v>
      </c>
    </row>
    <row r="236" spans="1:10">
      <c r="A236" s="1">
        <v>45799</v>
      </c>
      <c r="B236">
        <f>(3/(1+('CurrentPor-LH=10 unchanged'!C236)/100)+103/POWER(1+('CurrentPor-LH=10 unchanged'!D236)/100,2))*100</f>
        <v>9707.5857774288397</v>
      </c>
      <c r="C236">
        <f>(3/(1+('CurrentPor-LH=10 unchanged'!C236+'CurrentPor-LH=10 unchanged'!G236)/100)+103/POWER(1+('CurrentPor-LH=10 unchanged'!D236+'CurrentPor-LH=10 unchanged'!G236)/100,2))*100</f>
        <v>9646.5146154149315</v>
      </c>
      <c r="D236">
        <f>(3/(1+('CurrentPor-LH=10 unchanged'!C236+'CurrentPor-LH=10 unchanged'!H236)/100)+103/POWER(1+('CurrentPor-LH=10 unchanged'!D236+'CurrentPor-LH=10 unchanged'!H236)/100,2))*100</f>
        <v>9605.9163525079039</v>
      </c>
      <c r="E236">
        <f>(3/(1+('CurrentPor-LH=10 unchanged'!C236+'CurrentPor-LH=10 unchanged'!I236)/100)+103/POWER(1+('CurrentPor-LH=10 unchanged'!D236+'CurrentPor-LH=10 unchanged'!I236)/100,2))*100</f>
        <v>9580.4976876146775</v>
      </c>
      <c r="F236">
        <f>Portfolio!B$5*'CurrentPor-LH=10 unchanged'!E236</f>
        <v>52143.895533915893</v>
      </c>
      <c r="G236">
        <f>Portfolio!B$6*'CurrentPor-LH=10 unchanged'!F236</f>
        <v>3696.2945087936532</v>
      </c>
      <c r="H236">
        <f>Portfolio!B$7*'CurrentPor-LH=10 unchanged'!J236</f>
        <v>2148.0998964419859</v>
      </c>
      <c r="I236">
        <f t="shared" si="6"/>
        <v>96528.804372117884</v>
      </c>
      <c r="J236">
        <f t="shared" si="7"/>
        <v>0.88551724904391449</v>
      </c>
    </row>
    <row r="237" spans="1:10">
      <c r="A237" s="1">
        <v>45800</v>
      </c>
      <c r="B237">
        <f>(3/(1+('CurrentPor-LH=10 unchanged'!C237)/100)+103/POWER(1+('CurrentPor-LH=10 unchanged'!D237)/100,2))*100</f>
        <v>9707.5857774288397</v>
      </c>
      <c r="C237">
        <f>(3/(1+('CurrentPor-LH=10 unchanged'!C237+'CurrentPor-LH=10 unchanged'!G237)/100)+103/POWER(1+('CurrentPor-LH=10 unchanged'!D237+'CurrentPor-LH=10 unchanged'!G237)/100,2))*100</f>
        <v>9636.9887960515243</v>
      </c>
      <c r="D237">
        <f>(3/(1+('CurrentPor-LH=10 unchanged'!C237+'CurrentPor-LH=10 unchanged'!H237)/100)+103/POWER(1+('CurrentPor-LH=10 unchanged'!D237+'CurrentPor-LH=10 unchanged'!H237)/100,2))*100</f>
        <v>9608.6255415378819</v>
      </c>
      <c r="E237">
        <f>(3/(1+('CurrentPor-LH=10 unchanged'!C237+'CurrentPor-LH=10 unchanged'!I237)/100)+103/POWER(1+('CurrentPor-LH=10 unchanged'!D237+'CurrentPor-LH=10 unchanged'!I237)/100,2))*100</f>
        <v>9580.6341961793714</v>
      </c>
      <c r="F237">
        <f>Portfolio!B$5*'CurrentPor-LH=10 unchanged'!E237</f>
        <v>52143.895533915893</v>
      </c>
      <c r="G237">
        <f>Portfolio!B$6*'CurrentPor-LH=10 unchanged'!F237</f>
        <v>3696.2945087936532</v>
      </c>
      <c r="H237">
        <f>Portfolio!B$7*'CurrentPor-LH=10 unchanged'!J237</f>
        <v>2148.0998964419859</v>
      </c>
      <c r="I237">
        <f t="shared" si="6"/>
        <v>96522.124250349152</v>
      </c>
      <c r="J237">
        <f t="shared" si="7"/>
        <v>20.939371111497167</v>
      </c>
    </row>
    <row r="238" spans="1:10">
      <c r="A238" s="1">
        <v>45803</v>
      </c>
      <c r="B238">
        <f>(3/(1+('CurrentPor-LH=10 unchanged'!C238)/100)+103/POWER(1+('CurrentPor-LH=10 unchanged'!D238)/100,2))*100</f>
        <v>9707.5857774288397</v>
      </c>
      <c r="C238">
        <f>(3/(1+('CurrentPor-LH=10 unchanged'!C238+'CurrentPor-LH=10 unchanged'!G238)/100)+103/POWER(1+('CurrentPor-LH=10 unchanged'!D238+'CurrentPor-LH=10 unchanged'!G238)/100,2))*100</f>
        <v>9652.2288910510651</v>
      </c>
      <c r="D238">
        <f>(3/(1+('CurrentPor-LH=10 unchanged'!C238+'CurrentPor-LH=10 unchanged'!H238)/100)+103/POWER(1+('CurrentPor-LH=10 unchanged'!D238+'CurrentPor-LH=10 unchanged'!H238)/100,2))*100</f>
        <v>9578.2449868172571</v>
      </c>
      <c r="E238">
        <f>(3/(1+('CurrentPor-LH=10 unchanged'!C238+'CurrentPor-LH=10 unchanged'!I238)/100)+103/POWER(1+('CurrentPor-LH=10 unchanged'!D238+'CurrentPor-LH=10 unchanged'!I238)/100,2))*100</f>
        <v>9580.3464922530602</v>
      </c>
      <c r="F238">
        <f>Portfolio!B$5*'CurrentPor-LH=10 unchanged'!E238</f>
        <v>52143.895533915893</v>
      </c>
      <c r="G238">
        <f>Portfolio!B$6*'CurrentPor-LH=10 unchanged'!F238</f>
        <v>3696.2945087936532</v>
      </c>
      <c r="H238">
        <f>Portfolio!B$7*'CurrentPor-LH=10 unchanged'!J238</f>
        <v>2148.0998964419859</v>
      </c>
      <c r="I238">
        <f t="shared" si="6"/>
        <v>96506.696086701748</v>
      </c>
      <c r="J238">
        <f t="shared" si="7"/>
        <v>3.1755815736250952</v>
      </c>
    </row>
    <row r="239" spans="1:10">
      <c r="A239" s="1">
        <v>45804</v>
      </c>
      <c r="B239">
        <f>(3/(1+('CurrentPor-LH=10 unchanged'!C239)/100)+103/POWER(1+('CurrentPor-LH=10 unchanged'!D239)/100,2))*100</f>
        <v>9707.5857774288397</v>
      </c>
      <c r="C239">
        <f>(3/(1+('CurrentPor-LH=10 unchanged'!C239+'CurrentPor-LH=10 unchanged'!G239)/100)+103/POWER(1+('CurrentPor-LH=10 unchanged'!D239+'CurrentPor-LH=10 unchanged'!G239)/100,2))*100</f>
        <v>9653.4411758878214</v>
      </c>
      <c r="D239">
        <f>(3/(1+('CurrentPor-LH=10 unchanged'!C239+'CurrentPor-LH=10 unchanged'!H239)/100)+103/POWER(1+('CurrentPor-LH=10 unchanged'!D239+'CurrentPor-LH=10 unchanged'!H239)/100,2))*100</f>
        <v>9593.2656739560534</v>
      </c>
      <c r="E239">
        <f>(3/(1+('CurrentPor-LH=10 unchanged'!C239+'CurrentPor-LH=10 unchanged'!I239)/100)+103/POWER(1+('CurrentPor-LH=10 unchanged'!D239+'CurrentPor-LH=10 unchanged'!I239)/100,2))*100</f>
        <v>9578.4733380283378</v>
      </c>
      <c r="F239">
        <f>Portfolio!B$5*'CurrentPor-LH=10 unchanged'!E239</f>
        <v>52143.895533915893</v>
      </c>
      <c r="G239">
        <f>Portfolio!B$6*'CurrentPor-LH=10 unchanged'!F239</f>
        <v>3696.2945087936532</v>
      </c>
      <c r="H239">
        <f>Portfolio!B$7*'CurrentPor-LH=10 unchanged'!J239</f>
        <v>2148.0998964419859</v>
      </c>
      <c r="I239">
        <f t="shared" si="6"/>
        <v>96521.055904452587</v>
      </c>
      <c r="J239">
        <f t="shared" si="7"/>
        <v>3.5103194726398215</v>
      </c>
    </row>
    <row r="240" spans="1:10">
      <c r="A240" s="1">
        <v>45805</v>
      </c>
      <c r="B240">
        <f>(3/(1+('CurrentPor-LH=10 unchanged'!C240)/100)+103/POWER(1+('CurrentPor-LH=10 unchanged'!D240)/100,2))*100</f>
        <v>9707.5857774288397</v>
      </c>
      <c r="C240">
        <f>(3/(1+('CurrentPor-LH=10 unchanged'!C240+'CurrentPor-LH=10 unchanged'!G240)/100)+103/POWER(1+('CurrentPor-LH=10 unchanged'!D240+'CurrentPor-LH=10 unchanged'!G240)/100,2))*100</f>
        <v>9652.8954429524256</v>
      </c>
      <c r="D240">
        <f>(3/(1+('CurrentPor-LH=10 unchanged'!C240+'CurrentPor-LH=10 unchanged'!H240)/100)+103/POWER(1+('CurrentPor-LH=10 unchanged'!D240+'CurrentPor-LH=10 unchanged'!H240)/100,2))*100</f>
        <v>9595.2920546977894</v>
      </c>
      <c r="E240">
        <f>(3/(1+('CurrentPor-LH=10 unchanged'!C240+'CurrentPor-LH=10 unchanged'!I240)/100)+103/POWER(1+('CurrentPor-LH=10 unchanged'!D240+'CurrentPor-LH=10 unchanged'!I240)/100,2))*100</f>
        <v>9580.0821636801211</v>
      </c>
      <c r="F240">
        <f>Portfolio!B$5*'CurrentPor-LH=10 unchanged'!E240</f>
        <v>52143.895533915893</v>
      </c>
      <c r="G240">
        <f>Portfolio!B$6*'CurrentPor-LH=10 unchanged'!F240</f>
        <v>3696.2945087936532</v>
      </c>
      <c r="H240">
        <f>Portfolio!B$7*'CurrentPor-LH=10 unchanged'!J240</f>
        <v>2148.0998964419859</v>
      </c>
      <c r="I240">
        <f t="shared" si="6"/>
        <v>96524.145377910711</v>
      </c>
      <c r="J240">
        <f t="shared" si="7"/>
        <v>9.3961455474491231</v>
      </c>
    </row>
    <row r="241" spans="1:10">
      <c r="A241" s="1">
        <v>45806</v>
      </c>
      <c r="B241">
        <f>(3/(1+('CurrentPor-LH=10 unchanged'!C241)/100)+103/POWER(1+('CurrentPor-LH=10 unchanged'!D241)/100,2))*100</f>
        <v>9707.5857774288397</v>
      </c>
      <c r="C241">
        <f>(3/(1+('CurrentPor-LH=10 unchanged'!C241+'CurrentPor-LH=10 unchanged'!G241)/100)+103/POWER(1+('CurrentPor-LH=10 unchanged'!D241+'CurrentPor-LH=10 unchanged'!G241)/100,2))*100</f>
        <v>9629.3462478417932</v>
      </c>
      <c r="D241">
        <f>(3/(1+('CurrentPor-LH=10 unchanged'!C241+'CurrentPor-LH=10 unchanged'!H241)/100)+103/POWER(1+('CurrentPor-LH=10 unchanged'!D241+'CurrentPor-LH=10 unchanged'!H241)/100,2))*100</f>
        <v>9607.5250496986118</v>
      </c>
      <c r="E241">
        <f>(3/(1+('CurrentPor-LH=10 unchanged'!C241+'CurrentPor-LH=10 unchanged'!I241)/100)+103/POWER(1+('CurrentPor-LH=10 unchanged'!D241+'CurrentPor-LH=10 unchanged'!I241)/100,2))*100</f>
        <v>9578.6026130307127</v>
      </c>
      <c r="F241">
        <f>Portfolio!B$5*'CurrentPor-LH=10 unchanged'!E241</f>
        <v>52143.895533915893</v>
      </c>
      <c r="G241">
        <f>Portfolio!B$6*'CurrentPor-LH=10 unchanged'!F241</f>
        <v>3696.2945087936532</v>
      </c>
      <c r="H241">
        <f>Portfolio!B$7*'CurrentPor-LH=10 unchanged'!J241</f>
        <v>2148.0998964419859</v>
      </c>
      <c r="I241">
        <f t="shared" si="6"/>
        <v>96511.349627151489</v>
      </c>
      <c r="J241">
        <f t="shared" si="7"/>
        <v>-17.817001702875132</v>
      </c>
    </row>
    <row r="242" spans="1:10">
      <c r="A242" s="1">
        <v>45807</v>
      </c>
      <c r="B242">
        <f>(3/(1+('CurrentPor-LH=10 unchanged'!C242)/100)+103/POWER(1+('CurrentPor-LH=10 unchanged'!D242)/100,2))*100</f>
        <v>9707.5857774288397</v>
      </c>
      <c r="C242">
        <f>(3/(1+('CurrentPor-LH=10 unchanged'!C242+'CurrentPor-LH=10 unchanged'!G242)/100)+103/POWER(1+('CurrentPor-LH=10 unchanged'!D242+'CurrentPor-LH=10 unchanged'!G242)/100,2))*100</f>
        <v>9647.4306754259378</v>
      </c>
      <c r="D242">
        <f>(3/(1+('CurrentPor-LH=10 unchanged'!C242+'CurrentPor-LH=10 unchanged'!H242)/100)+103/POWER(1+('CurrentPor-LH=10 unchanged'!D242+'CurrentPor-LH=10 unchanged'!H242)/100,2))*100</f>
        <v>9597.1837849055282</v>
      </c>
      <c r="E242">
        <f>(3/(1+('CurrentPor-LH=10 unchanged'!C242+'CurrentPor-LH=10 unchanged'!I242)/100)+103/POWER(1+('CurrentPor-LH=10 unchanged'!D242+'CurrentPor-LH=10 unchanged'!I242)/100,2))*100</f>
        <v>9582.1736022824825</v>
      </c>
      <c r="F242">
        <f>Portfolio!B$5*'CurrentPor-LH=10 unchanged'!E242</f>
        <v>52143.895533915893</v>
      </c>
      <c r="G242">
        <f>Portfolio!B$6*'CurrentPor-LH=10 unchanged'!F242</f>
        <v>3696.2945087936532</v>
      </c>
      <c r="H242">
        <f>Portfolio!B$7*'CurrentPor-LH=10 unchanged'!J242</f>
        <v>2148.0998964419859</v>
      </c>
      <c r="I242">
        <f t="shared" si="6"/>
        <v>96522.663779194321</v>
      </c>
      <c r="J242">
        <f t="shared" si="7"/>
        <v>-6.5243230473861331</v>
      </c>
    </row>
    <row r="243" spans="1:10">
      <c r="A243" s="1">
        <v>45810</v>
      </c>
      <c r="B243">
        <f>(3/(1+('CurrentPor-LH=10 unchanged'!C243)/100)+103/POWER(1+('CurrentPor-LH=10 unchanged'!D243)/100,2))*100</f>
        <v>9707.5857774288397</v>
      </c>
      <c r="C243">
        <f>(3/(1+('CurrentPor-LH=10 unchanged'!C243+'CurrentPor-LH=10 unchanged'!G243)/100)+103/POWER(1+('CurrentPor-LH=10 unchanged'!D243+'CurrentPor-LH=10 unchanged'!G243)/100,2))*100</f>
        <v>9646.443258596395</v>
      </c>
      <c r="D243">
        <f>(3/(1+('CurrentPor-LH=10 unchanged'!C243+'CurrentPor-LH=10 unchanged'!H243)/100)+103/POWER(1+('CurrentPor-LH=10 unchanged'!D243+'CurrentPor-LH=10 unchanged'!H243)/100,2))*100</f>
        <v>9572.7564993013239</v>
      </c>
      <c r="E243">
        <f>(3/(1+('CurrentPor-LH=10 unchanged'!C243+'CurrentPor-LH=10 unchanged'!I243)/100)+103/POWER(1+('CurrentPor-LH=10 unchanged'!D243+'CurrentPor-LH=10 unchanged'!I243)/100,2))*100</f>
        <v>9581.3238986982269</v>
      </c>
      <c r="F243">
        <f>Portfolio!B$5*'CurrentPor-LH=10 unchanged'!E243</f>
        <v>52143.895533915893</v>
      </c>
      <c r="G243">
        <f>Portfolio!B$6*'CurrentPor-LH=10 unchanged'!F243</f>
        <v>3696.2945087936532</v>
      </c>
      <c r="H243">
        <f>Portfolio!B$7*'CurrentPor-LH=10 unchanged'!J243</f>
        <v>2148.0998964419859</v>
      </c>
      <c r="I243">
        <f t="shared" si="6"/>
        <v>96496.399373176318</v>
      </c>
      <c r="J243">
        <f t="shared" si="7"/>
        <v>-11.201724408514565</v>
      </c>
    </row>
    <row r="244" spans="1:10">
      <c r="A244" s="1">
        <v>45811</v>
      </c>
      <c r="B244">
        <f>(3/(1+('CurrentPor-LH=10 unchanged'!C244)/100)+103/POWER(1+('CurrentPor-LH=10 unchanged'!D244)/100,2))*100</f>
        <v>9707.5857774288397</v>
      </c>
      <c r="C244">
        <f>(3/(1+('CurrentPor-LH=10 unchanged'!C244+'CurrentPor-LH=10 unchanged'!G244)/100)+103/POWER(1+('CurrentPor-LH=10 unchanged'!D244+'CurrentPor-LH=10 unchanged'!G244)/100,2))*100</f>
        <v>9637.7754587464933</v>
      </c>
      <c r="D244">
        <f>(3/(1+('CurrentPor-LH=10 unchanged'!C244+'CurrentPor-LH=10 unchanged'!H244)/100)+103/POWER(1+('CurrentPor-LH=10 unchanged'!D244+'CurrentPor-LH=10 unchanged'!H244)/100,2))*100</f>
        <v>9593.0813615029529</v>
      </c>
      <c r="E244">
        <f>(3/(1+('CurrentPor-LH=10 unchanged'!C244+'CurrentPor-LH=10 unchanged'!I244)/100)+103/POWER(1+('CurrentPor-LH=10 unchanged'!D244+'CurrentPor-LH=10 unchanged'!I244)/100,2))*100</f>
        <v>9582.0486269684279</v>
      </c>
      <c r="F244">
        <f>Portfolio!B$5*'CurrentPor-LH=10 unchanged'!E244</f>
        <v>52143.895533915893</v>
      </c>
      <c r="G244">
        <f>Portfolio!B$6*'CurrentPor-LH=10 unchanged'!F244</f>
        <v>3696.2945087936532</v>
      </c>
      <c r="H244">
        <f>Portfolio!B$7*'CurrentPor-LH=10 unchanged'!J244</f>
        <v>2148.0998964419859</v>
      </c>
      <c r="I244">
        <f t="shared" si="6"/>
        <v>96508.781163798252</v>
      </c>
      <c r="J244">
        <f t="shared" si="7"/>
        <v>-25.160536361348932</v>
      </c>
    </row>
    <row r="245" spans="1:10">
      <c r="A245" s="1">
        <v>45812</v>
      </c>
      <c r="B245">
        <f>(3/(1+('CurrentPor-LH=10 unchanged'!C245)/100)+103/POWER(1+('CurrentPor-LH=10 unchanged'!D245)/100,2))*100</f>
        <v>9707.5857774288397</v>
      </c>
      <c r="C245">
        <f>(3/(1+('CurrentPor-LH=10 unchanged'!C245+'CurrentPor-LH=10 unchanged'!G245)/100)+103/POWER(1+('CurrentPor-LH=10 unchanged'!D245+'CurrentPor-LH=10 unchanged'!G245)/100,2))*100</f>
        <v>9645.6825283360013</v>
      </c>
      <c r="D245">
        <f>(3/(1+('CurrentPor-LH=10 unchanged'!C245+'CurrentPor-LH=10 unchanged'!H245)/100)+103/POWER(1+('CurrentPor-LH=10 unchanged'!D245+'CurrentPor-LH=10 unchanged'!H245)/100,2))*100</f>
        <v>9597.8939726600911</v>
      </c>
      <c r="E245">
        <f>(3/(1+('CurrentPor-LH=10 unchanged'!C245+'CurrentPor-LH=10 unchanged'!I245)/100)+103/POWER(1+('CurrentPor-LH=10 unchanged'!D245+'CurrentPor-LH=10 unchanged'!I245)/100,2))*100</f>
        <v>9578.7316904421295</v>
      </c>
      <c r="F245">
        <f>Portfolio!B$5*'CurrentPor-LH=10 unchanged'!E245</f>
        <v>52143.895533915893</v>
      </c>
      <c r="G245">
        <f>Portfolio!B$6*'CurrentPor-LH=10 unchanged'!F245</f>
        <v>3696.2945087936532</v>
      </c>
      <c r="H245">
        <f>Portfolio!B$7*'CurrentPor-LH=10 unchanged'!J245</f>
        <v>2148.0998964419859</v>
      </c>
      <c r="I245">
        <f t="shared" si="6"/>
        <v>96518.183908018589</v>
      </c>
      <c r="J245">
        <f t="shared" si="7"/>
        <v>-18.161934156814823</v>
      </c>
    </row>
    <row r="246" spans="1:10">
      <c r="A246" s="1">
        <v>45813</v>
      </c>
      <c r="B246">
        <f>(3/(1+('CurrentPor-LH=10 unchanged'!C246)/100)+103/POWER(1+('CurrentPor-LH=10 unchanged'!D246)/100,2))*100</f>
        <v>9707.5857774288397</v>
      </c>
      <c r="C246">
        <f>(3/(1+('CurrentPor-LH=10 unchanged'!C246+'CurrentPor-LH=10 unchanged'!G246)/100)+103/POWER(1+('CurrentPor-LH=10 unchanged'!D246+'CurrentPor-LH=10 unchanged'!G246)/100,2))*100</f>
        <v>9644.3831316621963</v>
      </c>
      <c r="D246">
        <f>(3/(1+('CurrentPor-LH=10 unchanged'!C246+'CurrentPor-LH=10 unchanged'!H246)/100)+103/POWER(1+('CurrentPor-LH=10 unchanged'!D246+'CurrentPor-LH=10 unchanged'!H246)/100,2))*100</f>
        <v>9593.3096901691606</v>
      </c>
      <c r="E246">
        <f>(3/(1+('CurrentPor-LH=10 unchanged'!C246+'CurrentPor-LH=10 unchanged'!I246)/100)+103/POWER(1+('CurrentPor-LH=10 unchanged'!D246+'CurrentPor-LH=10 unchanged'!I246)/100,2))*100</f>
        <v>9580.5509122102358</v>
      </c>
      <c r="F246">
        <f>Portfolio!B$5*'CurrentPor-LH=10 unchanged'!E246</f>
        <v>52143.895533915893</v>
      </c>
      <c r="G246">
        <f>Portfolio!B$6*'CurrentPor-LH=10 unchanged'!F246</f>
        <v>3696.2945087936532</v>
      </c>
      <c r="H246">
        <f>Portfolio!B$7*'CurrentPor-LH=10 unchanged'!J246</f>
        <v>2148.0998964419859</v>
      </c>
      <c r="I246">
        <f t="shared" si="6"/>
        <v>96514.119450621962</v>
      </c>
      <c r="J246">
        <f t="shared" si="7"/>
        <v>-14.684921495922026</v>
      </c>
    </row>
    <row r="247" spans="1:10">
      <c r="A247" s="1">
        <v>45814</v>
      </c>
      <c r="B247">
        <f>(3/(1+('CurrentPor-LH=10 unchanged'!C247)/100)+103/POWER(1+('CurrentPor-LH=10 unchanged'!D247)/100,2))*100</f>
        <v>9707.5857774288397</v>
      </c>
      <c r="C247">
        <f>(3/(1+('CurrentPor-LH=10 unchanged'!C247+'CurrentPor-LH=10 unchanged'!G247)/100)+103/POWER(1+('CurrentPor-LH=10 unchanged'!D247+'CurrentPor-LH=10 unchanged'!G247)/100,2))*100</f>
        <v>9645.5767532526897</v>
      </c>
      <c r="D247">
        <f>(3/(1+('CurrentPor-LH=10 unchanged'!C247+'CurrentPor-LH=10 unchanged'!H247)/100)+103/POWER(1+('CurrentPor-LH=10 unchanged'!D247+'CurrentPor-LH=10 unchanged'!H247)/100,2))*100</f>
        <v>9610.7434309632899</v>
      </c>
      <c r="E247">
        <f>(3/(1+('CurrentPor-LH=10 unchanged'!C247+'CurrentPor-LH=10 unchanged'!I247)/100)+103/POWER(1+('CurrentPor-LH=10 unchanged'!D247+'CurrentPor-LH=10 unchanged'!I247)/100,2))*100</f>
        <v>9580.5703435403866</v>
      </c>
      <c r="F247">
        <f>Portfolio!B$5*'CurrentPor-LH=10 unchanged'!E247</f>
        <v>52143.895533915893</v>
      </c>
      <c r="G247">
        <f>Portfolio!B$6*'CurrentPor-LH=10 unchanged'!F247</f>
        <v>3696.2945087936532</v>
      </c>
      <c r="H247">
        <f>Portfolio!B$7*'CurrentPor-LH=10 unchanged'!J247</f>
        <v>2148.0998964419859</v>
      </c>
      <c r="I247">
        <f t="shared" si="6"/>
        <v>96532.766244336744</v>
      </c>
      <c r="J247">
        <f t="shared" si="7"/>
        <v>10.641993987592286</v>
      </c>
    </row>
    <row r="248" spans="1:10">
      <c r="A248" s="1">
        <v>45817</v>
      </c>
      <c r="B248">
        <f>(3/(1+('CurrentPor-LH=10 unchanged'!C248)/100)+103/POWER(1+('CurrentPor-LH=10 unchanged'!D248)/100,2))*100</f>
        <v>9707.5857774288397</v>
      </c>
      <c r="C248">
        <f>(3/(1+('CurrentPor-LH=10 unchanged'!C248+'CurrentPor-LH=10 unchanged'!G248)/100)+103/POWER(1+('CurrentPor-LH=10 unchanged'!D248+'CurrentPor-LH=10 unchanged'!G248)/100,2))*100</f>
        <v>9649.2772476318569</v>
      </c>
      <c r="D248">
        <f>(3/(1+('CurrentPor-LH=10 unchanged'!C248+'CurrentPor-LH=10 unchanged'!H248)/100)+103/POWER(1+('CurrentPor-LH=10 unchanged'!D248+'CurrentPor-LH=10 unchanged'!H248)/100,2))*100</f>
        <v>9598.225577826046</v>
      </c>
      <c r="E248">
        <f>(3/(1+('CurrentPor-LH=10 unchanged'!C248+'CurrentPor-LH=10 unchanged'!I248)/100)+103/POWER(1+('CurrentPor-LH=10 unchanged'!D248+'CurrentPor-LH=10 unchanged'!I248)/100,2))*100</f>
        <v>9578.8212801099562</v>
      </c>
      <c r="F248">
        <f>Portfolio!B$5*'CurrentPor-LH=10 unchanged'!E248</f>
        <v>52143.895533915893</v>
      </c>
      <c r="G248">
        <f>Portfolio!B$6*'CurrentPor-LH=10 unchanged'!F248</f>
        <v>3696.2945087936532</v>
      </c>
      <c r="H248">
        <f>Portfolio!B$7*'CurrentPor-LH=10 unchanged'!J248</f>
        <v>2148.0998964419859</v>
      </c>
      <c r="I248">
        <f t="shared" si="6"/>
        <v>96522.199822148235</v>
      </c>
      <c r="J248">
        <f t="shared" si="7"/>
        <v>15.503735446487553</v>
      </c>
    </row>
    <row r="249" spans="1:10">
      <c r="A249" s="1">
        <v>45818</v>
      </c>
      <c r="B249">
        <f>(3/(1+('CurrentPor-LH=10 unchanged'!C249)/100)+103/POWER(1+('CurrentPor-LH=10 unchanged'!D249)/100,2))*100</f>
        <v>9707.5857774288397</v>
      </c>
      <c r="C249">
        <f>(3/(1+('CurrentPor-LH=10 unchanged'!C249+'CurrentPor-LH=10 unchanged'!G249)/100)+103/POWER(1+('CurrentPor-LH=10 unchanged'!D249+'CurrentPor-LH=10 unchanged'!G249)/100,2))*100</f>
        <v>9655.075733187794</v>
      </c>
      <c r="D249">
        <f>(3/(1+('CurrentPor-LH=10 unchanged'!C249+'CurrentPor-LH=10 unchanged'!H249)/100)+103/POWER(1+('CurrentPor-LH=10 unchanged'!D249+'CurrentPor-LH=10 unchanged'!H249)/100,2))*100</f>
        <v>9594.2397413920589</v>
      </c>
      <c r="E249">
        <f>(3/(1+('CurrentPor-LH=10 unchanged'!C249+'CurrentPor-LH=10 unchanged'!I249)/100)+103/POWER(1+('CurrentPor-LH=10 unchanged'!D249+'CurrentPor-LH=10 unchanged'!I249)/100,2))*100</f>
        <v>9580.40174148802</v>
      </c>
      <c r="F249">
        <f>Portfolio!B$5*'CurrentPor-LH=10 unchanged'!E249</f>
        <v>52143.895533915893</v>
      </c>
      <c r="G249">
        <f>Portfolio!B$6*'CurrentPor-LH=10 unchanged'!F249</f>
        <v>3696.2945087936532</v>
      </c>
      <c r="H249">
        <f>Portfolio!B$7*'CurrentPor-LH=10 unchanged'!J249</f>
        <v>2148.0998964419859</v>
      </c>
      <c r="I249">
        <f t="shared" si="6"/>
        <v>96525.592932648244</v>
      </c>
      <c r="J249">
        <f t="shared" si="7"/>
        <v>4.5370281956566032</v>
      </c>
    </row>
    <row r="250" spans="1:10">
      <c r="A250" s="1">
        <v>45819</v>
      </c>
      <c r="B250">
        <f>(3/(1+('CurrentPor-LH=10 unchanged'!C250)/100)+103/POWER(1+('CurrentPor-LH=10 unchanged'!D250)/100,2))*100</f>
        <v>9707.5857774288397</v>
      </c>
      <c r="C250">
        <f>(3/(1+('CurrentPor-LH=10 unchanged'!C250+'CurrentPor-LH=10 unchanged'!G250)/100)+103/POWER(1+('CurrentPor-LH=10 unchanged'!D250+'CurrentPor-LH=10 unchanged'!G250)/100,2))*100</f>
        <v>9650.3403534981917</v>
      </c>
      <c r="D250">
        <f>(3/(1+('CurrentPor-LH=10 unchanged'!C250+'CurrentPor-LH=10 unchanged'!H250)/100)+103/POWER(1+('CurrentPor-LH=10 unchanged'!D250+'CurrentPor-LH=10 unchanged'!H250)/100,2))*100</f>
        <v>9600.7061204328566</v>
      </c>
      <c r="E250">
        <f>(3/(1+('CurrentPor-LH=10 unchanged'!C250+'CurrentPor-LH=10 unchanged'!I250)/100)+103/POWER(1+('CurrentPor-LH=10 unchanged'!D250+'CurrentPor-LH=10 unchanged'!I250)/100,2))*100</f>
        <v>9582.3838735593145</v>
      </c>
      <c r="F250">
        <f>Portfolio!B$5*'CurrentPor-LH=10 unchanged'!E250</f>
        <v>52143.895533915893</v>
      </c>
      <c r="G250">
        <f>Portfolio!B$6*'CurrentPor-LH=10 unchanged'!F250</f>
        <v>3696.2945087936532</v>
      </c>
      <c r="H250">
        <f>Portfolio!B$7*'CurrentPor-LH=10 unchanged'!J250</f>
        <v>2148.0998964419859</v>
      </c>
      <c r="I250">
        <f t="shared" si="6"/>
        <v>96529.306064070741</v>
      </c>
      <c r="J250">
        <f t="shared" si="7"/>
        <v>5.1606861600303091</v>
      </c>
    </row>
    <row r="251" spans="1:10">
      <c r="A251" s="1">
        <v>45820</v>
      </c>
      <c r="B251">
        <f>(3/(1+('CurrentPor-LH=10 unchanged'!C251)/100)+103/POWER(1+('CurrentPor-LH=10 unchanged'!D251)/100,2))*100</f>
        <v>9707.5857774288397</v>
      </c>
      <c r="C251">
        <f>(3/(1+('CurrentPor-LH=10 unchanged'!C251+'CurrentPor-LH=10 unchanged'!G251)/100)+103/POWER(1+('CurrentPor-LH=10 unchanged'!D251+'CurrentPor-LH=10 unchanged'!G251)/100,2))*100</f>
        <v>9629.526657333301</v>
      </c>
      <c r="D251">
        <f>(3/(1+('CurrentPor-LH=10 unchanged'!C251+'CurrentPor-LH=10 unchanged'!H251)/100)+103/POWER(1+('CurrentPor-LH=10 unchanged'!D251+'CurrentPor-LH=10 unchanged'!H251)/100,2))*100</f>
        <v>9595.4375715804908</v>
      </c>
      <c r="E251">
        <f>(3/(1+('CurrentPor-LH=10 unchanged'!C251+'CurrentPor-LH=10 unchanged'!I251)/100)+103/POWER(1+('CurrentPor-LH=10 unchanged'!D251+'CurrentPor-LH=10 unchanged'!I251)/100,2))*100</f>
        <v>9578.8778233571502</v>
      </c>
      <c r="F251">
        <f>Portfolio!B$5*'CurrentPor-LH=10 unchanged'!E251</f>
        <v>52143.895533915893</v>
      </c>
      <c r="G251">
        <f>Portfolio!B$6*'CurrentPor-LH=10 unchanged'!F251</f>
        <v>3696.2945087936532</v>
      </c>
      <c r="H251">
        <f>Portfolio!B$7*'CurrentPor-LH=10 unchanged'!J251</f>
        <v>2148.0998964419859</v>
      </c>
      <c r="I251">
        <f t="shared" si="6"/>
        <v>96499.717768851304</v>
      </c>
      <c r="J251">
        <f t="shared" si="7"/>
        <v>-11.631858300184831</v>
      </c>
    </row>
    <row r="252" spans="1:10">
      <c r="A252" s="1">
        <v>45821</v>
      </c>
      <c r="B252">
        <f>(3/(1+('CurrentPor-LH=10 unchanged'!C252)/100)+103/POWER(1+('CurrentPor-LH=10 unchanged'!D252)/100,2))*100</f>
        <v>9707.5857774288397</v>
      </c>
      <c r="C252">
        <f>(3/(1+('CurrentPor-LH=10 unchanged'!C252+'CurrentPor-LH=10 unchanged'!G252)/100)+103/POWER(1+('CurrentPor-LH=10 unchanged'!D252+'CurrentPor-LH=10 unchanged'!G252)/100,2))*100</f>
        <v>9639.3599360354947</v>
      </c>
      <c r="D252">
        <f>(3/(1+('CurrentPor-LH=10 unchanged'!C252+'CurrentPor-LH=10 unchanged'!H252)/100)+103/POWER(1+('CurrentPor-LH=10 unchanged'!D252+'CurrentPor-LH=10 unchanged'!H252)/100,2))*100</f>
        <v>9592.9537116926895</v>
      </c>
      <c r="E252">
        <f>(3/(1+('CurrentPor-LH=10 unchanged'!C252+'CurrentPor-LH=10 unchanged'!I252)/100)+103/POWER(1+('CurrentPor-LH=10 unchanged'!D252+'CurrentPor-LH=10 unchanged'!I252)/100,2))*100</f>
        <v>9580.31831520378</v>
      </c>
      <c r="F252">
        <f>Portfolio!B$5*'CurrentPor-LH=10 unchanged'!E252</f>
        <v>52143.895533915893</v>
      </c>
      <c r="G252">
        <f>Portfolio!B$6*'CurrentPor-LH=10 unchanged'!F252</f>
        <v>3696.2945087936532</v>
      </c>
      <c r="H252">
        <f>Portfolio!B$7*'CurrentPor-LH=10 unchanged'!J252</f>
        <v>2148.0998964419859</v>
      </c>
      <c r="I252">
        <f t="shared" si="6"/>
        <v>96508.507679512331</v>
      </c>
      <c r="J252">
        <f t="shared" si="7"/>
        <v>-14.156099681989872</v>
      </c>
    </row>
    <row r="253" spans="1:10">
      <c r="A253" s="1">
        <v>45824</v>
      </c>
      <c r="B253">
        <f>(3/(1+('CurrentPor-LH=10 unchanged'!C253)/100)+103/POWER(1+('CurrentPor-LH=10 unchanged'!D253)/100,2))*100</f>
        <v>9707.5857774288397</v>
      </c>
      <c r="C253">
        <f>(3/(1+('CurrentPor-LH=10 unchanged'!C253+'CurrentPor-LH=10 unchanged'!G253)/100)+103/POWER(1+('CurrentPor-LH=10 unchanged'!D253+'CurrentPor-LH=10 unchanged'!G253)/100,2))*100</f>
        <v>9643.6287242966373</v>
      </c>
      <c r="D253">
        <f>(3/(1+('CurrentPor-LH=10 unchanged'!C253+'CurrentPor-LH=10 unchanged'!H253)/100)+103/POWER(1+('CurrentPor-LH=10 unchanged'!D253+'CurrentPor-LH=10 unchanged'!H253)/100,2))*100</f>
        <v>9589.1775051307741</v>
      </c>
      <c r="E253">
        <f>(3/(1+('CurrentPor-LH=10 unchanged'!C253+'CurrentPor-LH=10 unchanged'!I253)/100)+103/POWER(1+('CurrentPor-LH=10 unchanged'!D253+'CurrentPor-LH=10 unchanged'!I253)/100,2))*100</f>
        <v>9580.1762428978691</v>
      </c>
      <c r="F253">
        <f>Portfolio!B$5*'CurrentPor-LH=10 unchanged'!E253</f>
        <v>52143.895533915893</v>
      </c>
      <c r="G253">
        <f>Portfolio!B$6*'CurrentPor-LH=10 unchanged'!F253</f>
        <v>3696.2945087936532</v>
      </c>
      <c r="H253">
        <f>Portfolio!B$7*'CurrentPor-LH=10 unchanged'!J253</f>
        <v>2148.0998964419859</v>
      </c>
      <c r="I253">
        <f t="shared" si="6"/>
        <v>96508.858188905651</v>
      </c>
      <c r="J253">
        <f t="shared" si="7"/>
        <v>12.458815729332855</v>
      </c>
    </row>
    <row r="254" spans="1:10">
      <c r="A254" s="1">
        <v>45825</v>
      </c>
      <c r="B254">
        <f>(3/(1+('CurrentPor-LH=10 unchanged'!C254)/100)+103/POWER(1+('CurrentPor-LH=10 unchanged'!D254)/100,2))*100</f>
        <v>9707.5857774288397</v>
      </c>
      <c r="C254">
        <f>(3/(1+('CurrentPor-LH=10 unchanged'!C254+'CurrentPor-LH=10 unchanged'!G254)/100)+103/POWER(1+('CurrentPor-LH=10 unchanged'!D254+'CurrentPor-LH=10 unchanged'!G254)/100,2))*100</f>
        <v>9648.3062660592514</v>
      </c>
      <c r="D254">
        <f>(3/(1+('CurrentPor-LH=10 unchanged'!C254+'CurrentPor-LH=10 unchanged'!H254)/100)+103/POWER(1+('CurrentPor-LH=10 unchanged'!D254+'CurrentPor-LH=10 unchanged'!H254)/100,2))*100</f>
        <v>9599.9720638752624</v>
      </c>
      <c r="E254">
        <f>(3/(1+('CurrentPor-LH=10 unchanged'!C254+'CurrentPor-LH=10 unchanged'!I254)/100)+103/POWER(1+('CurrentPor-LH=10 unchanged'!D254+'CurrentPor-LH=10 unchanged'!I254)/100,2))*100</f>
        <v>9582.7185105677108</v>
      </c>
      <c r="F254">
        <f>Portfolio!B$5*'CurrentPor-LH=10 unchanged'!E254</f>
        <v>52143.895533915893</v>
      </c>
      <c r="G254">
        <f>Portfolio!B$6*'CurrentPor-LH=10 unchanged'!F254</f>
        <v>3696.2945087936532</v>
      </c>
      <c r="H254">
        <f>Portfolio!B$7*'CurrentPor-LH=10 unchanged'!J254</f>
        <v>2148.0998964419859</v>
      </c>
      <c r="I254">
        <f t="shared" si="6"/>
        <v>96526.872557082606</v>
      </c>
      <c r="J254">
        <f t="shared" si="7"/>
        <v>18.091393284354126</v>
      </c>
    </row>
    <row r="255" spans="1:10">
      <c r="A255" s="1">
        <v>45826</v>
      </c>
      <c r="B255">
        <f>(3/(1+('CurrentPor-LH=10 unchanged'!C255)/100)+103/POWER(1+('CurrentPor-LH=10 unchanged'!D255)/100,2))*100</f>
        <v>9707.5857774288397</v>
      </c>
      <c r="C255">
        <f>(3/(1+('CurrentPor-LH=10 unchanged'!C255+'CurrentPor-LH=10 unchanged'!G255)/100)+103/POWER(1+('CurrentPor-LH=10 unchanged'!D255+'CurrentPor-LH=10 unchanged'!G255)/100,2))*100</f>
        <v>9653.6418991343235</v>
      </c>
      <c r="D255">
        <f>(3/(1+('CurrentPor-LH=10 unchanged'!C255+'CurrentPor-LH=10 unchanged'!H255)/100)+103/POWER(1+('CurrentPor-LH=10 unchanged'!D255+'CurrentPor-LH=10 unchanged'!H255)/100,2))*100</f>
        <v>9616.0143118851229</v>
      </c>
      <c r="E255">
        <f>(3/(1+('CurrentPor-LH=10 unchanged'!C255+'CurrentPor-LH=10 unchanged'!I255)/100)+103/POWER(1+('CurrentPor-LH=10 unchanged'!D255+'CurrentPor-LH=10 unchanged'!I255)/100,2))*100</f>
        <v>9579.010759048615</v>
      </c>
      <c r="F255">
        <f>Portfolio!B$5*'CurrentPor-LH=10 unchanged'!E255</f>
        <v>52143.895533915893</v>
      </c>
      <c r="G255">
        <f>Portfolio!B$6*'CurrentPor-LH=10 unchanged'!F255</f>
        <v>3696.2945087936532</v>
      </c>
      <c r="H255">
        <f>Portfolio!B$7*'CurrentPor-LH=10 unchanged'!J255</f>
        <v>2148.0998964419859</v>
      </c>
      <c r="I255">
        <f t="shared" si="6"/>
        <v>96544.542686648419</v>
      </c>
      <c r="J255">
        <f t="shared" si="7"/>
        <v>26.35877862983034</v>
      </c>
    </row>
    <row r="256" spans="1:10">
      <c r="A256" s="1">
        <v>45827</v>
      </c>
      <c r="B256">
        <f>(3/(1+('CurrentPor-LH=10 unchanged'!C256)/100)+103/POWER(1+('CurrentPor-LH=10 unchanged'!D256)/100,2))*100</f>
        <v>9707.5857774288397</v>
      </c>
      <c r="C256">
        <f>(3/(1+('CurrentPor-LH=10 unchanged'!C256+'CurrentPor-LH=10 unchanged'!G256)/100)+103/POWER(1+('CurrentPor-LH=10 unchanged'!D256+'CurrentPor-LH=10 unchanged'!G256)/100,2))*100</f>
        <v>9643.9084611421295</v>
      </c>
      <c r="D256">
        <f>(3/(1+('CurrentPor-LH=10 unchanged'!C256+'CurrentPor-LH=10 unchanged'!H256)/100)+103/POWER(1+('CurrentPor-LH=10 unchanged'!D256+'CurrentPor-LH=10 unchanged'!H256)/100,2))*100</f>
        <v>9603.2456808209172</v>
      </c>
      <c r="E256">
        <f>(3/(1+('CurrentPor-LH=10 unchanged'!C256+'CurrentPor-LH=10 unchanged'!I256)/100)+103/POWER(1+('CurrentPor-LH=10 unchanged'!D256+'CurrentPor-LH=10 unchanged'!I256)/100,2))*100</f>
        <v>9580.7188362021134</v>
      </c>
      <c r="F256">
        <f>Portfolio!B$5*'CurrentPor-LH=10 unchanged'!E256</f>
        <v>52143.895533915893</v>
      </c>
      <c r="G256">
        <f>Portfolio!B$6*'CurrentPor-LH=10 unchanged'!F256</f>
        <v>3696.2945087936532</v>
      </c>
      <c r="H256">
        <f>Portfolio!B$7*'CurrentPor-LH=10 unchanged'!J256</f>
        <v>2148.0998964419859</v>
      </c>
      <c r="I256">
        <f t="shared" si="6"/>
        <v>96523.748694745533</v>
      </c>
      <c r="J256">
        <f t="shared" si="7"/>
        <v>9.6292441235709703</v>
      </c>
    </row>
    <row r="257" spans="1:10">
      <c r="A257" s="1">
        <v>45828</v>
      </c>
      <c r="B257">
        <f>(3/(1+('CurrentPor-LH=10 unchanged'!C257)/100)+103/POWER(1+('CurrentPor-LH=10 unchanged'!D257)/100,2))*100</f>
        <v>9707.5857774288397</v>
      </c>
      <c r="C257">
        <f>(3/(1+('CurrentPor-LH=10 unchanged'!C257+'CurrentPor-LH=10 unchanged'!G257)/100)+103/POWER(1+('CurrentPor-LH=10 unchanged'!D257+'CurrentPor-LH=10 unchanged'!G257)/100,2))*100</f>
        <v>9646.1527201648387</v>
      </c>
      <c r="D257">
        <f>(3/(1+('CurrentPor-LH=10 unchanged'!C257+'CurrentPor-LH=10 unchanged'!H257)/100)+103/POWER(1+('CurrentPor-LH=10 unchanged'!D257+'CurrentPor-LH=10 unchanged'!H257)/100,2))*100</f>
        <v>9580.7913676363278</v>
      </c>
      <c r="E257">
        <f>(3/(1+('CurrentPor-LH=10 unchanged'!C257+'CurrentPor-LH=10 unchanged'!I257)/100)+103/POWER(1+('CurrentPor-LH=10 unchanged'!D257+'CurrentPor-LH=10 unchanged'!I257)/100,2))*100</f>
        <v>9579.0823356422243</v>
      </c>
      <c r="F257">
        <f>Portfolio!B$5*'CurrentPor-LH=10 unchanged'!E257</f>
        <v>52143.895533915893</v>
      </c>
      <c r="G257">
        <f>Portfolio!B$6*'CurrentPor-LH=10 unchanged'!F257</f>
        <v>3696.2945087936532</v>
      </c>
      <c r="H257">
        <f>Portfolio!B$7*'CurrentPor-LH=10 unchanged'!J257</f>
        <v>2148.0998964419859</v>
      </c>
      <c r="I257">
        <f t="shared" si="6"/>
        <v>96501.902140023754</v>
      </c>
      <c r="J257">
        <f t="shared" si="7"/>
        <v>-30.864104312990094</v>
      </c>
    </row>
    <row r="258" spans="1:10">
      <c r="A258" s="1">
        <v>45831</v>
      </c>
      <c r="B258">
        <f>(3/(1+('CurrentPor-LH=10 unchanged'!C258)/100)+103/POWER(1+('CurrentPor-LH=10 unchanged'!D258)/100,2))*100</f>
        <v>9707.5857774288397</v>
      </c>
      <c r="C258">
        <f>(3/(1+('CurrentPor-LH=10 unchanged'!C258+'CurrentPor-LH=10 unchanged'!G258)/100)+103/POWER(1+('CurrentPor-LH=10 unchanged'!D258+'CurrentPor-LH=10 unchanged'!G258)/100,2))*100</f>
        <v>9641.887956649216</v>
      </c>
      <c r="D258">
        <f>(3/(1+('CurrentPor-LH=10 unchanged'!C258+'CurrentPor-LH=10 unchanged'!H258)/100)+103/POWER(1+('CurrentPor-LH=10 unchanged'!D258+'CurrentPor-LH=10 unchanged'!H258)/100,2))*100</f>
        <v>9609.6312191696743</v>
      </c>
      <c r="E258">
        <f>(3/(1+('CurrentPor-LH=10 unchanged'!C258+'CurrentPor-LH=10 unchanged'!I258)/100)+103/POWER(1+('CurrentPor-LH=10 unchanged'!D258+'CurrentPor-LH=10 unchanged'!I258)/100,2))*100</f>
        <v>9579.6288351442217</v>
      </c>
      <c r="F258">
        <f>Portfolio!B$5*'CurrentPor-LH=10 unchanged'!E258</f>
        <v>52143.895533915893</v>
      </c>
      <c r="G258">
        <f>Portfolio!B$6*'CurrentPor-LH=10 unchanged'!F258</f>
        <v>3696.2945087936532</v>
      </c>
      <c r="H258">
        <f>Portfolio!B$7*'CurrentPor-LH=10 unchanged'!J258</f>
        <v>2148.0998964419859</v>
      </c>
      <c r="I258">
        <f t="shared" si="6"/>
        <v>96527.023727543492</v>
      </c>
      <c r="J258">
        <f t="shared" si="7"/>
        <v>4.8239053952565882</v>
      </c>
    </row>
    <row r="259" spans="1:10">
      <c r="A259" s="1">
        <v>45832</v>
      </c>
      <c r="B259">
        <f>(3/(1+('CurrentPor-LH=10 unchanged'!C259)/100)+103/POWER(1+('CurrentPor-LH=10 unchanged'!D259)/100,2))*100</f>
        <v>9707.5857774288397</v>
      </c>
      <c r="C259">
        <f>(3/(1+('CurrentPor-LH=10 unchanged'!C259+'CurrentPor-LH=10 unchanged'!G259)/100)+103/POWER(1+('CurrentPor-LH=10 unchanged'!D259+'CurrentPor-LH=10 unchanged'!G259)/100,2))*100</f>
        <v>9617.2088948996352</v>
      </c>
      <c r="D259">
        <f>(3/(1+('CurrentPor-LH=10 unchanged'!C259+'CurrentPor-LH=10 unchanged'!H259)/100)+103/POWER(1+('CurrentPor-LH=10 unchanged'!D259+'CurrentPor-LH=10 unchanged'!H259)/100,2))*100</f>
        <v>9599.9436299683312</v>
      </c>
      <c r="E259">
        <f>(3/(1+('CurrentPor-LH=10 unchanged'!C259+'CurrentPor-LH=10 unchanged'!I259)/100)+103/POWER(1+('CurrentPor-LH=10 unchanged'!D259+'CurrentPor-LH=10 unchanged'!I259)/100,2))*100</f>
        <v>9580.8706323447968</v>
      </c>
      <c r="F259">
        <f>Portfolio!B$5*'CurrentPor-LH=10 unchanged'!E259</f>
        <v>52143.895533915893</v>
      </c>
      <c r="G259">
        <f>Portfolio!B$6*'CurrentPor-LH=10 unchanged'!F259</f>
        <v>3696.2945087936532</v>
      </c>
      <c r="H259">
        <f>Portfolio!B$7*'CurrentPor-LH=10 unchanged'!J259</f>
        <v>2148.0998964419859</v>
      </c>
      <c r="I259">
        <f t="shared" si="6"/>
        <v>96493.898873793136</v>
      </c>
      <c r="J259">
        <f t="shared" si="7"/>
        <v>-31.694058855107869</v>
      </c>
    </row>
    <row r="260" spans="1:10">
      <c r="A260" s="1">
        <v>45833</v>
      </c>
      <c r="B260">
        <f>(3/(1+('CurrentPor-LH=10 unchanged'!C260)/100)+103/POWER(1+('CurrentPor-LH=10 unchanged'!D260)/100,2))*100</f>
        <v>9707.5857774288397</v>
      </c>
      <c r="C260">
        <f>(3/(1+('CurrentPor-LH=10 unchanged'!C260+'CurrentPor-LH=10 unchanged'!G260)/100)+103/POWER(1+('CurrentPor-LH=10 unchanged'!D260+'CurrentPor-LH=10 unchanged'!G260)/100,2))*100</f>
        <v>9638.968746779552</v>
      </c>
      <c r="D260">
        <f>(3/(1+('CurrentPor-LH=10 unchanged'!C260+'CurrentPor-LH=10 unchanged'!H260)/100)+103/POWER(1+('CurrentPor-LH=10 unchanged'!D260+'CurrentPor-LH=10 unchanged'!H260)/100,2))*100</f>
        <v>9600.1467176739607</v>
      </c>
      <c r="E260">
        <f>(3/(1+('CurrentPor-LH=10 unchanged'!C260+'CurrentPor-LH=10 unchanged'!I260)/100)+103/POWER(1+('CurrentPor-LH=10 unchanged'!D260+'CurrentPor-LH=10 unchanged'!I260)/100,2))*100</f>
        <v>9581.5270132168862</v>
      </c>
      <c r="F260">
        <f>Portfolio!B$5*'CurrentPor-LH=10 unchanged'!E260</f>
        <v>52143.895533915893</v>
      </c>
      <c r="G260">
        <f>Portfolio!B$6*'CurrentPor-LH=10 unchanged'!F260</f>
        <v>3696.2945087936532</v>
      </c>
      <c r="H260">
        <f>Portfolio!B$7*'CurrentPor-LH=10 unchanged'!J260</f>
        <v>2148.0998964419859</v>
      </c>
      <c r="I260">
        <f t="shared" ref="I260:I263" si="8">SUM(B260:H260)</f>
        <v>96516.518194250777</v>
      </c>
      <c r="J260">
        <f t="shared" si="7"/>
        <v>-12.787869819963817</v>
      </c>
    </row>
    <row r="261" spans="1:10">
      <c r="A261" s="1">
        <v>45834</v>
      </c>
      <c r="B261">
        <f>(3/(1+('CurrentPor-LH=10 unchanged'!C261)/100)+103/POWER(1+('CurrentPor-LH=10 unchanged'!D261)/100,2))*100</f>
        <v>9707.5857774288397</v>
      </c>
      <c r="C261">
        <f>(3/(1+('CurrentPor-LH=10 unchanged'!C261+'CurrentPor-LH=10 unchanged'!G261)/100)+103/POWER(1+('CurrentPor-LH=10 unchanged'!D261+'CurrentPor-LH=10 unchanged'!G261)/100,2))*100</f>
        <v>9620.4134052551908</v>
      </c>
      <c r="D261">
        <f>(3/(1+('CurrentPor-LH=10 unchanged'!C261+'CurrentPor-LH=10 unchanged'!H261)/100)+103/POWER(1+('CurrentPor-LH=10 unchanged'!D261+'CurrentPor-LH=10 unchanged'!H261)/100,2))*100</f>
        <v>9592.7745858498201</v>
      </c>
      <c r="E261">
        <f>(3/(1+('CurrentPor-LH=10 unchanged'!C261+'CurrentPor-LH=10 unchanged'!I261)/100)+103/POWER(1+('CurrentPor-LH=10 unchanged'!D261+'CurrentPor-LH=10 unchanged'!I261)/100,2))*100</f>
        <v>9579.9577290909056</v>
      </c>
      <c r="F261">
        <f>Portfolio!B$5*'CurrentPor-LH=10 unchanged'!E261</f>
        <v>52143.895533915893</v>
      </c>
      <c r="G261">
        <f>Portfolio!B$6*'CurrentPor-LH=10 unchanged'!F261</f>
        <v>3696.2945087936532</v>
      </c>
      <c r="H261">
        <f>Portfolio!B$7*'CurrentPor-LH=10 unchanged'!J261</f>
        <v>2148.0998964419859</v>
      </c>
      <c r="I261">
        <f t="shared" si="8"/>
        <v>96489.021436776282</v>
      </c>
      <c r="J261">
        <f t="shared" si="7"/>
        <v>-10.696332075021928</v>
      </c>
    </row>
    <row r="262" spans="1:10">
      <c r="A262" s="1">
        <v>45835</v>
      </c>
      <c r="B262">
        <f>(3/(1+('CurrentPor-LH=10 unchanged'!C262)/100)+103/POWER(1+('CurrentPor-LH=10 unchanged'!D262)/100,2))*100</f>
        <v>9707.5857774288397</v>
      </c>
      <c r="C262">
        <f>(3/(1+('CurrentPor-LH=10 unchanged'!C262+'CurrentPor-LH=10 unchanged'!G262)/100)+103/POWER(1+('CurrentPor-LH=10 unchanged'!D262+'CurrentPor-LH=10 unchanged'!G262)/100,2))*100</f>
        <v>9642.6262008599715</v>
      </c>
      <c r="D262">
        <f>(3/(1+('CurrentPor-LH=10 unchanged'!C262+'CurrentPor-LH=10 unchanged'!H262)/100)+103/POWER(1+('CurrentPor-LH=10 unchanged'!D262+'CurrentPor-LH=10 unchanged'!H262)/100,2))*100</f>
        <v>9601.0935830005292</v>
      </c>
      <c r="E262">
        <f>(3/(1+('CurrentPor-LH=10 unchanged'!C262+'CurrentPor-LH=10 unchanged'!I262)/100)+103/POWER(1+('CurrentPor-LH=10 unchanged'!D262+'CurrentPor-LH=10 unchanged'!I262)/100,2))*100</f>
        <v>9582.0954414573189</v>
      </c>
      <c r="F262">
        <f>Portfolio!B$5*'CurrentPor-LH=10 unchanged'!E262</f>
        <v>52143.895533915893</v>
      </c>
      <c r="G262">
        <f>Portfolio!B$6*'CurrentPor-LH=10 unchanged'!F262</f>
        <v>3696.2945087936532</v>
      </c>
      <c r="H262">
        <f>Portfolio!B$7*'CurrentPor-LH=10 unchanged'!J262</f>
        <v>2148.0998964419859</v>
      </c>
      <c r="I262">
        <f t="shared" si="8"/>
        <v>96521.690941898196</v>
      </c>
      <c r="J262">
        <f t="shared" si="7"/>
        <v>13.183262385864509</v>
      </c>
    </row>
    <row r="263" spans="1:10">
      <c r="A263" s="1">
        <v>45838</v>
      </c>
      <c r="B263">
        <f>(3/(1+('CurrentPor-LH=10 unchanged'!C263)/100)+103/POWER(1+('CurrentPor-LH=10 unchanged'!D263)/100,2))*100</f>
        <v>9707.5857774288397</v>
      </c>
      <c r="C263">
        <f>(3/(1+('CurrentPor-LH=10 unchanged'!C263+'CurrentPor-LH=10 unchanged'!G263)/100)+103/POWER(1+('CurrentPor-LH=10 unchanged'!D263+'CurrentPor-LH=10 unchanged'!G263)/100,2))*100</f>
        <v>9663.4973330196517</v>
      </c>
      <c r="D263">
        <f>(3/(1+('CurrentPor-LH=10 unchanged'!C263+'CurrentPor-LH=10 unchanged'!H263)/100)+103/POWER(1+('CurrentPor-LH=10 unchanged'!D263+'CurrentPor-LH=10 unchanged'!H263)/100,2))*100</f>
        <v>9604.1572253555169</v>
      </c>
      <c r="E263">
        <f>(3/(1+('CurrentPor-LH=10 unchanged'!C263+'CurrentPor-LH=10 unchanged'!I263)/100)+103/POWER(1+('CurrentPor-LH=10 unchanged'!D263+'CurrentPor-LH=10 unchanged'!I263)/100,2))*100</f>
        <v>9579.331729350537</v>
      </c>
      <c r="F263">
        <f>Portfolio!B$5*'CurrentPor-LH=10 unchanged'!E263</f>
        <v>52143.895533915893</v>
      </c>
      <c r="G263">
        <f>Portfolio!B$6*'CurrentPor-LH=10 unchanged'!F263</f>
        <v>3696.2945087936532</v>
      </c>
      <c r="H263">
        <f>Portfolio!B$7*'CurrentPor-LH=10 unchanged'!J263</f>
        <v>2148.0998964419859</v>
      </c>
      <c r="I263">
        <f t="shared" si="8"/>
        <v>96542.862004306066</v>
      </c>
      <c r="J263">
        <f t="shared" si="7"/>
        <v>34.003815400414169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6C34-D226-46B6-8EB4-18ECF1A087D0}">
  <dimension ref="A1:L263"/>
  <sheetViews>
    <sheetView topLeftCell="D1" workbookViewId="0">
      <selection activeCell="C6" sqref="C6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(3/(1+('CurrentPor-LH=20 unchanged'!C3)/100)+103/POWER(1+('CurrentPor-LH=20 unchanged'!D3)/100,2))*100</f>
        <v>9707.5857774288397</v>
      </c>
      <c r="C3">
        <f>(3/(1+('CurrentPor-LH=20 unchanged'!C3+'CurrentPor-LH=20 unchanged'!G3)/100)+103/POWER(1+('CurrentPor-LH=20 unchanged'!D3+'CurrentPor-LH=20 unchanged'!G3)/100,2))*100</f>
        <v>9614.9673582483465</v>
      </c>
      <c r="D3">
        <f>(3/(1+('CurrentPor-LH=20 unchanged'!C3+'CurrentPor-LH=20 unchanged'!H3)/100)+103/POWER(1+('CurrentPor-LH=20 unchanged'!D3+'CurrentPor-LH=20 unchanged'!H3)/100,2))*100</f>
        <v>9601.2395558122898</v>
      </c>
      <c r="E3">
        <f>(3/(1+('CurrentPor-LH=20 unchanged'!C3+'CurrentPor-LH=20 unchanged'!I3)/100)+103/POWER(1+('CurrentPor-LH=20 unchanged'!D3+'CurrentPor-LH=20 unchanged'!I3)/100,2))*100</f>
        <v>9581.4547115644182</v>
      </c>
      <c r="F3">
        <f>Portfolio!B$5*'CurrentPor-LH=20 unchanged'!E3</f>
        <v>52143.895533915893</v>
      </c>
      <c r="G3">
        <f>Portfolio!B$6*'CurrentPor-LH=20 unchanged'!F3</f>
        <v>3696.2945087936532</v>
      </c>
      <c r="H3">
        <f>Portfolio!B$7*'CurrentPor-LH=20 unchanged'!J3</f>
        <v>2148.0998964419859</v>
      </c>
      <c r="I3">
        <f>SUM(B3:H3)</f>
        <v>96493.537342205425</v>
      </c>
      <c r="K3" s="8">
        <f>_xlfn.PERCENTILE.INC(J13:J263, 0.025)</f>
        <v>-28.375833555099234</v>
      </c>
      <c r="L3">
        <f>AVERAGEIF(J13:J263, "&lt;="&amp;K3,J13:J263)</f>
        <v>-30.607706255543494</v>
      </c>
    </row>
    <row r="4" spans="1:12">
      <c r="A4" s="1">
        <v>45475</v>
      </c>
      <c r="B4">
        <f>(3/(1+('CurrentPor-LH=20 unchanged'!C4)/100)+103/POWER(1+('CurrentPor-LH=20 unchanged'!D4)/100,2))*100</f>
        <v>9707.5857774288397</v>
      </c>
      <c r="C4">
        <f>(3/(1+('CurrentPor-LH=20 unchanged'!C4+'CurrentPor-LH=20 unchanged'!G4)/100)+103/POWER(1+('CurrentPor-LH=20 unchanged'!D4+'CurrentPor-LH=20 unchanged'!G4)/100,2))*100</f>
        <v>9614.9673582483465</v>
      </c>
      <c r="D4">
        <f>(3/(1+('CurrentPor-LH=20 unchanged'!C4+'CurrentPor-LH=20 unchanged'!H4)/100)+103/POWER(1+('CurrentPor-LH=20 unchanged'!D4+'CurrentPor-LH=20 unchanged'!H4)/100,2))*100</f>
        <v>9586.753643287564</v>
      </c>
      <c r="E4">
        <f>(3/(1+('CurrentPor-LH=20 unchanged'!C4+'CurrentPor-LH=20 unchanged'!I4)/100)+103/POWER(1+('CurrentPor-LH=20 unchanged'!D4+'CurrentPor-LH=20 unchanged'!I4)/100,2))*100</f>
        <v>9579.1749716369959</v>
      </c>
      <c r="F4">
        <f>Portfolio!B$5*'CurrentPor-LH=20 unchanged'!E4</f>
        <v>52143.895533915893</v>
      </c>
      <c r="G4">
        <f>Portfolio!B$6*'CurrentPor-LH=20 unchanged'!F4</f>
        <v>3696.2945087936532</v>
      </c>
      <c r="H4">
        <f>Portfolio!B$7*'CurrentPor-LH=20 unchanged'!J4</f>
        <v>2148.0998964419859</v>
      </c>
      <c r="I4">
        <f t="shared" ref="I4:I67" si="0">SUM(B4:H4)</f>
        <v>96476.771689753266</v>
      </c>
    </row>
    <row r="5" spans="1:12">
      <c r="A5" s="1">
        <v>45476</v>
      </c>
      <c r="B5">
        <f>(3/(1+('CurrentPor-LH=20 unchanged'!C5)/100)+103/POWER(1+('CurrentPor-LH=20 unchanged'!D5)/100,2))*100</f>
        <v>9707.5857774288397</v>
      </c>
      <c r="C5">
        <f>(3/(1+('CurrentPor-LH=20 unchanged'!C5+'CurrentPor-LH=20 unchanged'!G5)/100)+103/POWER(1+('CurrentPor-LH=20 unchanged'!D5+'CurrentPor-LH=20 unchanged'!G5)/100,2))*100</f>
        <v>9614.9673582483465</v>
      </c>
      <c r="D5">
        <f>(3/(1+('CurrentPor-LH=20 unchanged'!C5+'CurrentPor-LH=20 unchanged'!H5)/100)+103/POWER(1+('CurrentPor-LH=20 unchanged'!D5+'CurrentPor-LH=20 unchanged'!H5)/100,2))*100</f>
        <v>9603.4629610150168</v>
      </c>
      <c r="E5">
        <f>(3/(1+('CurrentPor-LH=20 unchanged'!C5+'CurrentPor-LH=20 unchanged'!I5)/100)+103/POWER(1+('CurrentPor-LH=20 unchanged'!D5+'CurrentPor-LH=20 unchanged'!I5)/100,2))*100</f>
        <v>9580.4915809012364</v>
      </c>
      <c r="F5">
        <f>Portfolio!B$5*'CurrentPor-LH=20 unchanged'!E5</f>
        <v>52143.895533915893</v>
      </c>
      <c r="G5">
        <f>Portfolio!B$6*'CurrentPor-LH=20 unchanged'!F5</f>
        <v>3696.2945087936532</v>
      </c>
      <c r="H5">
        <f>Portfolio!B$7*'CurrentPor-LH=20 unchanged'!J5</f>
        <v>2148.0998964419859</v>
      </c>
      <c r="I5">
        <f t="shared" si="0"/>
        <v>96494.797616744981</v>
      </c>
    </row>
    <row r="6" spans="1:12">
      <c r="A6" s="1">
        <v>45477</v>
      </c>
      <c r="B6">
        <f>(3/(1+('CurrentPor-LH=20 unchanged'!C6)/100)+103/POWER(1+('CurrentPor-LH=20 unchanged'!D6)/100,2))*100</f>
        <v>9707.5857774288397</v>
      </c>
      <c r="C6">
        <f>(3/(1+('CurrentPor-LH=20 unchanged'!C6+'CurrentPor-LH=20 unchanged'!G6)/100)+103/POWER(1+('CurrentPor-LH=20 unchanged'!D6+'CurrentPor-LH=20 unchanged'!G6)/100,2))*100</f>
        <v>9614.9673582483465</v>
      </c>
      <c r="D6">
        <f>(3/(1+('CurrentPor-LH=20 unchanged'!C6+'CurrentPor-LH=20 unchanged'!H6)/100)+103/POWER(1+('CurrentPor-LH=20 unchanged'!D6+'CurrentPor-LH=20 unchanged'!H6)/100,2))*100</f>
        <v>9607.0114786197646</v>
      </c>
      <c r="E6">
        <f>(3/(1+('CurrentPor-LH=20 unchanged'!C6+'CurrentPor-LH=20 unchanged'!I6)/100)+103/POWER(1+('CurrentPor-LH=20 unchanged'!D6+'CurrentPor-LH=20 unchanged'!I6)/100,2))*100</f>
        <v>9583.5904538448758</v>
      </c>
      <c r="F6">
        <f>Portfolio!B$5*'CurrentPor-LH=20 unchanged'!E6</f>
        <v>52143.895533915893</v>
      </c>
      <c r="G6">
        <f>Portfolio!B$6*'CurrentPor-LH=20 unchanged'!F6</f>
        <v>3696.2945087936532</v>
      </c>
      <c r="H6">
        <f>Portfolio!B$7*'CurrentPor-LH=20 unchanged'!J6</f>
        <v>2148.0998964419859</v>
      </c>
      <c r="I6">
        <f t="shared" si="0"/>
        <v>96501.445007293354</v>
      </c>
    </row>
    <row r="7" spans="1:12">
      <c r="A7" s="1">
        <v>45478</v>
      </c>
      <c r="B7">
        <f>(3/(1+('CurrentPor-LH=20 unchanged'!C7)/100)+103/POWER(1+('CurrentPor-LH=20 unchanged'!D7)/100,2))*100</f>
        <v>9707.5857774288397</v>
      </c>
      <c r="C7">
        <f>(3/(1+('CurrentPor-LH=20 unchanged'!C7+'CurrentPor-LH=20 unchanged'!G7)/100)+103/POWER(1+('CurrentPor-LH=20 unchanged'!D7+'CurrentPor-LH=20 unchanged'!G7)/100,2))*100</f>
        <v>9614.9673582483465</v>
      </c>
      <c r="D7">
        <f>(3/(1+('CurrentPor-LH=20 unchanged'!C7+'CurrentPor-LH=20 unchanged'!H7)/100)+103/POWER(1+('CurrentPor-LH=20 unchanged'!D7+'CurrentPor-LH=20 unchanged'!H7)/100,2))*100</f>
        <v>9580.3056214308926</v>
      </c>
      <c r="E7">
        <f>(3/(1+('CurrentPor-LH=20 unchanged'!C7+'CurrentPor-LH=20 unchanged'!I7)/100)+103/POWER(1+('CurrentPor-LH=20 unchanged'!D7+'CurrentPor-LH=20 unchanged'!I7)/100,2))*100</f>
        <v>9579.5438969576826</v>
      </c>
      <c r="F7">
        <f>Portfolio!B$5*'CurrentPor-LH=20 unchanged'!E7</f>
        <v>52143.895533915893</v>
      </c>
      <c r="G7">
        <f>Portfolio!B$6*'CurrentPor-LH=20 unchanged'!F7</f>
        <v>3696.2945087936532</v>
      </c>
      <c r="H7">
        <f>Portfolio!B$7*'CurrentPor-LH=20 unchanged'!J7</f>
        <v>2148.0998964419859</v>
      </c>
      <c r="I7">
        <f t="shared" si="0"/>
        <v>96470.692593217289</v>
      </c>
    </row>
    <row r="8" spans="1:12">
      <c r="A8" s="1">
        <v>45481</v>
      </c>
      <c r="B8">
        <f>(3/(1+('CurrentPor-LH=20 unchanged'!C8)/100)+103/POWER(1+('CurrentPor-LH=20 unchanged'!D8)/100,2))*100</f>
        <v>9707.5857774288397</v>
      </c>
      <c r="C8">
        <f>(3/(1+('CurrentPor-LH=20 unchanged'!C8+'CurrentPor-LH=20 unchanged'!G8)/100)+103/POWER(1+('CurrentPor-LH=20 unchanged'!D8+'CurrentPor-LH=20 unchanged'!G8)/100,2))*100</f>
        <v>9614.9673582483465</v>
      </c>
      <c r="D8">
        <f>(3/(1+('CurrentPor-LH=20 unchanged'!C8+'CurrentPor-LH=20 unchanged'!H8)/100)+103/POWER(1+('CurrentPor-LH=20 unchanged'!D8+'CurrentPor-LH=20 unchanged'!H8)/100,2))*100</f>
        <v>9582.0863699912024</v>
      </c>
      <c r="E8">
        <f>(3/(1+('CurrentPor-LH=20 unchanged'!C8+'CurrentPor-LH=20 unchanged'!I8)/100)+103/POWER(1+('CurrentPor-LH=20 unchanged'!D8+'CurrentPor-LH=20 unchanged'!I8)/100,2))*100</f>
        <v>9580.4671604041887</v>
      </c>
      <c r="F8">
        <f>Portfolio!B$5*'CurrentPor-LH=20 unchanged'!E8</f>
        <v>52143.895533915893</v>
      </c>
      <c r="G8">
        <f>Portfolio!B$6*'CurrentPor-LH=20 unchanged'!F8</f>
        <v>3696.2945087936532</v>
      </c>
      <c r="H8">
        <f>Portfolio!B$7*'CurrentPor-LH=20 unchanged'!J8</f>
        <v>2148.0998964419859</v>
      </c>
      <c r="I8">
        <f t="shared" si="0"/>
        <v>96473.396605224101</v>
      </c>
    </row>
    <row r="9" spans="1:12">
      <c r="A9" s="1">
        <v>45482</v>
      </c>
      <c r="B9">
        <f>(3/(1+('CurrentPor-LH=20 unchanged'!C9)/100)+103/POWER(1+('CurrentPor-LH=20 unchanged'!D9)/100,2))*100</f>
        <v>9707.5857774288397</v>
      </c>
      <c r="C9">
        <f>(3/(1+('CurrentPor-LH=20 unchanged'!C9+'CurrentPor-LH=20 unchanged'!G9)/100)+103/POWER(1+('CurrentPor-LH=20 unchanged'!D9+'CurrentPor-LH=20 unchanged'!G9)/100,2))*100</f>
        <v>9614.9673582483465</v>
      </c>
      <c r="D9">
        <f>(3/(1+('CurrentPor-LH=20 unchanged'!C9+'CurrentPor-LH=20 unchanged'!H9)/100)+103/POWER(1+('CurrentPor-LH=20 unchanged'!D9+'CurrentPor-LH=20 unchanged'!H9)/100,2))*100</f>
        <v>9594.9699164194662</v>
      </c>
      <c r="E9">
        <f>(3/(1+('CurrentPor-LH=20 unchanged'!C9+'CurrentPor-LH=20 unchanged'!I9)/100)+103/POWER(1+('CurrentPor-LH=20 unchanged'!D9+'CurrentPor-LH=20 unchanged'!I9)/100,2))*100</f>
        <v>9580.9646345704259</v>
      </c>
      <c r="F9">
        <f>Portfolio!B$5*'CurrentPor-LH=20 unchanged'!E9</f>
        <v>52143.895533915893</v>
      </c>
      <c r="G9">
        <f>Portfolio!B$6*'CurrentPor-LH=20 unchanged'!F9</f>
        <v>3696.2945087936532</v>
      </c>
      <c r="H9">
        <f>Portfolio!B$7*'CurrentPor-LH=20 unchanged'!J9</f>
        <v>2148.0998964419859</v>
      </c>
      <c r="I9">
        <f t="shared" si="0"/>
        <v>96486.777625818606</v>
      </c>
    </row>
    <row r="10" spans="1:12">
      <c r="A10" s="1">
        <v>45483</v>
      </c>
      <c r="B10">
        <f>(3/(1+('CurrentPor-LH=20 unchanged'!C10)/100)+103/POWER(1+('CurrentPor-LH=20 unchanged'!D10)/100,2))*100</f>
        <v>9707.5857774288397</v>
      </c>
      <c r="C10">
        <f>(3/(1+('CurrentPor-LH=20 unchanged'!C10+'CurrentPor-LH=20 unchanged'!G10)/100)+103/POWER(1+('CurrentPor-LH=20 unchanged'!D10+'CurrentPor-LH=20 unchanged'!G10)/100,2))*100</f>
        <v>9614.9673582483465</v>
      </c>
      <c r="D10">
        <f>(3/(1+('CurrentPor-LH=20 unchanged'!C10+'CurrentPor-LH=20 unchanged'!H10)/100)+103/POWER(1+('CurrentPor-LH=20 unchanged'!D10+'CurrentPor-LH=20 unchanged'!H10)/100,2))*100</f>
        <v>9593.3699457073908</v>
      </c>
      <c r="E10">
        <f>(3/(1+('CurrentPor-LH=20 unchanged'!C10+'CurrentPor-LH=20 unchanged'!I10)/100)+103/POWER(1+('CurrentPor-LH=20 unchanged'!D10+'CurrentPor-LH=20 unchanged'!I10)/100,2))*100</f>
        <v>9580.3866228015249</v>
      </c>
      <c r="F10">
        <f>Portfolio!B$5*'CurrentPor-LH=20 unchanged'!E10</f>
        <v>52143.895533915893</v>
      </c>
      <c r="G10">
        <f>Portfolio!B$6*'CurrentPor-LH=20 unchanged'!F10</f>
        <v>3696.2945087936532</v>
      </c>
      <c r="H10">
        <f>Portfolio!B$7*'CurrentPor-LH=20 unchanged'!J10</f>
        <v>2148.0998964419859</v>
      </c>
      <c r="I10">
        <f t="shared" si="0"/>
        <v>96484.599643337642</v>
      </c>
    </row>
    <row r="11" spans="1:12">
      <c r="A11" s="1">
        <v>45484</v>
      </c>
      <c r="B11">
        <f>(3/(1+('CurrentPor-LH=20 unchanged'!C11)/100)+103/POWER(1+('CurrentPor-LH=20 unchanged'!D11)/100,2))*100</f>
        <v>9707.5857774288397</v>
      </c>
      <c r="C11">
        <f>(3/(1+('CurrentPor-LH=20 unchanged'!C11+'CurrentPor-LH=20 unchanged'!G11)/100)+103/POWER(1+('CurrentPor-LH=20 unchanged'!D11+'CurrentPor-LH=20 unchanged'!G11)/100,2))*100</f>
        <v>9614.9673582483465</v>
      </c>
      <c r="D11">
        <f>(3/(1+('CurrentPor-LH=20 unchanged'!C11+'CurrentPor-LH=20 unchanged'!H11)/100)+103/POWER(1+('CurrentPor-LH=20 unchanged'!D11+'CurrentPor-LH=20 unchanged'!H11)/100,2))*100</f>
        <v>9596.8685689189988</v>
      </c>
      <c r="E11">
        <f>(3/(1+('CurrentPor-LH=20 unchanged'!C11+'CurrentPor-LH=20 unchanged'!I11)/100)+103/POWER(1+('CurrentPor-LH=20 unchanged'!D11+'CurrentPor-LH=20 unchanged'!I11)/100,2))*100</f>
        <v>9577.986078619766</v>
      </c>
      <c r="F11">
        <f>Portfolio!B$5*'CurrentPor-LH=20 unchanged'!E11</f>
        <v>52143.895533915893</v>
      </c>
      <c r="G11">
        <f>Portfolio!B$6*'CurrentPor-LH=20 unchanged'!F11</f>
        <v>3696.2945087936532</v>
      </c>
      <c r="H11">
        <f>Portfolio!B$7*'CurrentPor-LH=20 unchanged'!J11</f>
        <v>2148.0998964419859</v>
      </c>
      <c r="I11">
        <f t="shared" si="0"/>
        <v>96485.697722367491</v>
      </c>
    </row>
    <row r="12" spans="1:12">
      <c r="A12" s="1">
        <v>45485</v>
      </c>
      <c r="B12">
        <f>(3/(1+('CurrentPor-LH=20 unchanged'!C12)/100)+103/POWER(1+('CurrentPor-LH=20 unchanged'!D12)/100,2))*100</f>
        <v>9707.5857774288397</v>
      </c>
      <c r="C12">
        <f>(3/(1+('CurrentPor-LH=20 unchanged'!C12+'CurrentPor-LH=20 unchanged'!G12)/100)+103/POWER(1+('CurrentPor-LH=20 unchanged'!D12+'CurrentPor-LH=20 unchanged'!G12)/100,2))*100</f>
        <v>9614.9673582483465</v>
      </c>
      <c r="D12">
        <f>(3/(1+('CurrentPor-LH=20 unchanged'!C12+'CurrentPor-LH=20 unchanged'!H12)/100)+103/POWER(1+('CurrentPor-LH=20 unchanged'!D12+'CurrentPor-LH=20 unchanged'!H12)/100,2))*100</f>
        <v>9593.7415131480611</v>
      </c>
      <c r="E12">
        <f>(3/(1+('CurrentPor-LH=20 unchanged'!C12+'CurrentPor-LH=20 unchanged'!I12)/100)+103/POWER(1+('CurrentPor-LH=20 unchanged'!D12+'CurrentPor-LH=20 unchanged'!I12)/100,2))*100</f>
        <v>9580.9201391213264</v>
      </c>
      <c r="F12">
        <f>Portfolio!B$5*'CurrentPor-LH=20 unchanged'!E12</f>
        <v>52143.895533915893</v>
      </c>
      <c r="G12">
        <f>Portfolio!B$6*'CurrentPor-LH=20 unchanged'!F12</f>
        <v>3696.2945087936532</v>
      </c>
      <c r="H12">
        <f>Portfolio!B$7*'CurrentPor-LH=20 unchanged'!J12</f>
        <v>2148.0998964419859</v>
      </c>
      <c r="I12">
        <f t="shared" si="0"/>
        <v>96485.504727098116</v>
      </c>
    </row>
    <row r="13" spans="1:12">
      <c r="A13" s="1">
        <v>45488</v>
      </c>
      <c r="B13">
        <f>(3/(1+('CurrentPor-LH=20 unchanged'!C13)/100)+103/POWER(1+('CurrentPor-LH=20 unchanged'!D13)/100,2))*100</f>
        <v>9707.5857774288397</v>
      </c>
      <c r="C13">
        <f>(3/(1+('CurrentPor-LH=20 unchanged'!C13+'CurrentPor-LH=20 unchanged'!G13)/100)+103/POWER(1+('CurrentPor-LH=20 unchanged'!D13+'CurrentPor-LH=20 unchanged'!G13)/100,2))*100</f>
        <v>9614.9673582483465</v>
      </c>
      <c r="D13">
        <f>(3/(1+('CurrentPor-LH=20 unchanged'!C13+'CurrentPor-LH=20 unchanged'!H13)/100)+103/POWER(1+('CurrentPor-LH=20 unchanged'!D13+'CurrentPor-LH=20 unchanged'!H13)/100,2))*100</f>
        <v>9583.1352871394211</v>
      </c>
      <c r="E13">
        <f>(3/(1+('CurrentPor-LH=20 unchanged'!C13+'CurrentPor-LH=20 unchanged'!I13)/100)+103/POWER(1+('CurrentPor-LH=20 unchanged'!D13+'CurrentPor-LH=20 unchanged'!I13)/100,2))*100</f>
        <v>9580.0297084687681</v>
      </c>
      <c r="F13">
        <f>Portfolio!B$5*'CurrentPor-LH=20 unchanged'!E13</f>
        <v>52143.895533915893</v>
      </c>
      <c r="G13">
        <f>Portfolio!B$6*'CurrentPor-LH=20 unchanged'!F13</f>
        <v>3696.2945087936532</v>
      </c>
      <c r="H13">
        <f>Portfolio!B$7*'CurrentPor-LH=20 unchanged'!J13</f>
        <v>2148.0998964419859</v>
      </c>
      <c r="I13">
        <f t="shared" si="0"/>
        <v>96474.008070436903</v>
      </c>
      <c r="J13">
        <f>I13-I3</f>
        <v>-19.529271768522449</v>
      </c>
    </row>
    <row r="14" spans="1:12">
      <c r="A14" s="1">
        <v>45489</v>
      </c>
      <c r="B14">
        <f>(3/(1+('CurrentPor-LH=20 unchanged'!C14)/100)+103/POWER(1+('CurrentPor-LH=20 unchanged'!D14)/100,2))*100</f>
        <v>9707.5857774288397</v>
      </c>
      <c r="C14">
        <f>(3/(1+('CurrentPor-LH=20 unchanged'!C14+'CurrentPor-LH=20 unchanged'!G14)/100)+103/POWER(1+('CurrentPor-LH=20 unchanged'!D14+'CurrentPor-LH=20 unchanged'!G14)/100,2))*100</f>
        <v>9614.9673582483465</v>
      </c>
      <c r="D14">
        <f>(3/(1+('CurrentPor-LH=20 unchanged'!C14+'CurrentPor-LH=20 unchanged'!H14)/100)+103/POWER(1+('CurrentPor-LH=20 unchanged'!D14+'CurrentPor-LH=20 unchanged'!H14)/100,2))*100</f>
        <v>9608.4612314889109</v>
      </c>
      <c r="E14">
        <f>(3/(1+('CurrentPor-LH=20 unchanged'!C14+'CurrentPor-LH=20 unchanged'!I14)/100)+103/POWER(1+('CurrentPor-LH=20 unchanged'!D14+'CurrentPor-LH=20 unchanged'!I14)/100,2))*100</f>
        <v>9580.3125208743077</v>
      </c>
      <c r="F14">
        <f>Portfolio!B$5*'CurrentPor-LH=20 unchanged'!E14</f>
        <v>52143.895533915893</v>
      </c>
      <c r="G14">
        <f>Portfolio!B$6*'CurrentPor-LH=20 unchanged'!F14</f>
        <v>3696.2945087936532</v>
      </c>
      <c r="H14">
        <f>Portfolio!B$7*'CurrentPor-LH=20 unchanged'!J14</f>
        <v>2148.0998964419859</v>
      </c>
      <c r="I14">
        <f t="shared" si="0"/>
        <v>96499.616827191945</v>
      </c>
      <c r="J14">
        <f t="shared" ref="J14:J77" si="1">I14-I4</f>
        <v>22.845137438678648</v>
      </c>
    </row>
    <row r="15" spans="1:12">
      <c r="A15" s="1">
        <v>45490</v>
      </c>
      <c r="B15">
        <f>(3/(1+('CurrentPor-LH=20 unchanged'!C15)/100)+103/POWER(1+('CurrentPor-LH=20 unchanged'!D15)/100,2))*100</f>
        <v>9707.5857774288397</v>
      </c>
      <c r="C15">
        <f>(3/(1+('CurrentPor-LH=20 unchanged'!C15+'CurrentPor-LH=20 unchanged'!G15)/100)+103/POWER(1+('CurrentPor-LH=20 unchanged'!D15+'CurrentPor-LH=20 unchanged'!G15)/100,2))*100</f>
        <v>9614.9673582483465</v>
      </c>
      <c r="D15">
        <f>(3/(1+('CurrentPor-LH=20 unchanged'!C15+'CurrentPor-LH=20 unchanged'!H15)/100)+103/POWER(1+('CurrentPor-LH=20 unchanged'!D15+'CurrentPor-LH=20 unchanged'!H15)/100,2))*100</f>
        <v>9605.5320342821306</v>
      </c>
      <c r="E15">
        <f>(3/(1+('CurrentPor-LH=20 unchanged'!C15+'CurrentPor-LH=20 unchanged'!I15)/100)+103/POWER(1+('CurrentPor-LH=20 unchanged'!D15+'CurrentPor-LH=20 unchanged'!I15)/100,2))*100</f>
        <v>9581.3179190716164</v>
      </c>
      <c r="F15">
        <f>Portfolio!B$5*'CurrentPor-LH=20 unchanged'!E15</f>
        <v>52143.895533915893</v>
      </c>
      <c r="G15">
        <f>Portfolio!B$6*'CurrentPor-LH=20 unchanged'!F15</f>
        <v>3696.2945087936532</v>
      </c>
      <c r="H15">
        <f>Portfolio!B$7*'CurrentPor-LH=20 unchanged'!J15</f>
        <v>2148.0998964419859</v>
      </c>
      <c r="I15">
        <f t="shared" si="0"/>
        <v>96497.693028182475</v>
      </c>
      <c r="J15">
        <f t="shared" si="1"/>
        <v>2.895411437493749</v>
      </c>
    </row>
    <row r="16" spans="1:12">
      <c r="A16" s="1">
        <v>45491</v>
      </c>
      <c r="B16">
        <f>(3/(1+('CurrentPor-LH=20 unchanged'!C16)/100)+103/POWER(1+('CurrentPor-LH=20 unchanged'!D16)/100,2))*100</f>
        <v>9707.5857774288397</v>
      </c>
      <c r="C16">
        <f>(3/(1+('CurrentPor-LH=20 unchanged'!C16+'CurrentPor-LH=20 unchanged'!G16)/100)+103/POWER(1+('CurrentPor-LH=20 unchanged'!D16+'CurrentPor-LH=20 unchanged'!G16)/100,2))*100</f>
        <v>9614.9673582483465</v>
      </c>
      <c r="D16">
        <f>(3/(1+('CurrentPor-LH=20 unchanged'!C16+'CurrentPor-LH=20 unchanged'!H16)/100)+103/POWER(1+('CurrentPor-LH=20 unchanged'!D16+'CurrentPor-LH=20 unchanged'!H16)/100,2))*100</f>
        <v>9595.4362388343052</v>
      </c>
      <c r="E16">
        <f>(3/(1+('CurrentPor-LH=20 unchanged'!C16+'CurrentPor-LH=20 unchanged'!I16)/100)+103/POWER(1+('CurrentPor-LH=20 unchanged'!D16+'CurrentPor-LH=20 unchanged'!I16)/100,2))*100</f>
        <v>9583.0294773230526</v>
      </c>
      <c r="F16">
        <f>Portfolio!B$5*'CurrentPor-LH=20 unchanged'!E16</f>
        <v>52143.895533915893</v>
      </c>
      <c r="G16">
        <f>Portfolio!B$6*'CurrentPor-LH=20 unchanged'!F16</f>
        <v>3696.2945087936532</v>
      </c>
      <c r="H16">
        <f>Portfolio!B$7*'CurrentPor-LH=20 unchanged'!J16</f>
        <v>2148.0998964419859</v>
      </c>
      <c r="I16">
        <f t="shared" si="0"/>
        <v>96489.308790986062</v>
      </c>
      <c r="J16">
        <f t="shared" si="1"/>
        <v>-12.136216307291761</v>
      </c>
    </row>
    <row r="17" spans="1:10">
      <c r="A17" s="1">
        <v>45492</v>
      </c>
      <c r="B17">
        <f>(3/(1+('CurrentPor-LH=20 unchanged'!C17)/100)+103/POWER(1+('CurrentPor-LH=20 unchanged'!D17)/100,2))*100</f>
        <v>9707.5857774288397</v>
      </c>
      <c r="C17">
        <f>(3/(1+('CurrentPor-LH=20 unchanged'!C17+'CurrentPor-LH=20 unchanged'!G17)/100)+103/POWER(1+('CurrentPor-LH=20 unchanged'!D17+'CurrentPor-LH=20 unchanged'!G17)/100,2))*100</f>
        <v>9614.9673582483465</v>
      </c>
      <c r="D17">
        <f>(3/(1+('CurrentPor-LH=20 unchanged'!C17+'CurrentPor-LH=20 unchanged'!H17)/100)+103/POWER(1+('CurrentPor-LH=20 unchanged'!D17+'CurrentPor-LH=20 unchanged'!H17)/100,2))*100</f>
        <v>9607.924067800639</v>
      </c>
      <c r="E17">
        <f>(3/(1+('CurrentPor-LH=20 unchanged'!C17+'CurrentPor-LH=20 unchanged'!I17)/100)+103/POWER(1+('CurrentPor-LH=20 unchanged'!D17+'CurrentPor-LH=20 unchanged'!I17)/100,2))*100</f>
        <v>9580.7932974062987</v>
      </c>
      <c r="F17">
        <f>Portfolio!B$5*'CurrentPor-LH=20 unchanged'!E17</f>
        <v>52143.895533915893</v>
      </c>
      <c r="G17">
        <f>Portfolio!B$6*'CurrentPor-LH=20 unchanged'!F17</f>
        <v>3696.2945087936532</v>
      </c>
      <c r="H17">
        <f>Portfolio!B$7*'CurrentPor-LH=20 unchanged'!J17</f>
        <v>2148.0998964419859</v>
      </c>
      <c r="I17">
        <f t="shared" si="0"/>
        <v>96499.560440035653</v>
      </c>
      <c r="J17">
        <f t="shared" si="1"/>
        <v>28.867846818364342</v>
      </c>
    </row>
    <row r="18" spans="1:10">
      <c r="A18" s="1">
        <v>45495</v>
      </c>
      <c r="B18">
        <f>(3/(1+('CurrentPor-LH=20 unchanged'!C18)/100)+103/POWER(1+('CurrentPor-LH=20 unchanged'!D18)/100,2))*100</f>
        <v>9707.5857774288397</v>
      </c>
      <c r="C18">
        <f>(3/(1+('CurrentPor-LH=20 unchanged'!C18+'CurrentPor-LH=20 unchanged'!G18)/100)+103/POWER(1+('CurrentPor-LH=20 unchanged'!D18+'CurrentPor-LH=20 unchanged'!G18)/100,2))*100</f>
        <v>9614.9673582483465</v>
      </c>
      <c r="D18">
        <f>(3/(1+('CurrentPor-LH=20 unchanged'!C18+'CurrentPor-LH=20 unchanged'!H18)/100)+103/POWER(1+('CurrentPor-LH=20 unchanged'!D18+'CurrentPor-LH=20 unchanged'!H18)/100,2))*100</f>
        <v>9603.7417214293109</v>
      </c>
      <c r="E18">
        <f>(3/(1+('CurrentPor-LH=20 unchanged'!C18+'CurrentPor-LH=20 unchanged'!I18)/100)+103/POWER(1+('CurrentPor-LH=20 unchanged'!D18+'CurrentPor-LH=20 unchanged'!I18)/100,2))*100</f>
        <v>9580.8467723897229</v>
      </c>
      <c r="F18">
        <f>Portfolio!B$5*'CurrentPor-LH=20 unchanged'!E18</f>
        <v>52143.895533915893</v>
      </c>
      <c r="G18">
        <f>Portfolio!B$6*'CurrentPor-LH=20 unchanged'!F18</f>
        <v>3696.2945087936532</v>
      </c>
      <c r="H18">
        <f>Portfolio!B$7*'CurrentPor-LH=20 unchanged'!J18</f>
        <v>2148.0998964419859</v>
      </c>
      <c r="I18">
        <f t="shared" si="0"/>
        <v>96495.431568647749</v>
      </c>
      <c r="J18">
        <f t="shared" si="1"/>
        <v>22.034963423648151</v>
      </c>
    </row>
    <row r="19" spans="1:10">
      <c r="A19" s="1">
        <v>45496</v>
      </c>
      <c r="B19">
        <f>(3/(1+('CurrentPor-LH=20 unchanged'!C19)/100)+103/POWER(1+('CurrentPor-LH=20 unchanged'!D19)/100,2))*100</f>
        <v>9707.5857774288397</v>
      </c>
      <c r="C19">
        <f>(3/(1+('CurrentPor-LH=20 unchanged'!C19+'CurrentPor-LH=20 unchanged'!G19)/100)+103/POWER(1+('CurrentPor-LH=20 unchanged'!D19+'CurrentPor-LH=20 unchanged'!G19)/100,2))*100</f>
        <v>9614.9673582483465</v>
      </c>
      <c r="D19">
        <f>(3/(1+('CurrentPor-LH=20 unchanged'!C19+'CurrentPor-LH=20 unchanged'!H19)/100)+103/POWER(1+('CurrentPor-LH=20 unchanged'!D19+'CurrentPor-LH=20 unchanged'!H19)/100,2))*100</f>
        <v>9590.1448307730843</v>
      </c>
      <c r="E19">
        <f>(3/(1+('CurrentPor-LH=20 unchanged'!C19+'CurrentPor-LH=20 unchanged'!I19)/100)+103/POWER(1+('CurrentPor-LH=20 unchanged'!D19+'CurrentPor-LH=20 unchanged'!I19)/100,2))*100</f>
        <v>9581.9982130363605</v>
      </c>
      <c r="F19">
        <f>Portfolio!B$5*'CurrentPor-LH=20 unchanged'!E19</f>
        <v>52143.895533915893</v>
      </c>
      <c r="G19">
        <f>Portfolio!B$6*'CurrentPor-LH=20 unchanged'!F19</f>
        <v>3696.2945087936532</v>
      </c>
      <c r="H19">
        <f>Portfolio!B$7*'CurrentPor-LH=20 unchanged'!J19</f>
        <v>2148.0998964419859</v>
      </c>
      <c r="I19">
        <f t="shared" si="0"/>
        <v>96482.986118638175</v>
      </c>
      <c r="J19">
        <f t="shared" si="1"/>
        <v>-3.7915071804309264</v>
      </c>
    </row>
    <row r="20" spans="1:10">
      <c r="A20" s="1">
        <v>45497</v>
      </c>
      <c r="B20">
        <f>(3/(1+('CurrentPor-LH=20 unchanged'!C20)/100)+103/POWER(1+('CurrentPor-LH=20 unchanged'!D20)/100,2))*100</f>
        <v>9707.5857774288397</v>
      </c>
      <c r="C20">
        <f>(3/(1+('CurrentPor-LH=20 unchanged'!C20+'CurrentPor-LH=20 unchanged'!G20)/100)+103/POWER(1+('CurrentPor-LH=20 unchanged'!D20+'CurrentPor-LH=20 unchanged'!G20)/100,2))*100</f>
        <v>9614.9673582483465</v>
      </c>
      <c r="D20">
        <f>(3/(1+('CurrentPor-LH=20 unchanged'!C20+'CurrentPor-LH=20 unchanged'!H20)/100)+103/POWER(1+('CurrentPor-LH=20 unchanged'!D20+'CurrentPor-LH=20 unchanged'!H20)/100,2))*100</f>
        <v>9590.0803677000113</v>
      </c>
      <c r="E20">
        <f>(3/(1+('CurrentPor-LH=20 unchanged'!C20+'CurrentPor-LH=20 unchanged'!I20)/100)+103/POWER(1+('CurrentPor-LH=20 unchanged'!D20+'CurrentPor-LH=20 unchanged'!I20)/100,2))*100</f>
        <v>9580.9064944615511</v>
      </c>
      <c r="F20">
        <f>Portfolio!B$5*'CurrentPor-LH=20 unchanged'!E20</f>
        <v>52143.895533915893</v>
      </c>
      <c r="G20">
        <f>Portfolio!B$6*'CurrentPor-LH=20 unchanged'!F20</f>
        <v>3696.2945087936532</v>
      </c>
      <c r="H20">
        <f>Portfolio!B$7*'CurrentPor-LH=20 unchanged'!J20</f>
        <v>2148.0998964419859</v>
      </c>
      <c r="I20">
        <f t="shared" si="0"/>
        <v>96481.829936990282</v>
      </c>
      <c r="J20">
        <f t="shared" si="1"/>
        <v>-2.7697063473606249</v>
      </c>
    </row>
    <row r="21" spans="1:10">
      <c r="A21" s="1">
        <v>45498</v>
      </c>
      <c r="B21">
        <f>(3/(1+('CurrentPor-LH=20 unchanged'!C21)/100)+103/POWER(1+('CurrentPor-LH=20 unchanged'!D21)/100,2))*100</f>
        <v>9707.5857774288397</v>
      </c>
      <c r="C21">
        <f>(3/(1+('CurrentPor-LH=20 unchanged'!C21+'CurrentPor-LH=20 unchanged'!G21)/100)+103/POWER(1+('CurrentPor-LH=20 unchanged'!D21+'CurrentPor-LH=20 unchanged'!G21)/100,2))*100</f>
        <v>9614.9673582483465</v>
      </c>
      <c r="D21">
        <f>(3/(1+('CurrentPor-LH=20 unchanged'!C21+'CurrentPor-LH=20 unchanged'!H21)/100)+103/POWER(1+('CurrentPor-LH=20 unchanged'!D21+'CurrentPor-LH=20 unchanged'!H21)/100,2))*100</f>
        <v>9601.3477255280559</v>
      </c>
      <c r="E21">
        <f>(3/(1+('CurrentPor-LH=20 unchanged'!C21+'CurrentPor-LH=20 unchanged'!I21)/100)+103/POWER(1+('CurrentPor-LH=20 unchanged'!D21+'CurrentPor-LH=20 unchanged'!I21)/100,2))*100</f>
        <v>9582.6411118772321</v>
      </c>
      <c r="F21">
        <f>Portfolio!B$5*'CurrentPor-LH=20 unchanged'!E21</f>
        <v>52143.895533915893</v>
      </c>
      <c r="G21">
        <f>Portfolio!B$6*'CurrentPor-LH=20 unchanged'!F21</f>
        <v>3696.2945087936532</v>
      </c>
      <c r="H21">
        <f>Portfolio!B$7*'CurrentPor-LH=20 unchanged'!J21</f>
        <v>2148.0998964419859</v>
      </c>
      <c r="I21">
        <f t="shared" si="0"/>
        <v>96494.831912234004</v>
      </c>
      <c r="J21">
        <f t="shared" si="1"/>
        <v>9.1341898665123153</v>
      </c>
    </row>
    <row r="22" spans="1:10">
      <c r="A22" s="1">
        <v>45499</v>
      </c>
      <c r="B22">
        <f>(3/(1+('CurrentPor-LH=20 unchanged'!C22)/100)+103/POWER(1+('CurrentPor-LH=20 unchanged'!D22)/100,2))*100</f>
        <v>9707.5857774288397</v>
      </c>
      <c r="C22">
        <f>(3/(1+('CurrentPor-LH=20 unchanged'!C22+'CurrentPor-LH=20 unchanged'!G22)/100)+103/POWER(1+('CurrentPor-LH=20 unchanged'!D22+'CurrentPor-LH=20 unchanged'!G22)/100,2))*100</f>
        <v>9614.9673582483465</v>
      </c>
      <c r="D22">
        <f>(3/(1+('CurrentPor-LH=20 unchanged'!C22+'CurrentPor-LH=20 unchanged'!H22)/100)+103/POWER(1+('CurrentPor-LH=20 unchanged'!D22+'CurrentPor-LH=20 unchanged'!H22)/100,2))*100</f>
        <v>9591.6421671244771</v>
      </c>
      <c r="E22">
        <f>(3/(1+('CurrentPor-LH=20 unchanged'!C22+'CurrentPor-LH=20 unchanged'!I22)/100)+103/POWER(1+('CurrentPor-LH=20 unchanged'!D22+'CurrentPor-LH=20 unchanged'!I22)/100,2))*100</f>
        <v>9581.467335193609</v>
      </c>
      <c r="F22">
        <f>Portfolio!B$5*'CurrentPor-LH=20 unchanged'!E22</f>
        <v>52143.895533915893</v>
      </c>
      <c r="G22">
        <f>Portfolio!B$6*'CurrentPor-LH=20 unchanged'!F22</f>
        <v>3696.2945087936532</v>
      </c>
      <c r="H22">
        <f>Portfolio!B$7*'CurrentPor-LH=20 unchanged'!J22</f>
        <v>2148.0998964419859</v>
      </c>
      <c r="I22">
        <f t="shared" si="0"/>
        <v>96483.952577146803</v>
      </c>
      <c r="J22">
        <f t="shared" si="1"/>
        <v>-1.5521499513124581</v>
      </c>
    </row>
    <row r="23" spans="1:10">
      <c r="A23" s="1">
        <v>45502</v>
      </c>
      <c r="B23">
        <f>(3/(1+('CurrentPor-LH=20 unchanged'!C23)/100)+103/POWER(1+('CurrentPor-LH=20 unchanged'!D23)/100,2))*100</f>
        <v>9707.5857774288397</v>
      </c>
      <c r="C23">
        <f>(3/(1+('CurrentPor-LH=20 unchanged'!C23+'CurrentPor-LH=20 unchanged'!G23)/100)+103/POWER(1+('CurrentPor-LH=20 unchanged'!D23+'CurrentPor-LH=20 unchanged'!G23)/100,2))*100</f>
        <v>9614.9673582483465</v>
      </c>
      <c r="D23">
        <f>(3/(1+('CurrentPor-LH=20 unchanged'!C23+'CurrentPor-LH=20 unchanged'!H23)/100)+103/POWER(1+('CurrentPor-LH=20 unchanged'!D23+'CurrentPor-LH=20 unchanged'!H23)/100,2))*100</f>
        <v>9612.9613775579364</v>
      </c>
      <c r="E23">
        <f>(3/(1+('CurrentPor-LH=20 unchanged'!C23+'CurrentPor-LH=20 unchanged'!I23)/100)+103/POWER(1+('CurrentPor-LH=20 unchanged'!D23+'CurrentPor-LH=20 unchanged'!I23)/100,2))*100</f>
        <v>9580.3092192532367</v>
      </c>
      <c r="F23">
        <f>Portfolio!B$5*'CurrentPor-LH=20 unchanged'!E23</f>
        <v>52143.895533915893</v>
      </c>
      <c r="G23">
        <f>Portfolio!B$6*'CurrentPor-LH=20 unchanged'!F23</f>
        <v>3696.2945087936532</v>
      </c>
      <c r="H23">
        <f>Portfolio!B$7*'CurrentPor-LH=20 unchanged'!J23</f>
        <v>2148.0998964419859</v>
      </c>
      <c r="I23">
        <f t="shared" si="0"/>
        <v>96504.113671639891</v>
      </c>
      <c r="J23">
        <f t="shared" si="1"/>
        <v>30.1056012029876</v>
      </c>
    </row>
    <row r="24" spans="1:10">
      <c r="A24" s="1">
        <v>45503</v>
      </c>
      <c r="B24">
        <f>(3/(1+('CurrentPor-LH=20 unchanged'!C24)/100)+103/POWER(1+('CurrentPor-LH=20 unchanged'!D24)/100,2))*100</f>
        <v>9707.5857774288397</v>
      </c>
      <c r="C24">
        <f>(3/(1+('CurrentPor-LH=20 unchanged'!C24+'CurrentPor-LH=20 unchanged'!G24)/100)+103/POWER(1+('CurrentPor-LH=20 unchanged'!D24+'CurrentPor-LH=20 unchanged'!G24)/100,2))*100</f>
        <v>9614.9673582483465</v>
      </c>
      <c r="D24">
        <f>(3/(1+('CurrentPor-LH=20 unchanged'!C24+'CurrentPor-LH=20 unchanged'!H24)/100)+103/POWER(1+('CurrentPor-LH=20 unchanged'!D24+'CurrentPor-LH=20 unchanged'!H24)/100,2))*100</f>
        <v>9604.3100646544463</v>
      </c>
      <c r="E24">
        <f>(3/(1+('CurrentPor-LH=20 unchanged'!C24+'CurrentPor-LH=20 unchanged'!I24)/100)+103/POWER(1+('CurrentPor-LH=20 unchanged'!D24+'CurrentPor-LH=20 unchanged'!I24)/100,2))*100</f>
        <v>9580.4201315508617</v>
      </c>
      <c r="F24">
        <f>Portfolio!B$5*'CurrentPor-LH=20 unchanged'!E24</f>
        <v>52143.895533915893</v>
      </c>
      <c r="G24">
        <f>Portfolio!B$6*'CurrentPor-LH=20 unchanged'!F24</f>
        <v>3696.2945087936532</v>
      </c>
      <c r="H24">
        <f>Portfolio!B$7*'CurrentPor-LH=20 unchanged'!J24</f>
        <v>2148.0998964419859</v>
      </c>
      <c r="I24">
        <f t="shared" si="0"/>
        <v>96495.573271034023</v>
      </c>
      <c r="J24">
        <f t="shared" si="1"/>
        <v>-4.0435561579215573</v>
      </c>
    </row>
    <row r="25" spans="1:10">
      <c r="A25" s="1">
        <v>45504</v>
      </c>
      <c r="B25">
        <f>(3/(1+('CurrentPor-LH=20 unchanged'!C25)/100)+103/POWER(1+('CurrentPor-LH=20 unchanged'!D25)/100,2))*100</f>
        <v>9707.5857774288397</v>
      </c>
      <c r="C25">
        <f>(3/(1+('CurrentPor-LH=20 unchanged'!C25+'CurrentPor-LH=20 unchanged'!G25)/100)+103/POWER(1+('CurrentPor-LH=20 unchanged'!D25+'CurrentPor-LH=20 unchanged'!G25)/100,2))*100</f>
        <v>9614.9673582483465</v>
      </c>
      <c r="D25">
        <f>(3/(1+('CurrentPor-LH=20 unchanged'!C25+'CurrentPor-LH=20 unchanged'!H25)/100)+103/POWER(1+('CurrentPor-LH=20 unchanged'!D25+'CurrentPor-LH=20 unchanged'!H25)/100,2))*100</f>
        <v>9600.8525262647672</v>
      </c>
      <c r="E25">
        <f>(3/(1+('CurrentPor-LH=20 unchanged'!C25+'CurrentPor-LH=20 unchanged'!I25)/100)+103/POWER(1+('CurrentPor-LH=20 unchanged'!D25+'CurrentPor-LH=20 unchanged'!I25)/100,2))*100</f>
        <v>9580.6721797268219</v>
      </c>
      <c r="F25">
        <f>Portfolio!B$5*'CurrentPor-LH=20 unchanged'!E25</f>
        <v>52143.895533915893</v>
      </c>
      <c r="G25">
        <f>Portfolio!B$6*'CurrentPor-LH=20 unchanged'!F25</f>
        <v>3696.2945087936532</v>
      </c>
      <c r="H25">
        <f>Portfolio!B$7*'CurrentPor-LH=20 unchanged'!J25</f>
        <v>2148.0998964419859</v>
      </c>
      <c r="I25">
        <f t="shared" si="0"/>
        <v>96492.367780820307</v>
      </c>
      <c r="J25">
        <f t="shared" si="1"/>
        <v>-5.3252473621687386</v>
      </c>
    </row>
    <row r="26" spans="1:10">
      <c r="A26" s="1">
        <v>45505</v>
      </c>
      <c r="B26">
        <f>(3/(1+('CurrentPor-LH=20 unchanged'!C26)/100)+103/POWER(1+('CurrentPor-LH=20 unchanged'!D26)/100,2))*100</f>
        <v>9707.5857774288397</v>
      </c>
      <c r="C26">
        <f>(3/(1+('CurrentPor-LH=20 unchanged'!C26+'CurrentPor-LH=20 unchanged'!G26)/100)+103/POWER(1+('CurrentPor-LH=20 unchanged'!D26+'CurrentPor-LH=20 unchanged'!G26)/100,2))*100</f>
        <v>9614.9673582483465</v>
      </c>
      <c r="D26">
        <f>(3/(1+('CurrentPor-LH=20 unchanged'!C26+'CurrentPor-LH=20 unchanged'!H26)/100)+103/POWER(1+('CurrentPor-LH=20 unchanged'!D26+'CurrentPor-LH=20 unchanged'!H26)/100,2))*100</f>
        <v>9592.3973171120942</v>
      </c>
      <c r="E26">
        <f>(3/(1+('CurrentPor-LH=20 unchanged'!C26+'CurrentPor-LH=20 unchanged'!I26)/100)+103/POWER(1+('CurrentPor-LH=20 unchanged'!D26+'CurrentPor-LH=20 unchanged'!I26)/100,2))*100</f>
        <v>9581.7126704693601</v>
      </c>
      <c r="F26">
        <f>Portfolio!B$5*'CurrentPor-LH=20 unchanged'!E26</f>
        <v>52143.895533915893</v>
      </c>
      <c r="G26">
        <f>Portfolio!B$6*'CurrentPor-LH=20 unchanged'!F26</f>
        <v>3696.2945087936532</v>
      </c>
      <c r="H26">
        <f>Portfolio!B$7*'CurrentPor-LH=20 unchanged'!J26</f>
        <v>2148.0998964419859</v>
      </c>
      <c r="I26">
        <f t="shared" si="0"/>
        <v>96484.953062410161</v>
      </c>
      <c r="J26">
        <f t="shared" si="1"/>
        <v>-4.355728575901594</v>
      </c>
    </row>
    <row r="27" spans="1:10">
      <c r="A27" s="1">
        <v>45506</v>
      </c>
      <c r="B27">
        <f>(3/(1+('CurrentPor-LH=20 unchanged'!C27)/100)+103/POWER(1+('CurrentPor-LH=20 unchanged'!D27)/100,2))*100</f>
        <v>9707.5857774288397</v>
      </c>
      <c r="C27">
        <f>(3/(1+('CurrentPor-LH=20 unchanged'!C27+'CurrentPor-LH=20 unchanged'!G27)/100)+103/POWER(1+('CurrentPor-LH=20 unchanged'!D27+'CurrentPor-LH=20 unchanged'!G27)/100,2))*100</f>
        <v>9614.9673582483465</v>
      </c>
      <c r="D27">
        <f>(3/(1+('CurrentPor-LH=20 unchanged'!C27+'CurrentPor-LH=20 unchanged'!H27)/100)+103/POWER(1+('CurrentPor-LH=20 unchanged'!D27+'CurrentPor-LH=20 unchanged'!H27)/100,2))*100</f>
        <v>9580.1025386134588</v>
      </c>
      <c r="E27">
        <f>(3/(1+('CurrentPor-LH=20 unchanged'!C27+'CurrentPor-LH=20 unchanged'!I27)/100)+103/POWER(1+('CurrentPor-LH=20 unchanged'!D27+'CurrentPor-LH=20 unchanged'!I27)/100,2))*100</f>
        <v>9580.2243625264055</v>
      </c>
      <c r="F27">
        <f>Portfolio!B$5*'CurrentPor-LH=20 unchanged'!E27</f>
        <v>52143.895533915893</v>
      </c>
      <c r="G27">
        <f>Portfolio!B$6*'CurrentPor-LH=20 unchanged'!F27</f>
        <v>3696.2945087936532</v>
      </c>
      <c r="H27">
        <f>Portfolio!B$7*'CurrentPor-LH=20 unchanged'!J27</f>
        <v>2148.0998964419859</v>
      </c>
      <c r="I27">
        <f t="shared" si="0"/>
        <v>96471.169975968587</v>
      </c>
      <c r="J27">
        <f t="shared" si="1"/>
        <v>-28.390464067066205</v>
      </c>
    </row>
    <row r="28" spans="1:10">
      <c r="A28" s="1">
        <v>45509</v>
      </c>
      <c r="B28">
        <f>(3/(1+('CurrentPor-LH=20 unchanged'!C28)/100)+103/POWER(1+('CurrentPor-LH=20 unchanged'!D28)/100,2))*100</f>
        <v>9707.5857774288397</v>
      </c>
      <c r="C28">
        <f>(3/(1+('CurrentPor-LH=20 unchanged'!C28+'CurrentPor-LH=20 unchanged'!G28)/100)+103/POWER(1+('CurrentPor-LH=20 unchanged'!D28+'CurrentPor-LH=20 unchanged'!G28)/100,2))*100</f>
        <v>9614.9673582483465</v>
      </c>
      <c r="D28">
        <f>(3/(1+('CurrentPor-LH=20 unchanged'!C28+'CurrentPor-LH=20 unchanged'!H28)/100)+103/POWER(1+('CurrentPor-LH=20 unchanged'!D28+'CurrentPor-LH=20 unchanged'!H28)/100,2))*100</f>
        <v>9613.4258203789323</v>
      </c>
      <c r="E28">
        <f>(3/(1+('CurrentPor-LH=20 unchanged'!C28+'CurrentPor-LH=20 unchanged'!I28)/100)+103/POWER(1+('CurrentPor-LH=20 unchanged'!D28+'CurrentPor-LH=20 unchanged'!I28)/100,2))*100</f>
        <v>9580.8128809983627</v>
      </c>
      <c r="F28">
        <f>Portfolio!B$5*'CurrentPor-LH=20 unchanged'!E28</f>
        <v>52143.895533915893</v>
      </c>
      <c r="G28">
        <f>Portfolio!B$6*'CurrentPor-LH=20 unchanged'!F28</f>
        <v>3696.2945087936532</v>
      </c>
      <c r="H28">
        <f>Portfolio!B$7*'CurrentPor-LH=20 unchanged'!J28</f>
        <v>2148.0998964419859</v>
      </c>
      <c r="I28">
        <f t="shared" si="0"/>
        <v>96505.081776206018</v>
      </c>
      <c r="J28">
        <f t="shared" si="1"/>
        <v>9.6502075582684483</v>
      </c>
    </row>
    <row r="29" spans="1:10">
      <c r="A29" s="1">
        <v>45510</v>
      </c>
      <c r="B29">
        <f>(3/(1+('CurrentPor-LH=20 unchanged'!C29)/100)+103/POWER(1+('CurrentPor-LH=20 unchanged'!D29)/100,2))*100</f>
        <v>9707.5857774288397</v>
      </c>
      <c r="C29">
        <f>(3/(1+('CurrentPor-LH=20 unchanged'!C29+'CurrentPor-LH=20 unchanged'!G29)/100)+103/POWER(1+('CurrentPor-LH=20 unchanged'!D29+'CurrentPor-LH=20 unchanged'!G29)/100,2))*100</f>
        <v>9614.9673582483465</v>
      </c>
      <c r="D29">
        <f>(3/(1+('CurrentPor-LH=20 unchanged'!C29+'CurrentPor-LH=20 unchanged'!H29)/100)+103/POWER(1+('CurrentPor-LH=20 unchanged'!D29+'CurrentPor-LH=20 unchanged'!H29)/100,2))*100</f>
        <v>9596.3427647590433</v>
      </c>
      <c r="E29">
        <f>(3/(1+('CurrentPor-LH=20 unchanged'!C29+'CurrentPor-LH=20 unchanged'!I29)/100)+103/POWER(1+('CurrentPor-LH=20 unchanged'!D29+'CurrentPor-LH=20 unchanged'!I29)/100,2))*100</f>
        <v>9582.0428982063986</v>
      </c>
      <c r="F29">
        <f>Portfolio!B$5*'CurrentPor-LH=20 unchanged'!E29</f>
        <v>52143.895533915893</v>
      </c>
      <c r="G29">
        <f>Portfolio!B$6*'CurrentPor-LH=20 unchanged'!F29</f>
        <v>3696.2945087936532</v>
      </c>
      <c r="H29">
        <f>Portfolio!B$7*'CurrentPor-LH=20 unchanged'!J29</f>
        <v>2148.0998964419859</v>
      </c>
      <c r="I29">
        <f t="shared" si="0"/>
        <v>96489.228737794168</v>
      </c>
      <c r="J29">
        <f t="shared" si="1"/>
        <v>6.2426191559934523</v>
      </c>
    </row>
    <row r="30" spans="1:10">
      <c r="A30" s="1">
        <v>45511</v>
      </c>
      <c r="B30">
        <f>(3/(1+('CurrentPor-LH=20 unchanged'!C30)/100)+103/POWER(1+('CurrentPor-LH=20 unchanged'!D30)/100,2))*100</f>
        <v>9707.5857774288397</v>
      </c>
      <c r="C30">
        <f>(3/(1+('CurrentPor-LH=20 unchanged'!C30+'CurrentPor-LH=20 unchanged'!G30)/100)+103/POWER(1+('CurrentPor-LH=20 unchanged'!D30+'CurrentPor-LH=20 unchanged'!G30)/100,2))*100</f>
        <v>9614.9673582483465</v>
      </c>
      <c r="D30">
        <f>(3/(1+('CurrentPor-LH=20 unchanged'!C30+'CurrentPor-LH=20 unchanged'!H30)/100)+103/POWER(1+('CurrentPor-LH=20 unchanged'!D30+'CurrentPor-LH=20 unchanged'!H30)/100,2))*100</f>
        <v>9614.4858949066092</v>
      </c>
      <c r="E30">
        <f>(3/(1+('CurrentPor-LH=20 unchanged'!C30+'CurrentPor-LH=20 unchanged'!I30)/100)+103/POWER(1+('CurrentPor-LH=20 unchanged'!D30+'CurrentPor-LH=20 unchanged'!I30)/100,2))*100</f>
        <v>9581.6327923457939</v>
      </c>
      <c r="F30">
        <f>Portfolio!B$5*'CurrentPor-LH=20 unchanged'!E30</f>
        <v>52143.895533915893</v>
      </c>
      <c r="G30">
        <f>Portfolio!B$6*'CurrentPor-LH=20 unchanged'!F30</f>
        <v>3696.2945087936532</v>
      </c>
      <c r="H30">
        <f>Portfolio!B$7*'CurrentPor-LH=20 unchanged'!J30</f>
        <v>2148.0998964419859</v>
      </c>
      <c r="I30">
        <f t="shared" si="0"/>
        <v>96506.961762081119</v>
      </c>
      <c r="J30">
        <f t="shared" si="1"/>
        <v>25.131825090837083</v>
      </c>
    </row>
    <row r="31" spans="1:10">
      <c r="A31" s="1">
        <v>45512</v>
      </c>
      <c r="B31">
        <f>(3/(1+('CurrentPor-LH=20 unchanged'!C31)/100)+103/POWER(1+('CurrentPor-LH=20 unchanged'!D31)/100,2))*100</f>
        <v>9707.5857774288397</v>
      </c>
      <c r="C31">
        <f>(3/(1+('CurrentPor-LH=20 unchanged'!C31+'CurrentPor-LH=20 unchanged'!G31)/100)+103/POWER(1+('CurrentPor-LH=20 unchanged'!D31+'CurrentPor-LH=20 unchanged'!G31)/100,2))*100</f>
        <v>9614.9673582483465</v>
      </c>
      <c r="D31">
        <f>(3/(1+('CurrentPor-LH=20 unchanged'!C31+'CurrentPor-LH=20 unchanged'!H31)/100)+103/POWER(1+('CurrentPor-LH=20 unchanged'!D31+'CurrentPor-LH=20 unchanged'!H31)/100,2))*100</f>
        <v>9597.2415742954363</v>
      </c>
      <c r="E31">
        <f>(3/(1+('CurrentPor-LH=20 unchanged'!C31+'CurrentPor-LH=20 unchanged'!I31)/100)+103/POWER(1+('CurrentPor-LH=20 unchanged'!D31+'CurrentPor-LH=20 unchanged'!I31)/100,2))*100</f>
        <v>9582.6635433669217</v>
      </c>
      <c r="F31">
        <f>Portfolio!B$5*'CurrentPor-LH=20 unchanged'!E31</f>
        <v>52143.895533915893</v>
      </c>
      <c r="G31">
        <f>Portfolio!B$6*'CurrentPor-LH=20 unchanged'!F31</f>
        <v>3696.2945087936532</v>
      </c>
      <c r="H31">
        <f>Portfolio!B$7*'CurrentPor-LH=20 unchanged'!J31</f>
        <v>2148.0998964419859</v>
      </c>
      <c r="I31">
        <f t="shared" si="0"/>
        <v>96490.748192491083</v>
      </c>
      <c r="J31">
        <f t="shared" si="1"/>
        <v>-4.0837197429209482</v>
      </c>
    </row>
    <row r="32" spans="1:10">
      <c r="A32" s="1">
        <v>45513</v>
      </c>
      <c r="B32">
        <f>(3/(1+('CurrentPor-LH=20 unchanged'!C32)/100)+103/POWER(1+('CurrentPor-LH=20 unchanged'!D32)/100,2))*100</f>
        <v>9707.5857774288397</v>
      </c>
      <c r="C32">
        <f>(3/(1+('CurrentPor-LH=20 unchanged'!C32+'CurrentPor-LH=20 unchanged'!G32)/100)+103/POWER(1+('CurrentPor-LH=20 unchanged'!D32+'CurrentPor-LH=20 unchanged'!G32)/100,2))*100</f>
        <v>9614.9673582483465</v>
      </c>
      <c r="D32">
        <f>(3/(1+('CurrentPor-LH=20 unchanged'!C32+'CurrentPor-LH=20 unchanged'!H32)/100)+103/POWER(1+('CurrentPor-LH=20 unchanged'!D32+'CurrentPor-LH=20 unchanged'!H32)/100,2))*100</f>
        <v>9608.6398236915338</v>
      </c>
      <c r="E32">
        <f>(3/(1+('CurrentPor-LH=20 unchanged'!C32+'CurrentPor-LH=20 unchanged'!I32)/100)+103/POWER(1+('CurrentPor-LH=20 unchanged'!D32+'CurrentPor-LH=20 unchanged'!I32)/100,2))*100</f>
        <v>9582.7373531656012</v>
      </c>
      <c r="F32">
        <f>Portfolio!B$5*'CurrentPor-LH=20 unchanged'!E32</f>
        <v>52143.895533915893</v>
      </c>
      <c r="G32">
        <f>Portfolio!B$6*'CurrentPor-LH=20 unchanged'!F32</f>
        <v>3696.2945087936532</v>
      </c>
      <c r="H32">
        <f>Portfolio!B$7*'CurrentPor-LH=20 unchanged'!J32</f>
        <v>2148.0998964419859</v>
      </c>
      <c r="I32">
        <f t="shared" si="0"/>
        <v>96502.220251685852</v>
      </c>
      <c r="J32">
        <f t="shared" si="1"/>
        <v>18.26767453904904</v>
      </c>
    </row>
    <row r="33" spans="1:10">
      <c r="A33" s="1">
        <v>45516</v>
      </c>
      <c r="B33">
        <f>(3/(1+('CurrentPor-LH=20 unchanged'!C33)/100)+103/POWER(1+('CurrentPor-LH=20 unchanged'!D33)/100,2))*100</f>
        <v>9707.5857774288397</v>
      </c>
      <c r="C33">
        <f>(3/(1+('CurrentPor-LH=20 unchanged'!C33+'CurrentPor-LH=20 unchanged'!G33)/100)+103/POWER(1+('CurrentPor-LH=20 unchanged'!D33+'CurrentPor-LH=20 unchanged'!G33)/100,2))*100</f>
        <v>9614.9673582483465</v>
      </c>
      <c r="D33">
        <f>(3/(1+('CurrentPor-LH=20 unchanged'!C33+'CurrentPor-LH=20 unchanged'!H33)/100)+103/POWER(1+('CurrentPor-LH=20 unchanged'!D33+'CurrentPor-LH=20 unchanged'!H33)/100,2))*100</f>
        <v>9606.527963993005</v>
      </c>
      <c r="E33">
        <f>(3/(1+('CurrentPor-LH=20 unchanged'!C33+'CurrentPor-LH=20 unchanged'!I33)/100)+103/POWER(1+('CurrentPor-LH=20 unchanged'!D33+'CurrentPor-LH=20 unchanged'!I33)/100,2))*100</f>
        <v>9581.6017783514581</v>
      </c>
      <c r="F33">
        <f>Portfolio!B$5*'CurrentPor-LH=20 unchanged'!E33</f>
        <v>52143.895533915893</v>
      </c>
      <c r="G33">
        <f>Portfolio!B$6*'CurrentPor-LH=20 unchanged'!F33</f>
        <v>3696.2945087936532</v>
      </c>
      <c r="H33">
        <f>Portfolio!B$7*'CurrentPor-LH=20 unchanged'!J33</f>
        <v>2148.0998964419859</v>
      </c>
      <c r="I33">
        <f t="shared" si="0"/>
        <v>96498.972817173184</v>
      </c>
      <c r="J33">
        <f t="shared" si="1"/>
        <v>-5.1408544667065144</v>
      </c>
    </row>
    <row r="34" spans="1:10">
      <c r="A34" s="1">
        <v>45517</v>
      </c>
      <c r="B34">
        <f>(3/(1+('CurrentPor-LH=20 unchanged'!C34)/100)+103/POWER(1+('CurrentPor-LH=20 unchanged'!D34)/100,2))*100</f>
        <v>9707.5857774288397</v>
      </c>
      <c r="C34">
        <f>(3/(1+('CurrentPor-LH=20 unchanged'!C34+'CurrentPor-LH=20 unchanged'!G34)/100)+103/POWER(1+('CurrentPor-LH=20 unchanged'!D34+'CurrentPor-LH=20 unchanged'!G34)/100,2))*100</f>
        <v>9614.9673582483465</v>
      </c>
      <c r="D34">
        <f>(3/(1+('CurrentPor-LH=20 unchanged'!C34+'CurrentPor-LH=20 unchanged'!H34)/100)+103/POWER(1+('CurrentPor-LH=20 unchanged'!D34+'CurrentPor-LH=20 unchanged'!H34)/100,2))*100</f>
        <v>9594.5377309936757</v>
      </c>
      <c r="E34">
        <f>(3/(1+('CurrentPor-LH=20 unchanged'!C34+'CurrentPor-LH=20 unchanged'!I34)/100)+103/POWER(1+('CurrentPor-LH=20 unchanged'!D34+'CurrentPor-LH=20 unchanged'!I34)/100,2))*100</f>
        <v>9581.8701888552459</v>
      </c>
      <c r="F34">
        <f>Portfolio!B$5*'CurrentPor-LH=20 unchanged'!E34</f>
        <v>52143.895533915893</v>
      </c>
      <c r="G34">
        <f>Portfolio!B$6*'CurrentPor-LH=20 unchanged'!F34</f>
        <v>3696.2945087936532</v>
      </c>
      <c r="H34">
        <f>Portfolio!B$7*'CurrentPor-LH=20 unchanged'!J34</f>
        <v>2148.0998964419859</v>
      </c>
      <c r="I34">
        <f t="shared" si="0"/>
        <v>96487.250994677641</v>
      </c>
      <c r="J34">
        <f t="shared" si="1"/>
        <v>-8.3222763563826447</v>
      </c>
    </row>
    <row r="35" spans="1:10">
      <c r="A35" s="1">
        <v>45518</v>
      </c>
      <c r="B35">
        <f>(3/(1+('CurrentPor-LH=20 unchanged'!C35)/100)+103/POWER(1+('CurrentPor-LH=20 unchanged'!D35)/100,2))*100</f>
        <v>9707.5857774288397</v>
      </c>
      <c r="C35">
        <f>(3/(1+('CurrentPor-LH=20 unchanged'!C35+'CurrentPor-LH=20 unchanged'!G35)/100)+103/POWER(1+('CurrentPor-LH=20 unchanged'!D35+'CurrentPor-LH=20 unchanged'!G35)/100,2))*100</f>
        <v>9614.9673582483465</v>
      </c>
      <c r="D35">
        <f>(3/(1+('CurrentPor-LH=20 unchanged'!C35+'CurrentPor-LH=20 unchanged'!H35)/100)+103/POWER(1+('CurrentPor-LH=20 unchanged'!D35+'CurrentPor-LH=20 unchanged'!H35)/100,2))*100</f>
        <v>9608.7326212558746</v>
      </c>
      <c r="E35">
        <f>(3/(1+('CurrentPor-LH=20 unchanged'!C35+'CurrentPor-LH=20 unchanged'!I35)/100)+103/POWER(1+('CurrentPor-LH=20 unchanged'!D35+'CurrentPor-LH=20 unchanged'!I35)/100,2))*100</f>
        <v>9581.4251961795217</v>
      </c>
      <c r="F35">
        <f>Portfolio!B$5*'CurrentPor-LH=20 unchanged'!E35</f>
        <v>52143.895533915893</v>
      </c>
      <c r="G35">
        <f>Portfolio!B$6*'CurrentPor-LH=20 unchanged'!F35</f>
        <v>3696.2945087936532</v>
      </c>
      <c r="H35">
        <f>Portfolio!B$7*'CurrentPor-LH=20 unchanged'!J35</f>
        <v>2148.0998964419859</v>
      </c>
      <c r="I35">
        <f t="shared" si="0"/>
        <v>96501.000892264114</v>
      </c>
      <c r="J35">
        <f t="shared" si="1"/>
        <v>8.6331114438071381</v>
      </c>
    </row>
    <row r="36" spans="1:10">
      <c r="A36" s="1">
        <v>45519</v>
      </c>
      <c r="B36">
        <f>(3/(1+('CurrentPor-LH=20 unchanged'!C36)/100)+103/POWER(1+('CurrentPor-LH=20 unchanged'!D36)/100,2))*100</f>
        <v>9707.5857774288397</v>
      </c>
      <c r="C36">
        <f>(3/(1+('CurrentPor-LH=20 unchanged'!C36+'CurrentPor-LH=20 unchanged'!G36)/100)+103/POWER(1+('CurrentPor-LH=20 unchanged'!D36+'CurrentPor-LH=20 unchanged'!G36)/100,2))*100</f>
        <v>9614.9673582483465</v>
      </c>
      <c r="D36">
        <f>(3/(1+('CurrentPor-LH=20 unchanged'!C36+'CurrentPor-LH=20 unchanged'!H36)/100)+103/POWER(1+('CurrentPor-LH=20 unchanged'!D36+'CurrentPor-LH=20 unchanged'!H36)/100,2))*100</f>
        <v>9607.5616854519176</v>
      </c>
      <c r="E36">
        <f>(3/(1+('CurrentPor-LH=20 unchanged'!C36+'CurrentPor-LH=20 unchanged'!I36)/100)+103/POWER(1+('CurrentPor-LH=20 unchanged'!D36+'CurrentPor-LH=20 unchanged'!I36)/100,2))*100</f>
        <v>9579.7284877044658</v>
      </c>
      <c r="F36">
        <f>Portfolio!B$5*'CurrentPor-LH=20 unchanged'!E36</f>
        <v>52143.895533915893</v>
      </c>
      <c r="G36">
        <f>Portfolio!B$6*'CurrentPor-LH=20 unchanged'!F36</f>
        <v>3696.2945087936532</v>
      </c>
      <c r="H36">
        <f>Portfolio!B$7*'CurrentPor-LH=20 unchanged'!J36</f>
        <v>2148.0998964419859</v>
      </c>
      <c r="I36">
        <f t="shared" si="0"/>
        <v>96498.133247985112</v>
      </c>
      <c r="J36">
        <f t="shared" si="1"/>
        <v>13.180185574950883</v>
      </c>
    </row>
    <row r="37" spans="1:10">
      <c r="A37" s="1">
        <v>45520</v>
      </c>
      <c r="B37">
        <f>(3/(1+('CurrentPor-LH=20 unchanged'!C37)/100)+103/POWER(1+('CurrentPor-LH=20 unchanged'!D37)/100,2))*100</f>
        <v>9707.5857774288397</v>
      </c>
      <c r="C37">
        <f>(3/(1+('CurrentPor-LH=20 unchanged'!C37+'CurrentPor-LH=20 unchanged'!G37)/100)+103/POWER(1+('CurrentPor-LH=20 unchanged'!D37+'CurrentPor-LH=20 unchanged'!G37)/100,2))*100</f>
        <v>9614.9673582483465</v>
      </c>
      <c r="D37">
        <f>(3/(1+('CurrentPor-LH=20 unchanged'!C37+'CurrentPor-LH=20 unchanged'!H37)/100)+103/POWER(1+('CurrentPor-LH=20 unchanged'!D37+'CurrentPor-LH=20 unchanged'!H37)/100,2))*100</f>
        <v>9606.1106357583994</v>
      </c>
      <c r="E37">
        <f>(3/(1+('CurrentPor-LH=20 unchanged'!C37+'CurrentPor-LH=20 unchanged'!I37)/100)+103/POWER(1+('CurrentPor-LH=20 unchanged'!D37+'CurrentPor-LH=20 unchanged'!I37)/100,2))*100</f>
        <v>9578.9007657744351</v>
      </c>
      <c r="F37">
        <f>Portfolio!B$5*'CurrentPor-LH=20 unchanged'!E37</f>
        <v>52143.895533915893</v>
      </c>
      <c r="G37">
        <f>Portfolio!B$6*'CurrentPor-LH=20 unchanged'!F37</f>
        <v>3696.2945087936532</v>
      </c>
      <c r="H37">
        <f>Portfolio!B$7*'CurrentPor-LH=20 unchanged'!J37</f>
        <v>2148.0998964419859</v>
      </c>
      <c r="I37">
        <f t="shared" si="0"/>
        <v>96495.85447636155</v>
      </c>
      <c r="J37">
        <f t="shared" si="1"/>
        <v>24.684500392962946</v>
      </c>
    </row>
    <row r="38" spans="1:10">
      <c r="A38" s="1">
        <v>45523</v>
      </c>
      <c r="B38">
        <f>(3/(1+('CurrentPor-LH=20 unchanged'!C38)/100)+103/POWER(1+('CurrentPor-LH=20 unchanged'!D38)/100,2))*100</f>
        <v>9707.5857774288397</v>
      </c>
      <c r="C38">
        <f>(3/(1+('CurrentPor-LH=20 unchanged'!C38+'CurrentPor-LH=20 unchanged'!G38)/100)+103/POWER(1+('CurrentPor-LH=20 unchanged'!D38+'CurrentPor-LH=20 unchanged'!G38)/100,2))*100</f>
        <v>9614.9673582483465</v>
      </c>
      <c r="D38">
        <f>(3/(1+('CurrentPor-LH=20 unchanged'!C38+'CurrentPor-LH=20 unchanged'!H38)/100)+103/POWER(1+('CurrentPor-LH=20 unchanged'!D38+'CurrentPor-LH=20 unchanged'!H38)/100,2))*100</f>
        <v>9584.5899894685554</v>
      </c>
      <c r="E38">
        <f>(3/(1+('CurrentPor-LH=20 unchanged'!C38+'CurrentPor-LH=20 unchanged'!I38)/100)+103/POWER(1+('CurrentPor-LH=20 unchanged'!D38+'CurrentPor-LH=20 unchanged'!I38)/100,2))*100</f>
        <v>9581.3167698895377</v>
      </c>
      <c r="F38">
        <f>Portfolio!B$5*'CurrentPor-LH=20 unchanged'!E38</f>
        <v>52143.895533915893</v>
      </c>
      <c r="G38">
        <f>Portfolio!B$6*'CurrentPor-LH=20 unchanged'!F38</f>
        <v>3696.2945087936532</v>
      </c>
      <c r="H38">
        <f>Portfolio!B$7*'CurrentPor-LH=20 unchanged'!J38</f>
        <v>2148.0998964419859</v>
      </c>
      <c r="I38">
        <f t="shared" si="0"/>
        <v>96476.749834186819</v>
      </c>
      <c r="J38">
        <f t="shared" si="1"/>
        <v>-28.331942019198323</v>
      </c>
    </row>
    <row r="39" spans="1:10">
      <c r="A39" s="1">
        <v>45524</v>
      </c>
      <c r="B39">
        <f>(3/(1+('CurrentPor-LH=20 unchanged'!C39)/100)+103/POWER(1+('CurrentPor-LH=20 unchanged'!D39)/100,2))*100</f>
        <v>9707.5857774288397</v>
      </c>
      <c r="C39">
        <f>(3/(1+('CurrentPor-LH=20 unchanged'!C39+'CurrentPor-LH=20 unchanged'!G39)/100)+103/POWER(1+('CurrentPor-LH=20 unchanged'!D39+'CurrentPor-LH=20 unchanged'!G39)/100,2))*100</f>
        <v>9614.9673582483465</v>
      </c>
      <c r="D39">
        <f>(3/(1+('CurrentPor-LH=20 unchanged'!C39+'CurrentPor-LH=20 unchanged'!H39)/100)+103/POWER(1+('CurrentPor-LH=20 unchanged'!D39+'CurrentPor-LH=20 unchanged'!H39)/100,2))*100</f>
        <v>9592.986627535307</v>
      </c>
      <c r="E39">
        <f>(3/(1+('CurrentPor-LH=20 unchanged'!C39+'CurrentPor-LH=20 unchanged'!I39)/100)+103/POWER(1+('CurrentPor-LH=20 unchanged'!D39+'CurrentPor-LH=20 unchanged'!I39)/100,2))*100</f>
        <v>9582.3790901550801</v>
      </c>
      <c r="F39">
        <f>Portfolio!B$5*'CurrentPor-LH=20 unchanged'!E39</f>
        <v>52143.895533915893</v>
      </c>
      <c r="G39">
        <f>Portfolio!B$6*'CurrentPor-LH=20 unchanged'!F39</f>
        <v>3696.2945087936532</v>
      </c>
      <c r="H39">
        <f>Portfolio!B$7*'CurrentPor-LH=20 unchanged'!J39</f>
        <v>2148.0998964419859</v>
      </c>
      <c r="I39">
        <f t="shared" si="0"/>
        <v>96486.208792519101</v>
      </c>
      <c r="J39">
        <f t="shared" si="1"/>
        <v>-3.0199452750675846</v>
      </c>
    </row>
    <row r="40" spans="1:10">
      <c r="A40" s="1">
        <v>45525</v>
      </c>
      <c r="B40">
        <f>(3/(1+('CurrentPor-LH=20 unchanged'!C40)/100)+103/POWER(1+('CurrentPor-LH=20 unchanged'!D40)/100,2))*100</f>
        <v>9707.5857774288397</v>
      </c>
      <c r="C40">
        <f>(3/(1+('CurrentPor-LH=20 unchanged'!C40+'CurrentPor-LH=20 unchanged'!G40)/100)+103/POWER(1+('CurrentPor-LH=20 unchanged'!D40+'CurrentPor-LH=20 unchanged'!G40)/100,2))*100</f>
        <v>9614.9673582483465</v>
      </c>
      <c r="D40">
        <f>(3/(1+('CurrentPor-LH=20 unchanged'!C40+'CurrentPor-LH=20 unchanged'!H40)/100)+103/POWER(1+('CurrentPor-LH=20 unchanged'!D40+'CurrentPor-LH=20 unchanged'!H40)/100,2))*100</f>
        <v>9590.0459785141047</v>
      </c>
      <c r="E40">
        <f>(3/(1+('CurrentPor-LH=20 unchanged'!C40+'CurrentPor-LH=20 unchanged'!I40)/100)+103/POWER(1+('CurrentPor-LH=20 unchanged'!D40+'CurrentPor-LH=20 unchanged'!I40)/100,2))*100</f>
        <v>9581.0692464589501</v>
      </c>
      <c r="F40">
        <f>Portfolio!B$5*'CurrentPor-LH=20 unchanged'!E40</f>
        <v>52143.895533915893</v>
      </c>
      <c r="G40">
        <f>Portfolio!B$6*'CurrentPor-LH=20 unchanged'!F40</f>
        <v>3696.2945087936532</v>
      </c>
      <c r="H40">
        <f>Portfolio!B$7*'CurrentPor-LH=20 unchanged'!J40</f>
        <v>2148.0998964419859</v>
      </c>
      <c r="I40">
        <f t="shared" si="0"/>
        <v>96481.958299801772</v>
      </c>
      <c r="J40">
        <f t="shared" si="1"/>
        <v>-25.003462279346422</v>
      </c>
    </row>
    <row r="41" spans="1:10">
      <c r="A41" s="1">
        <v>45526</v>
      </c>
      <c r="B41">
        <f>(3/(1+('CurrentPor-LH=20 unchanged'!C41)/100)+103/POWER(1+('CurrentPor-LH=20 unchanged'!D41)/100,2))*100</f>
        <v>9707.5857774288397</v>
      </c>
      <c r="C41">
        <f>(3/(1+('CurrentPor-LH=20 unchanged'!C41+'CurrentPor-LH=20 unchanged'!G41)/100)+103/POWER(1+('CurrentPor-LH=20 unchanged'!D41+'CurrentPor-LH=20 unchanged'!G41)/100,2))*100</f>
        <v>9614.9673582483465</v>
      </c>
      <c r="D41">
        <f>(3/(1+('CurrentPor-LH=20 unchanged'!C41+'CurrentPor-LH=20 unchanged'!H41)/100)+103/POWER(1+('CurrentPor-LH=20 unchanged'!D41+'CurrentPor-LH=20 unchanged'!H41)/100,2))*100</f>
        <v>9590.3986063913599</v>
      </c>
      <c r="E41">
        <f>(3/(1+('CurrentPor-LH=20 unchanged'!C41+'CurrentPor-LH=20 unchanged'!I41)/100)+103/POWER(1+('CurrentPor-LH=20 unchanged'!D41+'CurrentPor-LH=20 unchanged'!I41)/100,2))*100</f>
        <v>9581.8453909640666</v>
      </c>
      <c r="F41">
        <f>Portfolio!B$5*'CurrentPor-LH=20 unchanged'!E41</f>
        <v>52143.895533915893</v>
      </c>
      <c r="G41">
        <f>Portfolio!B$6*'CurrentPor-LH=20 unchanged'!F41</f>
        <v>3696.2945087936532</v>
      </c>
      <c r="H41">
        <f>Portfolio!B$7*'CurrentPor-LH=20 unchanged'!J41</f>
        <v>2148.0998964419859</v>
      </c>
      <c r="I41">
        <f t="shared" si="0"/>
        <v>96483.087072184149</v>
      </c>
      <c r="J41">
        <f t="shared" si="1"/>
        <v>-7.6611203069332987</v>
      </c>
    </row>
    <row r="42" spans="1:10">
      <c r="A42" s="1">
        <v>45527</v>
      </c>
      <c r="B42">
        <f>(3/(1+('CurrentPor-LH=20 unchanged'!C42)/100)+103/POWER(1+('CurrentPor-LH=20 unchanged'!D42)/100,2))*100</f>
        <v>9707.5857774288397</v>
      </c>
      <c r="C42">
        <f>(3/(1+('CurrentPor-LH=20 unchanged'!C42+'CurrentPor-LH=20 unchanged'!G42)/100)+103/POWER(1+('CurrentPor-LH=20 unchanged'!D42+'CurrentPor-LH=20 unchanged'!G42)/100,2))*100</f>
        <v>9614.9673582483465</v>
      </c>
      <c r="D42">
        <f>(3/(1+('CurrentPor-LH=20 unchanged'!C42+'CurrentPor-LH=20 unchanged'!H42)/100)+103/POWER(1+('CurrentPor-LH=20 unchanged'!D42+'CurrentPor-LH=20 unchanged'!H42)/100,2))*100</f>
        <v>9598.9630495882157</v>
      </c>
      <c r="E42">
        <f>(3/(1+('CurrentPor-LH=20 unchanged'!C42+'CurrentPor-LH=20 unchanged'!I42)/100)+103/POWER(1+('CurrentPor-LH=20 unchanged'!D42+'CurrentPor-LH=20 unchanged'!I42)/100,2))*100</f>
        <v>9580.4436617417286</v>
      </c>
      <c r="F42">
        <f>Portfolio!B$5*'CurrentPor-LH=20 unchanged'!E42</f>
        <v>52143.895533915893</v>
      </c>
      <c r="G42">
        <f>Portfolio!B$6*'CurrentPor-LH=20 unchanged'!F42</f>
        <v>3696.2945087936532</v>
      </c>
      <c r="H42">
        <f>Portfolio!B$7*'CurrentPor-LH=20 unchanged'!J42</f>
        <v>2148.0998964419859</v>
      </c>
      <c r="I42">
        <f t="shared" si="0"/>
        <v>96490.24978615866</v>
      </c>
      <c r="J42">
        <f t="shared" si="1"/>
        <v>-11.970465527192573</v>
      </c>
    </row>
    <row r="43" spans="1:10">
      <c r="A43" s="1">
        <v>45530</v>
      </c>
      <c r="B43">
        <f>(3/(1+('CurrentPor-LH=20 unchanged'!C43)/100)+103/POWER(1+('CurrentPor-LH=20 unchanged'!D43)/100,2))*100</f>
        <v>9707.5857774288397</v>
      </c>
      <c r="C43">
        <f>(3/(1+('CurrentPor-LH=20 unchanged'!C43+'CurrentPor-LH=20 unchanged'!G43)/100)+103/POWER(1+('CurrentPor-LH=20 unchanged'!D43+'CurrentPor-LH=20 unchanged'!G43)/100,2))*100</f>
        <v>9614.9673582483465</v>
      </c>
      <c r="D43">
        <f>(3/(1+('CurrentPor-LH=20 unchanged'!C43+'CurrentPor-LH=20 unchanged'!H43)/100)+103/POWER(1+('CurrentPor-LH=20 unchanged'!D43+'CurrentPor-LH=20 unchanged'!H43)/100,2))*100</f>
        <v>9606.9286815533123</v>
      </c>
      <c r="E43">
        <f>(3/(1+('CurrentPor-LH=20 unchanged'!C43+'CurrentPor-LH=20 unchanged'!I43)/100)+103/POWER(1+('CurrentPor-LH=20 unchanged'!D43+'CurrentPor-LH=20 unchanged'!I43)/100,2))*100</f>
        <v>9580.9276173093058</v>
      </c>
      <c r="F43">
        <f>Portfolio!B$5*'CurrentPor-LH=20 unchanged'!E43</f>
        <v>52143.895533915893</v>
      </c>
      <c r="G43">
        <f>Portfolio!B$6*'CurrentPor-LH=20 unchanged'!F43</f>
        <v>3696.2945087936532</v>
      </c>
      <c r="H43">
        <f>Portfolio!B$7*'CurrentPor-LH=20 unchanged'!J43</f>
        <v>2148.0998964419859</v>
      </c>
      <c r="I43">
        <f t="shared" si="0"/>
        <v>96498.699373691328</v>
      </c>
      <c r="J43">
        <f t="shared" si="1"/>
        <v>-0.27344348185579292</v>
      </c>
    </row>
    <row r="44" spans="1:10">
      <c r="A44" s="1">
        <v>45531</v>
      </c>
      <c r="B44">
        <f>(3/(1+('CurrentPor-LH=20 unchanged'!C44)/100)+103/POWER(1+('CurrentPor-LH=20 unchanged'!D44)/100,2))*100</f>
        <v>9707.5857774288397</v>
      </c>
      <c r="C44">
        <f>(3/(1+('CurrentPor-LH=20 unchanged'!C44+'CurrentPor-LH=20 unchanged'!G44)/100)+103/POWER(1+('CurrentPor-LH=20 unchanged'!D44+'CurrentPor-LH=20 unchanged'!G44)/100,2))*100</f>
        <v>9614.9673582483465</v>
      </c>
      <c r="D44">
        <f>(3/(1+('CurrentPor-LH=20 unchanged'!C44+'CurrentPor-LH=20 unchanged'!H44)/100)+103/POWER(1+('CurrentPor-LH=20 unchanged'!D44+'CurrentPor-LH=20 unchanged'!H44)/100,2))*100</f>
        <v>9600.4295335271127</v>
      </c>
      <c r="E44">
        <f>(3/(1+('CurrentPor-LH=20 unchanged'!C44+'CurrentPor-LH=20 unchanged'!I44)/100)+103/POWER(1+('CurrentPor-LH=20 unchanged'!D44+'CurrentPor-LH=20 unchanged'!I44)/100,2))*100</f>
        <v>9580.0335021781393</v>
      </c>
      <c r="F44">
        <f>Portfolio!B$5*'CurrentPor-LH=20 unchanged'!E44</f>
        <v>52143.895533915893</v>
      </c>
      <c r="G44">
        <f>Portfolio!B$6*'CurrentPor-LH=20 unchanged'!F44</f>
        <v>3696.2945087936532</v>
      </c>
      <c r="H44">
        <f>Portfolio!B$7*'CurrentPor-LH=20 unchanged'!J44</f>
        <v>2148.0998964419859</v>
      </c>
      <c r="I44">
        <f t="shared" si="0"/>
        <v>96491.306110533958</v>
      </c>
      <c r="J44">
        <f t="shared" si="1"/>
        <v>4.0551158563175704</v>
      </c>
    </row>
    <row r="45" spans="1:10">
      <c r="A45" s="1">
        <v>45532</v>
      </c>
      <c r="B45">
        <f>(3/(1+('CurrentPor-LH=20 unchanged'!C45)/100)+103/POWER(1+('CurrentPor-LH=20 unchanged'!D45)/100,2))*100</f>
        <v>9707.5857774288397</v>
      </c>
      <c r="C45">
        <f>(3/(1+('CurrentPor-LH=20 unchanged'!C45+'CurrentPor-LH=20 unchanged'!G45)/100)+103/POWER(1+('CurrentPor-LH=20 unchanged'!D45+'CurrentPor-LH=20 unchanged'!G45)/100,2))*100</f>
        <v>9614.9673582483465</v>
      </c>
      <c r="D45">
        <f>(3/(1+('CurrentPor-LH=20 unchanged'!C45+'CurrentPor-LH=20 unchanged'!H45)/100)+103/POWER(1+('CurrentPor-LH=20 unchanged'!D45+'CurrentPor-LH=20 unchanged'!H45)/100,2))*100</f>
        <v>9604.6783978490421</v>
      </c>
      <c r="E45">
        <f>(3/(1+('CurrentPor-LH=20 unchanged'!C45+'CurrentPor-LH=20 unchanged'!I45)/100)+103/POWER(1+('CurrentPor-LH=20 unchanged'!D45+'CurrentPor-LH=20 unchanged'!I45)/100,2))*100</f>
        <v>9581.5383860136208</v>
      </c>
      <c r="F45">
        <f>Portfolio!B$5*'CurrentPor-LH=20 unchanged'!E45</f>
        <v>52143.895533915893</v>
      </c>
      <c r="G45">
        <f>Portfolio!B$6*'CurrentPor-LH=20 unchanged'!F45</f>
        <v>3696.2945087936532</v>
      </c>
      <c r="H45">
        <f>Portfolio!B$7*'CurrentPor-LH=20 unchanged'!J45</f>
        <v>2148.0998964419859</v>
      </c>
      <c r="I45">
        <f t="shared" si="0"/>
        <v>96497.059858691369</v>
      </c>
      <c r="J45">
        <f t="shared" si="1"/>
        <v>-3.9410335727443453</v>
      </c>
    </row>
    <row r="46" spans="1:10">
      <c r="A46" s="1">
        <v>45533</v>
      </c>
      <c r="B46">
        <f>(3/(1+('CurrentPor-LH=20 unchanged'!C46)/100)+103/POWER(1+('CurrentPor-LH=20 unchanged'!D46)/100,2))*100</f>
        <v>9707.5857774288397</v>
      </c>
      <c r="C46">
        <f>(3/(1+('CurrentPor-LH=20 unchanged'!C46+'CurrentPor-LH=20 unchanged'!G46)/100)+103/POWER(1+('CurrentPor-LH=20 unchanged'!D46+'CurrentPor-LH=20 unchanged'!G46)/100,2))*100</f>
        <v>9614.9673582483465</v>
      </c>
      <c r="D46">
        <f>(3/(1+('CurrentPor-LH=20 unchanged'!C46+'CurrentPor-LH=20 unchanged'!H46)/100)+103/POWER(1+('CurrentPor-LH=20 unchanged'!D46+'CurrentPor-LH=20 unchanged'!H46)/100,2))*100</f>
        <v>9603.5136274222132</v>
      </c>
      <c r="E46">
        <f>(3/(1+('CurrentPor-LH=20 unchanged'!C46+'CurrentPor-LH=20 unchanged'!I46)/100)+103/POWER(1+('CurrentPor-LH=20 unchanged'!D46+'CurrentPor-LH=20 unchanged'!I46)/100,2))*100</f>
        <v>9580.7210688352407</v>
      </c>
      <c r="F46">
        <f>Portfolio!B$5*'CurrentPor-LH=20 unchanged'!E46</f>
        <v>52143.895533915893</v>
      </c>
      <c r="G46">
        <f>Portfolio!B$6*'CurrentPor-LH=20 unchanged'!F46</f>
        <v>3696.2945087936532</v>
      </c>
      <c r="H46">
        <f>Portfolio!B$7*'CurrentPor-LH=20 unchanged'!J46</f>
        <v>2148.0998964419859</v>
      </c>
      <c r="I46">
        <f t="shared" si="0"/>
        <v>96495.077771086173</v>
      </c>
      <c r="J46">
        <f t="shared" si="1"/>
        <v>-3.0554768989386503</v>
      </c>
    </row>
    <row r="47" spans="1:10">
      <c r="A47" s="1">
        <v>45534</v>
      </c>
      <c r="B47">
        <f>(3/(1+('CurrentPor-LH=20 unchanged'!C47)/100)+103/POWER(1+('CurrentPor-LH=20 unchanged'!D47)/100,2))*100</f>
        <v>9707.5857774288397</v>
      </c>
      <c r="C47">
        <f>(3/(1+('CurrentPor-LH=20 unchanged'!C47+'CurrentPor-LH=20 unchanged'!G47)/100)+103/POWER(1+('CurrentPor-LH=20 unchanged'!D47+'CurrentPor-LH=20 unchanged'!G47)/100,2))*100</f>
        <v>9614.9673582483465</v>
      </c>
      <c r="D47">
        <f>(3/(1+('CurrentPor-LH=20 unchanged'!C47+'CurrentPor-LH=20 unchanged'!H47)/100)+103/POWER(1+('CurrentPor-LH=20 unchanged'!D47+'CurrentPor-LH=20 unchanged'!H47)/100,2))*100</f>
        <v>9595.1709859650473</v>
      </c>
      <c r="E47">
        <f>(3/(1+('CurrentPor-LH=20 unchanged'!C47+'CurrentPor-LH=20 unchanged'!I47)/100)+103/POWER(1+('CurrentPor-LH=20 unchanged'!D47+'CurrentPor-LH=20 unchanged'!I47)/100,2))*100</f>
        <v>9580.8765299426304</v>
      </c>
      <c r="F47">
        <f>Portfolio!B$5*'CurrentPor-LH=20 unchanged'!E47</f>
        <v>52143.895533915893</v>
      </c>
      <c r="G47">
        <f>Portfolio!B$6*'CurrentPor-LH=20 unchanged'!F47</f>
        <v>3696.2945087936532</v>
      </c>
      <c r="H47">
        <f>Portfolio!B$7*'CurrentPor-LH=20 unchanged'!J47</f>
        <v>2148.0998964419859</v>
      </c>
      <c r="I47">
        <f t="shared" si="0"/>
        <v>96486.890590736395</v>
      </c>
      <c r="J47">
        <f t="shared" si="1"/>
        <v>-8.9638856251549441</v>
      </c>
    </row>
    <row r="48" spans="1:10">
      <c r="A48" s="1">
        <v>45537</v>
      </c>
      <c r="B48">
        <f>(3/(1+('CurrentPor-LH=20 unchanged'!C48)/100)+103/POWER(1+('CurrentPor-LH=20 unchanged'!D48)/100,2))*100</f>
        <v>9707.5857774288397</v>
      </c>
      <c r="C48">
        <f>(3/(1+('CurrentPor-LH=20 unchanged'!C48+'CurrentPor-LH=20 unchanged'!G48)/100)+103/POWER(1+('CurrentPor-LH=20 unchanged'!D48+'CurrentPor-LH=20 unchanged'!G48)/100,2))*100</f>
        <v>9614.9673582483465</v>
      </c>
      <c r="D48">
        <f>(3/(1+('CurrentPor-LH=20 unchanged'!C48+'CurrentPor-LH=20 unchanged'!H48)/100)+103/POWER(1+('CurrentPor-LH=20 unchanged'!D48+'CurrentPor-LH=20 unchanged'!H48)/100,2))*100</f>
        <v>9596.8867541885575</v>
      </c>
      <c r="E48">
        <f>(3/(1+('CurrentPor-LH=20 unchanged'!C48+'CurrentPor-LH=20 unchanged'!I48)/100)+103/POWER(1+('CurrentPor-LH=20 unchanged'!D48+'CurrentPor-LH=20 unchanged'!I48)/100,2))*100</f>
        <v>9581.8685111770646</v>
      </c>
      <c r="F48">
        <f>Portfolio!B$5*'CurrentPor-LH=20 unchanged'!E48</f>
        <v>52143.895533915893</v>
      </c>
      <c r="G48">
        <f>Portfolio!B$6*'CurrentPor-LH=20 unchanged'!F48</f>
        <v>3696.2945087936532</v>
      </c>
      <c r="H48">
        <f>Portfolio!B$7*'CurrentPor-LH=20 unchanged'!J48</f>
        <v>2148.0998964419859</v>
      </c>
      <c r="I48">
        <f t="shared" si="0"/>
        <v>96489.598340194338</v>
      </c>
      <c r="J48">
        <f t="shared" si="1"/>
        <v>12.848506007518154</v>
      </c>
    </row>
    <row r="49" spans="1:10">
      <c r="A49" s="1">
        <v>45538</v>
      </c>
      <c r="B49">
        <f>(3/(1+('CurrentPor-LH=20 unchanged'!C49)/100)+103/POWER(1+('CurrentPor-LH=20 unchanged'!D49)/100,2))*100</f>
        <v>9707.5857774288397</v>
      </c>
      <c r="C49">
        <f>(3/(1+('CurrentPor-LH=20 unchanged'!C49+'CurrentPor-LH=20 unchanged'!G49)/100)+103/POWER(1+('CurrentPor-LH=20 unchanged'!D49+'CurrentPor-LH=20 unchanged'!G49)/100,2))*100</f>
        <v>9614.9673582483465</v>
      </c>
      <c r="D49">
        <f>(3/(1+('CurrentPor-LH=20 unchanged'!C49+'CurrentPor-LH=20 unchanged'!H49)/100)+103/POWER(1+('CurrentPor-LH=20 unchanged'!D49+'CurrentPor-LH=20 unchanged'!H49)/100,2))*100</f>
        <v>9624.7030766889202</v>
      </c>
      <c r="E49">
        <f>(3/(1+('CurrentPor-LH=20 unchanged'!C49+'CurrentPor-LH=20 unchanged'!I49)/100)+103/POWER(1+('CurrentPor-LH=20 unchanged'!D49+'CurrentPor-LH=20 unchanged'!I49)/100,2))*100</f>
        <v>9580.451743697784</v>
      </c>
      <c r="F49">
        <f>Portfolio!B$5*'CurrentPor-LH=20 unchanged'!E49</f>
        <v>52143.895533915893</v>
      </c>
      <c r="G49">
        <f>Portfolio!B$6*'CurrentPor-LH=20 unchanged'!F49</f>
        <v>3696.2945087936532</v>
      </c>
      <c r="H49">
        <f>Portfolio!B$7*'CurrentPor-LH=20 unchanged'!J49</f>
        <v>2148.0998964419859</v>
      </c>
      <c r="I49">
        <f t="shared" si="0"/>
        <v>96515.99789521542</v>
      </c>
      <c r="J49">
        <f t="shared" si="1"/>
        <v>29.789102696318878</v>
      </c>
    </row>
    <row r="50" spans="1:10">
      <c r="A50" s="1">
        <v>45539</v>
      </c>
      <c r="B50">
        <f>(3/(1+('CurrentPor-LH=20 unchanged'!C50)/100)+103/POWER(1+('CurrentPor-LH=20 unchanged'!D50)/100,2))*100</f>
        <v>9707.5857774288397</v>
      </c>
      <c r="C50">
        <f>(3/(1+('CurrentPor-LH=20 unchanged'!C50+'CurrentPor-LH=20 unchanged'!G50)/100)+103/POWER(1+('CurrentPor-LH=20 unchanged'!D50+'CurrentPor-LH=20 unchanged'!G50)/100,2))*100</f>
        <v>9614.9673582483465</v>
      </c>
      <c r="D50">
        <f>(3/(1+('CurrentPor-LH=20 unchanged'!C50+'CurrentPor-LH=20 unchanged'!H50)/100)+103/POWER(1+('CurrentPor-LH=20 unchanged'!D50+'CurrentPor-LH=20 unchanged'!H50)/100,2))*100</f>
        <v>9610.8341407352054</v>
      </c>
      <c r="E50">
        <f>(3/(1+('CurrentPor-LH=20 unchanged'!C50+'CurrentPor-LH=20 unchanged'!I50)/100)+103/POWER(1+('CurrentPor-LH=20 unchanged'!D50+'CurrentPor-LH=20 unchanged'!I50)/100,2))*100</f>
        <v>9580.2788659877933</v>
      </c>
      <c r="F50">
        <f>Portfolio!B$5*'CurrentPor-LH=20 unchanged'!E50</f>
        <v>52143.895533915893</v>
      </c>
      <c r="G50">
        <f>Portfolio!B$6*'CurrentPor-LH=20 unchanged'!F50</f>
        <v>3696.2945087936532</v>
      </c>
      <c r="H50">
        <f>Portfolio!B$7*'CurrentPor-LH=20 unchanged'!J50</f>
        <v>2148.0998964419859</v>
      </c>
      <c r="I50">
        <f t="shared" si="0"/>
        <v>96501.956081551718</v>
      </c>
      <c r="J50">
        <f t="shared" si="1"/>
        <v>19.997781749945716</v>
      </c>
    </row>
    <row r="51" spans="1:10">
      <c r="A51" s="1">
        <v>45540</v>
      </c>
      <c r="B51">
        <f>(3/(1+('CurrentPor-LH=20 unchanged'!C51)/100)+103/POWER(1+('CurrentPor-LH=20 unchanged'!D51)/100,2))*100</f>
        <v>9707.5857774288397</v>
      </c>
      <c r="C51">
        <f>(3/(1+('CurrentPor-LH=20 unchanged'!C51+'CurrentPor-LH=20 unchanged'!G51)/100)+103/POWER(1+('CurrentPor-LH=20 unchanged'!D51+'CurrentPor-LH=20 unchanged'!G51)/100,2))*100</f>
        <v>9614.9673582483465</v>
      </c>
      <c r="D51">
        <f>(3/(1+('CurrentPor-LH=20 unchanged'!C51+'CurrentPor-LH=20 unchanged'!H51)/100)+103/POWER(1+('CurrentPor-LH=20 unchanged'!D51+'CurrentPor-LH=20 unchanged'!H51)/100,2))*100</f>
        <v>9591.9017329797862</v>
      </c>
      <c r="E51">
        <f>(3/(1+('CurrentPor-LH=20 unchanged'!C51+'CurrentPor-LH=20 unchanged'!I51)/100)+103/POWER(1+('CurrentPor-LH=20 unchanged'!D51+'CurrentPor-LH=20 unchanged'!I51)/100,2))*100</f>
        <v>9579.1843047554121</v>
      </c>
      <c r="F51">
        <f>Portfolio!B$5*'CurrentPor-LH=20 unchanged'!E51</f>
        <v>52143.895533915893</v>
      </c>
      <c r="G51">
        <f>Portfolio!B$6*'CurrentPor-LH=20 unchanged'!F51</f>
        <v>3696.2945087936532</v>
      </c>
      <c r="H51">
        <f>Portfolio!B$7*'CurrentPor-LH=20 unchanged'!J51</f>
        <v>2148.0998964419859</v>
      </c>
      <c r="I51">
        <f t="shared" si="0"/>
        <v>96481.929112563914</v>
      </c>
      <c r="J51">
        <f t="shared" si="1"/>
        <v>-1.1579596202354878</v>
      </c>
    </row>
    <row r="52" spans="1:10">
      <c r="A52" s="1">
        <v>45541</v>
      </c>
      <c r="B52">
        <f>(3/(1+('CurrentPor-LH=20 unchanged'!C52)/100)+103/POWER(1+('CurrentPor-LH=20 unchanged'!D52)/100,2))*100</f>
        <v>9707.5857774288397</v>
      </c>
      <c r="C52">
        <f>(3/(1+('CurrentPor-LH=20 unchanged'!C52+'CurrentPor-LH=20 unchanged'!G52)/100)+103/POWER(1+('CurrentPor-LH=20 unchanged'!D52+'CurrentPor-LH=20 unchanged'!G52)/100,2))*100</f>
        <v>9614.9673582483465</v>
      </c>
      <c r="D52">
        <f>(3/(1+('CurrentPor-LH=20 unchanged'!C52+'CurrentPor-LH=20 unchanged'!H52)/100)+103/POWER(1+('CurrentPor-LH=20 unchanged'!D52+'CurrentPor-LH=20 unchanged'!H52)/100,2))*100</f>
        <v>9602.5500356131615</v>
      </c>
      <c r="E52">
        <f>(3/(1+('CurrentPor-LH=20 unchanged'!C52+'CurrentPor-LH=20 unchanged'!I52)/100)+103/POWER(1+('CurrentPor-LH=20 unchanged'!D52+'CurrentPor-LH=20 unchanged'!I52)/100,2))*100</f>
        <v>9580.2481663423441</v>
      </c>
      <c r="F52">
        <f>Portfolio!B$5*'CurrentPor-LH=20 unchanged'!E52</f>
        <v>52143.895533915893</v>
      </c>
      <c r="G52">
        <f>Portfolio!B$6*'CurrentPor-LH=20 unchanged'!F52</f>
        <v>3696.2945087936532</v>
      </c>
      <c r="H52">
        <f>Portfolio!B$7*'CurrentPor-LH=20 unchanged'!J52</f>
        <v>2148.0998964419859</v>
      </c>
      <c r="I52">
        <f t="shared" si="0"/>
        <v>96493.641276784227</v>
      </c>
      <c r="J52">
        <f t="shared" si="1"/>
        <v>3.3914906255668029</v>
      </c>
    </row>
    <row r="53" spans="1:10">
      <c r="A53" s="1">
        <v>45544</v>
      </c>
      <c r="B53">
        <f>(3/(1+('CurrentPor-LH=20 unchanged'!C53)/100)+103/POWER(1+('CurrentPor-LH=20 unchanged'!D53)/100,2))*100</f>
        <v>9707.5857774288397</v>
      </c>
      <c r="C53">
        <f>(3/(1+('CurrentPor-LH=20 unchanged'!C53+'CurrentPor-LH=20 unchanged'!G53)/100)+103/POWER(1+('CurrentPor-LH=20 unchanged'!D53+'CurrentPor-LH=20 unchanged'!G53)/100,2))*100</f>
        <v>9614.9673582483465</v>
      </c>
      <c r="D53">
        <f>(3/(1+('CurrentPor-LH=20 unchanged'!C53+'CurrentPor-LH=20 unchanged'!H53)/100)+103/POWER(1+('CurrentPor-LH=20 unchanged'!D53+'CurrentPor-LH=20 unchanged'!H53)/100,2))*100</f>
        <v>9610.7303003650195</v>
      </c>
      <c r="E53">
        <f>(3/(1+('CurrentPor-LH=20 unchanged'!C53+'CurrentPor-LH=20 unchanged'!I53)/100)+103/POWER(1+('CurrentPor-LH=20 unchanged'!D53+'CurrentPor-LH=20 unchanged'!I53)/100,2))*100</f>
        <v>9580.5166768917297</v>
      </c>
      <c r="F53">
        <f>Portfolio!B$5*'CurrentPor-LH=20 unchanged'!E53</f>
        <v>52143.895533915893</v>
      </c>
      <c r="G53">
        <f>Portfolio!B$6*'CurrentPor-LH=20 unchanged'!F53</f>
        <v>3696.2945087936532</v>
      </c>
      <c r="H53">
        <f>Portfolio!B$7*'CurrentPor-LH=20 unchanged'!J53</f>
        <v>2148.0998964419859</v>
      </c>
      <c r="I53">
        <f t="shared" si="0"/>
        <v>96502.090052085478</v>
      </c>
      <c r="J53">
        <f t="shared" si="1"/>
        <v>3.3906783941492904</v>
      </c>
    </row>
    <row r="54" spans="1:10">
      <c r="A54" s="1">
        <v>45545</v>
      </c>
      <c r="B54">
        <f>(3/(1+('CurrentPor-LH=20 unchanged'!C54)/100)+103/POWER(1+('CurrentPor-LH=20 unchanged'!D54)/100,2))*100</f>
        <v>9707.5857774288397</v>
      </c>
      <c r="C54">
        <f>(3/(1+('CurrentPor-LH=20 unchanged'!C54+'CurrentPor-LH=20 unchanged'!G54)/100)+103/POWER(1+('CurrentPor-LH=20 unchanged'!D54+'CurrentPor-LH=20 unchanged'!G54)/100,2))*100</f>
        <v>9614.9673582483465</v>
      </c>
      <c r="D54">
        <f>(3/(1+('CurrentPor-LH=20 unchanged'!C54+'CurrentPor-LH=20 unchanged'!H54)/100)+103/POWER(1+('CurrentPor-LH=20 unchanged'!D54+'CurrentPor-LH=20 unchanged'!H54)/100,2))*100</f>
        <v>9582.0723452286602</v>
      </c>
      <c r="E54">
        <f>(3/(1+('CurrentPor-LH=20 unchanged'!C54+'CurrentPor-LH=20 unchanged'!I54)/100)+103/POWER(1+('CurrentPor-LH=20 unchanged'!D54+'CurrentPor-LH=20 unchanged'!I54)/100,2))*100</f>
        <v>9579.7811761732028</v>
      </c>
      <c r="F54">
        <f>Portfolio!B$5*'CurrentPor-LH=20 unchanged'!E54</f>
        <v>52143.895533915893</v>
      </c>
      <c r="G54">
        <f>Portfolio!B$6*'CurrentPor-LH=20 unchanged'!F54</f>
        <v>3696.2945087936532</v>
      </c>
      <c r="H54">
        <f>Portfolio!B$7*'CurrentPor-LH=20 unchanged'!J54</f>
        <v>2148.0998964419859</v>
      </c>
      <c r="I54">
        <f t="shared" si="0"/>
        <v>96472.696596230569</v>
      </c>
      <c r="J54">
        <f t="shared" si="1"/>
        <v>-18.609514303389005</v>
      </c>
    </row>
    <row r="55" spans="1:10">
      <c r="A55" s="1">
        <v>45546</v>
      </c>
      <c r="B55">
        <f>(3/(1+('CurrentPor-LH=20 unchanged'!C55)/100)+103/POWER(1+('CurrentPor-LH=20 unchanged'!D55)/100,2))*100</f>
        <v>9707.5857774288397</v>
      </c>
      <c r="C55">
        <f>(3/(1+('CurrentPor-LH=20 unchanged'!C55+'CurrentPor-LH=20 unchanged'!G55)/100)+103/POWER(1+('CurrentPor-LH=20 unchanged'!D55+'CurrentPor-LH=20 unchanged'!G55)/100,2))*100</f>
        <v>9614.9673582483465</v>
      </c>
      <c r="D55">
        <f>(3/(1+('CurrentPor-LH=20 unchanged'!C55+'CurrentPor-LH=20 unchanged'!H55)/100)+103/POWER(1+('CurrentPor-LH=20 unchanged'!D55+'CurrentPor-LH=20 unchanged'!H55)/100,2))*100</f>
        <v>9590.7574615146805</v>
      </c>
      <c r="E55">
        <f>(3/(1+('CurrentPor-LH=20 unchanged'!C55+'CurrentPor-LH=20 unchanged'!I55)/100)+103/POWER(1+('CurrentPor-LH=20 unchanged'!D55+'CurrentPor-LH=20 unchanged'!I55)/100,2))*100</f>
        <v>9579.1730355582913</v>
      </c>
      <c r="F55">
        <f>Portfolio!B$5*'CurrentPor-LH=20 unchanged'!E55</f>
        <v>52143.895533915893</v>
      </c>
      <c r="G55">
        <f>Portfolio!B$6*'CurrentPor-LH=20 unchanged'!F55</f>
        <v>3696.2945087936532</v>
      </c>
      <c r="H55">
        <f>Portfolio!B$7*'CurrentPor-LH=20 unchanged'!J55</f>
        <v>2148.0998964419859</v>
      </c>
      <c r="I55">
        <f t="shared" si="0"/>
        <v>96480.773571901678</v>
      </c>
      <c r="J55">
        <f t="shared" si="1"/>
        <v>-16.286286789691076</v>
      </c>
    </row>
    <row r="56" spans="1:10">
      <c r="A56" s="1">
        <v>45547</v>
      </c>
      <c r="B56">
        <f>(3/(1+('CurrentPor-LH=20 unchanged'!C56)/100)+103/POWER(1+('CurrentPor-LH=20 unchanged'!D56)/100,2))*100</f>
        <v>9707.5857774288397</v>
      </c>
      <c r="C56">
        <f>(3/(1+('CurrentPor-LH=20 unchanged'!C56+'CurrentPor-LH=20 unchanged'!G56)/100)+103/POWER(1+('CurrentPor-LH=20 unchanged'!D56+'CurrentPor-LH=20 unchanged'!G56)/100,2))*100</f>
        <v>9614.9673582483465</v>
      </c>
      <c r="D56">
        <f>(3/(1+('CurrentPor-LH=20 unchanged'!C56+'CurrentPor-LH=20 unchanged'!H56)/100)+103/POWER(1+('CurrentPor-LH=20 unchanged'!D56+'CurrentPor-LH=20 unchanged'!H56)/100,2))*100</f>
        <v>9589.4873307870294</v>
      </c>
      <c r="E56">
        <f>(3/(1+('CurrentPor-LH=20 unchanged'!C56+'CurrentPor-LH=20 unchanged'!I56)/100)+103/POWER(1+('CurrentPor-LH=20 unchanged'!D56+'CurrentPor-LH=20 unchanged'!I56)/100,2))*100</f>
        <v>9579.6764814642956</v>
      </c>
      <c r="F56">
        <f>Portfolio!B$5*'CurrentPor-LH=20 unchanged'!E56</f>
        <v>52143.895533915893</v>
      </c>
      <c r="G56">
        <f>Portfolio!B$6*'CurrentPor-LH=20 unchanged'!F56</f>
        <v>3696.2945087936532</v>
      </c>
      <c r="H56">
        <f>Portfolio!B$7*'CurrentPor-LH=20 unchanged'!J56</f>
        <v>2148.0998964419859</v>
      </c>
      <c r="I56">
        <f t="shared" si="0"/>
        <v>96480.006887080046</v>
      </c>
      <c r="J56">
        <f t="shared" si="1"/>
        <v>-15.070884006127017</v>
      </c>
    </row>
    <row r="57" spans="1:10">
      <c r="A57" s="1">
        <v>45548</v>
      </c>
      <c r="B57">
        <f>(3/(1+('CurrentPor-LH=20 unchanged'!C57)/100)+103/POWER(1+('CurrentPor-LH=20 unchanged'!D57)/100,2))*100</f>
        <v>9707.5857774288397</v>
      </c>
      <c r="C57">
        <f>(3/(1+('CurrentPor-LH=20 unchanged'!C57+'CurrentPor-LH=20 unchanged'!G57)/100)+103/POWER(1+('CurrentPor-LH=20 unchanged'!D57+'CurrentPor-LH=20 unchanged'!G57)/100,2))*100</f>
        <v>9614.9673582483465</v>
      </c>
      <c r="D57">
        <f>(3/(1+('CurrentPor-LH=20 unchanged'!C57+'CurrentPor-LH=20 unchanged'!H57)/100)+103/POWER(1+('CurrentPor-LH=20 unchanged'!D57+'CurrentPor-LH=20 unchanged'!H57)/100,2))*100</f>
        <v>9609.4433094780234</v>
      </c>
      <c r="E57">
        <f>(3/(1+('CurrentPor-LH=20 unchanged'!C57+'CurrentPor-LH=20 unchanged'!I57)/100)+103/POWER(1+('CurrentPor-LH=20 unchanged'!D57+'CurrentPor-LH=20 unchanged'!I57)/100,2))*100</f>
        <v>9580.6027631625293</v>
      </c>
      <c r="F57">
        <f>Portfolio!B$5*'CurrentPor-LH=20 unchanged'!E57</f>
        <v>52143.895533915893</v>
      </c>
      <c r="G57">
        <f>Portfolio!B$6*'CurrentPor-LH=20 unchanged'!F57</f>
        <v>3696.2945087936532</v>
      </c>
      <c r="H57">
        <f>Portfolio!B$7*'CurrentPor-LH=20 unchanged'!J57</f>
        <v>2148.0998964419859</v>
      </c>
      <c r="I57">
        <f t="shared" si="0"/>
        <v>96500.889147469265</v>
      </c>
      <c r="J57">
        <f t="shared" si="1"/>
        <v>13.998556732869474</v>
      </c>
    </row>
    <row r="58" spans="1:10">
      <c r="A58" s="1">
        <v>45551</v>
      </c>
      <c r="B58">
        <f>(3/(1+('CurrentPor-LH=20 unchanged'!C58)/100)+103/POWER(1+('CurrentPor-LH=20 unchanged'!D58)/100,2))*100</f>
        <v>9707.5857774288397</v>
      </c>
      <c r="C58">
        <f>(3/(1+('CurrentPor-LH=20 unchanged'!C58+'CurrentPor-LH=20 unchanged'!G58)/100)+103/POWER(1+('CurrentPor-LH=20 unchanged'!D58+'CurrentPor-LH=20 unchanged'!G58)/100,2))*100</f>
        <v>9614.9673582483465</v>
      </c>
      <c r="D58">
        <f>(3/(1+('CurrentPor-LH=20 unchanged'!C58+'CurrentPor-LH=20 unchanged'!H58)/100)+103/POWER(1+('CurrentPor-LH=20 unchanged'!D58+'CurrentPor-LH=20 unchanged'!H58)/100,2))*100</f>
        <v>9610.8271286705021</v>
      </c>
      <c r="E58">
        <f>(3/(1+('CurrentPor-LH=20 unchanged'!C58+'CurrentPor-LH=20 unchanged'!I58)/100)+103/POWER(1+('CurrentPor-LH=20 unchanged'!D58+'CurrentPor-LH=20 unchanged'!I58)/100,2))*100</f>
        <v>9582.4214932510877</v>
      </c>
      <c r="F58">
        <f>Portfolio!B$5*'CurrentPor-LH=20 unchanged'!E58</f>
        <v>52143.895533915893</v>
      </c>
      <c r="G58">
        <f>Portfolio!B$6*'CurrentPor-LH=20 unchanged'!F58</f>
        <v>3696.2945087936532</v>
      </c>
      <c r="H58">
        <f>Portfolio!B$7*'CurrentPor-LH=20 unchanged'!J58</f>
        <v>2148.0998964419859</v>
      </c>
      <c r="I58">
        <f t="shared" si="0"/>
        <v>96504.0916967503</v>
      </c>
      <c r="J58">
        <f t="shared" si="1"/>
        <v>14.493356555962237</v>
      </c>
    </row>
    <row r="59" spans="1:10">
      <c r="A59" s="1">
        <v>45552</v>
      </c>
      <c r="B59">
        <f>(3/(1+('CurrentPor-LH=20 unchanged'!C59)/100)+103/POWER(1+('CurrentPor-LH=20 unchanged'!D59)/100,2))*100</f>
        <v>9707.5857774288397</v>
      </c>
      <c r="C59">
        <f>(3/(1+('CurrentPor-LH=20 unchanged'!C59+'CurrentPor-LH=20 unchanged'!G59)/100)+103/POWER(1+('CurrentPor-LH=20 unchanged'!D59+'CurrentPor-LH=20 unchanged'!G59)/100,2))*100</f>
        <v>9614.9673582483465</v>
      </c>
      <c r="D59">
        <f>(3/(1+('CurrentPor-LH=20 unchanged'!C59+'CurrentPor-LH=20 unchanged'!H59)/100)+103/POWER(1+('CurrentPor-LH=20 unchanged'!D59+'CurrentPor-LH=20 unchanged'!H59)/100,2))*100</f>
        <v>9596.9147464911293</v>
      </c>
      <c r="E59">
        <f>(3/(1+('CurrentPor-LH=20 unchanged'!C59+'CurrentPor-LH=20 unchanged'!I59)/100)+103/POWER(1+('CurrentPor-LH=20 unchanged'!D59+'CurrentPor-LH=20 unchanged'!I59)/100,2))*100</f>
        <v>9582.5902372573873</v>
      </c>
      <c r="F59">
        <f>Portfolio!B$5*'CurrentPor-LH=20 unchanged'!E59</f>
        <v>52143.895533915893</v>
      </c>
      <c r="G59">
        <f>Portfolio!B$6*'CurrentPor-LH=20 unchanged'!F59</f>
        <v>3696.2945087936532</v>
      </c>
      <c r="H59">
        <f>Portfolio!B$7*'CurrentPor-LH=20 unchanged'!J59</f>
        <v>2148.0998964419859</v>
      </c>
      <c r="I59">
        <f t="shared" si="0"/>
        <v>96490.348058577234</v>
      </c>
      <c r="J59">
        <f t="shared" si="1"/>
        <v>-25.649836638185661</v>
      </c>
    </row>
    <row r="60" spans="1:10">
      <c r="A60" s="1">
        <v>45553</v>
      </c>
      <c r="B60">
        <f>(3/(1+('CurrentPor-LH=20 unchanged'!C60)/100)+103/POWER(1+('CurrentPor-LH=20 unchanged'!D60)/100,2))*100</f>
        <v>9707.5857774288397</v>
      </c>
      <c r="C60">
        <f>(3/(1+('CurrentPor-LH=20 unchanged'!C60+'CurrentPor-LH=20 unchanged'!G60)/100)+103/POWER(1+('CurrentPor-LH=20 unchanged'!D60+'CurrentPor-LH=20 unchanged'!G60)/100,2))*100</f>
        <v>9614.9673582483465</v>
      </c>
      <c r="D60">
        <f>(3/(1+('CurrentPor-LH=20 unchanged'!C60+'CurrentPor-LH=20 unchanged'!H60)/100)+103/POWER(1+('CurrentPor-LH=20 unchanged'!D60+'CurrentPor-LH=20 unchanged'!H60)/100,2))*100</f>
        <v>9593.162131592806</v>
      </c>
      <c r="E60">
        <f>(3/(1+('CurrentPor-LH=20 unchanged'!C60+'CurrentPor-LH=20 unchanged'!I60)/100)+103/POWER(1+('CurrentPor-LH=20 unchanged'!D60+'CurrentPor-LH=20 unchanged'!I60)/100,2))*100</f>
        <v>9581.7041576843294</v>
      </c>
      <c r="F60">
        <f>Portfolio!B$5*'CurrentPor-LH=20 unchanged'!E60</f>
        <v>52143.895533915893</v>
      </c>
      <c r="G60">
        <f>Portfolio!B$6*'CurrentPor-LH=20 unchanged'!F60</f>
        <v>3696.2945087936532</v>
      </c>
      <c r="H60">
        <f>Portfolio!B$7*'CurrentPor-LH=20 unchanged'!J60</f>
        <v>2148.0998964419859</v>
      </c>
      <c r="I60">
        <f t="shared" si="0"/>
        <v>96485.709364105845</v>
      </c>
      <c r="J60">
        <f t="shared" si="1"/>
        <v>-16.246717445872491</v>
      </c>
    </row>
    <row r="61" spans="1:10">
      <c r="A61" s="1">
        <v>45554</v>
      </c>
      <c r="B61">
        <f>(3/(1+('CurrentPor-LH=20 unchanged'!C61)/100)+103/POWER(1+('CurrentPor-LH=20 unchanged'!D61)/100,2))*100</f>
        <v>9707.5857774288397</v>
      </c>
      <c r="C61">
        <f>(3/(1+('CurrentPor-LH=20 unchanged'!C61+'CurrentPor-LH=20 unchanged'!G61)/100)+103/POWER(1+('CurrentPor-LH=20 unchanged'!D61+'CurrentPor-LH=20 unchanged'!G61)/100,2))*100</f>
        <v>9614.9673582483465</v>
      </c>
      <c r="D61">
        <f>(3/(1+('CurrentPor-LH=20 unchanged'!C61+'CurrentPor-LH=20 unchanged'!H61)/100)+103/POWER(1+('CurrentPor-LH=20 unchanged'!D61+'CurrentPor-LH=20 unchanged'!H61)/100,2))*100</f>
        <v>9604.9499368153101</v>
      </c>
      <c r="E61">
        <f>(3/(1+('CurrentPor-LH=20 unchanged'!C61+'CurrentPor-LH=20 unchanged'!I61)/100)+103/POWER(1+('CurrentPor-LH=20 unchanged'!D61+'CurrentPor-LH=20 unchanged'!I61)/100,2))*100</f>
        <v>9581.312489291573</v>
      </c>
      <c r="F61">
        <f>Portfolio!B$5*'CurrentPor-LH=20 unchanged'!E61</f>
        <v>52143.895533915893</v>
      </c>
      <c r="G61">
        <f>Portfolio!B$6*'CurrentPor-LH=20 unchanged'!F61</f>
        <v>3696.2945087936532</v>
      </c>
      <c r="H61">
        <f>Portfolio!B$7*'CurrentPor-LH=20 unchanged'!J61</f>
        <v>2148.0998964419859</v>
      </c>
      <c r="I61">
        <f t="shared" si="0"/>
        <v>96497.105500935591</v>
      </c>
      <c r="J61">
        <f t="shared" si="1"/>
        <v>15.176388371677604</v>
      </c>
    </row>
    <row r="62" spans="1:10">
      <c r="A62" s="1">
        <v>45555</v>
      </c>
      <c r="B62">
        <f>(3/(1+('CurrentPor-LH=20 unchanged'!C62)/100)+103/POWER(1+('CurrentPor-LH=20 unchanged'!D62)/100,2))*100</f>
        <v>9707.5857774288397</v>
      </c>
      <c r="C62">
        <f>(3/(1+('CurrentPor-LH=20 unchanged'!C62+'CurrentPor-LH=20 unchanged'!G62)/100)+103/POWER(1+('CurrentPor-LH=20 unchanged'!D62+'CurrentPor-LH=20 unchanged'!G62)/100,2))*100</f>
        <v>9614.9673582483465</v>
      </c>
      <c r="D62">
        <f>(3/(1+('CurrentPor-LH=20 unchanged'!C62+'CurrentPor-LH=20 unchanged'!H62)/100)+103/POWER(1+('CurrentPor-LH=20 unchanged'!D62+'CurrentPor-LH=20 unchanged'!H62)/100,2))*100</f>
        <v>9595.8487179296862</v>
      </c>
      <c r="E62">
        <f>(3/(1+('CurrentPor-LH=20 unchanged'!C62+'CurrentPor-LH=20 unchanged'!I62)/100)+103/POWER(1+('CurrentPor-LH=20 unchanged'!D62+'CurrentPor-LH=20 unchanged'!I62)/100,2))*100</f>
        <v>9583.3395659284597</v>
      </c>
      <c r="F62">
        <f>Portfolio!B$5*'CurrentPor-LH=20 unchanged'!E62</f>
        <v>52143.895533915893</v>
      </c>
      <c r="G62">
        <f>Portfolio!B$6*'CurrentPor-LH=20 unchanged'!F62</f>
        <v>3696.2945087936532</v>
      </c>
      <c r="H62">
        <f>Portfolio!B$7*'CurrentPor-LH=20 unchanged'!J62</f>
        <v>2148.0998964419859</v>
      </c>
      <c r="I62">
        <f t="shared" si="0"/>
        <v>96490.031358686872</v>
      </c>
      <c r="J62">
        <f t="shared" si="1"/>
        <v>-3.6099180973542389</v>
      </c>
    </row>
    <row r="63" spans="1:10">
      <c r="A63" s="1">
        <v>45558</v>
      </c>
      <c r="B63">
        <f>(3/(1+('CurrentPor-LH=20 unchanged'!C63)/100)+103/POWER(1+('CurrentPor-LH=20 unchanged'!D63)/100,2))*100</f>
        <v>9707.5857774288397</v>
      </c>
      <c r="C63">
        <f>(3/(1+('CurrentPor-LH=20 unchanged'!C63+'CurrentPor-LH=20 unchanged'!G63)/100)+103/POWER(1+('CurrentPor-LH=20 unchanged'!D63+'CurrentPor-LH=20 unchanged'!G63)/100,2))*100</f>
        <v>9614.9673582483465</v>
      </c>
      <c r="D63">
        <f>(3/(1+('CurrentPor-LH=20 unchanged'!C63+'CurrentPor-LH=20 unchanged'!H63)/100)+103/POWER(1+('CurrentPor-LH=20 unchanged'!D63+'CurrentPor-LH=20 unchanged'!H63)/100,2))*100</f>
        <v>9606.8098692856529</v>
      </c>
      <c r="E63">
        <f>(3/(1+('CurrentPor-LH=20 unchanged'!C63+'CurrentPor-LH=20 unchanged'!I63)/100)+103/POWER(1+('CurrentPor-LH=20 unchanged'!D63+'CurrentPor-LH=20 unchanged'!I63)/100,2))*100</f>
        <v>9579.4760908231528</v>
      </c>
      <c r="F63">
        <f>Portfolio!B$5*'CurrentPor-LH=20 unchanged'!E63</f>
        <v>52143.895533915893</v>
      </c>
      <c r="G63">
        <f>Portfolio!B$6*'CurrentPor-LH=20 unchanged'!F63</f>
        <v>3696.2945087936532</v>
      </c>
      <c r="H63">
        <f>Portfolio!B$7*'CurrentPor-LH=20 unchanged'!J63</f>
        <v>2148.0998964419859</v>
      </c>
      <c r="I63">
        <f t="shared" si="0"/>
        <v>96497.129034937519</v>
      </c>
      <c r="J63">
        <f t="shared" si="1"/>
        <v>-4.9610171479580458</v>
      </c>
    </row>
    <row r="64" spans="1:10">
      <c r="A64" s="1">
        <v>45559</v>
      </c>
      <c r="B64">
        <f>(3/(1+('CurrentPor-LH=20 unchanged'!C64)/100)+103/POWER(1+('CurrentPor-LH=20 unchanged'!D64)/100,2))*100</f>
        <v>9707.5857774288397</v>
      </c>
      <c r="C64">
        <f>(3/(1+('CurrentPor-LH=20 unchanged'!C64+'CurrentPor-LH=20 unchanged'!G64)/100)+103/POWER(1+('CurrentPor-LH=20 unchanged'!D64+'CurrentPor-LH=20 unchanged'!G64)/100,2))*100</f>
        <v>9614.9673582483465</v>
      </c>
      <c r="D64">
        <f>(3/(1+('CurrentPor-LH=20 unchanged'!C64+'CurrentPor-LH=20 unchanged'!H64)/100)+103/POWER(1+('CurrentPor-LH=20 unchanged'!D64+'CurrentPor-LH=20 unchanged'!H64)/100,2))*100</f>
        <v>9614.896012983485</v>
      </c>
      <c r="E64">
        <f>(3/(1+('CurrentPor-LH=20 unchanged'!C64+'CurrentPor-LH=20 unchanged'!I64)/100)+103/POWER(1+('CurrentPor-LH=20 unchanged'!D64+'CurrentPor-LH=20 unchanged'!I64)/100,2))*100</f>
        <v>9581.2406914267158</v>
      </c>
      <c r="F64">
        <f>Portfolio!B$5*'CurrentPor-LH=20 unchanged'!E64</f>
        <v>52143.895533915893</v>
      </c>
      <c r="G64">
        <f>Portfolio!B$6*'CurrentPor-LH=20 unchanged'!F64</f>
        <v>3696.2945087936532</v>
      </c>
      <c r="H64">
        <f>Portfolio!B$7*'CurrentPor-LH=20 unchanged'!J64</f>
        <v>2148.0998964419859</v>
      </c>
      <c r="I64">
        <f t="shared" si="0"/>
        <v>96506.979779238914</v>
      </c>
      <c r="J64">
        <f t="shared" si="1"/>
        <v>34.283183008345077</v>
      </c>
    </row>
    <row r="65" spans="1:10">
      <c r="A65" s="1">
        <v>45560</v>
      </c>
      <c r="B65">
        <f>(3/(1+('CurrentPor-LH=20 unchanged'!C65)/100)+103/POWER(1+('CurrentPor-LH=20 unchanged'!D65)/100,2))*100</f>
        <v>9707.5857774288397</v>
      </c>
      <c r="C65">
        <f>(3/(1+('CurrentPor-LH=20 unchanged'!C65+'CurrentPor-LH=20 unchanged'!G65)/100)+103/POWER(1+('CurrentPor-LH=20 unchanged'!D65+'CurrentPor-LH=20 unchanged'!G65)/100,2))*100</f>
        <v>9614.9673582483465</v>
      </c>
      <c r="D65">
        <f>(3/(1+('CurrentPor-LH=20 unchanged'!C65+'CurrentPor-LH=20 unchanged'!H65)/100)+103/POWER(1+('CurrentPor-LH=20 unchanged'!D65+'CurrentPor-LH=20 unchanged'!H65)/100,2))*100</f>
        <v>9607.6985825555385</v>
      </c>
      <c r="E65">
        <f>(3/(1+('CurrentPor-LH=20 unchanged'!C65+'CurrentPor-LH=20 unchanged'!I65)/100)+103/POWER(1+('CurrentPor-LH=20 unchanged'!D65+'CurrentPor-LH=20 unchanged'!I65)/100,2))*100</f>
        <v>9581.9440596788936</v>
      </c>
      <c r="F65">
        <f>Portfolio!B$5*'CurrentPor-LH=20 unchanged'!E65</f>
        <v>52143.895533915893</v>
      </c>
      <c r="G65">
        <f>Portfolio!B$6*'CurrentPor-LH=20 unchanged'!F65</f>
        <v>3696.2945087936532</v>
      </c>
      <c r="H65">
        <f>Portfolio!B$7*'CurrentPor-LH=20 unchanged'!J65</f>
        <v>2148.0998964419859</v>
      </c>
      <c r="I65">
        <f t="shared" si="0"/>
        <v>96500.485717063144</v>
      </c>
      <c r="J65">
        <f t="shared" si="1"/>
        <v>19.712145161465742</v>
      </c>
    </row>
    <row r="66" spans="1:10">
      <c r="A66" s="1">
        <v>45561</v>
      </c>
      <c r="B66">
        <f>(3/(1+('CurrentPor-LH=20 unchanged'!C66)/100)+103/POWER(1+('CurrentPor-LH=20 unchanged'!D66)/100,2))*100</f>
        <v>9707.5857774288397</v>
      </c>
      <c r="C66">
        <f>(3/(1+('CurrentPor-LH=20 unchanged'!C66+'CurrentPor-LH=20 unchanged'!G66)/100)+103/POWER(1+('CurrentPor-LH=20 unchanged'!D66+'CurrentPor-LH=20 unchanged'!G66)/100,2))*100</f>
        <v>9614.9673582483465</v>
      </c>
      <c r="D66">
        <f>(3/(1+('CurrentPor-LH=20 unchanged'!C66+'CurrentPor-LH=20 unchanged'!H66)/100)+103/POWER(1+('CurrentPor-LH=20 unchanged'!D66+'CurrentPor-LH=20 unchanged'!H66)/100,2))*100</f>
        <v>9610.5328170949797</v>
      </c>
      <c r="E66">
        <f>(3/(1+('CurrentPor-LH=20 unchanged'!C66+'CurrentPor-LH=20 unchanged'!I66)/100)+103/POWER(1+('CurrentPor-LH=20 unchanged'!D66+'CurrentPor-LH=20 unchanged'!I66)/100,2))*100</f>
        <v>9581.3525916585568</v>
      </c>
      <c r="F66">
        <f>Portfolio!B$5*'CurrentPor-LH=20 unchanged'!E66</f>
        <v>52143.895533915893</v>
      </c>
      <c r="G66">
        <f>Portfolio!B$6*'CurrentPor-LH=20 unchanged'!F66</f>
        <v>3696.2945087936532</v>
      </c>
      <c r="H66">
        <f>Portfolio!B$7*'CurrentPor-LH=20 unchanged'!J66</f>
        <v>2148.0998964419859</v>
      </c>
      <c r="I66">
        <f t="shared" si="0"/>
        <v>96502.72848358225</v>
      </c>
      <c r="J66">
        <f t="shared" si="1"/>
        <v>22.721596502204193</v>
      </c>
    </row>
    <row r="67" spans="1:10">
      <c r="A67" s="1">
        <v>45562</v>
      </c>
      <c r="B67">
        <f>(3/(1+('CurrentPor-LH=20 unchanged'!C67)/100)+103/POWER(1+('CurrentPor-LH=20 unchanged'!D67)/100,2))*100</f>
        <v>9707.5857774288397</v>
      </c>
      <c r="C67">
        <f>(3/(1+('CurrentPor-LH=20 unchanged'!C67+'CurrentPor-LH=20 unchanged'!G67)/100)+103/POWER(1+('CurrentPor-LH=20 unchanged'!D67+'CurrentPor-LH=20 unchanged'!G67)/100,2))*100</f>
        <v>9614.9673582483465</v>
      </c>
      <c r="D67">
        <f>(3/(1+('CurrentPor-LH=20 unchanged'!C67+'CurrentPor-LH=20 unchanged'!H67)/100)+103/POWER(1+('CurrentPor-LH=20 unchanged'!D67+'CurrentPor-LH=20 unchanged'!H67)/100,2))*100</f>
        <v>9597.3544839682436</v>
      </c>
      <c r="E67">
        <f>(3/(1+('CurrentPor-LH=20 unchanged'!C67+'CurrentPor-LH=20 unchanged'!I67)/100)+103/POWER(1+('CurrentPor-LH=20 unchanged'!D67+'CurrentPor-LH=20 unchanged'!I67)/100,2))*100</f>
        <v>9581.0784588554361</v>
      </c>
      <c r="F67">
        <f>Portfolio!B$5*'CurrentPor-LH=20 unchanged'!E67</f>
        <v>52143.895533915893</v>
      </c>
      <c r="G67">
        <f>Portfolio!B$6*'CurrentPor-LH=20 unchanged'!F67</f>
        <v>3696.2945087936532</v>
      </c>
      <c r="H67">
        <f>Portfolio!B$7*'CurrentPor-LH=20 unchanged'!J67</f>
        <v>2148.0998964419859</v>
      </c>
      <c r="I67">
        <f t="shared" si="0"/>
        <v>96489.276017652403</v>
      </c>
      <c r="J67">
        <f t="shared" si="1"/>
        <v>-11.613129816862056</v>
      </c>
    </row>
    <row r="68" spans="1:10">
      <c r="A68" s="1">
        <v>45565</v>
      </c>
      <c r="B68">
        <f>(3/(1+('CurrentPor-LH=20 unchanged'!C68)/100)+103/POWER(1+('CurrentPor-LH=20 unchanged'!D68)/100,2))*100</f>
        <v>9707.5857774288397</v>
      </c>
      <c r="C68">
        <f>(3/(1+('CurrentPor-LH=20 unchanged'!C68+'CurrentPor-LH=20 unchanged'!G68)/100)+103/POWER(1+('CurrentPor-LH=20 unchanged'!D68+'CurrentPor-LH=20 unchanged'!G68)/100,2))*100</f>
        <v>9614.9673582483465</v>
      </c>
      <c r="D68">
        <f>(3/(1+('CurrentPor-LH=20 unchanged'!C68+'CurrentPor-LH=20 unchanged'!H68)/100)+103/POWER(1+('CurrentPor-LH=20 unchanged'!D68+'CurrentPor-LH=20 unchanged'!H68)/100,2))*100</f>
        <v>9594.7781927274227</v>
      </c>
      <c r="E68">
        <f>(3/(1+('CurrentPor-LH=20 unchanged'!C68+'CurrentPor-LH=20 unchanged'!I68)/100)+103/POWER(1+('CurrentPor-LH=20 unchanged'!D68+'CurrentPor-LH=20 unchanged'!I68)/100,2))*100</f>
        <v>9580.1876409170109</v>
      </c>
      <c r="F68">
        <f>Portfolio!B$5*'CurrentPor-LH=20 unchanged'!E68</f>
        <v>52143.895533915893</v>
      </c>
      <c r="G68">
        <f>Portfolio!B$6*'CurrentPor-LH=20 unchanged'!F68</f>
        <v>3696.2945087936532</v>
      </c>
      <c r="H68">
        <f>Portfolio!B$7*'CurrentPor-LH=20 unchanged'!J68</f>
        <v>2148.0998964419859</v>
      </c>
      <c r="I68">
        <f t="shared" ref="I68:I131" si="2">SUM(B68:H68)</f>
        <v>96485.808908473162</v>
      </c>
      <c r="J68">
        <f t="shared" si="1"/>
        <v>-18.282788277138025</v>
      </c>
    </row>
    <row r="69" spans="1:10">
      <c r="A69" s="1">
        <v>45566</v>
      </c>
      <c r="B69">
        <f>(3/(1+('CurrentPor-LH=20 unchanged'!C69)/100)+103/POWER(1+('CurrentPor-LH=20 unchanged'!D69)/100,2))*100</f>
        <v>9707.5857774288397</v>
      </c>
      <c r="C69">
        <f>(3/(1+('CurrentPor-LH=20 unchanged'!C69+'CurrentPor-LH=20 unchanged'!G69)/100)+103/POWER(1+('CurrentPor-LH=20 unchanged'!D69+'CurrentPor-LH=20 unchanged'!G69)/100,2))*100</f>
        <v>9614.9673582483465</v>
      </c>
      <c r="D69">
        <f>(3/(1+('CurrentPor-LH=20 unchanged'!C69+'CurrentPor-LH=20 unchanged'!H69)/100)+103/POWER(1+('CurrentPor-LH=20 unchanged'!D69+'CurrentPor-LH=20 unchanged'!H69)/100,2))*100</f>
        <v>9596.784888139191</v>
      </c>
      <c r="E69">
        <f>(3/(1+('CurrentPor-LH=20 unchanged'!C69+'CurrentPor-LH=20 unchanged'!I69)/100)+103/POWER(1+('CurrentPor-LH=20 unchanged'!D69+'CurrentPor-LH=20 unchanged'!I69)/100,2))*100</f>
        <v>9581.0531467707842</v>
      </c>
      <c r="F69">
        <f>Portfolio!B$5*'CurrentPor-LH=20 unchanged'!E69</f>
        <v>52143.895533915893</v>
      </c>
      <c r="G69">
        <f>Portfolio!B$6*'CurrentPor-LH=20 unchanged'!F69</f>
        <v>3696.2945087936532</v>
      </c>
      <c r="H69">
        <f>Portfolio!B$7*'CurrentPor-LH=20 unchanged'!J69</f>
        <v>2148.0998964419859</v>
      </c>
      <c r="I69">
        <f t="shared" si="2"/>
        <v>96488.681109738696</v>
      </c>
      <c r="J69">
        <f t="shared" si="1"/>
        <v>-1.6669488385377917</v>
      </c>
    </row>
    <row r="70" spans="1:10">
      <c r="A70" s="1">
        <v>45567</v>
      </c>
      <c r="B70">
        <f>(3/(1+('CurrentPor-LH=20 unchanged'!C70)/100)+103/POWER(1+('CurrentPor-LH=20 unchanged'!D70)/100,2))*100</f>
        <v>9707.5857774288397</v>
      </c>
      <c r="C70">
        <f>(3/(1+('CurrentPor-LH=20 unchanged'!C70+'CurrentPor-LH=20 unchanged'!G70)/100)+103/POWER(1+('CurrentPor-LH=20 unchanged'!D70+'CurrentPor-LH=20 unchanged'!G70)/100,2))*100</f>
        <v>9614.9673582483465</v>
      </c>
      <c r="D70">
        <f>(3/(1+('CurrentPor-LH=20 unchanged'!C70+'CurrentPor-LH=20 unchanged'!H70)/100)+103/POWER(1+('CurrentPor-LH=20 unchanged'!D70+'CurrentPor-LH=20 unchanged'!H70)/100,2))*100</f>
        <v>9606.033946273903</v>
      </c>
      <c r="E70">
        <f>(3/(1+('CurrentPor-LH=20 unchanged'!C70+'CurrentPor-LH=20 unchanged'!I70)/100)+103/POWER(1+('CurrentPor-LH=20 unchanged'!D70+'CurrentPor-LH=20 unchanged'!I70)/100,2))*100</f>
        <v>9580.3585773894247</v>
      </c>
      <c r="F70">
        <f>Portfolio!B$5*'CurrentPor-LH=20 unchanged'!E70</f>
        <v>52143.895533915893</v>
      </c>
      <c r="G70">
        <f>Portfolio!B$6*'CurrentPor-LH=20 unchanged'!F70</f>
        <v>3696.2945087936532</v>
      </c>
      <c r="H70">
        <f>Portfolio!B$7*'CurrentPor-LH=20 unchanged'!J70</f>
        <v>2148.0998964419859</v>
      </c>
      <c r="I70">
        <f t="shared" si="2"/>
        <v>96497.235598492043</v>
      </c>
      <c r="J70">
        <f t="shared" si="1"/>
        <v>11.526234386197757</v>
      </c>
    </row>
    <row r="71" spans="1:10">
      <c r="A71" s="1">
        <v>45568</v>
      </c>
      <c r="B71">
        <f>(3/(1+('CurrentPor-LH=20 unchanged'!C71)/100)+103/POWER(1+('CurrentPor-LH=20 unchanged'!D71)/100,2))*100</f>
        <v>9707.5857774288397</v>
      </c>
      <c r="C71">
        <f>(3/(1+('CurrentPor-LH=20 unchanged'!C71+'CurrentPor-LH=20 unchanged'!G71)/100)+103/POWER(1+('CurrentPor-LH=20 unchanged'!D71+'CurrentPor-LH=20 unchanged'!G71)/100,2))*100</f>
        <v>9614.9673582483465</v>
      </c>
      <c r="D71">
        <f>(3/(1+('CurrentPor-LH=20 unchanged'!C71+'CurrentPor-LH=20 unchanged'!H71)/100)+103/POWER(1+('CurrentPor-LH=20 unchanged'!D71+'CurrentPor-LH=20 unchanged'!H71)/100,2))*100</f>
        <v>9585.4843833852265</v>
      </c>
      <c r="E71">
        <f>(3/(1+('CurrentPor-LH=20 unchanged'!C71+'CurrentPor-LH=20 unchanged'!I71)/100)+103/POWER(1+('CurrentPor-LH=20 unchanged'!D71+'CurrentPor-LH=20 unchanged'!I71)/100,2))*100</f>
        <v>9581.4264837555766</v>
      </c>
      <c r="F71">
        <f>Portfolio!B$5*'CurrentPor-LH=20 unchanged'!E71</f>
        <v>52143.895533915893</v>
      </c>
      <c r="G71">
        <f>Portfolio!B$6*'CurrentPor-LH=20 unchanged'!F71</f>
        <v>3696.2945087936532</v>
      </c>
      <c r="H71">
        <f>Portfolio!B$7*'CurrentPor-LH=20 unchanged'!J71</f>
        <v>2148.0998964419859</v>
      </c>
      <c r="I71">
        <f t="shared" si="2"/>
        <v>96477.753941969524</v>
      </c>
      <c r="J71">
        <f t="shared" si="1"/>
        <v>-19.351558966067387</v>
      </c>
    </row>
    <row r="72" spans="1:10">
      <c r="A72" s="1">
        <v>45569</v>
      </c>
      <c r="B72">
        <f>(3/(1+('CurrentPor-LH=20 unchanged'!C72)/100)+103/POWER(1+('CurrentPor-LH=20 unchanged'!D72)/100,2))*100</f>
        <v>9707.5857774288397</v>
      </c>
      <c r="C72">
        <f>(3/(1+('CurrentPor-LH=20 unchanged'!C72+'CurrentPor-LH=20 unchanged'!G72)/100)+103/POWER(1+('CurrentPor-LH=20 unchanged'!D72+'CurrentPor-LH=20 unchanged'!G72)/100,2))*100</f>
        <v>9614.9673582483465</v>
      </c>
      <c r="D72">
        <f>(3/(1+('CurrentPor-LH=20 unchanged'!C72+'CurrentPor-LH=20 unchanged'!H72)/100)+103/POWER(1+('CurrentPor-LH=20 unchanged'!D72+'CurrentPor-LH=20 unchanged'!H72)/100,2))*100</f>
        <v>9597.8405455466655</v>
      </c>
      <c r="E72">
        <f>(3/(1+('CurrentPor-LH=20 unchanged'!C72+'CurrentPor-LH=20 unchanged'!I72)/100)+103/POWER(1+('CurrentPor-LH=20 unchanged'!D72+'CurrentPor-LH=20 unchanged'!I72)/100,2))*100</f>
        <v>9582.0713776831362</v>
      </c>
      <c r="F72">
        <f>Portfolio!B$5*'CurrentPor-LH=20 unchanged'!E72</f>
        <v>52143.895533915893</v>
      </c>
      <c r="G72">
        <f>Portfolio!B$6*'CurrentPor-LH=20 unchanged'!F72</f>
        <v>3696.2945087936532</v>
      </c>
      <c r="H72">
        <f>Portfolio!B$7*'CurrentPor-LH=20 unchanged'!J72</f>
        <v>2148.0998964419859</v>
      </c>
      <c r="I72">
        <f t="shared" si="2"/>
        <v>96490.754998058532</v>
      </c>
      <c r="J72">
        <f t="shared" si="1"/>
        <v>0.72363937165937386</v>
      </c>
    </row>
    <row r="73" spans="1:10">
      <c r="A73" s="1">
        <v>45572</v>
      </c>
      <c r="B73">
        <f>(3/(1+('CurrentPor-LH=20 unchanged'!C73)/100)+103/POWER(1+('CurrentPor-LH=20 unchanged'!D73)/100,2))*100</f>
        <v>9707.5857774288397</v>
      </c>
      <c r="C73">
        <f>(3/(1+('CurrentPor-LH=20 unchanged'!C73+'CurrentPor-LH=20 unchanged'!G73)/100)+103/POWER(1+('CurrentPor-LH=20 unchanged'!D73+'CurrentPor-LH=20 unchanged'!G73)/100,2))*100</f>
        <v>9614.9673582483465</v>
      </c>
      <c r="D73">
        <f>(3/(1+('CurrentPor-LH=20 unchanged'!C73+'CurrentPor-LH=20 unchanged'!H73)/100)+103/POWER(1+('CurrentPor-LH=20 unchanged'!D73+'CurrentPor-LH=20 unchanged'!H73)/100,2))*100</f>
        <v>9613.2645878226158</v>
      </c>
      <c r="E73">
        <f>(3/(1+('CurrentPor-LH=20 unchanged'!C73+'CurrentPor-LH=20 unchanged'!I73)/100)+103/POWER(1+('CurrentPor-LH=20 unchanged'!D73+'CurrentPor-LH=20 unchanged'!I73)/100,2))*100</f>
        <v>9580.5767725456863</v>
      </c>
      <c r="F73">
        <f>Portfolio!B$5*'CurrentPor-LH=20 unchanged'!E73</f>
        <v>52143.895533915893</v>
      </c>
      <c r="G73">
        <f>Portfolio!B$6*'CurrentPor-LH=20 unchanged'!F73</f>
        <v>3696.2945087936532</v>
      </c>
      <c r="H73">
        <f>Portfolio!B$7*'CurrentPor-LH=20 unchanged'!J73</f>
        <v>2148.0998964419859</v>
      </c>
      <c r="I73">
        <f t="shared" si="2"/>
        <v>96504.684435197021</v>
      </c>
      <c r="J73">
        <f t="shared" si="1"/>
        <v>7.5554002595017664</v>
      </c>
    </row>
    <row r="74" spans="1:10">
      <c r="A74" s="1">
        <v>45573</v>
      </c>
      <c r="B74">
        <f>(3/(1+('CurrentPor-LH=20 unchanged'!C74)/100)+103/POWER(1+('CurrentPor-LH=20 unchanged'!D74)/100,2))*100</f>
        <v>9707.5857774288397</v>
      </c>
      <c r="C74">
        <f>(3/(1+('CurrentPor-LH=20 unchanged'!C74+'CurrentPor-LH=20 unchanged'!G74)/100)+103/POWER(1+('CurrentPor-LH=20 unchanged'!D74+'CurrentPor-LH=20 unchanged'!G74)/100,2))*100</f>
        <v>9614.9673582483465</v>
      </c>
      <c r="D74">
        <f>(3/(1+('CurrentPor-LH=20 unchanged'!C74+'CurrentPor-LH=20 unchanged'!H74)/100)+103/POWER(1+('CurrentPor-LH=20 unchanged'!D74+'CurrentPor-LH=20 unchanged'!H74)/100,2))*100</f>
        <v>9585.2118382865192</v>
      </c>
      <c r="E74">
        <f>(3/(1+('CurrentPor-LH=20 unchanged'!C74+'CurrentPor-LH=20 unchanged'!I74)/100)+103/POWER(1+('CurrentPor-LH=20 unchanged'!D74+'CurrentPor-LH=20 unchanged'!I74)/100,2))*100</f>
        <v>9582.3419247130823</v>
      </c>
      <c r="F74">
        <f>Portfolio!B$5*'CurrentPor-LH=20 unchanged'!E74</f>
        <v>52143.895533915893</v>
      </c>
      <c r="G74">
        <f>Portfolio!B$6*'CurrentPor-LH=20 unchanged'!F74</f>
        <v>3696.2945087936532</v>
      </c>
      <c r="H74">
        <f>Portfolio!B$7*'CurrentPor-LH=20 unchanged'!J74</f>
        <v>2148.0998964419859</v>
      </c>
      <c r="I74">
        <f t="shared" si="2"/>
        <v>96478.396837828317</v>
      </c>
      <c r="J74">
        <f t="shared" si="1"/>
        <v>-28.582941410597414</v>
      </c>
    </row>
    <row r="75" spans="1:10">
      <c r="A75" s="1">
        <v>45574</v>
      </c>
      <c r="B75">
        <f>(3/(1+('CurrentPor-LH=20 unchanged'!C75)/100)+103/POWER(1+('CurrentPor-LH=20 unchanged'!D75)/100,2))*100</f>
        <v>9707.5857774288397</v>
      </c>
      <c r="C75">
        <f>(3/(1+('CurrentPor-LH=20 unchanged'!C75+'CurrentPor-LH=20 unchanged'!G75)/100)+103/POWER(1+('CurrentPor-LH=20 unchanged'!D75+'CurrentPor-LH=20 unchanged'!G75)/100,2))*100</f>
        <v>9614.9673582483465</v>
      </c>
      <c r="D75">
        <f>(3/(1+('CurrentPor-LH=20 unchanged'!C75+'CurrentPor-LH=20 unchanged'!H75)/100)+103/POWER(1+('CurrentPor-LH=20 unchanged'!D75+'CurrentPor-LH=20 unchanged'!H75)/100,2))*100</f>
        <v>9589.7775477937776</v>
      </c>
      <c r="E75">
        <f>(3/(1+('CurrentPor-LH=20 unchanged'!C75+'CurrentPor-LH=20 unchanged'!I75)/100)+103/POWER(1+('CurrentPor-LH=20 unchanged'!D75+'CurrentPor-LH=20 unchanged'!I75)/100,2))*100</f>
        <v>9580.7848447800734</v>
      </c>
      <c r="F75">
        <f>Portfolio!B$5*'CurrentPor-LH=20 unchanged'!E75</f>
        <v>52143.895533915893</v>
      </c>
      <c r="G75">
        <f>Portfolio!B$6*'CurrentPor-LH=20 unchanged'!F75</f>
        <v>3696.2945087936532</v>
      </c>
      <c r="H75">
        <f>Portfolio!B$7*'CurrentPor-LH=20 unchanged'!J75</f>
        <v>2148.0998964419859</v>
      </c>
      <c r="I75">
        <f t="shared" si="2"/>
        <v>96481.405467402568</v>
      </c>
      <c r="J75">
        <f t="shared" si="1"/>
        <v>-19.080249660575646</v>
      </c>
    </row>
    <row r="76" spans="1:10">
      <c r="A76" s="1">
        <v>45575</v>
      </c>
      <c r="B76">
        <f>(3/(1+('CurrentPor-LH=20 unchanged'!C76)/100)+103/POWER(1+('CurrentPor-LH=20 unchanged'!D76)/100,2))*100</f>
        <v>9707.5857774288397</v>
      </c>
      <c r="C76">
        <f>(3/(1+('CurrentPor-LH=20 unchanged'!C76+'CurrentPor-LH=20 unchanged'!G76)/100)+103/POWER(1+('CurrentPor-LH=20 unchanged'!D76+'CurrentPor-LH=20 unchanged'!G76)/100,2))*100</f>
        <v>9614.9673582483465</v>
      </c>
      <c r="D76">
        <f>(3/(1+('CurrentPor-LH=20 unchanged'!C76+'CurrentPor-LH=20 unchanged'!H76)/100)+103/POWER(1+('CurrentPor-LH=20 unchanged'!D76+'CurrentPor-LH=20 unchanged'!H76)/100,2))*100</f>
        <v>9591.5763994074568</v>
      </c>
      <c r="E76">
        <f>(3/(1+('CurrentPor-LH=20 unchanged'!C76+'CurrentPor-LH=20 unchanged'!I76)/100)+103/POWER(1+('CurrentPor-LH=20 unchanged'!D76+'CurrentPor-LH=20 unchanged'!I76)/100,2))*100</f>
        <v>9580.489996119677</v>
      </c>
      <c r="F76">
        <f>Portfolio!B$5*'CurrentPor-LH=20 unchanged'!E76</f>
        <v>52143.895533915893</v>
      </c>
      <c r="G76">
        <f>Portfolio!B$6*'CurrentPor-LH=20 unchanged'!F76</f>
        <v>3696.2945087936532</v>
      </c>
      <c r="H76">
        <f>Portfolio!B$7*'CurrentPor-LH=20 unchanged'!J76</f>
        <v>2148.0998964419859</v>
      </c>
      <c r="I76">
        <f t="shared" si="2"/>
        <v>96482.909470355851</v>
      </c>
      <c r="J76">
        <f t="shared" si="1"/>
        <v>-19.819013226398965</v>
      </c>
    </row>
    <row r="77" spans="1:10">
      <c r="A77" s="1">
        <v>45576</v>
      </c>
      <c r="B77">
        <f>(3/(1+('CurrentPor-LH=20 unchanged'!C77)/100)+103/POWER(1+('CurrentPor-LH=20 unchanged'!D77)/100,2))*100</f>
        <v>9707.5857774288397</v>
      </c>
      <c r="C77">
        <f>(3/(1+('CurrentPor-LH=20 unchanged'!C77+'CurrentPor-LH=20 unchanged'!G77)/100)+103/POWER(1+('CurrentPor-LH=20 unchanged'!D77+'CurrentPor-LH=20 unchanged'!G77)/100,2))*100</f>
        <v>9614.9673582483465</v>
      </c>
      <c r="D77">
        <f>(3/(1+('CurrentPor-LH=20 unchanged'!C77+'CurrentPor-LH=20 unchanged'!H77)/100)+103/POWER(1+('CurrentPor-LH=20 unchanged'!D77+'CurrentPor-LH=20 unchanged'!H77)/100,2))*100</f>
        <v>9597.3391887643265</v>
      </c>
      <c r="E77">
        <f>(3/(1+('CurrentPor-LH=20 unchanged'!C77+'CurrentPor-LH=20 unchanged'!I77)/100)+103/POWER(1+('CurrentPor-LH=20 unchanged'!D77+'CurrentPor-LH=20 unchanged'!I77)/100,2))*100</f>
        <v>9582.3956915090057</v>
      </c>
      <c r="F77">
        <f>Portfolio!B$5*'CurrentPor-LH=20 unchanged'!E77</f>
        <v>52143.895533915893</v>
      </c>
      <c r="G77">
        <f>Portfolio!B$6*'CurrentPor-LH=20 unchanged'!F77</f>
        <v>3696.2945087936532</v>
      </c>
      <c r="H77">
        <f>Portfolio!B$7*'CurrentPor-LH=20 unchanged'!J77</f>
        <v>2148.0998964419859</v>
      </c>
      <c r="I77">
        <f t="shared" si="2"/>
        <v>96490.577955102039</v>
      </c>
      <c r="J77">
        <f t="shared" si="1"/>
        <v>1.3019374496361706</v>
      </c>
    </row>
    <row r="78" spans="1:10">
      <c r="A78" s="1">
        <v>45579</v>
      </c>
      <c r="B78">
        <f>(3/(1+('CurrentPor-LH=20 unchanged'!C78)/100)+103/POWER(1+('CurrentPor-LH=20 unchanged'!D78)/100,2))*100</f>
        <v>9707.5857774288397</v>
      </c>
      <c r="C78">
        <f>(3/(1+('CurrentPor-LH=20 unchanged'!C78+'CurrentPor-LH=20 unchanged'!G78)/100)+103/POWER(1+('CurrentPor-LH=20 unchanged'!D78+'CurrentPor-LH=20 unchanged'!G78)/100,2))*100</f>
        <v>9614.9673582483465</v>
      </c>
      <c r="D78">
        <f>(3/(1+('CurrentPor-LH=20 unchanged'!C78+'CurrentPor-LH=20 unchanged'!H78)/100)+103/POWER(1+('CurrentPor-LH=20 unchanged'!D78+'CurrentPor-LH=20 unchanged'!H78)/100,2))*100</f>
        <v>9607.7743638502561</v>
      </c>
      <c r="E78">
        <f>(3/(1+('CurrentPor-LH=20 unchanged'!C78+'CurrentPor-LH=20 unchanged'!I78)/100)+103/POWER(1+('CurrentPor-LH=20 unchanged'!D78+'CurrentPor-LH=20 unchanged'!I78)/100,2))*100</f>
        <v>9579.3572554563816</v>
      </c>
      <c r="F78">
        <f>Portfolio!B$5*'CurrentPor-LH=20 unchanged'!E78</f>
        <v>52143.895533915893</v>
      </c>
      <c r="G78">
        <f>Portfolio!B$6*'CurrentPor-LH=20 unchanged'!F78</f>
        <v>3696.2945087936532</v>
      </c>
      <c r="H78">
        <f>Portfolio!B$7*'CurrentPor-LH=20 unchanged'!J78</f>
        <v>2148.0998964419859</v>
      </c>
      <c r="I78">
        <f t="shared" si="2"/>
        <v>96497.974694135351</v>
      </c>
      <c r="J78">
        <f t="shared" ref="J78:J141" si="3">I78-I68</f>
        <v>12.165785662189592</v>
      </c>
    </row>
    <row r="79" spans="1:10">
      <c r="A79" s="1">
        <v>45580</v>
      </c>
      <c r="B79">
        <f>(3/(1+('CurrentPor-LH=20 unchanged'!C79)/100)+103/POWER(1+('CurrentPor-LH=20 unchanged'!D79)/100,2))*100</f>
        <v>9707.5857774288397</v>
      </c>
      <c r="C79">
        <f>(3/(1+('CurrentPor-LH=20 unchanged'!C79+'CurrentPor-LH=20 unchanged'!G79)/100)+103/POWER(1+('CurrentPor-LH=20 unchanged'!D79+'CurrentPor-LH=20 unchanged'!G79)/100,2))*100</f>
        <v>9614.9673582483465</v>
      </c>
      <c r="D79">
        <f>(3/(1+('CurrentPor-LH=20 unchanged'!C79+'CurrentPor-LH=20 unchanged'!H79)/100)+103/POWER(1+('CurrentPor-LH=20 unchanged'!D79+'CurrentPor-LH=20 unchanged'!H79)/100,2))*100</f>
        <v>9620.9816481323287</v>
      </c>
      <c r="E79">
        <f>(3/(1+('CurrentPor-LH=20 unchanged'!C79+'CurrentPor-LH=20 unchanged'!I79)/100)+103/POWER(1+('CurrentPor-LH=20 unchanged'!D79+'CurrentPor-LH=20 unchanged'!I79)/100,2))*100</f>
        <v>9580.0026500227395</v>
      </c>
      <c r="F79">
        <f>Portfolio!B$5*'CurrentPor-LH=20 unchanged'!E79</f>
        <v>52143.895533915893</v>
      </c>
      <c r="G79">
        <f>Portfolio!B$6*'CurrentPor-LH=20 unchanged'!F79</f>
        <v>3696.2945087936532</v>
      </c>
      <c r="H79">
        <f>Portfolio!B$7*'CurrentPor-LH=20 unchanged'!J79</f>
        <v>2148.0998964419859</v>
      </c>
      <c r="I79">
        <f t="shared" si="2"/>
        <v>96511.827372983782</v>
      </c>
      <c r="J79">
        <f t="shared" si="3"/>
        <v>23.14626324508572</v>
      </c>
    </row>
    <row r="80" spans="1:10">
      <c r="A80" s="1">
        <v>45581</v>
      </c>
      <c r="B80">
        <f>(3/(1+('CurrentPor-LH=20 unchanged'!C80)/100)+103/POWER(1+('CurrentPor-LH=20 unchanged'!D80)/100,2))*100</f>
        <v>9707.5857774288397</v>
      </c>
      <c r="C80">
        <f>(3/(1+('CurrentPor-LH=20 unchanged'!C80+'CurrentPor-LH=20 unchanged'!G80)/100)+103/POWER(1+('CurrentPor-LH=20 unchanged'!D80+'CurrentPor-LH=20 unchanged'!G80)/100,2))*100</f>
        <v>9614.9673582483465</v>
      </c>
      <c r="D80">
        <f>(3/(1+('CurrentPor-LH=20 unchanged'!C80+'CurrentPor-LH=20 unchanged'!H80)/100)+103/POWER(1+('CurrentPor-LH=20 unchanged'!D80+'CurrentPor-LH=20 unchanged'!H80)/100,2))*100</f>
        <v>9601.1583505225753</v>
      </c>
      <c r="E80">
        <f>(3/(1+('CurrentPor-LH=20 unchanged'!C80+'CurrentPor-LH=20 unchanged'!I80)/100)+103/POWER(1+('CurrentPor-LH=20 unchanged'!D80+'CurrentPor-LH=20 unchanged'!I80)/100,2))*100</f>
        <v>9582.2612830943108</v>
      </c>
      <c r="F80">
        <f>Portfolio!B$5*'CurrentPor-LH=20 unchanged'!E80</f>
        <v>52143.895533915893</v>
      </c>
      <c r="G80">
        <f>Portfolio!B$6*'CurrentPor-LH=20 unchanged'!F80</f>
        <v>3696.2945087936532</v>
      </c>
      <c r="H80">
        <f>Portfolio!B$7*'CurrentPor-LH=20 unchanged'!J80</f>
        <v>2148.0998964419859</v>
      </c>
      <c r="I80">
        <f t="shared" si="2"/>
        <v>96494.262708445603</v>
      </c>
      <c r="J80">
        <f t="shared" si="3"/>
        <v>-2.9728900464397157</v>
      </c>
    </row>
    <row r="81" spans="1:10">
      <c r="A81" s="1">
        <v>45582</v>
      </c>
      <c r="B81">
        <f>(3/(1+('CurrentPor-LH=20 unchanged'!C81)/100)+103/POWER(1+('CurrentPor-LH=20 unchanged'!D81)/100,2))*100</f>
        <v>9707.5857774288397</v>
      </c>
      <c r="C81">
        <f>(3/(1+('CurrentPor-LH=20 unchanged'!C81+'CurrentPor-LH=20 unchanged'!G81)/100)+103/POWER(1+('CurrentPor-LH=20 unchanged'!D81+'CurrentPor-LH=20 unchanged'!G81)/100,2))*100</f>
        <v>9614.9673582483465</v>
      </c>
      <c r="D81">
        <f>(3/(1+('CurrentPor-LH=20 unchanged'!C81+'CurrentPor-LH=20 unchanged'!H81)/100)+103/POWER(1+('CurrentPor-LH=20 unchanged'!D81+'CurrentPor-LH=20 unchanged'!H81)/100,2))*100</f>
        <v>9587.2990066597595</v>
      </c>
      <c r="E81">
        <f>(3/(1+('CurrentPor-LH=20 unchanged'!C81+'CurrentPor-LH=20 unchanged'!I81)/100)+103/POWER(1+('CurrentPor-LH=20 unchanged'!D81+'CurrentPor-LH=20 unchanged'!I81)/100,2))*100</f>
        <v>9580.9383890343033</v>
      </c>
      <c r="F81">
        <f>Portfolio!B$5*'CurrentPor-LH=20 unchanged'!E81</f>
        <v>52143.895533915893</v>
      </c>
      <c r="G81">
        <f>Portfolio!B$6*'CurrentPor-LH=20 unchanged'!F81</f>
        <v>3696.2945087936532</v>
      </c>
      <c r="H81">
        <f>Portfolio!B$7*'CurrentPor-LH=20 unchanged'!J81</f>
        <v>2148.0998964419859</v>
      </c>
      <c r="I81">
        <f t="shared" si="2"/>
        <v>96479.080470522778</v>
      </c>
      <c r="J81">
        <f t="shared" si="3"/>
        <v>1.3265285532543203</v>
      </c>
    </row>
    <row r="82" spans="1:10">
      <c r="A82" s="1">
        <v>45583</v>
      </c>
      <c r="B82">
        <f>(3/(1+('CurrentPor-LH=20 unchanged'!C82)/100)+103/POWER(1+('CurrentPor-LH=20 unchanged'!D82)/100,2))*100</f>
        <v>9707.5857774288397</v>
      </c>
      <c r="C82">
        <f>(3/(1+('CurrentPor-LH=20 unchanged'!C82+'CurrentPor-LH=20 unchanged'!G82)/100)+103/POWER(1+('CurrentPor-LH=20 unchanged'!D82+'CurrentPor-LH=20 unchanged'!G82)/100,2))*100</f>
        <v>9614.9673582483465</v>
      </c>
      <c r="D82">
        <f>(3/(1+('CurrentPor-LH=20 unchanged'!C82+'CurrentPor-LH=20 unchanged'!H82)/100)+103/POWER(1+('CurrentPor-LH=20 unchanged'!D82+'CurrentPor-LH=20 unchanged'!H82)/100,2))*100</f>
        <v>9599.4660613861888</v>
      </c>
      <c r="E82">
        <f>(3/(1+('CurrentPor-LH=20 unchanged'!C82+'CurrentPor-LH=20 unchanged'!I82)/100)+103/POWER(1+('CurrentPor-LH=20 unchanged'!D82+'CurrentPor-LH=20 unchanged'!I82)/100,2))*100</f>
        <v>9580.3612385826909</v>
      </c>
      <c r="F82">
        <f>Portfolio!B$5*'CurrentPor-LH=20 unchanged'!E82</f>
        <v>52143.895533915893</v>
      </c>
      <c r="G82">
        <f>Portfolio!B$6*'CurrentPor-LH=20 unchanged'!F82</f>
        <v>3696.2945087936532</v>
      </c>
      <c r="H82">
        <f>Portfolio!B$7*'CurrentPor-LH=20 unchanged'!J82</f>
        <v>2148.0998964419859</v>
      </c>
      <c r="I82">
        <f t="shared" si="2"/>
        <v>96490.670374797599</v>
      </c>
      <c r="J82">
        <f t="shared" si="3"/>
        <v>-8.4623260932858102E-2</v>
      </c>
    </row>
    <row r="83" spans="1:10">
      <c r="A83" s="1">
        <v>45586</v>
      </c>
      <c r="B83">
        <f>(3/(1+('CurrentPor-LH=20 unchanged'!C83)/100)+103/POWER(1+('CurrentPor-LH=20 unchanged'!D83)/100,2))*100</f>
        <v>9707.5857774288397</v>
      </c>
      <c r="C83">
        <f>(3/(1+('CurrentPor-LH=20 unchanged'!C83+'CurrentPor-LH=20 unchanged'!G83)/100)+103/POWER(1+('CurrentPor-LH=20 unchanged'!D83+'CurrentPor-LH=20 unchanged'!G83)/100,2))*100</f>
        <v>9614.9673582483465</v>
      </c>
      <c r="D83">
        <f>(3/(1+('CurrentPor-LH=20 unchanged'!C83+'CurrentPor-LH=20 unchanged'!H83)/100)+103/POWER(1+('CurrentPor-LH=20 unchanged'!D83+'CurrentPor-LH=20 unchanged'!H83)/100,2))*100</f>
        <v>9611.6571750888579</v>
      </c>
      <c r="E83">
        <f>(3/(1+('CurrentPor-LH=20 unchanged'!C83+'CurrentPor-LH=20 unchanged'!I83)/100)+103/POWER(1+('CurrentPor-LH=20 unchanged'!D83+'CurrentPor-LH=20 unchanged'!I83)/100,2))*100</f>
        <v>9578.634427460509</v>
      </c>
      <c r="F83">
        <f>Portfolio!B$5*'CurrentPor-LH=20 unchanged'!E83</f>
        <v>52143.895533915893</v>
      </c>
      <c r="G83">
        <f>Portfolio!B$6*'CurrentPor-LH=20 unchanged'!F83</f>
        <v>3696.2945087936532</v>
      </c>
      <c r="H83">
        <f>Portfolio!B$7*'CurrentPor-LH=20 unchanged'!J83</f>
        <v>2148.0998964419859</v>
      </c>
      <c r="I83">
        <f t="shared" si="2"/>
        <v>96501.134677378082</v>
      </c>
      <c r="J83">
        <f t="shared" si="3"/>
        <v>-3.549757818938815</v>
      </c>
    </row>
    <row r="84" spans="1:10">
      <c r="A84" s="1">
        <v>45587</v>
      </c>
      <c r="B84">
        <f>(3/(1+('CurrentPor-LH=20 unchanged'!C84)/100)+103/POWER(1+('CurrentPor-LH=20 unchanged'!D84)/100,2))*100</f>
        <v>9707.5857774288397</v>
      </c>
      <c r="C84">
        <f>(3/(1+('CurrentPor-LH=20 unchanged'!C84+'CurrentPor-LH=20 unchanged'!G84)/100)+103/POWER(1+('CurrentPor-LH=20 unchanged'!D84+'CurrentPor-LH=20 unchanged'!G84)/100,2))*100</f>
        <v>9614.9673582483465</v>
      </c>
      <c r="D84">
        <f>(3/(1+('CurrentPor-LH=20 unchanged'!C84+'CurrentPor-LH=20 unchanged'!H84)/100)+103/POWER(1+('CurrentPor-LH=20 unchanged'!D84+'CurrentPor-LH=20 unchanged'!H84)/100,2))*100</f>
        <v>9601.8897761949283</v>
      </c>
      <c r="E84">
        <f>(3/(1+('CurrentPor-LH=20 unchanged'!C84+'CurrentPor-LH=20 unchanged'!I84)/100)+103/POWER(1+('CurrentPor-LH=20 unchanged'!D84+'CurrentPor-LH=20 unchanged'!I84)/100,2))*100</f>
        <v>9582.9047549846018</v>
      </c>
      <c r="F84">
        <f>Portfolio!B$5*'CurrentPor-LH=20 unchanged'!E84</f>
        <v>52143.895533915893</v>
      </c>
      <c r="G84">
        <f>Portfolio!B$6*'CurrentPor-LH=20 unchanged'!F84</f>
        <v>3696.2945087936532</v>
      </c>
      <c r="H84">
        <f>Portfolio!B$7*'CurrentPor-LH=20 unchanged'!J84</f>
        <v>2148.0998964419859</v>
      </c>
      <c r="I84">
        <f t="shared" si="2"/>
        <v>96495.637606008255</v>
      </c>
      <c r="J84">
        <f t="shared" si="3"/>
        <v>17.240768179937731</v>
      </c>
    </row>
    <row r="85" spans="1:10">
      <c r="A85" s="1">
        <v>45588</v>
      </c>
      <c r="B85">
        <f>(3/(1+('CurrentPor-LH=20 unchanged'!C85)/100)+103/POWER(1+('CurrentPor-LH=20 unchanged'!D85)/100,2))*100</f>
        <v>9707.5857774288397</v>
      </c>
      <c r="C85">
        <f>(3/(1+('CurrentPor-LH=20 unchanged'!C85+'CurrentPor-LH=20 unchanged'!G85)/100)+103/POWER(1+('CurrentPor-LH=20 unchanged'!D85+'CurrentPor-LH=20 unchanged'!G85)/100,2))*100</f>
        <v>9614.9673582483465</v>
      </c>
      <c r="D85">
        <f>(3/(1+('CurrentPor-LH=20 unchanged'!C85+'CurrentPor-LH=20 unchanged'!H85)/100)+103/POWER(1+('CurrentPor-LH=20 unchanged'!D85+'CurrentPor-LH=20 unchanged'!H85)/100,2))*100</f>
        <v>9587.7244928794116</v>
      </c>
      <c r="E85">
        <f>(3/(1+('CurrentPor-LH=20 unchanged'!C85+'CurrentPor-LH=20 unchanged'!I85)/100)+103/POWER(1+('CurrentPor-LH=20 unchanged'!D85+'CurrentPor-LH=20 unchanged'!I85)/100,2))*100</f>
        <v>9582.6528801111053</v>
      </c>
      <c r="F85">
        <f>Portfolio!B$5*'CurrentPor-LH=20 unchanged'!E85</f>
        <v>52143.895533915893</v>
      </c>
      <c r="G85">
        <f>Portfolio!B$6*'CurrentPor-LH=20 unchanged'!F85</f>
        <v>3696.2945087936532</v>
      </c>
      <c r="H85">
        <f>Portfolio!B$7*'CurrentPor-LH=20 unchanged'!J85</f>
        <v>2148.0998964419859</v>
      </c>
      <c r="I85">
        <f t="shared" si="2"/>
        <v>96481.220447819229</v>
      </c>
      <c r="J85">
        <f t="shared" si="3"/>
        <v>-0.18501958333945367</v>
      </c>
    </row>
    <row r="86" spans="1:10">
      <c r="A86" s="1">
        <v>45589</v>
      </c>
      <c r="B86">
        <f>(3/(1+('CurrentPor-LH=20 unchanged'!C86)/100)+103/POWER(1+('CurrentPor-LH=20 unchanged'!D86)/100,2))*100</f>
        <v>9707.5857774288397</v>
      </c>
      <c r="C86">
        <f>(3/(1+('CurrentPor-LH=20 unchanged'!C86+'CurrentPor-LH=20 unchanged'!G86)/100)+103/POWER(1+('CurrentPor-LH=20 unchanged'!D86+'CurrentPor-LH=20 unchanged'!G86)/100,2))*100</f>
        <v>9614.9673582483465</v>
      </c>
      <c r="D86">
        <f>(3/(1+('CurrentPor-LH=20 unchanged'!C86+'CurrentPor-LH=20 unchanged'!H86)/100)+103/POWER(1+('CurrentPor-LH=20 unchanged'!D86+'CurrentPor-LH=20 unchanged'!H86)/100,2))*100</f>
        <v>9603.089670627096</v>
      </c>
      <c r="E86">
        <f>(3/(1+('CurrentPor-LH=20 unchanged'!C86+'CurrentPor-LH=20 unchanged'!I86)/100)+103/POWER(1+('CurrentPor-LH=20 unchanged'!D86+'CurrentPor-LH=20 unchanged'!I86)/100,2))*100</f>
        <v>9579.6031360731467</v>
      </c>
      <c r="F86">
        <f>Portfolio!B$5*'CurrentPor-LH=20 unchanged'!E86</f>
        <v>52143.895533915893</v>
      </c>
      <c r="G86">
        <f>Portfolio!B$6*'CurrentPor-LH=20 unchanged'!F86</f>
        <v>3696.2945087936532</v>
      </c>
      <c r="H86">
        <f>Portfolio!B$7*'CurrentPor-LH=20 unchanged'!J86</f>
        <v>2148.0998964419859</v>
      </c>
      <c r="I86">
        <f t="shared" si="2"/>
        <v>96493.535881528966</v>
      </c>
      <c r="J86">
        <f t="shared" si="3"/>
        <v>10.62641117311432</v>
      </c>
    </row>
    <row r="87" spans="1:10">
      <c r="A87" s="1">
        <v>45590</v>
      </c>
      <c r="B87">
        <f>(3/(1+('CurrentPor-LH=20 unchanged'!C87)/100)+103/POWER(1+('CurrentPor-LH=20 unchanged'!D87)/100,2))*100</f>
        <v>9707.5857774288397</v>
      </c>
      <c r="C87">
        <f>(3/(1+('CurrentPor-LH=20 unchanged'!C87+'CurrentPor-LH=20 unchanged'!G87)/100)+103/POWER(1+('CurrentPor-LH=20 unchanged'!D87+'CurrentPor-LH=20 unchanged'!G87)/100,2))*100</f>
        <v>9614.9673582483465</v>
      </c>
      <c r="D87">
        <f>(3/(1+('CurrentPor-LH=20 unchanged'!C87+'CurrentPor-LH=20 unchanged'!H87)/100)+103/POWER(1+('CurrentPor-LH=20 unchanged'!D87+'CurrentPor-LH=20 unchanged'!H87)/100,2))*100</f>
        <v>9591.5299328629117</v>
      </c>
      <c r="E87">
        <f>(3/(1+('CurrentPor-LH=20 unchanged'!C87+'CurrentPor-LH=20 unchanged'!I87)/100)+103/POWER(1+('CurrentPor-LH=20 unchanged'!D87+'CurrentPor-LH=20 unchanged'!I87)/100,2))*100</f>
        <v>9581.3894498585178</v>
      </c>
      <c r="F87">
        <f>Portfolio!B$5*'CurrentPor-LH=20 unchanged'!E87</f>
        <v>52143.895533915893</v>
      </c>
      <c r="G87">
        <f>Portfolio!B$6*'CurrentPor-LH=20 unchanged'!F87</f>
        <v>3696.2945087936532</v>
      </c>
      <c r="H87">
        <f>Portfolio!B$7*'CurrentPor-LH=20 unchanged'!J87</f>
        <v>2148.0998964419859</v>
      </c>
      <c r="I87">
        <f t="shared" si="2"/>
        <v>96483.76245755014</v>
      </c>
      <c r="J87">
        <f t="shared" si="3"/>
        <v>-6.8154975518991705</v>
      </c>
    </row>
    <row r="88" spans="1:10">
      <c r="A88" s="1">
        <v>45593</v>
      </c>
      <c r="B88">
        <f>(3/(1+('CurrentPor-LH=20 unchanged'!C88)/100)+103/POWER(1+('CurrentPor-LH=20 unchanged'!D88)/100,2))*100</f>
        <v>9707.5857774288397</v>
      </c>
      <c r="C88">
        <f>(3/(1+('CurrentPor-LH=20 unchanged'!C88+'CurrentPor-LH=20 unchanged'!G88)/100)+103/POWER(1+('CurrentPor-LH=20 unchanged'!D88+'CurrentPor-LH=20 unchanged'!G88)/100,2))*100</f>
        <v>9614.9673582483465</v>
      </c>
      <c r="D88">
        <f>(3/(1+('CurrentPor-LH=20 unchanged'!C88+'CurrentPor-LH=20 unchanged'!H88)/100)+103/POWER(1+('CurrentPor-LH=20 unchanged'!D88+'CurrentPor-LH=20 unchanged'!H88)/100,2))*100</f>
        <v>9606.3992600756155</v>
      </c>
      <c r="E88">
        <f>(3/(1+('CurrentPor-LH=20 unchanged'!C88+'CurrentPor-LH=20 unchanged'!I88)/100)+103/POWER(1+('CurrentPor-LH=20 unchanged'!D88+'CurrentPor-LH=20 unchanged'!I88)/100,2))*100</f>
        <v>9580.9208248187424</v>
      </c>
      <c r="F88">
        <f>Portfolio!B$5*'CurrentPor-LH=20 unchanged'!E88</f>
        <v>52143.895533915893</v>
      </c>
      <c r="G88">
        <f>Portfolio!B$6*'CurrentPor-LH=20 unchanged'!F88</f>
        <v>3696.2945087936532</v>
      </c>
      <c r="H88">
        <f>Portfolio!B$7*'CurrentPor-LH=20 unchanged'!J88</f>
        <v>2148.0998964419859</v>
      </c>
      <c r="I88">
        <f t="shared" si="2"/>
        <v>96498.163159723073</v>
      </c>
      <c r="J88">
        <f t="shared" si="3"/>
        <v>0.18846558772202116</v>
      </c>
    </row>
    <row r="89" spans="1:10">
      <c r="A89" s="1">
        <v>45594</v>
      </c>
      <c r="B89">
        <f>(3/(1+('CurrentPor-LH=20 unchanged'!C89)/100)+103/POWER(1+('CurrentPor-LH=20 unchanged'!D89)/100,2))*100</f>
        <v>9707.5857774288397</v>
      </c>
      <c r="C89">
        <f>(3/(1+('CurrentPor-LH=20 unchanged'!C89+'CurrentPor-LH=20 unchanged'!G89)/100)+103/POWER(1+('CurrentPor-LH=20 unchanged'!D89+'CurrentPor-LH=20 unchanged'!G89)/100,2))*100</f>
        <v>9614.9673582483465</v>
      </c>
      <c r="D89">
        <f>(3/(1+('CurrentPor-LH=20 unchanged'!C89+'CurrentPor-LH=20 unchanged'!H89)/100)+103/POWER(1+('CurrentPor-LH=20 unchanged'!D89+'CurrentPor-LH=20 unchanged'!H89)/100,2))*100</f>
        <v>9611.4268835599887</v>
      </c>
      <c r="E89">
        <f>(3/(1+('CurrentPor-LH=20 unchanged'!C89+'CurrentPor-LH=20 unchanged'!I89)/100)+103/POWER(1+('CurrentPor-LH=20 unchanged'!D89+'CurrentPor-LH=20 unchanged'!I89)/100,2))*100</f>
        <v>9579.4920440728438</v>
      </c>
      <c r="F89">
        <f>Portfolio!B$5*'CurrentPor-LH=20 unchanged'!E89</f>
        <v>52143.895533915893</v>
      </c>
      <c r="G89">
        <f>Portfolio!B$6*'CurrentPor-LH=20 unchanged'!F89</f>
        <v>3696.2945087936532</v>
      </c>
      <c r="H89">
        <f>Portfolio!B$7*'CurrentPor-LH=20 unchanged'!J89</f>
        <v>2148.0998964419859</v>
      </c>
      <c r="I89">
        <f t="shared" si="2"/>
        <v>96501.762002461546</v>
      </c>
      <c r="J89">
        <f t="shared" si="3"/>
        <v>-10.065370522235753</v>
      </c>
    </row>
    <row r="90" spans="1:10">
      <c r="A90" s="1">
        <v>45595</v>
      </c>
      <c r="B90">
        <f>(3/(1+('CurrentPor-LH=20 unchanged'!C90)/100)+103/POWER(1+('CurrentPor-LH=20 unchanged'!D90)/100,2))*100</f>
        <v>9707.5857774288397</v>
      </c>
      <c r="C90">
        <f>(3/(1+('CurrentPor-LH=20 unchanged'!C90+'CurrentPor-LH=20 unchanged'!G90)/100)+103/POWER(1+('CurrentPor-LH=20 unchanged'!D90+'CurrentPor-LH=20 unchanged'!G90)/100,2))*100</f>
        <v>9614.9673582483465</v>
      </c>
      <c r="D90">
        <f>(3/(1+('CurrentPor-LH=20 unchanged'!C90+'CurrentPor-LH=20 unchanged'!H90)/100)+103/POWER(1+('CurrentPor-LH=20 unchanged'!D90+'CurrentPor-LH=20 unchanged'!H90)/100,2))*100</f>
        <v>9589.4533787174823</v>
      </c>
      <c r="E90">
        <f>(3/(1+('CurrentPor-LH=20 unchanged'!C90+'CurrentPor-LH=20 unchanged'!I90)/100)+103/POWER(1+('CurrentPor-LH=20 unchanged'!D90+'CurrentPor-LH=20 unchanged'!I90)/100,2))*100</f>
        <v>9581.094488605384</v>
      </c>
      <c r="F90">
        <f>Portfolio!B$5*'CurrentPor-LH=20 unchanged'!E90</f>
        <v>52143.895533915893</v>
      </c>
      <c r="G90">
        <f>Portfolio!B$6*'CurrentPor-LH=20 unchanged'!F90</f>
        <v>3696.2945087936532</v>
      </c>
      <c r="H90">
        <f>Portfolio!B$7*'CurrentPor-LH=20 unchanged'!J90</f>
        <v>2148.0998964419859</v>
      </c>
      <c r="I90">
        <f t="shared" si="2"/>
        <v>96481.390942151585</v>
      </c>
      <c r="J90">
        <f t="shared" si="3"/>
        <v>-12.871766294018016</v>
      </c>
    </row>
    <row r="91" spans="1:10">
      <c r="A91" s="1">
        <v>45596</v>
      </c>
      <c r="B91">
        <f>(3/(1+('CurrentPor-LH=20 unchanged'!C91)/100)+103/POWER(1+('CurrentPor-LH=20 unchanged'!D91)/100,2))*100</f>
        <v>9707.5857774288397</v>
      </c>
      <c r="C91">
        <f>(3/(1+('CurrentPor-LH=20 unchanged'!C91+'CurrentPor-LH=20 unchanged'!G91)/100)+103/POWER(1+('CurrentPor-LH=20 unchanged'!D91+'CurrentPor-LH=20 unchanged'!G91)/100,2))*100</f>
        <v>9614.9673582483465</v>
      </c>
      <c r="D91">
        <f>(3/(1+('CurrentPor-LH=20 unchanged'!C91+'CurrentPor-LH=20 unchanged'!H91)/100)+103/POWER(1+('CurrentPor-LH=20 unchanged'!D91+'CurrentPor-LH=20 unchanged'!H91)/100,2))*100</f>
        <v>9587.2511643885482</v>
      </c>
      <c r="E91">
        <f>(3/(1+('CurrentPor-LH=20 unchanged'!C91+'CurrentPor-LH=20 unchanged'!I91)/100)+103/POWER(1+('CurrentPor-LH=20 unchanged'!D91+'CurrentPor-LH=20 unchanged'!I91)/100,2))*100</f>
        <v>9581.9065970739757</v>
      </c>
      <c r="F91">
        <f>Portfolio!B$5*'CurrentPor-LH=20 unchanged'!E91</f>
        <v>52143.895533915893</v>
      </c>
      <c r="G91">
        <f>Portfolio!B$6*'CurrentPor-LH=20 unchanged'!F91</f>
        <v>3696.2945087936532</v>
      </c>
      <c r="H91">
        <f>Portfolio!B$7*'CurrentPor-LH=20 unchanged'!J91</f>
        <v>2148.0998964419859</v>
      </c>
      <c r="I91">
        <f t="shared" si="2"/>
        <v>96480.000836291249</v>
      </c>
      <c r="J91">
        <f t="shared" si="3"/>
        <v>0.92036576847021934</v>
      </c>
    </row>
    <row r="92" spans="1:10">
      <c r="A92" s="1">
        <v>45597</v>
      </c>
      <c r="B92">
        <f>(3/(1+('CurrentPor-LH=20 unchanged'!C92)/100)+103/POWER(1+('CurrentPor-LH=20 unchanged'!D92)/100,2))*100</f>
        <v>9707.5857774288397</v>
      </c>
      <c r="C92">
        <f>(3/(1+('CurrentPor-LH=20 unchanged'!C92+'CurrentPor-LH=20 unchanged'!G92)/100)+103/POWER(1+('CurrentPor-LH=20 unchanged'!D92+'CurrentPor-LH=20 unchanged'!G92)/100,2))*100</f>
        <v>9614.9673582483465</v>
      </c>
      <c r="D92">
        <f>(3/(1+('CurrentPor-LH=20 unchanged'!C92+'CurrentPor-LH=20 unchanged'!H92)/100)+103/POWER(1+('CurrentPor-LH=20 unchanged'!D92+'CurrentPor-LH=20 unchanged'!H92)/100,2))*100</f>
        <v>9601.9734866883045</v>
      </c>
      <c r="E92">
        <f>(3/(1+('CurrentPor-LH=20 unchanged'!C92+'CurrentPor-LH=20 unchanged'!I92)/100)+103/POWER(1+('CurrentPor-LH=20 unchanged'!D92+'CurrentPor-LH=20 unchanged'!I92)/100,2))*100</f>
        <v>9580.1562036505784</v>
      </c>
      <c r="F92">
        <f>Portfolio!B$5*'CurrentPor-LH=20 unchanged'!E92</f>
        <v>52143.895533915893</v>
      </c>
      <c r="G92">
        <f>Portfolio!B$6*'CurrentPor-LH=20 unchanged'!F92</f>
        <v>3696.2945087936532</v>
      </c>
      <c r="H92">
        <f>Portfolio!B$7*'CurrentPor-LH=20 unchanged'!J92</f>
        <v>2148.0998964419859</v>
      </c>
      <c r="I92">
        <f t="shared" si="2"/>
        <v>96492.972765167608</v>
      </c>
      <c r="J92">
        <f t="shared" si="3"/>
        <v>2.3023903700086521</v>
      </c>
    </row>
    <row r="93" spans="1:10">
      <c r="A93" s="1">
        <v>45600</v>
      </c>
      <c r="B93">
        <f>(3/(1+('CurrentPor-LH=20 unchanged'!C93)/100)+103/POWER(1+('CurrentPor-LH=20 unchanged'!D93)/100,2))*100</f>
        <v>9707.5857774288397</v>
      </c>
      <c r="C93">
        <f>(3/(1+('CurrentPor-LH=20 unchanged'!C93+'CurrentPor-LH=20 unchanged'!G93)/100)+103/POWER(1+('CurrentPor-LH=20 unchanged'!D93+'CurrentPor-LH=20 unchanged'!G93)/100,2))*100</f>
        <v>9614.9673582483465</v>
      </c>
      <c r="D93">
        <f>(3/(1+('CurrentPor-LH=20 unchanged'!C93+'CurrentPor-LH=20 unchanged'!H93)/100)+103/POWER(1+('CurrentPor-LH=20 unchanged'!D93+'CurrentPor-LH=20 unchanged'!H93)/100,2))*100</f>
        <v>9592.6719611140124</v>
      </c>
      <c r="E93">
        <f>(3/(1+('CurrentPor-LH=20 unchanged'!C93+'CurrentPor-LH=20 unchanged'!I93)/100)+103/POWER(1+('CurrentPor-LH=20 unchanged'!D93+'CurrentPor-LH=20 unchanged'!I93)/100,2))*100</f>
        <v>9582.8382385454352</v>
      </c>
      <c r="F93">
        <f>Portfolio!B$5*'CurrentPor-LH=20 unchanged'!E93</f>
        <v>52143.895533915893</v>
      </c>
      <c r="G93">
        <f>Portfolio!B$6*'CurrentPor-LH=20 unchanged'!F93</f>
        <v>3696.2945087936532</v>
      </c>
      <c r="H93">
        <f>Portfolio!B$7*'CurrentPor-LH=20 unchanged'!J93</f>
        <v>2148.0998964419859</v>
      </c>
      <c r="I93">
        <f t="shared" si="2"/>
        <v>96486.353274488167</v>
      </c>
      <c r="J93">
        <f t="shared" si="3"/>
        <v>-14.781402889915626</v>
      </c>
    </row>
    <row r="94" spans="1:10">
      <c r="A94" s="1">
        <v>45601</v>
      </c>
      <c r="B94">
        <f>(3/(1+('CurrentPor-LH=20 unchanged'!C94)/100)+103/POWER(1+('CurrentPor-LH=20 unchanged'!D94)/100,2))*100</f>
        <v>9707.5857774288397</v>
      </c>
      <c r="C94">
        <f>(3/(1+('CurrentPor-LH=20 unchanged'!C94+'CurrentPor-LH=20 unchanged'!G94)/100)+103/POWER(1+('CurrentPor-LH=20 unchanged'!D94+'CurrentPor-LH=20 unchanged'!G94)/100,2))*100</f>
        <v>9614.9673582483465</v>
      </c>
      <c r="D94">
        <f>(3/(1+('CurrentPor-LH=20 unchanged'!C94+'CurrentPor-LH=20 unchanged'!H94)/100)+103/POWER(1+('CurrentPor-LH=20 unchanged'!D94+'CurrentPor-LH=20 unchanged'!H94)/100,2))*100</f>
        <v>9572.9984013688572</v>
      </c>
      <c r="E94">
        <f>(3/(1+('CurrentPor-LH=20 unchanged'!C94+'CurrentPor-LH=20 unchanged'!I94)/100)+103/POWER(1+('CurrentPor-LH=20 unchanged'!D94+'CurrentPor-LH=20 unchanged'!I94)/100,2))*100</f>
        <v>9581.8625517846067</v>
      </c>
      <c r="F94">
        <f>Portfolio!B$5*'CurrentPor-LH=20 unchanged'!E94</f>
        <v>52143.895533915893</v>
      </c>
      <c r="G94">
        <f>Portfolio!B$6*'CurrentPor-LH=20 unchanged'!F94</f>
        <v>3696.2945087936532</v>
      </c>
      <c r="H94">
        <f>Portfolio!B$7*'CurrentPor-LH=20 unchanged'!J94</f>
        <v>2148.0998964419859</v>
      </c>
      <c r="I94">
        <f t="shared" si="2"/>
        <v>96465.704027982181</v>
      </c>
      <c r="J94">
        <f t="shared" si="3"/>
        <v>-29.933578026073519</v>
      </c>
    </row>
    <row r="95" spans="1:10">
      <c r="A95" s="1">
        <v>45602</v>
      </c>
      <c r="B95">
        <f>(3/(1+('CurrentPor-LH=20 unchanged'!C95)/100)+103/POWER(1+('CurrentPor-LH=20 unchanged'!D95)/100,2))*100</f>
        <v>9707.5857774288397</v>
      </c>
      <c r="C95">
        <f>(3/(1+('CurrentPor-LH=20 unchanged'!C95+'CurrentPor-LH=20 unchanged'!G95)/100)+103/POWER(1+('CurrentPor-LH=20 unchanged'!D95+'CurrentPor-LH=20 unchanged'!G95)/100,2))*100</f>
        <v>9614.9673582483465</v>
      </c>
      <c r="D95">
        <f>(3/(1+('CurrentPor-LH=20 unchanged'!C95+'CurrentPor-LH=20 unchanged'!H95)/100)+103/POWER(1+('CurrentPor-LH=20 unchanged'!D95+'CurrentPor-LH=20 unchanged'!H95)/100,2))*100</f>
        <v>9604.9264476862427</v>
      </c>
      <c r="E95">
        <f>(3/(1+('CurrentPor-LH=20 unchanged'!C95+'CurrentPor-LH=20 unchanged'!I95)/100)+103/POWER(1+('CurrentPor-LH=20 unchanged'!D95+'CurrentPor-LH=20 unchanged'!I95)/100,2))*100</f>
        <v>9581.526550283339</v>
      </c>
      <c r="F95">
        <f>Portfolio!B$5*'CurrentPor-LH=20 unchanged'!E95</f>
        <v>52143.895533915893</v>
      </c>
      <c r="G95">
        <f>Portfolio!B$6*'CurrentPor-LH=20 unchanged'!F95</f>
        <v>3696.2945087936532</v>
      </c>
      <c r="H95">
        <f>Portfolio!B$7*'CurrentPor-LH=20 unchanged'!J95</f>
        <v>2148.0998964419859</v>
      </c>
      <c r="I95">
        <f t="shared" si="2"/>
        <v>96497.296072798301</v>
      </c>
      <c r="J95">
        <f t="shared" si="3"/>
        <v>16.075624979072018</v>
      </c>
    </row>
    <row r="96" spans="1:10">
      <c r="A96" s="1">
        <v>45603</v>
      </c>
      <c r="B96">
        <f>(3/(1+('CurrentPor-LH=20 unchanged'!C96)/100)+103/POWER(1+('CurrentPor-LH=20 unchanged'!D96)/100,2))*100</f>
        <v>9707.5857774288397</v>
      </c>
      <c r="C96">
        <f>(3/(1+('CurrentPor-LH=20 unchanged'!C96+'CurrentPor-LH=20 unchanged'!G96)/100)+103/POWER(1+('CurrentPor-LH=20 unchanged'!D96+'CurrentPor-LH=20 unchanged'!G96)/100,2))*100</f>
        <v>9614.9673582483465</v>
      </c>
      <c r="D96">
        <f>(3/(1+('CurrentPor-LH=20 unchanged'!C96+'CurrentPor-LH=20 unchanged'!H96)/100)+103/POWER(1+('CurrentPor-LH=20 unchanged'!D96+'CurrentPor-LH=20 unchanged'!H96)/100,2))*100</f>
        <v>9597.3798109872332</v>
      </c>
      <c r="E96">
        <f>(3/(1+('CurrentPor-LH=20 unchanged'!C96+'CurrentPor-LH=20 unchanged'!I96)/100)+103/POWER(1+('CurrentPor-LH=20 unchanged'!D96+'CurrentPor-LH=20 unchanged'!I96)/100,2))*100</f>
        <v>9581.5408123538818</v>
      </c>
      <c r="F96">
        <f>Portfolio!B$5*'CurrentPor-LH=20 unchanged'!E96</f>
        <v>52143.895533915893</v>
      </c>
      <c r="G96">
        <f>Portfolio!B$6*'CurrentPor-LH=20 unchanged'!F96</f>
        <v>3696.2945087936532</v>
      </c>
      <c r="H96">
        <f>Portfolio!B$7*'CurrentPor-LH=20 unchanged'!J96</f>
        <v>2148.0998964419859</v>
      </c>
      <c r="I96">
        <f t="shared" si="2"/>
        <v>96489.763698169831</v>
      </c>
      <c r="J96">
        <f t="shared" si="3"/>
        <v>-3.7721833591349423</v>
      </c>
    </row>
    <row r="97" spans="1:10">
      <c r="A97" s="1">
        <v>45604</v>
      </c>
      <c r="B97">
        <f>(3/(1+('CurrentPor-LH=20 unchanged'!C97)/100)+103/POWER(1+('CurrentPor-LH=20 unchanged'!D97)/100,2))*100</f>
        <v>9707.5857774288397</v>
      </c>
      <c r="C97">
        <f>(3/(1+('CurrentPor-LH=20 unchanged'!C97+'CurrentPor-LH=20 unchanged'!G97)/100)+103/POWER(1+('CurrentPor-LH=20 unchanged'!D97+'CurrentPor-LH=20 unchanged'!G97)/100,2))*100</f>
        <v>9614.9673582483465</v>
      </c>
      <c r="D97">
        <f>(3/(1+('CurrentPor-LH=20 unchanged'!C97+'CurrentPor-LH=20 unchanged'!H97)/100)+103/POWER(1+('CurrentPor-LH=20 unchanged'!D97+'CurrentPor-LH=20 unchanged'!H97)/100,2))*100</f>
        <v>9593.3541996930999</v>
      </c>
      <c r="E97">
        <f>(3/(1+('CurrentPor-LH=20 unchanged'!C97+'CurrentPor-LH=20 unchanged'!I97)/100)+103/POWER(1+('CurrentPor-LH=20 unchanged'!D97+'CurrentPor-LH=20 unchanged'!I97)/100,2))*100</f>
        <v>9579.2146384022835</v>
      </c>
      <c r="F97">
        <f>Portfolio!B$5*'CurrentPor-LH=20 unchanged'!E97</f>
        <v>52143.895533915893</v>
      </c>
      <c r="G97">
        <f>Portfolio!B$6*'CurrentPor-LH=20 unchanged'!F97</f>
        <v>3696.2945087936532</v>
      </c>
      <c r="H97">
        <f>Portfolio!B$7*'CurrentPor-LH=20 unchanged'!J97</f>
        <v>2148.0998964419859</v>
      </c>
      <c r="I97">
        <f t="shared" si="2"/>
        <v>96483.411912924101</v>
      </c>
      <c r="J97">
        <f t="shared" si="3"/>
        <v>-0.35054462603875436</v>
      </c>
    </row>
    <row r="98" spans="1:10">
      <c r="A98" s="1">
        <v>45607</v>
      </c>
      <c r="B98">
        <f>(3/(1+('CurrentPor-LH=20 unchanged'!C98)/100)+103/POWER(1+('CurrentPor-LH=20 unchanged'!D98)/100,2))*100</f>
        <v>9707.5857774288397</v>
      </c>
      <c r="C98">
        <f>(3/(1+('CurrentPor-LH=20 unchanged'!C98+'CurrentPor-LH=20 unchanged'!G98)/100)+103/POWER(1+('CurrentPor-LH=20 unchanged'!D98+'CurrentPor-LH=20 unchanged'!G98)/100,2))*100</f>
        <v>9614.9673582483465</v>
      </c>
      <c r="D98">
        <f>(3/(1+('CurrentPor-LH=20 unchanged'!C98+'CurrentPor-LH=20 unchanged'!H98)/100)+103/POWER(1+('CurrentPor-LH=20 unchanged'!D98+'CurrentPor-LH=20 unchanged'!H98)/100,2))*100</f>
        <v>9603.7595254689968</v>
      </c>
      <c r="E98">
        <f>(3/(1+('CurrentPor-LH=20 unchanged'!C98+'CurrentPor-LH=20 unchanged'!I98)/100)+103/POWER(1+('CurrentPor-LH=20 unchanged'!D98+'CurrentPor-LH=20 unchanged'!I98)/100,2))*100</f>
        <v>9579.1718369813316</v>
      </c>
      <c r="F98">
        <f>Portfolio!B$5*'CurrentPor-LH=20 unchanged'!E98</f>
        <v>52143.895533915893</v>
      </c>
      <c r="G98">
        <f>Portfolio!B$6*'CurrentPor-LH=20 unchanged'!F98</f>
        <v>3696.2945087936532</v>
      </c>
      <c r="H98">
        <f>Portfolio!B$7*'CurrentPor-LH=20 unchanged'!J98</f>
        <v>2148.0998964419859</v>
      </c>
      <c r="I98">
        <f t="shared" si="2"/>
        <v>96493.774437279048</v>
      </c>
      <c r="J98">
        <f t="shared" si="3"/>
        <v>-4.388722444025916</v>
      </c>
    </row>
    <row r="99" spans="1:10">
      <c r="A99" s="1">
        <v>45608</v>
      </c>
      <c r="B99">
        <f>(3/(1+('CurrentPor-LH=20 unchanged'!C99)/100)+103/POWER(1+('CurrentPor-LH=20 unchanged'!D99)/100,2))*100</f>
        <v>9707.5857774288397</v>
      </c>
      <c r="C99">
        <f>(3/(1+('CurrentPor-LH=20 unchanged'!C99+'CurrentPor-LH=20 unchanged'!G99)/100)+103/POWER(1+('CurrentPor-LH=20 unchanged'!D99+'CurrentPor-LH=20 unchanged'!G99)/100,2))*100</f>
        <v>9614.9673582483465</v>
      </c>
      <c r="D99">
        <f>(3/(1+('CurrentPor-LH=20 unchanged'!C99+'CurrentPor-LH=20 unchanged'!H99)/100)+103/POWER(1+('CurrentPor-LH=20 unchanged'!D99+'CurrentPor-LH=20 unchanged'!H99)/100,2))*100</f>
        <v>9605.0283388627304</v>
      </c>
      <c r="E99">
        <f>(3/(1+('CurrentPor-LH=20 unchanged'!C99+'CurrentPor-LH=20 unchanged'!I99)/100)+103/POWER(1+('CurrentPor-LH=20 unchanged'!D99+'CurrentPor-LH=20 unchanged'!I99)/100,2))*100</f>
        <v>9579.7257040427758</v>
      </c>
      <c r="F99">
        <f>Portfolio!B$5*'CurrentPor-LH=20 unchanged'!E99</f>
        <v>52143.895533915893</v>
      </c>
      <c r="G99">
        <f>Portfolio!B$6*'CurrentPor-LH=20 unchanged'!F99</f>
        <v>3696.2945087936532</v>
      </c>
      <c r="H99">
        <f>Portfolio!B$7*'CurrentPor-LH=20 unchanged'!J99</f>
        <v>2148.0998964419859</v>
      </c>
      <c r="I99">
        <f t="shared" si="2"/>
        <v>96495.597117734214</v>
      </c>
      <c r="J99">
        <f t="shared" si="3"/>
        <v>-6.1648847273318097</v>
      </c>
    </row>
    <row r="100" spans="1:10">
      <c r="A100" s="1">
        <v>45609</v>
      </c>
      <c r="B100">
        <f>(3/(1+('CurrentPor-LH=20 unchanged'!C100)/100)+103/POWER(1+('CurrentPor-LH=20 unchanged'!D100)/100,2))*100</f>
        <v>9707.5857774288397</v>
      </c>
      <c r="C100">
        <f>(3/(1+('CurrentPor-LH=20 unchanged'!C100+'CurrentPor-LH=20 unchanged'!G100)/100)+103/POWER(1+('CurrentPor-LH=20 unchanged'!D100+'CurrentPor-LH=20 unchanged'!G100)/100,2))*100</f>
        <v>9614.9673582483465</v>
      </c>
      <c r="D100">
        <f>(3/(1+('CurrentPor-LH=20 unchanged'!C100+'CurrentPor-LH=20 unchanged'!H100)/100)+103/POWER(1+('CurrentPor-LH=20 unchanged'!D100+'CurrentPor-LH=20 unchanged'!H100)/100,2))*100</f>
        <v>9592.0163202746589</v>
      </c>
      <c r="E100">
        <f>(3/(1+('CurrentPor-LH=20 unchanged'!C100+'CurrentPor-LH=20 unchanged'!I100)/100)+103/POWER(1+('CurrentPor-LH=20 unchanged'!D100+'CurrentPor-LH=20 unchanged'!I100)/100,2))*100</f>
        <v>9580.1721860291091</v>
      </c>
      <c r="F100">
        <f>Portfolio!B$5*'CurrentPor-LH=20 unchanged'!E100</f>
        <v>52143.895533915893</v>
      </c>
      <c r="G100">
        <f>Portfolio!B$6*'CurrentPor-LH=20 unchanged'!F100</f>
        <v>3696.2945087936532</v>
      </c>
      <c r="H100">
        <f>Portfolio!B$7*'CurrentPor-LH=20 unchanged'!J100</f>
        <v>2148.0998964419859</v>
      </c>
      <c r="I100">
        <f t="shared" si="2"/>
        <v>96483.031581132484</v>
      </c>
      <c r="J100">
        <f t="shared" si="3"/>
        <v>1.6406389808980748</v>
      </c>
    </row>
    <row r="101" spans="1:10">
      <c r="A101" s="1">
        <v>45610</v>
      </c>
      <c r="B101">
        <f>(3/(1+('CurrentPor-LH=20 unchanged'!C101)/100)+103/POWER(1+('CurrentPor-LH=20 unchanged'!D101)/100,2))*100</f>
        <v>9707.5857774288397</v>
      </c>
      <c r="C101">
        <f>(3/(1+('CurrentPor-LH=20 unchanged'!C101+'CurrentPor-LH=20 unchanged'!G101)/100)+103/POWER(1+('CurrentPor-LH=20 unchanged'!D101+'CurrentPor-LH=20 unchanged'!G101)/100,2))*100</f>
        <v>9614.9673582483465</v>
      </c>
      <c r="D101">
        <f>(3/(1+('CurrentPor-LH=20 unchanged'!C101+'CurrentPor-LH=20 unchanged'!H101)/100)+103/POWER(1+('CurrentPor-LH=20 unchanged'!D101+'CurrentPor-LH=20 unchanged'!H101)/100,2))*100</f>
        <v>9611.734677976161</v>
      </c>
      <c r="E101">
        <f>(3/(1+('CurrentPor-LH=20 unchanged'!C101+'CurrentPor-LH=20 unchanged'!I101)/100)+103/POWER(1+('CurrentPor-LH=20 unchanged'!D101+'CurrentPor-LH=20 unchanged'!I101)/100,2))*100</f>
        <v>9579.3638022162249</v>
      </c>
      <c r="F101">
        <f>Portfolio!B$5*'CurrentPor-LH=20 unchanged'!E101</f>
        <v>52143.895533915893</v>
      </c>
      <c r="G101">
        <f>Portfolio!B$6*'CurrentPor-LH=20 unchanged'!F101</f>
        <v>3696.2945087936532</v>
      </c>
      <c r="H101">
        <f>Portfolio!B$7*'CurrentPor-LH=20 unchanged'!J101</f>
        <v>2148.0998964419859</v>
      </c>
      <c r="I101">
        <f t="shared" si="2"/>
        <v>96501.941555021112</v>
      </c>
      <c r="J101">
        <f t="shared" si="3"/>
        <v>21.940718729863875</v>
      </c>
    </row>
    <row r="102" spans="1:10">
      <c r="A102" s="1">
        <v>45611</v>
      </c>
      <c r="B102">
        <f>(3/(1+('CurrentPor-LH=20 unchanged'!C102)/100)+103/POWER(1+('CurrentPor-LH=20 unchanged'!D102)/100,2))*100</f>
        <v>9707.5857774288397</v>
      </c>
      <c r="C102">
        <f>(3/(1+('CurrentPor-LH=20 unchanged'!C102+'CurrentPor-LH=20 unchanged'!G102)/100)+103/POWER(1+('CurrentPor-LH=20 unchanged'!D102+'CurrentPor-LH=20 unchanged'!G102)/100,2))*100</f>
        <v>9614.9673582483465</v>
      </c>
      <c r="D102">
        <f>(3/(1+('CurrentPor-LH=20 unchanged'!C102+'CurrentPor-LH=20 unchanged'!H102)/100)+103/POWER(1+('CurrentPor-LH=20 unchanged'!D102+'CurrentPor-LH=20 unchanged'!H102)/100,2))*100</f>
        <v>9606.6387898890553</v>
      </c>
      <c r="E102">
        <f>(3/(1+('CurrentPor-LH=20 unchanged'!C102+'CurrentPor-LH=20 unchanged'!I102)/100)+103/POWER(1+('CurrentPor-LH=20 unchanged'!D102+'CurrentPor-LH=20 unchanged'!I102)/100,2))*100</f>
        <v>9581.4042787731596</v>
      </c>
      <c r="F102">
        <f>Portfolio!B$5*'CurrentPor-LH=20 unchanged'!E102</f>
        <v>52143.895533915893</v>
      </c>
      <c r="G102">
        <f>Portfolio!B$6*'CurrentPor-LH=20 unchanged'!F102</f>
        <v>3696.2945087936532</v>
      </c>
      <c r="H102">
        <f>Portfolio!B$7*'CurrentPor-LH=20 unchanged'!J102</f>
        <v>2148.0998964419859</v>
      </c>
      <c r="I102">
        <f t="shared" si="2"/>
        <v>96498.886143490934</v>
      </c>
      <c r="J102">
        <f t="shared" si="3"/>
        <v>5.9133783233264694</v>
      </c>
    </row>
    <row r="103" spans="1:10">
      <c r="A103" s="1">
        <v>45614</v>
      </c>
      <c r="B103">
        <f>(3/(1+('CurrentPor-LH=20 unchanged'!C103)/100)+103/POWER(1+('CurrentPor-LH=20 unchanged'!D103)/100,2))*100</f>
        <v>9707.5857774288397</v>
      </c>
      <c r="C103">
        <f>(3/(1+('CurrentPor-LH=20 unchanged'!C103+'CurrentPor-LH=20 unchanged'!G103)/100)+103/POWER(1+('CurrentPor-LH=20 unchanged'!D103+'CurrentPor-LH=20 unchanged'!G103)/100,2))*100</f>
        <v>9614.9673582483465</v>
      </c>
      <c r="D103">
        <f>(3/(1+('CurrentPor-LH=20 unchanged'!C103+'CurrentPor-LH=20 unchanged'!H103)/100)+103/POWER(1+('CurrentPor-LH=20 unchanged'!D103+'CurrentPor-LH=20 unchanged'!H103)/100,2))*100</f>
        <v>9599.2123115751165</v>
      </c>
      <c r="E103">
        <f>(3/(1+('CurrentPor-LH=20 unchanged'!C103+'CurrentPor-LH=20 unchanged'!I103)/100)+103/POWER(1+('CurrentPor-LH=20 unchanged'!D103+'CurrentPor-LH=20 unchanged'!I103)/100,2))*100</f>
        <v>9581.460767190023</v>
      </c>
      <c r="F103">
        <f>Portfolio!B$5*'CurrentPor-LH=20 unchanged'!E103</f>
        <v>52143.895533915893</v>
      </c>
      <c r="G103">
        <f>Portfolio!B$6*'CurrentPor-LH=20 unchanged'!F103</f>
        <v>3696.2945087936532</v>
      </c>
      <c r="H103">
        <f>Portfolio!B$7*'CurrentPor-LH=20 unchanged'!J103</f>
        <v>2148.0998964419859</v>
      </c>
      <c r="I103">
        <f t="shared" si="2"/>
        <v>96491.516153593853</v>
      </c>
      <c r="J103">
        <f t="shared" si="3"/>
        <v>5.1628791056864429</v>
      </c>
    </row>
    <row r="104" spans="1:10">
      <c r="A104" s="1">
        <v>45615</v>
      </c>
      <c r="B104">
        <f>(3/(1+('CurrentPor-LH=20 unchanged'!C104)/100)+103/POWER(1+('CurrentPor-LH=20 unchanged'!D104)/100,2))*100</f>
        <v>9707.5857774288397</v>
      </c>
      <c r="C104">
        <f>(3/(1+('CurrentPor-LH=20 unchanged'!C104+'CurrentPor-LH=20 unchanged'!G104)/100)+103/POWER(1+('CurrentPor-LH=20 unchanged'!D104+'CurrentPor-LH=20 unchanged'!G104)/100,2))*100</f>
        <v>9614.9673582483465</v>
      </c>
      <c r="D104">
        <f>(3/(1+('CurrentPor-LH=20 unchanged'!C104+'CurrentPor-LH=20 unchanged'!H104)/100)+103/POWER(1+('CurrentPor-LH=20 unchanged'!D104+'CurrentPor-LH=20 unchanged'!H104)/100,2))*100</f>
        <v>9604.233254079445</v>
      </c>
      <c r="E104">
        <f>(3/(1+('CurrentPor-LH=20 unchanged'!C104+'CurrentPor-LH=20 unchanged'!I104)/100)+103/POWER(1+('CurrentPor-LH=20 unchanged'!D104+'CurrentPor-LH=20 unchanged'!I104)/100,2))*100</f>
        <v>9579.3393049235619</v>
      </c>
      <c r="F104">
        <f>Portfolio!B$5*'CurrentPor-LH=20 unchanged'!E104</f>
        <v>52143.895533915893</v>
      </c>
      <c r="G104">
        <f>Portfolio!B$6*'CurrentPor-LH=20 unchanged'!F104</f>
        <v>3696.2945087936532</v>
      </c>
      <c r="H104">
        <f>Portfolio!B$7*'CurrentPor-LH=20 unchanged'!J104</f>
        <v>2148.0998964419859</v>
      </c>
      <c r="I104">
        <f t="shared" si="2"/>
        <v>96494.415633831726</v>
      </c>
      <c r="J104">
        <f t="shared" si="3"/>
        <v>28.711605849544867</v>
      </c>
    </row>
    <row r="105" spans="1:10">
      <c r="A105" s="1">
        <v>45616</v>
      </c>
      <c r="B105">
        <f>(3/(1+('CurrentPor-LH=20 unchanged'!C105)/100)+103/POWER(1+('CurrentPor-LH=20 unchanged'!D105)/100,2))*100</f>
        <v>9707.5857774288397</v>
      </c>
      <c r="C105">
        <f>(3/(1+('CurrentPor-LH=20 unchanged'!C105+'CurrentPor-LH=20 unchanged'!G105)/100)+103/POWER(1+('CurrentPor-LH=20 unchanged'!D105+'CurrentPor-LH=20 unchanged'!G105)/100,2))*100</f>
        <v>9614.9673582483465</v>
      </c>
      <c r="D105">
        <f>(3/(1+('CurrentPor-LH=20 unchanged'!C105+'CurrentPor-LH=20 unchanged'!H105)/100)+103/POWER(1+('CurrentPor-LH=20 unchanged'!D105+'CurrentPor-LH=20 unchanged'!H105)/100,2))*100</f>
        <v>9620.3800925193445</v>
      </c>
      <c r="E105">
        <f>(3/(1+('CurrentPor-LH=20 unchanged'!C105+'CurrentPor-LH=20 unchanged'!I105)/100)+103/POWER(1+('CurrentPor-LH=20 unchanged'!D105+'CurrentPor-LH=20 unchanged'!I105)/100,2))*100</f>
        <v>9582.5487325298491</v>
      </c>
      <c r="F105">
        <f>Portfolio!B$5*'CurrentPor-LH=20 unchanged'!E105</f>
        <v>52143.895533915893</v>
      </c>
      <c r="G105">
        <f>Portfolio!B$6*'CurrentPor-LH=20 unchanged'!F105</f>
        <v>3696.2945087936532</v>
      </c>
      <c r="H105">
        <f>Portfolio!B$7*'CurrentPor-LH=20 unchanged'!J105</f>
        <v>2148.0998964419859</v>
      </c>
      <c r="I105">
        <f t="shared" si="2"/>
        <v>96513.771899877916</v>
      </c>
      <c r="J105">
        <f t="shared" si="3"/>
        <v>16.475827079615556</v>
      </c>
    </row>
    <row r="106" spans="1:10">
      <c r="A106" s="1">
        <v>45617</v>
      </c>
      <c r="B106">
        <f>(3/(1+('CurrentPor-LH=20 unchanged'!C106)/100)+103/POWER(1+('CurrentPor-LH=20 unchanged'!D106)/100,2))*100</f>
        <v>9707.5857774288397</v>
      </c>
      <c r="C106">
        <f>(3/(1+('CurrentPor-LH=20 unchanged'!C106+'CurrentPor-LH=20 unchanged'!G106)/100)+103/POWER(1+('CurrentPor-LH=20 unchanged'!D106+'CurrentPor-LH=20 unchanged'!G106)/100,2))*100</f>
        <v>9614.9673582483465</v>
      </c>
      <c r="D106">
        <f>(3/(1+('CurrentPor-LH=20 unchanged'!C106+'CurrentPor-LH=20 unchanged'!H106)/100)+103/POWER(1+('CurrentPor-LH=20 unchanged'!D106+'CurrentPor-LH=20 unchanged'!H106)/100,2))*100</f>
        <v>9618.9244570829196</v>
      </c>
      <c r="E106">
        <f>(3/(1+('CurrentPor-LH=20 unchanged'!C106+'CurrentPor-LH=20 unchanged'!I106)/100)+103/POWER(1+('CurrentPor-LH=20 unchanged'!D106+'CurrentPor-LH=20 unchanged'!I106)/100,2))*100</f>
        <v>9578.4108778118061</v>
      </c>
      <c r="F106">
        <f>Portfolio!B$5*'CurrentPor-LH=20 unchanged'!E106</f>
        <v>52143.895533915893</v>
      </c>
      <c r="G106">
        <f>Portfolio!B$6*'CurrentPor-LH=20 unchanged'!F106</f>
        <v>3696.2945087936532</v>
      </c>
      <c r="H106">
        <f>Portfolio!B$7*'CurrentPor-LH=20 unchanged'!J106</f>
        <v>2148.0998964419859</v>
      </c>
      <c r="I106">
        <f t="shared" si="2"/>
        <v>96508.178409723434</v>
      </c>
      <c r="J106">
        <f t="shared" si="3"/>
        <v>18.414711553603411</v>
      </c>
    </row>
    <row r="107" spans="1:10">
      <c r="A107" s="1">
        <v>45618</v>
      </c>
      <c r="B107">
        <f>(3/(1+('CurrentPor-LH=20 unchanged'!C107)/100)+103/POWER(1+('CurrentPor-LH=20 unchanged'!D107)/100,2))*100</f>
        <v>9707.5857774288397</v>
      </c>
      <c r="C107">
        <f>(3/(1+('CurrentPor-LH=20 unchanged'!C107+'CurrentPor-LH=20 unchanged'!G107)/100)+103/POWER(1+('CurrentPor-LH=20 unchanged'!D107+'CurrentPor-LH=20 unchanged'!G107)/100,2))*100</f>
        <v>9614.9673582483465</v>
      </c>
      <c r="D107">
        <f>(3/(1+('CurrentPor-LH=20 unchanged'!C107+'CurrentPor-LH=20 unchanged'!H107)/100)+103/POWER(1+('CurrentPor-LH=20 unchanged'!D107+'CurrentPor-LH=20 unchanged'!H107)/100,2))*100</f>
        <v>9595.7413073058633</v>
      </c>
      <c r="E107">
        <f>(3/(1+('CurrentPor-LH=20 unchanged'!C107+'CurrentPor-LH=20 unchanged'!I107)/100)+103/POWER(1+('CurrentPor-LH=20 unchanged'!D107+'CurrentPor-LH=20 unchanged'!I107)/100,2))*100</f>
        <v>9581.6823149198644</v>
      </c>
      <c r="F107">
        <f>Portfolio!B$5*'CurrentPor-LH=20 unchanged'!E107</f>
        <v>52143.895533915893</v>
      </c>
      <c r="G107">
        <f>Portfolio!B$6*'CurrentPor-LH=20 unchanged'!F107</f>
        <v>3696.2945087936532</v>
      </c>
      <c r="H107">
        <f>Portfolio!B$7*'CurrentPor-LH=20 unchanged'!J107</f>
        <v>2148.0998964419859</v>
      </c>
      <c r="I107">
        <f t="shared" si="2"/>
        <v>96488.266697054452</v>
      </c>
      <c r="J107">
        <f t="shared" si="3"/>
        <v>4.8547841303516179</v>
      </c>
    </row>
    <row r="108" spans="1:10">
      <c r="A108" s="1">
        <v>45621</v>
      </c>
      <c r="B108">
        <f>(3/(1+('CurrentPor-LH=20 unchanged'!C108)/100)+103/POWER(1+('CurrentPor-LH=20 unchanged'!D108)/100,2))*100</f>
        <v>9707.5857774288397</v>
      </c>
      <c r="C108">
        <f>(3/(1+('CurrentPor-LH=20 unchanged'!C108+'CurrentPor-LH=20 unchanged'!G108)/100)+103/POWER(1+('CurrentPor-LH=20 unchanged'!D108+'CurrentPor-LH=20 unchanged'!G108)/100,2))*100</f>
        <v>9614.9673582483465</v>
      </c>
      <c r="D108">
        <f>(3/(1+('CurrentPor-LH=20 unchanged'!C108+'CurrentPor-LH=20 unchanged'!H108)/100)+103/POWER(1+('CurrentPor-LH=20 unchanged'!D108+'CurrentPor-LH=20 unchanged'!H108)/100,2))*100</f>
        <v>9580.228892426363</v>
      </c>
      <c r="E108">
        <f>(3/(1+('CurrentPor-LH=20 unchanged'!C108+'CurrentPor-LH=20 unchanged'!I108)/100)+103/POWER(1+('CurrentPor-LH=20 unchanged'!D108+'CurrentPor-LH=20 unchanged'!I108)/100,2))*100</f>
        <v>9580.3021025211638</v>
      </c>
      <c r="F108">
        <f>Portfolio!B$5*'CurrentPor-LH=20 unchanged'!E108</f>
        <v>52143.895533915893</v>
      </c>
      <c r="G108">
        <f>Portfolio!B$6*'CurrentPor-LH=20 unchanged'!F108</f>
        <v>3696.2945087936532</v>
      </c>
      <c r="H108">
        <f>Portfolio!B$7*'CurrentPor-LH=20 unchanged'!J108</f>
        <v>2148.0998964419859</v>
      </c>
      <c r="I108">
        <f t="shared" si="2"/>
        <v>96471.374069776255</v>
      </c>
      <c r="J108">
        <f t="shared" si="3"/>
        <v>-22.400367502792506</v>
      </c>
    </row>
    <row r="109" spans="1:10">
      <c r="A109" s="1">
        <v>45622</v>
      </c>
      <c r="B109">
        <f>(3/(1+('CurrentPor-LH=20 unchanged'!C109)/100)+103/POWER(1+('CurrentPor-LH=20 unchanged'!D109)/100,2))*100</f>
        <v>9707.5857774288397</v>
      </c>
      <c r="C109">
        <f>(3/(1+('CurrentPor-LH=20 unchanged'!C109+'CurrentPor-LH=20 unchanged'!G109)/100)+103/POWER(1+('CurrentPor-LH=20 unchanged'!D109+'CurrentPor-LH=20 unchanged'!G109)/100,2))*100</f>
        <v>9614.9673582483465</v>
      </c>
      <c r="D109">
        <f>(3/(1+('CurrentPor-LH=20 unchanged'!C109+'CurrentPor-LH=20 unchanged'!H109)/100)+103/POWER(1+('CurrentPor-LH=20 unchanged'!D109+'CurrentPor-LH=20 unchanged'!H109)/100,2))*100</f>
        <v>9604.516645172871</v>
      </c>
      <c r="E109">
        <f>(3/(1+('CurrentPor-LH=20 unchanged'!C109+'CurrentPor-LH=20 unchanged'!I109)/100)+103/POWER(1+('CurrentPor-LH=20 unchanged'!D109+'CurrentPor-LH=20 unchanged'!I109)/100,2))*100</f>
        <v>9580.2687932720055</v>
      </c>
      <c r="F109">
        <f>Portfolio!B$5*'CurrentPor-LH=20 unchanged'!E109</f>
        <v>52143.895533915893</v>
      </c>
      <c r="G109">
        <f>Portfolio!B$6*'CurrentPor-LH=20 unchanged'!F109</f>
        <v>3696.2945087936532</v>
      </c>
      <c r="H109">
        <f>Portfolio!B$7*'CurrentPor-LH=20 unchanged'!J109</f>
        <v>2148.0998964419859</v>
      </c>
      <c r="I109">
        <f t="shared" si="2"/>
        <v>96495.628513273594</v>
      </c>
      <c r="J109">
        <f t="shared" si="3"/>
        <v>3.1395539379445836E-2</v>
      </c>
    </row>
    <row r="110" spans="1:10">
      <c r="A110" s="1">
        <v>45623</v>
      </c>
      <c r="B110">
        <f>(3/(1+('CurrentPor-LH=20 unchanged'!C110)/100)+103/POWER(1+('CurrentPor-LH=20 unchanged'!D110)/100,2))*100</f>
        <v>9707.5857774288397</v>
      </c>
      <c r="C110">
        <f>(3/(1+('CurrentPor-LH=20 unchanged'!C110+'CurrentPor-LH=20 unchanged'!G110)/100)+103/POWER(1+('CurrentPor-LH=20 unchanged'!D110+'CurrentPor-LH=20 unchanged'!G110)/100,2))*100</f>
        <v>9614.9673582483465</v>
      </c>
      <c r="D110">
        <f>(3/(1+('CurrentPor-LH=20 unchanged'!C110+'CurrentPor-LH=20 unchanged'!H110)/100)+103/POWER(1+('CurrentPor-LH=20 unchanged'!D110+'CurrentPor-LH=20 unchanged'!H110)/100,2))*100</f>
        <v>9586.4855131027853</v>
      </c>
      <c r="E110">
        <f>(3/(1+('CurrentPor-LH=20 unchanged'!C110+'CurrentPor-LH=20 unchanged'!I110)/100)+103/POWER(1+('CurrentPor-LH=20 unchanged'!D110+'CurrentPor-LH=20 unchanged'!I110)/100,2))*100</f>
        <v>9580.247029161148</v>
      </c>
      <c r="F110">
        <f>Portfolio!B$5*'CurrentPor-LH=20 unchanged'!E110</f>
        <v>52143.895533915893</v>
      </c>
      <c r="G110">
        <f>Portfolio!B$6*'CurrentPor-LH=20 unchanged'!F110</f>
        <v>3696.2945087936532</v>
      </c>
      <c r="H110">
        <f>Portfolio!B$7*'CurrentPor-LH=20 unchanged'!J110</f>
        <v>2148.0998964419859</v>
      </c>
      <c r="I110">
        <f t="shared" si="2"/>
        <v>96477.575617092647</v>
      </c>
      <c r="J110">
        <f t="shared" si="3"/>
        <v>-5.4559640398365445</v>
      </c>
    </row>
    <row r="111" spans="1:10">
      <c r="A111" s="1">
        <v>45624</v>
      </c>
      <c r="B111">
        <f>(3/(1+('CurrentPor-LH=20 unchanged'!C111)/100)+103/POWER(1+('CurrentPor-LH=20 unchanged'!D111)/100,2))*100</f>
        <v>9707.5857774288397</v>
      </c>
      <c r="C111">
        <f>(3/(1+('CurrentPor-LH=20 unchanged'!C111+'CurrentPor-LH=20 unchanged'!G111)/100)+103/POWER(1+('CurrentPor-LH=20 unchanged'!D111+'CurrentPor-LH=20 unchanged'!G111)/100,2))*100</f>
        <v>9614.9673582483465</v>
      </c>
      <c r="D111">
        <f>(3/(1+('CurrentPor-LH=20 unchanged'!C111+'CurrentPor-LH=20 unchanged'!H111)/100)+103/POWER(1+('CurrentPor-LH=20 unchanged'!D111+'CurrentPor-LH=20 unchanged'!H111)/100,2))*100</f>
        <v>9603.1188671695036</v>
      </c>
      <c r="E111">
        <f>(3/(1+('CurrentPor-LH=20 unchanged'!C111+'CurrentPor-LH=20 unchanged'!I111)/100)+103/POWER(1+('CurrentPor-LH=20 unchanged'!D111+'CurrentPor-LH=20 unchanged'!I111)/100,2))*100</f>
        <v>9580.5595188750722</v>
      </c>
      <c r="F111">
        <f>Portfolio!B$5*'CurrentPor-LH=20 unchanged'!E111</f>
        <v>52143.895533915893</v>
      </c>
      <c r="G111">
        <f>Portfolio!B$6*'CurrentPor-LH=20 unchanged'!F111</f>
        <v>3696.2945087936532</v>
      </c>
      <c r="H111">
        <f>Portfolio!B$7*'CurrentPor-LH=20 unchanged'!J111</f>
        <v>2148.0998964419859</v>
      </c>
      <c r="I111">
        <f t="shared" si="2"/>
        <v>96494.521460873293</v>
      </c>
      <c r="J111">
        <f t="shared" si="3"/>
        <v>-7.4200941478193272</v>
      </c>
    </row>
    <row r="112" spans="1:10">
      <c r="A112" s="1">
        <v>45625</v>
      </c>
      <c r="B112">
        <f>(3/(1+('CurrentPor-LH=20 unchanged'!C112)/100)+103/POWER(1+('CurrentPor-LH=20 unchanged'!D112)/100,2))*100</f>
        <v>9707.5857774288397</v>
      </c>
      <c r="C112">
        <f>(3/(1+('CurrentPor-LH=20 unchanged'!C112+'CurrentPor-LH=20 unchanged'!G112)/100)+103/POWER(1+('CurrentPor-LH=20 unchanged'!D112+'CurrentPor-LH=20 unchanged'!G112)/100,2))*100</f>
        <v>9614.9673582483465</v>
      </c>
      <c r="D112">
        <f>(3/(1+('CurrentPor-LH=20 unchanged'!C112+'CurrentPor-LH=20 unchanged'!H112)/100)+103/POWER(1+('CurrentPor-LH=20 unchanged'!D112+'CurrentPor-LH=20 unchanged'!H112)/100,2))*100</f>
        <v>9604.7569095569252</v>
      </c>
      <c r="E112">
        <f>(3/(1+('CurrentPor-LH=20 unchanged'!C112+'CurrentPor-LH=20 unchanged'!I112)/100)+103/POWER(1+('CurrentPor-LH=20 unchanged'!D112+'CurrentPor-LH=20 unchanged'!I112)/100,2))*100</f>
        <v>9580.2757300834273</v>
      </c>
      <c r="F112">
        <f>Portfolio!B$5*'CurrentPor-LH=20 unchanged'!E112</f>
        <v>52143.895533915893</v>
      </c>
      <c r="G112">
        <f>Portfolio!B$6*'CurrentPor-LH=20 unchanged'!F112</f>
        <v>3696.2945087936532</v>
      </c>
      <c r="H112">
        <f>Portfolio!B$7*'CurrentPor-LH=20 unchanged'!J112</f>
        <v>2148.0998964419859</v>
      </c>
      <c r="I112">
        <f t="shared" si="2"/>
        <v>96495.875714469075</v>
      </c>
      <c r="J112">
        <f t="shared" si="3"/>
        <v>-3.0104290218587266</v>
      </c>
    </row>
    <row r="113" spans="1:10">
      <c r="A113" s="1">
        <v>45628</v>
      </c>
      <c r="B113">
        <f>(3/(1+('CurrentPor-LH=20 unchanged'!C113)/100)+103/POWER(1+('CurrentPor-LH=20 unchanged'!D113)/100,2))*100</f>
        <v>9707.5857774288397</v>
      </c>
      <c r="C113">
        <f>(3/(1+('CurrentPor-LH=20 unchanged'!C113+'CurrentPor-LH=20 unchanged'!G113)/100)+103/POWER(1+('CurrentPor-LH=20 unchanged'!D113+'CurrentPor-LH=20 unchanged'!G113)/100,2))*100</f>
        <v>9614.9673582483465</v>
      </c>
      <c r="D113">
        <f>(3/(1+('CurrentPor-LH=20 unchanged'!C113+'CurrentPor-LH=20 unchanged'!H113)/100)+103/POWER(1+('CurrentPor-LH=20 unchanged'!D113+'CurrentPor-LH=20 unchanged'!H113)/100,2))*100</f>
        <v>9610.720248617843</v>
      </c>
      <c r="E113">
        <f>(3/(1+('CurrentPor-LH=20 unchanged'!C113+'CurrentPor-LH=20 unchanged'!I113)/100)+103/POWER(1+('CurrentPor-LH=20 unchanged'!D113+'CurrentPor-LH=20 unchanged'!I113)/100,2))*100</f>
        <v>9580.9620001401818</v>
      </c>
      <c r="F113">
        <f>Portfolio!B$5*'CurrentPor-LH=20 unchanged'!E113</f>
        <v>52143.895533915893</v>
      </c>
      <c r="G113">
        <f>Portfolio!B$6*'CurrentPor-LH=20 unchanged'!F113</f>
        <v>3696.2945087936532</v>
      </c>
      <c r="H113">
        <f>Portfolio!B$7*'CurrentPor-LH=20 unchanged'!J113</f>
        <v>2148.0998964419859</v>
      </c>
      <c r="I113">
        <f t="shared" si="2"/>
        <v>96502.525323586742</v>
      </c>
      <c r="J113">
        <f t="shared" si="3"/>
        <v>11.009169992888928</v>
      </c>
    </row>
    <row r="114" spans="1:10">
      <c r="A114" s="1">
        <v>45629</v>
      </c>
      <c r="B114">
        <f>(3/(1+('CurrentPor-LH=20 unchanged'!C114)/100)+103/POWER(1+('CurrentPor-LH=20 unchanged'!D114)/100,2))*100</f>
        <v>9707.5857774288397</v>
      </c>
      <c r="C114">
        <f>(3/(1+('CurrentPor-LH=20 unchanged'!C114+'CurrentPor-LH=20 unchanged'!G114)/100)+103/POWER(1+('CurrentPor-LH=20 unchanged'!D114+'CurrentPor-LH=20 unchanged'!G114)/100,2))*100</f>
        <v>9614.9673582483465</v>
      </c>
      <c r="D114">
        <f>(3/(1+('CurrentPor-LH=20 unchanged'!C114+'CurrentPor-LH=20 unchanged'!H114)/100)+103/POWER(1+('CurrentPor-LH=20 unchanged'!D114+'CurrentPor-LH=20 unchanged'!H114)/100,2))*100</f>
        <v>9605.8909921301129</v>
      </c>
      <c r="E114">
        <f>(3/(1+('CurrentPor-LH=20 unchanged'!C114+'CurrentPor-LH=20 unchanged'!I114)/100)+103/POWER(1+('CurrentPor-LH=20 unchanged'!D114+'CurrentPor-LH=20 unchanged'!I114)/100,2))*100</f>
        <v>9580.7699175281105</v>
      </c>
      <c r="F114">
        <f>Portfolio!B$5*'CurrentPor-LH=20 unchanged'!E114</f>
        <v>52143.895533915893</v>
      </c>
      <c r="G114">
        <f>Portfolio!B$6*'CurrentPor-LH=20 unchanged'!F114</f>
        <v>3696.2945087936532</v>
      </c>
      <c r="H114">
        <f>Portfolio!B$7*'CurrentPor-LH=20 unchanged'!J114</f>
        <v>2148.0998964419859</v>
      </c>
      <c r="I114">
        <f t="shared" si="2"/>
        <v>96497.503984486932</v>
      </c>
      <c r="J114">
        <f t="shared" si="3"/>
        <v>3.0883506552054314</v>
      </c>
    </row>
    <row r="115" spans="1:10">
      <c r="A115" s="1">
        <v>45630</v>
      </c>
      <c r="B115">
        <f>(3/(1+('CurrentPor-LH=20 unchanged'!C115)/100)+103/POWER(1+('CurrentPor-LH=20 unchanged'!D115)/100,2))*100</f>
        <v>9707.5857774288397</v>
      </c>
      <c r="C115">
        <f>(3/(1+('CurrentPor-LH=20 unchanged'!C115+'CurrentPor-LH=20 unchanged'!G115)/100)+103/POWER(1+('CurrentPor-LH=20 unchanged'!D115+'CurrentPor-LH=20 unchanged'!G115)/100,2))*100</f>
        <v>9614.9673582483465</v>
      </c>
      <c r="D115">
        <f>(3/(1+('CurrentPor-LH=20 unchanged'!C115+'CurrentPor-LH=20 unchanged'!H115)/100)+103/POWER(1+('CurrentPor-LH=20 unchanged'!D115+'CurrentPor-LH=20 unchanged'!H115)/100,2))*100</f>
        <v>9621.8591838503235</v>
      </c>
      <c r="E115">
        <f>(3/(1+('CurrentPor-LH=20 unchanged'!C115+'CurrentPor-LH=20 unchanged'!I115)/100)+103/POWER(1+('CurrentPor-LH=20 unchanged'!D115+'CurrentPor-LH=20 unchanged'!I115)/100,2))*100</f>
        <v>9579.290936942909</v>
      </c>
      <c r="F115">
        <f>Portfolio!B$5*'CurrentPor-LH=20 unchanged'!E115</f>
        <v>52143.895533915893</v>
      </c>
      <c r="G115">
        <f>Portfolio!B$6*'CurrentPor-LH=20 unchanged'!F115</f>
        <v>3696.2945087936532</v>
      </c>
      <c r="H115">
        <f>Portfolio!B$7*'CurrentPor-LH=20 unchanged'!J115</f>
        <v>2148.0998964419859</v>
      </c>
      <c r="I115">
        <f t="shared" si="2"/>
        <v>96511.993195621952</v>
      </c>
      <c r="J115">
        <f t="shared" si="3"/>
        <v>-1.7787042559648398</v>
      </c>
    </row>
    <row r="116" spans="1:10">
      <c r="A116" s="1">
        <v>45631</v>
      </c>
      <c r="B116">
        <f>(3/(1+('CurrentPor-LH=20 unchanged'!C116)/100)+103/POWER(1+('CurrentPor-LH=20 unchanged'!D116)/100,2))*100</f>
        <v>9707.5857774288397</v>
      </c>
      <c r="C116">
        <f>(3/(1+('CurrentPor-LH=20 unchanged'!C116+'CurrentPor-LH=20 unchanged'!G116)/100)+103/POWER(1+('CurrentPor-LH=20 unchanged'!D116+'CurrentPor-LH=20 unchanged'!G116)/100,2))*100</f>
        <v>9614.9673582483465</v>
      </c>
      <c r="D116">
        <f>(3/(1+('CurrentPor-LH=20 unchanged'!C116+'CurrentPor-LH=20 unchanged'!H116)/100)+103/POWER(1+('CurrentPor-LH=20 unchanged'!D116+'CurrentPor-LH=20 unchanged'!H116)/100,2))*100</f>
        <v>9601.3571076738208</v>
      </c>
      <c r="E116">
        <f>(3/(1+('CurrentPor-LH=20 unchanged'!C116+'CurrentPor-LH=20 unchanged'!I116)/100)+103/POWER(1+('CurrentPor-LH=20 unchanged'!D116+'CurrentPor-LH=20 unchanged'!I116)/100,2))*100</f>
        <v>9580.8857283619127</v>
      </c>
      <c r="F116">
        <f>Portfolio!B$5*'CurrentPor-LH=20 unchanged'!E116</f>
        <v>52143.895533915893</v>
      </c>
      <c r="G116">
        <f>Portfolio!B$6*'CurrentPor-LH=20 unchanged'!F116</f>
        <v>3696.2945087936532</v>
      </c>
      <c r="H116">
        <f>Portfolio!B$7*'CurrentPor-LH=20 unchanged'!J116</f>
        <v>2148.0998964419859</v>
      </c>
      <c r="I116">
        <f t="shared" si="2"/>
        <v>96493.085910864451</v>
      </c>
      <c r="J116">
        <f t="shared" si="3"/>
        <v>-15.092498858983163</v>
      </c>
    </row>
    <row r="117" spans="1:10">
      <c r="A117" s="1">
        <v>45632</v>
      </c>
      <c r="B117">
        <f>(3/(1+('CurrentPor-LH=20 unchanged'!C117)/100)+103/POWER(1+('CurrentPor-LH=20 unchanged'!D117)/100,2))*100</f>
        <v>9707.5857774288397</v>
      </c>
      <c r="C117">
        <f>(3/(1+('CurrentPor-LH=20 unchanged'!C117+'CurrentPor-LH=20 unchanged'!G117)/100)+103/POWER(1+('CurrentPor-LH=20 unchanged'!D117+'CurrentPor-LH=20 unchanged'!G117)/100,2))*100</f>
        <v>9614.9673582483465</v>
      </c>
      <c r="D117">
        <f>(3/(1+('CurrentPor-LH=20 unchanged'!C117+'CurrentPor-LH=20 unchanged'!H117)/100)+103/POWER(1+('CurrentPor-LH=20 unchanged'!D117+'CurrentPor-LH=20 unchanged'!H117)/100,2))*100</f>
        <v>9599.2168648117313</v>
      </c>
      <c r="E117">
        <f>(3/(1+('CurrentPor-LH=20 unchanged'!C117+'CurrentPor-LH=20 unchanged'!I117)/100)+103/POWER(1+('CurrentPor-LH=20 unchanged'!D117+'CurrentPor-LH=20 unchanged'!I117)/100,2))*100</f>
        <v>9581.2428232433667</v>
      </c>
      <c r="F117">
        <f>Portfolio!B$5*'CurrentPor-LH=20 unchanged'!E117</f>
        <v>52143.895533915893</v>
      </c>
      <c r="G117">
        <f>Portfolio!B$6*'CurrentPor-LH=20 unchanged'!F117</f>
        <v>3696.2945087936532</v>
      </c>
      <c r="H117">
        <f>Portfolio!B$7*'CurrentPor-LH=20 unchanged'!J117</f>
        <v>2148.0998964419859</v>
      </c>
      <c r="I117">
        <f t="shared" si="2"/>
        <v>96491.302762883817</v>
      </c>
      <c r="J117">
        <f t="shared" si="3"/>
        <v>3.0360658293648157</v>
      </c>
    </row>
    <row r="118" spans="1:10">
      <c r="A118" s="1">
        <v>45635</v>
      </c>
      <c r="B118">
        <f>(3/(1+('CurrentPor-LH=20 unchanged'!C118)/100)+103/POWER(1+('CurrentPor-LH=20 unchanged'!D118)/100,2))*100</f>
        <v>9707.5857774288397</v>
      </c>
      <c r="C118">
        <f>(3/(1+('CurrentPor-LH=20 unchanged'!C118+'CurrentPor-LH=20 unchanged'!G118)/100)+103/POWER(1+('CurrentPor-LH=20 unchanged'!D118+'CurrentPor-LH=20 unchanged'!G118)/100,2))*100</f>
        <v>9614.9673582483465</v>
      </c>
      <c r="D118">
        <f>(3/(1+('CurrentPor-LH=20 unchanged'!C118+'CurrentPor-LH=20 unchanged'!H118)/100)+103/POWER(1+('CurrentPor-LH=20 unchanged'!D118+'CurrentPor-LH=20 unchanged'!H118)/100,2))*100</f>
        <v>9607.167874935607</v>
      </c>
      <c r="E118">
        <f>(3/(1+('CurrentPor-LH=20 unchanged'!C118+'CurrentPor-LH=20 unchanged'!I118)/100)+103/POWER(1+('CurrentPor-LH=20 unchanged'!D118+'CurrentPor-LH=20 unchanged'!I118)/100,2))*100</f>
        <v>9580.6542129293412</v>
      </c>
      <c r="F118">
        <f>Portfolio!B$5*'CurrentPor-LH=20 unchanged'!E118</f>
        <v>52143.895533915893</v>
      </c>
      <c r="G118">
        <f>Portfolio!B$6*'CurrentPor-LH=20 unchanged'!F118</f>
        <v>3696.2945087936532</v>
      </c>
      <c r="H118">
        <f>Portfolio!B$7*'CurrentPor-LH=20 unchanged'!J118</f>
        <v>2148.0998964419859</v>
      </c>
      <c r="I118">
        <f t="shared" si="2"/>
        <v>96498.665162693665</v>
      </c>
      <c r="J118">
        <f t="shared" si="3"/>
        <v>27.291092917410424</v>
      </c>
    </row>
    <row r="119" spans="1:10">
      <c r="A119" s="1">
        <v>45636</v>
      </c>
      <c r="B119">
        <f>(3/(1+('CurrentPor-LH=20 unchanged'!C119)/100)+103/POWER(1+('CurrentPor-LH=20 unchanged'!D119)/100,2))*100</f>
        <v>9707.5857774288397</v>
      </c>
      <c r="C119">
        <f>(3/(1+('CurrentPor-LH=20 unchanged'!C119+'CurrentPor-LH=20 unchanged'!G119)/100)+103/POWER(1+('CurrentPor-LH=20 unchanged'!D119+'CurrentPor-LH=20 unchanged'!G119)/100,2))*100</f>
        <v>9614.9673582483465</v>
      </c>
      <c r="D119">
        <f>(3/(1+('CurrentPor-LH=20 unchanged'!C119+'CurrentPor-LH=20 unchanged'!H119)/100)+103/POWER(1+('CurrentPor-LH=20 unchanged'!D119+'CurrentPor-LH=20 unchanged'!H119)/100,2))*100</f>
        <v>9599.3408121781467</v>
      </c>
      <c r="E119">
        <f>(3/(1+('CurrentPor-LH=20 unchanged'!C119+'CurrentPor-LH=20 unchanged'!I119)/100)+103/POWER(1+('CurrentPor-LH=20 unchanged'!D119+'CurrentPor-LH=20 unchanged'!I119)/100,2))*100</f>
        <v>9580.3564694755823</v>
      </c>
      <c r="F119">
        <f>Portfolio!B$5*'CurrentPor-LH=20 unchanged'!E119</f>
        <v>52143.895533915893</v>
      </c>
      <c r="G119">
        <f>Portfolio!B$6*'CurrentPor-LH=20 unchanged'!F119</f>
        <v>3696.2945087936532</v>
      </c>
      <c r="H119">
        <f>Portfolio!B$7*'CurrentPor-LH=20 unchanged'!J119</f>
        <v>2148.0998964419859</v>
      </c>
      <c r="I119">
        <f t="shared" si="2"/>
        <v>96490.540356482452</v>
      </c>
      <c r="J119">
        <f t="shared" si="3"/>
        <v>-5.0881567911419552</v>
      </c>
    </row>
    <row r="120" spans="1:10">
      <c r="A120" s="1">
        <v>45637</v>
      </c>
      <c r="B120">
        <f>(3/(1+('CurrentPor-LH=20 unchanged'!C120)/100)+103/POWER(1+('CurrentPor-LH=20 unchanged'!D120)/100,2))*100</f>
        <v>9707.5857774288397</v>
      </c>
      <c r="C120">
        <f>(3/(1+('CurrentPor-LH=20 unchanged'!C120+'CurrentPor-LH=20 unchanged'!G120)/100)+103/POWER(1+('CurrentPor-LH=20 unchanged'!D120+'CurrentPor-LH=20 unchanged'!G120)/100,2))*100</f>
        <v>9614.9673582483465</v>
      </c>
      <c r="D120">
        <f>(3/(1+('CurrentPor-LH=20 unchanged'!C120+'CurrentPor-LH=20 unchanged'!H120)/100)+103/POWER(1+('CurrentPor-LH=20 unchanged'!D120+'CurrentPor-LH=20 unchanged'!H120)/100,2))*100</f>
        <v>9581.9812171778321</v>
      </c>
      <c r="E120">
        <f>(3/(1+('CurrentPor-LH=20 unchanged'!C120+'CurrentPor-LH=20 unchanged'!I120)/100)+103/POWER(1+('CurrentPor-LH=20 unchanged'!D120+'CurrentPor-LH=20 unchanged'!I120)/100,2))*100</f>
        <v>9580.5475670242795</v>
      </c>
      <c r="F120">
        <f>Portfolio!B$5*'CurrentPor-LH=20 unchanged'!E120</f>
        <v>52143.895533915893</v>
      </c>
      <c r="G120">
        <f>Portfolio!B$6*'CurrentPor-LH=20 unchanged'!F120</f>
        <v>3696.2945087936532</v>
      </c>
      <c r="H120">
        <f>Portfolio!B$7*'CurrentPor-LH=20 unchanged'!J120</f>
        <v>2148.0998964419859</v>
      </c>
      <c r="I120">
        <f t="shared" si="2"/>
        <v>96473.371859030827</v>
      </c>
      <c r="J120">
        <f t="shared" si="3"/>
        <v>-4.2037580618198263</v>
      </c>
    </row>
    <row r="121" spans="1:10">
      <c r="A121" s="1">
        <v>45638</v>
      </c>
      <c r="B121">
        <f>(3/(1+('CurrentPor-LH=20 unchanged'!C121)/100)+103/POWER(1+('CurrentPor-LH=20 unchanged'!D121)/100,2))*100</f>
        <v>9707.5857774288397</v>
      </c>
      <c r="C121">
        <f>(3/(1+('CurrentPor-LH=20 unchanged'!C121+'CurrentPor-LH=20 unchanged'!G121)/100)+103/POWER(1+('CurrentPor-LH=20 unchanged'!D121+'CurrentPor-LH=20 unchanged'!G121)/100,2))*100</f>
        <v>9614.9673582483465</v>
      </c>
      <c r="D121">
        <f>(3/(1+('CurrentPor-LH=20 unchanged'!C121+'CurrentPor-LH=20 unchanged'!H121)/100)+103/POWER(1+('CurrentPor-LH=20 unchanged'!D121+'CurrentPor-LH=20 unchanged'!H121)/100,2))*100</f>
        <v>9598.2009469458499</v>
      </c>
      <c r="E121">
        <f>(3/(1+('CurrentPor-LH=20 unchanged'!C121+'CurrentPor-LH=20 unchanged'!I121)/100)+103/POWER(1+('CurrentPor-LH=20 unchanged'!D121+'CurrentPor-LH=20 unchanged'!I121)/100,2))*100</f>
        <v>9581.1613817776724</v>
      </c>
      <c r="F121">
        <f>Portfolio!B$5*'CurrentPor-LH=20 unchanged'!E121</f>
        <v>52143.895533915893</v>
      </c>
      <c r="G121">
        <f>Portfolio!B$6*'CurrentPor-LH=20 unchanged'!F121</f>
        <v>3696.2945087936532</v>
      </c>
      <c r="H121">
        <f>Portfolio!B$7*'CurrentPor-LH=20 unchanged'!J121</f>
        <v>2148.0998964419859</v>
      </c>
      <c r="I121">
        <f t="shared" si="2"/>
        <v>96490.205403552231</v>
      </c>
      <c r="J121">
        <f t="shared" si="3"/>
        <v>-4.3160573210625444</v>
      </c>
    </row>
    <row r="122" spans="1:10">
      <c r="A122" s="1">
        <v>45639</v>
      </c>
      <c r="B122">
        <f>(3/(1+('CurrentPor-LH=20 unchanged'!C122)/100)+103/POWER(1+('CurrentPor-LH=20 unchanged'!D122)/100,2))*100</f>
        <v>9707.5857774288397</v>
      </c>
      <c r="C122">
        <f>(3/(1+('CurrentPor-LH=20 unchanged'!C122+'CurrentPor-LH=20 unchanged'!G122)/100)+103/POWER(1+('CurrentPor-LH=20 unchanged'!D122+'CurrentPor-LH=20 unchanged'!G122)/100,2))*100</f>
        <v>9614.9673582483465</v>
      </c>
      <c r="D122">
        <f>(3/(1+('CurrentPor-LH=20 unchanged'!C122+'CurrentPor-LH=20 unchanged'!H122)/100)+103/POWER(1+('CurrentPor-LH=20 unchanged'!D122+'CurrentPor-LH=20 unchanged'!H122)/100,2))*100</f>
        <v>9606.7331353113295</v>
      </c>
      <c r="E122">
        <f>(3/(1+('CurrentPor-LH=20 unchanged'!C122+'CurrentPor-LH=20 unchanged'!I122)/100)+103/POWER(1+('CurrentPor-LH=20 unchanged'!D122+'CurrentPor-LH=20 unchanged'!I122)/100,2))*100</f>
        <v>9579.7511137268666</v>
      </c>
      <c r="F122">
        <f>Portfolio!B$5*'CurrentPor-LH=20 unchanged'!E122</f>
        <v>52143.895533915893</v>
      </c>
      <c r="G122">
        <f>Portfolio!B$6*'CurrentPor-LH=20 unchanged'!F122</f>
        <v>3696.2945087936532</v>
      </c>
      <c r="H122">
        <f>Portfolio!B$7*'CurrentPor-LH=20 unchanged'!J122</f>
        <v>2148.0998964419859</v>
      </c>
      <c r="I122">
        <f t="shared" si="2"/>
        <v>96497.327323866906</v>
      </c>
      <c r="J122">
        <f t="shared" si="3"/>
        <v>1.4516093978309073</v>
      </c>
    </row>
    <row r="123" spans="1:10">
      <c r="A123" s="1">
        <v>45642</v>
      </c>
      <c r="B123">
        <f>(3/(1+('CurrentPor-LH=20 unchanged'!C123)/100)+103/POWER(1+('CurrentPor-LH=20 unchanged'!D123)/100,2))*100</f>
        <v>9707.5857774288397</v>
      </c>
      <c r="C123">
        <f>(3/(1+('CurrentPor-LH=20 unchanged'!C123+'CurrentPor-LH=20 unchanged'!G123)/100)+103/POWER(1+('CurrentPor-LH=20 unchanged'!D123+'CurrentPor-LH=20 unchanged'!G123)/100,2))*100</f>
        <v>9614.9673582483465</v>
      </c>
      <c r="D123">
        <f>(3/(1+('CurrentPor-LH=20 unchanged'!C123+'CurrentPor-LH=20 unchanged'!H123)/100)+103/POWER(1+('CurrentPor-LH=20 unchanged'!D123+'CurrentPor-LH=20 unchanged'!H123)/100,2))*100</f>
        <v>9594.4438659396492</v>
      </c>
      <c r="E123">
        <f>(3/(1+('CurrentPor-LH=20 unchanged'!C123+'CurrentPor-LH=20 unchanged'!I123)/100)+103/POWER(1+('CurrentPor-LH=20 unchanged'!D123+'CurrentPor-LH=20 unchanged'!I123)/100,2))*100</f>
        <v>9580.5846911005356</v>
      </c>
      <c r="F123">
        <f>Portfolio!B$5*'CurrentPor-LH=20 unchanged'!E123</f>
        <v>52143.895533915893</v>
      </c>
      <c r="G123">
        <f>Portfolio!B$6*'CurrentPor-LH=20 unchanged'!F123</f>
        <v>3696.2945087936532</v>
      </c>
      <c r="H123">
        <f>Portfolio!B$7*'CurrentPor-LH=20 unchanged'!J123</f>
        <v>2148.0998964419859</v>
      </c>
      <c r="I123">
        <f t="shared" si="2"/>
        <v>96485.871631868897</v>
      </c>
      <c r="J123">
        <f t="shared" si="3"/>
        <v>-16.653691717845504</v>
      </c>
    </row>
    <row r="124" spans="1:10">
      <c r="A124" s="1">
        <v>45643</v>
      </c>
      <c r="B124">
        <f>(3/(1+('CurrentPor-LH=20 unchanged'!C124)/100)+103/POWER(1+('CurrentPor-LH=20 unchanged'!D124)/100,2))*100</f>
        <v>9707.5857774288397</v>
      </c>
      <c r="C124">
        <f>(3/(1+('CurrentPor-LH=20 unchanged'!C124+'CurrentPor-LH=20 unchanged'!G124)/100)+103/POWER(1+('CurrentPor-LH=20 unchanged'!D124+'CurrentPor-LH=20 unchanged'!G124)/100,2))*100</f>
        <v>9614.9673582483465</v>
      </c>
      <c r="D124">
        <f>(3/(1+('CurrentPor-LH=20 unchanged'!C124+'CurrentPor-LH=20 unchanged'!H124)/100)+103/POWER(1+('CurrentPor-LH=20 unchanged'!D124+'CurrentPor-LH=20 unchanged'!H124)/100,2))*100</f>
        <v>9593.8694294002198</v>
      </c>
      <c r="E124">
        <f>(3/(1+('CurrentPor-LH=20 unchanged'!C124+'CurrentPor-LH=20 unchanged'!I124)/100)+103/POWER(1+('CurrentPor-LH=20 unchanged'!D124+'CurrentPor-LH=20 unchanged'!I124)/100,2))*100</f>
        <v>9580.7516500824258</v>
      </c>
      <c r="F124">
        <f>Portfolio!B$5*'CurrentPor-LH=20 unchanged'!E124</f>
        <v>52143.895533915893</v>
      </c>
      <c r="G124">
        <f>Portfolio!B$6*'CurrentPor-LH=20 unchanged'!F124</f>
        <v>3696.2945087936532</v>
      </c>
      <c r="H124">
        <f>Portfolio!B$7*'CurrentPor-LH=20 unchanged'!J124</f>
        <v>2148.0998964419859</v>
      </c>
      <c r="I124">
        <f t="shared" si="2"/>
        <v>96485.464154311354</v>
      </c>
      <c r="J124">
        <f t="shared" si="3"/>
        <v>-12.039830175577663</v>
      </c>
    </row>
    <row r="125" spans="1:10">
      <c r="A125" s="1">
        <v>45644</v>
      </c>
      <c r="B125">
        <f>(3/(1+('CurrentPor-LH=20 unchanged'!C125)/100)+103/POWER(1+('CurrentPor-LH=20 unchanged'!D125)/100,2))*100</f>
        <v>9707.5857774288397</v>
      </c>
      <c r="C125">
        <f>(3/(1+('CurrentPor-LH=20 unchanged'!C125+'CurrentPor-LH=20 unchanged'!G125)/100)+103/POWER(1+('CurrentPor-LH=20 unchanged'!D125+'CurrentPor-LH=20 unchanged'!G125)/100,2))*100</f>
        <v>9614.9673582483465</v>
      </c>
      <c r="D125">
        <f>(3/(1+('CurrentPor-LH=20 unchanged'!C125+'CurrentPor-LH=20 unchanged'!H125)/100)+103/POWER(1+('CurrentPor-LH=20 unchanged'!D125+'CurrentPor-LH=20 unchanged'!H125)/100,2))*100</f>
        <v>9590.7310198603318</v>
      </c>
      <c r="E125">
        <f>(3/(1+('CurrentPor-LH=20 unchanged'!C125+'CurrentPor-LH=20 unchanged'!I125)/100)+103/POWER(1+('CurrentPor-LH=20 unchanged'!D125+'CurrentPor-LH=20 unchanged'!I125)/100,2))*100</f>
        <v>9580.5324716588002</v>
      </c>
      <c r="F125">
        <f>Portfolio!B$5*'CurrentPor-LH=20 unchanged'!E125</f>
        <v>52143.895533915893</v>
      </c>
      <c r="G125">
        <f>Portfolio!B$6*'CurrentPor-LH=20 unchanged'!F125</f>
        <v>3696.2945087936532</v>
      </c>
      <c r="H125">
        <f>Portfolio!B$7*'CurrentPor-LH=20 unchanged'!J125</f>
        <v>2148.0998964419859</v>
      </c>
      <c r="I125">
        <f t="shared" si="2"/>
        <v>96482.106566347851</v>
      </c>
      <c r="J125">
        <f t="shared" si="3"/>
        <v>-29.886629274100414</v>
      </c>
    </row>
    <row r="126" spans="1:10">
      <c r="A126" s="1">
        <v>45645</v>
      </c>
      <c r="B126">
        <f>(3/(1+('CurrentPor-LH=20 unchanged'!C126)/100)+103/POWER(1+('CurrentPor-LH=20 unchanged'!D126)/100,2))*100</f>
        <v>9707.5857774288397</v>
      </c>
      <c r="C126">
        <f>(3/(1+('CurrentPor-LH=20 unchanged'!C126+'CurrentPor-LH=20 unchanged'!G126)/100)+103/POWER(1+('CurrentPor-LH=20 unchanged'!D126+'CurrentPor-LH=20 unchanged'!G126)/100,2))*100</f>
        <v>9614.9673582483465</v>
      </c>
      <c r="D126">
        <f>(3/(1+('CurrentPor-LH=20 unchanged'!C126+'CurrentPor-LH=20 unchanged'!H126)/100)+103/POWER(1+('CurrentPor-LH=20 unchanged'!D126+'CurrentPor-LH=20 unchanged'!H126)/100,2))*100</f>
        <v>9591.7529996003213</v>
      </c>
      <c r="E126">
        <f>(3/(1+('CurrentPor-LH=20 unchanged'!C126+'CurrentPor-LH=20 unchanged'!I126)/100)+103/POWER(1+('CurrentPor-LH=20 unchanged'!D126+'CurrentPor-LH=20 unchanged'!I126)/100,2))*100</f>
        <v>9580.0774297077205</v>
      </c>
      <c r="F126">
        <f>Portfolio!B$5*'CurrentPor-LH=20 unchanged'!E126</f>
        <v>52143.895533915893</v>
      </c>
      <c r="G126">
        <f>Portfolio!B$6*'CurrentPor-LH=20 unchanged'!F126</f>
        <v>3696.2945087936532</v>
      </c>
      <c r="H126">
        <f>Portfolio!B$7*'CurrentPor-LH=20 unchanged'!J126</f>
        <v>2148.0998964419859</v>
      </c>
      <c r="I126">
        <f t="shared" si="2"/>
        <v>96482.67350413675</v>
      </c>
      <c r="J126">
        <f t="shared" si="3"/>
        <v>-10.412406727700727</v>
      </c>
    </row>
    <row r="127" spans="1:10">
      <c r="A127" s="1">
        <v>45646</v>
      </c>
      <c r="B127">
        <f>(3/(1+('CurrentPor-LH=20 unchanged'!C127)/100)+103/POWER(1+('CurrentPor-LH=20 unchanged'!D127)/100,2))*100</f>
        <v>9707.5857774288397</v>
      </c>
      <c r="C127">
        <f>(3/(1+('CurrentPor-LH=20 unchanged'!C127+'CurrentPor-LH=20 unchanged'!G127)/100)+103/POWER(1+('CurrentPor-LH=20 unchanged'!D127+'CurrentPor-LH=20 unchanged'!G127)/100,2))*100</f>
        <v>9614.9673582483465</v>
      </c>
      <c r="D127">
        <f>(3/(1+('CurrentPor-LH=20 unchanged'!C127+'CurrentPor-LH=20 unchanged'!H127)/100)+103/POWER(1+('CurrentPor-LH=20 unchanged'!D127+'CurrentPor-LH=20 unchanged'!H127)/100,2))*100</f>
        <v>9604.0602304754975</v>
      </c>
      <c r="E127">
        <f>(3/(1+('CurrentPor-LH=20 unchanged'!C127+'CurrentPor-LH=20 unchanged'!I127)/100)+103/POWER(1+('CurrentPor-LH=20 unchanged'!D127+'CurrentPor-LH=20 unchanged'!I127)/100,2))*100</f>
        <v>9580.9255332380453</v>
      </c>
      <c r="F127">
        <f>Portfolio!B$5*'CurrentPor-LH=20 unchanged'!E127</f>
        <v>52143.895533915893</v>
      </c>
      <c r="G127">
        <f>Portfolio!B$6*'CurrentPor-LH=20 unchanged'!F127</f>
        <v>3696.2945087936532</v>
      </c>
      <c r="H127">
        <f>Portfolio!B$7*'CurrentPor-LH=20 unchanged'!J127</f>
        <v>2148.0998964419859</v>
      </c>
      <c r="I127">
        <f t="shared" si="2"/>
        <v>96495.828838542264</v>
      </c>
      <c r="J127">
        <f t="shared" si="3"/>
        <v>4.5260756584466435</v>
      </c>
    </row>
    <row r="128" spans="1:10">
      <c r="A128" s="1">
        <v>45649</v>
      </c>
      <c r="B128">
        <f>(3/(1+('CurrentPor-LH=20 unchanged'!C128)/100)+103/POWER(1+('CurrentPor-LH=20 unchanged'!D128)/100,2))*100</f>
        <v>9707.5857774288397</v>
      </c>
      <c r="C128">
        <f>(3/(1+('CurrentPor-LH=20 unchanged'!C128+'CurrentPor-LH=20 unchanged'!G128)/100)+103/POWER(1+('CurrentPor-LH=20 unchanged'!D128+'CurrentPor-LH=20 unchanged'!G128)/100,2))*100</f>
        <v>9614.9673582483465</v>
      </c>
      <c r="D128">
        <f>(3/(1+('CurrentPor-LH=20 unchanged'!C128+'CurrentPor-LH=20 unchanged'!H128)/100)+103/POWER(1+('CurrentPor-LH=20 unchanged'!D128+'CurrentPor-LH=20 unchanged'!H128)/100,2))*100</f>
        <v>9593.5743069351101</v>
      </c>
      <c r="E128">
        <f>(3/(1+('CurrentPor-LH=20 unchanged'!C128+'CurrentPor-LH=20 unchanged'!I128)/100)+103/POWER(1+('CurrentPor-LH=20 unchanged'!D128+'CurrentPor-LH=20 unchanged'!I128)/100,2))*100</f>
        <v>9578.1966732505916</v>
      </c>
      <c r="F128">
        <f>Portfolio!B$5*'CurrentPor-LH=20 unchanged'!E128</f>
        <v>52143.895533915893</v>
      </c>
      <c r="G128">
        <f>Portfolio!B$6*'CurrentPor-LH=20 unchanged'!F128</f>
        <v>3696.2945087936532</v>
      </c>
      <c r="H128">
        <f>Portfolio!B$7*'CurrentPor-LH=20 unchanged'!J128</f>
        <v>2148.0998964419859</v>
      </c>
      <c r="I128">
        <f t="shared" si="2"/>
        <v>96482.614055014419</v>
      </c>
      <c r="J128">
        <f t="shared" si="3"/>
        <v>-16.051107679246343</v>
      </c>
    </row>
    <row r="129" spans="1:10">
      <c r="A129" s="1">
        <v>45650</v>
      </c>
      <c r="B129">
        <f>(3/(1+('CurrentPor-LH=20 unchanged'!C129)/100)+103/POWER(1+('CurrentPor-LH=20 unchanged'!D129)/100,2))*100</f>
        <v>9707.5857774288397</v>
      </c>
      <c r="C129">
        <f>(3/(1+('CurrentPor-LH=20 unchanged'!C129+'CurrentPor-LH=20 unchanged'!G129)/100)+103/POWER(1+('CurrentPor-LH=20 unchanged'!D129+'CurrentPor-LH=20 unchanged'!G129)/100,2))*100</f>
        <v>9614.9673582483465</v>
      </c>
      <c r="D129">
        <f>(3/(1+('CurrentPor-LH=20 unchanged'!C129+'CurrentPor-LH=20 unchanged'!H129)/100)+103/POWER(1+('CurrentPor-LH=20 unchanged'!D129+'CurrentPor-LH=20 unchanged'!H129)/100,2))*100</f>
        <v>9615.9542959949868</v>
      </c>
      <c r="E129">
        <f>(3/(1+('CurrentPor-LH=20 unchanged'!C129+'CurrentPor-LH=20 unchanged'!I129)/100)+103/POWER(1+('CurrentPor-LH=20 unchanged'!D129+'CurrentPor-LH=20 unchanged'!I129)/100,2))*100</f>
        <v>9579.8108186065874</v>
      </c>
      <c r="F129">
        <f>Portfolio!B$5*'CurrentPor-LH=20 unchanged'!E129</f>
        <v>52143.895533915893</v>
      </c>
      <c r="G129">
        <f>Portfolio!B$6*'CurrentPor-LH=20 unchanged'!F129</f>
        <v>3696.2945087936532</v>
      </c>
      <c r="H129">
        <f>Portfolio!B$7*'CurrentPor-LH=20 unchanged'!J129</f>
        <v>2148.0998964419859</v>
      </c>
      <c r="I129">
        <f t="shared" si="2"/>
        <v>96506.608189430292</v>
      </c>
      <c r="J129">
        <f t="shared" si="3"/>
        <v>16.067832947839634</v>
      </c>
    </row>
    <row r="130" spans="1:10">
      <c r="A130" s="1">
        <v>45651</v>
      </c>
      <c r="B130">
        <f>(3/(1+('CurrentPor-LH=20 unchanged'!C130)/100)+103/POWER(1+('CurrentPor-LH=20 unchanged'!D130)/100,2))*100</f>
        <v>9707.5857774288397</v>
      </c>
      <c r="C130">
        <f>(3/(1+('CurrentPor-LH=20 unchanged'!C130+'CurrentPor-LH=20 unchanged'!G130)/100)+103/POWER(1+('CurrentPor-LH=20 unchanged'!D130+'CurrentPor-LH=20 unchanged'!G130)/100,2))*100</f>
        <v>9614.9673582483465</v>
      </c>
      <c r="D130">
        <f>(3/(1+('CurrentPor-LH=20 unchanged'!C130+'CurrentPor-LH=20 unchanged'!H130)/100)+103/POWER(1+('CurrentPor-LH=20 unchanged'!D130+'CurrentPor-LH=20 unchanged'!H130)/100,2))*100</f>
        <v>9604.4626392167083</v>
      </c>
      <c r="E130">
        <f>(3/(1+('CurrentPor-LH=20 unchanged'!C130+'CurrentPor-LH=20 unchanged'!I130)/100)+103/POWER(1+('CurrentPor-LH=20 unchanged'!D130+'CurrentPor-LH=20 unchanged'!I130)/100,2))*100</f>
        <v>9580.2357928853471</v>
      </c>
      <c r="F130">
        <f>Portfolio!B$5*'CurrentPor-LH=20 unchanged'!E130</f>
        <v>52143.895533915893</v>
      </c>
      <c r="G130">
        <f>Portfolio!B$6*'CurrentPor-LH=20 unchanged'!F130</f>
        <v>3696.2945087936532</v>
      </c>
      <c r="H130">
        <f>Portfolio!B$7*'CurrentPor-LH=20 unchanged'!J130</f>
        <v>2148.0998964419859</v>
      </c>
      <c r="I130">
        <f t="shared" si="2"/>
        <v>96495.541506930764</v>
      </c>
      <c r="J130">
        <f t="shared" si="3"/>
        <v>22.169647899936535</v>
      </c>
    </row>
    <row r="131" spans="1:10">
      <c r="A131" s="1">
        <v>45652</v>
      </c>
      <c r="B131">
        <f>(3/(1+('CurrentPor-LH=20 unchanged'!C131)/100)+103/POWER(1+('CurrentPor-LH=20 unchanged'!D131)/100,2))*100</f>
        <v>9707.5857774288397</v>
      </c>
      <c r="C131">
        <f>(3/(1+('CurrentPor-LH=20 unchanged'!C131+'CurrentPor-LH=20 unchanged'!G131)/100)+103/POWER(1+('CurrentPor-LH=20 unchanged'!D131+'CurrentPor-LH=20 unchanged'!G131)/100,2))*100</f>
        <v>9614.9673582483465</v>
      </c>
      <c r="D131">
        <f>(3/(1+('CurrentPor-LH=20 unchanged'!C131+'CurrentPor-LH=20 unchanged'!H131)/100)+103/POWER(1+('CurrentPor-LH=20 unchanged'!D131+'CurrentPor-LH=20 unchanged'!H131)/100,2))*100</f>
        <v>9607.1139099875763</v>
      </c>
      <c r="E131">
        <f>(3/(1+('CurrentPor-LH=20 unchanged'!C131+'CurrentPor-LH=20 unchanged'!I131)/100)+103/POWER(1+('CurrentPor-LH=20 unchanged'!D131+'CurrentPor-LH=20 unchanged'!I131)/100,2))*100</f>
        <v>9581.0206695111883</v>
      </c>
      <c r="F131">
        <f>Portfolio!B$5*'CurrentPor-LH=20 unchanged'!E131</f>
        <v>52143.895533915893</v>
      </c>
      <c r="G131">
        <f>Portfolio!B$6*'CurrentPor-LH=20 unchanged'!F131</f>
        <v>3696.2945087936532</v>
      </c>
      <c r="H131">
        <f>Portfolio!B$7*'CurrentPor-LH=20 unchanged'!J131</f>
        <v>2148.0998964419859</v>
      </c>
      <c r="I131">
        <f t="shared" si="2"/>
        <v>96498.977654327478</v>
      </c>
      <c r="J131">
        <f t="shared" si="3"/>
        <v>8.7722507752478123</v>
      </c>
    </row>
    <row r="132" spans="1:10">
      <c r="A132" s="1">
        <v>45653</v>
      </c>
      <c r="B132">
        <f>(3/(1+('CurrentPor-LH=20 unchanged'!C132)/100)+103/POWER(1+('CurrentPor-LH=20 unchanged'!D132)/100,2))*100</f>
        <v>9707.5857774288397</v>
      </c>
      <c r="C132">
        <f>(3/(1+('CurrentPor-LH=20 unchanged'!C132+'CurrentPor-LH=20 unchanged'!G132)/100)+103/POWER(1+('CurrentPor-LH=20 unchanged'!D132+'CurrentPor-LH=20 unchanged'!G132)/100,2))*100</f>
        <v>9614.9673582483465</v>
      </c>
      <c r="D132">
        <f>(3/(1+('CurrentPor-LH=20 unchanged'!C132+'CurrentPor-LH=20 unchanged'!H132)/100)+103/POWER(1+('CurrentPor-LH=20 unchanged'!D132+'CurrentPor-LH=20 unchanged'!H132)/100,2))*100</f>
        <v>9597.3097298767407</v>
      </c>
      <c r="E132">
        <f>(3/(1+('CurrentPor-LH=20 unchanged'!C132+'CurrentPor-LH=20 unchanged'!I132)/100)+103/POWER(1+('CurrentPor-LH=20 unchanged'!D132+'CurrentPor-LH=20 unchanged'!I132)/100,2))*100</f>
        <v>9581.6239856129378</v>
      </c>
      <c r="F132">
        <f>Portfolio!B$5*'CurrentPor-LH=20 unchanged'!E132</f>
        <v>52143.895533915893</v>
      </c>
      <c r="G132">
        <f>Portfolio!B$6*'CurrentPor-LH=20 unchanged'!F132</f>
        <v>3696.2945087936532</v>
      </c>
      <c r="H132">
        <f>Portfolio!B$7*'CurrentPor-LH=20 unchanged'!J132</f>
        <v>2148.0998964419859</v>
      </c>
      <c r="I132">
        <f t="shared" ref="I132:I195" si="4">SUM(B132:H132)</f>
        <v>96489.776790318399</v>
      </c>
      <c r="J132">
        <f t="shared" si="3"/>
        <v>-7.5505335485067917</v>
      </c>
    </row>
    <row r="133" spans="1:10">
      <c r="A133" s="1">
        <v>45656</v>
      </c>
      <c r="B133">
        <f>(3/(1+('CurrentPor-LH=20 unchanged'!C133)/100)+103/POWER(1+('CurrentPor-LH=20 unchanged'!D133)/100,2))*100</f>
        <v>9707.5857774288397</v>
      </c>
      <c r="C133">
        <f>(3/(1+('CurrentPor-LH=20 unchanged'!C133+'CurrentPor-LH=20 unchanged'!G133)/100)+103/POWER(1+('CurrentPor-LH=20 unchanged'!D133+'CurrentPor-LH=20 unchanged'!G133)/100,2))*100</f>
        <v>9614.9673582483465</v>
      </c>
      <c r="D133">
        <f>(3/(1+('CurrentPor-LH=20 unchanged'!C133+'CurrentPor-LH=20 unchanged'!H133)/100)+103/POWER(1+('CurrentPor-LH=20 unchanged'!D133+'CurrentPor-LH=20 unchanged'!H133)/100,2))*100</f>
        <v>9609.6940714917473</v>
      </c>
      <c r="E133">
        <f>(3/(1+('CurrentPor-LH=20 unchanged'!C133+'CurrentPor-LH=20 unchanged'!I133)/100)+103/POWER(1+('CurrentPor-LH=20 unchanged'!D133+'CurrentPor-LH=20 unchanged'!I133)/100,2))*100</f>
        <v>9580.5624811036396</v>
      </c>
      <c r="F133">
        <f>Portfolio!B$5*'CurrentPor-LH=20 unchanged'!E133</f>
        <v>52143.895533915893</v>
      </c>
      <c r="G133">
        <f>Portfolio!B$6*'CurrentPor-LH=20 unchanged'!F133</f>
        <v>3696.2945087936532</v>
      </c>
      <c r="H133">
        <f>Portfolio!B$7*'CurrentPor-LH=20 unchanged'!J133</f>
        <v>2148.0998964419859</v>
      </c>
      <c r="I133">
        <f t="shared" si="4"/>
        <v>96501.099627424104</v>
      </c>
      <c r="J133">
        <f t="shared" si="3"/>
        <v>15.227995555207599</v>
      </c>
    </row>
    <row r="134" spans="1:10">
      <c r="A134" s="1">
        <v>45657</v>
      </c>
      <c r="B134">
        <f>(3/(1+('CurrentPor-LH=20 unchanged'!C134)/100)+103/POWER(1+('CurrentPor-LH=20 unchanged'!D134)/100,2))*100</f>
        <v>9707.5857774288397</v>
      </c>
      <c r="C134">
        <f>(3/(1+('CurrentPor-LH=20 unchanged'!C134+'CurrentPor-LH=20 unchanged'!G134)/100)+103/POWER(1+('CurrentPor-LH=20 unchanged'!D134+'CurrentPor-LH=20 unchanged'!G134)/100,2))*100</f>
        <v>9614.9673582483465</v>
      </c>
      <c r="D134">
        <f>(3/(1+('CurrentPor-LH=20 unchanged'!C134+'CurrentPor-LH=20 unchanged'!H134)/100)+103/POWER(1+('CurrentPor-LH=20 unchanged'!D134+'CurrentPor-LH=20 unchanged'!H134)/100,2))*100</f>
        <v>9602.7745050467329</v>
      </c>
      <c r="E134">
        <f>(3/(1+('CurrentPor-LH=20 unchanged'!C134+'CurrentPor-LH=20 unchanged'!I134)/100)+103/POWER(1+('CurrentPor-LH=20 unchanged'!D134+'CurrentPor-LH=20 unchanged'!I134)/100,2))*100</f>
        <v>9580.7846881736496</v>
      </c>
      <c r="F134">
        <f>Portfolio!B$5*'CurrentPor-LH=20 unchanged'!E134</f>
        <v>52143.895533915893</v>
      </c>
      <c r="G134">
        <f>Portfolio!B$6*'CurrentPor-LH=20 unchanged'!F134</f>
        <v>3696.2945087936532</v>
      </c>
      <c r="H134">
        <f>Portfolio!B$7*'CurrentPor-LH=20 unchanged'!J134</f>
        <v>2148.0998964419859</v>
      </c>
      <c r="I134">
        <f t="shared" si="4"/>
        <v>96494.402268049089</v>
      </c>
      <c r="J134">
        <f t="shared" si="3"/>
        <v>8.938113737734966</v>
      </c>
    </row>
    <row r="135" spans="1:10">
      <c r="A135" s="1">
        <v>45658</v>
      </c>
      <c r="B135">
        <f>(3/(1+('CurrentPor-LH=20 unchanged'!C135)/100)+103/POWER(1+('CurrentPor-LH=20 unchanged'!D135)/100,2))*100</f>
        <v>9707.5857774288397</v>
      </c>
      <c r="C135">
        <f>(3/(1+('CurrentPor-LH=20 unchanged'!C135+'CurrentPor-LH=20 unchanged'!G135)/100)+103/POWER(1+('CurrentPor-LH=20 unchanged'!D135+'CurrentPor-LH=20 unchanged'!G135)/100,2))*100</f>
        <v>9614.9673582483465</v>
      </c>
      <c r="D135">
        <f>(3/(1+('CurrentPor-LH=20 unchanged'!C135+'CurrentPor-LH=20 unchanged'!H135)/100)+103/POWER(1+('CurrentPor-LH=20 unchanged'!D135+'CurrentPor-LH=20 unchanged'!H135)/100,2))*100</f>
        <v>9593.0970046067578</v>
      </c>
      <c r="E135">
        <f>(3/(1+('CurrentPor-LH=20 unchanged'!C135+'CurrentPor-LH=20 unchanged'!I135)/100)+103/POWER(1+('CurrentPor-LH=20 unchanged'!D135+'CurrentPor-LH=20 unchanged'!I135)/100,2))*100</f>
        <v>9579.0066248431594</v>
      </c>
      <c r="F135">
        <f>Portfolio!B$5*'CurrentPor-LH=20 unchanged'!E135</f>
        <v>52143.895533915893</v>
      </c>
      <c r="G135">
        <f>Portfolio!B$6*'CurrentPor-LH=20 unchanged'!F135</f>
        <v>3696.2945087936532</v>
      </c>
      <c r="H135">
        <f>Portfolio!B$7*'CurrentPor-LH=20 unchanged'!J135</f>
        <v>2148.0998964419859</v>
      </c>
      <c r="I135">
        <f t="shared" si="4"/>
        <v>96482.946704278627</v>
      </c>
      <c r="J135">
        <f t="shared" si="3"/>
        <v>0.84013793077610899</v>
      </c>
    </row>
    <row r="136" spans="1:10">
      <c r="A136" s="1">
        <v>45659</v>
      </c>
      <c r="B136">
        <f>(3/(1+('CurrentPor-LH=20 unchanged'!C136)/100)+103/POWER(1+('CurrentPor-LH=20 unchanged'!D136)/100,2))*100</f>
        <v>9707.5857774288397</v>
      </c>
      <c r="C136">
        <f>(3/(1+('CurrentPor-LH=20 unchanged'!C136+'CurrentPor-LH=20 unchanged'!G136)/100)+103/POWER(1+('CurrentPor-LH=20 unchanged'!D136+'CurrentPor-LH=20 unchanged'!G136)/100,2))*100</f>
        <v>9614.9673582483465</v>
      </c>
      <c r="D136">
        <f>(3/(1+('CurrentPor-LH=20 unchanged'!C136+'CurrentPor-LH=20 unchanged'!H136)/100)+103/POWER(1+('CurrentPor-LH=20 unchanged'!D136+'CurrentPor-LH=20 unchanged'!H136)/100,2))*100</f>
        <v>9592.9984301086824</v>
      </c>
      <c r="E136">
        <f>(3/(1+('CurrentPor-LH=20 unchanged'!C136+'CurrentPor-LH=20 unchanged'!I136)/100)+103/POWER(1+('CurrentPor-LH=20 unchanged'!D136+'CurrentPor-LH=20 unchanged'!I136)/100,2))*100</f>
        <v>9580.5486399562433</v>
      </c>
      <c r="F136">
        <f>Portfolio!B$5*'CurrentPor-LH=20 unchanged'!E136</f>
        <v>52143.895533915893</v>
      </c>
      <c r="G136">
        <f>Portfolio!B$6*'CurrentPor-LH=20 unchanged'!F136</f>
        <v>3696.2945087936532</v>
      </c>
      <c r="H136">
        <f>Portfolio!B$7*'CurrentPor-LH=20 unchanged'!J136</f>
        <v>2148.0998964419859</v>
      </c>
      <c r="I136">
        <f t="shared" si="4"/>
        <v>96484.390144893652</v>
      </c>
      <c r="J136">
        <f t="shared" si="3"/>
        <v>1.7166407569020521</v>
      </c>
    </row>
    <row r="137" spans="1:10">
      <c r="A137" s="1">
        <v>45660</v>
      </c>
      <c r="B137">
        <f>(3/(1+('CurrentPor-LH=20 unchanged'!C137)/100)+103/POWER(1+('CurrentPor-LH=20 unchanged'!D137)/100,2))*100</f>
        <v>9707.5857774288397</v>
      </c>
      <c r="C137">
        <f>(3/(1+('CurrentPor-LH=20 unchanged'!C137+'CurrentPor-LH=20 unchanged'!G137)/100)+103/POWER(1+('CurrentPor-LH=20 unchanged'!D137+'CurrentPor-LH=20 unchanged'!G137)/100,2))*100</f>
        <v>9614.9673582483465</v>
      </c>
      <c r="D137">
        <f>(3/(1+('CurrentPor-LH=20 unchanged'!C137+'CurrentPor-LH=20 unchanged'!H137)/100)+103/POWER(1+('CurrentPor-LH=20 unchanged'!D137+'CurrentPor-LH=20 unchanged'!H137)/100,2))*100</f>
        <v>9605.7658854391539</v>
      </c>
      <c r="E137">
        <f>(3/(1+('CurrentPor-LH=20 unchanged'!C137+'CurrentPor-LH=20 unchanged'!I137)/100)+103/POWER(1+('CurrentPor-LH=20 unchanged'!D137+'CurrentPor-LH=20 unchanged'!I137)/100,2))*100</f>
        <v>9582.3509663142595</v>
      </c>
      <c r="F137">
        <f>Portfolio!B$5*'CurrentPor-LH=20 unchanged'!E137</f>
        <v>52143.895533915893</v>
      </c>
      <c r="G137">
        <f>Portfolio!B$6*'CurrentPor-LH=20 unchanged'!F137</f>
        <v>3696.2945087936532</v>
      </c>
      <c r="H137">
        <f>Portfolio!B$7*'CurrentPor-LH=20 unchanged'!J137</f>
        <v>2148.0998964419859</v>
      </c>
      <c r="I137">
        <f t="shared" si="4"/>
        <v>96498.959926582131</v>
      </c>
      <c r="J137">
        <f t="shared" si="3"/>
        <v>3.1310880398668814</v>
      </c>
    </row>
    <row r="138" spans="1:10">
      <c r="A138" s="1">
        <v>45663</v>
      </c>
      <c r="B138">
        <f>(3/(1+('CurrentPor-LH=20 unchanged'!C138)/100)+103/POWER(1+('CurrentPor-LH=20 unchanged'!D138)/100,2))*100</f>
        <v>9707.5857774288397</v>
      </c>
      <c r="C138">
        <f>(3/(1+('CurrentPor-LH=20 unchanged'!C138+'CurrentPor-LH=20 unchanged'!G138)/100)+103/POWER(1+('CurrentPor-LH=20 unchanged'!D138+'CurrentPor-LH=20 unchanged'!G138)/100,2))*100</f>
        <v>9614.9673582483465</v>
      </c>
      <c r="D138">
        <f>(3/(1+('CurrentPor-LH=20 unchanged'!C138+'CurrentPor-LH=20 unchanged'!H138)/100)+103/POWER(1+('CurrentPor-LH=20 unchanged'!D138+'CurrentPor-LH=20 unchanged'!H138)/100,2))*100</f>
        <v>9603.1750789171438</v>
      </c>
      <c r="E138">
        <f>(3/(1+('CurrentPor-LH=20 unchanged'!C138+'CurrentPor-LH=20 unchanged'!I138)/100)+103/POWER(1+('CurrentPor-LH=20 unchanged'!D138+'CurrentPor-LH=20 unchanged'!I138)/100,2))*100</f>
        <v>9580.350510801798</v>
      </c>
      <c r="F138">
        <f>Portfolio!B$5*'CurrentPor-LH=20 unchanged'!E138</f>
        <v>52143.895533915893</v>
      </c>
      <c r="G138">
        <f>Portfolio!B$6*'CurrentPor-LH=20 unchanged'!F138</f>
        <v>3696.2945087936532</v>
      </c>
      <c r="H138">
        <f>Portfolio!B$7*'CurrentPor-LH=20 unchanged'!J138</f>
        <v>2148.0998964419859</v>
      </c>
      <c r="I138">
        <f t="shared" si="4"/>
        <v>96494.36866454767</v>
      </c>
      <c r="J138">
        <f t="shared" si="3"/>
        <v>11.754609533250914</v>
      </c>
    </row>
    <row r="139" spans="1:10">
      <c r="A139" s="1">
        <v>45664</v>
      </c>
      <c r="B139">
        <f>(3/(1+('CurrentPor-LH=20 unchanged'!C139)/100)+103/POWER(1+('CurrentPor-LH=20 unchanged'!D139)/100,2))*100</f>
        <v>9707.5857774288397</v>
      </c>
      <c r="C139">
        <f>(3/(1+('CurrentPor-LH=20 unchanged'!C139+'CurrentPor-LH=20 unchanged'!G139)/100)+103/POWER(1+('CurrentPor-LH=20 unchanged'!D139+'CurrentPor-LH=20 unchanged'!G139)/100,2))*100</f>
        <v>9614.9673582483465</v>
      </c>
      <c r="D139">
        <f>(3/(1+('CurrentPor-LH=20 unchanged'!C139+'CurrentPor-LH=20 unchanged'!H139)/100)+103/POWER(1+('CurrentPor-LH=20 unchanged'!D139+'CurrentPor-LH=20 unchanged'!H139)/100,2))*100</f>
        <v>9592.95319154563</v>
      </c>
      <c r="E139">
        <f>(3/(1+('CurrentPor-LH=20 unchanged'!C139+'CurrentPor-LH=20 unchanged'!I139)/100)+103/POWER(1+('CurrentPor-LH=20 unchanged'!D139+'CurrentPor-LH=20 unchanged'!I139)/100,2))*100</f>
        <v>9580.5443814391328</v>
      </c>
      <c r="F139">
        <f>Portfolio!B$5*'CurrentPor-LH=20 unchanged'!E139</f>
        <v>52143.895533915893</v>
      </c>
      <c r="G139">
        <f>Portfolio!B$6*'CurrentPor-LH=20 unchanged'!F139</f>
        <v>3696.2945087936532</v>
      </c>
      <c r="H139">
        <f>Portfolio!B$7*'CurrentPor-LH=20 unchanged'!J139</f>
        <v>2148.0998964419859</v>
      </c>
      <c r="I139">
        <f t="shared" si="4"/>
        <v>96484.340647813471</v>
      </c>
      <c r="J139">
        <f t="shared" si="3"/>
        <v>-22.267541616820381</v>
      </c>
    </row>
    <row r="140" spans="1:10">
      <c r="A140" s="1">
        <v>45665</v>
      </c>
      <c r="B140">
        <f>(3/(1+('CurrentPor-LH=20 unchanged'!C140)/100)+103/POWER(1+('CurrentPor-LH=20 unchanged'!D140)/100,2))*100</f>
        <v>9707.5857774288397</v>
      </c>
      <c r="C140">
        <f>(3/(1+('CurrentPor-LH=20 unchanged'!C140+'CurrentPor-LH=20 unchanged'!G140)/100)+103/POWER(1+('CurrentPor-LH=20 unchanged'!D140+'CurrentPor-LH=20 unchanged'!G140)/100,2))*100</f>
        <v>9614.9673582483465</v>
      </c>
      <c r="D140">
        <f>(3/(1+('CurrentPor-LH=20 unchanged'!C140+'CurrentPor-LH=20 unchanged'!H140)/100)+103/POWER(1+('CurrentPor-LH=20 unchanged'!D140+'CurrentPor-LH=20 unchanged'!H140)/100,2))*100</f>
        <v>9590.5436465270923</v>
      </c>
      <c r="E140">
        <f>(3/(1+('CurrentPor-LH=20 unchanged'!C140+'CurrentPor-LH=20 unchanged'!I140)/100)+103/POWER(1+('CurrentPor-LH=20 unchanged'!D140+'CurrentPor-LH=20 unchanged'!I140)/100,2))*100</f>
        <v>9580.7789557144333</v>
      </c>
      <c r="F140">
        <f>Portfolio!B$5*'CurrentPor-LH=20 unchanged'!E140</f>
        <v>52143.895533915893</v>
      </c>
      <c r="G140">
        <f>Portfolio!B$6*'CurrentPor-LH=20 unchanged'!F140</f>
        <v>3696.2945087936532</v>
      </c>
      <c r="H140">
        <f>Portfolio!B$7*'CurrentPor-LH=20 unchanged'!J140</f>
        <v>2148.0998964419859</v>
      </c>
      <c r="I140">
        <f t="shared" si="4"/>
        <v>96482.165677070254</v>
      </c>
      <c r="J140">
        <f t="shared" si="3"/>
        <v>-13.375829860509839</v>
      </c>
    </row>
    <row r="141" spans="1:10">
      <c r="A141" s="1">
        <v>45666</v>
      </c>
      <c r="B141">
        <f>(3/(1+('CurrentPor-LH=20 unchanged'!C141)/100)+103/POWER(1+('CurrentPor-LH=20 unchanged'!D141)/100,2))*100</f>
        <v>9707.5857774288397</v>
      </c>
      <c r="C141">
        <f>(3/(1+('CurrentPor-LH=20 unchanged'!C141+'CurrentPor-LH=20 unchanged'!G141)/100)+103/POWER(1+('CurrentPor-LH=20 unchanged'!D141+'CurrentPor-LH=20 unchanged'!G141)/100,2))*100</f>
        <v>9614.9673582483465</v>
      </c>
      <c r="D141">
        <f>(3/(1+('CurrentPor-LH=20 unchanged'!C141+'CurrentPor-LH=20 unchanged'!H141)/100)+103/POWER(1+('CurrentPor-LH=20 unchanged'!D141+'CurrentPor-LH=20 unchanged'!H141)/100,2))*100</f>
        <v>9597.9619523323472</v>
      </c>
      <c r="E141">
        <f>(3/(1+('CurrentPor-LH=20 unchanged'!C141+'CurrentPor-LH=20 unchanged'!I141)/100)+103/POWER(1+('CurrentPor-LH=20 unchanged'!D141+'CurrentPor-LH=20 unchanged'!I141)/100,2))*100</f>
        <v>9580.8863347847309</v>
      </c>
      <c r="F141">
        <f>Portfolio!B$5*'CurrentPor-LH=20 unchanged'!E141</f>
        <v>52143.895533915893</v>
      </c>
      <c r="G141">
        <f>Portfolio!B$6*'CurrentPor-LH=20 unchanged'!F141</f>
        <v>3696.2945087936532</v>
      </c>
      <c r="H141">
        <f>Portfolio!B$7*'CurrentPor-LH=20 unchanged'!J141</f>
        <v>2148.0998964419859</v>
      </c>
      <c r="I141">
        <f t="shared" si="4"/>
        <v>96489.691361945792</v>
      </c>
      <c r="J141">
        <f t="shared" si="3"/>
        <v>-9.2862923816865077</v>
      </c>
    </row>
    <row r="142" spans="1:10">
      <c r="A142" s="1">
        <v>45667</v>
      </c>
      <c r="B142">
        <f>(3/(1+('CurrentPor-LH=20 unchanged'!C142)/100)+103/POWER(1+('CurrentPor-LH=20 unchanged'!D142)/100,2))*100</f>
        <v>9707.5857774288397</v>
      </c>
      <c r="C142">
        <f>(3/(1+('CurrentPor-LH=20 unchanged'!C142+'CurrentPor-LH=20 unchanged'!G142)/100)+103/POWER(1+('CurrentPor-LH=20 unchanged'!D142+'CurrentPor-LH=20 unchanged'!G142)/100,2))*100</f>
        <v>9614.9673582483465</v>
      </c>
      <c r="D142">
        <f>(3/(1+('CurrentPor-LH=20 unchanged'!C142+'CurrentPor-LH=20 unchanged'!H142)/100)+103/POWER(1+('CurrentPor-LH=20 unchanged'!D142+'CurrentPor-LH=20 unchanged'!H142)/100,2))*100</f>
        <v>9601.8037275358856</v>
      </c>
      <c r="E142">
        <f>(3/(1+('CurrentPor-LH=20 unchanged'!C142+'CurrentPor-LH=20 unchanged'!I142)/100)+103/POWER(1+('CurrentPor-LH=20 unchanged'!D142+'CurrentPor-LH=20 unchanged'!I142)/100,2))*100</f>
        <v>9580.5194339819845</v>
      </c>
      <c r="F142">
        <f>Portfolio!B$5*'CurrentPor-LH=20 unchanged'!E142</f>
        <v>52143.895533915893</v>
      </c>
      <c r="G142">
        <f>Portfolio!B$6*'CurrentPor-LH=20 unchanged'!F142</f>
        <v>3696.2945087936532</v>
      </c>
      <c r="H142">
        <f>Portfolio!B$7*'CurrentPor-LH=20 unchanged'!J142</f>
        <v>2148.0998964419859</v>
      </c>
      <c r="I142">
        <f t="shared" si="4"/>
        <v>96493.166236346588</v>
      </c>
      <c r="J142">
        <f t="shared" ref="J142:J205" si="5">I142-I132</f>
        <v>3.3894460281881038</v>
      </c>
    </row>
    <row r="143" spans="1:10">
      <c r="A143" s="1">
        <v>45670</v>
      </c>
      <c r="B143">
        <f>(3/(1+('CurrentPor-LH=20 unchanged'!C143)/100)+103/POWER(1+('CurrentPor-LH=20 unchanged'!D143)/100,2))*100</f>
        <v>9707.5857774288397</v>
      </c>
      <c r="C143">
        <f>(3/(1+('CurrentPor-LH=20 unchanged'!C143+'CurrentPor-LH=20 unchanged'!G143)/100)+103/POWER(1+('CurrentPor-LH=20 unchanged'!D143+'CurrentPor-LH=20 unchanged'!G143)/100,2))*100</f>
        <v>9614.9673582483465</v>
      </c>
      <c r="D143">
        <f>(3/(1+('CurrentPor-LH=20 unchanged'!C143+'CurrentPor-LH=20 unchanged'!H143)/100)+103/POWER(1+('CurrentPor-LH=20 unchanged'!D143+'CurrentPor-LH=20 unchanged'!H143)/100,2))*100</f>
        <v>9592.9156680648466</v>
      </c>
      <c r="E143">
        <f>(3/(1+('CurrentPor-LH=20 unchanged'!C143+'CurrentPor-LH=20 unchanged'!I143)/100)+103/POWER(1+('CurrentPor-LH=20 unchanged'!D143+'CurrentPor-LH=20 unchanged'!I143)/100,2))*100</f>
        <v>9579.877774571909</v>
      </c>
      <c r="F143">
        <f>Portfolio!B$5*'CurrentPor-LH=20 unchanged'!E143</f>
        <v>52143.895533915893</v>
      </c>
      <c r="G143">
        <f>Portfolio!B$6*'CurrentPor-LH=20 unchanged'!F143</f>
        <v>3696.2945087936532</v>
      </c>
      <c r="H143">
        <f>Portfolio!B$7*'CurrentPor-LH=20 unchanged'!J143</f>
        <v>2148.0998964419859</v>
      </c>
      <c r="I143">
        <f t="shared" si="4"/>
        <v>96483.636517465478</v>
      </c>
      <c r="J143">
        <f t="shared" si="5"/>
        <v>-17.463109958625864</v>
      </c>
    </row>
    <row r="144" spans="1:10">
      <c r="A144" s="1">
        <v>45671</v>
      </c>
      <c r="B144">
        <f>(3/(1+('CurrentPor-LH=20 unchanged'!C144)/100)+103/POWER(1+('CurrentPor-LH=20 unchanged'!D144)/100,2))*100</f>
        <v>9707.5857774288397</v>
      </c>
      <c r="C144">
        <f>(3/(1+('CurrentPor-LH=20 unchanged'!C144+'CurrentPor-LH=20 unchanged'!G144)/100)+103/POWER(1+('CurrentPor-LH=20 unchanged'!D144+'CurrentPor-LH=20 unchanged'!G144)/100,2))*100</f>
        <v>9614.9673582483465</v>
      </c>
      <c r="D144">
        <f>(3/(1+('CurrentPor-LH=20 unchanged'!C144+'CurrentPor-LH=20 unchanged'!H144)/100)+103/POWER(1+('CurrentPor-LH=20 unchanged'!D144+'CurrentPor-LH=20 unchanged'!H144)/100,2))*100</f>
        <v>9592.8315612080532</v>
      </c>
      <c r="E144">
        <f>(3/(1+('CurrentPor-LH=20 unchanged'!C144+'CurrentPor-LH=20 unchanged'!I144)/100)+103/POWER(1+('CurrentPor-LH=20 unchanged'!D144+'CurrentPor-LH=20 unchanged'!I144)/100,2))*100</f>
        <v>9582.0966967007425</v>
      </c>
      <c r="F144">
        <f>Portfolio!B$5*'CurrentPor-LH=20 unchanged'!E144</f>
        <v>52143.895533915893</v>
      </c>
      <c r="G144">
        <f>Portfolio!B$6*'CurrentPor-LH=20 unchanged'!F144</f>
        <v>3696.2945087936532</v>
      </c>
      <c r="H144">
        <f>Portfolio!B$7*'CurrentPor-LH=20 unchanged'!J144</f>
        <v>2148.0998964419859</v>
      </c>
      <c r="I144">
        <f t="shared" si="4"/>
        <v>96485.77133273751</v>
      </c>
      <c r="J144">
        <f t="shared" si="5"/>
        <v>-8.6309353115793783</v>
      </c>
    </row>
    <row r="145" spans="1:10">
      <c r="A145" s="1">
        <v>45672</v>
      </c>
      <c r="B145">
        <f>(3/(1+('CurrentPor-LH=20 unchanged'!C145)/100)+103/POWER(1+('CurrentPor-LH=20 unchanged'!D145)/100,2))*100</f>
        <v>9707.5857774288397</v>
      </c>
      <c r="C145">
        <f>(3/(1+('CurrentPor-LH=20 unchanged'!C145+'CurrentPor-LH=20 unchanged'!G145)/100)+103/POWER(1+('CurrentPor-LH=20 unchanged'!D145+'CurrentPor-LH=20 unchanged'!G145)/100,2))*100</f>
        <v>9614.9673582483465</v>
      </c>
      <c r="D145">
        <f>(3/(1+('CurrentPor-LH=20 unchanged'!C145+'CurrentPor-LH=20 unchanged'!H145)/100)+103/POWER(1+('CurrentPor-LH=20 unchanged'!D145+'CurrentPor-LH=20 unchanged'!H145)/100,2))*100</f>
        <v>9595.5621573486842</v>
      </c>
      <c r="E145">
        <f>(3/(1+('CurrentPor-LH=20 unchanged'!C145+'CurrentPor-LH=20 unchanged'!I145)/100)+103/POWER(1+('CurrentPor-LH=20 unchanged'!D145+'CurrentPor-LH=20 unchanged'!I145)/100,2))*100</f>
        <v>9580.3370446961108</v>
      </c>
      <c r="F145">
        <f>Portfolio!B$5*'CurrentPor-LH=20 unchanged'!E145</f>
        <v>52143.895533915893</v>
      </c>
      <c r="G145">
        <f>Portfolio!B$6*'CurrentPor-LH=20 unchanged'!F145</f>
        <v>3696.2945087936532</v>
      </c>
      <c r="H145">
        <f>Portfolio!B$7*'CurrentPor-LH=20 unchanged'!J145</f>
        <v>2148.0998964419859</v>
      </c>
      <c r="I145">
        <f t="shared" si="4"/>
        <v>96486.742276873512</v>
      </c>
      <c r="J145">
        <f t="shared" si="5"/>
        <v>3.7955725948850159</v>
      </c>
    </row>
    <row r="146" spans="1:10">
      <c r="A146" s="1">
        <v>45673</v>
      </c>
      <c r="B146">
        <f>(3/(1+('CurrentPor-LH=20 unchanged'!C146)/100)+103/POWER(1+('CurrentPor-LH=20 unchanged'!D146)/100,2))*100</f>
        <v>9707.5857774288397</v>
      </c>
      <c r="C146">
        <f>(3/(1+('CurrentPor-LH=20 unchanged'!C146+'CurrentPor-LH=20 unchanged'!G146)/100)+103/POWER(1+('CurrentPor-LH=20 unchanged'!D146+'CurrentPor-LH=20 unchanged'!G146)/100,2))*100</f>
        <v>9614.9673582483465</v>
      </c>
      <c r="D146">
        <f>(3/(1+('CurrentPor-LH=20 unchanged'!C146+'CurrentPor-LH=20 unchanged'!H146)/100)+103/POWER(1+('CurrentPor-LH=20 unchanged'!D146+'CurrentPor-LH=20 unchanged'!H146)/100,2))*100</f>
        <v>9596.7480418199193</v>
      </c>
      <c r="E146">
        <f>(3/(1+('CurrentPor-LH=20 unchanged'!C146+'CurrentPor-LH=20 unchanged'!I146)/100)+103/POWER(1+('CurrentPor-LH=20 unchanged'!D146+'CurrentPor-LH=20 unchanged'!I146)/100,2))*100</f>
        <v>9579.2296827444679</v>
      </c>
      <c r="F146">
        <f>Portfolio!B$5*'CurrentPor-LH=20 unchanged'!E146</f>
        <v>52143.895533915893</v>
      </c>
      <c r="G146">
        <f>Portfolio!B$6*'CurrentPor-LH=20 unchanged'!F146</f>
        <v>3696.2945087936532</v>
      </c>
      <c r="H146">
        <f>Portfolio!B$7*'CurrentPor-LH=20 unchanged'!J146</f>
        <v>2148.0998964419859</v>
      </c>
      <c r="I146">
        <f t="shared" si="4"/>
        <v>96486.820799393099</v>
      </c>
      <c r="J146">
        <f t="shared" si="5"/>
        <v>2.4306544994469732</v>
      </c>
    </row>
    <row r="147" spans="1:10">
      <c r="A147" s="1">
        <v>45674</v>
      </c>
      <c r="B147">
        <f>(3/(1+('CurrentPor-LH=20 unchanged'!C147)/100)+103/POWER(1+('CurrentPor-LH=20 unchanged'!D147)/100,2))*100</f>
        <v>9707.5857774288397</v>
      </c>
      <c r="C147">
        <f>(3/(1+('CurrentPor-LH=20 unchanged'!C147+'CurrentPor-LH=20 unchanged'!G147)/100)+103/POWER(1+('CurrentPor-LH=20 unchanged'!D147+'CurrentPor-LH=20 unchanged'!G147)/100,2))*100</f>
        <v>9614.9673582483465</v>
      </c>
      <c r="D147">
        <f>(3/(1+('CurrentPor-LH=20 unchanged'!C147+'CurrentPor-LH=20 unchanged'!H147)/100)+103/POWER(1+('CurrentPor-LH=20 unchanged'!D147+'CurrentPor-LH=20 unchanged'!H147)/100,2))*100</f>
        <v>9598.2428418131494</v>
      </c>
      <c r="E147">
        <f>(3/(1+('CurrentPor-LH=20 unchanged'!C147+'CurrentPor-LH=20 unchanged'!I147)/100)+103/POWER(1+('CurrentPor-LH=20 unchanged'!D147+'CurrentPor-LH=20 unchanged'!I147)/100,2))*100</f>
        <v>9580.8636626406133</v>
      </c>
      <c r="F147">
        <f>Portfolio!B$5*'CurrentPor-LH=20 unchanged'!E147</f>
        <v>52143.895533915893</v>
      </c>
      <c r="G147">
        <f>Portfolio!B$6*'CurrentPor-LH=20 unchanged'!F147</f>
        <v>3696.2945087936532</v>
      </c>
      <c r="H147">
        <f>Portfolio!B$7*'CurrentPor-LH=20 unchanged'!J147</f>
        <v>2148.0998964419859</v>
      </c>
      <c r="I147">
        <f t="shared" si="4"/>
        <v>96489.949579282475</v>
      </c>
      <c r="J147">
        <f t="shared" si="5"/>
        <v>-9.0103472996561322</v>
      </c>
    </row>
    <row r="148" spans="1:10">
      <c r="A148" s="1">
        <v>45677</v>
      </c>
      <c r="B148">
        <f>(3/(1+('CurrentPor-LH=20 unchanged'!C148)/100)+103/POWER(1+('CurrentPor-LH=20 unchanged'!D148)/100,2))*100</f>
        <v>9707.5857774288397</v>
      </c>
      <c r="C148">
        <f>(3/(1+('CurrentPor-LH=20 unchanged'!C148+'CurrentPor-LH=20 unchanged'!G148)/100)+103/POWER(1+('CurrentPor-LH=20 unchanged'!D148+'CurrentPor-LH=20 unchanged'!G148)/100,2))*100</f>
        <v>9614.9673582483465</v>
      </c>
      <c r="D148">
        <f>(3/(1+('CurrentPor-LH=20 unchanged'!C148+'CurrentPor-LH=20 unchanged'!H148)/100)+103/POWER(1+('CurrentPor-LH=20 unchanged'!D148+'CurrentPor-LH=20 unchanged'!H148)/100,2))*100</f>
        <v>9579.7448049340383</v>
      </c>
      <c r="E148">
        <f>(3/(1+('CurrentPor-LH=20 unchanged'!C148+'CurrentPor-LH=20 unchanged'!I148)/100)+103/POWER(1+('CurrentPor-LH=20 unchanged'!D148+'CurrentPor-LH=20 unchanged'!I148)/100,2))*100</f>
        <v>9582.8736337425289</v>
      </c>
      <c r="F148">
        <f>Portfolio!B$5*'CurrentPor-LH=20 unchanged'!E148</f>
        <v>52143.895533915893</v>
      </c>
      <c r="G148">
        <f>Portfolio!B$6*'CurrentPor-LH=20 unchanged'!F148</f>
        <v>3696.2945087936532</v>
      </c>
      <c r="H148">
        <f>Portfolio!B$7*'CurrentPor-LH=20 unchanged'!J148</f>
        <v>2148.0998964419859</v>
      </c>
      <c r="I148">
        <f t="shared" si="4"/>
        <v>96473.461513505274</v>
      </c>
      <c r="J148">
        <f t="shared" si="5"/>
        <v>-20.907151042396436</v>
      </c>
    </row>
    <row r="149" spans="1:10">
      <c r="A149" s="1">
        <v>45678</v>
      </c>
      <c r="B149">
        <f>(3/(1+('CurrentPor-LH=20 unchanged'!C149)/100)+103/POWER(1+('CurrentPor-LH=20 unchanged'!D149)/100,2))*100</f>
        <v>9707.5857774288397</v>
      </c>
      <c r="C149">
        <f>(3/(1+('CurrentPor-LH=20 unchanged'!C149+'CurrentPor-LH=20 unchanged'!G149)/100)+103/POWER(1+('CurrentPor-LH=20 unchanged'!D149+'CurrentPor-LH=20 unchanged'!G149)/100,2))*100</f>
        <v>9614.9673582483465</v>
      </c>
      <c r="D149">
        <f>(3/(1+('CurrentPor-LH=20 unchanged'!C149+'CurrentPor-LH=20 unchanged'!H149)/100)+103/POWER(1+('CurrentPor-LH=20 unchanged'!D149+'CurrentPor-LH=20 unchanged'!H149)/100,2))*100</f>
        <v>9606.2032974685899</v>
      </c>
      <c r="E149">
        <f>(3/(1+('CurrentPor-LH=20 unchanged'!C149+'CurrentPor-LH=20 unchanged'!I149)/100)+103/POWER(1+('CurrentPor-LH=20 unchanged'!D149+'CurrentPor-LH=20 unchanged'!I149)/100,2))*100</f>
        <v>9581.1893794536463</v>
      </c>
      <c r="F149">
        <f>Portfolio!B$5*'CurrentPor-LH=20 unchanged'!E149</f>
        <v>52143.895533915893</v>
      </c>
      <c r="G149">
        <f>Portfolio!B$6*'CurrentPor-LH=20 unchanged'!F149</f>
        <v>3696.2945087936532</v>
      </c>
      <c r="H149">
        <f>Portfolio!B$7*'CurrentPor-LH=20 unchanged'!J149</f>
        <v>2148.0998964419859</v>
      </c>
      <c r="I149">
        <f t="shared" si="4"/>
        <v>96498.235751750952</v>
      </c>
      <c r="J149">
        <f t="shared" si="5"/>
        <v>13.895103937480599</v>
      </c>
    </row>
    <row r="150" spans="1:10">
      <c r="A150" s="1">
        <v>45679</v>
      </c>
      <c r="B150">
        <f>(3/(1+('CurrentPor-LH=20 unchanged'!C150)/100)+103/POWER(1+('CurrentPor-LH=20 unchanged'!D150)/100,2))*100</f>
        <v>9707.5857774288397</v>
      </c>
      <c r="C150">
        <f>(3/(1+('CurrentPor-LH=20 unchanged'!C150+'CurrentPor-LH=20 unchanged'!G150)/100)+103/POWER(1+('CurrentPor-LH=20 unchanged'!D150+'CurrentPor-LH=20 unchanged'!G150)/100,2))*100</f>
        <v>9614.9673582483465</v>
      </c>
      <c r="D150">
        <f>(3/(1+('CurrentPor-LH=20 unchanged'!C150+'CurrentPor-LH=20 unchanged'!H150)/100)+103/POWER(1+('CurrentPor-LH=20 unchanged'!D150+'CurrentPor-LH=20 unchanged'!H150)/100,2))*100</f>
        <v>9600.6024648327857</v>
      </c>
      <c r="E150">
        <f>(3/(1+('CurrentPor-LH=20 unchanged'!C150+'CurrentPor-LH=20 unchanged'!I150)/100)+103/POWER(1+('CurrentPor-LH=20 unchanged'!D150+'CurrentPor-LH=20 unchanged'!I150)/100,2))*100</f>
        <v>9580.279882083827</v>
      </c>
      <c r="F150">
        <f>Portfolio!B$5*'CurrentPor-LH=20 unchanged'!E150</f>
        <v>52143.895533915893</v>
      </c>
      <c r="G150">
        <f>Portfolio!B$6*'CurrentPor-LH=20 unchanged'!F150</f>
        <v>3696.2945087936532</v>
      </c>
      <c r="H150">
        <f>Portfolio!B$7*'CurrentPor-LH=20 unchanged'!J150</f>
        <v>2148.0998964419859</v>
      </c>
      <c r="I150">
        <f t="shared" si="4"/>
        <v>96491.72542174533</v>
      </c>
      <c r="J150">
        <f t="shared" si="5"/>
        <v>9.5597446750762174</v>
      </c>
    </row>
    <row r="151" spans="1:10">
      <c r="A151" s="1">
        <v>45680</v>
      </c>
      <c r="B151">
        <f>(3/(1+('CurrentPor-LH=20 unchanged'!C151)/100)+103/POWER(1+('CurrentPor-LH=20 unchanged'!D151)/100,2))*100</f>
        <v>9707.5857774288397</v>
      </c>
      <c r="C151">
        <f>(3/(1+('CurrentPor-LH=20 unchanged'!C151+'CurrentPor-LH=20 unchanged'!G151)/100)+103/POWER(1+('CurrentPor-LH=20 unchanged'!D151+'CurrentPor-LH=20 unchanged'!G151)/100,2))*100</f>
        <v>9614.9673582483465</v>
      </c>
      <c r="D151">
        <f>(3/(1+('CurrentPor-LH=20 unchanged'!C151+'CurrentPor-LH=20 unchanged'!H151)/100)+103/POWER(1+('CurrentPor-LH=20 unchanged'!D151+'CurrentPor-LH=20 unchanged'!H151)/100,2))*100</f>
        <v>9603.5700485732868</v>
      </c>
      <c r="E151">
        <f>(3/(1+('CurrentPor-LH=20 unchanged'!C151+'CurrentPor-LH=20 unchanged'!I151)/100)+103/POWER(1+('CurrentPor-LH=20 unchanged'!D151+'CurrentPor-LH=20 unchanged'!I151)/100,2))*100</f>
        <v>9580.2644455527661</v>
      </c>
      <c r="F151">
        <f>Portfolio!B$5*'CurrentPor-LH=20 unchanged'!E151</f>
        <v>52143.895533915893</v>
      </c>
      <c r="G151">
        <f>Portfolio!B$6*'CurrentPor-LH=20 unchanged'!F151</f>
        <v>3696.2945087936532</v>
      </c>
      <c r="H151">
        <f>Portfolio!B$7*'CurrentPor-LH=20 unchanged'!J151</f>
        <v>2148.0998964419859</v>
      </c>
      <c r="I151">
        <f t="shared" si="4"/>
        <v>96494.677568954779</v>
      </c>
      <c r="J151">
        <f t="shared" si="5"/>
        <v>4.9862070089875488</v>
      </c>
    </row>
    <row r="152" spans="1:10">
      <c r="A152" s="1">
        <v>45681</v>
      </c>
      <c r="B152">
        <f>(3/(1+('CurrentPor-LH=20 unchanged'!C152)/100)+103/POWER(1+('CurrentPor-LH=20 unchanged'!D152)/100,2))*100</f>
        <v>9707.5857774288397</v>
      </c>
      <c r="C152">
        <f>(3/(1+('CurrentPor-LH=20 unchanged'!C152+'CurrentPor-LH=20 unchanged'!G152)/100)+103/POWER(1+('CurrentPor-LH=20 unchanged'!D152+'CurrentPor-LH=20 unchanged'!G152)/100,2))*100</f>
        <v>9614.9673582483465</v>
      </c>
      <c r="D152">
        <f>(3/(1+('CurrentPor-LH=20 unchanged'!C152+'CurrentPor-LH=20 unchanged'!H152)/100)+103/POWER(1+('CurrentPor-LH=20 unchanged'!D152+'CurrentPor-LH=20 unchanged'!H152)/100,2))*100</f>
        <v>9597.6154154921751</v>
      </c>
      <c r="E152">
        <f>(3/(1+('CurrentPor-LH=20 unchanged'!C152+'CurrentPor-LH=20 unchanged'!I152)/100)+103/POWER(1+('CurrentPor-LH=20 unchanged'!D152+'CurrentPor-LH=20 unchanged'!I152)/100,2))*100</f>
        <v>9580.2220280971069</v>
      </c>
      <c r="F152">
        <f>Portfolio!B$5*'CurrentPor-LH=20 unchanged'!E152</f>
        <v>52143.895533915893</v>
      </c>
      <c r="G152">
        <f>Portfolio!B$6*'CurrentPor-LH=20 unchanged'!F152</f>
        <v>3696.2945087936532</v>
      </c>
      <c r="H152">
        <f>Portfolio!B$7*'CurrentPor-LH=20 unchanged'!J152</f>
        <v>2148.0998964419859</v>
      </c>
      <c r="I152">
        <f t="shared" si="4"/>
        <v>96488.680518417998</v>
      </c>
      <c r="J152">
        <f t="shared" si="5"/>
        <v>-4.4857179285900202</v>
      </c>
    </row>
    <row r="153" spans="1:10">
      <c r="A153" s="1">
        <v>45684</v>
      </c>
      <c r="B153">
        <f>(3/(1+('CurrentPor-LH=20 unchanged'!C153)/100)+103/POWER(1+('CurrentPor-LH=20 unchanged'!D153)/100,2))*100</f>
        <v>9707.5857774288397</v>
      </c>
      <c r="C153">
        <f>(3/(1+('CurrentPor-LH=20 unchanged'!C153+'CurrentPor-LH=20 unchanged'!G153)/100)+103/POWER(1+('CurrentPor-LH=20 unchanged'!D153+'CurrentPor-LH=20 unchanged'!G153)/100,2))*100</f>
        <v>9614.9673582483465</v>
      </c>
      <c r="D153">
        <f>(3/(1+('CurrentPor-LH=20 unchanged'!C153+'CurrentPor-LH=20 unchanged'!H153)/100)+103/POWER(1+('CurrentPor-LH=20 unchanged'!D153+'CurrentPor-LH=20 unchanged'!H153)/100,2))*100</f>
        <v>9585.6662410424724</v>
      </c>
      <c r="E153">
        <f>(3/(1+('CurrentPor-LH=20 unchanged'!C153+'CurrentPor-LH=20 unchanged'!I153)/100)+103/POWER(1+('CurrentPor-LH=20 unchanged'!D153+'CurrentPor-LH=20 unchanged'!I153)/100,2))*100</f>
        <v>9580.9362831777344</v>
      </c>
      <c r="F153">
        <f>Portfolio!B$5*'CurrentPor-LH=20 unchanged'!E153</f>
        <v>52143.895533915893</v>
      </c>
      <c r="G153">
        <f>Portfolio!B$6*'CurrentPor-LH=20 unchanged'!F153</f>
        <v>3696.2945087936532</v>
      </c>
      <c r="H153">
        <f>Portfolio!B$7*'CurrentPor-LH=20 unchanged'!J153</f>
        <v>2148.0998964419859</v>
      </c>
      <c r="I153">
        <f t="shared" si="4"/>
        <v>96477.445599048922</v>
      </c>
      <c r="J153">
        <f t="shared" si="5"/>
        <v>-6.1909184165560873</v>
      </c>
    </row>
    <row r="154" spans="1:10">
      <c r="A154" s="1">
        <v>45685</v>
      </c>
      <c r="B154">
        <f>(3/(1+('CurrentPor-LH=20 unchanged'!C154)/100)+103/POWER(1+('CurrentPor-LH=20 unchanged'!D154)/100,2))*100</f>
        <v>9707.5857774288397</v>
      </c>
      <c r="C154">
        <f>(3/(1+('CurrentPor-LH=20 unchanged'!C154+'CurrentPor-LH=20 unchanged'!G154)/100)+103/POWER(1+('CurrentPor-LH=20 unchanged'!D154+'CurrentPor-LH=20 unchanged'!G154)/100,2))*100</f>
        <v>9614.9673582483465</v>
      </c>
      <c r="D154">
        <f>(3/(1+('CurrentPor-LH=20 unchanged'!C154+'CurrentPor-LH=20 unchanged'!H154)/100)+103/POWER(1+('CurrentPor-LH=20 unchanged'!D154+'CurrentPor-LH=20 unchanged'!H154)/100,2))*100</f>
        <v>9597.1922474597613</v>
      </c>
      <c r="E154">
        <f>(3/(1+('CurrentPor-LH=20 unchanged'!C154+'CurrentPor-LH=20 unchanged'!I154)/100)+103/POWER(1+('CurrentPor-LH=20 unchanged'!D154+'CurrentPor-LH=20 unchanged'!I154)/100,2))*100</f>
        <v>9580.1188291312865</v>
      </c>
      <c r="F154">
        <f>Portfolio!B$5*'CurrentPor-LH=20 unchanged'!E154</f>
        <v>52143.895533915893</v>
      </c>
      <c r="G154">
        <f>Portfolio!B$6*'CurrentPor-LH=20 unchanged'!F154</f>
        <v>3696.2945087936532</v>
      </c>
      <c r="H154">
        <f>Portfolio!B$7*'CurrentPor-LH=20 unchanged'!J154</f>
        <v>2148.0998964419859</v>
      </c>
      <c r="I154">
        <f t="shared" si="4"/>
        <v>96488.154151419774</v>
      </c>
      <c r="J154">
        <f t="shared" si="5"/>
        <v>2.3828186822647694</v>
      </c>
    </row>
    <row r="155" spans="1:10">
      <c r="A155" s="1">
        <v>45686</v>
      </c>
      <c r="B155">
        <f>(3/(1+('CurrentPor-LH=20 unchanged'!C155)/100)+103/POWER(1+('CurrentPor-LH=20 unchanged'!D155)/100,2))*100</f>
        <v>9707.5857774288397</v>
      </c>
      <c r="C155">
        <f>(3/(1+('CurrentPor-LH=20 unchanged'!C155+'CurrentPor-LH=20 unchanged'!G155)/100)+103/POWER(1+('CurrentPor-LH=20 unchanged'!D155+'CurrentPor-LH=20 unchanged'!G155)/100,2))*100</f>
        <v>9614.9673582483465</v>
      </c>
      <c r="D155">
        <f>(3/(1+('CurrentPor-LH=20 unchanged'!C155+'CurrentPor-LH=20 unchanged'!H155)/100)+103/POWER(1+('CurrentPor-LH=20 unchanged'!D155+'CurrentPor-LH=20 unchanged'!H155)/100,2))*100</f>
        <v>9583.1501190318959</v>
      </c>
      <c r="E155">
        <f>(3/(1+('CurrentPor-LH=20 unchanged'!C155+'CurrentPor-LH=20 unchanged'!I155)/100)+103/POWER(1+('CurrentPor-LH=20 unchanged'!D155+'CurrentPor-LH=20 unchanged'!I155)/100,2))*100</f>
        <v>9579.6893977633081</v>
      </c>
      <c r="F155">
        <f>Portfolio!B$5*'CurrentPor-LH=20 unchanged'!E155</f>
        <v>52143.895533915893</v>
      </c>
      <c r="G155">
        <f>Portfolio!B$6*'CurrentPor-LH=20 unchanged'!F155</f>
        <v>3696.2945087936532</v>
      </c>
      <c r="H155">
        <f>Portfolio!B$7*'CurrentPor-LH=20 unchanged'!J155</f>
        <v>2148.0998964419859</v>
      </c>
      <c r="I155">
        <f t="shared" si="4"/>
        <v>96473.682591623932</v>
      </c>
      <c r="J155">
        <f t="shared" si="5"/>
        <v>-13.05968524958007</v>
      </c>
    </row>
    <row r="156" spans="1:10">
      <c r="A156" s="1">
        <v>45687</v>
      </c>
      <c r="B156">
        <f>(3/(1+('CurrentPor-LH=20 unchanged'!C156)/100)+103/POWER(1+('CurrentPor-LH=20 unchanged'!D156)/100,2))*100</f>
        <v>9707.5857774288397</v>
      </c>
      <c r="C156">
        <f>(3/(1+('CurrentPor-LH=20 unchanged'!C156+'CurrentPor-LH=20 unchanged'!G156)/100)+103/POWER(1+('CurrentPor-LH=20 unchanged'!D156+'CurrentPor-LH=20 unchanged'!G156)/100,2))*100</f>
        <v>9614.9673582483465</v>
      </c>
      <c r="D156">
        <f>(3/(1+('CurrentPor-LH=20 unchanged'!C156+'CurrentPor-LH=20 unchanged'!H156)/100)+103/POWER(1+('CurrentPor-LH=20 unchanged'!D156+'CurrentPor-LH=20 unchanged'!H156)/100,2))*100</f>
        <v>9591.4492405190867</v>
      </c>
      <c r="E156">
        <f>(3/(1+('CurrentPor-LH=20 unchanged'!C156+'CurrentPor-LH=20 unchanged'!I156)/100)+103/POWER(1+('CurrentPor-LH=20 unchanged'!D156+'CurrentPor-LH=20 unchanged'!I156)/100,2))*100</f>
        <v>9580.5566226277369</v>
      </c>
      <c r="F156">
        <f>Portfolio!B$5*'CurrentPor-LH=20 unchanged'!E156</f>
        <v>52143.895533915893</v>
      </c>
      <c r="G156">
        <f>Portfolio!B$6*'CurrentPor-LH=20 unchanged'!F156</f>
        <v>3696.2945087936532</v>
      </c>
      <c r="H156">
        <f>Portfolio!B$7*'CurrentPor-LH=20 unchanged'!J156</f>
        <v>2148.0998964419859</v>
      </c>
      <c r="I156">
        <f t="shared" si="4"/>
        <v>96482.848937975548</v>
      </c>
      <c r="J156">
        <f t="shared" si="5"/>
        <v>-3.9718614175508264</v>
      </c>
    </row>
    <row r="157" spans="1:10">
      <c r="A157" s="1">
        <v>45688</v>
      </c>
      <c r="B157">
        <f>(3/(1+('CurrentPor-LH=20 unchanged'!C157)/100)+103/POWER(1+('CurrentPor-LH=20 unchanged'!D157)/100,2))*100</f>
        <v>9707.5857774288397</v>
      </c>
      <c r="C157">
        <f>(3/(1+('CurrentPor-LH=20 unchanged'!C157+'CurrentPor-LH=20 unchanged'!G157)/100)+103/POWER(1+('CurrentPor-LH=20 unchanged'!D157+'CurrentPor-LH=20 unchanged'!G157)/100,2))*100</f>
        <v>9614.9673582483465</v>
      </c>
      <c r="D157">
        <f>(3/(1+('CurrentPor-LH=20 unchanged'!C157+'CurrentPor-LH=20 unchanged'!H157)/100)+103/POWER(1+('CurrentPor-LH=20 unchanged'!D157+'CurrentPor-LH=20 unchanged'!H157)/100,2))*100</f>
        <v>9585.3150119342426</v>
      </c>
      <c r="E157">
        <f>(3/(1+('CurrentPor-LH=20 unchanged'!C157+'CurrentPor-LH=20 unchanged'!I157)/100)+103/POWER(1+('CurrentPor-LH=20 unchanged'!D157+'CurrentPor-LH=20 unchanged'!I157)/100,2))*100</f>
        <v>9581.1764280347634</v>
      </c>
      <c r="F157">
        <f>Portfolio!B$5*'CurrentPor-LH=20 unchanged'!E157</f>
        <v>52143.895533915893</v>
      </c>
      <c r="G157">
        <f>Portfolio!B$6*'CurrentPor-LH=20 unchanged'!F157</f>
        <v>3696.2945087936532</v>
      </c>
      <c r="H157">
        <f>Portfolio!B$7*'CurrentPor-LH=20 unchanged'!J157</f>
        <v>2148.0998964419859</v>
      </c>
      <c r="I157">
        <f t="shared" si="4"/>
        <v>96477.334514797723</v>
      </c>
      <c r="J157">
        <f t="shared" si="5"/>
        <v>-12.615064484751201</v>
      </c>
    </row>
    <row r="158" spans="1:10">
      <c r="A158" s="1">
        <v>45691</v>
      </c>
      <c r="B158">
        <f>(3/(1+('CurrentPor-LH=20 unchanged'!C158)/100)+103/POWER(1+('CurrentPor-LH=20 unchanged'!D158)/100,2))*100</f>
        <v>9707.5857774288397</v>
      </c>
      <c r="C158">
        <f>(3/(1+('CurrentPor-LH=20 unchanged'!C158+'CurrentPor-LH=20 unchanged'!G158)/100)+103/POWER(1+('CurrentPor-LH=20 unchanged'!D158+'CurrentPor-LH=20 unchanged'!G158)/100,2))*100</f>
        <v>9614.9673582483465</v>
      </c>
      <c r="D158">
        <f>(3/(1+('CurrentPor-LH=20 unchanged'!C158+'CurrentPor-LH=20 unchanged'!H158)/100)+103/POWER(1+('CurrentPor-LH=20 unchanged'!D158+'CurrentPor-LH=20 unchanged'!H158)/100,2))*100</f>
        <v>9589.328558094252</v>
      </c>
      <c r="E158">
        <f>(3/(1+('CurrentPor-LH=20 unchanged'!C158+'CurrentPor-LH=20 unchanged'!I158)/100)+103/POWER(1+('CurrentPor-LH=20 unchanged'!D158+'CurrentPor-LH=20 unchanged'!I158)/100,2))*100</f>
        <v>9580.0205368822171</v>
      </c>
      <c r="F158">
        <f>Portfolio!B$5*'CurrentPor-LH=20 unchanged'!E158</f>
        <v>52143.895533915893</v>
      </c>
      <c r="G158">
        <f>Portfolio!B$6*'CurrentPor-LH=20 unchanged'!F158</f>
        <v>3696.2945087936532</v>
      </c>
      <c r="H158">
        <f>Portfolio!B$7*'CurrentPor-LH=20 unchanged'!J158</f>
        <v>2148.0998964419859</v>
      </c>
      <c r="I158">
        <f t="shared" si="4"/>
        <v>96480.192169805188</v>
      </c>
      <c r="J158">
        <f t="shared" si="5"/>
        <v>6.730656299914699</v>
      </c>
    </row>
    <row r="159" spans="1:10">
      <c r="A159" s="1">
        <v>45692</v>
      </c>
      <c r="B159">
        <f>(3/(1+('CurrentPor-LH=20 unchanged'!C159)/100)+103/POWER(1+('CurrentPor-LH=20 unchanged'!D159)/100,2))*100</f>
        <v>9707.5857774288397</v>
      </c>
      <c r="C159">
        <f>(3/(1+('CurrentPor-LH=20 unchanged'!C159+'CurrentPor-LH=20 unchanged'!G159)/100)+103/POWER(1+('CurrentPor-LH=20 unchanged'!D159+'CurrentPor-LH=20 unchanged'!G159)/100,2))*100</f>
        <v>9614.9673582483465</v>
      </c>
      <c r="D159">
        <f>(3/(1+('CurrentPor-LH=20 unchanged'!C159+'CurrentPor-LH=20 unchanged'!H159)/100)+103/POWER(1+('CurrentPor-LH=20 unchanged'!D159+'CurrentPor-LH=20 unchanged'!H159)/100,2))*100</f>
        <v>9601.7982107596163</v>
      </c>
      <c r="E159">
        <f>(3/(1+('CurrentPor-LH=20 unchanged'!C159+'CurrentPor-LH=20 unchanged'!I159)/100)+103/POWER(1+('CurrentPor-LH=20 unchanged'!D159+'CurrentPor-LH=20 unchanged'!I159)/100,2))*100</f>
        <v>9581.4267629949518</v>
      </c>
      <c r="F159">
        <f>Portfolio!B$5*'CurrentPor-LH=20 unchanged'!E159</f>
        <v>52143.895533915893</v>
      </c>
      <c r="G159">
        <f>Portfolio!B$6*'CurrentPor-LH=20 unchanged'!F159</f>
        <v>3696.2945087936532</v>
      </c>
      <c r="H159">
        <f>Portfolio!B$7*'CurrentPor-LH=20 unchanged'!J159</f>
        <v>2148.0998964419859</v>
      </c>
      <c r="I159">
        <f t="shared" si="4"/>
        <v>96494.068048583285</v>
      </c>
      <c r="J159">
        <f t="shared" si="5"/>
        <v>-4.1677031676663319</v>
      </c>
    </row>
    <row r="160" spans="1:10">
      <c r="A160" s="1">
        <v>45693</v>
      </c>
      <c r="B160">
        <f>(3/(1+('CurrentPor-LH=20 unchanged'!C160)/100)+103/POWER(1+('CurrentPor-LH=20 unchanged'!D160)/100,2))*100</f>
        <v>9707.5857774288397</v>
      </c>
      <c r="C160">
        <f>(3/(1+('CurrentPor-LH=20 unchanged'!C160+'CurrentPor-LH=20 unchanged'!G160)/100)+103/POWER(1+('CurrentPor-LH=20 unchanged'!D160+'CurrentPor-LH=20 unchanged'!G160)/100,2))*100</f>
        <v>9614.9673582483465</v>
      </c>
      <c r="D160">
        <f>(3/(1+('CurrentPor-LH=20 unchanged'!C160+'CurrentPor-LH=20 unchanged'!H160)/100)+103/POWER(1+('CurrentPor-LH=20 unchanged'!D160+'CurrentPor-LH=20 unchanged'!H160)/100,2))*100</f>
        <v>9601.3179423393958</v>
      </c>
      <c r="E160">
        <f>(3/(1+('CurrentPor-LH=20 unchanged'!C160+'CurrentPor-LH=20 unchanged'!I160)/100)+103/POWER(1+('CurrentPor-LH=20 unchanged'!D160+'CurrentPor-LH=20 unchanged'!I160)/100,2))*100</f>
        <v>9581.3339771800165</v>
      </c>
      <c r="F160">
        <f>Portfolio!B$5*'CurrentPor-LH=20 unchanged'!E160</f>
        <v>52143.895533915893</v>
      </c>
      <c r="G160">
        <f>Portfolio!B$6*'CurrentPor-LH=20 unchanged'!F160</f>
        <v>3696.2945087936532</v>
      </c>
      <c r="H160">
        <f>Portfolio!B$7*'CurrentPor-LH=20 unchanged'!J160</f>
        <v>2148.0998964419859</v>
      </c>
      <c r="I160">
        <f t="shared" si="4"/>
        <v>96493.494994348133</v>
      </c>
      <c r="J160">
        <f t="shared" si="5"/>
        <v>1.7695726028032368</v>
      </c>
    </row>
    <row r="161" spans="1:10">
      <c r="A161" s="1">
        <v>45694</v>
      </c>
      <c r="B161">
        <f>(3/(1+('CurrentPor-LH=20 unchanged'!C161)/100)+103/POWER(1+('CurrentPor-LH=20 unchanged'!D161)/100,2))*100</f>
        <v>9707.5857774288397</v>
      </c>
      <c r="C161">
        <f>(3/(1+('CurrentPor-LH=20 unchanged'!C161+'CurrentPor-LH=20 unchanged'!G161)/100)+103/POWER(1+('CurrentPor-LH=20 unchanged'!D161+'CurrentPor-LH=20 unchanged'!G161)/100,2))*100</f>
        <v>9614.9673582483465</v>
      </c>
      <c r="D161">
        <f>(3/(1+('CurrentPor-LH=20 unchanged'!C161+'CurrentPor-LH=20 unchanged'!H161)/100)+103/POWER(1+('CurrentPor-LH=20 unchanged'!D161+'CurrentPor-LH=20 unchanged'!H161)/100,2))*100</f>
        <v>9601.9975188898134</v>
      </c>
      <c r="E161">
        <f>(3/(1+('CurrentPor-LH=20 unchanged'!C161+'CurrentPor-LH=20 unchanged'!I161)/100)+103/POWER(1+('CurrentPor-LH=20 unchanged'!D161+'CurrentPor-LH=20 unchanged'!I161)/100,2))*100</f>
        <v>9581.3395422839985</v>
      </c>
      <c r="F161">
        <f>Portfolio!B$5*'CurrentPor-LH=20 unchanged'!E161</f>
        <v>52143.895533915893</v>
      </c>
      <c r="G161">
        <f>Portfolio!B$6*'CurrentPor-LH=20 unchanged'!F161</f>
        <v>3696.2945087936532</v>
      </c>
      <c r="H161">
        <f>Portfolio!B$7*'CurrentPor-LH=20 unchanged'!J161</f>
        <v>2148.0998964419859</v>
      </c>
      <c r="I161">
        <f t="shared" si="4"/>
        <v>96494.180136002527</v>
      </c>
      <c r="J161">
        <f t="shared" si="5"/>
        <v>-0.49743295225198381</v>
      </c>
    </row>
    <row r="162" spans="1:10">
      <c r="A162" s="1">
        <v>45695</v>
      </c>
      <c r="B162">
        <f>(3/(1+('CurrentPor-LH=20 unchanged'!C162)/100)+103/POWER(1+('CurrentPor-LH=20 unchanged'!D162)/100,2))*100</f>
        <v>9707.5857774288397</v>
      </c>
      <c r="C162">
        <f>(3/(1+('CurrentPor-LH=20 unchanged'!C162+'CurrentPor-LH=20 unchanged'!G162)/100)+103/POWER(1+('CurrentPor-LH=20 unchanged'!D162+'CurrentPor-LH=20 unchanged'!G162)/100,2))*100</f>
        <v>9614.9673582483465</v>
      </c>
      <c r="D162">
        <f>(3/(1+('CurrentPor-LH=20 unchanged'!C162+'CurrentPor-LH=20 unchanged'!H162)/100)+103/POWER(1+('CurrentPor-LH=20 unchanged'!D162+'CurrentPor-LH=20 unchanged'!H162)/100,2))*100</f>
        <v>9596.7568168842481</v>
      </c>
      <c r="E162">
        <f>(3/(1+('CurrentPor-LH=20 unchanged'!C162+'CurrentPor-LH=20 unchanged'!I162)/100)+103/POWER(1+('CurrentPor-LH=20 unchanged'!D162+'CurrentPor-LH=20 unchanged'!I162)/100,2))*100</f>
        <v>9581.8406087416988</v>
      </c>
      <c r="F162">
        <f>Portfolio!B$5*'CurrentPor-LH=20 unchanged'!E162</f>
        <v>52143.895533915893</v>
      </c>
      <c r="G162">
        <f>Portfolio!B$6*'CurrentPor-LH=20 unchanged'!F162</f>
        <v>3696.2945087936532</v>
      </c>
      <c r="H162">
        <f>Portfolio!B$7*'CurrentPor-LH=20 unchanged'!J162</f>
        <v>2148.0998964419859</v>
      </c>
      <c r="I162">
        <f t="shared" si="4"/>
        <v>96489.440500454672</v>
      </c>
      <c r="J162">
        <f t="shared" si="5"/>
        <v>0.75998203667404596</v>
      </c>
    </row>
    <row r="163" spans="1:10">
      <c r="A163" s="1">
        <v>45698</v>
      </c>
      <c r="B163">
        <f>(3/(1+('CurrentPor-LH=20 unchanged'!C163)/100)+103/POWER(1+('CurrentPor-LH=20 unchanged'!D163)/100,2))*100</f>
        <v>9707.5857774288397</v>
      </c>
      <c r="C163">
        <f>(3/(1+('CurrentPor-LH=20 unchanged'!C163+'CurrentPor-LH=20 unchanged'!G163)/100)+103/POWER(1+('CurrentPor-LH=20 unchanged'!D163+'CurrentPor-LH=20 unchanged'!G163)/100,2))*100</f>
        <v>9614.9673582483465</v>
      </c>
      <c r="D163">
        <f>(3/(1+('CurrentPor-LH=20 unchanged'!C163+'CurrentPor-LH=20 unchanged'!H163)/100)+103/POWER(1+('CurrentPor-LH=20 unchanged'!D163+'CurrentPor-LH=20 unchanged'!H163)/100,2))*100</f>
        <v>9593.2860701476184</v>
      </c>
      <c r="E163">
        <f>(3/(1+('CurrentPor-LH=20 unchanged'!C163+'CurrentPor-LH=20 unchanged'!I163)/100)+103/POWER(1+('CurrentPor-LH=20 unchanged'!D163+'CurrentPor-LH=20 unchanged'!I163)/100,2))*100</f>
        <v>9580.0853345159703</v>
      </c>
      <c r="F163">
        <f>Portfolio!B$5*'CurrentPor-LH=20 unchanged'!E163</f>
        <v>52143.895533915893</v>
      </c>
      <c r="G163">
        <f>Portfolio!B$6*'CurrentPor-LH=20 unchanged'!F163</f>
        <v>3696.2945087936532</v>
      </c>
      <c r="H163">
        <f>Portfolio!B$7*'CurrentPor-LH=20 unchanged'!J163</f>
        <v>2148.0998964419859</v>
      </c>
      <c r="I163">
        <f t="shared" si="4"/>
        <v>96484.214479492308</v>
      </c>
      <c r="J163">
        <f t="shared" si="5"/>
        <v>6.7688804433855694</v>
      </c>
    </row>
    <row r="164" spans="1:10">
      <c r="A164" s="1">
        <v>45699</v>
      </c>
      <c r="B164">
        <f>(3/(1+('CurrentPor-LH=20 unchanged'!C164)/100)+103/POWER(1+('CurrentPor-LH=20 unchanged'!D164)/100,2))*100</f>
        <v>9707.5857774288397</v>
      </c>
      <c r="C164">
        <f>(3/(1+('CurrentPor-LH=20 unchanged'!C164+'CurrentPor-LH=20 unchanged'!G164)/100)+103/POWER(1+('CurrentPor-LH=20 unchanged'!D164+'CurrentPor-LH=20 unchanged'!G164)/100,2))*100</f>
        <v>9614.9673582483465</v>
      </c>
      <c r="D164">
        <f>(3/(1+('CurrentPor-LH=20 unchanged'!C164+'CurrentPor-LH=20 unchanged'!H164)/100)+103/POWER(1+('CurrentPor-LH=20 unchanged'!D164+'CurrentPor-LH=20 unchanged'!H164)/100,2))*100</f>
        <v>9597.0295239138231</v>
      </c>
      <c r="E164">
        <f>(3/(1+('CurrentPor-LH=20 unchanged'!C164+'CurrentPor-LH=20 unchanged'!I164)/100)+103/POWER(1+('CurrentPor-LH=20 unchanged'!D164+'CurrentPor-LH=20 unchanged'!I164)/100,2))*100</f>
        <v>9581.1530142653501</v>
      </c>
      <c r="F164">
        <f>Portfolio!B$5*'CurrentPor-LH=20 unchanged'!E164</f>
        <v>52143.895533915893</v>
      </c>
      <c r="G164">
        <f>Portfolio!B$6*'CurrentPor-LH=20 unchanged'!F164</f>
        <v>3696.2945087936532</v>
      </c>
      <c r="H164">
        <f>Portfolio!B$7*'CurrentPor-LH=20 unchanged'!J164</f>
        <v>2148.0998964419859</v>
      </c>
      <c r="I164">
        <f t="shared" si="4"/>
        <v>96489.025613007892</v>
      </c>
      <c r="J164">
        <f t="shared" si="5"/>
        <v>0.87146158811810892</v>
      </c>
    </row>
    <row r="165" spans="1:10">
      <c r="A165" s="1">
        <v>45700</v>
      </c>
      <c r="B165">
        <f>(3/(1+('CurrentPor-LH=20 unchanged'!C165)/100)+103/POWER(1+('CurrentPor-LH=20 unchanged'!D165)/100,2))*100</f>
        <v>9707.5857774288397</v>
      </c>
      <c r="C165">
        <f>(3/(1+('CurrentPor-LH=20 unchanged'!C165+'CurrentPor-LH=20 unchanged'!G165)/100)+103/POWER(1+('CurrentPor-LH=20 unchanged'!D165+'CurrentPor-LH=20 unchanged'!G165)/100,2))*100</f>
        <v>9614.9673582483465</v>
      </c>
      <c r="D165">
        <f>(3/(1+('CurrentPor-LH=20 unchanged'!C165+'CurrentPor-LH=20 unchanged'!H165)/100)+103/POWER(1+('CurrentPor-LH=20 unchanged'!D165+'CurrentPor-LH=20 unchanged'!H165)/100,2))*100</f>
        <v>9591.2353080564626</v>
      </c>
      <c r="E165">
        <f>(3/(1+('CurrentPor-LH=20 unchanged'!C165+'CurrentPor-LH=20 unchanged'!I165)/100)+103/POWER(1+('CurrentPor-LH=20 unchanged'!D165+'CurrentPor-LH=20 unchanged'!I165)/100,2))*100</f>
        <v>9581.211711060063</v>
      </c>
      <c r="F165">
        <f>Portfolio!B$5*'CurrentPor-LH=20 unchanged'!E165</f>
        <v>52143.895533915893</v>
      </c>
      <c r="G165">
        <f>Portfolio!B$6*'CurrentPor-LH=20 unchanged'!F165</f>
        <v>3696.2945087936532</v>
      </c>
      <c r="H165">
        <f>Portfolio!B$7*'CurrentPor-LH=20 unchanged'!J165</f>
        <v>2148.0998964419859</v>
      </c>
      <c r="I165">
        <f t="shared" si="4"/>
        <v>96483.290093945237</v>
      </c>
      <c r="J165">
        <f t="shared" si="5"/>
        <v>9.6075023213052191</v>
      </c>
    </row>
    <row r="166" spans="1:10">
      <c r="A166" s="1">
        <v>45701</v>
      </c>
      <c r="B166">
        <f>(3/(1+('CurrentPor-LH=20 unchanged'!C166)/100)+103/POWER(1+('CurrentPor-LH=20 unchanged'!D166)/100,2))*100</f>
        <v>9707.5857774288397</v>
      </c>
      <c r="C166">
        <f>(3/(1+('CurrentPor-LH=20 unchanged'!C166+'CurrentPor-LH=20 unchanged'!G166)/100)+103/POWER(1+('CurrentPor-LH=20 unchanged'!D166+'CurrentPor-LH=20 unchanged'!G166)/100,2))*100</f>
        <v>9614.9673582483465</v>
      </c>
      <c r="D166">
        <f>(3/(1+('CurrentPor-LH=20 unchanged'!C166+'CurrentPor-LH=20 unchanged'!H166)/100)+103/POWER(1+('CurrentPor-LH=20 unchanged'!D166+'CurrentPor-LH=20 unchanged'!H166)/100,2))*100</f>
        <v>9603.818716326834</v>
      </c>
      <c r="E166">
        <f>(3/(1+('CurrentPor-LH=20 unchanged'!C166+'CurrentPor-LH=20 unchanged'!I166)/100)+103/POWER(1+('CurrentPor-LH=20 unchanged'!D166+'CurrentPor-LH=20 unchanged'!I166)/100,2))*100</f>
        <v>9580.5309672130352</v>
      </c>
      <c r="F166">
        <f>Portfolio!B$5*'CurrentPor-LH=20 unchanged'!E166</f>
        <v>52143.895533915893</v>
      </c>
      <c r="G166">
        <f>Portfolio!B$6*'CurrentPor-LH=20 unchanged'!F166</f>
        <v>3696.2945087936532</v>
      </c>
      <c r="H166">
        <f>Portfolio!B$7*'CurrentPor-LH=20 unchanged'!J166</f>
        <v>2148.0998964419859</v>
      </c>
      <c r="I166">
        <f t="shared" si="4"/>
        <v>96495.192758368576</v>
      </c>
      <c r="J166">
        <f t="shared" si="5"/>
        <v>12.343820393027272</v>
      </c>
    </row>
    <row r="167" spans="1:10">
      <c r="A167" s="1">
        <v>45702</v>
      </c>
      <c r="B167">
        <f>(3/(1+('CurrentPor-LH=20 unchanged'!C167)/100)+103/POWER(1+('CurrentPor-LH=20 unchanged'!D167)/100,2))*100</f>
        <v>9707.5857774288397</v>
      </c>
      <c r="C167">
        <f>(3/(1+('CurrentPor-LH=20 unchanged'!C167+'CurrentPor-LH=20 unchanged'!G167)/100)+103/POWER(1+('CurrentPor-LH=20 unchanged'!D167+'CurrentPor-LH=20 unchanged'!G167)/100,2))*100</f>
        <v>9614.9673582483465</v>
      </c>
      <c r="D167">
        <f>(3/(1+('CurrentPor-LH=20 unchanged'!C167+'CurrentPor-LH=20 unchanged'!H167)/100)+103/POWER(1+('CurrentPor-LH=20 unchanged'!D167+'CurrentPor-LH=20 unchanged'!H167)/100,2))*100</f>
        <v>9601.2690624786501</v>
      </c>
      <c r="E167">
        <f>(3/(1+('CurrentPor-LH=20 unchanged'!C167+'CurrentPor-LH=20 unchanged'!I167)/100)+103/POWER(1+('CurrentPor-LH=20 unchanged'!D167+'CurrentPor-LH=20 unchanged'!I167)/100,2))*100</f>
        <v>9581.1266074224368</v>
      </c>
      <c r="F167">
        <f>Portfolio!B$5*'CurrentPor-LH=20 unchanged'!E167</f>
        <v>52143.895533915893</v>
      </c>
      <c r="G167">
        <f>Portfolio!B$6*'CurrentPor-LH=20 unchanged'!F167</f>
        <v>3696.2945087936532</v>
      </c>
      <c r="H167">
        <f>Portfolio!B$7*'CurrentPor-LH=20 unchanged'!J167</f>
        <v>2148.0998964419859</v>
      </c>
      <c r="I167">
        <f t="shared" si="4"/>
        <v>96493.238744729795</v>
      </c>
      <c r="J167">
        <f t="shared" si="5"/>
        <v>15.904229932071758</v>
      </c>
    </row>
    <row r="168" spans="1:10">
      <c r="A168" s="1">
        <v>45705</v>
      </c>
      <c r="B168">
        <f>(3/(1+('CurrentPor-LH=20 unchanged'!C168)/100)+103/POWER(1+('CurrentPor-LH=20 unchanged'!D168)/100,2))*100</f>
        <v>9707.5857774288397</v>
      </c>
      <c r="C168">
        <f>(3/(1+('CurrentPor-LH=20 unchanged'!C168+'CurrentPor-LH=20 unchanged'!G168)/100)+103/POWER(1+('CurrentPor-LH=20 unchanged'!D168+'CurrentPor-LH=20 unchanged'!G168)/100,2))*100</f>
        <v>9614.9673582483465</v>
      </c>
      <c r="D168">
        <f>(3/(1+('CurrentPor-LH=20 unchanged'!C168+'CurrentPor-LH=20 unchanged'!H168)/100)+103/POWER(1+('CurrentPor-LH=20 unchanged'!D168+'CurrentPor-LH=20 unchanged'!H168)/100,2))*100</f>
        <v>9599.5328865609517</v>
      </c>
      <c r="E168">
        <f>(3/(1+('CurrentPor-LH=20 unchanged'!C168+'CurrentPor-LH=20 unchanged'!I168)/100)+103/POWER(1+('CurrentPor-LH=20 unchanged'!D168+'CurrentPor-LH=20 unchanged'!I168)/100,2))*100</f>
        <v>9580.4183285495528</v>
      </c>
      <c r="F168">
        <f>Portfolio!B$5*'CurrentPor-LH=20 unchanged'!E168</f>
        <v>52143.895533915893</v>
      </c>
      <c r="G168">
        <f>Portfolio!B$6*'CurrentPor-LH=20 unchanged'!F168</f>
        <v>3696.2945087936532</v>
      </c>
      <c r="H168">
        <f>Portfolio!B$7*'CurrentPor-LH=20 unchanged'!J168</f>
        <v>2148.0998964419859</v>
      </c>
      <c r="I168">
        <f t="shared" si="4"/>
        <v>96490.794289939222</v>
      </c>
      <c r="J168">
        <f t="shared" si="5"/>
        <v>10.602120134033612</v>
      </c>
    </row>
    <row r="169" spans="1:10">
      <c r="A169" s="1">
        <v>45706</v>
      </c>
      <c r="B169">
        <f>(3/(1+('CurrentPor-LH=20 unchanged'!C169)/100)+103/POWER(1+('CurrentPor-LH=20 unchanged'!D169)/100,2))*100</f>
        <v>9707.5857774288397</v>
      </c>
      <c r="C169">
        <f>(3/(1+('CurrentPor-LH=20 unchanged'!C169+'CurrentPor-LH=20 unchanged'!G169)/100)+103/POWER(1+('CurrentPor-LH=20 unchanged'!D169+'CurrentPor-LH=20 unchanged'!G169)/100,2))*100</f>
        <v>9614.9673582483465</v>
      </c>
      <c r="D169">
        <f>(3/(1+('CurrentPor-LH=20 unchanged'!C169+'CurrentPor-LH=20 unchanged'!H169)/100)+103/POWER(1+('CurrentPor-LH=20 unchanged'!D169+'CurrentPor-LH=20 unchanged'!H169)/100,2))*100</f>
        <v>9596.2856929428399</v>
      </c>
      <c r="E169">
        <f>(3/(1+('CurrentPor-LH=20 unchanged'!C169+'CurrentPor-LH=20 unchanged'!I169)/100)+103/POWER(1+('CurrentPor-LH=20 unchanged'!D169+'CurrentPor-LH=20 unchanged'!I169)/100,2))*100</f>
        <v>9582.1206670582433</v>
      </c>
      <c r="F169">
        <f>Portfolio!B$5*'CurrentPor-LH=20 unchanged'!E169</f>
        <v>52143.895533915893</v>
      </c>
      <c r="G169">
        <f>Portfolio!B$6*'CurrentPor-LH=20 unchanged'!F169</f>
        <v>3696.2945087936532</v>
      </c>
      <c r="H169">
        <f>Portfolio!B$7*'CurrentPor-LH=20 unchanged'!J169</f>
        <v>2148.0998964419859</v>
      </c>
      <c r="I169">
        <f t="shared" si="4"/>
        <v>96489.249434829791</v>
      </c>
      <c r="J169">
        <f t="shared" si="5"/>
        <v>-4.8186137534939917</v>
      </c>
    </row>
    <row r="170" spans="1:10">
      <c r="A170" s="1">
        <v>45707</v>
      </c>
      <c r="B170">
        <f>(3/(1+('CurrentPor-LH=20 unchanged'!C170)/100)+103/POWER(1+('CurrentPor-LH=20 unchanged'!D170)/100,2))*100</f>
        <v>9707.5857774288397</v>
      </c>
      <c r="C170">
        <f>(3/(1+('CurrentPor-LH=20 unchanged'!C170+'CurrentPor-LH=20 unchanged'!G170)/100)+103/POWER(1+('CurrentPor-LH=20 unchanged'!D170+'CurrentPor-LH=20 unchanged'!G170)/100,2))*100</f>
        <v>9614.9673582483465</v>
      </c>
      <c r="D170">
        <f>(3/(1+('CurrentPor-LH=20 unchanged'!C170+'CurrentPor-LH=20 unchanged'!H170)/100)+103/POWER(1+('CurrentPor-LH=20 unchanged'!D170+'CurrentPor-LH=20 unchanged'!H170)/100,2))*100</f>
        <v>9589.9931499623963</v>
      </c>
      <c r="E170">
        <f>(3/(1+('CurrentPor-LH=20 unchanged'!C170+'CurrentPor-LH=20 unchanged'!I170)/100)+103/POWER(1+('CurrentPor-LH=20 unchanged'!D170+'CurrentPor-LH=20 unchanged'!I170)/100,2))*100</f>
        <v>9580.7381265307795</v>
      </c>
      <c r="F170">
        <f>Portfolio!B$5*'CurrentPor-LH=20 unchanged'!E170</f>
        <v>52143.895533915893</v>
      </c>
      <c r="G170">
        <f>Portfolio!B$6*'CurrentPor-LH=20 unchanged'!F170</f>
        <v>3696.2945087936532</v>
      </c>
      <c r="H170">
        <f>Portfolio!B$7*'CurrentPor-LH=20 unchanged'!J170</f>
        <v>2148.0998964419859</v>
      </c>
      <c r="I170">
        <f t="shared" si="4"/>
        <v>96481.574351321891</v>
      </c>
      <c r="J170">
        <f t="shared" si="5"/>
        <v>-11.920643026242033</v>
      </c>
    </row>
    <row r="171" spans="1:10">
      <c r="A171" s="1">
        <v>45708</v>
      </c>
      <c r="B171">
        <f>(3/(1+('CurrentPor-LH=20 unchanged'!C171)/100)+103/POWER(1+('CurrentPor-LH=20 unchanged'!D171)/100,2))*100</f>
        <v>9707.5857774288397</v>
      </c>
      <c r="C171">
        <f>(3/(1+('CurrentPor-LH=20 unchanged'!C171+'CurrentPor-LH=20 unchanged'!G171)/100)+103/POWER(1+('CurrentPor-LH=20 unchanged'!D171+'CurrentPor-LH=20 unchanged'!G171)/100,2))*100</f>
        <v>9614.9673582483465</v>
      </c>
      <c r="D171">
        <f>(3/(1+('CurrentPor-LH=20 unchanged'!C171+'CurrentPor-LH=20 unchanged'!H171)/100)+103/POWER(1+('CurrentPor-LH=20 unchanged'!D171+'CurrentPor-LH=20 unchanged'!H171)/100,2))*100</f>
        <v>9597.4343629947107</v>
      </c>
      <c r="E171">
        <f>(3/(1+('CurrentPor-LH=20 unchanged'!C171+'CurrentPor-LH=20 unchanged'!I171)/100)+103/POWER(1+('CurrentPor-LH=20 unchanged'!D171+'CurrentPor-LH=20 unchanged'!I171)/100,2))*100</f>
        <v>9580.8027685194393</v>
      </c>
      <c r="F171">
        <f>Portfolio!B$5*'CurrentPor-LH=20 unchanged'!E171</f>
        <v>52143.895533915893</v>
      </c>
      <c r="G171">
        <f>Portfolio!B$6*'CurrentPor-LH=20 unchanged'!F171</f>
        <v>3696.2945087936532</v>
      </c>
      <c r="H171">
        <f>Portfolio!B$7*'CurrentPor-LH=20 unchanged'!J171</f>
        <v>2148.0998964419859</v>
      </c>
      <c r="I171">
        <f t="shared" si="4"/>
        <v>96489.080206342871</v>
      </c>
      <c r="J171">
        <f t="shared" si="5"/>
        <v>-5.0999296596564818</v>
      </c>
    </row>
    <row r="172" spans="1:10">
      <c r="A172" s="1">
        <v>45709</v>
      </c>
      <c r="B172">
        <f>(3/(1+('CurrentPor-LH=20 unchanged'!C172)/100)+103/POWER(1+('CurrentPor-LH=20 unchanged'!D172)/100,2))*100</f>
        <v>9707.5857774288397</v>
      </c>
      <c r="C172">
        <f>(3/(1+('CurrentPor-LH=20 unchanged'!C172+'CurrentPor-LH=20 unchanged'!G172)/100)+103/POWER(1+('CurrentPor-LH=20 unchanged'!D172+'CurrentPor-LH=20 unchanged'!G172)/100,2))*100</f>
        <v>9614.9673582483465</v>
      </c>
      <c r="D172">
        <f>(3/(1+('CurrentPor-LH=20 unchanged'!C172+'CurrentPor-LH=20 unchanged'!H172)/100)+103/POWER(1+('CurrentPor-LH=20 unchanged'!D172+'CurrentPor-LH=20 unchanged'!H172)/100,2))*100</f>
        <v>9588.0556703680959</v>
      </c>
      <c r="E172">
        <f>(3/(1+('CurrentPor-LH=20 unchanged'!C172+'CurrentPor-LH=20 unchanged'!I172)/100)+103/POWER(1+('CurrentPor-LH=20 unchanged'!D172+'CurrentPor-LH=20 unchanged'!I172)/100,2))*100</f>
        <v>9580.8246753988042</v>
      </c>
      <c r="F172">
        <f>Portfolio!B$5*'CurrentPor-LH=20 unchanged'!E172</f>
        <v>52143.895533915893</v>
      </c>
      <c r="G172">
        <f>Portfolio!B$6*'CurrentPor-LH=20 unchanged'!F172</f>
        <v>3696.2945087936532</v>
      </c>
      <c r="H172">
        <f>Portfolio!B$7*'CurrentPor-LH=20 unchanged'!J172</f>
        <v>2148.0998964419859</v>
      </c>
      <c r="I172">
        <f t="shared" si="4"/>
        <v>96479.723420595619</v>
      </c>
      <c r="J172">
        <f t="shared" si="5"/>
        <v>-9.7170798590523191</v>
      </c>
    </row>
    <row r="173" spans="1:10">
      <c r="A173" s="1">
        <v>45712</v>
      </c>
      <c r="B173">
        <f>(3/(1+('CurrentPor-LH=20 unchanged'!C173)/100)+103/POWER(1+('CurrentPor-LH=20 unchanged'!D173)/100,2))*100</f>
        <v>9707.5857774288397</v>
      </c>
      <c r="C173">
        <f>(3/(1+('CurrentPor-LH=20 unchanged'!C173+'CurrentPor-LH=20 unchanged'!G173)/100)+103/POWER(1+('CurrentPor-LH=20 unchanged'!D173+'CurrentPor-LH=20 unchanged'!G173)/100,2))*100</f>
        <v>9614.9673582483465</v>
      </c>
      <c r="D173">
        <f>(3/(1+('CurrentPor-LH=20 unchanged'!C173+'CurrentPor-LH=20 unchanged'!H173)/100)+103/POWER(1+('CurrentPor-LH=20 unchanged'!D173+'CurrentPor-LH=20 unchanged'!H173)/100,2))*100</f>
        <v>9601.5192982912249</v>
      </c>
      <c r="E173">
        <f>(3/(1+('CurrentPor-LH=20 unchanged'!C173+'CurrentPor-LH=20 unchanged'!I173)/100)+103/POWER(1+('CurrentPor-LH=20 unchanged'!D173+'CurrentPor-LH=20 unchanged'!I173)/100,2))*100</f>
        <v>9580.2201101821247</v>
      </c>
      <c r="F173">
        <f>Portfolio!B$5*'CurrentPor-LH=20 unchanged'!E173</f>
        <v>52143.895533915893</v>
      </c>
      <c r="G173">
        <f>Portfolio!B$6*'CurrentPor-LH=20 unchanged'!F173</f>
        <v>3696.2945087936532</v>
      </c>
      <c r="H173">
        <f>Portfolio!B$7*'CurrentPor-LH=20 unchanged'!J173</f>
        <v>2148.0998964419859</v>
      </c>
      <c r="I173">
        <f t="shared" si="4"/>
        <v>96492.58248330206</v>
      </c>
      <c r="J173">
        <f t="shared" si="5"/>
        <v>8.3680038097518263</v>
      </c>
    </row>
    <row r="174" spans="1:10">
      <c r="A174" s="1">
        <v>45713</v>
      </c>
      <c r="B174">
        <f>(3/(1+('CurrentPor-LH=20 unchanged'!C174)/100)+103/POWER(1+('CurrentPor-LH=20 unchanged'!D174)/100,2))*100</f>
        <v>9707.5857774288397</v>
      </c>
      <c r="C174">
        <f>(3/(1+('CurrentPor-LH=20 unchanged'!C174+'CurrentPor-LH=20 unchanged'!G174)/100)+103/POWER(1+('CurrentPor-LH=20 unchanged'!D174+'CurrentPor-LH=20 unchanged'!G174)/100,2))*100</f>
        <v>9614.9673582483465</v>
      </c>
      <c r="D174">
        <f>(3/(1+('CurrentPor-LH=20 unchanged'!C174+'CurrentPor-LH=20 unchanged'!H174)/100)+103/POWER(1+('CurrentPor-LH=20 unchanged'!D174+'CurrentPor-LH=20 unchanged'!H174)/100,2))*100</f>
        <v>9602.0150861927086</v>
      </c>
      <c r="E174">
        <f>(3/(1+('CurrentPor-LH=20 unchanged'!C174+'CurrentPor-LH=20 unchanged'!I174)/100)+103/POWER(1+('CurrentPor-LH=20 unchanged'!D174+'CurrentPor-LH=20 unchanged'!I174)/100,2))*100</f>
        <v>9580.976903943194</v>
      </c>
      <c r="F174">
        <f>Portfolio!B$5*'CurrentPor-LH=20 unchanged'!E174</f>
        <v>52143.895533915893</v>
      </c>
      <c r="G174">
        <f>Portfolio!B$6*'CurrentPor-LH=20 unchanged'!F174</f>
        <v>3696.2945087936532</v>
      </c>
      <c r="H174">
        <f>Portfolio!B$7*'CurrentPor-LH=20 unchanged'!J174</f>
        <v>2148.0998964419859</v>
      </c>
      <c r="I174">
        <f t="shared" si="4"/>
        <v>96493.835064964616</v>
      </c>
      <c r="J174">
        <f t="shared" si="5"/>
        <v>4.8094519567239331</v>
      </c>
    </row>
    <row r="175" spans="1:10">
      <c r="A175" s="1">
        <v>45714</v>
      </c>
      <c r="B175">
        <f>(3/(1+('CurrentPor-LH=20 unchanged'!C175)/100)+103/POWER(1+('CurrentPor-LH=20 unchanged'!D175)/100,2))*100</f>
        <v>9707.5857774288397</v>
      </c>
      <c r="C175">
        <f>(3/(1+('CurrentPor-LH=20 unchanged'!C175+'CurrentPor-LH=20 unchanged'!G175)/100)+103/POWER(1+('CurrentPor-LH=20 unchanged'!D175+'CurrentPor-LH=20 unchanged'!G175)/100,2))*100</f>
        <v>9614.9673582483465</v>
      </c>
      <c r="D175">
        <f>(3/(1+('CurrentPor-LH=20 unchanged'!C175+'CurrentPor-LH=20 unchanged'!H175)/100)+103/POWER(1+('CurrentPor-LH=20 unchanged'!D175+'CurrentPor-LH=20 unchanged'!H175)/100,2))*100</f>
        <v>9604.4913975121763</v>
      </c>
      <c r="E175">
        <f>(3/(1+('CurrentPor-LH=20 unchanged'!C175+'CurrentPor-LH=20 unchanged'!I175)/100)+103/POWER(1+('CurrentPor-LH=20 unchanged'!D175+'CurrentPor-LH=20 unchanged'!I175)/100,2))*100</f>
        <v>9581.6531457080491</v>
      </c>
      <c r="F175">
        <f>Portfolio!B$5*'CurrentPor-LH=20 unchanged'!E175</f>
        <v>52143.895533915893</v>
      </c>
      <c r="G175">
        <f>Portfolio!B$6*'CurrentPor-LH=20 unchanged'!F175</f>
        <v>3696.2945087936532</v>
      </c>
      <c r="H175">
        <f>Portfolio!B$7*'CurrentPor-LH=20 unchanged'!J175</f>
        <v>2148.0998964419859</v>
      </c>
      <c r="I175">
        <f t="shared" si="4"/>
        <v>96496.987618048952</v>
      </c>
      <c r="J175">
        <f t="shared" si="5"/>
        <v>13.697524103714386</v>
      </c>
    </row>
    <row r="176" spans="1:10">
      <c r="A176" s="1">
        <v>45715</v>
      </c>
      <c r="B176">
        <f>(3/(1+('CurrentPor-LH=20 unchanged'!C176)/100)+103/POWER(1+('CurrentPor-LH=20 unchanged'!D176)/100,2))*100</f>
        <v>9707.5857774288397</v>
      </c>
      <c r="C176">
        <f>(3/(1+('CurrentPor-LH=20 unchanged'!C176+'CurrentPor-LH=20 unchanged'!G176)/100)+103/POWER(1+('CurrentPor-LH=20 unchanged'!D176+'CurrentPor-LH=20 unchanged'!G176)/100,2))*100</f>
        <v>9614.9673582483465</v>
      </c>
      <c r="D176">
        <f>(3/(1+('CurrentPor-LH=20 unchanged'!C176+'CurrentPor-LH=20 unchanged'!H176)/100)+103/POWER(1+('CurrentPor-LH=20 unchanged'!D176+'CurrentPor-LH=20 unchanged'!H176)/100,2))*100</f>
        <v>9582.6105389378336</v>
      </c>
      <c r="E176">
        <f>(3/(1+('CurrentPor-LH=20 unchanged'!C176+'CurrentPor-LH=20 unchanged'!I176)/100)+103/POWER(1+('CurrentPor-LH=20 unchanged'!D176+'CurrentPor-LH=20 unchanged'!I176)/100,2))*100</f>
        <v>9579.3951518741778</v>
      </c>
      <c r="F176">
        <f>Portfolio!B$5*'CurrentPor-LH=20 unchanged'!E176</f>
        <v>52143.895533915893</v>
      </c>
      <c r="G176">
        <f>Portfolio!B$6*'CurrentPor-LH=20 unchanged'!F176</f>
        <v>3696.2945087936532</v>
      </c>
      <c r="H176">
        <f>Portfolio!B$7*'CurrentPor-LH=20 unchanged'!J176</f>
        <v>2148.0998964419859</v>
      </c>
      <c r="I176">
        <f t="shared" si="4"/>
        <v>96472.848765640738</v>
      </c>
      <c r="J176">
        <f t="shared" si="5"/>
        <v>-22.343992727837758</v>
      </c>
    </row>
    <row r="177" spans="1:10">
      <c r="A177" s="1">
        <v>45716</v>
      </c>
      <c r="B177">
        <f>(3/(1+('CurrentPor-LH=20 unchanged'!C177)/100)+103/POWER(1+('CurrentPor-LH=20 unchanged'!D177)/100,2))*100</f>
        <v>9707.5857774288397</v>
      </c>
      <c r="C177">
        <f>(3/(1+('CurrentPor-LH=20 unchanged'!C177+'CurrentPor-LH=20 unchanged'!G177)/100)+103/POWER(1+('CurrentPor-LH=20 unchanged'!D177+'CurrentPor-LH=20 unchanged'!G177)/100,2))*100</f>
        <v>9614.9673582483465</v>
      </c>
      <c r="D177">
        <f>(3/(1+('CurrentPor-LH=20 unchanged'!C177+'CurrentPor-LH=20 unchanged'!H177)/100)+103/POWER(1+('CurrentPor-LH=20 unchanged'!D177+'CurrentPor-LH=20 unchanged'!H177)/100,2))*100</f>
        <v>9615.4896586602463</v>
      </c>
      <c r="E177">
        <f>(3/(1+('CurrentPor-LH=20 unchanged'!C177+'CurrentPor-LH=20 unchanged'!I177)/100)+103/POWER(1+('CurrentPor-LH=20 unchanged'!D177+'CurrentPor-LH=20 unchanged'!I177)/100,2))*100</f>
        <v>9579.1437676115347</v>
      </c>
      <c r="F177">
        <f>Portfolio!B$5*'CurrentPor-LH=20 unchanged'!E177</f>
        <v>52143.895533915893</v>
      </c>
      <c r="G177">
        <f>Portfolio!B$6*'CurrentPor-LH=20 unchanged'!F177</f>
        <v>3696.2945087936532</v>
      </c>
      <c r="H177">
        <f>Portfolio!B$7*'CurrentPor-LH=20 unchanged'!J177</f>
        <v>2148.0998964419859</v>
      </c>
      <c r="I177">
        <f t="shared" si="4"/>
        <v>96505.476501100507</v>
      </c>
      <c r="J177">
        <f t="shared" si="5"/>
        <v>12.237756370712304</v>
      </c>
    </row>
    <row r="178" spans="1:10">
      <c r="A178" s="1">
        <v>45719</v>
      </c>
      <c r="B178">
        <f>(3/(1+('CurrentPor-LH=20 unchanged'!C178)/100)+103/POWER(1+('CurrentPor-LH=20 unchanged'!D178)/100,2))*100</f>
        <v>9707.5857774288397</v>
      </c>
      <c r="C178">
        <f>(3/(1+('CurrentPor-LH=20 unchanged'!C178+'CurrentPor-LH=20 unchanged'!G178)/100)+103/POWER(1+('CurrentPor-LH=20 unchanged'!D178+'CurrentPor-LH=20 unchanged'!G178)/100,2))*100</f>
        <v>9614.9673582483465</v>
      </c>
      <c r="D178">
        <f>(3/(1+('CurrentPor-LH=20 unchanged'!C178+'CurrentPor-LH=20 unchanged'!H178)/100)+103/POWER(1+('CurrentPor-LH=20 unchanged'!D178+'CurrentPor-LH=20 unchanged'!H178)/100,2))*100</f>
        <v>9597.8964400579171</v>
      </c>
      <c r="E178">
        <f>(3/(1+('CurrentPor-LH=20 unchanged'!C178+'CurrentPor-LH=20 unchanged'!I178)/100)+103/POWER(1+('CurrentPor-LH=20 unchanged'!D178+'CurrentPor-LH=20 unchanged'!I178)/100,2))*100</f>
        <v>9581.2673056063413</v>
      </c>
      <c r="F178">
        <f>Portfolio!B$5*'CurrentPor-LH=20 unchanged'!E178</f>
        <v>52143.895533915893</v>
      </c>
      <c r="G178">
        <f>Portfolio!B$6*'CurrentPor-LH=20 unchanged'!F178</f>
        <v>3696.2945087936532</v>
      </c>
      <c r="H178">
        <f>Portfolio!B$7*'CurrentPor-LH=20 unchanged'!J178</f>
        <v>2148.0998964419859</v>
      </c>
      <c r="I178">
        <f t="shared" si="4"/>
        <v>96490.006820492985</v>
      </c>
      <c r="J178">
        <f t="shared" si="5"/>
        <v>-0.78746944623708259</v>
      </c>
    </row>
    <row r="179" spans="1:10">
      <c r="A179" s="1">
        <v>45720</v>
      </c>
      <c r="B179">
        <f>(3/(1+('CurrentPor-LH=20 unchanged'!C179)/100)+103/POWER(1+('CurrentPor-LH=20 unchanged'!D179)/100,2))*100</f>
        <v>9707.5857774288397</v>
      </c>
      <c r="C179">
        <f>(3/(1+('CurrentPor-LH=20 unchanged'!C179+'CurrentPor-LH=20 unchanged'!G179)/100)+103/POWER(1+('CurrentPor-LH=20 unchanged'!D179+'CurrentPor-LH=20 unchanged'!G179)/100,2))*100</f>
        <v>9614.9673582483465</v>
      </c>
      <c r="D179">
        <f>(3/(1+('CurrentPor-LH=20 unchanged'!C179+'CurrentPor-LH=20 unchanged'!H179)/100)+103/POWER(1+('CurrentPor-LH=20 unchanged'!D179+'CurrentPor-LH=20 unchanged'!H179)/100,2))*100</f>
        <v>9591.6438731449743</v>
      </c>
      <c r="E179">
        <f>(3/(1+('CurrentPor-LH=20 unchanged'!C179+'CurrentPor-LH=20 unchanged'!I179)/100)+103/POWER(1+('CurrentPor-LH=20 unchanged'!D179+'CurrentPor-LH=20 unchanged'!I179)/100,2))*100</f>
        <v>9579.9048868127065</v>
      </c>
      <c r="F179">
        <f>Portfolio!B$5*'CurrentPor-LH=20 unchanged'!E179</f>
        <v>52143.895533915893</v>
      </c>
      <c r="G179">
        <f>Portfolio!B$6*'CurrentPor-LH=20 unchanged'!F179</f>
        <v>3696.2945087936532</v>
      </c>
      <c r="H179">
        <f>Portfolio!B$7*'CurrentPor-LH=20 unchanged'!J179</f>
        <v>2148.0998964419859</v>
      </c>
      <c r="I179">
        <f t="shared" si="4"/>
        <v>96482.391834786409</v>
      </c>
      <c r="J179">
        <f t="shared" si="5"/>
        <v>-6.8576000433822628</v>
      </c>
    </row>
    <row r="180" spans="1:10">
      <c r="A180" s="1">
        <v>45721</v>
      </c>
      <c r="B180">
        <f>(3/(1+('CurrentPor-LH=20 unchanged'!C180)/100)+103/POWER(1+('CurrentPor-LH=20 unchanged'!D180)/100,2))*100</f>
        <v>9707.5857774288397</v>
      </c>
      <c r="C180">
        <f>(3/(1+('CurrentPor-LH=20 unchanged'!C180+'CurrentPor-LH=20 unchanged'!G180)/100)+103/POWER(1+('CurrentPor-LH=20 unchanged'!D180+'CurrentPor-LH=20 unchanged'!G180)/100,2))*100</f>
        <v>9614.9673582483465</v>
      </c>
      <c r="D180">
        <f>(3/(1+('CurrentPor-LH=20 unchanged'!C180+'CurrentPor-LH=20 unchanged'!H180)/100)+103/POWER(1+('CurrentPor-LH=20 unchanged'!D180+'CurrentPor-LH=20 unchanged'!H180)/100,2))*100</f>
        <v>9602.6036785744218</v>
      </c>
      <c r="E180">
        <f>(3/(1+('CurrentPor-LH=20 unchanged'!C180+'CurrentPor-LH=20 unchanged'!I180)/100)+103/POWER(1+('CurrentPor-LH=20 unchanged'!D180+'CurrentPor-LH=20 unchanged'!I180)/100,2))*100</f>
        <v>9579.9429569371223</v>
      </c>
      <c r="F180">
        <f>Portfolio!B$5*'CurrentPor-LH=20 unchanged'!E180</f>
        <v>52143.895533915893</v>
      </c>
      <c r="G180">
        <f>Portfolio!B$6*'CurrentPor-LH=20 unchanged'!F180</f>
        <v>3696.2945087936532</v>
      </c>
      <c r="H180">
        <f>Portfolio!B$7*'CurrentPor-LH=20 unchanged'!J180</f>
        <v>2148.0998964419859</v>
      </c>
      <c r="I180">
        <f t="shared" si="4"/>
        <v>96493.389710340256</v>
      </c>
      <c r="J180">
        <f t="shared" si="5"/>
        <v>11.815359018364688</v>
      </c>
    </row>
    <row r="181" spans="1:10">
      <c r="A181" s="1">
        <v>45722</v>
      </c>
      <c r="B181">
        <f>(3/(1+('CurrentPor-LH=20 unchanged'!C181)/100)+103/POWER(1+('CurrentPor-LH=20 unchanged'!D181)/100,2))*100</f>
        <v>9707.5857774288397</v>
      </c>
      <c r="C181">
        <f>(3/(1+('CurrentPor-LH=20 unchanged'!C181+'CurrentPor-LH=20 unchanged'!G181)/100)+103/POWER(1+('CurrentPor-LH=20 unchanged'!D181+'CurrentPor-LH=20 unchanged'!G181)/100,2))*100</f>
        <v>9614.9673582483465</v>
      </c>
      <c r="D181">
        <f>(3/(1+('CurrentPor-LH=20 unchanged'!C181+'CurrentPor-LH=20 unchanged'!H181)/100)+103/POWER(1+('CurrentPor-LH=20 unchanged'!D181+'CurrentPor-LH=20 unchanged'!H181)/100,2))*100</f>
        <v>9606.8862764337082</v>
      </c>
      <c r="E181">
        <f>(3/(1+('CurrentPor-LH=20 unchanged'!C181+'CurrentPor-LH=20 unchanged'!I181)/100)+103/POWER(1+('CurrentPor-LH=20 unchanged'!D181+'CurrentPor-LH=20 unchanged'!I181)/100,2))*100</f>
        <v>9579.6668647682745</v>
      </c>
      <c r="F181">
        <f>Portfolio!B$5*'CurrentPor-LH=20 unchanged'!E181</f>
        <v>52143.895533915893</v>
      </c>
      <c r="G181">
        <f>Portfolio!B$6*'CurrentPor-LH=20 unchanged'!F181</f>
        <v>3696.2945087936532</v>
      </c>
      <c r="H181">
        <f>Portfolio!B$7*'CurrentPor-LH=20 unchanged'!J181</f>
        <v>2148.0998964419859</v>
      </c>
      <c r="I181">
        <f t="shared" si="4"/>
        <v>96497.396216030698</v>
      </c>
      <c r="J181">
        <f t="shared" si="5"/>
        <v>8.316009687827318</v>
      </c>
    </row>
    <row r="182" spans="1:10">
      <c r="A182" s="1">
        <v>45723</v>
      </c>
      <c r="B182">
        <f>(3/(1+('CurrentPor-LH=20 unchanged'!C182)/100)+103/POWER(1+('CurrentPor-LH=20 unchanged'!D182)/100,2))*100</f>
        <v>9707.5857774288397</v>
      </c>
      <c r="C182">
        <f>(3/(1+('CurrentPor-LH=20 unchanged'!C182+'CurrentPor-LH=20 unchanged'!G182)/100)+103/POWER(1+('CurrentPor-LH=20 unchanged'!D182+'CurrentPor-LH=20 unchanged'!G182)/100,2))*100</f>
        <v>9614.9673582483465</v>
      </c>
      <c r="D182">
        <f>(3/(1+('CurrentPor-LH=20 unchanged'!C182+'CurrentPor-LH=20 unchanged'!H182)/100)+103/POWER(1+('CurrentPor-LH=20 unchanged'!D182+'CurrentPor-LH=20 unchanged'!H182)/100,2))*100</f>
        <v>9600.5729960441913</v>
      </c>
      <c r="E182">
        <f>(3/(1+('CurrentPor-LH=20 unchanged'!C182+'CurrentPor-LH=20 unchanged'!I182)/100)+103/POWER(1+('CurrentPor-LH=20 unchanged'!D182+'CurrentPor-LH=20 unchanged'!I182)/100,2))*100</f>
        <v>9581.4748378717886</v>
      </c>
      <c r="F182">
        <f>Portfolio!B$5*'CurrentPor-LH=20 unchanged'!E182</f>
        <v>52143.895533915893</v>
      </c>
      <c r="G182">
        <f>Portfolio!B$6*'CurrentPor-LH=20 unchanged'!F182</f>
        <v>3696.2945087936532</v>
      </c>
      <c r="H182">
        <f>Portfolio!B$7*'CurrentPor-LH=20 unchanged'!J182</f>
        <v>2148.0998964419859</v>
      </c>
      <c r="I182">
        <f t="shared" si="4"/>
        <v>96492.890908744695</v>
      </c>
      <c r="J182">
        <f t="shared" si="5"/>
        <v>13.167488149076235</v>
      </c>
    </row>
    <row r="183" spans="1:10">
      <c r="A183" s="1">
        <v>45726</v>
      </c>
      <c r="B183">
        <f>(3/(1+('CurrentPor-LH=20 unchanged'!C183)/100)+103/POWER(1+('CurrentPor-LH=20 unchanged'!D183)/100,2))*100</f>
        <v>9707.5857774288397</v>
      </c>
      <c r="C183">
        <f>(3/(1+('CurrentPor-LH=20 unchanged'!C183+'CurrentPor-LH=20 unchanged'!G183)/100)+103/POWER(1+('CurrentPor-LH=20 unchanged'!D183+'CurrentPor-LH=20 unchanged'!G183)/100,2))*100</f>
        <v>9614.9673582483465</v>
      </c>
      <c r="D183">
        <f>(3/(1+('CurrentPor-LH=20 unchanged'!C183+'CurrentPor-LH=20 unchanged'!H183)/100)+103/POWER(1+('CurrentPor-LH=20 unchanged'!D183+'CurrentPor-LH=20 unchanged'!H183)/100,2))*100</f>
        <v>9597.5780764416104</v>
      </c>
      <c r="E183">
        <f>(3/(1+('CurrentPor-LH=20 unchanged'!C183+'CurrentPor-LH=20 unchanged'!I183)/100)+103/POWER(1+('CurrentPor-LH=20 unchanged'!D183+'CurrentPor-LH=20 unchanged'!I183)/100,2))*100</f>
        <v>9582.0350652334091</v>
      </c>
      <c r="F183">
        <f>Portfolio!B$5*'CurrentPor-LH=20 unchanged'!E183</f>
        <v>52143.895533915893</v>
      </c>
      <c r="G183">
        <f>Portfolio!B$6*'CurrentPor-LH=20 unchanged'!F183</f>
        <v>3696.2945087936532</v>
      </c>
      <c r="H183">
        <f>Portfolio!B$7*'CurrentPor-LH=20 unchanged'!J183</f>
        <v>2148.0998964419859</v>
      </c>
      <c r="I183">
        <f t="shared" si="4"/>
        <v>96490.456216503735</v>
      </c>
      <c r="J183">
        <f t="shared" si="5"/>
        <v>-2.1262667983246502</v>
      </c>
    </row>
    <row r="184" spans="1:10">
      <c r="A184" s="1">
        <v>45727</v>
      </c>
      <c r="B184">
        <f>(3/(1+('CurrentPor-LH=20 unchanged'!C184)/100)+103/POWER(1+('CurrentPor-LH=20 unchanged'!D184)/100,2))*100</f>
        <v>9707.5857774288397</v>
      </c>
      <c r="C184">
        <f>(3/(1+('CurrentPor-LH=20 unchanged'!C184+'CurrentPor-LH=20 unchanged'!G184)/100)+103/POWER(1+('CurrentPor-LH=20 unchanged'!D184+'CurrentPor-LH=20 unchanged'!G184)/100,2))*100</f>
        <v>9614.9673582483465</v>
      </c>
      <c r="D184">
        <f>(3/(1+('CurrentPor-LH=20 unchanged'!C184+'CurrentPor-LH=20 unchanged'!H184)/100)+103/POWER(1+('CurrentPor-LH=20 unchanged'!D184+'CurrentPor-LH=20 unchanged'!H184)/100,2))*100</f>
        <v>9605.658322180685</v>
      </c>
      <c r="E184">
        <f>(3/(1+('CurrentPor-LH=20 unchanged'!C184+'CurrentPor-LH=20 unchanged'!I184)/100)+103/POWER(1+('CurrentPor-LH=20 unchanged'!D184+'CurrentPor-LH=20 unchanged'!I184)/100,2))*100</f>
        <v>9579.6027309219098</v>
      </c>
      <c r="F184">
        <f>Portfolio!B$5*'CurrentPor-LH=20 unchanged'!E184</f>
        <v>52143.895533915893</v>
      </c>
      <c r="G184">
        <f>Portfolio!B$6*'CurrentPor-LH=20 unchanged'!F184</f>
        <v>3696.2945087936532</v>
      </c>
      <c r="H184">
        <f>Portfolio!B$7*'CurrentPor-LH=20 unchanged'!J184</f>
        <v>2148.0998964419859</v>
      </c>
      <c r="I184">
        <f t="shared" si="4"/>
        <v>96496.104127931307</v>
      </c>
      <c r="J184">
        <f t="shared" si="5"/>
        <v>2.2690629666903988</v>
      </c>
    </row>
    <row r="185" spans="1:10">
      <c r="A185" s="1">
        <v>45728</v>
      </c>
      <c r="B185">
        <f>(3/(1+('CurrentPor-LH=20 unchanged'!C185)/100)+103/POWER(1+('CurrentPor-LH=20 unchanged'!D185)/100,2))*100</f>
        <v>9707.5857774288397</v>
      </c>
      <c r="C185">
        <f>(3/(1+('CurrentPor-LH=20 unchanged'!C185+'CurrentPor-LH=20 unchanged'!G185)/100)+103/POWER(1+('CurrentPor-LH=20 unchanged'!D185+'CurrentPor-LH=20 unchanged'!G185)/100,2))*100</f>
        <v>9614.9673582483465</v>
      </c>
      <c r="D185">
        <f>(3/(1+('CurrentPor-LH=20 unchanged'!C185+'CurrentPor-LH=20 unchanged'!H185)/100)+103/POWER(1+('CurrentPor-LH=20 unchanged'!D185+'CurrentPor-LH=20 unchanged'!H185)/100,2))*100</f>
        <v>9592.7074768612092</v>
      </c>
      <c r="E185">
        <f>(3/(1+('CurrentPor-LH=20 unchanged'!C185+'CurrentPor-LH=20 unchanged'!I185)/100)+103/POWER(1+('CurrentPor-LH=20 unchanged'!D185+'CurrentPor-LH=20 unchanged'!I185)/100,2))*100</f>
        <v>9581.4150386279125</v>
      </c>
      <c r="F185">
        <f>Portfolio!B$5*'CurrentPor-LH=20 unchanged'!E185</f>
        <v>52143.895533915893</v>
      </c>
      <c r="G185">
        <f>Portfolio!B$6*'CurrentPor-LH=20 unchanged'!F185</f>
        <v>3696.2945087936532</v>
      </c>
      <c r="H185">
        <f>Portfolio!B$7*'CurrentPor-LH=20 unchanged'!J185</f>
        <v>2148.0998964419859</v>
      </c>
      <c r="I185">
        <f t="shared" si="4"/>
        <v>96484.965590317835</v>
      </c>
      <c r="J185">
        <f t="shared" si="5"/>
        <v>-12.022027731116395</v>
      </c>
    </row>
    <row r="186" spans="1:10">
      <c r="A186" s="1">
        <v>45729</v>
      </c>
      <c r="B186">
        <f>(3/(1+('CurrentPor-LH=20 unchanged'!C186)/100)+103/POWER(1+('CurrentPor-LH=20 unchanged'!D186)/100,2))*100</f>
        <v>9707.5857774288397</v>
      </c>
      <c r="C186">
        <f>(3/(1+('CurrentPor-LH=20 unchanged'!C186+'CurrentPor-LH=20 unchanged'!G186)/100)+103/POWER(1+('CurrentPor-LH=20 unchanged'!D186+'CurrentPor-LH=20 unchanged'!G186)/100,2))*100</f>
        <v>9614.9673582483465</v>
      </c>
      <c r="D186">
        <f>(3/(1+('CurrentPor-LH=20 unchanged'!C186+'CurrentPor-LH=20 unchanged'!H186)/100)+103/POWER(1+('CurrentPor-LH=20 unchanged'!D186+'CurrentPor-LH=20 unchanged'!H186)/100,2))*100</f>
        <v>9593.1008892286372</v>
      </c>
      <c r="E186">
        <f>(3/(1+('CurrentPor-LH=20 unchanged'!C186+'CurrentPor-LH=20 unchanged'!I186)/100)+103/POWER(1+('CurrentPor-LH=20 unchanged'!D186+'CurrentPor-LH=20 unchanged'!I186)/100,2))*100</f>
        <v>9579.9387901347636</v>
      </c>
      <c r="F186">
        <f>Portfolio!B$5*'CurrentPor-LH=20 unchanged'!E186</f>
        <v>52143.895533915893</v>
      </c>
      <c r="G186">
        <f>Portfolio!B$6*'CurrentPor-LH=20 unchanged'!F186</f>
        <v>3696.2945087936532</v>
      </c>
      <c r="H186">
        <f>Portfolio!B$7*'CurrentPor-LH=20 unchanged'!J186</f>
        <v>2148.0998964419859</v>
      </c>
      <c r="I186">
        <f t="shared" si="4"/>
        <v>96483.88275419212</v>
      </c>
      <c r="J186">
        <f t="shared" si="5"/>
        <v>11.033988551382208</v>
      </c>
    </row>
    <row r="187" spans="1:10">
      <c r="A187" s="1">
        <v>45730</v>
      </c>
      <c r="B187">
        <f>(3/(1+('CurrentPor-LH=20 unchanged'!C187)/100)+103/POWER(1+('CurrentPor-LH=20 unchanged'!D187)/100,2))*100</f>
        <v>9707.5857774288397</v>
      </c>
      <c r="C187">
        <f>(3/(1+('CurrentPor-LH=20 unchanged'!C187+'CurrentPor-LH=20 unchanged'!G187)/100)+103/POWER(1+('CurrentPor-LH=20 unchanged'!D187+'CurrentPor-LH=20 unchanged'!G187)/100,2))*100</f>
        <v>9614.9673582483465</v>
      </c>
      <c r="D187">
        <f>(3/(1+('CurrentPor-LH=20 unchanged'!C187+'CurrentPor-LH=20 unchanged'!H187)/100)+103/POWER(1+('CurrentPor-LH=20 unchanged'!D187+'CurrentPor-LH=20 unchanged'!H187)/100,2))*100</f>
        <v>9598.7985397152024</v>
      </c>
      <c r="E187">
        <f>(3/(1+('CurrentPor-LH=20 unchanged'!C187+'CurrentPor-LH=20 unchanged'!I187)/100)+103/POWER(1+('CurrentPor-LH=20 unchanged'!D187+'CurrentPor-LH=20 unchanged'!I187)/100,2))*100</f>
        <v>9580.3644691577283</v>
      </c>
      <c r="F187">
        <f>Portfolio!B$5*'CurrentPor-LH=20 unchanged'!E187</f>
        <v>52143.895533915893</v>
      </c>
      <c r="G187">
        <f>Portfolio!B$6*'CurrentPor-LH=20 unchanged'!F187</f>
        <v>3696.2945087936532</v>
      </c>
      <c r="H187">
        <f>Portfolio!B$7*'CurrentPor-LH=20 unchanged'!J187</f>
        <v>2148.0998964419859</v>
      </c>
      <c r="I187">
        <f t="shared" si="4"/>
        <v>96490.00608370165</v>
      </c>
      <c r="J187">
        <f t="shared" si="5"/>
        <v>-15.470417398857535</v>
      </c>
    </row>
    <row r="188" spans="1:10">
      <c r="A188" s="13">
        <v>45733</v>
      </c>
      <c r="B188">
        <f>(3/(1+('CurrentPor-LH=20 unchanged'!C188)/100)+103/POWER(1+('CurrentPor-LH=20 unchanged'!D188)/100,2))*100</f>
        <v>9707.5857774288397</v>
      </c>
      <c r="C188">
        <f>(3/(1+('CurrentPor-LH=20 unchanged'!C188+'CurrentPor-LH=20 unchanged'!G188)/100)+103/POWER(1+('CurrentPor-LH=20 unchanged'!D188+'CurrentPor-LH=20 unchanged'!G188)/100,2))*100</f>
        <v>9614.9673582483465</v>
      </c>
      <c r="D188">
        <f>(3/(1+('CurrentPor-LH=20 unchanged'!C188+'CurrentPor-LH=20 unchanged'!H188)/100)+103/POWER(1+('CurrentPor-LH=20 unchanged'!D188+'CurrentPor-LH=20 unchanged'!H188)/100,2))*100</f>
        <v>9629.1227718222744</v>
      </c>
      <c r="E188">
        <f>(3/(1+('CurrentPor-LH=20 unchanged'!C188+'CurrentPor-LH=20 unchanged'!I188)/100)+103/POWER(1+('CurrentPor-LH=20 unchanged'!D188+'CurrentPor-LH=20 unchanged'!I188)/100,2))*100</f>
        <v>9580.6454985559321</v>
      </c>
      <c r="F188">
        <f>Portfolio!B$5*'CurrentPor-LH=20 unchanged'!E188</f>
        <v>52143.895533915893</v>
      </c>
      <c r="G188">
        <f>Portfolio!B$6*'CurrentPor-LH=20 unchanged'!F188</f>
        <v>3696.2945087936532</v>
      </c>
      <c r="H188">
        <f>Portfolio!B$7*'CurrentPor-LH=20 unchanged'!J188</f>
        <v>2148.0998964419859</v>
      </c>
      <c r="I188">
        <f t="shared" si="4"/>
        <v>96520.611345206926</v>
      </c>
      <c r="J188">
        <f t="shared" si="5"/>
        <v>30.604524713940918</v>
      </c>
    </row>
    <row r="189" spans="1:10">
      <c r="A189" s="1">
        <v>45734</v>
      </c>
      <c r="B189">
        <f>(3/(1+('CurrentPor-LH=20 unchanged'!C189)/100)+103/POWER(1+('CurrentPor-LH=20 unchanged'!D189)/100,2))*100</f>
        <v>9707.5857774288397</v>
      </c>
      <c r="C189">
        <f>(3/(1+('CurrentPor-LH=20 unchanged'!C189+'CurrentPor-LH=20 unchanged'!G189)/100)+103/POWER(1+('CurrentPor-LH=20 unchanged'!D189+'CurrentPor-LH=20 unchanged'!G189)/100,2))*100</f>
        <v>9614.9673582483465</v>
      </c>
      <c r="D189">
        <f>(3/(1+('CurrentPor-LH=20 unchanged'!C189+'CurrentPor-LH=20 unchanged'!H189)/100)+103/POWER(1+('CurrentPor-LH=20 unchanged'!D189+'CurrentPor-LH=20 unchanged'!H189)/100,2))*100</f>
        <v>9587.4564671772368</v>
      </c>
      <c r="E189">
        <f>(3/(1+('CurrentPor-LH=20 unchanged'!C189+'CurrentPor-LH=20 unchanged'!I189)/100)+103/POWER(1+('CurrentPor-LH=20 unchanged'!D189+'CurrentPor-LH=20 unchanged'!I189)/100,2))*100</f>
        <v>9580.3887991504871</v>
      </c>
      <c r="F189">
        <f>Portfolio!B$5*'CurrentPor-LH=20 unchanged'!E189</f>
        <v>52143.895533915893</v>
      </c>
      <c r="G189">
        <f>Portfolio!B$6*'CurrentPor-LH=20 unchanged'!F189</f>
        <v>3696.2945087936532</v>
      </c>
      <c r="H189">
        <f>Portfolio!B$7*'CurrentPor-LH=20 unchanged'!J189</f>
        <v>2148.0998964419859</v>
      </c>
      <c r="I189">
        <f t="shared" si="4"/>
        <v>96478.688341156449</v>
      </c>
      <c r="J189">
        <f t="shared" si="5"/>
        <v>-3.7034936299605761</v>
      </c>
    </row>
    <row r="190" spans="1:10">
      <c r="A190" s="1">
        <v>45735</v>
      </c>
      <c r="B190">
        <f>(3/(1+('CurrentPor-LH=20 unchanged'!C190)/100)+103/POWER(1+('CurrentPor-LH=20 unchanged'!D190)/100,2))*100</f>
        <v>9707.5857774288397</v>
      </c>
      <c r="C190">
        <f>(3/(1+('CurrentPor-LH=20 unchanged'!C190+'CurrentPor-LH=20 unchanged'!G190)/100)+103/POWER(1+('CurrentPor-LH=20 unchanged'!D190+'CurrentPor-LH=20 unchanged'!G190)/100,2))*100</f>
        <v>9614.9673582483465</v>
      </c>
      <c r="D190">
        <f>(3/(1+('CurrentPor-LH=20 unchanged'!C190+'CurrentPor-LH=20 unchanged'!H190)/100)+103/POWER(1+('CurrentPor-LH=20 unchanged'!D190+'CurrentPor-LH=20 unchanged'!H190)/100,2))*100</f>
        <v>9615.2582549951694</v>
      </c>
      <c r="E190">
        <f>(3/(1+('CurrentPor-LH=20 unchanged'!C190+'CurrentPor-LH=20 unchanged'!I190)/100)+103/POWER(1+('CurrentPor-LH=20 unchanged'!D190+'CurrentPor-LH=20 unchanged'!I190)/100,2))*100</f>
        <v>9582.1119724264627</v>
      </c>
      <c r="F190">
        <f>Portfolio!B$5*'CurrentPor-LH=20 unchanged'!E190</f>
        <v>52143.895533915893</v>
      </c>
      <c r="G190">
        <f>Portfolio!B$6*'CurrentPor-LH=20 unchanged'!F190</f>
        <v>3696.2945087936532</v>
      </c>
      <c r="H190">
        <f>Portfolio!B$7*'CurrentPor-LH=20 unchanged'!J190</f>
        <v>2148.0998964419859</v>
      </c>
      <c r="I190">
        <f t="shared" si="4"/>
        <v>96508.213302250355</v>
      </c>
      <c r="J190">
        <f t="shared" si="5"/>
        <v>14.823591910098912</v>
      </c>
    </row>
    <row r="191" spans="1:10">
      <c r="A191" s="1">
        <v>45736</v>
      </c>
      <c r="B191">
        <f>(3/(1+('CurrentPor-LH=20 unchanged'!C191)/100)+103/POWER(1+('CurrentPor-LH=20 unchanged'!D191)/100,2))*100</f>
        <v>9707.5857774288397</v>
      </c>
      <c r="C191">
        <f>(3/(1+('CurrentPor-LH=20 unchanged'!C191+'CurrentPor-LH=20 unchanged'!G191)/100)+103/POWER(1+('CurrentPor-LH=20 unchanged'!D191+'CurrentPor-LH=20 unchanged'!G191)/100,2))*100</f>
        <v>9614.9673582483465</v>
      </c>
      <c r="D191">
        <f>(3/(1+('CurrentPor-LH=20 unchanged'!C191+'CurrentPor-LH=20 unchanged'!H191)/100)+103/POWER(1+('CurrentPor-LH=20 unchanged'!D191+'CurrentPor-LH=20 unchanged'!H191)/100,2))*100</f>
        <v>9603.9733500566435</v>
      </c>
      <c r="E191">
        <f>(3/(1+('CurrentPor-LH=20 unchanged'!C191+'CurrentPor-LH=20 unchanged'!I191)/100)+103/POWER(1+('CurrentPor-LH=20 unchanged'!D191+'CurrentPor-LH=20 unchanged'!I191)/100,2))*100</f>
        <v>9581.5416821441668</v>
      </c>
      <c r="F191">
        <f>Portfolio!B$5*'CurrentPor-LH=20 unchanged'!E191</f>
        <v>52143.895533915893</v>
      </c>
      <c r="G191">
        <f>Portfolio!B$6*'CurrentPor-LH=20 unchanged'!F191</f>
        <v>3696.2945087936532</v>
      </c>
      <c r="H191">
        <f>Portfolio!B$7*'CurrentPor-LH=20 unchanged'!J191</f>
        <v>2148.0998964419859</v>
      </c>
      <c r="I191">
        <f t="shared" si="4"/>
        <v>96496.358107029533</v>
      </c>
      <c r="J191">
        <f t="shared" si="5"/>
        <v>-1.0381090011651395</v>
      </c>
    </row>
    <row r="192" spans="1:10">
      <c r="A192" s="1">
        <v>45737</v>
      </c>
      <c r="B192">
        <f>(3/(1+('CurrentPor-LH=20 unchanged'!C192)/100)+103/POWER(1+('CurrentPor-LH=20 unchanged'!D192)/100,2))*100</f>
        <v>9707.5857774288397</v>
      </c>
      <c r="C192">
        <f>(3/(1+('CurrentPor-LH=20 unchanged'!C192+'CurrentPor-LH=20 unchanged'!G192)/100)+103/POWER(1+('CurrentPor-LH=20 unchanged'!D192+'CurrentPor-LH=20 unchanged'!G192)/100,2))*100</f>
        <v>9614.9673582483465</v>
      </c>
      <c r="D192">
        <f>(3/(1+('CurrentPor-LH=20 unchanged'!C192+'CurrentPor-LH=20 unchanged'!H192)/100)+103/POWER(1+('CurrentPor-LH=20 unchanged'!D192+'CurrentPor-LH=20 unchanged'!H192)/100,2))*100</f>
        <v>9606.0550098903641</v>
      </c>
      <c r="E192">
        <f>(3/(1+('CurrentPor-LH=20 unchanged'!C192+'CurrentPor-LH=20 unchanged'!I192)/100)+103/POWER(1+('CurrentPor-LH=20 unchanged'!D192+'CurrentPor-LH=20 unchanged'!I192)/100,2))*100</f>
        <v>9578.2999225113654</v>
      </c>
      <c r="F192">
        <f>Portfolio!B$5*'CurrentPor-LH=20 unchanged'!E192</f>
        <v>52143.895533915893</v>
      </c>
      <c r="G192">
        <f>Portfolio!B$6*'CurrentPor-LH=20 unchanged'!F192</f>
        <v>3696.2945087936532</v>
      </c>
      <c r="H192">
        <f>Portfolio!B$7*'CurrentPor-LH=20 unchanged'!J192</f>
        <v>2148.0998964419859</v>
      </c>
      <c r="I192">
        <f t="shared" si="4"/>
        <v>96495.198007230458</v>
      </c>
      <c r="J192">
        <f t="shared" si="5"/>
        <v>2.3070984857622534</v>
      </c>
    </row>
    <row r="193" spans="1:10">
      <c r="A193" s="1">
        <v>45740</v>
      </c>
      <c r="B193">
        <f>(3/(1+('CurrentPor-LH=20 unchanged'!C193)/100)+103/POWER(1+('CurrentPor-LH=20 unchanged'!D193)/100,2))*100</f>
        <v>9707.5857774288397</v>
      </c>
      <c r="C193">
        <f>(3/(1+('CurrentPor-LH=20 unchanged'!C193+'CurrentPor-LH=20 unchanged'!G193)/100)+103/POWER(1+('CurrentPor-LH=20 unchanged'!D193+'CurrentPor-LH=20 unchanged'!G193)/100,2))*100</f>
        <v>9614.9673582483465</v>
      </c>
      <c r="D193">
        <f>(3/(1+('CurrentPor-LH=20 unchanged'!C193+'CurrentPor-LH=20 unchanged'!H193)/100)+103/POWER(1+('CurrentPor-LH=20 unchanged'!D193+'CurrentPor-LH=20 unchanged'!H193)/100,2))*100</f>
        <v>9600.8417031250701</v>
      </c>
      <c r="E193">
        <f>(3/(1+('CurrentPor-LH=20 unchanged'!C193+'CurrentPor-LH=20 unchanged'!I193)/100)+103/POWER(1+('CurrentPor-LH=20 unchanged'!D193+'CurrentPor-LH=20 unchanged'!I193)/100,2))*100</f>
        <v>9581.0793804743462</v>
      </c>
      <c r="F193">
        <f>Portfolio!B$5*'CurrentPor-LH=20 unchanged'!E193</f>
        <v>52143.895533915893</v>
      </c>
      <c r="G193">
        <f>Portfolio!B$6*'CurrentPor-LH=20 unchanged'!F193</f>
        <v>3696.2945087936532</v>
      </c>
      <c r="H193">
        <f>Portfolio!B$7*'CurrentPor-LH=20 unchanged'!J193</f>
        <v>2148.0998964419859</v>
      </c>
      <c r="I193">
        <f t="shared" si="4"/>
        <v>96492.764158428137</v>
      </c>
      <c r="J193">
        <f t="shared" si="5"/>
        <v>2.3079419244022574</v>
      </c>
    </row>
    <row r="194" spans="1:10">
      <c r="A194" s="1">
        <v>45741</v>
      </c>
      <c r="B194">
        <f>(3/(1+('CurrentPor-LH=20 unchanged'!C194)/100)+103/POWER(1+('CurrentPor-LH=20 unchanged'!D194)/100,2))*100</f>
        <v>9707.5857774288397</v>
      </c>
      <c r="C194">
        <f>(3/(1+('CurrentPor-LH=20 unchanged'!C194+'CurrentPor-LH=20 unchanged'!G194)/100)+103/POWER(1+('CurrentPor-LH=20 unchanged'!D194+'CurrentPor-LH=20 unchanged'!G194)/100,2))*100</f>
        <v>9614.9673582483465</v>
      </c>
      <c r="D194">
        <f>(3/(1+('CurrentPor-LH=20 unchanged'!C194+'CurrentPor-LH=20 unchanged'!H194)/100)+103/POWER(1+('CurrentPor-LH=20 unchanged'!D194+'CurrentPor-LH=20 unchanged'!H194)/100,2))*100</f>
        <v>9606.6247838101717</v>
      </c>
      <c r="E194">
        <f>(3/(1+('CurrentPor-LH=20 unchanged'!C194+'CurrentPor-LH=20 unchanged'!I194)/100)+103/POWER(1+('CurrentPor-LH=20 unchanged'!D194+'CurrentPor-LH=20 unchanged'!I194)/100,2))*100</f>
        <v>9580.8460628314042</v>
      </c>
      <c r="F194">
        <f>Portfolio!B$5*'CurrentPor-LH=20 unchanged'!E194</f>
        <v>52143.895533915893</v>
      </c>
      <c r="G194">
        <f>Portfolio!B$6*'CurrentPor-LH=20 unchanged'!F194</f>
        <v>3696.2945087936532</v>
      </c>
      <c r="H194">
        <f>Portfolio!B$7*'CurrentPor-LH=20 unchanged'!J194</f>
        <v>2148.0998964419859</v>
      </c>
      <c r="I194">
        <f t="shared" si="4"/>
        <v>96498.313921470297</v>
      </c>
      <c r="J194">
        <f t="shared" si="5"/>
        <v>2.2097935389901977</v>
      </c>
    </row>
    <row r="195" spans="1:10">
      <c r="A195" s="1">
        <v>45742</v>
      </c>
      <c r="B195">
        <f>(3/(1+('CurrentPor-LH=20 unchanged'!C195)/100)+103/POWER(1+('CurrentPor-LH=20 unchanged'!D195)/100,2))*100</f>
        <v>9707.5857774288397</v>
      </c>
      <c r="C195">
        <f>(3/(1+('CurrentPor-LH=20 unchanged'!C195+'CurrentPor-LH=20 unchanged'!G195)/100)+103/POWER(1+('CurrentPor-LH=20 unchanged'!D195+'CurrentPor-LH=20 unchanged'!G195)/100,2))*100</f>
        <v>9614.9673582483465</v>
      </c>
      <c r="D195">
        <f>(3/(1+('CurrentPor-LH=20 unchanged'!C195+'CurrentPor-LH=20 unchanged'!H195)/100)+103/POWER(1+('CurrentPor-LH=20 unchanged'!D195+'CurrentPor-LH=20 unchanged'!H195)/100,2))*100</f>
        <v>9597.2656959728192</v>
      </c>
      <c r="E195">
        <f>(3/(1+('CurrentPor-LH=20 unchanged'!C195+'CurrentPor-LH=20 unchanged'!I195)/100)+103/POWER(1+('CurrentPor-LH=20 unchanged'!D195+'CurrentPor-LH=20 unchanged'!I195)/100,2))*100</f>
        <v>9578.3316448618443</v>
      </c>
      <c r="F195">
        <f>Portfolio!B$5*'CurrentPor-LH=20 unchanged'!E195</f>
        <v>52143.895533915893</v>
      </c>
      <c r="G195">
        <f>Portfolio!B$6*'CurrentPor-LH=20 unchanged'!F195</f>
        <v>3696.2945087936532</v>
      </c>
      <c r="H195">
        <f>Portfolio!B$7*'CurrentPor-LH=20 unchanged'!J195</f>
        <v>2148.0998964419859</v>
      </c>
      <c r="I195">
        <f t="shared" si="4"/>
        <v>96486.440415663383</v>
      </c>
      <c r="J195">
        <f t="shared" si="5"/>
        <v>1.4748253455472877</v>
      </c>
    </row>
    <row r="196" spans="1:10">
      <c r="A196" s="1">
        <v>45743</v>
      </c>
      <c r="B196">
        <f>(3/(1+('CurrentPor-LH=20 unchanged'!C196)/100)+103/POWER(1+('CurrentPor-LH=20 unchanged'!D196)/100,2))*100</f>
        <v>9707.5857774288397</v>
      </c>
      <c r="C196">
        <f>(3/(1+('CurrentPor-LH=20 unchanged'!C196+'CurrentPor-LH=20 unchanged'!G196)/100)+103/POWER(1+('CurrentPor-LH=20 unchanged'!D196+'CurrentPor-LH=20 unchanged'!G196)/100,2))*100</f>
        <v>9614.9673582483465</v>
      </c>
      <c r="D196">
        <f>(3/(1+('CurrentPor-LH=20 unchanged'!C196+'CurrentPor-LH=20 unchanged'!H196)/100)+103/POWER(1+('CurrentPor-LH=20 unchanged'!D196+'CurrentPor-LH=20 unchanged'!H196)/100,2))*100</f>
        <v>9602.001826533331</v>
      </c>
      <c r="E196">
        <f>(3/(1+('CurrentPor-LH=20 unchanged'!C196+'CurrentPor-LH=20 unchanged'!I196)/100)+103/POWER(1+('CurrentPor-LH=20 unchanged'!D196+'CurrentPor-LH=20 unchanged'!I196)/100,2))*100</f>
        <v>9580.4631807122314</v>
      </c>
      <c r="F196">
        <f>Portfolio!B$5*'CurrentPor-LH=20 unchanged'!E196</f>
        <v>52143.895533915893</v>
      </c>
      <c r="G196">
        <f>Portfolio!B$6*'CurrentPor-LH=20 unchanged'!F196</f>
        <v>3696.2945087936532</v>
      </c>
      <c r="H196">
        <f>Portfolio!B$7*'CurrentPor-LH=20 unchanged'!J196</f>
        <v>2148.0998964419859</v>
      </c>
      <c r="I196">
        <f t="shared" ref="I196:I259" si="6">SUM(B196:H196)</f>
        <v>96493.308082074291</v>
      </c>
      <c r="J196">
        <f t="shared" si="5"/>
        <v>9.4253278821706772</v>
      </c>
    </row>
    <row r="197" spans="1:10">
      <c r="A197" s="1">
        <v>45744</v>
      </c>
      <c r="B197">
        <f>(3/(1+('CurrentPor-LH=20 unchanged'!C197)/100)+103/POWER(1+('CurrentPor-LH=20 unchanged'!D197)/100,2))*100</f>
        <v>9707.5857774288397</v>
      </c>
      <c r="C197">
        <f>(3/(1+('CurrentPor-LH=20 unchanged'!C197+'CurrentPor-LH=20 unchanged'!G197)/100)+103/POWER(1+('CurrentPor-LH=20 unchanged'!D197+'CurrentPor-LH=20 unchanged'!G197)/100,2))*100</f>
        <v>9614.9673582483465</v>
      </c>
      <c r="D197">
        <f>(3/(1+('CurrentPor-LH=20 unchanged'!C197+'CurrentPor-LH=20 unchanged'!H197)/100)+103/POWER(1+('CurrentPor-LH=20 unchanged'!D197+'CurrentPor-LH=20 unchanged'!H197)/100,2))*100</f>
        <v>9598.4098553516797</v>
      </c>
      <c r="E197">
        <f>(3/(1+('CurrentPor-LH=20 unchanged'!C197+'CurrentPor-LH=20 unchanged'!I197)/100)+103/POWER(1+('CurrentPor-LH=20 unchanged'!D197+'CurrentPor-LH=20 unchanged'!I197)/100,2))*100</f>
        <v>9579.9611182409244</v>
      </c>
      <c r="F197">
        <f>Portfolio!B$5*'CurrentPor-LH=20 unchanged'!E197</f>
        <v>52143.895533915893</v>
      </c>
      <c r="G197">
        <f>Portfolio!B$6*'CurrentPor-LH=20 unchanged'!F197</f>
        <v>3696.2945087936532</v>
      </c>
      <c r="H197">
        <f>Portfolio!B$7*'CurrentPor-LH=20 unchanged'!J197</f>
        <v>2148.0998964419859</v>
      </c>
      <c r="I197">
        <f t="shared" si="6"/>
        <v>96489.214048421316</v>
      </c>
      <c r="J197">
        <f t="shared" si="5"/>
        <v>-0.79203528033394832</v>
      </c>
    </row>
    <row r="198" spans="1:10">
      <c r="A198" s="1">
        <v>45747</v>
      </c>
      <c r="B198">
        <f>(3/(1+('CurrentPor-LH=20 unchanged'!C198)/100)+103/POWER(1+('CurrentPor-LH=20 unchanged'!D198)/100,2))*100</f>
        <v>9707.5857774288397</v>
      </c>
      <c r="C198">
        <f>(3/(1+('CurrentPor-LH=20 unchanged'!C198+'CurrentPor-LH=20 unchanged'!G198)/100)+103/POWER(1+('CurrentPor-LH=20 unchanged'!D198+'CurrentPor-LH=20 unchanged'!G198)/100,2))*100</f>
        <v>9614.9673582483465</v>
      </c>
      <c r="D198">
        <f>(3/(1+('CurrentPor-LH=20 unchanged'!C198+'CurrentPor-LH=20 unchanged'!H198)/100)+103/POWER(1+('CurrentPor-LH=20 unchanged'!D198+'CurrentPor-LH=20 unchanged'!H198)/100,2))*100</f>
        <v>9613.8115361290984</v>
      </c>
      <c r="E198">
        <f>(3/(1+('CurrentPor-LH=20 unchanged'!C198+'CurrentPor-LH=20 unchanged'!I198)/100)+103/POWER(1+('CurrentPor-LH=20 unchanged'!D198+'CurrentPor-LH=20 unchanged'!I198)/100,2))*100</f>
        <v>9582.3862248828591</v>
      </c>
      <c r="F198">
        <f>Portfolio!B$5*'CurrentPor-LH=20 unchanged'!E198</f>
        <v>52143.895533915893</v>
      </c>
      <c r="G198">
        <f>Portfolio!B$6*'CurrentPor-LH=20 unchanged'!F198</f>
        <v>3696.2945087936532</v>
      </c>
      <c r="H198">
        <f>Portfolio!B$7*'CurrentPor-LH=20 unchanged'!J198</f>
        <v>2148.0998964419859</v>
      </c>
      <c r="I198">
        <f t="shared" si="6"/>
        <v>96507.040835840671</v>
      </c>
      <c r="J198">
        <f t="shared" si="5"/>
        <v>-13.570509366254555</v>
      </c>
    </row>
    <row r="199" spans="1:10">
      <c r="A199" s="1">
        <v>45748</v>
      </c>
      <c r="B199">
        <f>(3/(1+('CurrentPor-LH=20 unchanged'!C199)/100)+103/POWER(1+('CurrentPor-LH=20 unchanged'!D199)/100,2))*100</f>
        <v>9707.5857774288397</v>
      </c>
      <c r="C199">
        <f>(3/(1+('CurrentPor-LH=20 unchanged'!C199+'CurrentPor-LH=20 unchanged'!G199)/100)+103/POWER(1+('CurrentPor-LH=20 unchanged'!D199+'CurrentPor-LH=20 unchanged'!G199)/100,2))*100</f>
        <v>9614.9673582483465</v>
      </c>
      <c r="D199">
        <f>(3/(1+('CurrentPor-LH=20 unchanged'!C199+'CurrentPor-LH=20 unchanged'!H199)/100)+103/POWER(1+('CurrentPor-LH=20 unchanged'!D199+'CurrentPor-LH=20 unchanged'!H199)/100,2))*100</f>
        <v>9592.2905525057686</v>
      </c>
      <c r="E199">
        <f>(3/(1+('CurrentPor-LH=20 unchanged'!C199+'CurrentPor-LH=20 unchanged'!I199)/100)+103/POWER(1+('CurrentPor-LH=20 unchanged'!D199+'CurrentPor-LH=20 unchanged'!I199)/100,2))*100</f>
        <v>9579.8614289936904</v>
      </c>
      <c r="F199">
        <f>Portfolio!B$5*'CurrentPor-LH=20 unchanged'!E199</f>
        <v>52143.895533915893</v>
      </c>
      <c r="G199">
        <f>Portfolio!B$6*'CurrentPor-LH=20 unchanged'!F199</f>
        <v>3696.2945087936532</v>
      </c>
      <c r="H199">
        <f>Portfolio!B$7*'CurrentPor-LH=20 unchanged'!J199</f>
        <v>2148.0998964419859</v>
      </c>
      <c r="I199">
        <f t="shared" si="6"/>
        <v>96482.995056328175</v>
      </c>
      <c r="J199">
        <f t="shared" si="5"/>
        <v>4.3067151717259549</v>
      </c>
    </row>
    <row r="200" spans="1:10">
      <c r="A200" s="1">
        <v>45749</v>
      </c>
      <c r="B200">
        <f>(3/(1+('CurrentPor-LH=20 unchanged'!C200)/100)+103/POWER(1+('CurrentPor-LH=20 unchanged'!D200)/100,2))*100</f>
        <v>9707.5857774288397</v>
      </c>
      <c r="C200">
        <f>(3/(1+('CurrentPor-LH=20 unchanged'!C200+'CurrentPor-LH=20 unchanged'!G200)/100)+103/POWER(1+('CurrentPor-LH=20 unchanged'!D200+'CurrentPor-LH=20 unchanged'!G200)/100,2))*100</f>
        <v>9614.9673582483465</v>
      </c>
      <c r="D200">
        <f>(3/(1+('CurrentPor-LH=20 unchanged'!C200+'CurrentPor-LH=20 unchanged'!H200)/100)+103/POWER(1+('CurrentPor-LH=20 unchanged'!D200+'CurrentPor-LH=20 unchanged'!H200)/100,2))*100</f>
        <v>9585.3384234862369</v>
      </c>
      <c r="E200">
        <f>(3/(1+('CurrentPor-LH=20 unchanged'!C200+'CurrentPor-LH=20 unchanged'!I200)/100)+103/POWER(1+('CurrentPor-LH=20 unchanged'!D200+'CurrentPor-LH=20 unchanged'!I200)/100,2))*100</f>
        <v>9578.9470947184327</v>
      </c>
      <c r="F200">
        <f>Portfolio!B$5*'CurrentPor-LH=20 unchanged'!E200</f>
        <v>52143.895533915893</v>
      </c>
      <c r="G200">
        <f>Portfolio!B$6*'CurrentPor-LH=20 unchanged'!F200</f>
        <v>3696.2945087936532</v>
      </c>
      <c r="H200">
        <f>Portfolio!B$7*'CurrentPor-LH=20 unchanged'!J200</f>
        <v>2148.0998964419859</v>
      </c>
      <c r="I200">
        <f t="shared" si="6"/>
        <v>96475.128593033383</v>
      </c>
      <c r="J200">
        <f t="shared" si="5"/>
        <v>-33.084709216971532</v>
      </c>
    </row>
    <row r="201" spans="1:10">
      <c r="A201" s="1">
        <v>45750</v>
      </c>
      <c r="B201">
        <f>(3/(1+('CurrentPor-LH=20 unchanged'!C201)/100)+103/POWER(1+('CurrentPor-LH=20 unchanged'!D201)/100,2))*100</f>
        <v>9707.5857774288397</v>
      </c>
      <c r="C201">
        <f>(3/(1+('CurrentPor-LH=20 unchanged'!C201+'CurrentPor-LH=20 unchanged'!G201)/100)+103/POWER(1+('CurrentPor-LH=20 unchanged'!D201+'CurrentPor-LH=20 unchanged'!G201)/100,2))*100</f>
        <v>9614.9673582483465</v>
      </c>
      <c r="D201">
        <f>(3/(1+('CurrentPor-LH=20 unchanged'!C201+'CurrentPor-LH=20 unchanged'!H201)/100)+103/POWER(1+('CurrentPor-LH=20 unchanged'!D201+'CurrentPor-LH=20 unchanged'!H201)/100,2))*100</f>
        <v>9604.6807048775063</v>
      </c>
      <c r="E201">
        <f>(3/(1+('CurrentPor-LH=20 unchanged'!C201+'CurrentPor-LH=20 unchanged'!I201)/100)+103/POWER(1+('CurrentPor-LH=20 unchanged'!D201+'CurrentPor-LH=20 unchanged'!I201)/100,2))*100</f>
        <v>9580.5931539777375</v>
      </c>
      <c r="F201">
        <f>Portfolio!B$5*'CurrentPor-LH=20 unchanged'!E201</f>
        <v>52143.895533915893</v>
      </c>
      <c r="G201">
        <f>Portfolio!B$6*'CurrentPor-LH=20 unchanged'!F201</f>
        <v>3696.2945087936532</v>
      </c>
      <c r="H201">
        <f>Portfolio!B$7*'CurrentPor-LH=20 unchanged'!J201</f>
        <v>2148.0998964419859</v>
      </c>
      <c r="I201">
        <f t="shared" si="6"/>
        <v>96496.116933683967</v>
      </c>
      <c r="J201">
        <f t="shared" si="5"/>
        <v>-0.24117334556649439</v>
      </c>
    </row>
    <row r="202" spans="1:10">
      <c r="A202" s="1">
        <v>45751</v>
      </c>
      <c r="B202">
        <f>(3/(1+('CurrentPor-LH=20 unchanged'!C202)/100)+103/POWER(1+('CurrentPor-LH=20 unchanged'!D202)/100,2))*100</f>
        <v>9707.5857774288397</v>
      </c>
      <c r="C202">
        <f>(3/(1+('CurrentPor-LH=20 unchanged'!C202+'CurrentPor-LH=20 unchanged'!G202)/100)+103/POWER(1+('CurrentPor-LH=20 unchanged'!D202+'CurrentPor-LH=20 unchanged'!G202)/100,2))*100</f>
        <v>9614.9673582483465</v>
      </c>
      <c r="D202">
        <f>(3/(1+('CurrentPor-LH=20 unchanged'!C202+'CurrentPor-LH=20 unchanged'!H202)/100)+103/POWER(1+('CurrentPor-LH=20 unchanged'!D202+'CurrentPor-LH=20 unchanged'!H202)/100,2))*100</f>
        <v>9594.4475817672246</v>
      </c>
      <c r="E202">
        <f>(3/(1+('CurrentPor-LH=20 unchanged'!C202+'CurrentPor-LH=20 unchanged'!I202)/100)+103/POWER(1+('CurrentPor-LH=20 unchanged'!D202+'CurrentPor-LH=20 unchanged'!I202)/100,2))*100</f>
        <v>9579.580617643187</v>
      </c>
      <c r="F202">
        <f>Portfolio!B$5*'CurrentPor-LH=20 unchanged'!E202</f>
        <v>52143.895533915893</v>
      </c>
      <c r="G202">
        <f>Portfolio!B$6*'CurrentPor-LH=20 unchanged'!F202</f>
        <v>3696.2945087936532</v>
      </c>
      <c r="H202">
        <f>Portfolio!B$7*'CurrentPor-LH=20 unchanged'!J202</f>
        <v>2148.0998964419859</v>
      </c>
      <c r="I202">
        <f t="shared" si="6"/>
        <v>96484.871274239136</v>
      </c>
      <c r="J202">
        <f t="shared" si="5"/>
        <v>-10.326732991321478</v>
      </c>
    </row>
    <row r="203" spans="1:10">
      <c r="A203" s="1">
        <v>45754</v>
      </c>
      <c r="B203">
        <f>(3/(1+('CurrentPor-LH=20 unchanged'!C203)/100)+103/POWER(1+('CurrentPor-LH=20 unchanged'!D203)/100,2))*100</f>
        <v>9707.5857774288397</v>
      </c>
      <c r="C203">
        <f>(3/(1+('CurrentPor-LH=20 unchanged'!C203+'CurrentPor-LH=20 unchanged'!G203)/100)+103/POWER(1+('CurrentPor-LH=20 unchanged'!D203+'CurrentPor-LH=20 unchanged'!G203)/100,2))*100</f>
        <v>9614.9673582483465</v>
      </c>
      <c r="D203">
        <f>(3/(1+('CurrentPor-LH=20 unchanged'!C203+'CurrentPor-LH=20 unchanged'!H203)/100)+103/POWER(1+('CurrentPor-LH=20 unchanged'!D203+'CurrentPor-LH=20 unchanged'!H203)/100,2))*100</f>
        <v>9592.1545286175424</v>
      </c>
      <c r="E203">
        <f>(3/(1+('CurrentPor-LH=20 unchanged'!C203+'CurrentPor-LH=20 unchanged'!I203)/100)+103/POWER(1+('CurrentPor-LH=20 unchanged'!D203+'CurrentPor-LH=20 unchanged'!I203)/100,2))*100</f>
        <v>9580.0890355199026</v>
      </c>
      <c r="F203">
        <f>Portfolio!B$5*'CurrentPor-LH=20 unchanged'!E203</f>
        <v>52143.895533915893</v>
      </c>
      <c r="G203">
        <f>Portfolio!B$6*'CurrentPor-LH=20 unchanged'!F203</f>
        <v>3696.2945087936532</v>
      </c>
      <c r="H203">
        <f>Portfolio!B$7*'CurrentPor-LH=20 unchanged'!J203</f>
        <v>2148.0998964419859</v>
      </c>
      <c r="I203">
        <f t="shared" si="6"/>
        <v>96483.086638966153</v>
      </c>
      <c r="J203">
        <f t="shared" si="5"/>
        <v>-9.6775194619840477</v>
      </c>
    </row>
    <row r="204" spans="1:10">
      <c r="A204" s="1">
        <v>45755</v>
      </c>
      <c r="B204">
        <f>(3/(1+('CurrentPor-LH=20 unchanged'!C204)/100)+103/POWER(1+('CurrentPor-LH=20 unchanged'!D204)/100,2))*100</f>
        <v>9707.5857774288397</v>
      </c>
      <c r="C204">
        <f>(3/(1+('CurrentPor-LH=20 unchanged'!C204+'CurrentPor-LH=20 unchanged'!G204)/100)+103/POWER(1+('CurrentPor-LH=20 unchanged'!D204+'CurrentPor-LH=20 unchanged'!G204)/100,2))*100</f>
        <v>9614.9673582483465</v>
      </c>
      <c r="D204">
        <f>(3/(1+('CurrentPor-LH=20 unchanged'!C204+'CurrentPor-LH=20 unchanged'!H204)/100)+103/POWER(1+('CurrentPor-LH=20 unchanged'!D204+'CurrentPor-LH=20 unchanged'!H204)/100,2))*100</f>
        <v>9602.2104434592766</v>
      </c>
      <c r="E204">
        <f>(3/(1+('CurrentPor-LH=20 unchanged'!C204+'CurrentPor-LH=20 unchanged'!I204)/100)+103/POWER(1+('CurrentPor-LH=20 unchanged'!D204+'CurrentPor-LH=20 unchanged'!I204)/100,2))*100</f>
        <v>9577.4744915782867</v>
      </c>
      <c r="F204">
        <f>Portfolio!B$5*'CurrentPor-LH=20 unchanged'!E204</f>
        <v>52143.895533915893</v>
      </c>
      <c r="G204">
        <f>Portfolio!B$6*'CurrentPor-LH=20 unchanged'!F204</f>
        <v>3696.2945087936532</v>
      </c>
      <c r="H204">
        <f>Portfolio!B$7*'CurrentPor-LH=20 unchanged'!J204</f>
        <v>2148.0998964419859</v>
      </c>
      <c r="I204">
        <f t="shared" si="6"/>
        <v>96490.528009866292</v>
      </c>
      <c r="J204">
        <f t="shared" si="5"/>
        <v>-7.7859116040053777</v>
      </c>
    </row>
    <row r="205" spans="1:10">
      <c r="A205" s="1">
        <v>45756</v>
      </c>
      <c r="B205">
        <f>(3/(1+('CurrentPor-LH=20 unchanged'!C205)/100)+103/POWER(1+('CurrentPor-LH=20 unchanged'!D205)/100,2))*100</f>
        <v>9707.5857774288397</v>
      </c>
      <c r="C205">
        <f>(3/(1+('CurrentPor-LH=20 unchanged'!C205+'CurrentPor-LH=20 unchanged'!G205)/100)+103/POWER(1+('CurrentPor-LH=20 unchanged'!D205+'CurrentPor-LH=20 unchanged'!G205)/100,2))*100</f>
        <v>9614.9673582483465</v>
      </c>
      <c r="D205">
        <f>(3/(1+('CurrentPor-LH=20 unchanged'!C205+'CurrentPor-LH=20 unchanged'!H205)/100)+103/POWER(1+('CurrentPor-LH=20 unchanged'!D205+'CurrentPor-LH=20 unchanged'!H205)/100,2))*100</f>
        <v>9575.6895528802452</v>
      </c>
      <c r="E205">
        <f>(3/(1+('CurrentPor-LH=20 unchanged'!C205+'CurrentPor-LH=20 unchanged'!I205)/100)+103/POWER(1+('CurrentPor-LH=20 unchanged'!D205+'CurrentPor-LH=20 unchanged'!I205)/100,2))*100</f>
        <v>9579.3318572727694</v>
      </c>
      <c r="F205">
        <f>Portfolio!B$5*'CurrentPor-LH=20 unchanged'!E205</f>
        <v>52143.895533915893</v>
      </c>
      <c r="G205">
        <f>Portfolio!B$6*'CurrentPor-LH=20 unchanged'!F205</f>
        <v>3696.2945087936532</v>
      </c>
      <c r="H205">
        <f>Portfolio!B$7*'CurrentPor-LH=20 unchanged'!J205</f>
        <v>2148.0998964419859</v>
      </c>
      <c r="I205">
        <f t="shared" si="6"/>
        <v>96465.864484981736</v>
      </c>
      <c r="J205">
        <f t="shared" si="5"/>
        <v>-20.575930681647151</v>
      </c>
    </row>
    <row r="206" spans="1:10">
      <c r="A206" s="1">
        <v>45757</v>
      </c>
      <c r="B206">
        <f>(3/(1+('CurrentPor-LH=20 unchanged'!C206)/100)+103/POWER(1+('CurrentPor-LH=20 unchanged'!D206)/100,2))*100</f>
        <v>9707.5857774288397</v>
      </c>
      <c r="C206">
        <f>(3/(1+('CurrentPor-LH=20 unchanged'!C206+'CurrentPor-LH=20 unchanged'!G206)/100)+103/POWER(1+('CurrentPor-LH=20 unchanged'!D206+'CurrentPor-LH=20 unchanged'!G206)/100,2))*100</f>
        <v>9614.9673582483465</v>
      </c>
      <c r="D206">
        <f>(3/(1+('CurrentPor-LH=20 unchanged'!C206+'CurrentPor-LH=20 unchanged'!H206)/100)+103/POWER(1+('CurrentPor-LH=20 unchanged'!D206+'CurrentPor-LH=20 unchanged'!H206)/100,2))*100</f>
        <v>9599.1470407770994</v>
      </c>
      <c r="E206">
        <f>(3/(1+('CurrentPor-LH=20 unchanged'!C206+'CurrentPor-LH=20 unchanged'!I206)/100)+103/POWER(1+('CurrentPor-LH=20 unchanged'!D206+'CurrentPor-LH=20 unchanged'!I206)/100,2))*100</f>
        <v>9579.8326749195712</v>
      </c>
      <c r="F206">
        <f>Portfolio!B$5*'CurrentPor-LH=20 unchanged'!E206</f>
        <v>52143.895533915893</v>
      </c>
      <c r="G206">
        <f>Portfolio!B$6*'CurrentPor-LH=20 unchanged'!F206</f>
        <v>3696.2945087936532</v>
      </c>
      <c r="H206">
        <f>Portfolio!B$7*'CurrentPor-LH=20 unchanged'!J206</f>
        <v>2148.0998964419859</v>
      </c>
      <c r="I206">
        <f t="shared" si="6"/>
        <v>96489.822790525388</v>
      </c>
      <c r="J206">
        <f t="shared" ref="J206:J263" si="7">I206-I196</f>
        <v>-3.4852915489027509</v>
      </c>
    </row>
    <row r="207" spans="1:10">
      <c r="A207" s="1">
        <v>45758</v>
      </c>
      <c r="B207">
        <f>(3/(1+('CurrentPor-LH=20 unchanged'!C207)/100)+103/POWER(1+('CurrentPor-LH=20 unchanged'!D207)/100,2))*100</f>
        <v>9707.5857774288397</v>
      </c>
      <c r="C207">
        <f>(3/(1+('CurrentPor-LH=20 unchanged'!C207+'CurrentPor-LH=20 unchanged'!G207)/100)+103/POWER(1+('CurrentPor-LH=20 unchanged'!D207+'CurrentPor-LH=20 unchanged'!G207)/100,2))*100</f>
        <v>9614.9673582483465</v>
      </c>
      <c r="D207">
        <f>(3/(1+('CurrentPor-LH=20 unchanged'!C207+'CurrentPor-LH=20 unchanged'!H207)/100)+103/POWER(1+('CurrentPor-LH=20 unchanged'!D207+'CurrentPor-LH=20 unchanged'!H207)/100,2))*100</f>
        <v>9608.8092282369835</v>
      </c>
      <c r="E207">
        <f>(3/(1+('CurrentPor-LH=20 unchanged'!C207+'CurrentPor-LH=20 unchanged'!I207)/100)+103/POWER(1+('CurrentPor-LH=20 unchanged'!D207+'CurrentPor-LH=20 unchanged'!I207)/100,2))*100</f>
        <v>9580.4885829514042</v>
      </c>
      <c r="F207">
        <f>Portfolio!B$5*'CurrentPor-LH=20 unchanged'!E207</f>
        <v>52143.895533915893</v>
      </c>
      <c r="G207">
        <f>Portfolio!B$6*'CurrentPor-LH=20 unchanged'!F207</f>
        <v>3696.2945087936532</v>
      </c>
      <c r="H207">
        <f>Portfolio!B$7*'CurrentPor-LH=20 unchanged'!J207</f>
        <v>2148.0998964419859</v>
      </c>
      <c r="I207">
        <f t="shared" si="6"/>
        <v>96500.140886017107</v>
      </c>
      <c r="J207">
        <f t="shared" si="7"/>
        <v>10.926837595790857</v>
      </c>
    </row>
    <row r="208" spans="1:10">
      <c r="A208" s="1">
        <v>45761</v>
      </c>
      <c r="B208">
        <f>(3/(1+('CurrentPor-LH=20 unchanged'!C208)/100)+103/POWER(1+('CurrentPor-LH=20 unchanged'!D208)/100,2))*100</f>
        <v>9707.5857774288397</v>
      </c>
      <c r="C208">
        <f>(3/(1+('CurrentPor-LH=20 unchanged'!C208+'CurrentPor-LH=20 unchanged'!G208)/100)+103/POWER(1+('CurrentPor-LH=20 unchanged'!D208+'CurrentPor-LH=20 unchanged'!G208)/100,2))*100</f>
        <v>9614.9673582483465</v>
      </c>
      <c r="D208">
        <f>(3/(1+('CurrentPor-LH=20 unchanged'!C208+'CurrentPor-LH=20 unchanged'!H208)/100)+103/POWER(1+('CurrentPor-LH=20 unchanged'!D208+'CurrentPor-LH=20 unchanged'!H208)/100,2))*100</f>
        <v>9587.2812008711026</v>
      </c>
      <c r="E208">
        <f>(3/(1+('CurrentPor-LH=20 unchanged'!C208+'CurrentPor-LH=20 unchanged'!I208)/100)+103/POWER(1+('CurrentPor-LH=20 unchanged'!D208+'CurrentPor-LH=20 unchanged'!I208)/100,2))*100</f>
        <v>9582.2911040117997</v>
      </c>
      <c r="F208">
        <f>Portfolio!B$5*'CurrentPor-LH=20 unchanged'!E208</f>
        <v>52143.895533915893</v>
      </c>
      <c r="G208">
        <f>Portfolio!B$6*'CurrentPor-LH=20 unchanged'!F208</f>
        <v>3696.2945087936532</v>
      </c>
      <c r="H208">
        <f>Portfolio!B$7*'CurrentPor-LH=20 unchanged'!J208</f>
        <v>2148.0998964419859</v>
      </c>
      <c r="I208">
        <f t="shared" si="6"/>
        <v>96480.415379711616</v>
      </c>
      <c r="J208">
        <f t="shared" si="7"/>
        <v>-26.625456129055237</v>
      </c>
    </row>
    <row r="209" spans="1:10">
      <c r="A209" s="1">
        <v>45762</v>
      </c>
      <c r="B209">
        <f>(3/(1+('CurrentPor-LH=20 unchanged'!C209)/100)+103/POWER(1+('CurrentPor-LH=20 unchanged'!D209)/100,2))*100</f>
        <v>9707.5857774288397</v>
      </c>
      <c r="C209">
        <f>(3/(1+('CurrentPor-LH=20 unchanged'!C209+'CurrentPor-LH=20 unchanged'!G209)/100)+103/POWER(1+('CurrentPor-LH=20 unchanged'!D209+'CurrentPor-LH=20 unchanged'!G209)/100,2))*100</f>
        <v>9614.9673582483465</v>
      </c>
      <c r="D209">
        <f>(3/(1+('CurrentPor-LH=20 unchanged'!C209+'CurrentPor-LH=20 unchanged'!H209)/100)+103/POWER(1+('CurrentPor-LH=20 unchanged'!D209+'CurrentPor-LH=20 unchanged'!H209)/100,2))*100</f>
        <v>9597.2389014352339</v>
      </c>
      <c r="E209">
        <f>(3/(1+('CurrentPor-LH=20 unchanged'!C209+'CurrentPor-LH=20 unchanged'!I209)/100)+103/POWER(1+('CurrentPor-LH=20 unchanged'!D209+'CurrentPor-LH=20 unchanged'!I209)/100,2))*100</f>
        <v>9582.2866714527445</v>
      </c>
      <c r="F209">
        <f>Portfolio!B$5*'CurrentPor-LH=20 unchanged'!E209</f>
        <v>52143.895533915893</v>
      </c>
      <c r="G209">
        <f>Portfolio!B$6*'CurrentPor-LH=20 unchanged'!F209</f>
        <v>3696.2945087936532</v>
      </c>
      <c r="H209">
        <f>Portfolio!B$7*'CurrentPor-LH=20 unchanged'!J209</f>
        <v>2148.0998964419859</v>
      </c>
      <c r="I209">
        <f t="shared" si="6"/>
        <v>96490.368647716692</v>
      </c>
      <c r="J209">
        <f t="shared" si="7"/>
        <v>7.373591388517525</v>
      </c>
    </row>
    <row r="210" spans="1:10">
      <c r="A210" s="1">
        <v>45763</v>
      </c>
      <c r="B210">
        <f>(3/(1+('CurrentPor-LH=20 unchanged'!C210)/100)+103/POWER(1+('CurrentPor-LH=20 unchanged'!D210)/100,2))*100</f>
        <v>9707.5857774288397</v>
      </c>
      <c r="C210">
        <f>(3/(1+('CurrentPor-LH=20 unchanged'!C210+'CurrentPor-LH=20 unchanged'!G210)/100)+103/POWER(1+('CurrentPor-LH=20 unchanged'!D210+'CurrentPor-LH=20 unchanged'!G210)/100,2))*100</f>
        <v>9614.9673582483465</v>
      </c>
      <c r="D210">
        <f>(3/(1+('CurrentPor-LH=20 unchanged'!C210+'CurrentPor-LH=20 unchanged'!H210)/100)+103/POWER(1+('CurrentPor-LH=20 unchanged'!D210+'CurrentPor-LH=20 unchanged'!H210)/100,2))*100</f>
        <v>9609.2692128664075</v>
      </c>
      <c r="E210">
        <f>(3/(1+('CurrentPor-LH=20 unchanged'!C210+'CurrentPor-LH=20 unchanged'!I210)/100)+103/POWER(1+('CurrentPor-LH=20 unchanged'!D210+'CurrentPor-LH=20 unchanged'!I210)/100,2))*100</f>
        <v>9580.4366410927123</v>
      </c>
      <c r="F210">
        <f>Portfolio!B$5*'CurrentPor-LH=20 unchanged'!E210</f>
        <v>52143.895533915893</v>
      </c>
      <c r="G210">
        <f>Portfolio!B$6*'CurrentPor-LH=20 unchanged'!F210</f>
        <v>3696.2945087936532</v>
      </c>
      <c r="H210">
        <f>Portfolio!B$7*'CurrentPor-LH=20 unchanged'!J210</f>
        <v>2148.0998964419859</v>
      </c>
      <c r="I210">
        <f t="shared" si="6"/>
        <v>96500.54892878783</v>
      </c>
      <c r="J210">
        <f t="shared" si="7"/>
        <v>25.420335754446569</v>
      </c>
    </row>
    <row r="211" spans="1:10">
      <c r="A211" s="1">
        <v>45764</v>
      </c>
      <c r="B211">
        <f>(3/(1+('CurrentPor-LH=20 unchanged'!C211)/100)+103/POWER(1+('CurrentPor-LH=20 unchanged'!D211)/100,2))*100</f>
        <v>9707.5857774288397</v>
      </c>
      <c r="C211">
        <f>(3/(1+('CurrentPor-LH=20 unchanged'!C211+'CurrentPor-LH=20 unchanged'!G211)/100)+103/POWER(1+('CurrentPor-LH=20 unchanged'!D211+'CurrentPor-LH=20 unchanged'!G211)/100,2))*100</f>
        <v>9614.9673582483465</v>
      </c>
      <c r="D211">
        <f>(3/(1+('CurrentPor-LH=20 unchanged'!C211+'CurrentPor-LH=20 unchanged'!H211)/100)+103/POWER(1+('CurrentPor-LH=20 unchanged'!D211+'CurrentPor-LH=20 unchanged'!H211)/100,2))*100</f>
        <v>9607.2616685294888</v>
      </c>
      <c r="E211">
        <f>(3/(1+('CurrentPor-LH=20 unchanged'!C211+'CurrentPor-LH=20 unchanged'!I211)/100)+103/POWER(1+('CurrentPor-LH=20 unchanged'!D211+'CurrentPor-LH=20 unchanged'!I211)/100,2))*100</f>
        <v>9580.8447310471183</v>
      </c>
      <c r="F211">
        <f>Portfolio!B$5*'CurrentPor-LH=20 unchanged'!E211</f>
        <v>52143.895533915893</v>
      </c>
      <c r="G211">
        <f>Portfolio!B$6*'CurrentPor-LH=20 unchanged'!F211</f>
        <v>3696.2945087936532</v>
      </c>
      <c r="H211">
        <f>Portfolio!B$7*'CurrentPor-LH=20 unchanged'!J211</f>
        <v>2148.0998964419859</v>
      </c>
      <c r="I211">
        <f t="shared" si="6"/>
        <v>96498.949474405323</v>
      </c>
      <c r="J211">
        <f t="shared" si="7"/>
        <v>2.8325407213560538</v>
      </c>
    </row>
    <row r="212" spans="1:10">
      <c r="A212" s="1">
        <v>45765</v>
      </c>
      <c r="B212">
        <f>(3/(1+('CurrentPor-LH=20 unchanged'!C212)/100)+103/POWER(1+('CurrentPor-LH=20 unchanged'!D212)/100,2))*100</f>
        <v>9707.5857774288397</v>
      </c>
      <c r="C212">
        <f>(3/(1+('CurrentPor-LH=20 unchanged'!C212+'CurrentPor-LH=20 unchanged'!G212)/100)+103/POWER(1+('CurrentPor-LH=20 unchanged'!D212+'CurrentPor-LH=20 unchanged'!G212)/100,2))*100</f>
        <v>9614.9673582483465</v>
      </c>
      <c r="D212">
        <f>(3/(1+('CurrentPor-LH=20 unchanged'!C212+'CurrentPor-LH=20 unchanged'!H212)/100)+103/POWER(1+('CurrentPor-LH=20 unchanged'!D212+'CurrentPor-LH=20 unchanged'!H212)/100,2))*100</f>
        <v>9598.8375028257615</v>
      </c>
      <c r="E212">
        <f>(3/(1+('CurrentPor-LH=20 unchanged'!C212+'CurrentPor-LH=20 unchanged'!I212)/100)+103/POWER(1+('CurrentPor-LH=20 unchanged'!D212+'CurrentPor-LH=20 unchanged'!I212)/100,2))*100</f>
        <v>9579.5132129173362</v>
      </c>
      <c r="F212">
        <f>Portfolio!B$5*'CurrentPor-LH=20 unchanged'!E212</f>
        <v>52143.895533915893</v>
      </c>
      <c r="G212">
        <f>Portfolio!B$6*'CurrentPor-LH=20 unchanged'!F212</f>
        <v>3696.2945087936532</v>
      </c>
      <c r="H212">
        <f>Portfolio!B$7*'CurrentPor-LH=20 unchanged'!J212</f>
        <v>2148.0998964419859</v>
      </c>
      <c r="I212">
        <f t="shared" si="6"/>
        <v>96489.193790571808</v>
      </c>
      <c r="J212">
        <f t="shared" si="7"/>
        <v>4.3225163326715119</v>
      </c>
    </row>
    <row r="213" spans="1:10">
      <c r="A213" s="1">
        <v>45768</v>
      </c>
      <c r="B213">
        <f>(3/(1+('CurrentPor-LH=20 unchanged'!C213)/100)+103/POWER(1+('CurrentPor-LH=20 unchanged'!D213)/100,2))*100</f>
        <v>9707.5857774288397</v>
      </c>
      <c r="C213">
        <f>(3/(1+('CurrentPor-LH=20 unchanged'!C213+'CurrentPor-LH=20 unchanged'!G213)/100)+103/POWER(1+('CurrentPor-LH=20 unchanged'!D213+'CurrentPor-LH=20 unchanged'!G213)/100,2))*100</f>
        <v>9614.9673582483465</v>
      </c>
      <c r="D213">
        <f>(3/(1+('CurrentPor-LH=20 unchanged'!C213+'CurrentPor-LH=20 unchanged'!H213)/100)+103/POWER(1+('CurrentPor-LH=20 unchanged'!D213+'CurrentPor-LH=20 unchanged'!H213)/100,2))*100</f>
        <v>9605.445928657351</v>
      </c>
      <c r="E213">
        <f>(3/(1+('CurrentPor-LH=20 unchanged'!C213+'CurrentPor-LH=20 unchanged'!I213)/100)+103/POWER(1+('CurrentPor-LH=20 unchanged'!D213+'CurrentPor-LH=20 unchanged'!I213)/100,2))*100</f>
        <v>9580.0160112982776</v>
      </c>
      <c r="F213">
        <f>Portfolio!B$5*'CurrentPor-LH=20 unchanged'!E213</f>
        <v>52143.895533915893</v>
      </c>
      <c r="G213">
        <f>Portfolio!B$6*'CurrentPor-LH=20 unchanged'!F213</f>
        <v>3696.2945087936532</v>
      </c>
      <c r="H213">
        <f>Portfolio!B$7*'CurrentPor-LH=20 unchanged'!J213</f>
        <v>2148.0998964419859</v>
      </c>
      <c r="I213">
        <f t="shared" si="6"/>
        <v>96496.305014784346</v>
      </c>
      <c r="J213">
        <f t="shared" si="7"/>
        <v>13.218375818192726</v>
      </c>
    </row>
    <row r="214" spans="1:10">
      <c r="A214" s="1">
        <v>45769</v>
      </c>
      <c r="B214">
        <f>(3/(1+('CurrentPor-LH=20 unchanged'!C214)/100)+103/POWER(1+('CurrentPor-LH=20 unchanged'!D214)/100,2))*100</f>
        <v>9707.5857774288397</v>
      </c>
      <c r="C214">
        <f>(3/(1+('CurrentPor-LH=20 unchanged'!C214+'CurrentPor-LH=20 unchanged'!G214)/100)+103/POWER(1+('CurrentPor-LH=20 unchanged'!D214+'CurrentPor-LH=20 unchanged'!G214)/100,2))*100</f>
        <v>9614.9673582483465</v>
      </c>
      <c r="D214">
        <f>(3/(1+('CurrentPor-LH=20 unchanged'!C214+'CurrentPor-LH=20 unchanged'!H214)/100)+103/POWER(1+('CurrentPor-LH=20 unchanged'!D214+'CurrentPor-LH=20 unchanged'!H214)/100,2))*100</f>
        <v>9612.6754825690132</v>
      </c>
      <c r="E214">
        <f>(3/(1+('CurrentPor-LH=20 unchanged'!C214+'CurrentPor-LH=20 unchanged'!I214)/100)+103/POWER(1+('CurrentPor-LH=20 unchanged'!D214+'CurrentPor-LH=20 unchanged'!I214)/100,2))*100</f>
        <v>9580.6461702907818</v>
      </c>
      <c r="F214">
        <f>Portfolio!B$5*'CurrentPor-LH=20 unchanged'!E214</f>
        <v>52143.895533915893</v>
      </c>
      <c r="G214">
        <f>Portfolio!B$6*'CurrentPor-LH=20 unchanged'!F214</f>
        <v>3696.2945087936532</v>
      </c>
      <c r="H214">
        <f>Portfolio!B$7*'CurrentPor-LH=20 unchanged'!J214</f>
        <v>2148.0998964419859</v>
      </c>
      <c r="I214">
        <f t="shared" si="6"/>
        <v>96504.16472768852</v>
      </c>
      <c r="J214">
        <f t="shared" si="7"/>
        <v>13.636717822228093</v>
      </c>
    </row>
    <row r="215" spans="1:10">
      <c r="A215" s="1">
        <v>45770</v>
      </c>
      <c r="B215">
        <f>(3/(1+('CurrentPor-LH=20 unchanged'!C215)/100)+103/POWER(1+('CurrentPor-LH=20 unchanged'!D215)/100,2))*100</f>
        <v>9707.5857774288397</v>
      </c>
      <c r="C215">
        <f>(3/(1+('CurrentPor-LH=20 unchanged'!C215+'CurrentPor-LH=20 unchanged'!G215)/100)+103/POWER(1+('CurrentPor-LH=20 unchanged'!D215+'CurrentPor-LH=20 unchanged'!G215)/100,2))*100</f>
        <v>9614.9673582483465</v>
      </c>
      <c r="D215">
        <f>(3/(1+('CurrentPor-LH=20 unchanged'!C215+'CurrentPor-LH=20 unchanged'!H215)/100)+103/POWER(1+('CurrentPor-LH=20 unchanged'!D215+'CurrentPor-LH=20 unchanged'!H215)/100,2))*100</f>
        <v>9591.0603875672477</v>
      </c>
      <c r="E215">
        <f>(3/(1+('CurrentPor-LH=20 unchanged'!C215+'CurrentPor-LH=20 unchanged'!I215)/100)+103/POWER(1+('CurrentPor-LH=20 unchanged'!D215+'CurrentPor-LH=20 unchanged'!I215)/100,2))*100</f>
        <v>9581.1060732120277</v>
      </c>
      <c r="F215">
        <f>Portfolio!B$5*'CurrentPor-LH=20 unchanged'!E215</f>
        <v>52143.895533915893</v>
      </c>
      <c r="G215">
        <f>Portfolio!B$6*'CurrentPor-LH=20 unchanged'!F215</f>
        <v>3696.2945087936532</v>
      </c>
      <c r="H215">
        <f>Portfolio!B$7*'CurrentPor-LH=20 unchanged'!J215</f>
        <v>2148.0998964419859</v>
      </c>
      <c r="I215">
        <f t="shared" si="6"/>
        <v>96483.009535607984</v>
      </c>
      <c r="J215">
        <f t="shared" si="7"/>
        <v>17.145050626248121</v>
      </c>
    </row>
    <row r="216" spans="1:10">
      <c r="A216" s="1">
        <v>45771</v>
      </c>
      <c r="B216">
        <f>(3/(1+('CurrentPor-LH=20 unchanged'!C216)/100)+103/POWER(1+('CurrentPor-LH=20 unchanged'!D216)/100,2))*100</f>
        <v>9707.5857774288397</v>
      </c>
      <c r="C216">
        <f>(3/(1+('CurrentPor-LH=20 unchanged'!C216+'CurrentPor-LH=20 unchanged'!G216)/100)+103/POWER(1+('CurrentPor-LH=20 unchanged'!D216+'CurrentPor-LH=20 unchanged'!G216)/100,2))*100</f>
        <v>9614.9673582483465</v>
      </c>
      <c r="D216">
        <f>(3/(1+('CurrentPor-LH=20 unchanged'!C216+'CurrentPor-LH=20 unchanged'!H216)/100)+103/POWER(1+('CurrentPor-LH=20 unchanged'!D216+'CurrentPor-LH=20 unchanged'!H216)/100,2))*100</f>
        <v>9613.7113936162423</v>
      </c>
      <c r="E216">
        <f>(3/(1+('CurrentPor-LH=20 unchanged'!C216+'CurrentPor-LH=20 unchanged'!I216)/100)+103/POWER(1+('CurrentPor-LH=20 unchanged'!D216+'CurrentPor-LH=20 unchanged'!I216)/100,2))*100</f>
        <v>9579.9643646704317</v>
      </c>
      <c r="F216">
        <f>Portfolio!B$5*'CurrentPor-LH=20 unchanged'!E216</f>
        <v>52143.895533915893</v>
      </c>
      <c r="G216">
        <f>Portfolio!B$6*'CurrentPor-LH=20 unchanged'!F216</f>
        <v>3696.2945087936532</v>
      </c>
      <c r="H216">
        <f>Portfolio!B$7*'CurrentPor-LH=20 unchanged'!J216</f>
        <v>2148.0998964419859</v>
      </c>
      <c r="I216">
        <f t="shared" si="6"/>
        <v>96504.518833115391</v>
      </c>
      <c r="J216">
        <f t="shared" si="7"/>
        <v>14.696042590003344</v>
      </c>
    </row>
    <row r="217" spans="1:10">
      <c r="A217" s="1">
        <v>45772</v>
      </c>
      <c r="B217">
        <f>(3/(1+('CurrentPor-LH=20 unchanged'!C217)/100)+103/POWER(1+('CurrentPor-LH=20 unchanged'!D217)/100,2))*100</f>
        <v>9707.5857774288397</v>
      </c>
      <c r="C217">
        <f>(3/(1+('CurrentPor-LH=20 unchanged'!C217+'CurrentPor-LH=20 unchanged'!G217)/100)+103/POWER(1+('CurrentPor-LH=20 unchanged'!D217+'CurrentPor-LH=20 unchanged'!G217)/100,2))*100</f>
        <v>9614.9673582483465</v>
      </c>
      <c r="D217">
        <f>(3/(1+('CurrentPor-LH=20 unchanged'!C217+'CurrentPor-LH=20 unchanged'!H217)/100)+103/POWER(1+('CurrentPor-LH=20 unchanged'!D217+'CurrentPor-LH=20 unchanged'!H217)/100,2))*100</f>
        <v>9594.564727189756</v>
      </c>
      <c r="E217">
        <f>(3/(1+('CurrentPor-LH=20 unchanged'!C217+'CurrentPor-LH=20 unchanged'!I217)/100)+103/POWER(1+('CurrentPor-LH=20 unchanged'!D217+'CurrentPor-LH=20 unchanged'!I217)/100,2))*100</f>
        <v>9581.2738336585917</v>
      </c>
      <c r="F217">
        <f>Portfolio!B$5*'CurrentPor-LH=20 unchanged'!E217</f>
        <v>52143.895533915893</v>
      </c>
      <c r="G217">
        <f>Portfolio!B$6*'CurrentPor-LH=20 unchanged'!F217</f>
        <v>3696.2945087936532</v>
      </c>
      <c r="H217">
        <f>Portfolio!B$7*'CurrentPor-LH=20 unchanged'!J217</f>
        <v>2148.0998964419859</v>
      </c>
      <c r="I217">
        <f t="shared" si="6"/>
        <v>96486.681635677072</v>
      </c>
      <c r="J217">
        <f t="shared" si="7"/>
        <v>-13.459250340034487</v>
      </c>
    </row>
    <row r="218" spans="1:10">
      <c r="A218" s="1">
        <v>45775</v>
      </c>
      <c r="B218">
        <f>(3/(1+('CurrentPor-LH=20 unchanged'!C218)/100)+103/POWER(1+('CurrentPor-LH=20 unchanged'!D218)/100,2))*100</f>
        <v>9707.5857774288397</v>
      </c>
      <c r="C218">
        <f>(3/(1+('CurrentPor-LH=20 unchanged'!C218+'CurrentPor-LH=20 unchanged'!G218)/100)+103/POWER(1+('CurrentPor-LH=20 unchanged'!D218+'CurrentPor-LH=20 unchanged'!G218)/100,2))*100</f>
        <v>9614.9673582483465</v>
      </c>
      <c r="D218">
        <f>(3/(1+('CurrentPor-LH=20 unchanged'!C218+'CurrentPor-LH=20 unchanged'!H218)/100)+103/POWER(1+('CurrentPor-LH=20 unchanged'!D218+'CurrentPor-LH=20 unchanged'!H218)/100,2))*100</f>
        <v>9610.4476064957453</v>
      </c>
      <c r="E218">
        <f>(3/(1+('CurrentPor-LH=20 unchanged'!C218+'CurrentPor-LH=20 unchanged'!I218)/100)+103/POWER(1+('CurrentPor-LH=20 unchanged'!D218+'CurrentPor-LH=20 unchanged'!I218)/100,2))*100</f>
        <v>9581.7461701869233</v>
      </c>
      <c r="F218">
        <f>Portfolio!B$5*'CurrentPor-LH=20 unchanged'!E218</f>
        <v>52143.895533915893</v>
      </c>
      <c r="G218">
        <f>Portfolio!B$6*'CurrentPor-LH=20 unchanged'!F218</f>
        <v>3696.2945087936532</v>
      </c>
      <c r="H218">
        <f>Portfolio!B$7*'CurrentPor-LH=20 unchanged'!J218</f>
        <v>2148.0998964419859</v>
      </c>
      <c r="I218">
        <f t="shared" si="6"/>
        <v>96503.036851511381</v>
      </c>
      <c r="J218">
        <f t="shared" si="7"/>
        <v>22.621471799764549</v>
      </c>
    </row>
    <row r="219" spans="1:10">
      <c r="A219" s="1">
        <v>45776</v>
      </c>
      <c r="B219">
        <f>(3/(1+('CurrentPor-LH=20 unchanged'!C219)/100)+103/POWER(1+('CurrentPor-LH=20 unchanged'!D219)/100,2))*100</f>
        <v>9707.5857774288397</v>
      </c>
      <c r="C219">
        <f>(3/(1+('CurrentPor-LH=20 unchanged'!C219+'CurrentPor-LH=20 unchanged'!G219)/100)+103/POWER(1+('CurrentPor-LH=20 unchanged'!D219+'CurrentPor-LH=20 unchanged'!G219)/100,2))*100</f>
        <v>9614.9673582483465</v>
      </c>
      <c r="D219">
        <f>(3/(1+('CurrentPor-LH=20 unchanged'!C219+'CurrentPor-LH=20 unchanged'!H219)/100)+103/POWER(1+('CurrentPor-LH=20 unchanged'!D219+'CurrentPor-LH=20 unchanged'!H219)/100,2))*100</f>
        <v>9611.3718539671845</v>
      </c>
      <c r="E219">
        <f>(3/(1+('CurrentPor-LH=20 unchanged'!C219+'CurrentPor-LH=20 unchanged'!I219)/100)+103/POWER(1+('CurrentPor-LH=20 unchanged'!D219+'CurrentPor-LH=20 unchanged'!I219)/100,2))*100</f>
        <v>9580.1848347560372</v>
      </c>
      <c r="F219">
        <f>Portfolio!B$5*'CurrentPor-LH=20 unchanged'!E219</f>
        <v>52143.895533915893</v>
      </c>
      <c r="G219">
        <f>Portfolio!B$6*'CurrentPor-LH=20 unchanged'!F219</f>
        <v>3696.2945087936532</v>
      </c>
      <c r="H219">
        <f>Portfolio!B$7*'CurrentPor-LH=20 unchanged'!J219</f>
        <v>2148.0998964419859</v>
      </c>
      <c r="I219">
        <f t="shared" si="6"/>
        <v>96502.399763551934</v>
      </c>
      <c r="J219">
        <f t="shared" si="7"/>
        <v>12.031115835241508</v>
      </c>
    </row>
    <row r="220" spans="1:10">
      <c r="A220" s="1">
        <v>45777</v>
      </c>
      <c r="B220">
        <f>(3/(1+('CurrentPor-LH=20 unchanged'!C220)/100)+103/POWER(1+('CurrentPor-LH=20 unchanged'!D220)/100,2))*100</f>
        <v>9707.5857774288397</v>
      </c>
      <c r="C220">
        <f>(3/(1+('CurrentPor-LH=20 unchanged'!C220+'CurrentPor-LH=20 unchanged'!G220)/100)+103/POWER(1+('CurrentPor-LH=20 unchanged'!D220+'CurrentPor-LH=20 unchanged'!G220)/100,2))*100</f>
        <v>9614.9673582483465</v>
      </c>
      <c r="D220">
        <f>(3/(1+('CurrentPor-LH=20 unchanged'!C220+'CurrentPor-LH=20 unchanged'!H220)/100)+103/POWER(1+('CurrentPor-LH=20 unchanged'!D220+'CurrentPor-LH=20 unchanged'!H220)/100,2))*100</f>
        <v>9610.637222203186</v>
      </c>
      <c r="E220">
        <f>(3/(1+('CurrentPor-LH=20 unchanged'!C220+'CurrentPor-LH=20 unchanged'!I220)/100)+103/POWER(1+('CurrentPor-LH=20 unchanged'!D220+'CurrentPor-LH=20 unchanged'!I220)/100,2))*100</f>
        <v>9579.8196664277166</v>
      </c>
      <c r="F220">
        <f>Portfolio!B$5*'CurrentPor-LH=20 unchanged'!E220</f>
        <v>52143.895533915893</v>
      </c>
      <c r="G220">
        <f>Portfolio!B$6*'CurrentPor-LH=20 unchanged'!F220</f>
        <v>3696.2945087936532</v>
      </c>
      <c r="H220">
        <f>Portfolio!B$7*'CurrentPor-LH=20 unchanged'!J220</f>
        <v>2148.0998964419859</v>
      </c>
      <c r="I220">
        <f t="shared" si="6"/>
        <v>96501.29996345962</v>
      </c>
      <c r="J220">
        <f t="shared" si="7"/>
        <v>0.75103467178996652</v>
      </c>
    </row>
    <row r="221" spans="1:10">
      <c r="A221" s="1">
        <v>45778</v>
      </c>
      <c r="B221">
        <f>(3/(1+('CurrentPor-LH=20 unchanged'!C221)/100)+103/POWER(1+('CurrentPor-LH=20 unchanged'!D221)/100,2))*100</f>
        <v>9707.5857774288397</v>
      </c>
      <c r="C221">
        <f>(3/(1+('CurrentPor-LH=20 unchanged'!C221+'CurrentPor-LH=20 unchanged'!G221)/100)+103/POWER(1+('CurrentPor-LH=20 unchanged'!D221+'CurrentPor-LH=20 unchanged'!G221)/100,2))*100</f>
        <v>9614.9673582483465</v>
      </c>
      <c r="D221">
        <f>(3/(1+('CurrentPor-LH=20 unchanged'!C221+'CurrentPor-LH=20 unchanged'!H221)/100)+103/POWER(1+('CurrentPor-LH=20 unchanged'!D221+'CurrentPor-LH=20 unchanged'!H221)/100,2))*100</f>
        <v>9608.9736424990479</v>
      </c>
      <c r="E221">
        <f>(3/(1+('CurrentPor-LH=20 unchanged'!C221+'CurrentPor-LH=20 unchanged'!I221)/100)+103/POWER(1+('CurrentPor-LH=20 unchanged'!D221+'CurrentPor-LH=20 unchanged'!I221)/100,2))*100</f>
        <v>9582.0116488298263</v>
      </c>
      <c r="F221">
        <f>Portfolio!B$5*'CurrentPor-LH=20 unchanged'!E221</f>
        <v>52143.895533915893</v>
      </c>
      <c r="G221">
        <f>Portfolio!B$6*'CurrentPor-LH=20 unchanged'!F221</f>
        <v>3696.2945087936532</v>
      </c>
      <c r="H221">
        <f>Portfolio!B$7*'CurrentPor-LH=20 unchanged'!J221</f>
        <v>2148.0998964419859</v>
      </c>
      <c r="I221">
        <f t="shared" si="6"/>
        <v>96501.828366157584</v>
      </c>
      <c r="J221">
        <f t="shared" si="7"/>
        <v>2.878891752261552</v>
      </c>
    </row>
    <row r="222" spans="1:10">
      <c r="A222" s="1">
        <v>45779</v>
      </c>
      <c r="B222">
        <f>(3/(1+('CurrentPor-LH=20 unchanged'!C222)/100)+103/POWER(1+('CurrentPor-LH=20 unchanged'!D222)/100,2))*100</f>
        <v>9707.5857774288397</v>
      </c>
      <c r="C222">
        <f>(3/(1+('CurrentPor-LH=20 unchanged'!C222+'CurrentPor-LH=20 unchanged'!G222)/100)+103/POWER(1+('CurrentPor-LH=20 unchanged'!D222+'CurrentPor-LH=20 unchanged'!G222)/100,2))*100</f>
        <v>9614.9673582483465</v>
      </c>
      <c r="D222">
        <f>(3/(1+('CurrentPor-LH=20 unchanged'!C222+'CurrentPor-LH=20 unchanged'!H222)/100)+103/POWER(1+('CurrentPor-LH=20 unchanged'!D222+'CurrentPor-LH=20 unchanged'!H222)/100,2))*100</f>
        <v>9585.6351176792741</v>
      </c>
      <c r="E222">
        <f>(3/(1+('CurrentPor-LH=20 unchanged'!C222+'CurrentPor-LH=20 unchanged'!I222)/100)+103/POWER(1+('CurrentPor-LH=20 unchanged'!D222+'CurrentPor-LH=20 unchanged'!I222)/100,2))*100</f>
        <v>9582.1326987173798</v>
      </c>
      <c r="F222">
        <f>Portfolio!B$5*'CurrentPor-LH=20 unchanged'!E222</f>
        <v>52143.895533915893</v>
      </c>
      <c r="G222">
        <f>Portfolio!B$6*'CurrentPor-LH=20 unchanged'!F222</f>
        <v>3696.2945087936532</v>
      </c>
      <c r="H222">
        <f>Portfolio!B$7*'CurrentPor-LH=20 unchanged'!J222</f>
        <v>2148.0998964419859</v>
      </c>
      <c r="I222">
        <f t="shared" si="6"/>
        <v>96478.610891225369</v>
      </c>
      <c r="J222">
        <f t="shared" si="7"/>
        <v>-10.582899346438353</v>
      </c>
    </row>
    <row r="223" spans="1:10">
      <c r="A223" s="1">
        <v>45782</v>
      </c>
      <c r="B223">
        <f>(3/(1+('CurrentPor-LH=20 unchanged'!C223)/100)+103/POWER(1+('CurrentPor-LH=20 unchanged'!D223)/100,2))*100</f>
        <v>9707.5857774288397</v>
      </c>
      <c r="C223">
        <f>(3/(1+('CurrentPor-LH=20 unchanged'!C223+'CurrentPor-LH=20 unchanged'!G223)/100)+103/POWER(1+('CurrentPor-LH=20 unchanged'!D223+'CurrentPor-LH=20 unchanged'!G223)/100,2))*100</f>
        <v>9614.9673582483465</v>
      </c>
      <c r="D223">
        <f>(3/(1+('CurrentPor-LH=20 unchanged'!C223+'CurrentPor-LH=20 unchanged'!H223)/100)+103/POWER(1+('CurrentPor-LH=20 unchanged'!D223+'CurrentPor-LH=20 unchanged'!H223)/100,2))*100</f>
        <v>9595.2798181774815</v>
      </c>
      <c r="E223">
        <f>(3/(1+('CurrentPor-LH=20 unchanged'!C223+'CurrentPor-LH=20 unchanged'!I223)/100)+103/POWER(1+('CurrentPor-LH=20 unchanged'!D223+'CurrentPor-LH=20 unchanged'!I223)/100,2))*100</f>
        <v>9581.3670498975716</v>
      </c>
      <c r="F223">
        <f>Portfolio!B$5*'CurrentPor-LH=20 unchanged'!E223</f>
        <v>52143.895533915893</v>
      </c>
      <c r="G223">
        <f>Portfolio!B$6*'CurrentPor-LH=20 unchanged'!F223</f>
        <v>3696.2945087936532</v>
      </c>
      <c r="H223">
        <f>Portfolio!B$7*'CurrentPor-LH=20 unchanged'!J223</f>
        <v>2148.0998964419859</v>
      </c>
      <c r="I223">
        <f t="shared" si="6"/>
        <v>96487.489942903761</v>
      </c>
      <c r="J223">
        <f t="shared" si="7"/>
        <v>-8.8150718805845827</v>
      </c>
    </row>
    <row r="224" spans="1:10">
      <c r="A224" s="1">
        <v>45783</v>
      </c>
      <c r="B224">
        <f>(3/(1+('CurrentPor-LH=20 unchanged'!C224)/100)+103/POWER(1+('CurrentPor-LH=20 unchanged'!D224)/100,2))*100</f>
        <v>9707.5857774288397</v>
      </c>
      <c r="C224">
        <f>(3/(1+('CurrentPor-LH=20 unchanged'!C224+'CurrentPor-LH=20 unchanged'!G224)/100)+103/POWER(1+('CurrentPor-LH=20 unchanged'!D224+'CurrentPor-LH=20 unchanged'!G224)/100,2))*100</f>
        <v>9614.9673582483465</v>
      </c>
      <c r="D224">
        <f>(3/(1+('CurrentPor-LH=20 unchanged'!C224+'CurrentPor-LH=20 unchanged'!H224)/100)+103/POWER(1+('CurrentPor-LH=20 unchanged'!D224+'CurrentPor-LH=20 unchanged'!H224)/100,2))*100</f>
        <v>9600.7052993837169</v>
      </c>
      <c r="E224">
        <f>(3/(1+('CurrentPor-LH=20 unchanged'!C224+'CurrentPor-LH=20 unchanged'!I224)/100)+103/POWER(1+('CurrentPor-LH=20 unchanged'!D224+'CurrentPor-LH=20 unchanged'!I224)/100,2))*100</f>
        <v>9580.5783462320705</v>
      </c>
      <c r="F224">
        <f>Portfolio!B$5*'CurrentPor-LH=20 unchanged'!E224</f>
        <v>52143.895533915893</v>
      </c>
      <c r="G224">
        <f>Portfolio!B$6*'CurrentPor-LH=20 unchanged'!F224</f>
        <v>3696.2945087936532</v>
      </c>
      <c r="H224">
        <f>Portfolio!B$7*'CurrentPor-LH=20 unchanged'!J224</f>
        <v>2148.0998964419859</v>
      </c>
      <c r="I224">
        <f t="shared" si="6"/>
        <v>96492.126720444503</v>
      </c>
      <c r="J224">
        <f t="shared" si="7"/>
        <v>-12.038007244016626</v>
      </c>
    </row>
    <row r="225" spans="1:10">
      <c r="A225" s="1">
        <v>45784</v>
      </c>
      <c r="B225">
        <f>(3/(1+('CurrentPor-LH=20 unchanged'!C225)/100)+103/POWER(1+('CurrentPor-LH=20 unchanged'!D225)/100,2))*100</f>
        <v>9707.5857774288397</v>
      </c>
      <c r="C225">
        <f>(3/(1+('CurrentPor-LH=20 unchanged'!C225+'CurrentPor-LH=20 unchanged'!G225)/100)+103/POWER(1+('CurrentPor-LH=20 unchanged'!D225+'CurrentPor-LH=20 unchanged'!G225)/100,2))*100</f>
        <v>9614.9673582483465</v>
      </c>
      <c r="D225">
        <f>(3/(1+('CurrentPor-LH=20 unchanged'!C225+'CurrentPor-LH=20 unchanged'!H225)/100)+103/POWER(1+('CurrentPor-LH=20 unchanged'!D225+'CurrentPor-LH=20 unchanged'!H225)/100,2))*100</f>
        <v>9606.0650582133603</v>
      </c>
      <c r="E225">
        <f>(3/(1+('CurrentPor-LH=20 unchanged'!C225+'CurrentPor-LH=20 unchanged'!I225)/100)+103/POWER(1+('CurrentPor-LH=20 unchanged'!D225+'CurrentPor-LH=20 unchanged'!I225)/100,2))*100</f>
        <v>9579.4241231332035</v>
      </c>
      <c r="F225">
        <f>Portfolio!B$5*'CurrentPor-LH=20 unchanged'!E225</f>
        <v>52143.895533915893</v>
      </c>
      <c r="G225">
        <f>Portfolio!B$6*'CurrentPor-LH=20 unchanged'!F225</f>
        <v>3696.2945087936532</v>
      </c>
      <c r="H225">
        <f>Portfolio!B$7*'CurrentPor-LH=20 unchanged'!J225</f>
        <v>2148.0998964419859</v>
      </c>
      <c r="I225">
        <f t="shared" si="6"/>
        <v>96496.332256175272</v>
      </c>
      <c r="J225">
        <f t="shared" si="7"/>
        <v>13.322720567288343</v>
      </c>
    </row>
    <row r="226" spans="1:10">
      <c r="A226" s="1">
        <v>45785</v>
      </c>
      <c r="B226">
        <f>(3/(1+('CurrentPor-LH=20 unchanged'!C226)/100)+103/POWER(1+('CurrentPor-LH=20 unchanged'!D226)/100,2))*100</f>
        <v>9707.5857774288397</v>
      </c>
      <c r="C226">
        <f>(3/(1+('CurrentPor-LH=20 unchanged'!C226+'CurrentPor-LH=20 unchanged'!G226)/100)+103/POWER(1+('CurrentPor-LH=20 unchanged'!D226+'CurrentPor-LH=20 unchanged'!G226)/100,2))*100</f>
        <v>9614.9673582483465</v>
      </c>
      <c r="D226">
        <f>(3/(1+('CurrentPor-LH=20 unchanged'!C226+'CurrentPor-LH=20 unchanged'!H226)/100)+103/POWER(1+('CurrentPor-LH=20 unchanged'!D226+'CurrentPor-LH=20 unchanged'!H226)/100,2))*100</f>
        <v>9594.9564080463606</v>
      </c>
      <c r="E226">
        <f>(3/(1+('CurrentPor-LH=20 unchanged'!C226+'CurrentPor-LH=20 unchanged'!I226)/100)+103/POWER(1+('CurrentPor-LH=20 unchanged'!D226+'CurrentPor-LH=20 unchanged'!I226)/100,2))*100</f>
        <v>9579.3005286208645</v>
      </c>
      <c r="F226">
        <f>Portfolio!B$5*'CurrentPor-LH=20 unchanged'!E226</f>
        <v>52143.895533915893</v>
      </c>
      <c r="G226">
        <f>Portfolio!B$6*'CurrentPor-LH=20 unchanged'!F226</f>
        <v>3696.2945087936532</v>
      </c>
      <c r="H226">
        <f>Portfolio!B$7*'CurrentPor-LH=20 unchanged'!J226</f>
        <v>2148.0998964419859</v>
      </c>
      <c r="I226">
        <f t="shared" si="6"/>
        <v>96485.100011495946</v>
      </c>
      <c r="J226">
        <f t="shared" si="7"/>
        <v>-19.418821619445225</v>
      </c>
    </row>
    <row r="227" spans="1:10">
      <c r="A227" s="1">
        <v>45786</v>
      </c>
      <c r="B227">
        <f>(3/(1+('CurrentPor-LH=20 unchanged'!C227)/100)+103/POWER(1+('CurrentPor-LH=20 unchanged'!D227)/100,2))*100</f>
        <v>9707.5857774288397</v>
      </c>
      <c r="C227">
        <f>(3/(1+('CurrentPor-LH=20 unchanged'!C227+'CurrentPor-LH=20 unchanged'!G227)/100)+103/POWER(1+('CurrentPor-LH=20 unchanged'!D227+'CurrentPor-LH=20 unchanged'!G227)/100,2))*100</f>
        <v>9614.9673582483465</v>
      </c>
      <c r="D227">
        <f>(3/(1+('CurrentPor-LH=20 unchanged'!C227+'CurrentPor-LH=20 unchanged'!H227)/100)+103/POWER(1+('CurrentPor-LH=20 unchanged'!D227+'CurrentPor-LH=20 unchanged'!H227)/100,2))*100</f>
        <v>9578.1818572321154</v>
      </c>
      <c r="E227">
        <f>(3/(1+('CurrentPor-LH=20 unchanged'!C227+'CurrentPor-LH=20 unchanged'!I227)/100)+103/POWER(1+('CurrentPor-LH=20 unchanged'!D227+'CurrentPor-LH=20 unchanged'!I227)/100,2))*100</f>
        <v>9580.996708806304</v>
      </c>
      <c r="F227">
        <f>Portfolio!B$5*'CurrentPor-LH=20 unchanged'!E227</f>
        <v>52143.895533915893</v>
      </c>
      <c r="G227">
        <f>Portfolio!B$6*'CurrentPor-LH=20 unchanged'!F227</f>
        <v>3696.2945087936532</v>
      </c>
      <c r="H227">
        <f>Portfolio!B$7*'CurrentPor-LH=20 unchanged'!J227</f>
        <v>2148.0998964419859</v>
      </c>
      <c r="I227">
        <f t="shared" si="6"/>
        <v>96470.02164086714</v>
      </c>
      <c r="J227">
        <f t="shared" si="7"/>
        <v>-16.659994809931959</v>
      </c>
    </row>
    <row r="228" spans="1:10">
      <c r="A228" s="1">
        <v>45789</v>
      </c>
      <c r="B228">
        <f>(3/(1+('CurrentPor-LH=20 unchanged'!C228)/100)+103/POWER(1+('CurrentPor-LH=20 unchanged'!D228)/100,2))*100</f>
        <v>9707.5857774288397</v>
      </c>
      <c r="C228">
        <f>(3/(1+('CurrentPor-LH=20 unchanged'!C228+'CurrentPor-LH=20 unchanged'!G228)/100)+103/POWER(1+('CurrentPor-LH=20 unchanged'!D228+'CurrentPor-LH=20 unchanged'!G228)/100,2))*100</f>
        <v>9614.9673582483465</v>
      </c>
      <c r="D228">
        <f>(3/(1+('CurrentPor-LH=20 unchanged'!C228+'CurrentPor-LH=20 unchanged'!H228)/100)+103/POWER(1+('CurrentPor-LH=20 unchanged'!D228+'CurrentPor-LH=20 unchanged'!H228)/100,2))*100</f>
        <v>9578.893126976549</v>
      </c>
      <c r="E228">
        <f>(3/(1+('CurrentPor-LH=20 unchanged'!C228+'CurrentPor-LH=20 unchanged'!I228)/100)+103/POWER(1+('CurrentPor-LH=20 unchanged'!D228+'CurrentPor-LH=20 unchanged'!I228)/100,2))*100</f>
        <v>9580.3650991372488</v>
      </c>
      <c r="F228">
        <f>Portfolio!B$5*'CurrentPor-LH=20 unchanged'!E228</f>
        <v>52143.895533915893</v>
      </c>
      <c r="G228">
        <f>Portfolio!B$6*'CurrentPor-LH=20 unchanged'!F228</f>
        <v>3696.2945087936532</v>
      </c>
      <c r="H228">
        <f>Portfolio!B$7*'CurrentPor-LH=20 unchanged'!J228</f>
        <v>2148.0998964419859</v>
      </c>
      <c r="I228">
        <f t="shared" si="6"/>
        <v>96470.101300942522</v>
      </c>
      <c r="J228">
        <f t="shared" si="7"/>
        <v>-32.935550568858162</v>
      </c>
    </row>
    <row r="229" spans="1:10">
      <c r="A229" s="1">
        <v>45790</v>
      </c>
      <c r="B229">
        <f>(3/(1+('CurrentPor-LH=20 unchanged'!C229)/100)+103/POWER(1+('CurrentPor-LH=20 unchanged'!D229)/100,2))*100</f>
        <v>9707.5857774288397</v>
      </c>
      <c r="C229">
        <f>(3/(1+('CurrentPor-LH=20 unchanged'!C229+'CurrentPor-LH=20 unchanged'!G229)/100)+103/POWER(1+('CurrentPor-LH=20 unchanged'!D229+'CurrentPor-LH=20 unchanged'!G229)/100,2))*100</f>
        <v>9614.9673582483465</v>
      </c>
      <c r="D229">
        <f>(3/(1+('CurrentPor-LH=20 unchanged'!C229+'CurrentPor-LH=20 unchanged'!H229)/100)+103/POWER(1+('CurrentPor-LH=20 unchanged'!D229+'CurrentPor-LH=20 unchanged'!H229)/100,2))*100</f>
        <v>9606.6627172992467</v>
      </c>
      <c r="E229">
        <f>(3/(1+('CurrentPor-LH=20 unchanged'!C229+'CurrentPor-LH=20 unchanged'!I229)/100)+103/POWER(1+('CurrentPor-LH=20 unchanged'!D229+'CurrentPor-LH=20 unchanged'!I229)/100,2))*100</f>
        <v>9580.2798343728318</v>
      </c>
      <c r="F229">
        <f>Portfolio!B$5*'CurrentPor-LH=20 unchanged'!E229</f>
        <v>52143.895533915893</v>
      </c>
      <c r="G229">
        <f>Portfolio!B$6*'CurrentPor-LH=20 unchanged'!F229</f>
        <v>3696.2945087936532</v>
      </c>
      <c r="H229">
        <f>Portfolio!B$7*'CurrentPor-LH=20 unchanged'!J229</f>
        <v>2148.0998964419859</v>
      </c>
      <c r="I229">
        <f t="shared" si="6"/>
        <v>96497.785626500801</v>
      </c>
      <c r="J229">
        <f t="shared" si="7"/>
        <v>-4.6141370511322748</v>
      </c>
    </row>
    <row r="230" spans="1:10">
      <c r="A230" s="1">
        <v>45791</v>
      </c>
      <c r="B230">
        <f>(3/(1+('CurrentPor-LH=20 unchanged'!C230)/100)+103/POWER(1+('CurrentPor-LH=20 unchanged'!D230)/100,2))*100</f>
        <v>9707.5857774288397</v>
      </c>
      <c r="C230">
        <f>(3/(1+('CurrentPor-LH=20 unchanged'!C230+'CurrentPor-LH=20 unchanged'!G230)/100)+103/POWER(1+('CurrentPor-LH=20 unchanged'!D230+'CurrentPor-LH=20 unchanged'!G230)/100,2))*100</f>
        <v>9614.9673582483465</v>
      </c>
      <c r="D230">
        <f>(3/(1+('CurrentPor-LH=20 unchanged'!C230+'CurrentPor-LH=20 unchanged'!H230)/100)+103/POWER(1+('CurrentPor-LH=20 unchanged'!D230+'CurrentPor-LH=20 unchanged'!H230)/100,2))*100</f>
        <v>9605.3464852354919</v>
      </c>
      <c r="E230">
        <f>(3/(1+('CurrentPor-LH=20 unchanged'!C230+'CurrentPor-LH=20 unchanged'!I230)/100)+103/POWER(1+('CurrentPor-LH=20 unchanged'!D230+'CurrentPor-LH=20 unchanged'!I230)/100,2))*100</f>
        <v>9580.7792612115554</v>
      </c>
      <c r="F230">
        <f>Portfolio!B$5*'CurrentPor-LH=20 unchanged'!E230</f>
        <v>52143.895533915893</v>
      </c>
      <c r="G230">
        <f>Portfolio!B$6*'CurrentPor-LH=20 unchanged'!F230</f>
        <v>3696.2945087936532</v>
      </c>
      <c r="H230">
        <f>Portfolio!B$7*'CurrentPor-LH=20 unchanged'!J230</f>
        <v>2148.0998964419859</v>
      </c>
      <c r="I230">
        <f t="shared" si="6"/>
        <v>96496.968821275761</v>
      </c>
      <c r="J230">
        <f t="shared" si="7"/>
        <v>-4.3311421838589013</v>
      </c>
    </row>
    <row r="231" spans="1:10">
      <c r="A231" s="1">
        <v>45792</v>
      </c>
      <c r="B231">
        <f>(3/(1+('CurrentPor-LH=20 unchanged'!C231)/100)+103/POWER(1+('CurrentPor-LH=20 unchanged'!D231)/100,2))*100</f>
        <v>9707.5857774288397</v>
      </c>
      <c r="C231">
        <f>(3/(1+('CurrentPor-LH=20 unchanged'!C231+'CurrentPor-LH=20 unchanged'!G231)/100)+103/POWER(1+('CurrentPor-LH=20 unchanged'!D231+'CurrentPor-LH=20 unchanged'!G231)/100,2))*100</f>
        <v>9614.9673582483465</v>
      </c>
      <c r="D231">
        <f>(3/(1+('CurrentPor-LH=20 unchanged'!C231+'CurrentPor-LH=20 unchanged'!H231)/100)+103/POWER(1+('CurrentPor-LH=20 unchanged'!D231+'CurrentPor-LH=20 unchanged'!H231)/100,2))*100</f>
        <v>9604.8056388094919</v>
      </c>
      <c r="E231">
        <f>(3/(1+('CurrentPor-LH=20 unchanged'!C231+'CurrentPor-LH=20 unchanged'!I231)/100)+103/POWER(1+('CurrentPor-LH=20 unchanged'!D231+'CurrentPor-LH=20 unchanged'!I231)/100,2))*100</f>
        <v>9580.70713809466</v>
      </c>
      <c r="F231">
        <f>Portfolio!B$5*'CurrentPor-LH=20 unchanged'!E231</f>
        <v>52143.895533915893</v>
      </c>
      <c r="G231">
        <f>Portfolio!B$6*'CurrentPor-LH=20 unchanged'!F231</f>
        <v>3696.2945087936532</v>
      </c>
      <c r="H231">
        <f>Portfolio!B$7*'CurrentPor-LH=20 unchanged'!J231</f>
        <v>2148.0998964419859</v>
      </c>
      <c r="I231">
        <f t="shared" si="6"/>
        <v>96496.355851732878</v>
      </c>
      <c r="J231">
        <f t="shared" si="7"/>
        <v>-5.4725144247058779</v>
      </c>
    </row>
    <row r="232" spans="1:10">
      <c r="A232" s="1">
        <v>45793</v>
      </c>
      <c r="B232">
        <f>(3/(1+('CurrentPor-LH=20 unchanged'!C232)/100)+103/POWER(1+('CurrentPor-LH=20 unchanged'!D232)/100,2))*100</f>
        <v>9707.5857774288397</v>
      </c>
      <c r="C232">
        <f>(3/(1+('CurrentPor-LH=20 unchanged'!C232+'CurrentPor-LH=20 unchanged'!G232)/100)+103/POWER(1+('CurrentPor-LH=20 unchanged'!D232+'CurrentPor-LH=20 unchanged'!G232)/100,2))*100</f>
        <v>9614.9673582483465</v>
      </c>
      <c r="D232">
        <f>(3/(1+('CurrentPor-LH=20 unchanged'!C232+'CurrentPor-LH=20 unchanged'!H232)/100)+103/POWER(1+('CurrentPor-LH=20 unchanged'!D232+'CurrentPor-LH=20 unchanged'!H232)/100,2))*100</f>
        <v>9605.0002854818231</v>
      </c>
      <c r="E232">
        <f>(3/(1+('CurrentPor-LH=20 unchanged'!C232+'CurrentPor-LH=20 unchanged'!I232)/100)+103/POWER(1+('CurrentPor-LH=20 unchanged'!D232+'CurrentPor-LH=20 unchanged'!I232)/100,2))*100</f>
        <v>9580.6265560858756</v>
      </c>
      <c r="F232">
        <f>Portfolio!B$5*'CurrentPor-LH=20 unchanged'!E232</f>
        <v>52143.895533915893</v>
      </c>
      <c r="G232">
        <f>Portfolio!B$6*'CurrentPor-LH=20 unchanged'!F232</f>
        <v>3696.2945087936532</v>
      </c>
      <c r="H232">
        <f>Portfolio!B$7*'CurrentPor-LH=20 unchanged'!J232</f>
        <v>2148.0998964419859</v>
      </c>
      <c r="I232">
        <f t="shared" si="6"/>
        <v>96496.469916396411</v>
      </c>
      <c r="J232">
        <f t="shared" si="7"/>
        <v>17.859025171041139</v>
      </c>
    </row>
    <row r="233" spans="1:10">
      <c r="A233" s="1">
        <v>45796</v>
      </c>
      <c r="B233">
        <f>(3/(1+('CurrentPor-LH=20 unchanged'!C233)/100)+103/POWER(1+('CurrentPor-LH=20 unchanged'!D233)/100,2))*100</f>
        <v>9707.5857774288397</v>
      </c>
      <c r="C233">
        <f>(3/(1+('CurrentPor-LH=20 unchanged'!C233+'CurrentPor-LH=20 unchanged'!G233)/100)+103/POWER(1+('CurrentPor-LH=20 unchanged'!D233+'CurrentPor-LH=20 unchanged'!G233)/100,2))*100</f>
        <v>9614.9673582483465</v>
      </c>
      <c r="D233">
        <f>(3/(1+('CurrentPor-LH=20 unchanged'!C233+'CurrentPor-LH=20 unchanged'!H233)/100)+103/POWER(1+('CurrentPor-LH=20 unchanged'!D233+'CurrentPor-LH=20 unchanged'!H233)/100,2))*100</f>
        <v>9592.1994997649181</v>
      </c>
      <c r="E233">
        <f>(3/(1+('CurrentPor-LH=20 unchanged'!C233+'CurrentPor-LH=20 unchanged'!I233)/100)+103/POWER(1+('CurrentPor-LH=20 unchanged'!D233+'CurrentPor-LH=20 unchanged'!I233)/100,2))*100</f>
        <v>9579.7043812262018</v>
      </c>
      <c r="F233">
        <f>Portfolio!B$5*'CurrentPor-LH=20 unchanged'!E233</f>
        <v>52143.895533915893</v>
      </c>
      <c r="G233">
        <f>Portfolio!B$6*'CurrentPor-LH=20 unchanged'!F233</f>
        <v>3696.2945087936532</v>
      </c>
      <c r="H233">
        <f>Portfolio!B$7*'CurrentPor-LH=20 unchanged'!J233</f>
        <v>2148.0998964419859</v>
      </c>
      <c r="I233">
        <f t="shared" si="6"/>
        <v>96482.74695581985</v>
      </c>
      <c r="J233">
        <f t="shared" si="7"/>
        <v>-4.7429870839114301</v>
      </c>
    </row>
    <row r="234" spans="1:10">
      <c r="A234" s="1">
        <v>45797</v>
      </c>
      <c r="B234">
        <f>(3/(1+('CurrentPor-LH=20 unchanged'!C234)/100)+103/POWER(1+('CurrentPor-LH=20 unchanged'!D234)/100,2))*100</f>
        <v>9707.5857774288397</v>
      </c>
      <c r="C234">
        <f>(3/(1+('CurrentPor-LH=20 unchanged'!C234+'CurrentPor-LH=20 unchanged'!G234)/100)+103/POWER(1+('CurrentPor-LH=20 unchanged'!D234+'CurrentPor-LH=20 unchanged'!G234)/100,2))*100</f>
        <v>9614.9673582483465</v>
      </c>
      <c r="D234">
        <f>(3/(1+('CurrentPor-LH=20 unchanged'!C234+'CurrentPor-LH=20 unchanged'!H234)/100)+103/POWER(1+('CurrentPor-LH=20 unchanged'!D234+'CurrentPor-LH=20 unchanged'!H234)/100,2))*100</f>
        <v>9592.7551537712206</v>
      </c>
      <c r="E234">
        <f>(3/(1+('CurrentPor-LH=20 unchanged'!C234+'CurrentPor-LH=20 unchanged'!I234)/100)+103/POWER(1+('CurrentPor-LH=20 unchanged'!D234+'CurrentPor-LH=20 unchanged'!I234)/100,2))*100</f>
        <v>9581.090087865281</v>
      </c>
      <c r="F234">
        <f>Portfolio!B$5*'CurrentPor-LH=20 unchanged'!E234</f>
        <v>52143.895533915893</v>
      </c>
      <c r="G234">
        <f>Portfolio!B$6*'CurrentPor-LH=20 unchanged'!F234</f>
        <v>3696.2945087936532</v>
      </c>
      <c r="H234">
        <f>Portfolio!B$7*'CurrentPor-LH=20 unchanged'!J234</f>
        <v>2148.0998964419859</v>
      </c>
      <c r="I234">
        <f t="shared" si="6"/>
        <v>96484.688316465224</v>
      </c>
      <c r="J234">
        <f t="shared" si="7"/>
        <v>-7.4384039792785188</v>
      </c>
    </row>
    <row r="235" spans="1:10">
      <c r="A235" s="1">
        <v>45798</v>
      </c>
      <c r="B235">
        <f>(3/(1+('CurrentPor-LH=20 unchanged'!C235)/100)+103/POWER(1+('CurrentPor-LH=20 unchanged'!D235)/100,2))*100</f>
        <v>9707.5857774288397</v>
      </c>
      <c r="C235">
        <f>(3/(1+('CurrentPor-LH=20 unchanged'!C235+'CurrentPor-LH=20 unchanged'!G235)/100)+103/POWER(1+('CurrentPor-LH=20 unchanged'!D235+'CurrentPor-LH=20 unchanged'!G235)/100,2))*100</f>
        <v>9614.9673582483465</v>
      </c>
      <c r="D235">
        <f>(3/(1+('CurrentPor-LH=20 unchanged'!C235+'CurrentPor-LH=20 unchanged'!H235)/100)+103/POWER(1+('CurrentPor-LH=20 unchanged'!D235+'CurrentPor-LH=20 unchanged'!H235)/100,2))*100</f>
        <v>9614.3592258828867</v>
      </c>
      <c r="E235">
        <f>(3/(1+('CurrentPor-LH=20 unchanged'!C235+'CurrentPor-LH=20 unchanged'!I235)/100)+103/POWER(1+('CurrentPor-LH=20 unchanged'!D235+'CurrentPor-LH=20 unchanged'!I235)/100,2))*100</f>
        <v>9579.147512612697</v>
      </c>
      <c r="F235">
        <f>Portfolio!B$5*'CurrentPor-LH=20 unchanged'!E235</f>
        <v>52143.895533915893</v>
      </c>
      <c r="G235">
        <f>Portfolio!B$6*'CurrentPor-LH=20 unchanged'!F235</f>
        <v>3696.2945087936532</v>
      </c>
      <c r="H235">
        <f>Portfolio!B$7*'CurrentPor-LH=20 unchanged'!J235</f>
        <v>2148.0998964419859</v>
      </c>
      <c r="I235">
        <f t="shared" si="6"/>
        <v>96504.349813324297</v>
      </c>
      <c r="J235">
        <f t="shared" si="7"/>
        <v>8.0175571490253787</v>
      </c>
    </row>
    <row r="236" spans="1:10">
      <c r="A236" s="1">
        <v>45799</v>
      </c>
      <c r="B236">
        <f>(3/(1+('CurrentPor-LH=20 unchanged'!C236)/100)+103/POWER(1+('CurrentPor-LH=20 unchanged'!D236)/100,2))*100</f>
        <v>9707.5857774288397</v>
      </c>
      <c r="C236">
        <f>(3/(1+('CurrentPor-LH=20 unchanged'!C236+'CurrentPor-LH=20 unchanged'!G236)/100)+103/POWER(1+('CurrentPor-LH=20 unchanged'!D236+'CurrentPor-LH=20 unchanged'!G236)/100,2))*100</f>
        <v>9614.9673582483465</v>
      </c>
      <c r="D236">
        <f>(3/(1+('CurrentPor-LH=20 unchanged'!C236+'CurrentPor-LH=20 unchanged'!H236)/100)+103/POWER(1+('CurrentPor-LH=20 unchanged'!D236+'CurrentPor-LH=20 unchanged'!H236)/100,2))*100</f>
        <v>9605.9163525079039</v>
      </c>
      <c r="E236">
        <f>(3/(1+('CurrentPor-LH=20 unchanged'!C236+'CurrentPor-LH=20 unchanged'!I236)/100)+103/POWER(1+('CurrentPor-LH=20 unchanged'!D236+'CurrentPor-LH=20 unchanged'!I236)/100,2))*100</f>
        <v>9580.4976876146775</v>
      </c>
      <c r="F236">
        <f>Portfolio!B$5*'CurrentPor-LH=20 unchanged'!E236</f>
        <v>52143.895533915893</v>
      </c>
      <c r="G236">
        <f>Portfolio!B$6*'CurrentPor-LH=20 unchanged'!F236</f>
        <v>3696.2945087936532</v>
      </c>
      <c r="H236">
        <f>Portfolio!B$7*'CurrentPor-LH=20 unchanged'!J236</f>
        <v>2148.0998964419859</v>
      </c>
      <c r="I236">
        <f t="shared" si="6"/>
        <v>96497.257114951295</v>
      </c>
      <c r="J236">
        <f t="shared" si="7"/>
        <v>12.157103455348988</v>
      </c>
    </row>
    <row r="237" spans="1:10">
      <c r="A237" s="1">
        <v>45800</v>
      </c>
      <c r="B237">
        <f>(3/(1+('CurrentPor-LH=20 unchanged'!C237)/100)+103/POWER(1+('CurrentPor-LH=20 unchanged'!D237)/100,2))*100</f>
        <v>9707.5857774288397</v>
      </c>
      <c r="C237">
        <f>(3/(1+('CurrentPor-LH=20 unchanged'!C237+'CurrentPor-LH=20 unchanged'!G237)/100)+103/POWER(1+('CurrentPor-LH=20 unchanged'!D237+'CurrentPor-LH=20 unchanged'!G237)/100,2))*100</f>
        <v>9614.9673582483465</v>
      </c>
      <c r="D237">
        <f>(3/(1+('CurrentPor-LH=20 unchanged'!C237+'CurrentPor-LH=20 unchanged'!H237)/100)+103/POWER(1+('CurrentPor-LH=20 unchanged'!D237+'CurrentPor-LH=20 unchanged'!H237)/100,2))*100</f>
        <v>9608.6255415378819</v>
      </c>
      <c r="E237">
        <f>(3/(1+('CurrentPor-LH=20 unchanged'!C237+'CurrentPor-LH=20 unchanged'!I237)/100)+103/POWER(1+('CurrentPor-LH=20 unchanged'!D237+'CurrentPor-LH=20 unchanged'!I237)/100,2))*100</f>
        <v>9580.6341961793714</v>
      </c>
      <c r="F237">
        <f>Portfolio!B$5*'CurrentPor-LH=20 unchanged'!E237</f>
        <v>52143.895533915893</v>
      </c>
      <c r="G237">
        <f>Portfolio!B$6*'CurrentPor-LH=20 unchanged'!F237</f>
        <v>3696.2945087936532</v>
      </c>
      <c r="H237">
        <f>Portfolio!B$7*'CurrentPor-LH=20 unchanged'!J237</f>
        <v>2148.0998964419859</v>
      </c>
      <c r="I237">
        <f t="shared" si="6"/>
        <v>96500.102812545971</v>
      </c>
      <c r="J237">
        <f t="shared" si="7"/>
        <v>30.081171678830287</v>
      </c>
    </row>
    <row r="238" spans="1:10">
      <c r="A238" s="1">
        <v>45803</v>
      </c>
      <c r="B238">
        <f>(3/(1+('CurrentPor-LH=20 unchanged'!C238)/100)+103/POWER(1+('CurrentPor-LH=20 unchanged'!D238)/100,2))*100</f>
        <v>9707.5857774288397</v>
      </c>
      <c r="C238">
        <f>(3/(1+('CurrentPor-LH=20 unchanged'!C238+'CurrentPor-LH=20 unchanged'!G238)/100)+103/POWER(1+('CurrentPor-LH=20 unchanged'!D238+'CurrentPor-LH=20 unchanged'!G238)/100,2))*100</f>
        <v>9614.9673582483465</v>
      </c>
      <c r="D238">
        <f>(3/(1+('CurrentPor-LH=20 unchanged'!C238+'CurrentPor-LH=20 unchanged'!H238)/100)+103/POWER(1+('CurrentPor-LH=20 unchanged'!D238+'CurrentPor-LH=20 unchanged'!H238)/100,2))*100</f>
        <v>9578.2449868172571</v>
      </c>
      <c r="E238">
        <f>(3/(1+('CurrentPor-LH=20 unchanged'!C238+'CurrentPor-LH=20 unchanged'!I238)/100)+103/POWER(1+('CurrentPor-LH=20 unchanged'!D238+'CurrentPor-LH=20 unchanged'!I238)/100,2))*100</f>
        <v>9580.3464922530602</v>
      </c>
      <c r="F238">
        <f>Portfolio!B$5*'CurrentPor-LH=20 unchanged'!E238</f>
        <v>52143.895533915893</v>
      </c>
      <c r="G238">
        <f>Portfolio!B$6*'CurrentPor-LH=20 unchanged'!F238</f>
        <v>3696.2945087936532</v>
      </c>
      <c r="H238">
        <f>Portfolio!B$7*'CurrentPor-LH=20 unchanged'!J238</f>
        <v>2148.0998964419859</v>
      </c>
      <c r="I238">
        <f t="shared" si="6"/>
        <v>96469.434553899031</v>
      </c>
      <c r="J238">
        <f t="shared" si="7"/>
        <v>-0.66674704349134117</v>
      </c>
    </row>
    <row r="239" spans="1:10">
      <c r="A239" s="1">
        <v>45804</v>
      </c>
      <c r="B239">
        <f>(3/(1+('CurrentPor-LH=20 unchanged'!C239)/100)+103/POWER(1+('CurrentPor-LH=20 unchanged'!D239)/100,2))*100</f>
        <v>9707.5857774288397</v>
      </c>
      <c r="C239">
        <f>(3/(1+('CurrentPor-LH=20 unchanged'!C239+'CurrentPor-LH=20 unchanged'!G239)/100)+103/POWER(1+('CurrentPor-LH=20 unchanged'!D239+'CurrentPor-LH=20 unchanged'!G239)/100,2))*100</f>
        <v>9614.9673582483465</v>
      </c>
      <c r="D239">
        <f>(3/(1+('CurrentPor-LH=20 unchanged'!C239+'CurrentPor-LH=20 unchanged'!H239)/100)+103/POWER(1+('CurrentPor-LH=20 unchanged'!D239+'CurrentPor-LH=20 unchanged'!H239)/100,2))*100</f>
        <v>9593.2656739560534</v>
      </c>
      <c r="E239">
        <f>(3/(1+('CurrentPor-LH=20 unchanged'!C239+'CurrentPor-LH=20 unchanged'!I239)/100)+103/POWER(1+('CurrentPor-LH=20 unchanged'!D239+'CurrentPor-LH=20 unchanged'!I239)/100,2))*100</f>
        <v>9578.4733380283378</v>
      </c>
      <c r="F239">
        <f>Portfolio!B$5*'CurrentPor-LH=20 unchanged'!E239</f>
        <v>52143.895533915893</v>
      </c>
      <c r="G239">
        <f>Portfolio!B$6*'CurrentPor-LH=20 unchanged'!F239</f>
        <v>3696.2945087936532</v>
      </c>
      <c r="H239">
        <f>Portfolio!B$7*'CurrentPor-LH=20 unchanged'!J239</f>
        <v>2148.0998964419859</v>
      </c>
      <c r="I239">
        <f t="shared" si="6"/>
        <v>96482.582086813098</v>
      </c>
      <c r="J239">
        <f t="shared" si="7"/>
        <v>-15.203539687703596</v>
      </c>
    </row>
    <row r="240" spans="1:10">
      <c r="A240" s="1">
        <v>45805</v>
      </c>
      <c r="B240">
        <f>(3/(1+('CurrentPor-LH=20 unchanged'!C240)/100)+103/POWER(1+('CurrentPor-LH=20 unchanged'!D240)/100,2))*100</f>
        <v>9707.5857774288397</v>
      </c>
      <c r="C240">
        <f>(3/(1+('CurrentPor-LH=20 unchanged'!C240+'CurrentPor-LH=20 unchanged'!G240)/100)+103/POWER(1+('CurrentPor-LH=20 unchanged'!D240+'CurrentPor-LH=20 unchanged'!G240)/100,2))*100</f>
        <v>9614.9673582483465</v>
      </c>
      <c r="D240">
        <f>(3/(1+('CurrentPor-LH=20 unchanged'!C240+'CurrentPor-LH=20 unchanged'!H240)/100)+103/POWER(1+('CurrentPor-LH=20 unchanged'!D240+'CurrentPor-LH=20 unchanged'!H240)/100,2))*100</f>
        <v>9595.2920546977894</v>
      </c>
      <c r="E240">
        <f>(3/(1+('CurrentPor-LH=20 unchanged'!C240+'CurrentPor-LH=20 unchanged'!I240)/100)+103/POWER(1+('CurrentPor-LH=20 unchanged'!D240+'CurrentPor-LH=20 unchanged'!I240)/100,2))*100</f>
        <v>9580.0821636801211</v>
      </c>
      <c r="F240">
        <f>Portfolio!B$5*'CurrentPor-LH=20 unchanged'!E240</f>
        <v>52143.895533915893</v>
      </c>
      <c r="G240">
        <f>Portfolio!B$6*'CurrentPor-LH=20 unchanged'!F240</f>
        <v>3696.2945087936532</v>
      </c>
      <c r="H240">
        <f>Portfolio!B$7*'CurrentPor-LH=20 unchanged'!J240</f>
        <v>2148.0998964419859</v>
      </c>
      <c r="I240">
        <f t="shared" si="6"/>
        <v>96486.217293206617</v>
      </c>
      <c r="J240">
        <f t="shared" si="7"/>
        <v>-10.751528069144115</v>
      </c>
    </row>
    <row r="241" spans="1:10">
      <c r="A241" s="1">
        <v>45806</v>
      </c>
      <c r="B241">
        <f>(3/(1+('CurrentPor-LH=20 unchanged'!C241)/100)+103/POWER(1+('CurrentPor-LH=20 unchanged'!D241)/100,2))*100</f>
        <v>9707.5857774288397</v>
      </c>
      <c r="C241">
        <f>(3/(1+('CurrentPor-LH=20 unchanged'!C241+'CurrentPor-LH=20 unchanged'!G241)/100)+103/POWER(1+('CurrentPor-LH=20 unchanged'!D241+'CurrentPor-LH=20 unchanged'!G241)/100,2))*100</f>
        <v>9614.9673582483465</v>
      </c>
      <c r="D241">
        <f>(3/(1+('CurrentPor-LH=20 unchanged'!C241+'CurrentPor-LH=20 unchanged'!H241)/100)+103/POWER(1+('CurrentPor-LH=20 unchanged'!D241+'CurrentPor-LH=20 unchanged'!H241)/100,2))*100</f>
        <v>9607.5250496986118</v>
      </c>
      <c r="E241">
        <f>(3/(1+('CurrentPor-LH=20 unchanged'!C241+'CurrentPor-LH=20 unchanged'!I241)/100)+103/POWER(1+('CurrentPor-LH=20 unchanged'!D241+'CurrentPor-LH=20 unchanged'!I241)/100,2))*100</f>
        <v>9578.6026130307127</v>
      </c>
      <c r="F241">
        <f>Portfolio!B$5*'CurrentPor-LH=20 unchanged'!E241</f>
        <v>52143.895533915893</v>
      </c>
      <c r="G241">
        <f>Portfolio!B$6*'CurrentPor-LH=20 unchanged'!F241</f>
        <v>3696.2945087936532</v>
      </c>
      <c r="H241">
        <f>Portfolio!B$7*'CurrentPor-LH=20 unchanged'!J241</f>
        <v>2148.0998964419859</v>
      </c>
      <c r="I241">
        <f t="shared" si="6"/>
        <v>96496.970737558047</v>
      </c>
      <c r="J241">
        <f t="shared" si="7"/>
        <v>0.61488582516903989</v>
      </c>
    </row>
    <row r="242" spans="1:10">
      <c r="A242" s="1">
        <v>45807</v>
      </c>
      <c r="B242">
        <f>(3/(1+('CurrentPor-LH=20 unchanged'!C242)/100)+103/POWER(1+('CurrentPor-LH=20 unchanged'!D242)/100,2))*100</f>
        <v>9707.5857774288397</v>
      </c>
      <c r="C242">
        <f>(3/(1+('CurrentPor-LH=20 unchanged'!C242+'CurrentPor-LH=20 unchanged'!G242)/100)+103/POWER(1+('CurrentPor-LH=20 unchanged'!D242+'CurrentPor-LH=20 unchanged'!G242)/100,2))*100</f>
        <v>9614.9673582483465</v>
      </c>
      <c r="D242">
        <f>(3/(1+('CurrentPor-LH=20 unchanged'!C242+'CurrentPor-LH=20 unchanged'!H242)/100)+103/POWER(1+('CurrentPor-LH=20 unchanged'!D242+'CurrentPor-LH=20 unchanged'!H242)/100,2))*100</f>
        <v>9597.1837849055282</v>
      </c>
      <c r="E242">
        <f>(3/(1+('CurrentPor-LH=20 unchanged'!C242+'CurrentPor-LH=20 unchanged'!I242)/100)+103/POWER(1+('CurrentPor-LH=20 unchanged'!D242+'CurrentPor-LH=20 unchanged'!I242)/100,2))*100</f>
        <v>9582.1736022824825</v>
      </c>
      <c r="F242">
        <f>Portfolio!B$5*'CurrentPor-LH=20 unchanged'!E242</f>
        <v>52143.895533915893</v>
      </c>
      <c r="G242">
        <f>Portfolio!B$6*'CurrentPor-LH=20 unchanged'!F242</f>
        <v>3696.2945087936532</v>
      </c>
      <c r="H242">
        <f>Portfolio!B$7*'CurrentPor-LH=20 unchanged'!J242</f>
        <v>2148.0998964419859</v>
      </c>
      <c r="I242">
        <f t="shared" si="6"/>
        <v>96490.200462016728</v>
      </c>
      <c r="J242">
        <f t="shared" si="7"/>
        <v>-6.2694543796824291</v>
      </c>
    </row>
    <row r="243" spans="1:10">
      <c r="A243" s="1">
        <v>45810</v>
      </c>
      <c r="B243">
        <f>(3/(1+('CurrentPor-LH=20 unchanged'!C243)/100)+103/POWER(1+('CurrentPor-LH=20 unchanged'!D243)/100,2))*100</f>
        <v>9707.5857774288397</v>
      </c>
      <c r="C243">
        <f>(3/(1+('CurrentPor-LH=20 unchanged'!C243+'CurrentPor-LH=20 unchanged'!G243)/100)+103/POWER(1+('CurrentPor-LH=20 unchanged'!D243+'CurrentPor-LH=20 unchanged'!G243)/100,2))*100</f>
        <v>9614.9673582483465</v>
      </c>
      <c r="D243">
        <f>(3/(1+('CurrentPor-LH=20 unchanged'!C243+'CurrentPor-LH=20 unchanged'!H243)/100)+103/POWER(1+('CurrentPor-LH=20 unchanged'!D243+'CurrentPor-LH=20 unchanged'!H243)/100,2))*100</f>
        <v>9572.7564993013239</v>
      </c>
      <c r="E243">
        <f>(3/(1+('CurrentPor-LH=20 unchanged'!C243+'CurrentPor-LH=20 unchanged'!I243)/100)+103/POWER(1+('CurrentPor-LH=20 unchanged'!D243+'CurrentPor-LH=20 unchanged'!I243)/100,2))*100</f>
        <v>9581.3238986982269</v>
      </c>
      <c r="F243">
        <f>Portfolio!B$5*'CurrentPor-LH=20 unchanged'!E243</f>
        <v>52143.895533915893</v>
      </c>
      <c r="G243">
        <f>Portfolio!B$6*'CurrentPor-LH=20 unchanged'!F243</f>
        <v>3696.2945087936532</v>
      </c>
      <c r="H243">
        <f>Portfolio!B$7*'CurrentPor-LH=20 unchanged'!J243</f>
        <v>2148.0998964419859</v>
      </c>
      <c r="I243">
        <f t="shared" si="6"/>
        <v>96464.923472828275</v>
      </c>
      <c r="J243">
        <f t="shared" si="7"/>
        <v>-17.823482991574565</v>
      </c>
    </row>
    <row r="244" spans="1:10">
      <c r="A244" s="1">
        <v>45811</v>
      </c>
      <c r="B244">
        <f>(3/(1+('CurrentPor-LH=20 unchanged'!C244)/100)+103/POWER(1+('CurrentPor-LH=20 unchanged'!D244)/100,2))*100</f>
        <v>9707.5857774288397</v>
      </c>
      <c r="C244">
        <f>(3/(1+('CurrentPor-LH=20 unchanged'!C244+'CurrentPor-LH=20 unchanged'!G244)/100)+103/POWER(1+('CurrentPor-LH=20 unchanged'!D244+'CurrentPor-LH=20 unchanged'!G244)/100,2))*100</f>
        <v>9614.9673582483465</v>
      </c>
      <c r="D244">
        <f>(3/(1+('CurrentPor-LH=20 unchanged'!C244+'CurrentPor-LH=20 unchanged'!H244)/100)+103/POWER(1+('CurrentPor-LH=20 unchanged'!D244+'CurrentPor-LH=20 unchanged'!H244)/100,2))*100</f>
        <v>9593.0813615029529</v>
      </c>
      <c r="E244">
        <f>(3/(1+('CurrentPor-LH=20 unchanged'!C244+'CurrentPor-LH=20 unchanged'!I244)/100)+103/POWER(1+('CurrentPor-LH=20 unchanged'!D244+'CurrentPor-LH=20 unchanged'!I244)/100,2))*100</f>
        <v>9582.0486269684279</v>
      </c>
      <c r="F244">
        <f>Portfolio!B$5*'CurrentPor-LH=20 unchanged'!E244</f>
        <v>52143.895533915893</v>
      </c>
      <c r="G244">
        <f>Portfolio!B$6*'CurrentPor-LH=20 unchanged'!F244</f>
        <v>3696.2945087936532</v>
      </c>
      <c r="H244">
        <f>Portfolio!B$7*'CurrentPor-LH=20 unchanged'!J244</f>
        <v>2148.0998964419859</v>
      </c>
      <c r="I244">
        <f t="shared" si="6"/>
        <v>96485.973063300087</v>
      </c>
      <c r="J244">
        <f t="shared" si="7"/>
        <v>1.2847468348627444</v>
      </c>
    </row>
    <row r="245" spans="1:10">
      <c r="A245" s="1">
        <v>45812</v>
      </c>
      <c r="B245">
        <f>(3/(1+('CurrentPor-LH=20 unchanged'!C245)/100)+103/POWER(1+('CurrentPor-LH=20 unchanged'!D245)/100,2))*100</f>
        <v>9707.5857774288397</v>
      </c>
      <c r="C245">
        <f>(3/(1+('CurrentPor-LH=20 unchanged'!C245+'CurrentPor-LH=20 unchanged'!G245)/100)+103/POWER(1+('CurrentPor-LH=20 unchanged'!D245+'CurrentPor-LH=20 unchanged'!G245)/100,2))*100</f>
        <v>9614.9673582483465</v>
      </c>
      <c r="D245">
        <f>(3/(1+('CurrentPor-LH=20 unchanged'!C245+'CurrentPor-LH=20 unchanged'!H245)/100)+103/POWER(1+('CurrentPor-LH=20 unchanged'!D245+'CurrentPor-LH=20 unchanged'!H245)/100,2))*100</f>
        <v>9597.8939726600911</v>
      </c>
      <c r="E245">
        <f>(3/(1+('CurrentPor-LH=20 unchanged'!C245+'CurrentPor-LH=20 unchanged'!I245)/100)+103/POWER(1+('CurrentPor-LH=20 unchanged'!D245+'CurrentPor-LH=20 unchanged'!I245)/100,2))*100</f>
        <v>9578.7316904421295</v>
      </c>
      <c r="F245">
        <f>Portfolio!B$5*'CurrentPor-LH=20 unchanged'!E245</f>
        <v>52143.895533915893</v>
      </c>
      <c r="G245">
        <f>Portfolio!B$6*'CurrentPor-LH=20 unchanged'!F245</f>
        <v>3696.2945087936532</v>
      </c>
      <c r="H245">
        <f>Portfolio!B$7*'CurrentPor-LH=20 unchanged'!J245</f>
        <v>2148.0998964419859</v>
      </c>
      <c r="I245">
        <f t="shared" si="6"/>
        <v>96487.468737930947</v>
      </c>
      <c r="J245">
        <f t="shared" si="7"/>
        <v>-16.881075393350329</v>
      </c>
    </row>
    <row r="246" spans="1:10">
      <c r="A246" s="1">
        <v>45813</v>
      </c>
      <c r="B246">
        <f>(3/(1+('CurrentPor-LH=20 unchanged'!C246)/100)+103/POWER(1+('CurrentPor-LH=20 unchanged'!D246)/100,2))*100</f>
        <v>9707.5857774288397</v>
      </c>
      <c r="C246">
        <f>(3/(1+('CurrentPor-LH=20 unchanged'!C246+'CurrentPor-LH=20 unchanged'!G246)/100)+103/POWER(1+('CurrentPor-LH=20 unchanged'!D246+'CurrentPor-LH=20 unchanged'!G246)/100,2))*100</f>
        <v>9614.9673582483465</v>
      </c>
      <c r="D246">
        <f>(3/(1+('CurrentPor-LH=20 unchanged'!C246+'CurrentPor-LH=20 unchanged'!H246)/100)+103/POWER(1+('CurrentPor-LH=20 unchanged'!D246+'CurrentPor-LH=20 unchanged'!H246)/100,2))*100</f>
        <v>9593.3096901691606</v>
      </c>
      <c r="E246">
        <f>(3/(1+('CurrentPor-LH=20 unchanged'!C246+'CurrentPor-LH=20 unchanged'!I246)/100)+103/POWER(1+('CurrentPor-LH=20 unchanged'!D246+'CurrentPor-LH=20 unchanged'!I246)/100,2))*100</f>
        <v>9580.5509122102358</v>
      </c>
      <c r="F246">
        <f>Portfolio!B$5*'CurrentPor-LH=20 unchanged'!E246</f>
        <v>52143.895533915893</v>
      </c>
      <c r="G246">
        <f>Portfolio!B$6*'CurrentPor-LH=20 unchanged'!F246</f>
        <v>3696.2945087936532</v>
      </c>
      <c r="H246">
        <f>Portfolio!B$7*'CurrentPor-LH=20 unchanged'!J246</f>
        <v>2148.0998964419859</v>
      </c>
      <c r="I246">
        <f t="shared" si="6"/>
        <v>96484.703677208119</v>
      </c>
      <c r="J246">
        <f t="shared" si="7"/>
        <v>-12.553437743175891</v>
      </c>
    </row>
    <row r="247" spans="1:10">
      <c r="A247" s="1">
        <v>45814</v>
      </c>
      <c r="B247">
        <f>(3/(1+('CurrentPor-LH=20 unchanged'!C247)/100)+103/POWER(1+('CurrentPor-LH=20 unchanged'!D247)/100,2))*100</f>
        <v>9707.5857774288397</v>
      </c>
      <c r="C247">
        <f>(3/(1+('CurrentPor-LH=20 unchanged'!C247+'CurrentPor-LH=20 unchanged'!G247)/100)+103/POWER(1+('CurrentPor-LH=20 unchanged'!D247+'CurrentPor-LH=20 unchanged'!G247)/100,2))*100</f>
        <v>9614.9673582483465</v>
      </c>
      <c r="D247">
        <f>(3/(1+('CurrentPor-LH=20 unchanged'!C247+'CurrentPor-LH=20 unchanged'!H247)/100)+103/POWER(1+('CurrentPor-LH=20 unchanged'!D247+'CurrentPor-LH=20 unchanged'!H247)/100,2))*100</f>
        <v>9610.7434309632899</v>
      </c>
      <c r="E247">
        <f>(3/(1+('CurrentPor-LH=20 unchanged'!C247+'CurrentPor-LH=20 unchanged'!I247)/100)+103/POWER(1+('CurrentPor-LH=20 unchanged'!D247+'CurrentPor-LH=20 unchanged'!I247)/100,2))*100</f>
        <v>9580.5703435403866</v>
      </c>
      <c r="F247">
        <f>Portfolio!B$5*'CurrentPor-LH=20 unchanged'!E247</f>
        <v>52143.895533915893</v>
      </c>
      <c r="G247">
        <f>Portfolio!B$6*'CurrentPor-LH=20 unchanged'!F247</f>
        <v>3696.2945087936532</v>
      </c>
      <c r="H247">
        <f>Portfolio!B$7*'CurrentPor-LH=20 unchanged'!J247</f>
        <v>2148.0998964419859</v>
      </c>
      <c r="I247">
        <f t="shared" si="6"/>
        <v>96502.156849332401</v>
      </c>
      <c r="J247">
        <f t="shared" si="7"/>
        <v>2.0540367864305153</v>
      </c>
    </row>
    <row r="248" spans="1:10">
      <c r="A248" s="1">
        <v>45817</v>
      </c>
      <c r="B248">
        <f>(3/(1+('CurrentPor-LH=20 unchanged'!C248)/100)+103/POWER(1+('CurrentPor-LH=20 unchanged'!D248)/100,2))*100</f>
        <v>9707.5857774288397</v>
      </c>
      <c r="C248">
        <f>(3/(1+('CurrentPor-LH=20 unchanged'!C248+'CurrentPor-LH=20 unchanged'!G248)/100)+103/POWER(1+('CurrentPor-LH=20 unchanged'!D248+'CurrentPor-LH=20 unchanged'!G248)/100,2))*100</f>
        <v>9614.9673582483465</v>
      </c>
      <c r="D248">
        <f>(3/(1+('CurrentPor-LH=20 unchanged'!C248+'CurrentPor-LH=20 unchanged'!H248)/100)+103/POWER(1+('CurrentPor-LH=20 unchanged'!D248+'CurrentPor-LH=20 unchanged'!H248)/100,2))*100</f>
        <v>9598.225577826046</v>
      </c>
      <c r="E248">
        <f>(3/(1+('CurrentPor-LH=20 unchanged'!C248+'CurrentPor-LH=20 unchanged'!I248)/100)+103/POWER(1+('CurrentPor-LH=20 unchanged'!D248+'CurrentPor-LH=20 unchanged'!I248)/100,2))*100</f>
        <v>9578.8212801099562</v>
      </c>
      <c r="F248">
        <f>Portfolio!B$5*'CurrentPor-LH=20 unchanged'!E248</f>
        <v>52143.895533915893</v>
      </c>
      <c r="G248">
        <f>Portfolio!B$6*'CurrentPor-LH=20 unchanged'!F248</f>
        <v>3696.2945087936532</v>
      </c>
      <c r="H248">
        <f>Portfolio!B$7*'CurrentPor-LH=20 unchanged'!J248</f>
        <v>2148.0998964419859</v>
      </c>
      <c r="I248">
        <f t="shared" si="6"/>
        <v>96487.889932764723</v>
      </c>
      <c r="J248">
        <f t="shared" si="7"/>
        <v>18.455378865692182</v>
      </c>
    </row>
    <row r="249" spans="1:10">
      <c r="A249" s="1">
        <v>45818</v>
      </c>
      <c r="B249">
        <f>(3/(1+('CurrentPor-LH=20 unchanged'!C249)/100)+103/POWER(1+('CurrentPor-LH=20 unchanged'!D249)/100,2))*100</f>
        <v>9707.5857774288397</v>
      </c>
      <c r="C249">
        <f>(3/(1+('CurrentPor-LH=20 unchanged'!C249+'CurrentPor-LH=20 unchanged'!G249)/100)+103/POWER(1+('CurrentPor-LH=20 unchanged'!D249+'CurrentPor-LH=20 unchanged'!G249)/100,2))*100</f>
        <v>9614.9673582483465</v>
      </c>
      <c r="D249">
        <f>(3/(1+('CurrentPor-LH=20 unchanged'!C249+'CurrentPor-LH=20 unchanged'!H249)/100)+103/POWER(1+('CurrentPor-LH=20 unchanged'!D249+'CurrentPor-LH=20 unchanged'!H249)/100,2))*100</f>
        <v>9594.2397413920589</v>
      </c>
      <c r="E249">
        <f>(3/(1+('CurrentPor-LH=20 unchanged'!C249+'CurrentPor-LH=20 unchanged'!I249)/100)+103/POWER(1+('CurrentPor-LH=20 unchanged'!D249+'CurrentPor-LH=20 unchanged'!I249)/100,2))*100</f>
        <v>9580.40174148802</v>
      </c>
      <c r="F249">
        <f>Portfolio!B$5*'CurrentPor-LH=20 unchanged'!E249</f>
        <v>52143.895533915893</v>
      </c>
      <c r="G249">
        <f>Portfolio!B$6*'CurrentPor-LH=20 unchanged'!F249</f>
        <v>3696.2945087936532</v>
      </c>
      <c r="H249">
        <f>Portfolio!B$7*'CurrentPor-LH=20 unchanged'!J249</f>
        <v>2148.0998964419859</v>
      </c>
      <c r="I249">
        <f t="shared" si="6"/>
        <v>96485.484557708798</v>
      </c>
      <c r="J249">
        <f t="shared" si="7"/>
        <v>2.9024708957003895</v>
      </c>
    </row>
    <row r="250" spans="1:10">
      <c r="A250" s="1">
        <v>45819</v>
      </c>
      <c r="B250">
        <f>(3/(1+('CurrentPor-LH=20 unchanged'!C250)/100)+103/POWER(1+('CurrentPor-LH=20 unchanged'!D250)/100,2))*100</f>
        <v>9707.5857774288397</v>
      </c>
      <c r="C250">
        <f>(3/(1+('CurrentPor-LH=20 unchanged'!C250+'CurrentPor-LH=20 unchanged'!G250)/100)+103/POWER(1+('CurrentPor-LH=20 unchanged'!D250+'CurrentPor-LH=20 unchanged'!G250)/100,2))*100</f>
        <v>9614.9673582483465</v>
      </c>
      <c r="D250">
        <f>(3/(1+('CurrentPor-LH=20 unchanged'!C250+'CurrentPor-LH=20 unchanged'!H250)/100)+103/POWER(1+('CurrentPor-LH=20 unchanged'!D250+'CurrentPor-LH=20 unchanged'!H250)/100,2))*100</f>
        <v>9600.7061204328566</v>
      </c>
      <c r="E250">
        <f>(3/(1+('CurrentPor-LH=20 unchanged'!C250+'CurrentPor-LH=20 unchanged'!I250)/100)+103/POWER(1+('CurrentPor-LH=20 unchanged'!D250+'CurrentPor-LH=20 unchanged'!I250)/100,2))*100</f>
        <v>9582.3838735593145</v>
      </c>
      <c r="F250">
        <f>Portfolio!B$5*'CurrentPor-LH=20 unchanged'!E250</f>
        <v>52143.895533915893</v>
      </c>
      <c r="G250">
        <f>Portfolio!B$6*'CurrentPor-LH=20 unchanged'!F250</f>
        <v>3696.2945087936532</v>
      </c>
      <c r="H250">
        <f>Portfolio!B$7*'CurrentPor-LH=20 unchanged'!J250</f>
        <v>2148.0998964419859</v>
      </c>
      <c r="I250">
        <f t="shared" si="6"/>
        <v>96493.933068820887</v>
      </c>
      <c r="J250">
        <f t="shared" si="7"/>
        <v>7.7157756142696599</v>
      </c>
    </row>
    <row r="251" spans="1:10">
      <c r="A251" s="1">
        <v>45820</v>
      </c>
      <c r="B251">
        <f>(3/(1+('CurrentPor-LH=20 unchanged'!C251)/100)+103/POWER(1+('CurrentPor-LH=20 unchanged'!D251)/100,2))*100</f>
        <v>9707.5857774288397</v>
      </c>
      <c r="C251">
        <f>(3/(1+('CurrentPor-LH=20 unchanged'!C251+'CurrentPor-LH=20 unchanged'!G251)/100)+103/POWER(1+('CurrentPor-LH=20 unchanged'!D251+'CurrentPor-LH=20 unchanged'!G251)/100,2))*100</f>
        <v>9614.9673582483465</v>
      </c>
      <c r="D251">
        <f>(3/(1+('CurrentPor-LH=20 unchanged'!C251+'CurrentPor-LH=20 unchanged'!H251)/100)+103/POWER(1+('CurrentPor-LH=20 unchanged'!D251+'CurrentPor-LH=20 unchanged'!H251)/100,2))*100</f>
        <v>9595.4375715804908</v>
      </c>
      <c r="E251">
        <f>(3/(1+('CurrentPor-LH=20 unchanged'!C251+'CurrentPor-LH=20 unchanged'!I251)/100)+103/POWER(1+('CurrentPor-LH=20 unchanged'!D251+'CurrentPor-LH=20 unchanged'!I251)/100,2))*100</f>
        <v>9578.8778233571502</v>
      </c>
      <c r="F251">
        <f>Portfolio!B$5*'CurrentPor-LH=20 unchanged'!E251</f>
        <v>52143.895533915893</v>
      </c>
      <c r="G251">
        <f>Portfolio!B$6*'CurrentPor-LH=20 unchanged'!F251</f>
        <v>3696.2945087936532</v>
      </c>
      <c r="H251">
        <f>Portfolio!B$7*'CurrentPor-LH=20 unchanged'!J251</f>
        <v>2148.0998964419859</v>
      </c>
      <c r="I251">
        <f t="shared" si="6"/>
        <v>96485.158469766364</v>
      </c>
      <c r="J251">
        <f t="shared" si="7"/>
        <v>-11.812267791683553</v>
      </c>
    </row>
    <row r="252" spans="1:10">
      <c r="A252" s="1">
        <v>45821</v>
      </c>
      <c r="B252">
        <f>(3/(1+('CurrentPor-LH=20 unchanged'!C252)/100)+103/POWER(1+('CurrentPor-LH=20 unchanged'!D252)/100,2))*100</f>
        <v>9707.5857774288397</v>
      </c>
      <c r="C252">
        <f>(3/(1+('CurrentPor-LH=20 unchanged'!C252+'CurrentPor-LH=20 unchanged'!G252)/100)+103/POWER(1+('CurrentPor-LH=20 unchanged'!D252+'CurrentPor-LH=20 unchanged'!G252)/100,2))*100</f>
        <v>9614.9673582483465</v>
      </c>
      <c r="D252">
        <f>(3/(1+('CurrentPor-LH=20 unchanged'!C252+'CurrentPor-LH=20 unchanged'!H252)/100)+103/POWER(1+('CurrentPor-LH=20 unchanged'!D252+'CurrentPor-LH=20 unchanged'!H252)/100,2))*100</f>
        <v>9592.9537116926895</v>
      </c>
      <c r="E252">
        <f>(3/(1+('CurrentPor-LH=20 unchanged'!C252+'CurrentPor-LH=20 unchanged'!I252)/100)+103/POWER(1+('CurrentPor-LH=20 unchanged'!D252+'CurrentPor-LH=20 unchanged'!I252)/100,2))*100</f>
        <v>9580.31831520378</v>
      </c>
      <c r="F252">
        <f>Portfolio!B$5*'CurrentPor-LH=20 unchanged'!E252</f>
        <v>52143.895533915893</v>
      </c>
      <c r="G252">
        <f>Portfolio!B$6*'CurrentPor-LH=20 unchanged'!F252</f>
        <v>3696.2945087936532</v>
      </c>
      <c r="H252">
        <f>Portfolio!B$7*'CurrentPor-LH=20 unchanged'!J252</f>
        <v>2148.0998964419859</v>
      </c>
      <c r="I252">
        <f t="shared" si="6"/>
        <v>96484.115101725198</v>
      </c>
      <c r="J252">
        <f t="shared" si="7"/>
        <v>-6.0853602915303782</v>
      </c>
    </row>
    <row r="253" spans="1:10">
      <c r="A253" s="1">
        <v>45824</v>
      </c>
      <c r="B253">
        <f>(3/(1+('CurrentPor-LH=20 unchanged'!C253)/100)+103/POWER(1+('CurrentPor-LH=20 unchanged'!D253)/100,2))*100</f>
        <v>9707.5857774288397</v>
      </c>
      <c r="C253">
        <f>(3/(1+('CurrentPor-LH=20 unchanged'!C253+'CurrentPor-LH=20 unchanged'!G253)/100)+103/POWER(1+('CurrentPor-LH=20 unchanged'!D253+'CurrentPor-LH=20 unchanged'!G253)/100,2))*100</f>
        <v>9614.9673582483465</v>
      </c>
      <c r="D253">
        <f>(3/(1+('CurrentPor-LH=20 unchanged'!C253+'CurrentPor-LH=20 unchanged'!H253)/100)+103/POWER(1+('CurrentPor-LH=20 unchanged'!D253+'CurrentPor-LH=20 unchanged'!H253)/100,2))*100</f>
        <v>9589.1775051307741</v>
      </c>
      <c r="E253">
        <f>(3/(1+('CurrentPor-LH=20 unchanged'!C253+'CurrentPor-LH=20 unchanged'!I253)/100)+103/POWER(1+('CurrentPor-LH=20 unchanged'!D253+'CurrentPor-LH=20 unchanged'!I253)/100,2))*100</f>
        <v>9580.1762428978691</v>
      </c>
      <c r="F253">
        <f>Portfolio!B$5*'CurrentPor-LH=20 unchanged'!E253</f>
        <v>52143.895533915893</v>
      </c>
      <c r="G253">
        <f>Portfolio!B$6*'CurrentPor-LH=20 unchanged'!F253</f>
        <v>3696.2945087936532</v>
      </c>
      <c r="H253">
        <f>Portfolio!B$7*'CurrentPor-LH=20 unchanged'!J253</f>
        <v>2148.0998964419859</v>
      </c>
      <c r="I253">
        <f t="shared" si="6"/>
        <v>96480.196822857353</v>
      </c>
      <c r="J253">
        <f t="shared" si="7"/>
        <v>15.273350029077847</v>
      </c>
    </row>
    <row r="254" spans="1:10">
      <c r="A254" s="1">
        <v>45825</v>
      </c>
      <c r="B254">
        <f>(3/(1+('CurrentPor-LH=20 unchanged'!C254)/100)+103/POWER(1+('CurrentPor-LH=20 unchanged'!D254)/100,2))*100</f>
        <v>9707.5857774288397</v>
      </c>
      <c r="C254">
        <f>(3/(1+('CurrentPor-LH=20 unchanged'!C254+'CurrentPor-LH=20 unchanged'!G254)/100)+103/POWER(1+('CurrentPor-LH=20 unchanged'!D254+'CurrentPor-LH=20 unchanged'!G254)/100,2))*100</f>
        <v>9614.9673582483465</v>
      </c>
      <c r="D254">
        <f>(3/(1+('CurrentPor-LH=20 unchanged'!C254+'CurrentPor-LH=20 unchanged'!H254)/100)+103/POWER(1+('CurrentPor-LH=20 unchanged'!D254+'CurrentPor-LH=20 unchanged'!H254)/100,2))*100</f>
        <v>9599.9720638752624</v>
      </c>
      <c r="E254">
        <f>(3/(1+('CurrentPor-LH=20 unchanged'!C254+'CurrentPor-LH=20 unchanged'!I254)/100)+103/POWER(1+('CurrentPor-LH=20 unchanged'!D254+'CurrentPor-LH=20 unchanged'!I254)/100,2))*100</f>
        <v>9582.7185105677108</v>
      </c>
      <c r="F254">
        <f>Portfolio!B$5*'CurrentPor-LH=20 unchanged'!E254</f>
        <v>52143.895533915893</v>
      </c>
      <c r="G254">
        <f>Portfolio!B$6*'CurrentPor-LH=20 unchanged'!F254</f>
        <v>3696.2945087936532</v>
      </c>
      <c r="H254">
        <f>Portfolio!B$7*'CurrentPor-LH=20 unchanged'!J254</f>
        <v>2148.0998964419859</v>
      </c>
      <c r="I254">
        <f t="shared" si="6"/>
        <v>96493.533649271689</v>
      </c>
      <c r="J254">
        <f t="shared" si="7"/>
        <v>7.5605859716015402</v>
      </c>
    </row>
    <row r="255" spans="1:10">
      <c r="A255" s="1">
        <v>45826</v>
      </c>
      <c r="B255">
        <f>(3/(1+('CurrentPor-LH=20 unchanged'!C255)/100)+103/POWER(1+('CurrentPor-LH=20 unchanged'!D255)/100,2))*100</f>
        <v>9707.5857774288397</v>
      </c>
      <c r="C255">
        <f>(3/(1+('CurrentPor-LH=20 unchanged'!C255+'CurrentPor-LH=20 unchanged'!G255)/100)+103/POWER(1+('CurrentPor-LH=20 unchanged'!D255+'CurrentPor-LH=20 unchanged'!G255)/100,2))*100</f>
        <v>9614.9673582483465</v>
      </c>
      <c r="D255">
        <f>(3/(1+('CurrentPor-LH=20 unchanged'!C255+'CurrentPor-LH=20 unchanged'!H255)/100)+103/POWER(1+('CurrentPor-LH=20 unchanged'!D255+'CurrentPor-LH=20 unchanged'!H255)/100,2))*100</f>
        <v>9616.0143118851229</v>
      </c>
      <c r="E255">
        <f>(3/(1+('CurrentPor-LH=20 unchanged'!C255+'CurrentPor-LH=20 unchanged'!I255)/100)+103/POWER(1+('CurrentPor-LH=20 unchanged'!D255+'CurrentPor-LH=20 unchanged'!I255)/100,2))*100</f>
        <v>9579.010759048615</v>
      </c>
      <c r="F255">
        <f>Portfolio!B$5*'CurrentPor-LH=20 unchanged'!E255</f>
        <v>52143.895533915893</v>
      </c>
      <c r="G255">
        <f>Portfolio!B$6*'CurrentPor-LH=20 unchanged'!F255</f>
        <v>3696.2945087936532</v>
      </c>
      <c r="H255">
        <f>Portfolio!B$7*'CurrentPor-LH=20 unchanged'!J255</f>
        <v>2148.0998964419859</v>
      </c>
      <c r="I255">
        <f t="shared" si="6"/>
        <v>96505.868145762463</v>
      </c>
      <c r="J255">
        <f t="shared" si="7"/>
        <v>18.399407831515418</v>
      </c>
    </row>
    <row r="256" spans="1:10">
      <c r="A256" s="1">
        <v>45827</v>
      </c>
      <c r="B256">
        <f>(3/(1+('CurrentPor-LH=20 unchanged'!C256)/100)+103/POWER(1+('CurrentPor-LH=20 unchanged'!D256)/100,2))*100</f>
        <v>9707.5857774288397</v>
      </c>
      <c r="C256">
        <f>(3/(1+('CurrentPor-LH=20 unchanged'!C256+'CurrentPor-LH=20 unchanged'!G256)/100)+103/POWER(1+('CurrentPor-LH=20 unchanged'!D256+'CurrentPor-LH=20 unchanged'!G256)/100,2))*100</f>
        <v>9614.9673582483465</v>
      </c>
      <c r="D256">
        <f>(3/(1+('CurrentPor-LH=20 unchanged'!C256+'CurrentPor-LH=20 unchanged'!H256)/100)+103/POWER(1+('CurrentPor-LH=20 unchanged'!D256+'CurrentPor-LH=20 unchanged'!H256)/100,2))*100</f>
        <v>9603.2456808209172</v>
      </c>
      <c r="E256">
        <f>(3/(1+('CurrentPor-LH=20 unchanged'!C256+'CurrentPor-LH=20 unchanged'!I256)/100)+103/POWER(1+('CurrentPor-LH=20 unchanged'!D256+'CurrentPor-LH=20 unchanged'!I256)/100,2))*100</f>
        <v>9580.7188362021134</v>
      </c>
      <c r="F256">
        <f>Portfolio!B$5*'CurrentPor-LH=20 unchanged'!E256</f>
        <v>52143.895533915893</v>
      </c>
      <c r="G256">
        <f>Portfolio!B$6*'CurrentPor-LH=20 unchanged'!F256</f>
        <v>3696.2945087936532</v>
      </c>
      <c r="H256">
        <f>Portfolio!B$7*'CurrentPor-LH=20 unchanged'!J256</f>
        <v>2148.0998964419859</v>
      </c>
      <c r="I256">
        <f t="shared" si="6"/>
        <v>96494.807591851757</v>
      </c>
      <c r="J256">
        <f t="shared" si="7"/>
        <v>10.103914643637836</v>
      </c>
    </row>
    <row r="257" spans="1:10">
      <c r="A257" s="1">
        <v>45828</v>
      </c>
      <c r="B257">
        <f>(3/(1+('CurrentPor-LH=20 unchanged'!C257)/100)+103/POWER(1+('CurrentPor-LH=20 unchanged'!D257)/100,2))*100</f>
        <v>9707.5857774288397</v>
      </c>
      <c r="C257">
        <f>(3/(1+('CurrentPor-LH=20 unchanged'!C257+'CurrentPor-LH=20 unchanged'!G257)/100)+103/POWER(1+('CurrentPor-LH=20 unchanged'!D257+'CurrentPor-LH=20 unchanged'!G257)/100,2))*100</f>
        <v>9614.9673582483465</v>
      </c>
      <c r="D257">
        <f>(3/(1+('CurrentPor-LH=20 unchanged'!C257+'CurrentPor-LH=20 unchanged'!H257)/100)+103/POWER(1+('CurrentPor-LH=20 unchanged'!D257+'CurrentPor-LH=20 unchanged'!H257)/100,2))*100</f>
        <v>9580.7913676363278</v>
      </c>
      <c r="E257">
        <f>(3/(1+('CurrentPor-LH=20 unchanged'!C257+'CurrentPor-LH=20 unchanged'!I257)/100)+103/POWER(1+('CurrentPor-LH=20 unchanged'!D257+'CurrentPor-LH=20 unchanged'!I257)/100,2))*100</f>
        <v>9579.0823356422243</v>
      </c>
      <c r="F257">
        <f>Portfolio!B$5*'CurrentPor-LH=20 unchanged'!E257</f>
        <v>52143.895533915893</v>
      </c>
      <c r="G257">
        <f>Portfolio!B$6*'CurrentPor-LH=20 unchanged'!F257</f>
        <v>3696.2945087936532</v>
      </c>
      <c r="H257">
        <f>Portfolio!B$7*'CurrentPor-LH=20 unchanged'!J257</f>
        <v>2148.0998964419859</v>
      </c>
      <c r="I257">
        <f t="shared" si="6"/>
        <v>96470.716778107264</v>
      </c>
      <c r="J257">
        <f t="shared" si="7"/>
        <v>-31.440071225137217</v>
      </c>
    </row>
    <row r="258" spans="1:10">
      <c r="A258" s="1">
        <v>45831</v>
      </c>
      <c r="B258">
        <f>(3/(1+('CurrentPor-LH=20 unchanged'!C258)/100)+103/POWER(1+('CurrentPor-LH=20 unchanged'!D258)/100,2))*100</f>
        <v>9707.5857774288397</v>
      </c>
      <c r="C258">
        <f>(3/(1+('CurrentPor-LH=20 unchanged'!C258+'CurrentPor-LH=20 unchanged'!G258)/100)+103/POWER(1+('CurrentPor-LH=20 unchanged'!D258+'CurrentPor-LH=20 unchanged'!G258)/100,2))*100</f>
        <v>9614.9673582483465</v>
      </c>
      <c r="D258">
        <f>(3/(1+('CurrentPor-LH=20 unchanged'!C258+'CurrentPor-LH=20 unchanged'!H258)/100)+103/POWER(1+('CurrentPor-LH=20 unchanged'!D258+'CurrentPor-LH=20 unchanged'!H258)/100,2))*100</f>
        <v>9609.6312191696743</v>
      </c>
      <c r="E258">
        <f>(3/(1+('CurrentPor-LH=20 unchanged'!C258+'CurrentPor-LH=20 unchanged'!I258)/100)+103/POWER(1+('CurrentPor-LH=20 unchanged'!D258+'CurrentPor-LH=20 unchanged'!I258)/100,2))*100</f>
        <v>9579.6288351442217</v>
      </c>
      <c r="F258">
        <f>Portfolio!B$5*'CurrentPor-LH=20 unchanged'!E258</f>
        <v>52143.895533915893</v>
      </c>
      <c r="G258">
        <f>Portfolio!B$6*'CurrentPor-LH=20 unchanged'!F258</f>
        <v>3696.2945087936532</v>
      </c>
      <c r="H258">
        <f>Portfolio!B$7*'CurrentPor-LH=20 unchanged'!J258</f>
        <v>2148.0998964419859</v>
      </c>
      <c r="I258">
        <f t="shared" si="6"/>
        <v>96500.103129142619</v>
      </c>
      <c r="J258">
        <f t="shared" si="7"/>
        <v>12.213196377895656</v>
      </c>
    </row>
    <row r="259" spans="1:10">
      <c r="A259" s="1">
        <v>45832</v>
      </c>
      <c r="B259">
        <f>(3/(1+('CurrentPor-LH=20 unchanged'!C259)/100)+103/POWER(1+('CurrentPor-LH=20 unchanged'!D259)/100,2))*100</f>
        <v>9707.5857774288397</v>
      </c>
      <c r="C259">
        <f>(3/(1+('CurrentPor-LH=20 unchanged'!C259+'CurrentPor-LH=20 unchanged'!G259)/100)+103/POWER(1+('CurrentPor-LH=20 unchanged'!D259+'CurrentPor-LH=20 unchanged'!G259)/100,2))*100</f>
        <v>9614.9673582483465</v>
      </c>
      <c r="D259">
        <f>(3/(1+('CurrentPor-LH=20 unchanged'!C259+'CurrentPor-LH=20 unchanged'!H259)/100)+103/POWER(1+('CurrentPor-LH=20 unchanged'!D259+'CurrentPor-LH=20 unchanged'!H259)/100,2))*100</f>
        <v>9599.9436299683312</v>
      </c>
      <c r="E259">
        <f>(3/(1+('CurrentPor-LH=20 unchanged'!C259+'CurrentPor-LH=20 unchanged'!I259)/100)+103/POWER(1+('CurrentPor-LH=20 unchanged'!D259+'CurrentPor-LH=20 unchanged'!I259)/100,2))*100</f>
        <v>9580.8706323447968</v>
      </c>
      <c r="F259">
        <f>Portfolio!B$5*'CurrentPor-LH=20 unchanged'!E259</f>
        <v>52143.895533915893</v>
      </c>
      <c r="G259">
        <f>Portfolio!B$6*'CurrentPor-LH=20 unchanged'!F259</f>
        <v>3696.2945087936532</v>
      </c>
      <c r="H259">
        <f>Portfolio!B$7*'CurrentPor-LH=20 unchanged'!J259</f>
        <v>2148.0998964419859</v>
      </c>
      <c r="I259">
        <f t="shared" si="6"/>
        <v>96491.657337141849</v>
      </c>
      <c r="J259">
        <f t="shared" si="7"/>
        <v>6.1727794330508914</v>
      </c>
    </row>
    <row r="260" spans="1:10">
      <c r="A260" s="1">
        <v>45833</v>
      </c>
      <c r="B260">
        <f>(3/(1+('CurrentPor-LH=20 unchanged'!C260)/100)+103/POWER(1+('CurrentPor-LH=20 unchanged'!D260)/100,2))*100</f>
        <v>9707.5857774288397</v>
      </c>
      <c r="C260">
        <f>(3/(1+('CurrentPor-LH=20 unchanged'!C260+'CurrentPor-LH=20 unchanged'!G260)/100)+103/POWER(1+('CurrentPor-LH=20 unchanged'!D260+'CurrentPor-LH=20 unchanged'!G260)/100,2))*100</f>
        <v>9614.9673582483465</v>
      </c>
      <c r="D260">
        <f>(3/(1+('CurrentPor-LH=20 unchanged'!C260+'CurrentPor-LH=20 unchanged'!H260)/100)+103/POWER(1+('CurrentPor-LH=20 unchanged'!D260+'CurrentPor-LH=20 unchanged'!H260)/100,2))*100</f>
        <v>9600.1467176739607</v>
      </c>
      <c r="E260">
        <f>(3/(1+('CurrentPor-LH=20 unchanged'!C260+'CurrentPor-LH=20 unchanged'!I260)/100)+103/POWER(1+('CurrentPor-LH=20 unchanged'!D260+'CurrentPor-LH=20 unchanged'!I260)/100,2))*100</f>
        <v>9581.5270132168862</v>
      </c>
      <c r="F260">
        <f>Portfolio!B$5*'CurrentPor-LH=20 unchanged'!E260</f>
        <v>52143.895533915893</v>
      </c>
      <c r="G260">
        <f>Portfolio!B$6*'CurrentPor-LH=20 unchanged'!F260</f>
        <v>3696.2945087936532</v>
      </c>
      <c r="H260">
        <f>Portfolio!B$7*'CurrentPor-LH=20 unchanged'!J260</f>
        <v>2148.0998964419859</v>
      </c>
      <c r="I260">
        <f t="shared" ref="I260:I263" si="8">SUM(B260:H260)</f>
        <v>96492.51680571957</v>
      </c>
      <c r="J260">
        <f t="shared" si="7"/>
        <v>-1.4162631013168721</v>
      </c>
    </row>
    <row r="261" spans="1:10">
      <c r="A261" s="1">
        <v>45834</v>
      </c>
      <c r="B261">
        <f>(3/(1+('CurrentPor-LH=20 unchanged'!C261)/100)+103/POWER(1+('CurrentPor-LH=20 unchanged'!D261)/100,2))*100</f>
        <v>9707.5857774288397</v>
      </c>
      <c r="C261">
        <f>(3/(1+('CurrentPor-LH=20 unchanged'!C261+'CurrentPor-LH=20 unchanged'!G261)/100)+103/POWER(1+('CurrentPor-LH=20 unchanged'!D261+'CurrentPor-LH=20 unchanged'!G261)/100,2))*100</f>
        <v>9614.9673582483465</v>
      </c>
      <c r="D261">
        <f>(3/(1+('CurrentPor-LH=20 unchanged'!C261+'CurrentPor-LH=20 unchanged'!H261)/100)+103/POWER(1+('CurrentPor-LH=20 unchanged'!D261+'CurrentPor-LH=20 unchanged'!H261)/100,2))*100</f>
        <v>9592.7745858498201</v>
      </c>
      <c r="E261">
        <f>(3/(1+('CurrentPor-LH=20 unchanged'!C261+'CurrentPor-LH=20 unchanged'!I261)/100)+103/POWER(1+('CurrentPor-LH=20 unchanged'!D261+'CurrentPor-LH=20 unchanged'!I261)/100,2))*100</f>
        <v>9579.9577290909056</v>
      </c>
      <c r="F261">
        <f>Portfolio!B$5*'CurrentPor-LH=20 unchanged'!E261</f>
        <v>52143.895533915893</v>
      </c>
      <c r="G261">
        <f>Portfolio!B$6*'CurrentPor-LH=20 unchanged'!F261</f>
        <v>3696.2945087936532</v>
      </c>
      <c r="H261">
        <f>Portfolio!B$7*'CurrentPor-LH=20 unchanged'!J261</f>
        <v>2148.0998964419859</v>
      </c>
      <c r="I261">
        <f t="shared" si="8"/>
        <v>96483.575389769438</v>
      </c>
      <c r="J261">
        <f t="shared" si="7"/>
        <v>-1.5830799969262443</v>
      </c>
    </row>
    <row r="262" spans="1:10">
      <c r="A262" s="1">
        <v>45835</v>
      </c>
      <c r="B262">
        <f>(3/(1+('CurrentPor-LH=20 unchanged'!C262)/100)+103/POWER(1+('CurrentPor-LH=20 unchanged'!D262)/100,2))*100</f>
        <v>9707.5857774288397</v>
      </c>
      <c r="C262">
        <f>(3/(1+('CurrentPor-LH=20 unchanged'!C262+'CurrentPor-LH=20 unchanged'!G262)/100)+103/POWER(1+('CurrentPor-LH=20 unchanged'!D262+'CurrentPor-LH=20 unchanged'!G262)/100,2))*100</f>
        <v>9614.9673582483465</v>
      </c>
      <c r="D262">
        <f>(3/(1+('CurrentPor-LH=20 unchanged'!C262+'CurrentPor-LH=20 unchanged'!H262)/100)+103/POWER(1+('CurrentPor-LH=20 unchanged'!D262+'CurrentPor-LH=20 unchanged'!H262)/100,2))*100</f>
        <v>9601.0935830005292</v>
      </c>
      <c r="E262">
        <f>(3/(1+('CurrentPor-LH=20 unchanged'!C262+'CurrentPor-LH=20 unchanged'!I262)/100)+103/POWER(1+('CurrentPor-LH=20 unchanged'!D262+'CurrentPor-LH=20 unchanged'!I262)/100,2))*100</f>
        <v>9582.0954414573189</v>
      </c>
      <c r="F262">
        <f>Portfolio!B$5*'CurrentPor-LH=20 unchanged'!E262</f>
        <v>52143.895533915893</v>
      </c>
      <c r="G262">
        <f>Portfolio!B$6*'CurrentPor-LH=20 unchanged'!F262</f>
        <v>3696.2945087936532</v>
      </c>
      <c r="H262">
        <f>Portfolio!B$7*'CurrentPor-LH=20 unchanged'!J262</f>
        <v>2148.0998964419859</v>
      </c>
      <c r="I262">
        <f t="shared" si="8"/>
        <v>96494.032099286575</v>
      </c>
      <c r="J262">
        <f t="shared" si="7"/>
        <v>9.9169975613767747</v>
      </c>
    </row>
    <row r="263" spans="1:10">
      <c r="A263" s="1">
        <v>45838</v>
      </c>
      <c r="B263">
        <f>(3/(1+('CurrentPor-LH=20 unchanged'!C263)/100)+103/POWER(1+('CurrentPor-LH=20 unchanged'!D263)/100,2))*100</f>
        <v>9707.5857774288397</v>
      </c>
      <c r="C263">
        <f>(3/(1+('CurrentPor-LH=20 unchanged'!C263+'CurrentPor-LH=20 unchanged'!G263)/100)+103/POWER(1+('CurrentPor-LH=20 unchanged'!D263+'CurrentPor-LH=20 unchanged'!G263)/100,2))*100</f>
        <v>9614.9673582483465</v>
      </c>
      <c r="D263">
        <f>(3/(1+('CurrentPor-LH=20 unchanged'!C263+'CurrentPor-LH=20 unchanged'!H263)/100)+103/POWER(1+('CurrentPor-LH=20 unchanged'!D263+'CurrentPor-LH=20 unchanged'!H263)/100,2))*100</f>
        <v>9604.1572253555169</v>
      </c>
      <c r="E263">
        <f>(3/(1+('CurrentPor-LH=20 unchanged'!C263+'CurrentPor-LH=20 unchanged'!I263)/100)+103/POWER(1+('CurrentPor-LH=20 unchanged'!D263+'CurrentPor-LH=20 unchanged'!I263)/100,2))*100</f>
        <v>9579.331729350537</v>
      </c>
      <c r="F263">
        <f>Portfolio!B$5*'CurrentPor-LH=20 unchanged'!E263</f>
        <v>52143.895533915893</v>
      </c>
      <c r="G263">
        <f>Portfolio!B$6*'CurrentPor-LH=20 unchanged'!F263</f>
        <v>3696.2945087936532</v>
      </c>
      <c r="H263">
        <f>Portfolio!B$7*'CurrentPor-LH=20 unchanged'!J263</f>
        <v>2148.0998964419859</v>
      </c>
      <c r="I263">
        <f t="shared" si="8"/>
        <v>96494.33202953478</v>
      </c>
      <c r="J263">
        <f t="shared" si="7"/>
        <v>14.13520667742705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BFC-240E-4A41-A1BE-8EB3739AFF06}">
  <dimension ref="A1:L263"/>
  <sheetViews>
    <sheetView topLeftCell="C1" workbookViewId="0">
      <selection activeCell="B3" sqref="B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(3/(1+('CurrentPor-LH=40 unchanged'!C3)/100)+103/POWER(1+('CurrentPor-LH=40 unchanged'!D3)/100,2))*100</f>
        <v>9707.5857774288397</v>
      </c>
      <c r="C3">
        <f>(3/(1+('CurrentPor-LH=40 unchanged'!C3+'CurrentPor-LH=40 unchanged'!G3)/100)+103/POWER(1+('CurrentPor-LH=40 unchanged'!D3+'CurrentPor-LH=40 unchanged'!G3)/100,2))*100</f>
        <v>9614.9673582483465</v>
      </c>
      <c r="D3">
        <f>(3/(1+('CurrentPor-LH=40 unchanged'!C3+'CurrentPor-LH=40 unchanged'!H3)/100)+103/POWER(1+('CurrentPor-LH=40 unchanged'!D3+'CurrentPor-LH=40 unchanged'!H3)/100,2))*100</f>
        <v>9601.2395558122898</v>
      </c>
      <c r="E3">
        <f>(3/(1+('CurrentPor-LH=40 unchanged'!C3+'CurrentPor-LH=40 unchanged'!I3)/100)+103/POWER(1+('CurrentPor-LH=40 unchanged'!D3+'CurrentPor-LH=40 unchanged'!I3)/100,2))*100</f>
        <v>9581.4547115644182</v>
      </c>
      <c r="F3">
        <f>Portfolio!B$5*'CurrentPor-LH=40 unchanged'!E3</f>
        <v>52143.895533915893</v>
      </c>
      <c r="G3">
        <f>Portfolio!B$6*'CurrentPor-LH=40 unchanged'!F3</f>
        <v>3696.2945087936532</v>
      </c>
      <c r="H3">
        <f>Portfolio!B$7*'CurrentPor-LH=40 unchanged'!J3</f>
        <v>2148.0998964419859</v>
      </c>
      <c r="I3">
        <f>SUM(B3:H3)</f>
        <v>96493.537342205425</v>
      </c>
      <c r="K3" s="8">
        <f>_xlfn.PERCENTILE.INC(J13:J263, 0.025)</f>
        <v>-2.8050941973888257</v>
      </c>
      <c r="L3">
        <f>AVERAGEIF(J13:J263, "&lt;="&amp;K3,J13:J263)</f>
        <v>-3.1479407252752156</v>
      </c>
    </row>
    <row r="4" spans="1:12">
      <c r="A4" s="1">
        <v>45475</v>
      </c>
      <c r="B4">
        <f>(3/(1+('CurrentPor-LH=40 unchanged'!C4)/100)+103/POWER(1+('CurrentPor-LH=40 unchanged'!D4)/100,2))*100</f>
        <v>9707.5857774288397</v>
      </c>
      <c r="C4">
        <f>(3/(1+('CurrentPor-LH=40 unchanged'!C4+'CurrentPor-LH=40 unchanged'!G4)/100)+103/POWER(1+('CurrentPor-LH=40 unchanged'!D4+'CurrentPor-LH=40 unchanged'!G4)/100,2))*100</f>
        <v>9614.9673582483465</v>
      </c>
      <c r="D4">
        <f>(3/(1+('CurrentPor-LH=40 unchanged'!C4+'CurrentPor-LH=40 unchanged'!H4)/100)+103/POWER(1+('CurrentPor-LH=40 unchanged'!D4+'CurrentPor-LH=40 unchanged'!H4)/100,2))*100</f>
        <v>9601.2395558122898</v>
      </c>
      <c r="E4">
        <f>(3/(1+('CurrentPor-LH=40 unchanged'!C4+'CurrentPor-LH=40 unchanged'!I4)/100)+103/POWER(1+('CurrentPor-LH=40 unchanged'!D4+'CurrentPor-LH=40 unchanged'!I4)/100,2))*100</f>
        <v>9579.1749716369959</v>
      </c>
      <c r="F4">
        <f>Portfolio!B$5*'CurrentPor-LH=40 unchanged'!E4</f>
        <v>52143.895533915893</v>
      </c>
      <c r="G4">
        <f>Portfolio!B$6*'CurrentPor-LH=40 unchanged'!F4</f>
        <v>3696.2945087936532</v>
      </c>
      <c r="H4">
        <f>Portfolio!B$7*'CurrentPor-LH=40 unchanged'!J4</f>
        <v>2148.0998964419859</v>
      </c>
      <c r="I4">
        <f t="shared" ref="I4:I67" si="0">SUM(B4:H4)</f>
        <v>96491.257602278012</v>
      </c>
    </row>
    <row r="5" spans="1:12">
      <c r="A5" s="1">
        <v>45476</v>
      </c>
      <c r="B5">
        <f>(3/(1+('CurrentPor-LH=40 unchanged'!C5)/100)+103/POWER(1+('CurrentPor-LH=40 unchanged'!D5)/100,2))*100</f>
        <v>9707.5857774288397</v>
      </c>
      <c r="C5">
        <f>(3/(1+('CurrentPor-LH=40 unchanged'!C5+'CurrentPor-LH=40 unchanged'!G5)/100)+103/POWER(1+('CurrentPor-LH=40 unchanged'!D5+'CurrentPor-LH=40 unchanged'!G5)/100,2))*100</f>
        <v>9614.9673582483465</v>
      </c>
      <c r="D5">
        <f>(3/(1+('CurrentPor-LH=40 unchanged'!C5+'CurrentPor-LH=40 unchanged'!H5)/100)+103/POWER(1+('CurrentPor-LH=40 unchanged'!D5+'CurrentPor-LH=40 unchanged'!H5)/100,2))*100</f>
        <v>9601.2395558122898</v>
      </c>
      <c r="E5">
        <f>(3/(1+('CurrentPor-LH=40 unchanged'!C5+'CurrentPor-LH=40 unchanged'!I5)/100)+103/POWER(1+('CurrentPor-LH=40 unchanged'!D5+'CurrentPor-LH=40 unchanged'!I5)/100,2))*100</f>
        <v>9580.4915809012364</v>
      </c>
      <c r="F5">
        <f>Portfolio!B$5*'CurrentPor-LH=40 unchanged'!E5</f>
        <v>52143.895533915893</v>
      </c>
      <c r="G5">
        <f>Portfolio!B$6*'CurrentPor-LH=40 unchanged'!F5</f>
        <v>3696.2945087936532</v>
      </c>
      <c r="H5">
        <f>Portfolio!B$7*'CurrentPor-LH=40 unchanged'!J5</f>
        <v>2148.0998964419859</v>
      </c>
      <c r="I5">
        <f t="shared" si="0"/>
        <v>96492.574211542247</v>
      </c>
    </row>
    <row r="6" spans="1:12">
      <c r="A6" s="1">
        <v>45477</v>
      </c>
      <c r="B6">
        <f>(3/(1+('CurrentPor-LH=40 unchanged'!C6)/100)+103/POWER(1+('CurrentPor-LH=40 unchanged'!D6)/100,2))*100</f>
        <v>9707.5857774288397</v>
      </c>
      <c r="C6">
        <f>(3/(1+('CurrentPor-LH=40 unchanged'!C6+'CurrentPor-LH=40 unchanged'!G6)/100)+103/POWER(1+('CurrentPor-LH=40 unchanged'!D6+'CurrentPor-LH=40 unchanged'!G6)/100,2))*100</f>
        <v>9614.9673582483465</v>
      </c>
      <c r="D6">
        <f>(3/(1+('CurrentPor-LH=40 unchanged'!C6+'CurrentPor-LH=40 unchanged'!H6)/100)+103/POWER(1+('CurrentPor-LH=40 unchanged'!D6+'CurrentPor-LH=40 unchanged'!H6)/100,2))*100</f>
        <v>9601.2395558122898</v>
      </c>
      <c r="E6">
        <f>(3/(1+('CurrentPor-LH=40 unchanged'!C6+'CurrentPor-LH=40 unchanged'!I6)/100)+103/POWER(1+('CurrentPor-LH=40 unchanged'!D6+'CurrentPor-LH=40 unchanged'!I6)/100,2))*100</f>
        <v>9583.5904538448758</v>
      </c>
      <c r="F6">
        <f>Portfolio!B$5*'CurrentPor-LH=40 unchanged'!E6</f>
        <v>52143.895533915893</v>
      </c>
      <c r="G6">
        <f>Portfolio!B$6*'CurrentPor-LH=40 unchanged'!F6</f>
        <v>3696.2945087936532</v>
      </c>
      <c r="H6">
        <f>Portfolio!B$7*'CurrentPor-LH=40 unchanged'!J6</f>
        <v>2148.0998964419859</v>
      </c>
      <c r="I6">
        <f t="shared" si="0"/>
        <v>96495.673084485883</v>
      </c>
    </row>
    <row r="7" spans="1:12">
      <c r="A7" s="1">
        <v>45478</v>
      </c>
      <c r="B7">
        <f>(3/(1+('CurrentPor-LH=40 unchanged'!C7)/100)+103/POWER(1+('CurrentPor-LH=40 unchanged'!D7)/100,2))*100</f>
        <v>9707.5857774288397</v>
      </c>
      <c r="C7">
        <f>(3/(1+('CurrentPor-LH=40 unchanged'!C7+'CurrentPor-LH=40 unchanged'!G7)/100)+103/POWER(1+('CurrentPor-LH=40 unchanged'!D7+'CurrentPor-LH=40 unchanged'!G7)/100,2))*100</f>
        <v>9614.9673582483465</v>
      </c>
      <c r="D7">
        <f>(3/(1+('CurrentPor-LH=40 unchanged'!C7+'CurrentPor-LH=40 unchanged'!H7)/100)+103/POWER(1+('CurrentPor-LH=40 unchanged'!D7+'CurrentPor-LH=40 unchanged'!H7)/100,2))*100</f>
        <v>9601.2395558122898</v>
      </c>
      <c r="E7">
        <f>(3/(1+('CurrentPor-LH=40 unchanged'!C7+'CurrentPor-LH=40 unchanged'!I7)/100)+103/POWER(1+('CurrentPor-LH=40 unchanged'!D7+'CurrentPor-LH=40 unchanged'!I7)/100,2))*100</f>
        <v>9579.5438969576826</v>
      </c>
      <c r="F7">
        <f>Portfolio!B$5*'CurrentPor-LH=40 unchanged'!E7</f>
        <v>52143.895533915893</v>
      </c>
      <c r="G7">
        <f>Portfolio!B$6*'CurrentPor-LH=40 unchanged'!F7</f>
        <v>3696.2945087936532</v>
      </c>
      <c r="H7">
        <f>Portfolio!B$7*'CurrentPor-LH=40 unchanged'!J7</f>
        <v>2148.0998964419859</v>
      </c>
      <c r="I7">
        <f t="shared" si="0"/>
        <v>96491.626527598695</v>
      </c>
    </row>
    <row r="8" spans="1:12">
      <c r="A8" s="1">
        <v>45481</v>
      </c>
      <c r="B8">
        <f>(3/(1+('CurrentPor-LH=40 unchanged'!C8)/100)+103/POWER(1+('CurrentPor-LH=40 unchanged'!D8)/100,2))*100</f>
        <v>9707.5857774288397</v>
      </c>
      <c r="C8">
        <f>(3/(1+('CurrentPor-LH=40 unchanged'!C8+'CurrentPor-LH=40 unchanged'!G8)/100)+103/POWER(1+('CurrentPor-LH=40 unchanged'!D8+'CurrentPor-LH=40 unchanged'!G8)/100,2))*100</f>
        <v>9614.9673582483465</v>
      </c>
      <c r="D8">
        <f>(3/(1+('CurrentPor-LH=40 unchanged'!C8+'CurrentPor-LH=40 unchanged'!H8)/100)+103/POWER(1+('CurrentPor-LH=40 unchanged'!D8+'CurrentPor-LH=40 unchanged'!H8)/100,2))*100</f>
        <v>9601.2395558122898</v>
      </c>
      <c r="E8">
        <f>(3/(1+('CurrentPor-LH=40 unchanged'!C8+'CurrentPor-LH=40 unchanged'!I8)/100)+103/POWER(1+('CurrentPor-LH=40 unchanged'!D8+'CurrentPor-LH=40 unchanged'!I8)/100,2))*100</f>
        <v>9580.4671604041887</v>
      </c>
      <c r="F8">
        <f>Portfolio!B$5*'CurrentPor-LH=40 unchanged'!E8</f>
        <v>52143.895533915893</v>
      </c>
      <c r="G8">
        <f>Portfolio!B$6*'CurrentPor-LH=40 unchanged'!F8</f>
        <v>3696.2945087936532</v>
      </c>
      <c r="H8">
        <f>Portfolio!B$7*'CurrentPor-LH=40 unchanged'!J8</f>
        <v>2148.0998964419859</v>
      </c>
      <c r="I8">
        <f t="shared" si="0"/>
        <v>96492.549791045196</v>
      </c>
    </row>
    <row r="9" spans="1:12">
      <c r="A9" s="1">
        <v>45482</v>
      </c>
      <c r="B9">
        <f>(3/(1+('CurrentPor-LH=40 unchanged'!C9)/100)+103/POWER(1+('CurrentPor-LH=40 unchanged'!D9)/100,2))*100</f>
        <v>9707.5857774288397</v>
      </c>
      <c r="C9">
        <f>(3/(1+('CurrentPor-LH=40 unchanged'!C9+'CurrentPor-LH=40 unchanged'!G9)/100)+103/POWER(1+('CurrentPor-LH=40 unchanged'!D9+'CurrentPor-LH=40 unchanged'!G9)/100,2))*100</f>
        <v>9614.9673582483465</v>
      </c>
      <c r="D9">
        <f>(3/(1+('CurrentPor-LH=40 unchanged'!C9+'CurrentPor-LH=40 unchanged'!H9)/100)+103/POWER(1+('CurrentPor-LH=40 unchanged'!D9+'CurrentPor-LH=40 unchanged'!H9)/100,2))*100</f>
        <v>9601.2395558122898</v>
      </c>
      <c r="E9">
        <f>(3/(1+('CurrentPor-LH=40 unchanged'!C9+'CurrentPor-LH=40 unchanged'!I9)/100)+103/POWER(1+('CurrentPor-LH=40 unchanged'!D9+'CurrentPor-LH=40 unchanged'!I9)/100,2))*100</f>
        <v>9580.9646345704259</v>
      </c>
      <c r="F9">
        <f>Portfolio!B$5*'CurrentPor-LH=40 unchanged'!E9</f>
        <v>52143.895533915893</v>
      </c>
      <c r="G9">
        <f>Portfolio!B$6*'CurrentPor-LH=40 unchanged'!F9</f>
        <v>3696.2945087936532</v>
      </c>
      <c r="H9">
        <f>Portfolio!B$7*'CurrentPor-LH=40 unchanged'!J9</f>
        <v>2148.0998964419859</v>
      </c>
      <c r="I9">
        <f t="shared" si="0"/>
        <v>96493.047265211426</v>
      </c>
    </row>
    <row r="10" spans="1:12">
      <c r="A10" s="1">
        <v>45483</v>
      </c>
      <c r="B10">
        <f>(3/(1+('CurrentPor-LH=40 unchanged'!C10)/100)+103/POWER(1+('CurrentPor-LH=40 unchanged'!D10)/100,2))*100</f>
        <v>9707.5857774288397</v>
      </c>
      <c r="C10">
        <f>(3/(1+('CurrentPor-LH=40 unchanged'!C10+'CurrentPor-LH=40 unchanged'!G10)/100)+103/POWER(1+('CurrentPor-LH=40 unchanged'!D10+'CurrentPor-LH=40 unchanged'!G10)/100,2))*100</f>
        <v>9614.9673582483465</v>
      </c>
      <c r="D10">
        <f>(3/(1+('CurrentPor-LH=40 unchanged'!C10+'CurrentPor-LH=40 unchanged'!H10)/100)+103/POWER(1+('CurrentPor-LH=40 unchanged'!D10+'CurrentPor-LH=40 unchanged'!H10)/100,2))*100</f>
        <v>9601.2395558122898</v>
      </c>
      <c r="E10">
        <f>(3/(1+('CurrentPor-LH=40 unchanged'!C10+'CurrentPor-LH=40 unchanged'!I10)/100)+103/POWER(1+('CurrentPor-LH=40 unchanged'!D10+'CurrentPor-LH=40 unchanged'!I10)/100,2))*100</f>
        <v>9580.3866228015249</v>
      </c>
      <c r="F10">
        <f>Portfolio!B$5*'CurrentPor-LH=40 unchanged'!E10</f>
        <v>52143.895533915893</v>
      </c>
      <c r="G10">
        <f>Portfolio!B$6*'CurrentPor-LH=40 unchanged'!F10</f>
        <v>3696.2945087936532</v>
      </c>
      <c r="H10">
        <f>Portfolio!B$7*'CurrentPor-LH=40 unchanged'!J10</f>
        <v>2148.0998964419859</v>
      </c>
      <c r="I10">
        <f t="shared" si="0"/>
        <v>96492.469253442527</v>
      </c>
    </row>
    <row r="11" spans="1:12">
      <c r="A11" s="1">
        <v>45484</v>
      </c>
      <c r="B11">
        <f>(3/(1+('CurrentPor-LH=40 unchanged'!C11)/100)+103/POWER(1+('CurrentPor-LH=40 unchanged'!D11)/100,2))*100</f>
        <v>9707.5857774288397</v>
      </c>
      <c r="C11">
        <f>(3/(1+('CurrentPor-LH=40 unchanged'!C11+'CurrentPor-LH=40 unchanged'!G11)/100)+103/POWER(1+('CurrentPor-LH=40 unchanged'!D11+'CurrentPor-LH=40 unchanged'!G11)/100,2))*100</f>
        <v>9614.9673582483465</v>
      </c>
      <c r="D11">
        <f>(3/(1+('CurrentPor-LH=40 unchanged'!C11+'CurrentPor-LH=40 unchanged'!H11)/100)+103/POWER(1+('CurrentPor-LH=40 unchanged'!D11+'CurrentPor-LH=40 unchanged'!H11)/100,2))*100</f>
        <v>9601.2395558122898</v>
      </c>
      <c r="E11">
        <f>(3/(1+('CurrentPor-LH=40 unchanged'!C11+'CurrentPor-LH=40 unchanged'!I11)/100)+103/POWER(1+('CurrentPor-LH=40 unchanged'!D11+'CurrentPor-LH=40 unchanged'!I11)/100,2))*100</f>
        <v>9577.986078619766</v>
      </c>
      <c r="F11">
        <f>Portfolio!B$5*'CurrentPor-LH=40 unchanged'!E11</f>
        <v>52143.895533915893</v>
      </c>
      <c r="G11">
        <f>Portfolio!B$6*'CurrentPor-LH=40 unchanged'!F11</f>
        <v>3696.2945087936532</v>
      </c>
      <c r="H11">
        <f>Portfolio!B$7*'CurrentPor-LH=40 unchanged'!J11</f>
        <v>2148.0998964419859</v>
      </c>
      <c r="I11">
        <f t="shared" si="0"/>
        <v>96490.06870926077</v>
      </c>
    </row>
    <row r="12" spans="1:12">
      <c r="A12" s="1">
        <v>45485</v>
      </c>
      <c r="B12">
        <f>(3/(1+('CurrentPor-LH=40 unchanged'!C12)/100)+103/POWER(1+('CurrentPor-LH=40 unchanged'!D12)/100,2))*100</f>
        <v>9707.5857774288397</v>
      </c>
      <c r="C12">
        <f>(3/(1+('CurrentPor-LH=40 unchanged'!C12+'CurrentPor-LH=40 unchanged'!G12)/100)+103/POWER(1+('CurrentPor-LH=40 unchanged'!D12+'CurrentPor-LH=40 unchanged'!G12)/100,2))*100</f>
        <v>9614.9673582483465</v>
      </c>
      <c r="D12">
        <f>(3/(1+('CurrentPor-LH=40 unchanged'!C12+'CurrentPor-LH=40 unchanged'!H12)/100)+103/POWER(1+('CurrentPor-LH=40 unchanged'!D12+'CurrentPor-LH=40 unchanged'!H12)/100,2))*100</f>
        <v>9601.2395558122898</v>
      </c>
      <c r="E12">
        <f>(3/(1+('CurrentPor-LH=40 unchanged'!C12+'CurrentPor-LH=40 unchanged'!I12)/100)+103/POWER(1+('CurrentPor-LH=40 unchanged'!D12+'CurrentPor-LH=40 unchanged'!I12)/100,2))*100</f>
        <v>9580.9201391213264</v>
      </c>
      <c r="F12">
        <f>Portfolio!B$5*'CurrentPor-LH=40 unchanged'!E12</f>
        <v>52143.895533915893</v>
      </c>
      <c r="G12">
        <f>Portfolio!B$6*'CurrentPor-LH=40 unchanged'!F12</f>
        <v>3696.2945087936532</v>
      </c>
      <c r="H12">
        <f>Portfolio!B$7*'CurrentPor-LH=40 unchanged'!J12</f>
        <v>2148.0998964419859</v>
      </c>
      <c r="I12">
        <f t="shared" si="0"/>
        <v>96493.002769762345</v>
      </c>
    </row>
    <row r="13" spans="1:12">
      <c r="A13" s="1">
        <v>45488</v>
      </c>
      <c r="B13">
        <f>(3/(1+('CurrentPor-LH=40 unchanged'!C13)/100)+103/POWER(1+('CurrentPor-LH=40 unchanged'!D13)/100,2))*100</f>
        <v>9707.5857774288397</v>
      </c>
      <c r="C13">
        <f>(3/(1+('CurrentPor-LH=40 unchanged'!C13+'CurrentPor-LH=40 unchanged'!G13)/100)+103/POWER(1+('CurrentPor-LH=40 unchanged'!D13+'CurrentPor-LH=40 unchanged'!G13)/100,2))*100</f>
        <v>9614.9673582483465</v>
      </c>
      <c r="D13">
        <f>(3/(1+('CurrentPor-LH=40 unchanged'!C13+'CurrentPor-LH=40 unchanged'!H13)/100)+103/POWER(1+('CurrentPor-LH=40 unchanged'!D13+'CurrentPor-LH=40 unchanged'!H13)/100,2))*100</f>
        <v>9601.2395558122898</v>
      </c>
      <c r="E13">
        <f>(3/(1+('CurrentPor-LH=40 unchanged'!C13+'CurrentPor-LH=40 unchanged'!I13)/100)+103/POWER(1+('CurrentPor-LH=40 unchanged'!D13+'CurrentPor-LH=40 unchanged'!I13)/100,2))*100</f>
        <v>9580.0297084687681</v>
      </c>
      <c r="F13">
        <f>Portfolio!B$5*'CurrentPor-LH=40 unchanged'!E13</f>
        <v>52143.895533915893</v>
      </c>
      <c r="G13">
        <f>Portfolio!B$6*'CurrentPor-LH=40 unchanged'!F13</f>
        <v>3696.2945087936532</v>
      </c>
      <c r="H13">
        <f>Portfolio!B$7*'CurrentPor-LH=40 unchanged'!J13</f>
        <v>2148.0998964419859</v>
      </c>
      <c r="I13">
        <f t="shared" si="0"/>
        <v>96492.112339109779</v>
      </c>
      <c r="J13">
        <f>I13-I3</f>
        <v>-1.4250030956463888</v>
      </c>
    </row>
    <row r="14" spans="1:12">
      <c r="A14" s="1">
        <v>45489</v>
      </c>
      <c r="B14">
        <f>(3/(1+('CurrentPor-LH=40 unchanged'!C14)/100)+103/POWER(1+('CurrentPor-LH=40 unchanged'!D14)/100,2))*100</f>
        <v>9707.5857774288397</v>
      </c>
      <c r="C14">
        <f>(3/(1+('CurrentPor-LH=40 unchanged'!C14+'CurrentPor-LH=40 unchanged'!G14)/100)+103/POWER(1+('CurrentPor-LH=40 unchanged'!D14+'CurrentPor-LH=40 unchanged'!G14)/100,2))*100</f>
        <v>9614.9673582483465</v>
      </c>
      <c r="D14">
        <f>(3/(1+('CurrentPor-LH=40 unchanged'!C14+'CurrentPor-LH=40 unchanged'!H14)/100)+103/POWER(1+('CurrentPor-LH=40 unchanged'!D14+'CurrentPor-LH=40 unchanged'!H14)/100,2))*100</f>
        <v>9601.2395558122898</v>
      </c>
      <c r="E14">
        <f>(3/(1+('CurrentPor-LH=40 unchanged'!C14+'CurrentPor-LH=40 unchanged'!I14)/100)+103/POWER(1+('CurrentPor-LH=40 unchanged'!D14+'CurrentPor-LH=40 unchanged'!I14)/100,2))*100</f>
        <v>9580.3125208743077</v>
      </c>
      <c r="F14">
        <f>Portfolio!B$5*'CurrentPor-LH=40 unchanged'!E14</f>
        <v>52143.895533915893</v>
      </c>
      <c r="G14">
        <f>Portfolio!B$6*'CurrentPor-LH=40 unchanged'!F14</f>
        <v>3696.2945087936532</v>
      </c>
      <c r="H14">
        <f>Portfolio!B$7*'CurrentPor-LH=40 unchanged'!J14</f>
        <v>2148.0998964419859</v>
      </c>
      <c r="I14">
        <f t="shared" si="0"/>
        <v>96492.395151515317</v>
      </c>
      <c r="J14">
        <f t="shared" ref="J14:J77" si="1">I14-I4</f>
        <v>1.1375492373044835</v>
      </c>
    </row>
    <row r="15" spans="1:12">
      <c r="A15" s="1">
        <v>45490</v>
      </c>
      <c r="B15">
        <f>(3/(1+('CurrentPor-LH=40 unchanged'!C15)/100)+103/POWER(1+('CurrentPor-LH=40 unchanged'!D15)/100,2))*100</f>
        <v>9707.5857774288397</v>
      </c>
      <c r="C15">
        <f>(3/(1+('CurrentPor-LH=40 unchanged'!C15+'CurrentPor-LH=40 unchanged'!G15)/100)+103/POWER(1+('CurrentPor-LH=40 unchanged'!D15+'CurrentPor-LH=40 unchanged'!G15)/100,2))*100</f>
        <v>9614.9673582483465</v>
      </c>
      <c r="D15">
        <f>(3/(1+('CurrentPor-LH=40 unchanged'!C15+'CurrentPor-LH=40 unchanged'!H15)/100)+103/POWER(1+('CurrentPor-LH=40 unchanged'!D15+'CurrentPor-LH=40 unchanged'!H15)/100,2))*100</f>
        <v>9601.2395558122898</v>
      </c>
      <c r="E15">
        <f>(3/(1+('CurrentPor-LH=40 unchanged'!C15+'CurrentPor-LH=40 unchanged'!I15)/100)+103/POWER(1+('CurrentPor-LH=40 unchanged'!D15+'CurrentPor-LH=40 unchanged'!I15)/100,2))*100</f>
        <v>9581.3179190716164</v>
      </c>
      <c r="F15">
        <f>Portfolio!B$5*'CurrentPor-LH=40 unchanged'!E15</f>
        <v>52143.895533915893</v>
      </c>
      <c r="G15">
        <f>Portfolio!B$6*'CurrentPor-LH=40 unchanged'!F15</f>
        <v>3696.2945087936532</v>
      </c>
      <c r="H15">
        <f>Portfolio!B$7*'CurrentPor-LH=40 unchanged'!J15</f>
        <v>2148.0998964419859</v>
      </c>
      <c r="I15">
        <f t="shared" si="0"/>
        <v>96493.400549712635</v>
      </c>
      <c r="J15">
        <f t="shared" si="1"/>
        <v>0.8263381703873165</v>
      </c>
    </row>
    <row r="16" spans="1:12">
      <c r="A16" s="1">
        <v>45491</v>
      </c>
      <c r="B16">
        <f>(3/(1+('CurrentPor-LH=40 unchanged'!C16)/100)+103/POWER(1+('CurrentPor-LH=40 unchanged'!D16)/100,2))*100</f>
        <v>9707.5857774288397</v>
      </c>
      <c r="C16">
        <f>(3/(1+('CurrentPor-LH=40 unchanged'!C16+'CurrentPor-LH=40 unchanged'!G16)/100)+103/POWER(1+('CurrentPor-LH=40 unchanged'!D16+'CurrentPor-LH=40 unchanged'!G16)/100,2))*100</f>
        <v>9614.9673582483465</v>
      </c>
      <c r="D16">
        <f>(3/(1+('CurrentPor-LH=40 unchanged'!C16+'CurrentPor-LH=40 unchanged'!H16)/100)+103/POWER(1+('CurrentPor-LH=40 unchanged'!D16+'CurrentPor-LH=40 unchanged'!H16)/100,2))*100</f>
        <v>9601.2395558122898</v>
      </c>
      <c r="E16">
        <f>(3/(1+('CurrentPor-LH=40 unchanged'!C16+'CurrentPor-LH=40 unchanged'!I16)/100)+103/POWER(1+('CurrentPor-LH=40 unchanged'!D16+'CurrentPor-LH=40 unchanged'!I16)/100,2))*100</f>
        <v>9583.0294773230526</v>
      </c>
      <c r="F16">
        <f>Portfolio!B$5*'CurrentPor-LH=40 unchanged'!E16</f>
        <v>52143.895533915893</v>
      </c>
      <c r="G16">
        <f>Portfolio!B$6*'CurrentPor-LH=40 unchanged'!F16</f>
        <v>3696.2945087936532</v>
      </c>
      <c r="H16">
        <f>Portfolio!B$7*'CurrentPor-LH=40 unchanged'!J16</f>
        <v>2148.0998964419859</v>
      </c>
      <c r="I16">
        <f t="shared" si="0"/>
        <v>96495.112107964072</v>
      </c>
      <c r="J16">
        <f t="shared" si="1"/>
        <v>-0.56097652181051672</v>
      </c>
    </row>
    <row r="17" spans="1:10">
      <c r="A17" s="1">
        <v>45492</v>
      </c>
      <c r="B17">
        <f>(3/(1+('CurrentPor-LH=40 unchanged'!C17)/100)+103/POWER(1+('CurrentPor-LH=40 unchanged'!D17)/100,2))*100</f>
        <v>9707.5857774288397</v>
      </c>
      <c r="C17">
        <f>(3/(1+('CurrentPor-LH=40 unchanged'!C17+'CurrentPor-LH=40 unchanged'!G17)/100)+103/POWER(1+('CurrentPor-LH=40 unchanged'!D17+'CurrentPor-LH=40 unchanged'!G17)/100,2))*100</f>
        <v>9614.9673582483465</v>
      </c>
      <c r="D17">
        <f>(3/(1+('CurrentPor-LH=40 unchanged'!C17+'CurrentPor-LH=40 unchanged'!H17)/100)+103/POWER(1+('CurrentPor-LH=40 unchanged'!D17+'CurrentPor-LH=40 unchanged'!H17)/100,2))*100</f>
        <v>9601.2395558122898</v>
      </c>
      <c r="E17">
        <f>(3/(1+('CurrentPor-LH=40 unchanged'!C17+'CurrentPor-LH=40 unchanged'!I17)/100)+103/POWER(1+('CurrentPor-LH=40 unchanged'!D17+'CurrentPor-LH=40 unchanged'!I17)/100,2))*100</f>
        <v>9580.7932974062987</v>
      </c>
      <c r="F17">
        <f>Portfolio!B$5*'CurrentPor-LH=40 unchanged'!E17</f>
        <v>52143.895533915893</v>
      </c>
      <c r="G17">
        <f>Portfolio!B$6*'CurrentPor-LH=40 unchanged'!F17</f>
        <v>3696.2945087936532</v>
      </c>
      <c r="H17">
        <f>Portfolio!B$7*'CurrentPor-LH=40 unchanged'!J17</f>
        <v>2148.0998964419859</v>
      </c>
      <c r="I17">
        <f t="shared" si="0"/>
        <v>96492.875928047302</v>
      </c>
      <c r="J17">
        <f t="shared" si="1"/>
        <v>1.249400448607048</v>
      </c>
    </row>
    <row r="18" spans="1:10">
      <c r="A18" s="1">
        <v>45495</v>
      </c>
      <c r="B18">
        <f>(3/(1+('CurrentPor-LH=40 unchanged'!C18)/100)+103/POWER(1+('CurrentPor-LH=40 unchanged'!D18)/100,2))*100</f>
        <v>9707.5857774288397</v>
      </c>
      <c r="C18">
        <f>(3/(1+('CurrentPor-LH=40 unchanged'!C18+'CurrentPor-LH=40 unchanged'!G18)/100)+103/POWER(1+('CurrentPor-LH=40 unchanged'!D18+'CurrentPor-LH=40 unchanged'!G18)/100,2))*100</f>
        <v>9614.9673582483465</v>
      </c>
      <c r="D18">
        <f>(3/(1+('CurrentPor-LH=40 unchanged'!C18+'CurrentPor-LH=40 unchanged'!H18)/100)+103/POWER(1+('CurrentPor-LH=40 unchanged'!D18+'CurrentPor-LH=40 unchanged'!H18)/100,2))*100</f>
        <v>9601.2395558122898</v>
      </c>
      <c r="E18">
        <f>(3/(1+('CurrentPor-LH=40 unchanged'!C18+'CurrentPor-LH=40 unchanged'!I18)/100)+103/POWER(1+('CurrentPor-LH=40 unchanged'!D18+'CurrentPor-LH=40 unchanged'!I18)/100,2))*100</f>
        <v>9580.8467723897229</v>
      </c>
      <c r="F18">
        <f>Portfolio!B$5*'CurrentPor-LH=40 unchanged'!E18</f>
        <v>52143.895533915893</v>
      </c>
      <c r="G18">
        <f>Portfolio!B$6*'CurrentPor-LH=40 unchanged'!F18</f>
        <v>3696.2945087936532</v>
      </c>
      <c r="H18">
        <f>Portfolio!B$7*'CurrentPor-LH=40 unchanged'!J18</f>
        <v>2148.0998964419859</v>
      </c>
      <c r="I18">
        <f t="shared" si="0"/>
        <v>96492.929403030736</v>
      </c>
      <c r="J18">
        <f t="shared" si="1"/>
        <v>0.37961198553966824</v>
      </c>
    </row>
    <row r="19" spans="1:10">
      <c r="A19" s="1">
        <v>45496</v>
      </c>
      <c r="B19">
        <f>(3/(1+('CurrentPor-LH=40 unchanged'!C19)/100)+103/POWER(1+('CurrentPor-LH=40 unchanged'!D19)/100,2))*100</f>
        <v>9707.5857774288397</v>
      </c>
      <c r="C19">
        <f>(3/(1+('CurrentPor-LH=40 unchanged'!C19+'CurrentPor-LH=40 unchanged'!G19)/100)+103/POWER(1+('CurrentPor-LH=40 unchanged'!D19+'CurrentPor-LH=40 unchanged'!G19)/100,2))*100</f>
        <v>9614.9673582483465</v>
      </c>
      <c r="D19">
        <f>(3/(1+('CurrentPor-LH=40 unchanged'!C19+'CurrentPor-LH=40 unchanged'!H19)/100)+103/POWER(1+('CurrentPor-LH=40 unchanged'!D19+'CurrentPor-LH=40 unchanged'!H19)/100,2))*100</f>
        <v>9601.2395558122898</v>
      </c>
      <c r="E19">
        <f>(3/(1+('CurrentPor-LH=40 unchanged'!C19+'CurrentPor-LH=40 unchanged'!I19)/100)+103/POWER(1+('CurrentPor-LH=40 unchanged'!D19+'CurrentPor-LH=40 unchanged'!I19)/100,2))*100</f>
        <v>9581.9982130363605</v>
      </c>
      <c r="F19">
        <f>Portfolio!B$5*'CurrentPor-LH=40 unchanged'!E19</f>
        <v>52143.895533915893</v>
      </c>
      <c r="G19">
        <f>Portfolio!B$6*'CurrentPor-LH=40 unchanged'!F19</f>
        <v>3696.2945087936532</v>
      </c>
      <c r="H19">
        <f>Portfolio!B$7*'CurrentPor-LH=40 unchanged'!J19</f>
        <v>2148.0998964419859</v>
      </c>
      <c r="I19">
        <f t="shared" si="0"/>
        <v>96494.08084367738</v>
      </c>
      <c r="J19">
        <f t="shared" si="1"/>
        <v>1.0335784659546334</v>
      </c>
    </row>
    <row r="20" spans="1:10">
      <c r="A20" s="1">
        <v>45497</v>
      </c>
      <c r="B20">
        <f>(3/(1+('CurrentPor-LH=40 unchanged'!C20)/100)+103/POWER(1+('CurrentPor-LH=40 unchanged'!D20)/100,2))*100</f>
        <v>9707.5857774288397</v>
      </c>
      <c r="C20">
        <f>(3/(1+('CurrentPor-LH=40 unchanged'!C20+'CurrentPor-LH=40 unchanged'!G20)/100)+103/POWER(1+('CurrentPor-LH=40 unchanged'!D20+'CurrentPor-LH=40 unchanged'!G20)/100,2))*100</f>
        <v>9614.9673582483465</v>
      </c>
      <c r="D20">
        <f>(3/(1+('CurrentPor-LH=40 unchanged'!C20+'CurrentPor-LH=40 unchanged'!H20)/100)+103/POWER(1+('CurrentPor-LH=40 unchanged'!D20+'CurrentPor-LH=40 unchanged'!H20)/100,2))*100</f>
        <v>9601.2395558122898</v>
      </c>
      <c r="E20">
        <f>(3/(1+('CurrentPor-LH=40 unchanged'!C20+'CurrentPor-LH=40 unchanged'!I20)/100)+103/POWER(1+('CurrentPor-LH=40 unchanged'!D20+'CurrentPor-LH=40 unchanged'!I20)/100,2))*100</f>
        <v>9580.9064944615511</v>
      </c>
      <c r="F20">
        <f>Portfolio!B$5*'CurrentPor-LH=40 unchanged'!E20</f>
        <v>52143.895533915893</v>
      </c>
      <c r="G20">
        <f>Portfolio!B$6*'CurrentPor-LH=40 unchanged'!F20</f>
        <v>3696.2945087936532</v>
      </c>
      <c r="H20">
        <f>Portfolio!B$7*'CurrentPor-LH=40 unchanged'!J20</f>
        <v>2148.0998964419859</v>
      </c>
      <c r="I20">
        <f t="shared" si="0"/>
        <v>96492.989125102569</v>
      </c>
      <c r="J20">
        <f t="shared" si="1"/>
        <v>0.51987166004255414</v>
      </c>
    </row>
    <row r="21" spans="1:10">
      <c r="A21" s="1">
        <v>45498</v>
      </c>
      <c r="B21">
        <f>(3/(1+('CurrentPor-LH=40 unchanged'!C21)/100)+103/POWER(1+('CurrentPor-LH=40 unchanged'!D21)/100,2))*100</f>
        <v>9707.5857774288397</v>
      </c>
      <c r="C21">
        <f>(3/(1+('CurrentPor-LH=40 unchanged'!C21+'CurrentPor-LH=40 unchanged'!G21)/100)+103/POWER(1+('CurrentPor-LH=40 unchanged'!D21+'CurrentPor-LH=40 unchanged'!G21)/100,2))*100</f>
        <v>9614.9673582483465</v>
      </c>
      <c r="D21">
        <f>(3/(1+('CurrentPor-LH=40 unchanged'!C21+'CurrentPor-LH=40 unchanged'!H21)/100)+103/POWER(1+('CurrentPor-LH=40 unchanged'!D21+'CurrentPor-LH=40 unchanged'!H21)/100,2))*100</f>
        <v>9601.2395558122898</v>
      </c>
      <c r="E21">
        <f>(3/(1+('CurrentPor-LH=40 unchanged'!C21+'CurrentPor-LH=40 unchanged'!I21)/100)+103/POWER(1+('CurrentPor-LH=40 unchanged'!D21+'CurrentPor-LH=40 unchanged'!I21)/100,2))*100</f>
        <v>9582.6411118772321</v>
      </c>
      <c r="F21">
        <f>Portfolio!B$5*'CurrentPor-LH=40 unchanged'!E21</f>
        <v>52143.895533915893</v>
      </c>
      <c r="G21">
        <f>Portfolio!B$6*'CurrentPor-LH=40 unchanged'!F21</f>
        <v>3696.2945087936532</v>
      </c>
      <c r="H21">
        <f>Portfolio!B$7*'CurrentPor-LH=40 unchanged'!J21</f>
        <v>2148.0998964419859</v>
      </c>
      <c r="I21">
        <f t="shared" si="0"/>
        <v>96494.723742518239</v>
      </c>
      <c r="J21">
        <f t="shared" si="1"/>
        <v>4.6550332574697677</v>
      </c>
    </row>
    <row r="22" spans="1:10">
      <c r="A22" s="1">
        <v>45499</v>
      </c>
      <c r="B22">
        <f>(3/(1+('CurrentPor-LH=40 unchanged'!C22)/100)+103/POWER(1+('CurrentPor-LH=40 unchanged'!D22)/100,2))*100</f>
        <v>9707.5857774288397</v>
      </c>
      <c r="C22">
        <f>(3/(1+('CurrentPor-LH=40 unchanged'!C22+'CurrentPor-LH=40 unchanged'!G22)/100)+103/POWER(1+('CurrentPor-LH=40 unchanged'!D22+'CurrentPor-LH=40 unchanged'!G22)/100,2))*100</f>
        <v>9614.9673582483465</v>
      </c>
      <c r="D22">
        <f>(3/(1+('CurrentPor-LH=40 unchanged'!C22+'CurrentPor-LH=40 unchanged'!H22)/100)+103/POWER(1+('CurrentPor-LH=40 unchanged'!D22+'CurrentPor-LH=40 unchanged'!H22)/100,2))*100</f>
        <v>9601.2395558122898</v>
      </c>
      <c r="E22">
        <f>(3/(1+('CurrentPor-LH=40 unchanged'!C22+'CurrentPor-LH=40 unchanged'!I22)/100)+103/POWER(1+('CurrentPor-LH=40 unchanged'!D22+'CurrentPor-LH=40 unchanged'!I22)/100,2))*100</f>
        <v>9581.467335193609</v>
      </c>
      <c r="F22">
        <f>Portfolio!B$5*'CurrentPor-LH=40 unchanged'!E22</f>
        <v>52143.895533915893</v>
      </c>
      <c r="G22">
        <f>Portfolio!B$6*'CurrentPor-LH=40 unchanged'!F22</f>
        <v>3696.2945087936532</v>
      </c>
      <c r="H22">
        <f>Portfolio!B$7*'CurrentPor-LH=40 unchanged'!J22</f>
        <v>2148.0998964419859</v>
      </c>
      <c r="I22">
        <f t="shared" si="0"/>
        <v>96493.549965834609</v>
      </c>
      <c r="J22">
        <f t="shared" si="1"/>
        <v>0.54719607226434164</v>
      </c>
    </row>
    <row r="23" spans="1:10">
      <c r="A23" s="1">
        <v>45502</v>
      </c>
      <c r="B23">
        <f>(3/(1+('CurrentPor-LH=40 unchanged'!C23)/100)+103/POWER(1+('CurrentPor-LH=40 unchanged'!D23)/100,2))*100</f>
        <v>9707.5857774288397</v>
      </c>
      <c r="C23">
        <f>(3/(1+('CurrentPor-LH=40 unchanged'!C23+'CurrentPor-LH=40 unchanged'!G23)/100)+103/POWER(1+('CurrentPor-LH=40 unchanged'!D23+'CurrentPor-LH=40 unchanged'!G23)/100,2))*100</f>
        <v>9614.9673582483465</v>
      </c>
      <c r="D23">
        <f>(3/(1+('CurrentPor-LH=40 unchanged'!C23+'CurrentPor-LH=40 unchanged'!H23)/100)+103/POWER(1+('CurrentPor-LH=40 unchanged'!D23+'CurrentPor-LH=40 unchanged'!H23)/100,2))*100</f>
        <v>9601.2395558122898</v>
      </c>
      <c r="E23">
        <f>(3/(1+('CurrentPor-LH=40 unchanged'!C23+'CurrentPor-LH=40 unchanged'!I23)/100)+103/POWER(1+('CurrentPor-LH=40 unchanged'!D23+'CurrentPor-LH=40 unchanged'!I23)/100,2))*100</f>
        <v>9580.3092192532367</v>
      </c>
      <c r="F23">
        <f>Portfolio!B$5*'CurrentPor-LH=40 unchanged'!E23</f>
        <v>52143.895533915893</v>
      </c>
      <c r="G23">
        <f>Portfolio!B$6*'CurrentPor-LH=40 unchanged'!F23</f>
        <v>3696.2945087936532</v>
      </c>
      <c r="H23">
        <f>Portfolio!B$7*'CurrentPor-LH=40 unchanged'!J23</f>
        <v>2148.0998964419859</v>
      </c>
      <c r="I23">
        <f t="shared" si="0"/>
        <v>96492.391849894237</v>
      </c>
      <c r="J23">
        <f t="shared" si="1"/>
        <v>0.27951078445767052</v>
      </c>
    </row>
    <row r="24" spans="1:10">
      <c r="A24" s="1">
        <v>45503</v>
      </c>
      <c r="B24">
        <f>(3/(1+('CurrentPor-LH=40 unchanged'!C24)/100)+103/POWER(1+('CurrentPor-LH=40 unchanged'!D24)/100,2))*100</f>
        <v>9707.5857774288397</v>
      </c>
      <c r="C24">
        <f>(3/(1+('CurrentPor-LH=40 unchanged'!C24+'CurrentPor-LH=40 unchanged'!G24)/100)+103/POWER(1+('CurrentPor-LH=40 unchanged'!D24+'CurrentPor-LH=40 unchanged'!G24)/100,2))*100</f>
        <v>9614.9673582483465</v>
      </c>
      <c r="D24">
        <f>(3/(1+('CurrentPor-LH=40 unchanged'!C24+'CurrentPor-LH=40 unchanged'!H24)/100)+103/POWER(1+('CurrentPor-LH=40 unchanged'!D24+'CurrentPor-LH=40 unchanged'!H24)/100,2))*100</f>
        <v>9601.2395558122898</v>
      </c>
      <c r="E24">
        <f>(3/(1+('CurrentPor-LH=40 unchanged'!C24+'CurrentPor-LH=40 unchanged'!I24)/100)+103/POWER(1+('CurrentPor-LH=40 unchanged'!D24+'CurrentPor-LH=40 unchanged'!I24)/100,2))*100</f>
        <v>9580.4201315508617</v>
      </c>
      <c r="F24">
        <f>Portfolio!B$5*'CurrentPor-LH=40 unchanged'!E24</f>
        <v>52143.895533915893</v>
      </c>
      <c r="G24">
        <f>Portfolio!B$6*'CurrentPor-LH=40 unchanged'!F24</f>
        <v>3696.2945087936532</v>
      </c>
      <c r="H24">
        <f>Portfolio!B$7*'CurrentPor-LH=40 unchanged'!J24</f>
        <v>2148.0998964419859</v>
      </c>
      <c r="I24">
        <f t="shared" si="0"/>
        <v>96492.502762191871</v>
      </c>
      <c r="J24">
        <f t="shared" si="1"/>
        <v>0.10761067655403167</v>
      </c>
    </row>
    <row r="25" spans="1:10">
      <c r="A25" s="1">
        <v>45504</v>
      </c>
      <c r="B25">
        <f>(3/(1+('CurrentPor-LH=40 unchanged'!C25)/100)+103/POWER(1+('CurrentPor-LH=40 unchanged'!D25)/100,2))*100</f>
        <v>9707.5857774288397</v>
      </c>
      <c r="C25">
        <f>(3/(1+('CurrentPor-LH=40 unchanged'!C25+'CurrentPor-LH=40 unchanged'!G25)/100)+103/POWER(1+('CurrentPor-LH=40 unchanged'!D25+'CurrentPor-LH=40 unchanged'!G25)/100,2))*100</f>
        <v>9614.9673582483465</v>
      </c>
      <c r="D25">
        <f>(3/(1+('CurrentPor-LH=40 unchanged'!C25+'CurrentPor-LH=40 unchanged'!H25)/100)+103/POWER(1+('CurrentPor-LH=40 unchanged'!D25+'CurrentPor-LH=40 unchanged'!H25)/100,2))*100</f>
        <v>9601.2395558122898</v>
      </c>
      <c r="E25">
        <f>(3/(1+('CurrentPor-LH=40 unchanged'!C25+'CurrentPor-LH=40 unchanged'!I25)/100)+103/POWER(1+('CurrentPor-LH=40 unchanged'!D25+'CurrentPor-LH=40 unchanged'!I25)/100,2))*100</f>
        <v>9580.6721797268219</v>
      </c>
      <c r="F25">
        <f>Portfolio!B$5*'CurrentPor-LH=40 unchanged'!E25</f>
        <v>52143.895533915893</v>
      </c>
      <c r="G25">
        <f>Portfolio!B$6*'CurrentPor-LH=40 unchanged'!F25</f>
        <v>3696.2945087936532</v>
      </c>
      <c r="H25">
        <f>Portfolio!B$7*'CurrentPor-LH=40 unchanged'!J25</f>
        <v>2148.0998964419859</v>
      </c>
      <c r="I25">
        <f t="shared" si="0"/>
        <v>96492.754810367842</v>
      </c>
      <c r="J25">
        <f t="shared" si="1"/>
        <v>-0.64573934479267336</v>
      </c>
    </row>
    <row r="26" spans="1:10">
      <c r="A26" s="1">
        <v>45505</v>
      </c>
      <c r="B26">
        <f>(3/(1+('CurrentPor-LH=40 unchanged'!C26)/100)+103/POWER(1+('CurrentPor-LH=40 unchanged'!D26)/100,2))*100</f>
        <v>9707.5857774288397</v>
      </c>
      <c r="C26">
        <f>(3/(1+('CurrentPor-LH=40 unchanged'!C26+'CurrentPor-LH=40 unchanged'!G26)/100)+103/POWER(1+('CurrentPor-LH=40 unchanged'!D26+'CurrentPor-LH=40 unchanged'!G26)/100,2))*100</f>
        <v>9614.9673582483465</v>
      </c>
      <c r="D26">
        <f>(3/(1+('CurrentPor-LH=40 unchanged'!C26+'CurrentPor-LH=40 unchanged'!H26)/100)+103/POWER(1+('CurrentPor-LH=40 unchanged'!D26+'CurrentPor-LH=40 unchanged'!H26)/100,2))*100</f>
        <v>9601.2395558122898</v>
      </c>
      <c r="E26">
        <f>(3/(1+('CurrentPor-LH=40 unchanged'!C26+'CurrentPor-LH=40 unchanged'!I26)/100)+103/POWER(1+('CurrentPor-LH=40 unchanged'!D26+'CurrentPor-LH=40 unchanged'!I26)/100,2))*100</f>
        <v>9581.7126704693601</v>
      </c>
      <c r="F26">
        <f>Portfolio!B$5*'CurrentPor-LH=40 unchanged'!E26</f>
        <v>52143.895533915893</v>
      </c>
      <c r="G26">
        <f>Portfolio!B$6*'CurrentPor-LH=40 unchanged'!F26</f>
        <v>3696.2945087936532</v>
      </c>
      <c r="H26">
        <f>Portfolio!B$7*'CurrentPor-LH=40 unchanged'!J26</f>
        <v>2148.0998964419859</v>
      </c>
      <c r="I26">
        <f t="shared" si="0"/>
        <v>96493.795301110367</v>
      </c>
      <c r="J26">
        <f t="shared" si="1"/>
        <v>-1.3168068537052022</v>
      </c>
    </row>
    <row r="27" spans="1:10">
      <c r="A27" s="1">
        <v>45506</v>
      </c>
      <c r="B27">
        <f>(3/(1+('CurrentPor-LH=40 unchanged'!C27)/100)+103/POWER(1+('CurrentPor-LH=40 unchanged'!D27)/100,2))*100</f>
        <v>9707.5857774288397</v>
      </c>
      <c r="C27">
        <f>(3/(1+('CurrentPor-LH=40 unchanged'!C27+'CurrentPor-LH=40 unchanged'!G27)/100)+103/POWER(1+('CurrentPor-LH=40 unchanged'!D27+'CurrentPor-LH=40 unchanged'!G27)/100,2))*100</f>
        <v>9614.9673582483465</v>
      </c>
      <c r="D27">
        <f>(3/(1+('CurrentPor-LH=40 unchanged'!C27+'CurrentPor-LH=40 unchanged'!H27)/100)+103/POWER(1+('CurrentPor-LH=40 unchanged'!D27+'CurrentPor-LH=40 unchanged'!H27)/100,2))*100</f>
        <v>9601.2395558122898</v>
      </c>
      <c r="E27">
        <f>(3/(1+('CurrentPor-LH=40 unchanged'!C27+'CurrentPor-LH=40 unchanged'!I27)/100)+103/POWER(1+('CurrentPor-LH=40 unchanged'!D27+'CurrentPor-LH=40 unchanged'!I27)/100,2))*100</f>
        <v>9580.2243625264055</v>
      </c>
      <c r="F27">
        <f>Portfolio!B$5*'CurrentPor-LH=40 unchanged'!E27</f>
        <v>52143.895533915893</v>
      </c>
      <c r="G27">
        <f>Portfolio!B$6*'CurrentPor-LH=40 unchanged'!F27</f>
        <v>3696.2945087936532</v>
      </c>
      <c r="H27">
        <f>Portfolio!B$7*'CurrentPor-LH=40 unchanged'!J27</f>
        <v>2148.0998964419859</v>
      </c>
      <c r="I27">
        <f t="shared" si="0"/>
        <v>96492.306993167425</v>
      </c>
      <c r="J27">
        <f t="shared" si="1"/>
        <v>-0.56893487987690605</v>
      </c>
    </row>
    <row r="28" spans="1:10">
      <c r="A28" s="1">
        <v>45509</v>
      </c>
      <c r="B28">
        <f>(3/(1+('CurrentPor-LH=40 unchanged'!C28)/100)+103/POWER(1+('CurrentPor-LH=40 unchanged'!D28)/100,2))*100</f>
        <v>9707.5857774288397</v>
      </c>
      <c r="C28">
        <f>(3/(1+('CurrentPor-LH=40 unchanged'!C28+'CurrentPor-LH=40 unchanged'!G28)/100)+103/POWER(1+('CurrentPor-LH=40 unchanged'!D28+'CurrentPor-LH=40 unchanged'!G28)/100,2))*100</f>
        <v>9614.9673582483465</v>
      </c>
      <c r="D28">
        <f>(3/(1+('CurrentPor-LH=40 unchanged'!C28+'CurrentPor-LH=40 unchanged'!H28)/100)+103/POWER(1+('CurrentPor-LH=40 unchanged'!D28+'CurrentPor-LH=40 unchanged'!H28)/100,2))*100</f>
        <v>9601.2395558122898</v>
      </c>
      <c r="E28">
        <f>(3/(1+('CurrentPor-LH=40 unchanged'!C28+'CurrentPor-LH=40 unchanged'!I28)/100)+103/POWER(1+('CurrentPor-LH=40 unchanged'!D28+'CurrentPor-LH=40 unchanged'!I28)/100,2))*100</f>
        <v>9580.8128809983627</v>
      </c>
      <c r="F28">
        <f>Portfolio!B$5*'CurrentPor-LH=40 unchanged'!E28</f>
        <v>52143.895533915893</v>
      </c>
      <c r="G28">
        <f>Portfolio!B$6*'CurrentPor-LH=40 unchanged'!F28</f>
        <v>3696.2945087936532</v>
      </c>
      <c r="H28">
        <f>Portfolio!B$7*'CurrentPor-LH=40 unchanged'!J28</f>
        <v>2148.0998964419859</v>
      </c>
      <c r="I28">
        <f t="shared" si="0"/>
        <v>96492.895511639377</v>
      </c>
      <c r="J28">
        <f t="shared" si="1"/>
        <v>-3.3891391358338296E-2</v>
      </c>
    </row>
    <row r="29" spans="1:10">
      <c r="A29" s="1">
        <v>45510</v>
      </c>
      <c r="B29">
        <f>(3/(1+('CurrentPor-LH=40 unchanged'!C29)/100)+103/POWER(1+('CurrentPor-LH=40 unchanged'!D29)/100,2))*100</f>
        <v>9707.5857774288397</v>
      </c>
      <c r="C29">
        <f>(3/(1+('CurrentPor-LH=40 unchanged'!C29+'CurrentPor-LH=40 unchanged'!G29)/100)+103/POWER(1+('CurrentPor-LH=40 unchanged'!D29+'CurrentPor-LH=40 unchanged'!G29)/100,2))*100</f>
        <v>9614.9673582483465</v>
      </c>
      <c r="D29">
        <f>(3/(1+('CurrentPor-LH=40 unchanged'!C29+'CurrentPor-LH=40 unchanged'!H29)/100)+103/POWER(1+('CurrentPor-LH=40 unchanged'!D29+'CurrentPor-LH=40 unchanged'!H29)/100,2))*100</f>
        <v>9601.2395558122898</v>
      </c>
      <c r="E29">
        <f>(3/(1+('CurrentPor-LH=40 unchanged'!C29+'CurrentPor-LH=40 unchanged'!I29)/100)+103/POWER(1+('CurrentPor-LH=40 unchanged'!D29+'CurrentPor-LH=40 unchanged'!I29)/100,2))*100</f>
        <v>9582.0428982063986</v>
      </c>
      <c r="F29">
        <f>Portfolio!B$5*'CurrentPor-LH=40 unchanged'!E29</f>
        <v>52143.895533915893</v>
      </c>
      <c r="G29">
        <f>Portfolio!B$6*'CurrentPor-LH=40 unchanged'!F29</f>
        <v>3696.2945087936532</v>
      </c>
      <c r="H29">
        <f>Portfolio!B$7*'CurrentPor-LH=40 unchanged'!J29</f>
        <v>2148.0998964419859</v>
      </c>
      <c r="I29">
        <f t="shared" si="0"/>
        <v>96494.125528847406</v>
      </c>
      <c r="J29">
        <f t="shared" si="1"/>
        <v>4.46851700253319E-2</v>
      </c>
    </row>
    <row r="30" spans="1:10">
      <c r="A30" s="1">
        <v>45511</v>
      </c>
      <c r="B30">
        <f>(3/(1+('CurrentPor-LH=40 unchanged'!C30)/100)+103/POWER(1+('CurrentPor-LH=40 unchanged'!D30)/100,2))*100</f>
        <v>9707.5857774288397</v>
      </c>
      <c r="C30">
        <f>(3/(1+('CurrentPor-LH=40 unchanged'!C30+'CurrentPor-LH=40 unchanged'!G30)/100)+103/POWER(1+('CurrentPor-LH=40 unchanged'!D30+'CurrentPor-LH=40 unchanged'!G30)/100,2))*100</f>
        <v>9614.9673582483465</v>
      </c>
      <c r="D30">
        <f>(3/(1+('CurrentPor-LH=40 unchanged'!C30+'CurrentPor-LH=40 unchanged'!H30)/100)+103/POWER(1+('CurrentPor-LH=40 unchanged'!D30+'CurrentPor-LH=40 unchanged'!H30)/100,2))*100</f>
        <v>9601.2395558122898</v>
      </c>
      <c r="E30">
        <f>(3/(1+('CurrentPor-LH=40 unchanged'!C30+'CurrentPor-LH=40 unchanged'!I30)/100)+103/POWER(1+('CurrentPor-LH=40 unchanged'!D30+'CurrentPor-LH=40 unchanged'!I30)/100,2))*100</f>
        <v>9581.6327923457939</v>
      </c>
      <c r="F30">
        <f>Portfolio!B$5*'CurrentPor-LH=40 unchanged'!E30</f>
        <v>52143.895533915893</v>
      </c>
      <c r="G30">
        <f>Portfolio!B$6*'CurrentPor-LH=40 unchanged'!F30</f>
        <v>3696.2945087936532</v>
      </c>
      <c r="H30">
        <f>Portfolio!B$7*'CurrentPor-LH=40 unchanged'!J30</f>
        <v>2148.0998964419859</v>
      </c>
      <c r="I30">
        <f t="shared" si="0"/>
        <v>96493.715422986803</v>
      </c>
      <c r="J30">
        <f t="shared" si="1"/>
        <v>0.72629788423364516</v>
      </c>
    </row>
    <row r="31" spans="1:10">
      <c r="A31" s="1">
        <v>45512</v>
      </c>
      <c r="B31">
        <f>(3/(1+('CurrentPor-LH=40 unchanged'!C31)/100)+103/POWER(1+('CurrentPor-LH=40 unchanged'!D31)/100,2))*100</f>
        <v>9707.5857774288397</v>
      </c>
      <c r="C31">
        <f>(3/(1+('CurrentPor-LH=40 unchanged'!C31+'CurrentPor-LH=40 unchanged'!G31)/100)+103/POWER(1+('CurrentPor-LH=40 unchanged'!D31+'CurrentPor-LH=40 unchanged'!G31)/100,2))*100</f>
        <v>9614.9673582483465</v>
      </c>
      <c r="D31">
        <f>(3/(1+('CurrentPor-LH=40 unchanged'!C31+'CurrentPor-LH=40 unchanged'!H31)/100)+103/POWER(1+('CurrentPor-LH=40 unchanged'!D31+'CurrentPor-LH=40 unchanged'!H31)/100,2))*100</f>
        <v>9601.2395558122898</v>
      </c>
      <c r="E31">
        <f>(3/(1+('CurrentPor-LH=40 unchanged'!C31+'CurrentPor-LH=40 unchanged'!I31)/100)+103/POWER(1+('CurrentPor-LH=40 unchanged'!D31+'CurrentPor-LH=40 unchanged'!I31)/100,2))*100</f>
        <v>9582.6635433669217</v>
      </c>
      <c r="F31">
        <f>Portfolio!B$5*'CurrentPor-LH=40 unchanged'!E31</f>
        <v>52143.895533915893</v>
      </c>
      <c r="G31">
        <f>Portfolio!B$6*'CurrentPor-LH=40 unchanged'!F31</f>
        <v>3696.2945087936532</v>
      </c>
      <c r="H31">
        <f>Portfolio!B$7*'CurrentPor-LH=40 unchanged'!J31</f>
        <v>2148.0998964419859</v>
      </c>
      <c r="I31">
        <f t="shared" si="0"/>
        <v>96494.746174007931</v>
      </c>
      <c r="J31">
        <f t="shared" si="1"/>
        <v>2.2431489691371098E-2</v>
      </c>
    </row>
    <row r="32" spans="1:10">
      <c r="A32" s="1">
        <v>45513</v>
      </c>
      <c r="B32">
        <f>(3/(1+('CurrentPor-LH=40 unchanged'!C32)/100)+103/POWER(1+('CurrentPor-LH=40 unchanged'!D32)/100,2))*100</f>
        <v>9707.5857774288397</v>
      </c>
      <c r="C32">
        <f>(3/(1+('CurrentPor-LH=40 unchanged'!C32+'CurrentPor-LH=40 unchanged'!G32)/100)+103/POWER(1+('CurrentPor-LH=40 unchanged'!D32+'CurrentPor-LH=40 unchanged'!G32)/100,2))*100</f>
        <v>9614.9673582483465</v>
      </c>
      <c r="D32">
        <f>(3/(1+('CurrentPor-LH=40 unchanged'!C32+'CurrentPor-LH=40 unchanged'!H32)/100)+103/POWER(1+('CurrentPor-LH=40 unchanged'!D32+'CurrentPor-LH=40 unchanged'!H32)/100,2))*100</f>
        <v>9601.2395558122898</v>
      </c>
      <c r="E32">
        <f>(3/(1+('CurrentPor-LH=40 unchanged'!C32+'CurrentPor-LH=40 unchanged'!I32)/100)+103/POWER(1+('CurrentPor-LH=40 unchanged'!D32+'CurrentPor-LH=40 unchanged'!I32)/100,2))*100</f>
        <v>9582.7373531656012</v>
      </c>
      <c r="F32">
        <f>Portfolio!B$5*'CurrentPor-LH=40 unchanged'!E32</f>
        <v>52143.895533915893</v>
      </c>
      <c r="G32">
        <f>Portfolio!B$6*'CurrentPor-LH=40 unchanged'!F32</f>
        <v>3696.2945087936532</v>
      </c>
      <c r="H32">
        <f>Portfolio!B$7*'CurrentPor-LH=40 unchanged'!J32</f>
        <v>2148.0998964419859</v>
      </c>
      <c r="I32">
        <f t="shared" si="0"/>
        <v>96494.819983806621</v>
      </c>
      <c r="J32">
        <f t="shared" si="1"/>
        <v>1.2700179720122833</v>
      </c>
    </row>
    <row r="33" spans="1:10">
      <c r="A33" s="1">
        <v>45516</v>
      </c>
      <c r="B33">
        <f>(3/(1+('CurrentPor-LH=40 unchanged'!C33)/100)+103/POWER(1+('CurrentPor-LH=40 unchanged'!D33)/100,2))*100</f>
        <v>9707.5857774288397</v>
      </c>
      <c r="C33">
        <f>(3/(1+('CurrentPor-LH=40 unchanged'!C33+'CurrentPor-LH=40 unchanged'!G33)/100)+103/POWER(1+('CurrentPor-LH=40 unchanged'!D33+'CurrentPor-LH=40 unchanged'!G33)/100,2))*100</f>
        <v>9614.9673582483465</v>
      </c>
      <c r="D33">
        <f>(3/(1+('CurrentPor-LH=40 unchanged'!C33+'CurrentPor-LH=40 unchanged'!H33)/100)+103/POWER(1+('CurrentPor-LH=40 unchanged'!D33+'CurrentPor-LH=40 unchanged'!H33)/100,2))*100</f>
        <v>9601.2395558122898</v>
      </c>
      <c r="E33">
        <f>(3/(1+('CurrentPor-LH=40 unchanged'!C33+'CurrentPor-LH=40 unchanged'!I33)/100)+103/POWER(1+('CurrentPor-LH=40 unchanged'!D33+'CurrentPor-LH=40 unchanged'!I33)/100,2))*100</f>
        <v>9581.6017783514581</v>
      </c>
      <c r="F33">
        <f>Portfolio!B$5*'CurrentPor-LH=40 unchanged'!E33</f>
        <v>52143.895533915893</v>
      </c>
      <c r="G33">
        <f>Portfolio!B$6*'CurrentPor-LH=40 unchanged'!F33</f>
        <v>3696.2945087936532</v>
      </c>
      <c r="H33">
        <f>Portfolio!B$7*'CurrentPor-LH=40 unchanged'!J33</f>
        <v>2148.0998964419859</v>
      </c>
      <c r="I33">
        <f t="shared" si="0"/>
        <v>96493.684408992456</v>
      </c>
      <c r="J33">
        <f t="shared" si="1"/>
        <v>1.292559098219499</v>
      </c>
    </row>
    <row r="34" spans="1:10">
      <c r="A34" s="1">
        <v>45517</v>
      </c>
      <c r="B34">
        <f>(3/(1+('CurrentPor-LH=40 unchanged'!C34)/100)+103/POWER(1+('CurrentPor-LH=40 unchanged'!D34)/100,2))*100</f>
        <v>9707.5857774288397</v>
      </c>
      <c r="C34">
        <f>(3/(1+('CurrentPor-LH=40 unchanged'!C34+'CurrentPor-LH=40 unchanged'!G34)/100)+103/POWER(1+('CurrentPor-LH=40 unchanged'!D34+'CurrentPor-LH=40 unchanged'!G34)/100,2))*100</f>
        <v>9614.9673582483465</v>
      </c>
      <c r="D34">
        <f>(3/(1+('CurrentPor-LH=40 unchanged'!C34+'CurrentPor-LH=40 unchanged'!H34)/100)+103/POWER(1+('CurrentPor-LH=40 unchanged'!D34+'CurrentPor-LH=40 unchanged'!H34)/100,2))*100</f>
        <v>9601.2395558122898</v>
      </c>
      <c r="E34">
        <f>(3/(1+('CurrentPor-LH=40 unchanged'!C34+'CurrentPor-LH=40 unchanged'!I34)/100)+103/POWER(1+('CurrentPor-LH=40 unchanged'!D34+'CurrentPor-LH=40 unchanged'!I34)/100,2))*100</f>
        <v>9581.8701888552459</v>
      </c>
      <c r="F34">
        <f>Portfolio!B$5*'CurrentPor-LH=40 unchanged'!E34</f>
        <v>52143.895533915893</v>
      </c>
      <c r="G34">
        <f>Portfolio!B$6*'CurrentPor-LH=40 unchanged'!F34</f>
        <v>3696.2945087936532</v>
      </c>
      <c r="H34">
        <f>Portfolio!B$7*'CurrentPor-LH=40 unchanged'!J34</f>
        <v>2148.0998964419859</v>
      </c>
      <c r="I34">
        <f t="shared" si="0"/>
        <v>96493.952819496262</v>
      </c>
      <c r="J34">
        <f t="shared" si="1"/>
        <v>1.450057304391521</v>
      </c>
    </row>
    <row r="35" spans="1:10">
      <c r="A35" s="1">
        <v>45518</v>
      </c>
      <c r="B35">
        <f>(3/(1+('CurrentPor-LH=40 unchanged'!C35)/100)+103/POWER(1+('CurrentPor-LH=40 unchanged'!D35)/100,2))*100</f>
        <v>9707.5857774288397</v>
      </c>
      <c r="C35">
        <f>(3/(1+('CurrentPor-LH=40 unchanged'!C35+'CurrentPor-LH=40 unchanged'!G35)/100)+103/POWER(1+('CurrentPor-LH=40 unchanged'!D35+'CurrentPor-LH=40 unchanged'!G35)/100,2))*100</f>
        <v>9614.9673582483465</v>
      </c>
      <c r="D35">
        <f>(3/(1+('CurrentPor-LH=40 unchanged'!C35+'CurrentPor-LH=40 unchanged'!H35)/100)+103/POWER(1+('CurrentPor-LH=40 unchanged'!D35+'CurrentPor-LH=40 unchanged'!H35)/100,2))*100</f>
        <v>9601.2395558122898</v>
      </c>
      <c r="E35">
        <f>(3/(1+('CurrentPor-LH=40 unchanged'!C35+'CurrentPor-LH=40 unchanged'!I35)/100)+103/POWER(1+('CurrentPor-LH=40 unchanged'!D35+'CurrentPor-LH=40 unchanged'!I35)/100,2))*100</f>
        <v>9581.4251961795217</v>
      </c>
      <c r="F35">
        <f>Portfolio!B$5*'CurrentPor-LH=40 unchanged'!E35</f>
        <v>52143.895533915893</v>
      </c>
      <c r="G35">
        <f>Portfolio!B$6*'CurrentPor-LH=40 unchanged'!F35</f>
        <v>3696.2945087936532</v>
      </c>
      <c r="H35">
        <f>Portfolio!B$7*'CurrentPor-LH=40 unchanged'!J35</f>
        <v>2148.0998964419859</v>
      </c>
      <c r="I35">
        <f t="shared" si="0"/>
        <v>96493.507826820525</v>
      </c>
      <c r="J35">
        <f t="shared" si="1"/>
        <v>0.7530164526833687</v>
      </c>
    </row>
    <row r="36" spans="1:10">
      <c r="A36" s="1">
        <v>45519</v>
      </c>
      <c r="B36">
        <f>(3/(1+('CurrentPor-LH=40 unchanged'!C36)/100)+103/POWER(1+('CurrentPor-LH=40 unchanged'!D36)/100,2))*100</f>
        <v>9707.5857774288397</v>
      </c>
      <c r="C36">
        <f>(3/(1+('CurrentPor-LH=40 unchanged'!C36+'CurrentPor-LH=40 unchanged'!G36)/100)+103/POWER(1+('CurrentPor-LH=40 unchanged'!D36+'CurrentPor-LH=40 unchanged'!G36)/100,2))*100</f>
        <v>9614.9673582483465</v>
      </c>
      <c r="D36">
        <f>(3/(1+('CurrentPor-LH=40 unchanged'!C36+'CurrentPor-LH=40 unchanged'!H36)/100)+103/POWER(1+('CurrentPor-LH=40 unchanged'!D36+'CurrentPor-LH=40 unchanged'!H36)/100,2))*100</f>
        <v>9601.2395558122898</v>
      </c>
      <c r="E36">
        <f>(3/(1+('CurrentPor-LH=40 unchanged'!C36+'CurrentPor-LH=40 unchanged'!I36)/100)+103/POWER(1+('CurrentPor-LH=40 unchanged'!D36+'CurrentPor-LH=40 unchanged'!I36)/100,2))*100</f>
        <v>9579.7284877044658</v>
      </c>
      <c r="F36">
        <f>Portfolio!B$5*'CurrentPor-LH=40 unchanged'!E36</f>
        <v>52143.895533915893</v>
      </c>
      <c r="G36">
        <f>Portfolio!B$6*'CurrentPor-LH=40 unchanged'!F36</f>
        <v>3696.2945087936532</v>
      </c>
      <c r="H36">
        <f>Portfolio!B$7*'CurrentPor-LH=40 unchanged'!J36</f>
        <v>2148.0998964419859</v>
      </c>
      <c r="I36">
        <f t="shared" si="0"/>
        <v>96491.811118345475</v>
      </c>
      <c r="J36">
        <f t="shared" si="1"/>
        <v>-1.9841827648924664</v>
      </c>
    </row>
    <row r="37" spans="1:10">
      <c r="A37" s="1">
        <v>45520</v>
      </c>
      <c r="B37">
        <f>(3/(1+('CurrentPor-LH=40 unchanged'!C37)/100)+103/POWER(1+('CurrentPor-LH=40 unchanged'!D37)/100,2))*100</f>
        <v>9707.5857774288397</v>
      </c>
      <c r="C37">
        <f>(3/(1+('CurrentPor-LH=40 unchanged'!C37+'CurrentPor-LH=40 unchanged'!G37)/100)+103/POWER(1+('CurrentPor-LH=40 unchanged'!D37+'CurrentPor-LH=40 unchanged'!G37)/100,2))*100</f>
        <v>9614.9673582483465</v>
      </c>
      <c r="D37">
        <f>(3/(1+('CurrentPor-LH=40 unchanged'!C37+'CurrentPor-LH=40 unchanged'!H37)/100)+103/POWER(1+('CurrentPor-LH=40 unchanged'!D37+'CurrentPor-LH=40 unchanged'!H37)/100,2))*100</f>
        <v>9601.2395558122898</v>
      </c>
      <c r="E37">
        <f>(3/(1+('CurrentPor-LH=40 unchanged'!C37+'CurrentPor-LH=40 unchanged'!I37)/100)+103/POWER(1+('CurrentPor-LH=40 unchanged'!D37+'CurrentPor-LH=40 unchanged'!I37)/100,2))*100</f>
        <v>9578.9007657744351</v>
      </c>
      <c r="F37">
        <f>Portfolio!B$5*'CurrentPor-LH=40 unchanged'!E37</f>
        <v>52143.895533915893</v>
      </c>
      <c r="G37">
        <f>Portfolio!B$6*'CurrentPor-LH=40 unchanged'!F37</f>
        <v>3696.2945087936532</v>
      </c>
      <c r="H37">
        <f>Portfolio!B$7*'CurrentPor-LH=40 unchanged'!J37</f>
        <v>2148.0998964419859</v>
      </c>
      <c r="I37">
        <f t="shared" si="0"/>
        <v>96490.983396415439</v>
      </c>
      <c r="J37">
        <f t="shared" si="1"/>
        <v>-1.32359675198677</v>
      </c>
    </row>
    <row r="38" spans="1:10">
      <c r="A38" s="1">
        <v>45523</v>
      </c>
      <c r="B38">
        <f>(3/(1+('CurrentPor-LH=40 unchanged'!C38)/100)+103/POWER(1+('CurrentPor-LH=40 unchanged'!D38)/100,2))*100</f>
        <v>9707.5857774288397</v>
      </c>
      <c r="C38">
        <f>(3/(1+('CurrentPor-LH=40 unchanged'!C38+'CurrentPor-LH=40 unchanged'!G38)/100)+103/POWER(1+('CurrentPor-LH=40 unchanged'!D38+'CurrentPor-LH=40 unchanged'!G38)/100,2))*100</f>
        <v>9614.9673582483465</v>
      </c>
      <c r="D38">
        <f>(3/(1+('CurrentPor-LH=40 unchanged'!C38+'CurrentPor-LH=40 unchanged'!H38)/100)+103/POWER(1+('CurrentPor-LH=40 unchanged'!D38+'CurrentPor-LH=40 unchanged'!H38)/100,2))*100</f>
        <v>9601.2395558122898</v>
      </c>
      <c r="E38">
        <f>(3/(1+('CurrentPor-LH=40 unchanged'!C38+'CurrentPor-LH=40 unchanged'!I38)/100)+103/POWER(1+('CurrentPor-LH=40 unchanged'!D38+'CurrentPor-LH=40 unchanged'!I38)/100,2))*100</f>
        <v>9581.3167698895377</v>
      </c>
      <c r="F38">
        <f>Portfolio!B$5*'CurrentPor-LH=40 unchanged'!E38</f>
        <v>52143.895533915893</v>
      </c>
      <c r="G38">
        <f>Portfolio!B$6*'CurrentPor-LH=40 unchanged'!F38</f>
        <v>3696.2945087936532</v>
      </c>
      <c r="H38">
        <f>Portfolio!B$7*'CurrentPor-LH=40 unchanged'!J38</f>
        <v>2148.0998964419859</v>
      </c>
      <c r="I38">
        <f t="shared" si="0"/>
        <v>96493.399400530543</v>
      </c>
      <c r="J38">
        <f t="shared" si="1"/>
        <v>0.50388889116584323</v>
      </c>
    </row>
    <row r="39" spans="1:10">
      <c r="A39" s="1">
        <v>45524</v>
      </c>
      <c r="B39">
        <f>(3/(1+('CurrentPor-LH=40 unchanged'!C39)/100)+103/POWER(1+('CurrentPor-LH=40 unchanged'!D39)/100,2))*100</f>
        <v>9707.5857774288397</v>
      </c>
      <c r="C39">
        <f>(3/(1+('CurrentPor-LH=40 unchanged'!C39+'CurrentPor-LH=40 unchanged'!G39)/100)+103/POWER(1+('CurrentPor-LH=40 unchanged'!D39+'CurrentPor-LH=40 unchanged'!G39)/100,2))*100</f>
        <v>9614.9673582483465</v>
      </c>
      <c r="D39">
        <f>(3/(1+('CurrentPor-LH=40 unchanged'!C39+'CurrentPor-LH=40 unchanged'!H39)/100)+103/POWER(1+('CurrentPor-LH=40 unchanged'!D39+'CurrentPor-LH=40 unchanged'!H39)/100,2))*100</f>
        <v>9601.2395558122898</v>
      </c>
      <c r="E39">
        <f>(3/(1+('CurrentPor-LH=40 unchanged'!C39+'CurrentPor-LH=40 unchanged'!I39)/100)+103/POWER(1+('CurrentPor-LH=40 unchanged'!D39+'CurrentPor-LH=40 unchanged'!I39)/100,2))*100</f>
        <v>9582.3790901550801</v>
      </c>
      <c r="F39">
        <f>Portfolio!B$5*'CurrentPor-LH=40 unchanged'!E39</f>
        <v>52143.895533915893</v>
      </c>
      <c r="G39">
        <f>Portfolio!B$6*'CurrentPor-LH=40 unchanged'!F39</f>
        <v>3696.2945087936532</v>
      </c>
      <c r="H39">
        <f>Portfolio!B$7*'CurrentPor-LH=40 unchanged'!J39</f>
        <v>2148.0998964419859</v>
      </c>
      <c r="I39">
        <f t="shared" si="0"/>
        <v>96494.461720796084</v>
      </c>
      <c r="J39">
        <f t="shared" si="1"/>
        <v>0.33619194867787883</v>
      </c>
    </row>
    <row r="40" spans="1:10">
      <c r="A40" s="1">
        <v>45525</v>
      </c>
      <c r="B40">
        <f>(3/(1+('CurrentPor-LH=40 unchanged'!C40)/100)+103/POWER(1+('CurrentPor-LH=40 unchanged'!D40)/100,2))*100</f>
        <v>9707.5857774288397</v>
      </c>
      <c r="C40">
        <f>(3/(1+('CurrentPor-LH=40 unchanged'!C40+'CurrentPor-LH=40 unchanged'!G40)/100)+103/POWER(1+('CurrentPor-LH=40 unchanged'!D40+'CurrentPor-LH=40 unchanged'!G40)/100,2))*100</f>
        <v>9614.9673582483465</v>
      </c>
      <c r="D40">
        <f>(3/(1+('CurrentPor-LH=40 unchanged'!C40+'CurrentPor-LH=40 unchanged'!H40)/100)+103/POWER(1+('CurrentPor-LH=40 unchanged'!D40+'CurrentPor-LH=40 unchanged'!H40)/100,2))*100</f>
        <v>9601.2395558122898</v>
      </c>
      <c r="E40">
        <f>(3/(1+('CurrentPor-LH=40 unchanged'!C40+'CurrentPor-LH=40 unchanged'!I40)/100)+103/POWER(1+('CurrentPor-LH=40 unchanged'!D40+'CurrentPor-LH=40 unchanged'!I40)/100,2))*100</f>
        <v>9581.0692464589501</v>
      </c>
      <c r="F40">
        <f>Portfolio!B$5*'CurrentPor-LH=40 unchanged'!E40</f>
        <v>52143.895533915893</v>
      </c>
      <c r="G40">
        <f>Portfolio!B$6*'CurrentPor-LH=40 unchanged'!F40</f>
        <v>3696.2945087936532</v>
      </c>
      <c r="H40">
        <f>Portfolio!B$7*'CurrentPor-LH=40 unchanged'!J40</f>
        <v>2148.0998964419859</v>
      </c>
      <c r="I40">
        <f t="shared" si="0"/>
        <v>96493.151877099954</v>
      </c>
      <c r="J40">
        <f t="shared" si="1"/>
        <v>-0.56354588684916962</v>
      </c>
    </row>
    <row r="41" spans="1:10">
      <c r="A41" s="1">
        <v>45526</v>
      </c>
      <c r="B41">
        <f>(3/(1+('CurrentPor-LH=40 unchanged'!C41)/100)+103/POWER(1+('CurrentPor-LH=40 unchanged'!D41)/100,2))*100</f>
        <v>9707.5857774288397</v>
      </c>
      <c r="C41">
        <f>(3/(1+('CurrentPor-LH=40 unchanged'!C41+'CurrentPor-LH=40 unchanged'!G41)/100)+103/POWER(1+('CurrentPor-LH=40 unchanged'!D41+'CurrentPor-LH=40 unchanged'!G41)/100,2))*100</f>
        <v>9614.9673582483465</v>
      </c>
      <c r="D41">
        <f>(3/(1+('CurrentPor-LH=40 unchanged'!C41+'CurrentPor-LH=40 unchanged'!H41)/100)+103/POWER(1+('CurrentPor-LH=40 unchanged'!D41+'CurrentPor-LH=40 unchanged'!H41)/100,2))*100</f>
        <v>9601.2395558122898</v>
      </c>
      <c r="E41">
        <f>(3/(1+('CurrentPor-LH=40 unchanged'!C41+'CurrentPor-LH=40 unchanged'!I41)/100)+103/POWER(1+('CurrentPor-LH=40 unchanged'!D41+'CurrentPor-LH=40 unchanged'!I41)/100,2))*100</f>
        <v>9581.8453909640666</v>
      </c>
      <c r="F41">
        <f>Portfolio!B$5*'CurrentPor-LH=40 unchanged'!E41</f>
        <v>52143.895533915893</v>
      </c>
      <c r="G41">
        <f>Portfolio!B$6*'CurrentPor-LH=40 unchanged'!F41</f>
        <v>3696.2945087936532</v>
      </c>
      <c r="H41">
        <f>Portfolio!B$7*'CurrentPor-LH=40 unchanged'!J41</f>
        <v>2148.0998964419859</v>
      </c>
      <c r="I41">
        <f t="shared" si="0"/>
        <v>96493.928021605083</v>
      </c>
      <c r="J41">
        <f t="shared" si="1"/>
        <v>-0.81815240284777246</v>
      </c>
    </row>
    <row r="42" spans="1:10">
      <c r="A42" s="1">
        <v>45527</v>
      </c>
      <c r="B42">
        <f>(3/(1+('CurrentPor-LH=40 unchanged'!C42)/100)+103/POWER(1+('CurrentPor-LH=40 unchanged'!D42)/100,2))*100</f>
        <v>9707.5857774288397</v>
      </c>
      <c r="C42">
        <f>(3/(1+('CurrentPor-LH=40 unchanged'!C42+'CurrentPor-LH=40 unchanged'!G42)/100)+103/POWER(1+('CurrentPor-LH=40 unchanged'!D42+'CurrentPor-LH=40 unchanged'!G42)/100,2))*100</f>
        <v>9614.9673582483465</v>
      </c>
      <c r="D42">
        <f>(3/(1+('CurrentPor-LH=40 unchanged'!C42+'CurrentPor-LH=40 unchanged'!H42)/100)+103/POWER(1+('CurrentPor-LH=40 unchanged'!D42+'CurrentPor-LH=40 unchanged'!H42)/100,2))*100</f>
        <v>9601.2395558122898</v>
      </c>
      <c r="E42">
        <f>(3/(1+('CurrentPor-LH=40 unchanged'!C42+'CurrentPor-LH=40 unchanged'!I42)/100)+103/POWER(1+('CurrentPor-LH=40 unchanged'!D42+'CurrentPor-LH=40 unchanged'!I42)/100,2))*100</f>
        <v>9580.4436617417286</v>
      </c>
      <c r="F42">
        <f>Portfolio!B$5*'CurrentPor-LH=40 unchanged'!E42</f>
        <v>52143.895533915893</v>
      </c>
      <c r="G42">
        <f>Portfolio!B$6*'CurrentPor-LH=40 unchanged'!F42</f>
        <v>3696.2945087936532</v>
      </c>
      <c r="H42">
        <f>Portfolio!B$7*'CurrentPor-LH=40 unchanged'!J42</f>
        <v>2148.0998964419859</v>
      </c>
      <c r="I42">
        <f t="shared" si="0"/>
        <v>96492.526292382739</v>
      </c>
      <c r="J42">
        <f t="shared" si="1"/>
        <v>-2.2936914238816826</v>
      </c>
    </row>
    <row r="43" spans="1:10">
      <c r="A43" s="1">
        <v>45530</v>
      </c>
      <c r="B43">
        <f>(3/(1+('CurrentPor-LH=40 unchanged'!C43)/100)+103/POWER(1+('CurrentPor-LH=40 unchanged'!D43)/100,2))*100</f>
        <v>9707.5857774288397</v>
      </c>
      <c r="C43">
        <f>(3/(1+('CurrentPor-LH=40 unchanged'!C43+'CurrentPor-LH=40 unchanged'!G43)/100)+103/POWER(1+('CurrentPor-LH=40 unchanged'!D43+'CurrentPor-LH=40 unchanged'!G43)/100,2))*100</f>
        <v>9614.9673582483465</v>
      </c>
      <c r="D43">
        <f>(3/(1+('CurrentPor-LH=40 unchanged'!C43+'CurrentPor-LH=40 unchanged'!H43)/100)+103/POWER(1+('CurrentPor-LH=40 unchanged'!D43+'CurrentPor-LH=40 unchanged'!H43)/100,2))*100</f>
        <v>9601.2395558122898</v>
      </c>
      <c r="E43">
        <f>(3/(1+('CurrentPor-LH=40 unchanged'!C43+'CurrentPor-LH=40 unchanged'!I43)/100)+103/POWER(1+('CurrentPor-LH=40 unchanged'!D43+'CurrentPor-LH=40 unchanged'!I43)/100,2))*100</f>
        <v>9580.9276173093058</v>
      </c>
      <c r="F43">
        <f>Portfolio!B$5*'CurrentPor-LH=40 unchanged'!E43</f>
        <v>52143.895533915893</v>
      </c>
      <c r="G43">
        <f>Portfolio!B$6*'CurrentPor-LH=40 unchanged'!F43</f>
        <v>3696.2945087936532</v>
      </c>
      <c r="H43">
        <f>Portfolio!B$7*'CurrentPor-LH=40 unchanged'!J43</f>
        <v>2148.0998964419859</v>
      </c>
      <c r="I43">
        <f t="shared" si="0"/>
        <v>96493.010247950311</v>
      </c>
      <c r="J43">
        <f t="shared" si="1"/>
        <v>-0.67416104214498773</v>
      </c>
    </row>
    <row r="44" spans="1:10">
      <c r="A44" s="1">
        <v>45531</v>
      </c>
      <c r="B44">
        <f>(3/(1+('CurrentPor-LH=40 unchanged'!C44)/100)+103/POWER(1+('CurrentPor-LH=40 unchanged'!D44)/100,2))*100</f>
        <v>9707.5857774288397</v>
      </c>
      <c r="C44">
        <f>(3/(1+('CurrentPor-LH=40 unchanged'!C44+'CurrentPor-LH=40 unchanged'!G44)/100)+103/POWER(1+('CurrentPor-LH=40 unchanged'!D44+'CurrentPor-LH=40 unchanged'!G44)/100,2))*100</f>
        <v>9614.9673582483465</v>
      </c>
      <c r="D44">
        <f>(3/(1+('CurrentPor-LH=40 unchanged'!C44+'CurrentPor-LH=40 unchanged'!H44)/100)+103/POWER(1+('CurrentPor-LH=40 unchanged'!D44+'CurrentPor-LH=40 unchanged'!H44)/100,2))*100</f>
        <v>9601.2395558122898</v>
      </c>
      <c r="E44">
        <f>(3/(1+('CurrentPor-LH=40 unchanged'!C44+'CurrentPor-LH=40 unchanged'!I44)/100)+103/POWER(1+('CurrentPor-LH=40 unchanged'!D44+'CurrentPor-LH=40 unchanged'!I44)/100,2))*100</f>
        <v>9580.0335021781393</v>
      </c>
      <c r="F44">
        <f>Portfolio!B$5*'CurrentPor-LH=40 unchanged'!E44</f>
        <v>52143.895533915893</v>
      </c>
      <c r="G44">
        <f>Portfolio!B$6*'CurrentPor-LH=40 unchanged'!F44</f>
        <v>3696.2945087936532</v>
      </c>
      <c r="H44">
        <f>Portfolio!B$7*'CurrentPor-LH=40 unchanged'!J44</f>
        <v>2148.0998964419859</v>
      </c>
      <c r="I44">
        <f t="shared" si="0"/>
        <v>96492.116132819137</v>
      </c>
      <c r="J44">
        <f t="shared" si="1"/>
        <v>-1.8366866771248169</v>
      </c>
    </row>
    <row r="45" spans="1:10">
      <c r="A45" s="1">
        <v>45532</v>
      </c>
      <c r="B45">
        <f>(3/(1+('CurrentPor-LH=40 unchanged'!C45)/100)+103/POWER(1+('CurrentPor-LH=40 unchanged'!D45)/100,2))*100</f>
        <v>9707.5857774288397</v>
      </c>
      <c r="C45">
        <f>(3/(1+('CurrentPor-LH=40 unchanged'!C45+'CurrentPor-LH=40 unchanged'!G45)/100)+103/POWER(1+('CurrentPor-LH=40 unchanged'!D45+'CurrentPor-LH=40 unchanged'!G45)/100,2))*100</f>
        <v>9614.9673582483465</v>
      </c>
      <c r="D45">
        <f>(3/(1+('CurrentPor-LH=40 unchanged'!C45+'CurrentPor-LH=40 unchanged'!H45)/100)+103/POWER(1+('CurrentPor-LH=40 unchanged'!D45+'CurrentPor-LH=40 unchanged'!H45)/100,2))*100</f>
        <v>9601.2395558122898</v>
      </c>
      <c r="E45">
        <f>(3/(1+('CurrentPor-LH=40 unchanged'!C45+'CurrentPor-LH=40 unchanged'!I45)/100)+103/POWER(1+('CurrentPor-LH=40 unchanged'!D45+'CurrentPor-LH=40 unchanged'!I45)/100,2))*100</f>
        <v>9581.5383860136208</v>
      </c>
      <c r="F45">
        <f>Portfolio!B$5*'CurrentPor-LH=40 unchanged'!E45</f>
        <v>52143.895533915893</v>
      </c>
      <c r="G45">
        <f>Portfolio!B$6*'CurrentPor-LH=40 unchanged'!F45</f>
        <v>3696.2945087936532</v>
      </c>
      <c r="H45">
        <f>Portfolio!B$7*'CurrentPor-LH=40 unchanged'!J45</f>
        <v>2148.0998964419859</v>
      </c>
      <c r="I45">
        <f t="shared" si="0"/>
        <v>96493.621016654637</v>
      </c>
      <c r="J45">
        <f t="shared" si="1"/>
        <v>0.11318983411183581</v>
      </c>
    </row>
    <row r="46" spans="1:10">
      <c r="A46" s="1">
        <v>45533</v>
      </c>
      <c r="B46">
        <f>(3/(1+('CurrentPor-LH=40 unchanged'!C46)/100)+103/POWER(1+('CurrentPor-LH=40 unchanged'!D46)/100,2))*100</f>
        <v>9707.5857774288397</v>
      </c>
      <c r="C46">
        <f>(3/(1+('CurrentPor-LH=40 unchanged'!C46+'CurrentPor-LH=40 unchanged'!G46)/100)+103/POWER(1+('CurrentPor-LH=40 unchanged'!D46+'CurrentPor-LH=40 unchanged'!G46)/100,2))*100</f>
        <v>9614.9673582483465</v>
      </c>
      <c r="D46">
        <f>(3/(1+('CurrentPor-LH=40 unchanged'!C46+'CurrentPor-LH=40 unchanged'!H46)/100)+103/POWER(1+('CurrentPor-LH=40 unchanged'!D46+'CurrentPor-LH=40 unchanged'!H46)/100,2))*100</f>
        <v>9601.2395558122898</v>
      </c>
      <c r="E46">
        <f>(3/(1+('CurrentPor-LH=40 unchanged'!C46+'CurrentPor-LH=40 unchanged'!I46)/100)+103/POWER(1+('CurrentPor-LH=40 unchanged'!D46+'CurrentPor-LH=40 unchanged'!I46)/100,2))*100</f>
        <v>9580.7210688352407</v>
      </c>
      <c r="F46">
        <f>Portfolio!B$5*'CurrentPor-LH=40 unchanged'!E46</f>
        <v>52143.895533915893</v>
      </c>
      <c r="G46">
        <f>Portfolio!B$6*'CurrentPor-LH=40 unchanged'!F46</f>
        <v>3696.2945087936532</v>
      </c>
      <c r="H46">
        <f>Portfolio!B$7*'CurrentPor-LH=40 unchanged'!J46</f>
        <v>2148.0998964419859</v>
      </c>
      <c r="I46">
        <f t="shared" si="0"/>
        <v>96492.803699476251</v>
      </c>
      <c r="J46">
        <f t="shared" si="1"/>
        <v>0.99258113077667076</v>
      </c>
    </row>
    <row r="47" spans="1:10">
      <c r="A47" s="1">
        <v>45534</v>
      </c>
      <c r="B47">
        <f>(3/(1+('CurrentPor-LH=40 unchanged'!C47)/100)+103/POWER(1+('CurrentPor-LH=40 unchanged'!D47)/100,2))*100</f>
        <v>9707.5857774288397</v>
      </c>
      <c r="C47">
        <f>(3/(1+('CurrentPor-LH=40 unchanged'!C47+'CurrentPor-LH=40 unchanged'!G47)/100)+103/POWER(1+('CurrentPor-LH=40 unchanged'!D47+'CurrentPor-LH=40 unchanged'!G47)/100,2))*100</f>
        <v>9614.9673582483465</v>
      </c>
      <c r="D47">
        <f>(3/(1+('CurrentPor-LH=40 unchanged'!C47+'CurrentPor-LH=40 unchanged'!H47)/100)+103/POWER(1+('CurrentPor-LH=40 unchanged'!D47+'CurrentPor-LH=40 unchanged'!H47)/100,2))*100</f>
        <v>9601.2395558122898</v>
      </c>
      <c r="E47">
        <f>(3/(1+('CurrentPor-LH=40 unchanged'!C47+'CurrentPor-LH=40 unchanged'!I47)/100)+103/POWER(1+('CurrentPor-LH=40 unchanged'!D47+'CurrentPor-LH=40 unchanged'!I47)/100,2))*100</f>
        <v>9580.8765299426304</v>
      </c>
      <c r="F47">
        <f>Portfolio!B$5*'CurrentPor-LH=40 unchanged'!E47</f>
        <v>52143.895533915893</v>
      </c>
      <c r="G47">
        <f>Portfolio!B$6*'CurrentPor-LH=40 unchanged'!F47</f>
        <v>3696.2945087936532</v>
      </c>
      <c r="H47">
        <f>Portfolio!B$7*'CurrentPor-LH=40 unchanged'!J47</f>
        <v>2148.0998964419859</v>
      </c>
      <c r="I47">
        <f t="shared" si="0"/>
        <v>96492.959160583632</v>
      </c>
      <c r="J47">
        <f t="shared" si="1"/>
        <v>1.9757641681935638</v>
      </c>
    </row>
    <row r="48" spans="1:10">
      <c r="A48" s="1">
        <v>45537</v>
      </c>
      <c r="B48">
        <f>(3/(1+('CurrentPor-LH=40 unchanged'!C48)/100)+103/POWER(1+('CurrentPor-LH=40 unchanged'!D48)/100,2))*100</f>
        <v>9707.5857774288397</v>
      </c>
      <c r="C48">
        <f>(3/(1+('CurrentPor-LH=40 unchanged'!C48+'CurrentPor-LH=40 unchanged'!G48)/100)+103/POWER(1+('CurrentPor-LH=40 unchanged'!D48+'CurrentPor-LH=40 unchanged'!G48)/100,2))*100</f>
        <v>9614.9673582483465</v>
      </c>
      <c r="D48">
        <f>(3/(1+('CurrentPor-LH=40 unchanged'!C48+'CurrentPor-LH=40 unchanged'!H48)/100)+103/POWER(1+('CurrentPor-LH=40 unchanged'!D48+'CurrentPor-LH=40 unchanged'!H48)/100,2))*100</f>
        <v>9601.2395558122898</v>
      </c>
      <c r="E48">
        <f>(3/(1+('CurrentPor-LH=40 unchanged'!C48+'CurrentPor-LH=40 unchanged'!I48)/100)+103/POWER(1+('CurrentPor-LH=40 unchanged'!D48+'CurrentPor-LH=40 unchanged'!I48)/100,2))*100</f>
        <v>9581.8685111770646</v>
      </c>
      <c r="F48">
        <f>Portfolio!B$5*'CurrentPor-LH=40 unchanged'!E48</f>
        <v>52143.895533915893</v>
      </c>
      <c r="G48">
        <f>Portfolio!B$6*'CurrentPor-LH=40 unchanged'!F48</f>
        <v>3696.2945087936532</v>
      </c>
      <c r="H48">
        <f>Portfolio!B$7*'CurrentPor-LH=40 unchanged'!J48</f>
        <v>2148.0998964419859</v>
      </c>
      <c r="I48">
        <f t="shared" si="0"/>
        <v>96493.951141818063</v>
      </c>
      <c r="J48">
        <f t="shared" si="1"/>
        <v>0.55174128751968965</v>
      </c>
    </row>
    <row r="49" spans="1:10">
      <c r="A49" s="1">
        <v>45538</v>
      </c>
      <c r="B49">
        <f>(3/(1+('CurrentPor-LH=40 unchanged'!C49)/100)+103/POWER(1+('CurrentPor-LH=40 unchanged'!D49)/100,2))*100</f>
        <v>9707.5857774288397</v>
      </c>
      <c r="C49">
        <f>(3/(1+('CurrentPor-LH=40 unchanged'!C49+'CurrentPor-LH=40 unchanged'!G49)/100)+103/POWER(1+('CurrentPor-LH=40 unchanged'!D49+'CurrentPor-LH=40 unchanged'!G49)/100,2))*100</f>
        <v>9614.9673582483465</v>
      </c>
      <c r="D49">
        <f>(3/(1+('CurrentPor-LH=40 unchanged'!C49+'CurrentPor-LH=40 unchanged'!H49)/100)+103/POWER(1+('CurrentPor-LH=40 unchanged'!D49+'CurrentPor-LH=40 unchanged'!H49)/100,2))*100</f>
        <v>9601.2395558122898</v>
      </c>
      <c r="E49">
        <f>(3/(1+('CurrentPor-LH=40 unchanged'!C49+'CurrentPor-LH=40 unchanged'!I49)/100)+103/POWER(1+('CurrentPor-LH=40 unchanged'!D49+'CurrentPor-LH=40 unchanged'!I49)/100,2))*100</f>
        <v>9580.451743697784</v>
      </c>
      <c r="F49">
        <f>Portfolio!B$5*'CurrentPor-LH=40 unchanged'!E49</f>
        <v>52143.895533915893</v>
      </c>
      <c r="G49">
        <f>Portfolio!B$6*'CurrentPor-LH=40 unchanged'!F49</f>
        <v>3696.2945087936532</v>
      </c>
      <c r="H49">
        <f>Portfolio!B$7*'CurrentPor-LH=40 unchanged'!J49</f>
        <v>2148.0998964419859</v>
      </c>
      <c r="I49">
        <f t="shared" si="0"/>
        <v>96492.534374338793</v>
      </c>
      <c r="J49">
        <f t="shared" si="1"/>
        <v>-1.927346457290696</v>
      </c>
    </row>
    <row r="50" spans="1:10">
      <c r="A50" s="1">
        <v>45539</v>
      </c>
      <c r="B50">
        <f>(3/(1+('CurrentPor-LH=40 unchanged'!C50)/100)+103/POWER(1+('CurrentPor-LH=40 unchanged'!D50)/100,2))*100</f>
        <v>9707.5857774288397</v>
      </c>
      <c r="C50">
        <f>(3/(1+('CurrentPor-LH=40 unchanged'!C50+'CurrentPor-LH=40 unchanged'!G50)/100)+103/POWER(1+('CurrentPor-LH=40 unchanged'!D50+'CurrentPor-LH=40 unchanged'!G50)/100,2))*100</f>
        <v>9614.9673582483465</v>
      </c>
      <c r="D50">
        <f>(3/(1+('CurrentPor-LH=40 unchanged'!C50+'CurrentPor-LH=40 unchanged'!H50)/100)+103/POWER(1+('CurrentPor-LH=40 unchanged'!D50+'CurrentPor-LH=40 unchanged'!H50)/100,2))*100</f>
        <v>9601.2395558122898</v>
      </c>
      <c r="E50">
        <f>(3/(1+('CurrentPor-LH=40 unchanged'!C50+'CurrentPor-LH=40 unchanged'!I50)/100)+103/POWER(1+('CurrentPor-LH=40 unchanged'!D50+'CurrentPor-LH=40 unchanged'!I50)/100,2))*100</f>
        <v>9580.2788659877933</v>
      </c>
      <c r="F50">
        <f>Portfolio!B$5*'CurrentPor-LH=40 unchanged'!E50</f>
        <v>52143.895533915893</v>
      </c>
      <c r="G50">
        <f>Portfolio!B$6*'CurrentPor-LH=40 unchanged'!F50</f>
        <v>3696.2945087936532</v>
      </c>
      <c r="H50">
        <f>Portfolio!B$7*'CurrentPor-LH=40 unchanged'!J50</f>
        <v>2148.0998964419859</v>
      </c>
      <c r="I50">
        <f t="shared" si="0"/>
        <v>96492.361496628801</v>
      </c>
      <c r="J50">
        <f t="shared" si="1"/>
        <v>-0.79038047115318477</v>
      </c>
    </row>
    <row r="51" spans="1:10">
      <c r="A51" s="1">
        <v>45540</v>
      </c>
      <c r="B51">
        <f>(3/(1+('CurrentPor-LH=40 unchanged'!C51)/100)+103/POWER(1+('CurrentPor-LH=40 unchanged'!D51)/100,2))*100</f>
        <v>9707.5857774288397</v>
      </c>
      <c r="C51">
        <f>(3/(1+('CurrentPor-LH=40 unchanged'!C51+'CurrentPor-LH=40 unchanged'!G51)/100)+103/POWER(1+('CurrentPor-LH=40 unchanged'!D51+'CurrentPor-LH=40 unchanged'!G51)/100,2))*100</f>
        <v>9614.9673582483465</v>
      </c>
      <c r="D51">
        <f>(3/(1+('CurrentPor-LH=40 unchanged'!C51+'CurrentPor-LH=40 unchanged'!H51)/100)+103/POWER(1+('CurrentPor-LH=40 unchanged'!D51+'CurrentPor-LH=40 unchanged'!H51)/100,2))*100</f>
        <v>9601.2395558122898</v>
      </c>
      <c r="E51">
        <f>(3/(1+('CurrentPor-LH=40 unchanged'!C51+'CurrentPor-LH=40 unchanged'!I51)/100)+103/POWER(1+('CurrentPor-LH=40 unchanged'!D51+'CurrentPor-LH=40 unchanged'!I51)/100,2))*100</f>
        <v>9579.1843047554121</v>
      </c>
      <c r="F51">
        <f>Portfolio!B$5*'CurrentPor-LH=40 unchanged'!E51</f>
        <v>52143.895533915893</v>
      </c>
      <c r="G51">
        <f>Portfolio!B$6*'CurrentPor-LH=40 unchanged'!F51</f>
        <v>3696.2945087936532</v>
      </c>
      <c r="H51">
        <f>Portfolio!B$7*'CurrentPor-LH=40 unchanged'!J51</f>
        <v>2148.0998964419859</v>
      </c>
      <c r="I51">
        <f t="shared" si="0"/>
        <v>96491.26693539643</v>
      </c>
      <c r="J51">
        <f t="shared" si="1"/>
        <v>-2.661086208652705</v>
      </c>
    </row>
    <row r="52" spans="1:10">
      <c r="A52" s="1">
        <v>45541</v>
      </c>
      <c r="B52">
        <f>(3/(1+('CurrentPor-LH=40 unchanged'!C52)/100)+103/POWER(1+('CurrentPor-LH=40 unchanged'!D52)/100,2))*100</f>
        <v>9707.5857774288397</v>
      </c>
      <c r="C52">
        <f>(3/(1+('CurrentPor-LH=40 unchanged'!C52+'CurrentPor-LH=40 unchanged'!G52)/100)+103/POWER(1+('CurrentPor-LH=40 unchanged'!D52+'CurrentPor-LH=40 unchanged'!G52)/100,2))*100</f>
        <v>9614.9673582483465</v>
      </c>
      <c r="D52">
        <f>(3/(1+('CurrentPor-LH=40 unchanged'!C52+'CurrentPor-LH=40 unchanged'!H52)/100)+103/POWER(1+('CurrentPor-LH=40 unchanged'!D52+'CurrentPor-LH=40 unchanged'!H52)/100,2))*100</f>
        <v>9601.2395558122898</v>
      </c>
      <c r="E52">
        <f>(3/(1+('CurrentPor-LH=40 unchanged'!C52+'CurrentPor-LH=40 unchanged'!I52)/100)+103/POWER(1+('CurrentPor-LH=40 unchanged'!D52+'CurrentPor-LH=40 unchanged'!I52)/100,2))*100</f>
        <v>9580.2481663423441</v>
      </c>
      <c r="F52">
        <f>Portfolio!B$5*'CurrentPor-LH=40 unchanged'!E52</f>
        <v>52143.895533915893</v>
      </c>
      <c r="G52">
        <f>Portfolio!B$6*'CurrentPor-LH=40 unchanged'!F52</f>
        <v>3696.2945087936532</v>
      </c>
      <c r="H52">
        <f>Portfolio!B$7*'CurrentPor-LH=40 unchanged'!J52</f>
        <v>2148.0998964419859</v>
      </c>
      <c r="I52">
        <f t="shared" si="0"/>
        <v>96492.330796983355</v>
      </c>
      <c r="J52">
        <f t="shared" si="1"/>
        <v>-0.19549539938452654</v>
      </c>
    </row>
    <row r="53" spans="1:10">
      <c r="A53" s="1">
        <v>45544</v>
      </c>
      <c r="B53">
        <f>(3/(1+('CurrentPor-LH=40 unchanged'!C53)/100)+103/POWER(1+('CurrentPor-LH=40 unchanged'!D53)/100,2))*100</f>
        <v>9707.5857774288397</v>
      </c>
      <c r="C53">
        <f>(3/(1+('CurrentPor-LH=40 unchanged'!C53+'CurrentPor-LH=40 unchanged'!G53)/100)+103/POWER(1+('CurrentPor-LH=40 unchanged'!D53+'CurrentPor-LH=40 unchanged'!G53)/100,2))*100</f>
        <v>9614.9673582483465</v>
      </c>
      <c r="D53">
        <f>(3/(1+('CurrentPor-LH=40 unchanged'!C53+'CurrentPor-LH=40 unchanged'!H53)/100)+103/POWER(1+('CurrentPor-LH=40 unchanged'!D53+'CurrentPor-LH=40 unchanged'!H53)/100,2))*100</f>
        <v>9601.2395558122898</v>
      </c>
      <c r="E53">
        <f>(3/(1+('CurrentPor-LH=40 unchanged'!C53+'CurrentPor-LH=40 unchanged'!I53)/100)+103/POWER(1+('CurrentPor-LH=40 unchanged'!D53+'CurrentPor-LH=40 unchanged'!I53)/100,2))*100</f>
        <v>9580.5166768917297</v>
      </c>
      <c r="F53">
        <f>Portfolio!B$5*'CurrentPor-LH=40 unchanged'!E53</f>
        <v>52143.895533915893</v>
      </c>
      <c r="G53">
        <f>Portfolio!B$6*'CurrentPor-LH=40 unchanged'!F53</f>
        <v>3696.2945087936532</v>
      </c>
      <c r="H53">
        <f>Portfolio!B$7*'CurrentPor-LH=40 unchanged'!J53</f>
        <v>2148.0998964419859</v>
      </c>
      <c r="I53">
        <f t="shared" si="0"/>
        <v>96492.599307532728</v>
      </c>
      <c r="J53">
        <f t="shared" si="1"/>
        <v>-0.41094041758333333</v>
      </c>
    </row>
    <row r="54" spans="1:10">
      <c r="A54" s="1">
        <v>45545</v>
      </c>
      <c r="B54">
        <f>(3/(1+('CurrentPor-LH=40 unchanged'!C54)/100)+103/POWER(1+('CurrentPor-LH=40 unchanged'!D54)/100,2))*100</f>
        <v>9707.5857774288397</v>
      </c>
      <c r="C54">
        <f>(3/(1+('CurrentPor-LH=40 unchanged'!C54+'CurrentPor-LH=40 unchanged'!G54)/100)+103/POWER(1+('CurrentPor-LH=40 unchanged'!D54+'CurrentPor-LH=40 unchanged'!G54)/100,2))*100</f>
        <v>9614.9673582483465</v>
      </c>
      <c r="D54">
        <f>(3/(1+('CurrentPor-LH=40 unchanged'!C54+'CurrentPor-LH=40 unchanged'!H54)/100)+103/POWER(1+('CurrentPor-LH=40 unchanged'!D54+'CurrentPor-LH=40 unchanged'!H54)/100,2))*100</f>
        <v>9601.2395558122898</v>
      </c>
      <c r="E54">
        <f>(3/(1+('CurrentPor-LH=40 unchanged'!C54+'CurrentPor-LH=40 unchanged'!I54)/100)+103/POWER(1+('CurrentPor-LH=40 unchanged'!D54+'CurrentPor-LH=40 unchanged'!I54)/100,2))*100</f>
        <v>9579.7811761732028</v>
      </c>
      <c r="F54">
        <f>Portfolio!B$5*'CurrentPor-LH=40 unchanged'!E54</f>
        <v>52143.895533915893</v>
      </c>
      <c r="G54">
        <f>Portfolio!B$6*'CurrentPor-LH=40 unchanged'!F54</f>
        <v>3696.2945087936532</v>
      </c>
      <c r="H54">
        <f>Portfolio!B$7*'CurrentPor-LH=40 unchanged'!J54</f>
        <v>2148.0998964419859</v>
      </c>
      <c r="I54">
        <f t="shared" si="0"/>
        <v>96491.863806814203</v>
      </c>
      <c r="J54">
        <f t="shared" si="1"/>
        <v>-0.25232600493473001</v>
      </c>
    </row>
    <row r="55" spans="1:10">
      <c r="A55" s="1">
        <v>45546</v>
      </c>
      <c r="B55">
        <f>(3/(1+('CurrentPor-LH=40 unchanged'!C55)/100)+103/POWER(1+('CurrentPor-LH=40 unchanged'!D55)/100,2))*100</f>
        <v>9707.5857774288397</v>
      </c>
      <c r="C55">
        <f>(3/(1+('CurrentPor-LH=40 unchanged'!C55+'CurrentPor-LH=40 unchanged'!G55)/100)+103/POWER(1+('CurrentPor-LH=40 unchanged'!D55+'CurrentPor-LH=40 unchanged'!G55)/100,2))*100</f>
        <v>9614.9673582483465</v>
      </c>
      <c r="D55">
        <f>(3/(1+('CurrentPor-LH=40 unchanged'!C55+'CurrentPor-LH=40 unchanged'!H55)/100)+103/POWER(1+('CurrentPor-LH=40 unchanged'!D55+'CurrentPor-LH=40 unchanged'!H55)/100,2))*100</f>
        <v>9601.2395558122898</v>
      </c>
      <c r="E55">
        <f>(3/(1+('CurrentPor-LH=40 unchanged'!C55+'CurrentPor-LH=40 unchanged'!I55)/100)+103/POWER(1+('CurrentPor-LH=40 unchanged'!D55+'CurrentPor-LH=40 unchanged'!I55)/100,2))*100</f>
        <v>9579.1730355582913</v>
      </c>
      <c r="F55">
        <f>Portfolio!B$5*'CurrentPor-LH=40 unchanged'!E55</f>
        <v>52143.895533915893</v>
      </c>
      <c r="G55">
        <f>Portfolio!B$6*'CurrentPor-LH=40 unchanged'!F55</f>
        <v>3696.2945087936532</v>
      </c>
      <c r="H55">
        <f>Portfolio!B$7*'CurrentPor-LH=40 unchanged'!J55</f>
        <v>2148.0998964419859</v>
      </c>
      <c r="I55">
        <f t="shared" si="0"/>
        <v>96491.2556661993</v>
      </c>
      <c r="J55">
        <f t="shared" si="1"/>
        <v>-2.3653504553367384</v>
      </c>
    </row>
    <row r="56" spans="1:10">
      <c r="A56" s="1">
        <v>45547</v>
      </c>
      <c r="B56">
        <f>(3/(1+('CurrentPor-LH=40 unchanged'!C56)/100)+103/POWER(1+('CurrentPor-LH=40 unchanged'!D56)/100,2))*100</f>
        <v>9707.5857774288397</v>
      </c>
      <c r="C56">
        <f>(3/(1+('CurrentPor-LH=40 unchanged'!C56+'CurrentPor-LH=40 unchanged'!G56)/100)+103/POWER(1+('CurrentPor-LH=40 unchanged'!D56+'CurrentPor-LH=40 unchanged'!G56)/100,2))*100</f>
        <v>9614.9673582483465</v>
      </c>
      <c r="D56">
        <f>(3/(1+('CurrentPor-LH=40 unchanged'!C56+'CurrentPor-LH=40 unchanged'!H56)/100)+103/POWER(1+('CurrentPor-LH=40 unchanged'!D56+'CurrentPor-LH=40 unchanged'!H56)/100,2))*100</f>
        <v>9601.2395558122898</v>
      </c>
      <c r="E56">
        <f>(3/(1+('CurrentPor-LH=40 unchanged'!C56+'CurrentPor-LH=40 unchanged'!I56)/100)+103/POWER(1+('CurrentPor-LH=40 unchanged'!D56+'CurrentPor-LH=40 unchanged'!I56)/100,2))*100</f>
        <v>9579.6764814642956</v>
      </c>
      <c r="F56">
        <f>Portfolio!B$5*'CurrentPor-LH=40 unchanged'!E56</f>
        <v>52143.895533915893</v>
      </c>
      <c r="G56">
        <f>Portfolio!B$6*'CurrentPor-LH=40 unchanged'!F56</f>
        <v>3696.2945087936532</v>
      </c>
      <c r="H56">
        <f>Portfolio!B$7*'CurrentPor-LH=40 unchanged'!J56</f>
        <v>2148.0998964419859</v>
      </c>
      <c r="I56">
        <f t="shared" si="0"/>
        <v>96491.759112105312</v>
      </c>
      <c r="J56">
        <f t="shared" si="1"/>
        <v>-1.0445873709395528</v>
      </c>
    </row>
    <row r="57" spans="1:10">
      <c r="A57" s="1">
        <v>45548</v>
      </c>
      <c r="B57">
        <f>(3/(1+('CurrentPor-LH=40 unchanged'!C57)/100)+103/POWER(1+('CurrentPor-LH=40 unchanged'!D57)/100,2))*100</f>
        <v>9707.5857774288397</v>
      </c>
      <c r="C57">
        <f>(3/(1+('CurrentPor-LH=40 unchanged'!C57+'CurrentPor-LH=40 unchanged'!G57)/100)+103/POWER(1+('CurrentPor-LH=40 unchanged'!D57+'CurrentPor-LH=40 unchanged'!G57)/100,2))*100</f>
        <v>9614.9673582483465</v>
      </c>
      <c r="D57">
        <f>(3/(1+('CurrentPor-LH=40 unchanged'!C57+'CurrentPor-LH=40 unchanged'!H57)/100)+103/POWER(1+('CurrentPor-LH=40 unchanged'!D57+'CurrentPor-LH=40 unchanged'!H57)/100,2))*100</f>
        <v>9601.2395558122898</v>
      </c>
      <c r="E57">
        <f>(3/(1+('CurrentPor-LH=40 unchanged'!C57+'CurrentPor-LH=40 unchanged'!I57)/100)+103/POWER(1+('CurrentPor-LH=40 unchanged'!D57+'CurrentPor-LH=40 unchanged'!I57)/100,2))*100</f>
        <v>9580.6027631625293</v>
      </c>
      <c r="F57">
        <f>Portfolio!B$5*'CurrentPor-LH=40 unchanged'!E57</f>
        <v>52143.895533915893</v>
      </c>
      <c r="G57">
        <f>Portfolio!B$6*'CurrentPor-LH=40 unchanged'!F57</f>
        <v>3696.2945087936532</v>
      </c>
      <c r="H57">
        <f>Portfolio!B$7*'CurrentPor-LH=40 unchanged'!J57</f>
        <v>2148.0998964419859</v>
      </c>
      <c r="I57">
        <f t="shared" si="0"/>
        <v>96492.685393803535</v>
      </c>
      <c r="J57">
        <f t="shared" si="1"/>
        <v>-0.27376678009750322</v>
      </c>
    </row>
    <row r="58" spans="1:10">
      <c r="A58" s="1">
        <v>45551</v>
      </c>
      <c r="B58">
        <f>(3/(1+('CurrentPor-LH=40 unchanged'!C58)/100)+103/POWER(1+('CurrentPor-LH=40 unchanged'!D58)/100,2))*100</f>
        <v>9707.5857774288397</v>
      </c>
      <c r="C58">
        <f>(3/(1+('CurrentPor-LH=40 unchanged'!C58+'CurrentPor-LH=40 unchanged'!G58)/100)+103/POWER(1+('CurrentPor-LH=40 unchanged'!D58+'CurrentPor-LH=40 unchanged'!G58)/100,2))*100</f>
        <v>9614.9673582483465</v>
      </c>
      <c r="D58">
        <f>(3/(1+('CurrentPor-LH=40 unchanged'!C58+'CurrentPor-LH=40 unchanged'!H58)/100)+103/POWER(1+('CurrentPor-LH=40 unchanged'!D58+'CurrentPor-LH=40 unchanged'!H58)/100,2))*100</f>
        <v>9601.2395558122898</v>
      </c>
      <c r="E58">
        <f>(3/(1+('CurrentPor-LH=40 unchanged'!C58+'CurrentPor-LH=40 unchanged'!I58)/100)+103/POWER(1+('CurrentPor-LH=40 unchanged'!D58+'CurrentPor-LH=40 unchanged'!I58)/100,2))*100</f>
        <v>9582.4214932510877</v>
      </c>
      <c r="F58">
        <f>Portfolio!B$5*'CurrentPor-LH=40 unchanged'!E58</f>
        <v>52143.895533915893</v>
      </c>
      <c r="G58">
        <f>Portfolio!B$6*'CurrentPor-LH=40 unchanged'!F58</f>
        <v>3696.2945087936532</v>
      </c>
      <c r="H58">
        <f>Portfolio!B$7*'CurrentPor-LH=40 unchanged'!J58</f>
        <v>2148.0998964419859</v>
      </c>
      <c r="I58">
        <f t="shared" si="0"/>
        <v>96494.504123892097</v>
      </c>
      <c r="J58">
        <f t="shared" si="1"/>
        <v>0.55298207403393462</v>
      </c>
    </row>
    <row r="59" spans="1:10">
      <c r="A59" s="1">
        <v>45552</v>
      </c>
      <c r="B59">
        <f>(3/(1+('CurrentPor-LH=40 unchanged'!C59)/100)+103/POWER(1+('CurrentPor-LH=40 unchanged'!D59)/100,2))*100</f>
        <v>9707.5857774288397</v>
      </c>
      <c r="C59">
        <f>(3/(1+('CurrentPor-LH=40 unchanged'!C59+'CurrentPor-LH=40 unchanged'!G59)/100)+103/POWER(1+('CurrentPor-LH=40 unchanged'!D59+'CurrentPor-LH=40 unchanged'!G59)/100,2))*100</f>
        <v>9614.9673582483465</v>
      </c>
      <c r="D59">
        <f>(3/(1+('CurrentPor-LH=40 unchanged'!C59+'CurrentPor-LH=40 unchanged'!H59)/100)+103/POWER(1+('CurrentPor-LH=40 unchanged'!D59+'CurrentPor-LH=40 unchanged'!H59)/100,2))*100</f>
        <v>9601.2395558122898</v>
      </c>
      <c r="E59">
        <f>(3/(1+('CurrentPor-LH=40 unchanged'!C59+'CurrentPor-LH=40 unchanged'!I59)/100)+103/POWER(1+('CurrentPor-LH=40 unchanged'!D59+'CurrentPor-LH=40 unchanged'!I59)/100,2))*100</f>
        <v>9582.5902372573873</v>
      </c>
      <c r="F59">
        <f>Portfolio!B$5*'CurrentPor-LH=40 unchanged'!E59</f>
        <v>52143.895533915893</v>
      </c>
      <c r="G59">
        <f>Portfolio!B$6*'CurrentPor-LH=40 unchanged'!F59</f>
        <v>3696.2945087936532</v>
      </c>
      <c r="H59">
        <f>Portfolio!B$7*'CurrentPor-LH=40 unchanged'!J59</f>
        <v>2148.0998964419859</v>
      </c>
      <c r="I59">
        <f t="shared" si="0"/>
        <v>96494.672867898407</v>
      </c>
      <c r="J59">
        <f t="shared" si="1"/>
        <v>2.1384935596142896</v>
      </c>
    </row>
    <row r="60" spans="1:10">
      <c r="A60" s="1">
        <v>45553</v>
      </c>
      <c r="B60">
        <f>(3/(1+('CurrentPor-LH=40 unchanged'!C60)/100)+103/POWER(1+('CurrentPor-LH=40 unchanged'!D60)/100,2))*100</f>
        <v>9707.5857774288397</v>
      </c>
      <c r="C60">
        <f>(3/(1+('CurrentPor-LH=40 unchanged'!C60+'CurrentPor-LH=40 unchanged'!G60)/100)+103/POWER(1+('CurrentPor-LH=40 unchanged'!D60+'CurrentPor-LH=40 unchanged'!G60)/100,2))*100</f>
        <v>9614.9673582483465</v>
      </c>
      <c r="D60">
        <f>(3/(1+('CurrentPor-LH=40 unchanged'!C60+'CurrentPor-LH=40 unchanged'!H60)/100)+103/POWER(1+('CurrentPor-LH=40 unchanged'!D60+'CurrentPor-LH=40 unchanged'!H60)/100,2))*100</f>
        <v>9601.2395558122898</v>
      </c>
      <c r="E60">
        <f>(3/(1+('CurrentPor-LH=40 unchanged'!C60+'CurrentPor-LH=40 unchanged'!I60)/100)+103/POWER(1+('CurrentPor-LH=40 unchanged'!D60+'CurrentPor-LH=40 unchanged'!I60)/100,2))*100</f>
        <v>9581.7041576843294</v>
      </c>
      <c r="F60">
        <f>Portfolio!B$5*'CurrentPor-LH=40 unchanged'!E60</f>
        <v>52143.895533915893</v>
      </c>
      <c r="G60">
        <f>Portfolio!B$6*'CurrentPor-LH=40 unchanged'!F60</f>
        <v>3696.2945087936532</v>
      </c>
      <c r="H60">
        <f>Portfolio!B$7*'CurrentPor-LH=40 unchanged'!J60</f>
        <v>2148.0998964419859</v>
      </c>
      <c r="I60">
        <f t="shared" si="0"/>
        <v>96493.786788325335</v>
      </c>
      <c r="J60">
        <f t="shared" si="1"/>
        <v>1.4252916965342592</v>
      </c>
    </row>
    <row r="61" spans="1:10">
      <c r="A61" s="1">
        <v>45554</v>
      </c>
      <c r="B61">
        <f>(3/(1+('CurrentPor-LH=40 unchanged'!C61)/100)+103/POWER(1+('CurrentPor-LH=40 unchanged'!D61)/100,2))*100</f>
        <v>9707.5857774288397</v>
      </c>
      <c r="C61">
        <f>(3/(1+('CurrentPor-LH=40 unchanged'!C61+'CurrentPor-LH=40 unchanged'!G61)/100)+103/POWER(1+('CurrentPor-LH=40 unchanged'!D61+'CurrentPor-LH=40 unchanged'!G61)/100,2))*100</f>
        <v>9614.9673582483465</v>
      </c>
      <c r="D61">
        <f>(3/(1+('CurrentPor-LH=40 unchanged'!C61+'CurrentPor-LH=40 unchanged'!H61)/100)+103/POWER(1+('CurrentPor-LH=40 unchanged'!D61+'CurrentPor-LH=40 unchanged'!H61)/100,2))*100</f>
        <v>9601.2395558122898</v>
      </c>
      <c r="E61">
        <f>(3/(1+('CurrentPor-LH=40 unchanged'!C61+'CurrentPor-LH=40 unchanged'!I61)/100)+103/POWER(1+('CurrentPor-LH=40 unchanged'!D61+'CurrentPor-LH=40 unchanged'!I61)/100,2))*100</f>
        <v>9581.312489291573</v>
      </c>
      <c r="F61">
        <f>Portfolio!B$5*'CurrentPor-LH=40 unchanged'!E61</f>
        <v>52143.895533915893</v>
      </c>
      <c r="G61">
        <f>Portfolio!B$6*'CurrentPor-LH=40 unchanged'!F61</f>
        <v>3696.2945087936532</v>
      </c>
      <c r="H61">
        <f>Portfolio!B$7*'CurrentPor-LH=40 unchanged'!J61</f>
        <v>2148.0998964419859</v>
      </c>
      <c r="I61">
        <f t="shared" si="0"/>
        <v>96493.395119932582</v>
      </c>
      <c r="J61">
        <f t="shared" si="1"/>
        <v>2.1281845361518208</v>
      </c>
    </row>
    <row r="62" spans="1:10">
      <c r="A62" s="1">
        <v>45555</v>
      </c>
      <c r="B62">
        <f>(3/(1+('CurrentPor-LH=40 unchanged'!C62)/100)+103/POWER(1+('CurrentPor-LH=40 unchanged'!D62)/100,2))*100</f>
        <v>9707.5857774288397</v>
      </c>
      <c r="C62">
        <f>(3/(1+('CurrentPor-LH=40 unchanged'!C62+'CurrentPor-LH=40 unchanged'!G62)/100)+103/POWER(1+('CurrentPor-LH=40 unchanged'!D62+'CurrentPor-LH=40 unchanged'!G62)/100,2))*100</f>
        <v>9614.9673582483465</v>
      </c>
      <c r="D62">
        <f>(3/(1+('CurrentPor-LH=40 unchanged'!C62+'CurrentPor-LH=40 unchanged'!H62)/100)+103/POWER(1+('CurrentPor-LH=40 unchanged'!D62+'CurrentPor-LH=40 unchanged'!H62)/100,2))*100</f>
        <v>9601.2395558122898</v>
      </c>
      <c r="E62">
        <f>(3/(1+('CurrentPor-LH=40 unchanged'!C62+'CurrentPor-LH=40 unchanged'!I62)/100)+103/POWER(1+('CurrentPor-LH=40 unchanged'!D62+'CurrentPor-LH=40 unchanged'!I62)/100,2))*100</f>
        <v>9583.3395659284597</v>
      </c>
      <c r="F62">
        <f>Portfolio!B$5*'CurrentPor-LH=40 unchanged'!E62</f>
        <v>52143.895533915893</v>
      </c>
      <c r="G62">
        <f>Portfolio!B$6*'CurrentPor-LH=40 unchanged'!F62</f>
        <v>3696.2945087936532</v>
      </c>
      <c r="H62">
        <f>Portfolio!B$7*'CurrentPor-LH=40 unchanged'!J62</f>
        <v>2148.0998964419859</v>
      </c>
      <c r="I62">
        <f t="shared" si="0"/>
        <v>96495.42219656946</v>
      </c>
      <c r="J62">
        <f t="shared" si="1"/>
        <v>3.0913995861046715</v>
      </c>
    </row>
    <row r="63" spans="1:10">
      <c r="A63" s="1">
        <v>45558</v>
      </c>
      <c r="B63">
        <f>(3/(1+('CurrentPor-LH=40 unchanged'!C63)/100)+103/POWER(1+('CurrentPor-LH=40 unchanged'!D63)/100,2))*100</f>
        <v>9707.5857774288397</v>
      </c>
      <c r="C63">
        <f>(3/(1+('CurrentPor-LH=40 unchanged'!C63+'CurrentPor-LH=40 unchanged'!G63)/100)+103/POWER(1+('CurrentPor-LH=40 unchanged'!D63+'CurrentPor-LH=40 unchanged'!G63)/100,2))*100</f>
        <v>9614.9673582483465</v>
      </c>
      <c r="D63">
        <f>(3/(1+('CurrentPor-LH=40 unchanged'!C63+'CurrentPor-LH=40 unchanged'!H63)/100)+103/POWER(1+('CurrentPor-LH=40 unchanged'!D63+'CurrentPor-LH=40 unchanged'!H63)/100,2))*100</f>
        <v>9601.2395558122898</v>
      </c>
      <c r="E63">
        <f>(3/(1+('CurrentPor-LH=40 unchanged'!C63+'CurrentPor-LH=40 unchanged'!I63)/100)+103/POWER(1+('CurrentPor-LH=40 unchanged'!D63+'CurrentPor-LH=40 unchanged'!I63)/100,2))*100</f>
        <v>9579.4760908231528</v>
      </c>
      <c r="F63">
        <f>Portfolio!B$5*'CurrentPor-LH=40 unchanged'!E63</f>
        <v>52143.895533915893</v>
      </c>
      <c r="G63">
        <f>Portfolio!B$6*'CurrentPor-LH=40 unchanged'!F63</f>
        <v>3696.2945087936532</v>
      </c>
      <c r="H63">
        <f>Portfolio!B$7*'CurrentPor-LH=40 unchanged'!J63</f>
        <v>2148.0998964419859</v>
      </c>
      <c r="I63">
        <f t="shared" si="0"/>
        <v>96491.558721464171</v>
      </c>
      <c r="J63">
        <f t="shared" si="1"/>
        <v>-1.0405860685568769</v>
      </c>
    </row>
    <row r="64" spans="1:10">
      <c r="A64" s="1">
        <v>45559</v>
      </c>
      <c r="B64">
        <f>(3/(1+('CurrentPor-LH=40 unchanged'!C64)/100)+103/POWER(1+('CurrentPor-LH=40 unchanged'!D64)/100,2))*100</f>
        <v>9707.5857774288397</v>
      </c>
      <c r="C64">
        <f>(3/(1+('CurrentPor-LH=40 unchanged'!C64+'CurrentPor-LH=40 unchanged'!G64)/100)+103/POWER(1+('CurrentPor-LH=40 unchanged'!D64+'CurrentPor-LH=40 unchanged'!G64)/100,2))*100</f>
        <v>9614.9673582483465</v>
      </c>
      <c r="D64">
        <f>(3/(1+('CurrentPor-LH=40 unchanged'!C64+'CurrentPor-LH=40 unchanged'!H64)/100)+103/POWER(1+('CurrentPor-LH=40 unchanged'!D64+'CurrentPor-LH=40 unchanged'!H64)/100,2))*100</f>
        <v>9601.2395558122898</v>
      </c>
      <c r="E64">
        <f>(3/(1+('CurrentPor-LH=40 unchanged'!C64+'CurrentPor-LH=40 unchanged'!I64)/100)+103/POWER(1+('CurrentPor-LH=40 unchanged'!D64+'CurrentPor-LH=40 unchanged'!I64)/100,2))*100</f>
        <v>9581.2406914267158</v>
      </c>
      <c r="F64">
        <f>Portfolio!B$5*'CurrentPor-LH=40 unchanged'!E64</f>
        <v>52143.895533915893</v>
      </c>
      <c r="G64">
        <f>Portfolio!B$6*'CurrentPor-LH=40 unchanged'!F64</f>
        <v>3696.2945087936532</v>
      </c>
      <c r="H64">
        <f>Portfolio!B$7*'CurrentPor-LH=40 unchanged'!J64</f>
        <v>2148.0998964419859</v>
      </c>
      <c r="I64">
        <f t="shared" si="0"/>
        <v>96493.323322067721</v>
      </c>
      <c r="J64">
        <f t="shared" si="1"/>
        <v>1.4595152535184752</v>
      </c>
    </row>
    <row r="65" spans="1:10">
      <c r="A65" s="1">
        <v>45560</v>
      </c>
      <c r="B65">
        <f>(3/(1+('CurrentPor-LH=40 unchanged'!C65)/100)+103/POWER(1+('CurrentPor-LH=40 unchanged'!D65)/100,2))*100</f>
        <v>9707.5857774288397</v>
      </c>
      <c r="C65">
        <f>(3/(1+('CurrentPor-LH=40 unchanged'!C65+'CurrentPor-LH=40 unchanged'!G65)/100)+103/POWER(1+('CurrentPor-LH=40 unchanged'!D65+'CurrentPor-LH=40 unchanged'!G65)/100,2))*100</f>
        <v>9614.9673582483465</v>
      </c>
      <c r="D65">
        <f>(3/(1+('CurrentPor-LH=40 unchanged'!C65+'CurrentPor-LH=40 unchanged'!H65)/100)+103/POWER(1+('CurrentPor-LH=40 unchanged'!D65+'CurrentPor-LH=40 unchanged'!H65)/100,2))*100</f>
        <v>9601.2395558122898</v>
      </c>
      <c r="E65">
        <f>(3/(1+('CurrentPor-LH=40 unchanged'!C65+'CurrentPor-LH=40 unchanged'!I65)/100)+103/POWER(1+('CurrentPor-LH=40 unchanged'!D65+'CurrentPor-LH=40 unchanged'!I65)/100,2))*100</f>
        <v>9581.9440596788936</v>
      </c>
      <c r="F65">
        <f>Portfolio!B$5*'CurrentPor-LH=40 unchanged'!E65</f>
        <v>52143.895533915893</v>
      </c>
      <c r="G65">
        <f>Portfolio!B$6*'CurrentPor-LH=40 unchanged'!F65</f>
        <v>3696.2945087936532</v>
      </c>
      <c r="H65">
        <f>Portfolio!B$7*'CurrentPor-LH=40 unchanged'!J65</f>
        <v>2148.0998964419859</v>
      </c>
      <c r="I65">
        <f t="shared" si="0"/>
        <v>96494.026690319894</v>
      </c>
      <c r="J65">
        <f t="shared" si="1"/>
        <v>2.7710241205932107</v>
      </c>
    </row>
    <row r="66" spans="1:10">
      <c r="A66" s="1">
        <v>45561</v>
      </c>
      <c r="B66">
        <f>(3/(1+('CurrentPor-LH=40 unchanged'!C66)/100)+103/POWER(1+('CurrentPor-LH=40 unchanged'!D66)/100,2))*100</f>
        <v>9707.5857774288397</v>
      </c>
      <c r="C66">
        <f>(3/(1+('CurrentPor-LH=40 unchanged'!C66+'CurrentPor-LH=40 unchanged'!G66)/100)+103/POWER(1+('CurrentPor-LH=40 unchanged'!D66+'CurrentPor-LH=40 unchanged'!G66)/100,2))*100</f>
        <v>9614.9673582483465</v>
      </c>
      <c r="D66">
        <f>(3/(1+('CurrentPor-LH=40 unchanged'!C66+'CurrentPor-LH=40 unchanged'!H66)/100)+103/POWER(1+('CurrentPor-LH=40 unchanged'!D66+'CurrentPor-LH=40 unchanged'!H66)/100,2))*100</f>
        <v>9601.2395558122898</v>
      </c>
      <c r="E66">
        <f>(3/(1+('CurrentPor-LH=40 unchanged'!C66+'CurrentPor-LH=40 unchanged'!I66)/100)+103/POWER(1+('CurrentPor-LH=40 unchanged'!D66+'CurrentPor-LH=40 unchanged'!I66)/100,2))*100</f>
        <v>9581.3525916585568</v>
      </c>
      <c r="F66">
        <f>Portfolio!B$5*'CurrentPor-LH=40 unchanged'!E66</f>
        <v>52143.895533915893</v>
      </c>
      <c r="G66">
        <f>Portfolio!B$6*'CurrentPor-LH=40 unchanged'!F66</f>
        <v>3696.2945087936532</v>
      </c>
      <c r="H66">
        <f>Portfolio!B$7*'CurrentPor-LH=40 unchanged'!J66</f>
        <v>2148.0998964419859</v>
      </c>
      <c r="I66">
        <f t="shared" si="0"/>
        <v>96493.435222299566</v>
      </c>
      <c r="J66">
        <f t="shared" si="1"/>
        <v>1.6761101942538517</v>
      </c>
    </row>
    <row r="67" spans="1:10">
      <c r="A67" s="1">
        <v>45562</v>
      </c>
      <c r="B67">
        <f>(3/(1+('CurrentPor-LH=40 unchanged'!C67)/100)+103/POWER(1+('CurrentPor-LH=40 unchanged'!D67)/100,2))*100</f>
        <v>9707.5857774288397</v>
      </c>
      <c r="C67">
        <f>(3/(1+('CurrentPor-LH=40 unchanged'!C67+'CurrentPor-LH=40 unchanged'!G67)/100)+103/POWER(1+('CurrentPor-LH=40 unchanged'!D67+'CurrentPor-LH=40 unchanged'!G67)/100,2))*100</f>
        <v>9614.9673582483465</v>
      </c>
      <c r="D67">
        <f>(3/(1+('CurrentPor-LH=40 unchanged'!C67+'CurrentPor-LH=40 unchanged'!H67)/100)+103/POWER(1+('CurrentPor-LH=40 unchanged'!D67+'CurrentPor-LH=40 unchanged'!H67)/100,2))*100</f>
        <v>9601.2395558122898</v>
      </c>
      <c r="E67">
        <f>(3/(1+('CurrentPor-LH=40 unchanged'!C67+'CurrentPor-LH=40 unchanged'!I67)/100)+103/POWER(1+('CurrentPor-LH=40 unchanged'!D67+'CurrentPor-LH=40 unchanged'!I67)/100,2))*100</f>
        <v>9581.0784588554361</v>
      </c>
      <c r="F67">
        <f>Portfolio!B$5*'CurrentPor-LH=40 unchanged'!E67</f>
        <v>52143.895533915893</v>
      </c>
      <c r="G67">
        <f>Portfolio!B$6*'CurrentPor-LH=40 unchanged'!F67</f>
        <v>3696.2945087936532</v>
      </c>
      <c r="H67">
        <f>Portfolio!B$7*'CurrentPor-LH=40 unchanged'!J67</f>
        <v>2148.0998964419859</v>
      </c>
      <c r="I67">
        <f t="shared" si="0"/>
        <v>96493.16108949644</v>
      </c>
      <c r="J67">
        <f t="shared" si="1"/>
        <v>0.47569569290499203</v>
      </c>
    </row>
    <row r="68" spans="1:10">
      <c r="A68" s="1">
        <v>45565</v>
      </c>
      <c r="B68">
        <f>(3/(1+('CurrentPor-LH=40 unchanged'!C68)/100)+103/POWER(1+('CurrentPor-LH=40 unchanged'!D68)/100,2))*100</f>
        <v>9707.5857774288397</v>
      </c>
      <c r="C68">
        <f>(3/(1+('CurrentPor-LH=40 unchanged'!C68+'CurrentPor-LH=40 unchanged'!G68)/100)+103/POWER(1+('CurrentPor-LH=40 unchanged'!D68+'CurrentPor-LH=40 unchanged'!G68)/100,2))*100</f>
        <v>9614.9673582483465</v>
      </c>
      <c r="D68">
        <f>(3/(1+('CurrentPor-LH=40 unchanged'!C68+'CurrentPor-LH=40 unchanged'!H68)/100)+103/POWER(1+('CurrentPor-LH=40 unchanged'!D68+'CurrentPor-LH=40 unchanged'!H68)/100,2))*100</f>
        <v>9601.2395558122898</v>
      </c>
      <c r="E68">
        <f>(3/(1+('CurrentPor-LH=40 unchanged'!C68+'CurrentPor-LH=40 unchanged'!I68)/100)+103/POWER(1+('CurrentPor-LH=40 unchanged'!D68+'CurrentPor-LH=40 unchanged'!I68)/100,2))*100</f>
        <v>9580.1876409170109</v>
      </c>
      <c r="F68">
        <f>Portfolio!B$5*'CurrentPor-LH=40 unchanged'!E68</f>
        <v>52143.895533915893</v>
      </c>
      <c r="G68">
        <f>Portfolio!B$6*'CurrentPor-LH=40 unchanged'!F68</f>
        <v>3696.2945087936532</v>
      </c>
      <c r="H68">
        <f>Portfolio!B$7*'CurrentPor-LH=40 unchanged'!J68</f>
        <v>2148.0998964419859</v>
      </c>
      <c r="I68">
        <f t="shared" ref="I68:I131" si="2">SUM(B68:H68)</f>
        <v>96492.270271558009</v>
      </c>
      <c r="J68">
        <f t="shared" si="1"/>
        <v>-2.2338523340877146</v>
      </c>
    </row>
    <row r="69" spans="1:10">
      <c r="A69" s="1">
        <v>45566</v>
      </c>
      <c r="B69">
        <f>(3/(1+('CurrentPor-LH=40 unchanged'!C69)/100)+103/POWER(1+('CurrentPor-LH=40 unchanged'!D69)/100,2))*100</f>
        <v>9707.5857774288397</v>
      </c>
      <c r="C69">
        <f>(3/(1+('CurrentPor-LH=40 unchanged'!C69+'CurrentPor-LH=40 unchanged'!G69)/100)+103/POWER(1+('CurrentPor-LH=40 unchanged'!D69+'CurrentPor-LH=40 unchanged'!G69)/100,2))*100</f>
        <v>9614.9673582483465</v>
      </c>
      <c r="D69">
        <f>(3/(1+('CurrentPor-LH=40 unchanged'!C69+'CurrentPor-LH=40 unchanged'!H69)/100)+103/POWER(1+('CurrentPor-LH=40 unchanged'!D69+'CurrentPor-LH=40 unchanged'!H69)/100,2))*100</f>
        <v>9601.2395558122898</v>
      </c>
      <c r="E69">
        <f>(3/(1+('CurrentPor-LH=40 unchanged'!C69+'CurrentPor-LH=40 unchanged'!I69)/100)+103/POWER(1+('CurrentPor-LH=40 unchanged'!D69+'CurrentPor-LH=40 unchanged'!I69)/100,2))*100</f>
        <v>9581.0531467707842</v>
      </c>
      <c r="F69">
        <f>Portfolio!B$5*'CurrentPor-LH=40 unchanged'!E69</f>
        <v>52143.895533915893</v>
      </c>
      <c r="G69">
        <f>Portfolio!B$6*'CurrentPor-LH=40 unchanged'!F69</f>
        <v>3696.2945087936532</v>
      </c>
      <c r="H69">
        <f>Portfolio!B$7*'CurrentPor-LH=40 unchanged'!J69</f>
        <v>2148.0998964419859</v>
      </c>
      <c r="I69">
        <f t="shared" si="2"/>
        <v>96493.135777411793</v>
      </c>
      <c r="J69">
        <f t="shared" si="1"/>
        <v>-1.5370904866140336</v>
      </c>
    </row>
    <row r="70" spans="1:10">
      <c r="A70" s="1">
        <v>45567</v>
      </c>
      <c r="B70">
        <f>(3/(1+('CurrentPor-LH=40 unchanged'!C70)/100)+103/POWER(1+('CurrentPor-LH=40 unchanged'!D70)/100,2))*100</f>
        <v>9707.5857774288397</v>
      </c>
      <c r="C70">
        <f>(3/(1+('CurrentPor-LH=40 unchanged'!C70+'CurrentPor-LH=40 unchanged'!G70)/100)+103/POWER(1+('CurrentPor-LH=40 unchanged'!D70+'CurrentPor-LH=40 unchanged'!G70)/100,2))*100</f>
        <v>9614.9673582483465</v>
      </c>
      <c r="D70">
        <f>(3/(1+('CurrentPor-LH=40 unchanged'!C70+'CurrentPor-LH=40 unchanged'!H70)/100)+103/POWER(1+('CurrentPor-LH=40 unchanged'!D70+'CurrentPor-LH=40 unchanged'!H70)/100,2))*100</f>
        <v>9601.2395558122898</v>
      </c>
      <c r="E70">
        <f>(3/(1+('CurrentPor-LH=40 unchanged'!C70+'CurrentPor-LH=40 unchanged'!I70)/100)+103/POWER(1+('CurrentPor-LH=40 unchanged'!D70+'CurrentPor-LH=40 unchanged'!I70)/100,2))*100</f>
        <v>9580.3585773894247</v>
      </c>
      <c r="F70">
        <f>Portfolio!B$5*'CurrentPor-LH=40 unchanged'!E70</f>
        <v>52143.895533915893</v>
      </c>
      <c r="G70">
        <f>Portfolio!B$6*'CurrentPor-LH=40 unchanged'!F70</f>
        <v>3696.2945087936532</v>
      </c>
      <c r="H70">
        <f>Portfolio!B$7*'CurrentPor-LH=40 unchanged'!J70</f>
        <v>2148.0998964419859</v>
      </c>
      <c r="I70">
        <f t="shared" si="2"/>
        <v>96492.441208030432</v>
      </c>
      <c r="J70">
        <f t="shared" si="1"/>
        <v>-1.3455802949029021</v>
      </c>
    </row>
    <row r="71" spans="1:10">
      <c r="A71" s="1">
        <v>45568</v>
      </c>
      <c r="B71">
        <f>(3/(1+('CurrentPor-LH=40 unchanged'!C71)/100)+103/POWER(1+('CurrentPor-LH=40 unchanged'!D71)/100,2))*100</f>
        <v>9707.5857774288397</v>
      </c>
      <c r="C71">
        <f>(3/(1+('CurrentPor-LH=40 unchanged'!C71+'CurrentPor-LH=40 unchanged'!G71)/100)+103/POWER(1+('CurrentPor-LH=40 unchanged'!D71+'CurrentPor-LH=40 unchanged'!G71)/100,2))*100</f>
        <v>9614.9673582483465</v>
      </c>
      <c r="D71">
        <f>(3/(1+('CurrentPor-LH=40 unchanged'!C71+'CurrentPor-LH=40 unchanged'!H71)/100)+103/POWER(1+('CurrentPor-LH=40 unchanged'!D71+'CurrentPor-LH=40 unchanged'!H71)/100,2))*100</f>
        <v>9601.2395558122898</v>
      </c>
      <c r="E71">
        <f>(3/(1+('CurrentPor-LH=40 unchanged'!C71+'CurrentPor-LH=40 unchanged'!I71)/100)+103/POWER(1+('CurrentPor-LH=40 unchanged'!D71+'CurrentPor-LH=40 unchanged'!I71)/100,2))*100</f>
        <v>9581.4264837555766</v>
      </c>
      <c r="F71">
        <f>Portfolio!B$5*'CurrentPor-LH=40 unchanged'!E71</f>
        <v>52143.895533915893</v>
      </c>
      <c r="G71">
        <f>Portfolio!B$6*'CurrentPor-LH=40 unchanged'!F71</f>
        <v>3696.2945087936532</v>
      </c>
      <c r="H71">
        <f>Portfolio!B$7*'CurrentPor-LH=40 unchanged'!J71</f>
        <v>2148.0998964419859</v>
      </c>
      <c r="I71">
        <f t="shared" si="2"/>
        <v>96493.509114396584</v>
      </c>
      <c r="J71">
        <f t="shared" si="1"/>
        <v>0.11399446400173474</v>
      </c>
    </row>
    <row r="72" spans="1:10">
      <c r="A72" s="1">
        <v>45569</v>
      </c>
      <c r="B72">
        <f>(3/(1+('CurrentPor-LH=40 unchanged'!C72)/100)+103/POWER(1+('CurrentPor-LH=40 unchanged'!D72)/100,2))*100</f>
        <v>9707.5857774288397</v>
      </c>
      <c r="C72">
        <f>(3/(1+('CurrentPor-LH=40 unchanged'!C72+'CurrentPor-LH=40 unchanged'!G72)/100)+103/POWER(1+('CurrentPor-LH=40 unchanged'!D72+'CurrentPor-LH=40 unchanged'!G72)/100,2))*100</f>
        <v>9614.9673582483465</v>
      </c>
      <c r="D72">
        <f>(3/(1+('CurrentPor-LH=40 unchanged'!C72+'CurrentPor-LH=40 unchanged'!H72)/100)+103/POWER(1+('CurrentPor-LH=40 unchanged'!D72+'CurrentPor-LH=40 unchanged'!H72)/100,2))*100</f>
        <v>9601.2395558122898</v>
      </c>
      <c r="E72">
        <f>(3/(1+('CurrentPor-LH=40 unchanged'!C72+'CurrentPor-LH=40 unchanged'!I72)/100)+103/POWER(1+('CurrentPor-LH=40 unchanged'!D72+'CurrentPor-LH=40 unchanged'!I72)/100,2))*100</f>
        <v>9582.0713776831362</v>
      </c>
      <c r="F72">
        <f>Portfolio!B$5*'CurrentPor-LH=40 unchanged'!E72</f>
        <v>52143.895533915893</v>
      </c>
      <c r="G72">
        <f>Portfolio!B$6*'CurrentPor-LH=40 unchanged'!F72</f>
        <v>3696.2945087936532</v>
      </c>
      <c r="H72">
        <f>Portfolio!B$7*'CurrentPor-LH=40 unchanged'!J72</f>
        <v>2148.0998964419859</v>
      </c>
      <c r="I72">
        <f t="shared" si="2"/>
        <v>96494.154008324156</v>
      </c>
      <c r="J72">
        <f t="shared" si="1"/>
        <v>-1.2681882453034632</v>
      </c>
    </row>
    <row r="73" spans="1:10">
      <c r="A73" s="1">
        <v>45572</v>
      </c>
      <c r="B73">
        <f>(3/(1+('CurrentPor-LH=40 unchanged'!C73)/100)+103/POWER(1+('CurrentPor-LH=40 unchanged'!D73)/100,2))*100</f>
        <v>9707.5857774288397</v>
      </c>
      <c r="C73">
        <f>(3/(1+('CurrentPor-LH=40 unchanged'!C73+'CurrentPor-LH=40 unchanged'!G73)/100)+103/POWER(1+('CurrentPor-LH=40 unchanged'!D73+'CurrentPor-LH=40 unchanged'!G73)/100,2))*100</f>
        <v>9614.9673582483465</v>
      </c>
      <c r="D73">
        <f>(3/(1+('CurrentPor-LH=40 unchanged'!C73+'CurrentPor-LH=40 unchanged'!H73)/100)+103/POWER(1+('CurrentPor-LH=40 unchanged'!D73+'CurrentPor-LH=40 unchanged'!H73)/100,2))*100</f>
        <v>9601.2395558122898</v>
      </c>
      <c r="E73">
        <f>(3/(1+('CurrentPor-LH=40 unchanged'!C73+'CurrentPor-LH=40 unchanged'!I73)/100)+103/POWER(1+('CurrentPor-LH=40 unchanged'!D73+'CurrentPor-LH=40 unchanged'!I73)/100,2))*100</f>
        <v>9580.5767725456863</v>
      </c>
      <c r="F73">
        <f>Portfolio!B$5*'CurrentPor-LH=40 unchanged'!E73</f>
        <v>52143.895533915893</v>
      </c>
      <c r="G73">
        <f>Portfolio!B$6*'CurrentPor-LH=40 unchanged'!F73</f>
        <v>3696.2945087936532</v>
      </c>
      <c r="H73">
        <f>Portfolio!B$7*'CurrentPor-LH=40 unchanged'!J73</f>
        <v>2148.0998964419859</v>
      </c>
      <c r="I73">
        <f t="shared" si="2"/>
        <v>96492.659403186684</v>
      </c>
      <c r="J73">
        <f t="shared" si="1"/>
        <v>1.1006817225134</v>
      </c>
    </row>
    <row r="74" spans="1:10">
      <c r="A74" s="1">
        <v>45573</v>
      </c>
      <c r="B74">
        <f>(3/(1+('CurrentPor-LH=40 unchanged'!C74)/100)+103/POWER(1+('CurrentPor-LH=40 unchanged'!D74)/100,2))*100</f>
        <v>9707.5857774288397</v>
      </c>
      <c r="C74">
        <f>(3/(1+('CurrentPor-LH=40 unchanged'!C74+'CurrentPor-LH=40 unchanged'!G74)/100)+103/POWER(1+('CurrentPor-LH=40 unchanged'!D74+'CurrentPor-LH=40 unchanged'!G74)/100,2))*100</f>
        <v>9614.9673582483465</v>
      </c>
      <c r="D74">
        <f>(3/(1+('CurrentPor-LH=40 unchanged'!C74+'CurrentPor-LH=40 unchanged'!H74)/100)+103/POWER(1+('CurrentPor-LH=40 unchanged'!D74+'CurrentPor-LH=40 unchanged'!H74)/100,2))*100</f>
        <v>9601.2395558122898</v>
      </c>
      <c r="E74">
        <f>(3/(1+('CurrentPor-LH=40 unchanged'!C74+'CurrentPor-LH=40 unchanged'!I74)/100)+103/POWER(1+('CurrentPor-LH=40 unchanged'!D74+'CurrentPor-LH=40 unchanged'!I74)/100,2))*100</f>
        <v>9582.3419247130823</v>
      </c>
      <c r="F74">
        <f>Portfolio!B$5*'CurrentPor-LH=40 unchanged'!E74</f>
        <v>52143.895533915893</v>
      </c>
      <c r="G74">
        <f>Portfolio!B$6*'CurrentPor-LH=40 unchanged'!F74</f>
        <v>3696.2945087936532</v>
      </c>
      <c r="H74">
        <f>Portfolio!B$7*'CurrentPor-LH=40 unchanged'!J74</f>
        <v>2148.0998964419859</v>
      </c>
      <c r="I74">
        <f t="shared" si="2"/>
        <v>96494.424555354097</v>
      </c>
      <c r="J74">
        <f t="shared" si="1"/>
        <v>1.1012332863756455</v>
      </c>
    </row>
    <row r="75" spans="1:10">
      <c r="A75" s="1">
        <v>45574</v>
      </c>
      <c r="B75">
        <f>(3/(1+('CurrentPor-LH=40 unchanged'!C75)/100)+103/POWER(1+('CurrentPor-LH=40 unchanged'!D75)/100,2))*100</f>
        <v>9707.5857774288397</v>
      </c>
      <c r="C75">
        <f>(3/(1+('CurrentPor-LH=40 unchanged'!C75+'CurrentPor-LH=40 unchanged'!G75)/100)+103/POWER(1+('CurrentPor-LH=40 unchanged'!D75+'CurrentPor-LH=40 unchanged'!G75)/100,2))*100</f>
        <v>9614.9673582483465</v>
      </c>
      <c r="D75">
        <f>(3/(1+('CurrentPor-LH=40 unchanged'!C75+'CurrentPor-LH=40 unchanged'!H75)/100)+103/POWER(1+('CurrentPor-LH=40 unchanged'!D75+'CurrentPor-LH=40 unchanged'!H75)/100,2))*100</f>
        <v>9601.2395558122898</v>
      </c>
      <c r="E75">
        <f>(3/(1+('CurrentPor-LH=40 unchanged'!C75+'CurrentPor-LH=40 unchanged'!I75)/100)+103/POWER(1+('CurrentPor-LH=40 unchanged'!D75+'CurrentPor-LH=40 unchanged'!I75)/100,2))*100</f>
        <v>9580.7848447800734</v>
      </c>
      <c r="F75">
        <f>Portfolio!B$5*'CurrentPor-LH=40 unchanged'!E75</f>
        <v>52143.895533915893</v>
      </c>
      <c r="G75">
        <f>Portfolio!B$6*'CurrentPor-LH=40 unchanged'!F75</f>
        <v>3696.2945087936532</v>
      </c>
      <c r="H75">
        <f>Portfolio!B$7*'CurrentPor-LH=40 unchanged'!J75</f>
        <v>2148.0998964419859</v>
      </c>
      <c r="I75">
        <f t="shared" si="2"/>
        <v>96492.867475421081</v>
      </c>
      <c r="J75">
        <f t="shared" si="1"/>
        <v>-1.1592148988129338</v>
      </c>
    </row>
    <row r="76" spans="1:10">
      <c r="A76" s="1">
        <v>45575</v>
      </c>
      <c r="B76">
        <f>(3/(1+('CurrentPor-LH=40 unchanged'!C76)/100)+103/POWER(1+('CurrentPor-LH=40 unchanged'!D76)/100,2))*100</f>
        <v>9707.5857774288397</v>
      </c>
      <c r="C76">
        <f>(3/(1+('CurrentPor-LH=40 unchanged'!C76+'CurrentPor-LH=40 unchanged'!G76)/100)+103/POWER(1+('CurrentPor-LH=40 unchanged'!D76+'CurrentPor-LH=40 unchanged'!G76)/100,2))*100</f>
        <v>9614.9673582483465</v>
      </c>
      <c r="D76">
        <f>(3/(1+('CurrentPor-LH=40 unchanged'!C76+'CurrentPor-LH=40 unchanged'!H76)/100)+103/POWER(1+('CurrentPor-LH=40 unchanged'!D76+'CurrentPor-LH=40 unchanged'!H76)/100,2))*100</f>
        <v>9601.2395558122898</v>
      </c>
      <c r="E76">
        <f>(3/(1+('CurrentPor-LH=40 unchanged'!C76+'CurrentPor-LH=40 unchanged'!I76)/100)+103/POWER(1+('CurrentPor-LH=40 unchanged'!D76+'CurrentPor-LH=40 unchanged'!I76)/100,2))*100</f>
        <v>9580.489996119677</v>
      </c>
      <c r="F76">
        <f>Portfolio!B$5*'CurrentPor-LH=40 unchanged'!E76</f>
        <v>52143.895533915893</v>
      </c>
      <c r="G76">
        <f>Portfolio!B$6*'CurrentPor-LH=40 unchanged'!F76</f>
        <v>3696.2945087936532</v>
      </c>
      <c r="H76">
        <f>Portfolio!B$7*'CurrentPor-LH=40 unchanged'!J76</f>
        <v>2148.0998964419859</v>
      </c>
      <c r="I76">
        <f t="shared" si="2"/>
        <v>96492.572626760681</v>
      </c>
      <c r="J76">
        <f t="shared" si="1"/>
        <v>-0.86259553888521623</v>
      </c>
    </row>
    <row r="77" spans="1:10">
      <c r="A77" s="1">
        <v>45576</v>
      </c>
      <c r="B77">
        <f>(3/(1+('CurrentPor-LH=40 unchanged'!C77)/100)+103/POWER(1+('CurrentPor-LH=40 unchanged'!D77)/100,2))*100</f>
        <v>9707.5857774288397</v>
      </c>
      <c r="C77">
        <f>(3/(1+('CurrentPor-LH=40 unchanged'!C77+'CurrentPor-LH=40 unchanged'!G77)/100)+103/POWER(1+('CurrentPor-LH=40 unchanged'!D77+'CurrentPor-LH=40 unchanged'!G77)/100,2))*100</f>
        <v>9614.9673582483465</v>
      </c>
      <c r="D77">
        <f>(3/(1+('CurrentPor-LH=40 unchanged'!C77+'CurrentPor-LH=40 unchanged'!H77)/100)+103/POWER(1+('CurrentPor-LH=40 unchanged'!D77+'CurrentPor-LH=40 unchanged'!H77)/100,2))*100</f>
        <v>9601.2395558122898</v>
      </c>
      <c r="E77">
        <f>(3/(1+('CurrentPor-LH=40 unchanged'!C77+'CurrentPor-LH=40 unchanged'!I77)/100)+103/POWER(1+('CurrentPor-LH=40 unchanged'!D77+'CurrentPor-LH=40 unchanged'!I77)/100,2))*100</f>
        <v>9582.3956915090057</v>
      </c>
      <c r="F77">
        <f>Portfolio!B$5*'CurrentPor-LH=40 unchanged'!E77</f>
        <v>52143.895533915893</v>
      </c>
      <c r="G77">
        <f>Portfolio!B$6*'CurrentPor-LH=40 unchanged'!F77</f>
        <v>3696.2945087936532</v>
      </c>
      <c r="H77">
        <f>Portfolio!B$7*'CurrentPor-LH=40 unchanged'!J77</f>
        <v>2148.0998964419859</v>
      </c>
      <c r="I77">
        <f t="shared" si="2"/>
        <v>96494.478322150026</v>
      </c>
      <c r="J77">
        <f t="shared" si="1"/>
        <v>1.3172326535859611</v>
      </c>
    </row>
    <row r="78" spans="1:10">
      <c r="A78" s="1">
        <v>45579</v>
      </c>
      <c r="B78">
        <f>(3/(1+('CurrentPor-LH=40 unchanged'!C78)/100)+103/POWER(1+('CurrentPor-LH=40 unchanged'!D78)/100,2))*100</f>
        <v>9707.5857774288397</v>
      </c>
      <c r="C78">
        <f>(3/(1+('CurrentPor-LH=40 unchanged'!C78+'CurrentPor-LH=40 unchanged'!G78)/100)+103/POWER(1+('CurrentPor-LH=40 unchanged'!D78+'CurrentPor-LH=40 unchanged'!G78)/100,2))*100</f>
        <v>9614.9673582483465</v>
      </c>
      <c r="D78">
        <f>(3/(1+('CurrentPor-LH=40 unchanged'!C78+'CurrentPor-LH=40 unchanged'!H78)/100)+103/POWER(1+('CurrentPor-LH=40 unchanged'!D78+'CurrentPor-LH=40 unchanged'!H78)/100,2))*100</f>
        <v>9601.2395558122898</v>
      </c>
      <c r="E78">
        <f>(3/(1+('CurrentPor-LH=40 unchanged'!C78+'CurrentPor-LH=40 unchanged'!I78)/100)+103/POWER(1+('CurrentPor-LH=40 unchanged'!D78+'CurrentPor-LH=40 unchanged'!I78)/100,2))*100</f>
        <v>9579.3572554563816</v>
      </c>
      <c r="F78">
        <f>Portfolio!B$5*'CurrentPor-LH=40 unchanged'!E78</f>
        <v>52143.895533915893</v>
      </c>
      <c r="G78">
        <f>Portfolio!B$6*'CurrentPor-LH=40 unchanged'!F78</f>
        <v>3696.2945087936532</v>
      </c>
      <c r="H78">
        <f>Portfolio!B$7*'CurrentPor-LH=40 unchanged'!J78</f>
        <v>2148.0998964419859</v>
      </c>
      <c r="I78">
        <f t="shared" si="2"/>
        <v>96491.439886097389</v>
      </c>
      <c r="J78">
        <f t="shared" ref="J78:J141" si="3">I78-I68</f>
        <v>-0.83038546062016394</v>
      </c>
    </row>
    <row r="79" spans="1:10">
      <c r="A79" s="1">
        <v>45580</v>
      </c>
      <c r="B79">
        <f>(3/(1+('CurrentPor-LH=40 unchanged'!C79)/100)+103/POWER(1+('CurrentPor-LH=40 unchanged'!D79)/100,2))*100</f>
        <v>9707.5857774288397</v>
      </c>
      <c r="C79">
        <f>(3/(1+('CurrentPor-LH=40 unchanged'!C79+'CurrentPor-LH=40 unchanged'!G79)/100)+103/POWER(1+('CurrentPor-LH=40 unchanged'!D79+'CurrentPor-LH=40 unchanged'!G79)/100,2))*100</f>
        <v>9614.9673582483465</v>
      </c>
      <c r="D79">
        <f>(3/(1+('CurrentPor-LH=40 unchanged'!C79+'CurrentPor-LH=40 unchanged'!H79)/100)+103/POWER(1+('CurrentPor-LH=40 unchanged'!D79+'CurrentPor-LH=40 unchanged'!H79)/100,2))*100</f>
        <v>9601.2395558122898</v>
      </c>
      <c r="E79">
        <f>(3/(1+('CurrentPor-LH=40 unchanged'!C79+'CurrentPor-LH=40 unchanged'!I79)/100)+103/POWER(1+('CurrentPor-LH=40 unchanged'!D79+'CurrentPor-LH=40 unchanged'!I79)/100,2))*100</f>
        <v>9580.0026500227395</v>
      </c>
      <c r="F79">
        <f>Portfolio!B$5*'CurrentPor-LH=40 unchanged'!E79</f>
        <v>52143.895533915893</v>
      </c>
      <c r="G79">
        <f>Portfolio!B$6*'CurrentPor-LH=40 unchanged'!F79</f>
        <v>3696.2945087936532</v>
      </c>
      <c r="H79">
        <f>Portfolio!B$7*'CurrentPor-LH=40 unchanged'!J79</f>
        <v>2148.0998964419859</v>
      </c>
      <c r="I79">
        <f t="shared" si="2"/>
        <v>96492.085280663756</v>
      </c>
      <c r="J79">
        <f t="shared" si="3"/>
        <v>-1.0504967480374034</v>
      </c>
    </row>
    <row r="80" spans="1:10">
      <c r="A80" s="1">
        <v>45581</v>
      </c>
      <c r="B80">
        <f>(3/(1+('CurrentPor-LH=40 unchanged'!C80)/100)+103/POWER(1+('CurrentPor-LH=40 unchanged'!D80)/100,2))*100</f>
        <v>9707.5857774288397</v>
      </c>
      <c r="C80">
        <f>(3/(1+('CurrentPor-LH=40 unchanged'!C80+'CurrentPor-LH=40 unchanged'!G80)/100)+103/POWER(1+('CurrentPor-LH=40 unchanged'!D80+'CurrentPor-LH=40 unchanged'!G80)/100,2))*100</f>
        <v>9614.9673582483465</v>
      </c>
      <c r="D80">
        <f>(3/(1+('CurrentPor-LH=40 unchanged'!C80+'CurrentPor-LH=40 unchanged'!H80)/100)+103/POWER(1+('CurrentPor-LH=40 unchanged'!D80+'CurrentPor-LH=40 unchanged'!H80)/100,2))*100</f>
        <v>9601.2395558122898</v>
      </c>
      <c r="E80">
        <f>(3/(1+('CurrentPor-LH=40 unchanged'!C80+'CurrentPor-LH=40 unchanged'!I80)/100)+103/POWER(1+('CurrentPor-LH=40 unchanged'!D80+'CurrentPor-LH=40 unchanged'!I80)/100,2))*100</f>
        <v>9582.2612830943108</v>
      </c>
      <c r="F80">
        <f>Portfolio!B$5*'CurrentPor-LH=40 unchanged'!E80</f>
        <v>52143.895533915893</v>
      </c>
      <c r="G80">
        <f>Portfolio!B$6*'CurrentPor-LH=40 unchanged'!F80</f>
        <v>3696.2945087936532</v>
      </c>
      <c r="H80">
        <f>Portfolio!B$7*'CurrentPor-LH=40 unchanged'!J80</f>
        <v>2148.0998964419859</v>
      </c>
      <c r="I80">
        <f t="shared" si="2"/>
        <v>96494.343913735313</v>
      </c>
      <c r="J80">
        <f t="shared" si="3"/>
        <v>1.9027057048806455</v>
      </c>
    </row>
    <row r="81" spans="1:10">
      <c r="A81" s="1">
        <v>45582</v>
      </c>
      <c r="B81">
        <f>(3/(1+('CurrentPor-LH=40 unchanged'!C81)/100)+103/POWER(1+('CurrentPor-LH=40 unchanged'!D81)/100,2))*100</f>
        <v>9707.5857774288397</v>
      </c>
      <c r="C81">
        <f>(3/(1+('CurrentPor-LH=40 unchanged'!C81+'CurrentPor-LH=40 unchanged'!G81)/100)+103/POWER(1+('CurrentPor-LH=40 unchanged'!D81+'CurrentPor-LH=40 unchanged'!G81)/100,2))*100</f>
        <v>9614.9673582483465</v>
      </c>
      <c r="D81">
        <f>(3/(1+('CurrentPor-LH=40 unchanged'!C81+'CurrentPor-LH=40 unchanged'!H81)/100)+103/POWER(1+('CurrentPor-LH=40 unchanged'!D81+'CurrentPor-LH=40 unchanged'!H81)/100,2))*100</f>
        <v>9601.2395558122898</v>
      </c>
      <c r="E81">
        <f>(3/(1+('CurrentPor-LH=40 unchanged'!C81+'CurrentPor-LH=40 unchanged'!I81)/100)+103/POWER(1+('CurrentPor-LH=40 unchanged'!D81+'CurrentPor-LH=40 unchanged'!I81)/100,2))*100</f>
        <v>9580.9383890343033</v>
      </c>
      <c r="F81">
        <f>Portfolio!B$5*'CurrentPor-LH=40 unchanged'!E81</f>
        <v>52143.895533915893</v>
      </c>
      <c r="G81">
        <f>Portfolio!B$6*'CurrentPor-LH=40 unchanged'!F81</f>
        <v>3696.2945087936532</v>
      </c>
      <c r="H81">
        <f>Portfolio!B$7*'CurrentPor-LH=40 unchanged'!J81</f>
        <v>2148.0998964419859</v>
      </c>
      <c r="I81">
        <f t="shared" si="2"/>
        <v>96493.021019675318</v>
      </c>
      <c r="J81">
        <f t="shared" si="3"/>
        <v>-0.4880947212659521</v>
      </c>
    </row>
    <row r="82" spans="1:10">
      <c r="A82" s="1">
        <v>45583</v>
      </c>
      <c r="B82">
        <f>(3/(1+('CurrentPor-LH=40 unchanged'!C82)/100)+103/POWER(1+('CurrentPor-LH=40 unchanged'!D82)/100,2))*100</f>
        <v>9707.5857774288397</v>
      </c>
      <c r="C82">
        <f>(3/(1+('CurrentPor-LH=40 unchanged'!C82+'CurrentPor-LH=40 unchanged'!G82)/100)+103/POWER(1+('CurrentPor-LH=40 unchanged'!D82+'CurrentPor-LH=40 unchanged'!G82)/100,2))*100</f>
        <v>9614.9673582483465</v>
      </c>
      <c r="D82">
        <f>(3/(1+('CurrentPor-LH=40 unchanged'!C82+'CurrentPor-LH=40 unchanged'!H82)/100)+103/POWER(1+('CurrentPor-LH=40 unchanged'!D82+'CurrentPor-LH=40 unchanged'!H82)/100,2))*100</f>
        <v>9601.2395558122898</v>
      </c>
      <c r="E82">
        <f>(3/(1+('CurrentPor-LH=40 unchanged'!C82+'CurrentPor-LH=40 unchanged'!I82)/100)+103/POWER(1+('CurrentPor-LH=40 unchanged'!D82+'CurrentPor-LH=40 unchanged'!I82)/100,2))*100</f>
        <v>9580.3612385826909</v>
      </c>
      <c r="F82">
        <f>Portfolio!B$5*'CurrentPor-LH=40 unchanged'!E82</f>
        <v>52143.895533915893</v>
      </c>
      <c r="G82">
        <f>Portfolio!B$6*'CurrentPor-LH=40 unchanged'!F82</f>
        <v>3696.2945087936532</v>
      </c>
      <c r="H82">
        <f>Portfolio!B$7*'CurrentPor-LH=40 unchanged'!J82</f>
        <v>2148.0998964419859</v>
      </c>
      <c r="I82">
        <f t="shared" si="2"/>
        <v>96492.443869223702</v>
      </c>
      <c r="J82">
        <f t="shared" si="3"/>
        <v>-1.7101391004543984</v>
      </c>
    </row>
    <row r="83" spans="1:10">
      <c r="A83" s="1">
        <v>45586</v>
      </c>
      <c r="B83">
        <f>(3/(1+('CurrentPor-LH=40 unchanged'!C83)/100)+103/POWER(1+('CurrentPor-LH=40 unchanged'!D83)/100,2))*100</f>
        <v>9707.5857774288397</v>
      </c>
      <c r="C83">
        <f>(3/(1+('CurrentPor-LH=40 unchanged'!C83+'CurrentPor-LH=40 unchanged'!G83)/100)+103/POWER(1+('CurrentPor-LH=40 unchanged'!D83+'CurrentPor-LH=40 unchanged'!G83)/100,2))*100</f>
        <v>9614.9673582483465</v>
      </c>
      <c r="D83">
        <f>(3/(1+('CurrentPor-LH=40 unchanged'!C83+'CurrentPor-LH=40 unchanged'!H83)/100)+103/POWER(1+('CurrentPor-LH=40 unchanged'!D83+'CurrentPor-LH=40 unchanged'!H83)/100,2))*100</f>
        <v>9601.2395558122898</v>
      </c>
      <c r="E83">
        <f>(3/(1+('CurrentPor-LH=40 unchanged'!C83+'CurrentPor-LH=40 unchanged'!I83)/100)+103/POWER(1+('CurrentPor-LH=40 unchanged'!D83+'CurrentPor-LH=40 unchanged'!I83)/100,2))*100</f>
        <v>9578.634427460509</v>
      </c>
      <c r="F83">
        <f>Portfolio!B$5*'CurrentPor-LH=40 unchanged'!E83</f>
        <v>52143.895533915893</v>
      </c>
      <c r="G83">
        <f>Portfolio!B$6*'CurrentPor-LH=40 unchanged'!F83</f>
        <v>3696.2945087936532</v>
      </c>
      <c r="H83">
        <f>Portfolio!B$7*'CurrentPor-LH=40 unchanged'!J83</f>
        <v>2148.0998964419859</v>
      </c>
      <c r="I83">
        <f t="shared" si="2"/>
        <v>96490.717058101509</v>
      </c>
      <c r="J83">
        <f t="shared" si="3"/>
        <v>-1.9423450851754751</v>
      </c>
    </row>
    <row r="84" spans="1:10">
      <c r="A84" s="1">
        <v>45587</v>
      </c>
      <c r="B84">
        <f>(3/(1+('CurrentPor-LH=40 unchanged'!C84)/100)+103/POWER(1+('CurrentPor-LH=40 unchanged'!D84)/100,2))*100</f>
        <v>9707.5857774288397</v>
      </c>
      <c r="C84">
        <f>(3/(1+('CurrentPor-LH=40 unchanged'!C84+'CurrentPor-LH=40 unchanged'!G84)/100)+103/POWER(1+('CurrentPor-LH=40 unchanged'!D84+'CurrentPor-LH=40 unchanged'!G84)/100,2))*100</f>
        <v>9614.9673582483465</v>
      </c>
      <c r="D84">
        <f>(3/(1+('CurrentPor-LH=40 unchanged'!C84+'CurrentPor-LH=40 unchanged'!H84)/100)+103/POWER(1+('CurrentPor-LH=40 unchanged'!D84+'CurrentPor-LH=40 unchanged'!H84)/100,2))*100</f>
        <v>9601.2395558122898</v>
      </c>
      <c r="E84">
        <f>(3/(1+('CurrentPor-LH=40 unchanged'!C84+'CurrentPor-LH=40 unchanged'!I84)/100)+103/POWER(1+('CurrentPor-LH=40 unchanged'!D84+'CurrentPor-LH=40 unchanged'!I84)/100,2))*100</f>
        <v>9582.9047549846018</v>
      </c>
      <c r="F84">
        <f>Portfolio!B$5*'CurrentPor-LH=40 unchanged'!E84</f>
        <v>52143.895533915893</v>
      </c>
      <c r="G84">
        <f>Portfolio!B$6*'CurrentPor-LH=40 unchanged'!F84</f>
        <v>3696.2945087936532</v>
      </c>
      <c r="H84">
        <f>Portfolio!B$7*'CurrentPor-LH=40 unchanged'!J84</f>
        <v>2148.0998964419859</v>
      </c>
      <c r="I84">
        <f t="shared" si="2"/>
        <v>96494.987385625616</v>
      </c>
      <c r="J84">
        <f t="shared" si="3"/>
        <v>0.56283027151948772</v>
      </c>
    </row>
    <row r="85" spans="1:10">
      <c r="A85" s="1">
        <v>45588</v>
      </c>
      <c r="B85">
        <f>(3/(1+('CurrentPor-LH=40 unchanged'!C85)/100)+103/POWER(1+('CurrentPor-LH=40 unchanged'!D85)/100,2))*100</f>
        <v>9707.5857774288397</v>
      </c>
      <c r="C85">
        <f>(3/(1+('CurrentPor-LH=40 unchanged'!C85+'CurrentPor-LH=40 unchanged'!G85)/100)+103/POWER(1+('CurrentPor-LH=40 unchanged'!D85+'CurrentPor-LH=40 unchanged'!G85)/100,2))*100</f>
        <v>9614.9673582483465</v>
      </c>
      <c r="D85">
        <f>(3/(1+('CurrentPor-LH=40 unchanged'!C85+'CurrentPor-LH=40 unchanged'!H85)/100)+103/POWER(1+('CurrentPor-LH=40 unchanged'!D85+'CurrentPor-LH=40 unchanged'!H85)/100,2))*100</f>
        <v>9601.2395558122898</v>
      </c>
      <c r="E85">
        <f>(3/(1+('CurrentPor-LH=40 unchanged'!C85+'CurrentPor-LH=40 unchanged'!I85)/100)+103/POWER(1+('CurrentPor-LH=40 unchanged'!D85+'CurrentPor-LH=40 unchanged'!I85)/100,2))*100</f>
        <v>9582.6528801111053</v>
      </c>
      <c r="F85">
        <f>Portfolio!B$5*'CurrentPor-LH=40 unchanged'!E85</f>
        <v>52143.895533915893</v>
      </c>
      <c r="G85">
        <f>Portfolio!B$6*'CurrentPor-LH=40 unchanged'!F85</f>
        <v>3696.2945087936532</v>
      </c>
      <c r="H85">
        <f>Portfolio!B$7*'CurrentPor-LH=40 unchanged'!J85</f>
        <v>2148.0998964419859</v>
      </c>
      <c r="I85">
        <f t="shared" si="2"/>
        <v>96494.735510752114</v>
      </c>
      <c r="J85">
        <f t="shared" si="3"/>
        <v>1.8680353310337523</v>
      </c>
    </row>
    <row r="86" spans="1:10">
      <c r="A86" s="1">
        <v>45589</v>
      </c>
      <c r="B86">
        <f>(3/(1+('CurrentPor-LH=40 unchanged'!C86)/100)+103/POWER(1+('CurrentPor-LH=40 unchanged'!D86)/100,2))*100</f>
        <v>9707.5857774288397</v>
      </c>
      <c r="C86">
        <f>(3/(1+('CurrentPor-LH=40 unchanged'!C86+'CurrentPor-LH=40 unchanged'!G86)/100)+103/POWER(1+('CurrentPor-LH=40 unchanged'!D86+'CurrentPor-LH=40 unchanged'!G86)/100,2))*100</f>
        <v>9614.9673582483465</v>
      </c>
      <c r="D86">
        <f>(3/(1+('CurrentPor-LH=40 unchanged'!C86+'CurrentPor-LH=40 unchanged'!H86)/100)+103/POWER(1+('CurrentPor-LH=40 unchanged'!D86+'CurrentPor-LH=40 unchanged'!H86)/100,2))*100</f>
        <v>9601.2395558122898</v>
      </c>
      <c r="E86">
        <f>(3/(1+('CurrentPor-LH=40 unchanged'!C86+'CurrentPor-LH=40 unchanged'!I86)/100)+103/POWER(1+('CurrentPor-LH=40 unchanged'!D86+'CurrentPor-LH=40 unchanged'!I86)/100,2))*100</f>
        <v>9579.6031360731467</v>
      </c>
      <c r="F86">
        <f>Portfolio!B$5*'CurrentPor-LH=40 unchanged'!E86</f>
        <v>52143.895533915893</v>
      </c>
      <c r="G86">
        <f>Portfolio!B$6*'CurrentPor-LH=40 unchanged'!F86</f>
        <v>3696.2945087936532</v>
      </c>
      <c r="H86">
        <f>Portfolio!B$7*'CurrentPor-LH=40 unchanged'!J86</f>
        <v>2148.0998964419859</v>
      </c>
      <c r="I86">
        <f t="shared" si="2"/>
        <v>96491.685766714145</v>
      </c>
      <c r="J86">
        <f t="shared" si="3"/>
        <v>-0.88686004653573036</v>
      </c>
    </row>
    <row r="87" spans="1:10">
      <c r="A87" s="1">
        <v>45590</v>
      </c>
      <c r="B87">
        <f>(3/(1+('CurrentPor-LH=40 unchanged'!C87)/100)+103/POWER(1+('CurrentPor-LH=40 unchanged'!D87)/100,2))*100</f>
        <v>9707.5857774288397</v>
      </c>
      <c r="C87">
        <f>(3/(1+('CurrentPor-LH=40 unchanged'!C87+'CurrentPor-LH=40 unchanged'!G87)/100)+103/POWER(1+('CurrentPor-LH=40 unchanged'!D87+'CurrentPor-LH=40 unchanged'!G87)/100,2))*100</f>
        <v>9614.9673582483465</v>
      </c>
      <c r="D87">
        <f>(3/(1+('CurrentPor-LH=40 unchanged'!C87+'CurrentPor-LH=40 unchanged'!H87)/100)+103/POWER(1+('CurrentPor-LH=40 unchanged'!D87+'CurrentPor-LH=40 unchanged'!H87)/100,2))*100</f>
        <v>9601.2395558122898</v>
      </c>
      <c r="E87">
        <f>(3/(1+('CurrentPor-LH=40 unchanged'!C87+'CurrentPor-LH=40 unchanged'!I87)/100)+103/POWER(1+('CurrentPor-LH=40 unchanged'!D87+'CurrentPor-LH=40 unchanged'!I87)/100,2))*100</f>
        <v>9581.3894498585178</v>
      </c>
      <c r="F87">
        <f>Portfolio!B$5*'CurrentPor-LH=40 unchanged'!E87</f>
        <v>52143.895533915893</v>
      </c>
      <c r="G87">
        <f>Portfolio!B$6*'CurrentPor-LH=40 unchanged'!F87</f>
        <v>3696.2945087936532</v>
      </c>
      <c r="H87">
        <f>Portfolio!B$7*'CurrentPor-LH=40 unchanged'!J87</f>
        <v>2148.0998964419859</v>
      </c>
      <c r="I87">
        <f t="shared" si="2"/>
        <v>96493.47208049953</v>
      </c>
      <c r="J87">
        <f t="shared" si="3"/>
        <v>-1.0062416504952125</v>
      </c>
    </row>
    <row r="88" spans="1:10">
      <c r="A88" s="1">
        <v>45593</v>
      </c>
      <c r="B88">
        <f>(3/(1+('CurrentPor-LH=40 unchanged'!C88)/100)+103/POWER(1+('CurrentPor-LH=40 unchanged'!D88)/100,2))*100</f>
        <v>9707.5857774288397</v>
      </c>
      <c r="C88">
        <f>(3/(1+('CurrentPor-LH=40 unchanged'!C88+'CurrentPor-LH=40 unchanged'!G88)/100)+103/POWER(1+('CurrentPor-LH=40 unchanged'!D88+'CurrentPor-LH=40 unchanged'!G88)/100,2))*100</f>
        <v>9614.9673582483465</v>
      </c>
      <c r="D88">
        <f>(3/(1+('CurrentPor-LH=40 unchanged'!C88+'CurrentPor-LH=40 unchanged'!H88)/100)+103/POWER(1+('CurrentPor-LH=40 unchanged'!D88+'CurrentPor-LH=40 unchanged'!H88)/100,2))*100</f>
        <v>9601.2395558122898</v>
      </c>
      <c r="E88">
        <f>(3/(1+('CurrentPor-LH=40 unchanged'!C88+'CurrentPor-LH=40 unchanged'!I88)/100)+103/POWER(1+('CurrentPor-LH=40 unchanged'!D88+'CurrentPor-LH=40 unchanged'!I88)/100,2))*100</f>
        <v>9580.9208248187424</v>
      </c>
      <c r="F88">
        <f>Portfolio!B$5*'CurrentPor-LH=40 unchanged'!E88</f>
        <v>52143.895533915893</v>
      </c>
      <c r="G88">
        <f>Portfolio!B$6*'CurrentPor-LH=40 unchanged'!F88</f>
        <v>3696.2945087936532</v>
      </c>
      <c r="H88">
        <f>Portfolio!B$7*'CurrentPor-LH=40 unchanged'!J88</f>
        <v>2148.0998964419859</v>
      </c>
      <c r="I88">
        <f t="shared" si="2"/>
        <v>96493.003455459751</v>
      </c>
      <c r="J88">
        <f t="shared" si="3"/>
        <v>1.5635693623626139</v>
      </c>
    </row>
    <row r="89" spans="1:10">
      <c r="A89" s="1">
        <v>45594</v>
      </c>
      <c r="B89">
        <f>(3/(1+('CurrentPor-LH=40 unchanged'!C89)/100)+103/POWER(1+('CurrentPor-LH=40 unchanged'!D89)/100,2))*100</f>
        <v>9707.5857774288397</v>
      </c>
      <c r="C89">
        <f>(3/(1+('CurrentPor-LH=40 unchanged'!C89+'CurrentPor-LH=40 unchanged'!G89)/100)+103/POWER(1+('CurrentPor-LH=40 unchanged'!D89+'CurrentPor-LH=40 unchanged'!G89)/100,2))*100</f>
        <v>9614.9673582483465</v>
      </c>
      <c r="D89">
        <f>(3/(1+('CurrentPor-LH=40 unchanged'!C89+'CurrentPor-LH=40 unchanged'!H89)/100)+103/POWER(1+('CurrentPor-LH=40 unchanged'!D89+'CurrentPor-LH=40 unchanged'!H89)/100,2))*100</f>
        <v>9601.2395558122898</v>
      </c>
      <c r="E89">
        <f>(3/(1+('CurrentPor-LH=40 unchanged'!C89+'CurrentPor-LH=40 unchanged'!I89)/100)+103/POWER(1+('CurrentPor-LH=40 unchanged'!D89+'CurrentPor-LH=40 unchanged'!I89)/100,2))*100</f>
        <v>9579.4920440728438</v>
      </c>
      <c r="F89">
        <f>Portfolio!B$5*'CurrentPor-LH=40 unchanged'!E89</f>
        <v>52143.895533915893</v>
      </c>
      <c r="G89">
        <f>Portfolio!B$6*'CurrentPor-LH=40 unchanged'!F89</f>
        <v>3696.2945087936532</v>
      </c>
      <c r="H89">
        <f>Portfolio!B$7*'CurrentPor-LH=40 unchanged'!J89</f>
        <v>2148.0998964419859</v>
      </c>
      <c r="I89">
        <f t="shared" si="2"/>
        <v>96491.574674713847</v>
      </c>
      <c r="J89">
        <f t="shared" si="3"/>
        <v>-0.51060594990849495</v>
      </c>
    </row>
    <row r="90" spans="1:10">
      <c r="A90" s="1">
        <v>45595</v>
      </c>
      <c r="B90">
        <f>(3/(1+('CurrentPor-LH=40 unchanged'!C90)/100)+103/POWER(1+('CurrentPor-LH=40 unchanged'!D90)/100,2))*100</f>
        <v>9707.5857774288397</v>
      </c>
      <c r="C90">
        <f>(3/(1+('CurrentPor-LH=40 unchanged'!C90+'CurrentPor-LH=40 unchanged'!G90)/100)+103/POWER(1+('CurrentPor-LH=40 unchanged'!D90+'CurrentPor-LH=40 unchanged'!G90)/100,2))*100</f>
        <v>9614.9673582483465</v>
      </c>
      <c r="D90">
        <f>(3/(1+('CurrentPor-LH=40 unchanged'!C90+'CurrentPor-LH=40 unchanged'!H90)/100)+103/POWER(1+('CurrentPor-LH=40 unchanged'!D90+'CurrentPor-LH=40 unchanged'!H90)/100,2))*100</f>
        <v>9601.2395558122898</v>
      </c>
      <c r="E90">
        <f>(3/(1+('CurrentPor-LH=40 unchanged'!C90+'CurrentPor-LH=40 unchanged'!I90)/100)+103/POWER(1+('CurrentPor-LH=40 unchanged'!D90+'CurrentPor-LH=40 unchanged'!I90)/100,2))*100</f>
        <v>9581.094488605384</v>
      </c>
      <c r="F90">
        <f>Portfolio!B$5*'CurrentPor-LH=40 unchanged'!E90</f>
        <v>52143.895533915893</v>
      </c>
      <c r="G90">
        <f>Portfolio!B$6*'CurrentPor-LH=40 unchanged'!F90</f>
        <v>3696.2945087936532</v>
      </c>
      <c r="H90">
        <f>Portfolio!B$7*'CurrentPor-LH=40 unchanged'!J90</f>
        <v>2148.0998964419859</v>
      </c>
      <c r="I90">
        <f t="shared" si="2"/>
        <v>96493.177119246393</v>
      </c>
      <c r="J90">
        <f t="shared" si="3"/>
        <v>-1.1667944889195496</v>
      </c>
    </row>
    <row r="91" spans="1:10">
      <c r="A91" s="1">
        <v>45596</v>
      </c>
      <c r="B91">
        <f>(3/(1+('CurrentPor-LH=40 unchanged'!C91)/100)+103/POWER(1+('CurrentPor-LH=40 unchanged'!D91)/100,2))*100</f>
        <v>9707.5857774288397</v>
      </c>
      <c r="C91">
        <f>(3/(1+('CurrentPor-LH=40 unchanged'!C91+'CurrentPor-LH=40 unchanged'!G91)/100)+103/POWER(1+('CurrentPor-LH=40 unchanged'!D91+'CurrentPor-LH=40 unchanged'!G91)/100,2))*100</f>
        <v>9614.9673582483465</v>
      </c>
      <c r="D91">
        <f>(3/(1+('CurrentPor-LH=40 unchanged'!C91+'CurrentPor-LH=40 unchanged'!H91)/100)+103/POWER(1+('CurrentPor-LH=40 unchanged'!D91+'CurrentPor-LH=40 unchanged'!H91)/100,2))*100</f>
        <v>9601.2395558122898</v>
      </c>
      <c r="E91">
        <f>(3/(1+('CurrentPor-LH=40 unchanged'!C91+'CurrentPor-LH=40 unchanged'!I91)/100)+103/POWER(1+('CurrentPor-LH=40 unchanged'!D91+'CurrentPor-LH=40 unchanged'!I91)/100,2))*100</f>
        <v>9581.9065970739757</v>
      </c>
      <c r="F91">
        <f>Portfolio!B$5*'CurrentPor-LH=40 unchanged'!E91</f>
        <v>52143.895533915893</v>
      </c>
      <c r="G91">
        <f>Portfolio!B$6*'CurrentPor-LH=40 unchanged'!F91</f>
        <v>3696.2945087936532</v>
      </c>
      <c r="H91">
        <f>Portfolio!B$7*'CurrentPor-LH=40 unchanged'!J91</f>
        <v>2148.0998964419859</v>
      </c>
      <c r="I91">
        <f t="shared" si="2"/>
        <v>96493.989227714992</v>
      </c>
      <c r="J91">
        <f t="shared" si="3"/>
        <v>0.96820803967420943</v>
      </c>
    </row>
    <row r="92" spans="1:10">
      <c r="A92" s="1">
        <v>45597</v>
      </c>
      <c r="B92">
        <f>(3/(1+('CurrentPor-LH=40 unchanged'!C92)/100)+103/POWER(1+('CurrentPor-LH=40 unchanged'!D92)/100,2))*100</f>
        <v>9707.5857774288397</v>
      </c>
      <c r="C92">
        <f>(3/(1+('CurrentPor-LH=40 unchanged'!C92+'CurrentPor-LH=40 unchanged'!G92)/100)+103/POWER(1+('CurrentPor-LH=40 unchanged'!D92+'CurrentPor-LH=40 unchanged'!G92)/100,2))*100</f>
        <v>9614.9673582483465</v>
      </c>
      <c r="D92">
        <f>(3/(1+('CurrentPor-LH=40 unchanged'!C92+'CurrentPor-LH=40 unchanged'!H92)/100)+103/POWER(1+('CurrentPor-LH=40 unchanged'!D92+'CurrentPor-LH=40 unchanged'!H92)/100,2))*100</f>
        <v>9601.2395558122898</v>
      </c>
      <c r="E92">
        <f>(3/(1+('CurrentPor-LH=40 unchanged'!C92+'CurrentPor-LH=40 unchanged'!I92)/100)+103/POWER(1+('CurrentPor-LH=40 unchanged'!D92+'CurrentPor-LH=40 unchanged'!I92)/100,2))*100</f>
        <v>9580.1562036505784</v>
      </c>
      <c r="F92">
        <f>Portfolio!B$5*'CurrentPor-LH=40 unchanged'!E92</f>
        <v>52143.895533915893</v>
      </c>
      <c r="G92">
        <f>Portfolio!B$6*'CurrentPor-LH=40 unchanged'!F92</f>
        <v>3696.2945087936532</v>
      </c>
      <c r="H92">
        <f>Portfolio!B$7*'CurrentPor-LH=40 unchanged'!J92</f>
        <v>2148.0998964419859</v>
      </c>
      <c r="I92">
        <f t="shared" si="2"/>
        <v>96492.238834291595</v>
      </c>
      <c r="J92">
        <f t="shared" si="3"/>
        <v>-0.20503493210708257</v>
      </c>
    </row>
    <row r="93" spans="1:10">
      <c r="A93" s="1">
        <v>45600</v>
      </c>
      <c r="B93">
        <f>(3/(1+('CurrentPor-LH=40 unchanged'!C93)/100)+103/POWER(1+('CurrentPor-LH=40 unchanged'!D93)/100,2))*100</f>
        <v>9707.5857774288397</v>
      </c>
      <c r="C93">
        <f>(3/(1+('CurrentPor-LH=40 unchanged'!C93+'CurrentPor-LH=40 unchanged'!G93)/100)+103/POWER(1+('CurrentPor-LH=40 unchanged'!D93+'CurrentPor-LH=40 unchanged'!G93)/100,2))*100</f>
        <v>9614.9673582483465</v>
      </c>
      <c r="D93">
        <f>(3/(1+('CurrentPor-LH=40 unchanged'!C93+'CurrentPor-LH=40 unchanged'!H93)/100)+103/POWER(1+('CurrentPor-LH=40 unchanged'!D93+'CurrentPor-LH=40 unchanged'!H93)/100,2))*100</f>
        <v>9601.2395558122898</v>
      </c>
      <c r="E93">
        <f>(3/(1+('CurrentPor-LH=40 unchanged'!C93+'CurrentPor-LH=40 unchanged'!I93)/100)+103/POWER(1+('CurrentPor-LH=40 unchanged'!D93+'CurrentPor-LH=40 unchanged'!I93)/100,2))*100</f>
        <v>9582.8382385454352</v>
      </c>
      <c r="F93">
        <f>Portfolio!B$5*'CurrentPor-LH=40 unchanged'!E93</f>
        <v>52143.895533915893</v>
      </c>
      <c r="G93">
        <f>Portfolio!B$6*'CurrentPor-LH=40 unchanged'!F93</f>
        <v>3696.2945087936532</v>
      </c>
      <c r="H93">
        <f>Portfolio!B$7*'CurrentPor-LH=40 unchanged'!J93</f>
        <v>2148.0998964419859</v>
      </c>
      <c r="I93">
        <f t="shared" si="2"/>
        <v>96494.920869186448</v>
      </c>
      <c r="J93">
        <f t="shared" si="3"/>
        <v>4.2038110849389341</v>
      </c>
    </row>
    <row r="94" spans="1:10">
      <c r="A94" s="1">
        <v>45601</v>
      </c>
      <c r="B94">
        <f>(3/(1+('CurrentPor-LH=40 unchanged'!C94)/100)+103/POWER(1+('CurrentPor-LH=40 unchanged'!D94)/100,2))*100</f>
        <v>9707.5857774288397</v>
      </c>
      <c r="C94">
        <f>(3/(1+('CurrentPor-LH=40 unchanged'!C94+'CurrentPor-LH=40 unchanged'!G94)/100)+103/POWER(1+('CurrentPor-LH=40 unchanged'!D94+'CurrentPor-LH=40 unchanged'!G94)/100,2))*100</f>
        <v>9614.9673582483465</v>
      </c>
      <c r="D94">
        <f>(3/(1+('CurrentPor-LH=40 unchanged'!C94+'CurrentPor-LH=40 unchanged'!H94)/100)+103/POWER(1+('CurrentPor-LH=40 unchanged'!D94+'CurrentPor-LH=40 unchanged'!H94)/100,2))*100</f>
        <v>9601.2395558122898</v>
      </c>
      <c r="E94">
        <f>(3/(1+('CurrentPor-LH=40 unchanged'!C94+'CurrentPor-LH=40 unchanged'!I94)/100)+103/POWER(1+('CurrentPor-LH=40 unchanged'!D94+'CurrentPor-LH=40 unchanged'!I94)/100,2))*100</f>
        <v>9581.8625517846067</v>
      </c>
      <c r="F94">
        <f>Portfolio!B$5*'CurrentPor-LH=40 unchanged'!E94</f>
        <v>52143.895533915893</v>
      </c>
      <c r="G94">
        <f>Portfolio!B$6*'CurrentPor-LH=40 unchanged'!F94</f>
        <v>3696.2945087936532</v>
      </c>
      <c r="H94">
        <f>Portfolio!B$7*'CurrentPor-LH=40 unchanged'!J94</f>
        <v>2148.0998964419859</v>
      </c>
      <c r="I94">
        <f t="shared" si="2"/>
        <v>96493.945182425625</v>
      </c>
      <c r="J94">
        <f t="shared" si="3"/>
        <v>-1.0422031999914907</v>
      </c>
    </row>
    <row r="95" spans="1:10">
      <c r="A95" s="1">
        <v>45602</v>
      </c>
      <c r="B95">
        <f>(3/(1+('CurrentPor-LH=40 unchanged'!C95)/100)+103/POWER(1+('CurrentPor-LH=40 unchanged'!D95)/100,2))*100</f>
        <v>9707.5857774288397</v>
      </c>
      <c r="C95">
        <f>(3/(1+('CurrentPor-LH=40 unchanged'!C95+'CurrentPor-LH=40 unchanged'!G95)/100)+103/POWER(1+('CurrentPor-LH=40 unchanged'!D95+'CurrentPor-LH=40 unchanged'!G95)/100,2))*100</f>
        <v>9614.9673582483465</v>
      </c>
      <c r="D95">
        <f>(3/(1+('CurrentPor-LH=40 unchanged'!C95+'CurrentPor-LH=40 unchanged'!H95)/100)+103/POWER(1+('CurrentPor-LH=40 unchanged'!D95+'CurrentPor-LH=40 unchanged'!H95)/100,2))*100</f>
        <v>9601.2395558122898</v>
      </c>
      <c r="E95">
        <f>(3/(1+('CurrentPor-LH=40 unchanged'!C95+'CurrentPor-LH=40 unchanged'!I95)/100)+103/POWER(1+('CurrentPor-LH=40 unchanged'!D95+'CurrentPor-LH=40 unchanged'!I95)/100,2))*100</f>
        <v>9581.526550283339</v>
      </c>
      <c r="F95">
        <f>Portfolio!B$5*'CurrentPor-LH=40 unchanged'!E95</f>
        <v>52143.895533915893</v>
      </c>
      <c r="G95">
        <f>Portfolio!B$6*'CurrentPor-LH=40 unchanged'!F95</f>
        <v>3696.2945087936532</v>
      </c>
      <c r="H95">
        <f>Portfolio!B$7*'CurrentPor-LH=40 unchanged'!J95</f>
        <v>2148.0998964419859</v>
      </c>
      <c r="I95">
        <f t="shared" si="2"/>
        <v>96493.609180924352</v>
      </c>
      <c r="J95">
        <f t="shared" si="3"/>
        <v>-1.1263298277626745</v>
      </c>
    </row>
    <row r="96" spans="1:10">
      <c r="A96" s="1">
        <v>45603</v>
      </c>
      <c r="B96">
        <f>(3/(1+('CurrentPor-LH=40 unchanged'!C96)/100)+103/POWER(1+('CurrentPor-LH=40 unchanged'!D96)/100,2))*100</f>
        <v>9707.5857774288397</v>
      </c>
      <c r="C96">
        <f>(3/(1+('CurrentPor-LH=40 unchanged'!C96+'CurrentPor-LH=40 unchanged'!G96)/100)+103/POWER(1+('CurrentPor-LH=40 unchanged'!D96+'CurrentPor-LH=40 unchanged'!G96)/100,2))*100</f>
        <v>9614.9673582483465</v>
      </c>
      <c r="D96">
        <f>(3/(1+('CurrentPor-LH=40 unchanged'!C96+'CurrentPor-LH=40 unchanged'!H96)/100)+103/POWER(1+('CurrentPor-LH=40 unchanged'!D96+'CurrentPor-LH=40 unchanged'!H96)/100,2))*100</f>
        <v>9601.2395558122898</v>
      </c>
      <c r="E96">
        <f>(3/(1+('CurrentPor-LH=40 unchanged'!C96+'CurrentPor-LH=40 unchanged'!I96)/100)+103/POWER(1+('CurrentPor-LH=40 unchanged'!D96+'CurrentPor-LH=40 unchanged'!I96)/100,2))*100</f>
        <v>9581.5408123538818</v>
      </c>
      <c r="F96">
        <f>Portfolio!B$5*'CurrentPor-LH=40 unchanged'!E96</f>
        <v>52143.895533915893</v>
      </c>
      <c r="G96">
        <f>Portfolio!B$6*'CurrentPor-LH=40 unchanged'!F96</f>
        <v>3696.2945087936532</v>
      </c>
      <c r="H96">
        <f>Portfolio!B$7*'CurrentPor-LH=40 unchanged'!J96</f>
        <v>2148.0998964419859</v>
      </c>
      <c r="I96">
        <f t="shared" si="2"/>
        <v>96493.623442994882</v>
      </c>
      <c r="J96">
        <f t="shared" si="3"/>
        <v>1.9376762807369232</v>
      </c>
    </row>
    <row r="97" spans="1:10">
      <c r="A97" s="1">
        <v>45604</v>
      </c>
      <c r="B97">
        <f>(3/(1+('CurrentPor-LH=40 unchanged'!C97)/100)+103/POWER(1+('CurrentPor-LH=40 unchanged'!D97)/100,2))*100</f>
        <v>9707.5857774288397</v>
      </c>
      <c r="C97">
        <f>(3/(1+('CurrentPor-LH=40 unchanged'!C97+'CurrentPor-LH=40 unchanged'!G97)/100)+103/POWER(1+('CurrentPor-LH=40 unchanged'!D97+'CurrentPor-LH=40 unchanged'!G97)/100,2))*100</f>
        <v>9614.9673582483465</v>
      </c>
      <c r="D97">
        <f>(3/(1+('CurrentPor-LH=40 unchanged'!C97+'CurrentPor-LH=40 unchanged'!H97)/100)+103/POWER(1+('CurrentPor-LH=40 unchanged'!D97+'CurrentPor-LH=40 unchanged'!H97)/100,2))*100</f>
        <v>9601.2395558122898</v>
      </c>
      <c r="E97">
        <f>(3/(1+('CurrentPor-LH=40 unchanged'!C97+'CurrentPor-LH=40 unchanged'!I97)/100)+103/POWER(1+('CurrentPor-LH=40 unchanged'!D97+'CurrentPor-LH=40 unchanged'!I97)/100,2))*100</f>
        <v>9579.2146384022835</v>
      </c>
      <c r="F97">
        <f>Portfolio!B$5*'CurrentPor-LH=40 unchanged'!E97</f>
        <v>52143.895533915893</v>
      </c>
      <c r="G97">
        <f>Portfolio!B$6*'CurrentPor-LH=40 unchanged'!F97</f>
        <v>3696.2945087936532</v>
      </c>
      <c r="H97">
        <f>Portfolio!B$7*'CurrentPor-LH=40 unchanged'!J97</f>
        <v>2148.0998964419859</v>
      </c>
      <c r="I97">
        <f t="shared" si="2"/>
        <v>96491.297269043294</v>
      </c>
      <c r="J97">
        <f t="shared" si="3"/>
        <v>-2.174811456236057</v>
      </c>
    </row>
    <row r="98" spans="1:10">
      <c r="A98" s="1">
        <v>45607</v>
      </c>
      <c r="B98">
        <f>(3/(1+('CurrentPor-LH=40 unchanged'!C98)/100)+103/POWER(1+('CurrentPor-LH=40 unchanged'!D98)/100,2))*100</f>
        <v>9707.5857774288397</v>
      </c>
      <c r="C98">
        <f>(3/(1+('CurrentPor-LH=40 unchanged'!C98+'CurrentPor-LH=40 unchanged'!G98)/100)+103/POWER(1+('CurrentPor-LH=40 unchanged'!D98+'CurrentPor-LH=40 unchanged'!G98)/100,2))*100</f>
        <v>9614.9673582483465</v>
      </c>
      <c r="D98">
        <f>(3/(1+('CurrentPor-LH=40 unchanged'!C98+'CurrentPor-LH=40 unchanged'!H98)/100)+103/POWER(1+('CurrentPor-LH=40 unchanged'!D98+'CurrentPor-LH=40 unchanged'!H98)/100,2))*100</f>
        <v>9601.2395558122898</v>
      </c>
      <c r="E98">
        <f>(3/(1+('CurrentPor-LH=40 unchanged'!C98+'CurrentPor-LH=40 unchanged'!I98)/100)+103/POWER(1+('CurrentPor-LH=40 unchanged'!D98+'CurrentPor-LH=40 unchanged'!I98)/100,2))*100</f>
        <v>9579.1718369813316</v>
      </c>
      <c r="F98">
        <f>Portfolio!B$5*'CurrentPor-LH=40 unchanged'!E98</f>
        <v>52143.895533915893</v>
      </c>
      <c r="G98">
        <f>Portfolio!B$6*'CurrentPor-LH=40 unchanged'!F98</f>
        <v>3696.2945087936532</v>
      </c>
      <c r="H98">
        <f>Portfolio!B$7*'CurrentPor-LH=40 unchanged'!J98</f>
        <v>2148.0998964419859</v>
      </c>
      <c r="I98">
        <f t="shared" si="2"/>
        <v>96491.254467622333</v>
      </c>
      <c r="J98">
        <f t="shared" si="3"/>
        <v>-1.7489878374180989</v>
      </c>
    </row>
    <row r="99" spans="1:10">
      <c r="A99" s="1">
        <v>45608</v>
      </c>
      <c r="B99">
        <f>(3/(1+('CurrentPor-LH=40 unchanged'!C99)/100)+103/POWER(1+('CurrentPor-LH=40 unchanged'!D99)/100,2))*100</f>
        <v>9707.5857774288397</v>
      </c>
      <c r="C99">
        <f>(3/(1+('CurrentPor-LH=40 unchanged'!C99+'CurrentPor-LH=40 unchanged'!G99)/100)+103/POWER(1+('CurrentPor-LH=40 unchanged'!D99+'CurrentPor-LH=40 unchanged'!G99)/100,2))*100</f>
        <v>9614.9673582483465</v>
      </c>
      <c r="D99">
        <f>(3/(1+('CurrentPor-LH=40 unchanged'!C99+'CurrentPor-LH=40 unchanged'!H99)/100)+103/POWER(1+('CurrentPor-LH=40 unchanged'!D99+'CurrentPor-LH=40 unchanged'!H99)/100,2))*100</f>
        <v>9601.2395558122898</v>
      </c>
      <c r="E99">
        <f>(3/(1+('CurrentPor-LH=40 unchanged'!C99+'CurrentPor-LH=40 unchanged'!I99)/100)+103/POWER(1+('CurrentPor-LH=40 unchanged'!D99+'CurrentPor-LH=40 unchanged'!I99)/100,2))*100</f>
        <v>9579.7257040427758</v>
      </c>
      <c r="F99">
        <f>Portfolio!B$5*'CurrentPor-LH=40 unchanged'!E99</f>
        <v>52143.895533915893</v>
      </c>
      <c r="G99">
        <f>Portfolio!B$6*'CurrentPor-LH=40 unchanged'!F99</f>
        <v>3696.2945087936532</v>
      </c>
      <c r="H99">
        <f>Portfolio!B$7*'CurrentPor-LH=40 unchanged'!J99</f>
        <v>2148.0998964419859</v>
      </c>
      <c r="I99">
        <f t="shared" si="2"/>
        <v>96491.808334683781</v>
      </c>
      <c r="J99">
        <f t="shared" si="3"/>
        <v>0.23365996993379667</v>
      </c>
    </row>
    <row r="100" spans="1:10">
      <c r="A100" s="1">
        <v>45609</v>
      </c>
      <c r="B100">
        <f>(3/(1+('CurrentPor-LH=40 unchanged'!C100)/100)+103/POWER(1+('CurrentPor-LH=40 unchanged'!D100)/100,2))*100</f>
        <v>9707.5857774288397</v>
      </c>
      <c r="C100">
        <f>(3/(1+('CurrentPor-LH=40 unchanged'!C100+'CurrentPor-LH=40 unchanged'!G100)/100)+103/POWER(1+('CurrentPor-LH=40 unchanged'!D100+'CurrentPor-LH=40 unchanged'!G100)/100,2))*100</f>
        <v>9614.9673582483465</v>
      </c>
      <c r="D100">
        <f>(3/(1+('CurrentPor-LH=40 unchanged'!C100+'CurrentPor-LH=40 unchanged'!H100)/100)+103/POWER(1+('CurrentPor-LH=40 unchanged'!D100+'CurrentPor-LH=40 unchanged'!H100)/100,2))*100</f>
        <v>9601.2395558122898</v>
      </c>
      <c r="E100">
        <f>(3/(1+('CurrentPor-LH=40 unchanged'!C100+'CurrentPor-LH=40 unchanged'!I100)/100)+103/POWER(1+('CurrentPor-LH=40 unchanged'!D100+'CurrentPor-LH=40 unchanged'!I100)/100,2))*100</f>
        <v>9580.1721860291091</v>
      </c>
      <c r="F100">
        <f>Portfolio!B$5*'CurrentPor-LH=40 unchanged'!E100</f>
        <v>52143.895533915893</v>
      </c>
      <c r="G100">
        <f>Portfolio!B$6*'CurrentPor-LH=40 unchanged'!F100</f>
        <v>3696.2945087936532</v>
      </c>
      <c r="H100">
        <f>Portfolio!B$7*'CurrentPor-LH=40 unchanged'!J100</f>
        <v>2148.0998964419859</v>
      </c>
      <c r="I100">
        <f t="shared" si="2"/>
        <v>96492.254816670116</v>
      </c>
      <c r="J100">
        <f t="shared" si="3"/>
        <v>-0.92230257627670653</v>
      </c>
    </row>
    <row r="101" spans="1:10">
      <c r="A101" s="1">
        <v>45610</v>
      </c>
      <c r="B101">
        <f>(3/(1+('CurrentPor-LH=40 unchanged'!C101)/100)+103/POWER(1+('CurrentPor-LH=40 unchanged'!D101)/100,2))*100</f>
        <v>9707.5857774288397</v>
      </c>
      <c r="C101">
        <f>(3/(1+('CurrentPor-LH=40 unchanged'!C101+'CurrentPor-LH=40 unchanged'!G101)/100)+103/POWER(1+('CurrentPor-LH=40 unchanged'!D101+'CurrentPor-LH=40 unchanged'!G101)/100,2))*100</f>
        <v>9614.9673582483465</v>
      </c>
      <c r="D101">
        <f>(3/(1+('CurrentPor-LH=40 unchanged'!C101+'CurrentPor-LH=40 unchanged'!H101)/100)+103/POWER(1+('CurrentPor-LH=40 unchanged'!D101+'CurrentPor-LH=40 unchanged'!H101)/100,2))*100</f>
        <v>9601.2395558122898</v>
      </c>
      <c r="E101">
        <f>(3/(1+('CurrentPor-LH=40 unchanged'!C101+'CurrentPor-LH=40 unchanged'!I101)/100)+103/POWER(1+('CurrentPor-LH=40 unchanged'!D101+'CurrentPor-LH=40 unchanged'!I101)/100,2))*100</f>
        <v>9579.3638022162249</v>
      </c>
      <c r="F101">
        <f>Portfolio!B$5*'CurrentPor-LH=40 unchanged'!E101</f>
        <v>52143.895533915893</v>
      </c>
      <c r="G101">
        <f>Portfolio!B$6*'CurrentPor-LH=40 unchanged'!F101</f>
        <v>3696.2945087936532</v>
      </c>
      <c r="H101">
        <f>Portfolio!B$7*'CurrentPor-LH=40 unchanged'!J101</f>
        <v>2148.0998964419859</v>
      </c>
      <c r="I101">
        <f t="shared" si="2"/>
        <v>96491.446432857236</v>
      </c>
      <c r="J101">
        <f t="shared" si="3"/>
        <v>-2.5427948577562347</v>
      </c>
    </row>
    <row r="102" spans="1:10">
      <c r="A102" s="1">
        <v>45611</v>
      </c>
      <c r="B102">
        <f>(3/(1+('CurrentPor-LH=40 unchanged'!C102)/100)+103/POWER(1+('CurrentPor-LH=40 unchanged'!D102)/100,2))*100</f>
        <v>9707.5857774288397</v>
      </c>
      <c r="C102">
        <f>(3/(1+('CurrentPor-LH=40 unchanged'!C102+'CurrentPor-LH=40 unchanged'!G102)/100)+103/POWER(1+('CurrentPor-LH=40 unchanged'!D102+'CurrentPor-LH=40 unchanged'!G102)/100,2))*100</f>
        <v>9614.9673582483465</v>
      </c>
      <c r="D102">
        <f>(3/(1+('CurrentPor-LH=40 unchanged'!C102+'CurrentPor-LH=40 unchanged'!H102)/100)+103/POWER(1+('CurrentPor-LH=40 unchanged'!D102+'CurrentPor-LH=40 unchanged'!H102)/100,2))*100</f>
        <v>9601.2395558122898</v>
      </c>
      <c r="E102">
        <f>(3/(1+('CurrentPor-LH=40 unchanged'!C102+'CurrentPor-LH=40 unchanged'!I102)/100)+103/POWER(1+('CurrentPor-LH=40 unchanged'!D102+'CurrentPor-LH=40 unchanged'!I102)/100,2))*100</f>
        <v>9581.4042787731596</v>
      </c>
      <c r="F102">
        <f>Portfolio!B$5*'CurrentPor-LH=40 unchanged'!E102</f>
        <v>52143.895533915893</v>
      </c>
      <c r="G102">
        <f>Portfolio!B$6*'CurrentPor-LH=40 unchanged'!F102</f>
        <v>3696.2945087936532</v>
      </c>
      <c r="H102">
        <f>Portfolio!B$7*'CurrentPor-LH=40 unchanged'!J102</f>
        <v>2148.0998964419859</v>
      </c>
      <c r="I102">
        <f t="shared" si="2"/>
        <v>96493.486909414161</v>
      </c>
      <c r="J102">
        <f t="shared" si="3"/>
        <v>1.2480751225666609</v>
      </c>
    </row>
    <row r="103" spans="1:10">
      <c r="A103" s="1">
        <v>45614</v>
      </c>
      <c r="B103">
        <f>(3/(1+('CurrentPor-LH=40 unchanged'!C103)/100)+103/POWER(1+('CurrentPor-LH=40 unchanged'!D103)/100,2))*100</f>
        <v>9707.5857774288397</v>
      </c>
      <c r="C103">
        <f>(3/(1+('CurrentPor-LH=40 unchanged'!C103+'CurrentPor-LH=40 unchanged'!G103)/100)+103/POWER(1+('CurrentPor-LH=40 unchanged'!D103+'CurrentPor-LH=40 unchanged'!G103)/100,2))*100</f>
        <v>9614.9673582483465</v>
      </c>
      <c r="D103">
        <f>(3/(1+('CurrentPor-LH=40 unchanged'!C103+'CurrentPor-LH=40 unchanged'!H103)/100)+103/POWER(1+('CurrentPor-LH=40 unchanged'!D103+'CurrentPor-LH=40 unchanged'!H103)/100,2))*100</f>
        <v>9601.2395558122898</v>
      </c>
      <c r="E103">
        <f>(3/(1+('CurrentPor-LH=40 unchanged'!C103+'CurrentPor-LH=40 unchanged'!I103)/100)+103/POWER(1+('CurrentPor-LH=40 unchanged'!D103+'CurrentPor-LH=40 unchanged'!I103)/100,2))*100</f>
        <v>9581.460767190023</v>
      </c>
      <c r="F103">
        <f>Portfolio!B$5*'CurrentPor-LH=40 unchanged'!E103</f>
        <v>52143.895533915893</v>
      </c>
      <c r="G103">
        <f>Portfolio!B$6*'CurrentPor-LH=40 unchanged'!F103</f>
        <v>3696.2945087936532</v>
      </c>
      <c r="H103">
        <f>Portfolio!B$7*'CurrentPor-LH=40 unchanged'!J103</f>
        <v>2148.0998964419859</v>
      </c>
      <c r="I103">
        <f t="shared" si="2"/>
        <v>96493.543397831032</v>
      </c>
      <c r="J103">
        <f t="shared" si="3"/>
        <v>-1.3774713554157643</v>
      </c>
    </row>
    <row r="104" spans="1:10">
      <c r="A104" s="1">
        <v>45615</v>
      </c>
      <c r="B104">
        <f>(3/(1+('CurrentPor-LH=40 unchanged'!C104)/100)+103/POWER(1+('CurrentPor-LH=40 unchanged'!D104)/100,2))*100</f>
        <v>9707.5857774288397</v>
      </c>
      <c r="C104">
        <f>(3/(1+('CurrentPor-LH=40 unchanged'!C104+'CurrentPor-LH=40 unchanged'!G104)/100)+103/POWER(1+('CurrentPor-LH=40 unchanged'!D104+'CurrentPor-LH=40 unchanged'!G104)/100,2))*100</f>
        <v>9614.9673582483465</v>
      </c>
      <c r="D104">
        <f>(3/(1+('CurrentPor-LH=40 unchanged'!C104+'CurrentPor-LH=40 unchanged'!H104)/100)+103/POWER(1+('CurrentPor-LH=40 unchanged'!D104+'CurrentPor-LH=40 unchanged'!H104)/100,2))*100</f>
        <v>9601.2395558122898</v>
      </c>
      <c r="E104">
        <f>(3/(1+('CurrentPor-LH=40 unchanged'!C104+'CurrentPor-LH=40 unchanged'!I104)/100)+103/POWER(1+('CurrentPor-LH=40 unchanged'!D104+'CurrentPor-LH=40 unchanged'!I104)/100,2))*100</f>
        <v>9579.3393049235619</v>
      </c>
      <c r="F104">
        <f>Portfolio!B$5*'CurrentPor-LH=40 unchanged'!E104</f>
        <v>52143.895533915893</v>
      </c>
      <c r="G104">
        <f>Portfolio!B$6*'CurrentPor-LH=40 unchanged'!F104</f>
        <v>3696.2945087936532</v>
      </c>
      <c r="H104">
        <f>Portfolio!B$7*'CurrentPor-LH=40 unchanged'!J104</f>
        <v>2148.0998964419859</v>
      </c>
      <c r="I104">
        <f t="shared" si="2"/>
        <v>96491.421935564562</v>
      </c>
      <c r="J104">
        <f t="shared" si="3"/>
        <v>-2.5232468610629439</v>
      </c>
    </row>
    <row r="105" spans="1:10">
      <c r="A105" s="1">
        <v>45616</v>
      </c>
      <c r="B105">
        <f>(3/(1+('CurrentPor-LH=40 unchanged'!C105)/100)+103/POWER(1+('CurrentPor-LH=40 unchanged'!D105)/100,2))*100</f>
        <v>9707.5857774288397</v>
      </c>
      <c r="C105">
        <f>(3/(1+('CurrentPor-LH=40 unchanged'!C105+'CurrentPor-LH=40 unchanged'!G105)/100)+103/POWER(1+('CurrentPor-LH=40 unchanged'!D105+'CurrentPor-LH=40 unchanged'!G105)/100,2))*100</f>
        <v>9614.9673582483465</v>
      </c>
      <c r="D105">
        <f>(3/(1+('CurrentPor-LH=40 unchanged'!C105+'CurrentPor-LH=40 unchanged'!H105)/100)+103/POWER(1+('CurrentPor-LH=40 unchanged'!D105+'CurrentPor-LH=40 unchanged'!H105)/100,2))*100</f>
        <v>9601.2395558122898</v>
      </c>
      <c r="E105">
        <f>(3/(1+('CurrentPor-LH=40 unchanged'!C105+'CurrentPor-LH=40 unchanged'!I105)/100)+103/POWER(1+('CurrentPor-LH=40 unchanged'!D105+'CurrentPor-LH=40 unchanged'!I105)/100,2))*100</f>
        <v>9582.5487325298491</v>
      </c>
      <c r="F105">
        <f>Portfolio!B$5*'CurrentPor-LH=40 unchanged'!E105</f>
        <v>52143.895533915893</v>
      </c>
      <c r="G105">
        <f>Portfolio!B$6*'CurrentPor-LH=40 unchanged'!F105</f>
        <v>3696.2945087936532</v>
      </c>
      <c r="H105">
        <f>Portfolio!B$7*'CurrentPor-LH=40 unchanged'!J105</f>
        <v>2148.0998964419859</v>
      </c>
      <c r="I105">
        <f t="shared" si="2"/>
        <v>96494.631363170847</v>
      </c>
      <c r="J105">
        <f t="shared" si="3"/>
        <v>1.0221822464955039</v>
      </c>
    </row>
    <row r="106" spans="1:10">
      <c r="A106" s="1">
        <v>45617</v>
      </c>
      <c r="B106">
        <f>(3/(1+('CurrentPor-LH=40 unchanged'!C106)/100)+103/POWER(1+('CurrentPor-LH=40 unchanged'!D106)/100,2))*100</f>
        <v>9707.5857774288397</v>
      </c>
      <c r="C106">
        <f>(3/(1+('CurrentPor-LH=40 unchanged'!C106+'CurrentPor-LH=40 unchanged'!G106)/100)+103/POWER(1+('CurrentPor-LH=40 unchanged'!D106+'CurrentPor-LH=40 unchanged'!G106)/100,2))*100</f>
        <v>9614.9673582483465</v>
      </c>
      <c r="D106">
        <f>(3/(1+('CurrentPor-LH=40 unchanged'!C106+'CurrentPor-LH=40 unchanged'!H106)/100)+103/POWER(1+('CurrentPor-LH=40 unchanged'!D106+'CurrentPor-LH=40 unchanged'!H106)/100,2))*100</f>
        <v>9601.2395558122898</v>
      </c>
      <c r="E106">
        <f>(3/(1+('CurrentPor-LH=40 unchanged'!C106+'CurrentPor-LH=40 unchanged'!I106)/100)+103/POWER(1+('CurrentPor-LH=40 unchanged'!D106+'CurrentPor-LH=40 unchanged'!I106)/100,2))*100</f>
        <v>9578.4108778118061</v>
      </c>
      <c r="F106">
        <f>Portfolio!B$5*'CurrentPor-LH=40 unchanged'!E106</f>
        <v>52143.895533915893</v>
      </c>
      <c r="G106">
        <f>Portfolio!B$6*'CurrentPor-LH=40 unchanged'!F106</f>
        <v>3696.2945087936532</v>
      </c>
      <c r="H106">
        <f>Portfolio!B$7*'CurrentPor-LH=40 unchanged'!J106</f>
        <v>2148.0998964419859</v>
      </c>
      <c r="I106">
        <f t="shared" si="2"/>
        <v>96490.493508452826</v>
      </c>
      <c r="J106">
        <f t="shared" si="3"/>
        <v>-3.1299345420557074</v>
      </c>
    </row>
    <row r="107" spans="1:10">
      <c r="A107" s="1">
        <v>45618</v>
      </c>
      <c r="B107">
        <f>(3/(1+('CurrentPor-LH=40 unchanged'!C107)/100)+103/POWER(1+('CurrentPor-LH=40 unchanged'!D107)/100,2))*100</f>
        <v>9707.5857774288397</v>
      </c>
      <c r="C107">
        <f>(3/(1+('CurrentPor-LH=40 unchanged'!C107+'CurrentPor-LH=40 unchanged'!G107)/100)+103/POWER(1+('CurrentPor-LH=40 unchanged'!D107+'CurrentPor-LH=40 unchanged'!G107)/100,2))*100</f>
        <v>9614.9673582483465</v>
      </c>
      <c r="D107">
        <f>(3/(1+('CurrentPor-LH=40 unchanged'!C107+'CurrentPor-LH=40 unchanged'!H107)/100)+103/POWER(1+('CurrentPor-LH=40 unchanged'!D107+'CurrentPor-LH=40 unchanged'!H107)/100,2))*100</f>
        <v>9601.2395558122898</v>
      </c>
      <c r="E107">
        <f>(3/(1+('CurrentPor-LH=40 unchanged'!C107+'CurrentPor-LH=40 unchanged'!I107)/100)+103/POWER(1+('CurrentPor-LH=40 unchanged'!D107+'CurrentPor-LH=40 unchanged'!I107)/100,2))*100</f>
        <v>9581.6823149198644</v>
      </c>
      <c r="F107">
        <f>Portfolio!B$5*'CurrentPor-LH=40 unchanged'!E107</f>
        <v>52143.895533915893</v>
      </c>
      <c r="G107">
        <f>Portfolio!B$6*'CurrentPor-LH=40 unchanged'!F107</f>
        <v>3696.2945087936532</v>
      </c>
      <c r="H107">
        <f>Portfolio!B$7*'CurrentPor-LH=40 unchanged'!J107</f>
        <v>2148.0998964419859</v>
      </c>
      <c r="I107">
        <f t="shared" si="2"/>
        <v>96493.764945560877</v>
      </c>
      <c r="J107">
        <f t="shared" si="3"/>
        <v>2.4676765175827313</v>
      </c>
    </row>
    <row r="108" spans="1:10">
      <c r="A108" s="1">
        <v>45621</v>
      </c>
      <c r="B108">
        <f>(3/(1+('CurrentPor-LH=40 unchanged'!C108)/100)+103/POWER(1+('CurrentPor-LH=40 unchanged'!D108)/100,2))*100</f>
        <v>9707.5857774288397</v>
      </c>
      <c r="C108">
        <f>(3/(1+('CurrentPor-LH=40 unchanged'!C108+'CurrentPor-LH=40 unchanged'!G108)/100)+103/POWER(1+('CurrentPor-LH=40 unchanged'!D108+'CurrentPor-LH=40 unchanged'!G108)/100,2))*100</f>
        <v>9614.9673582483465</v>
      </c>
      <c r="D108">
        <f>(3/(1+('CurrentPor-LH=40 unchanged'!C108+'CurrentPor-LH=40 unchanged'!H108)/100)+103/POWER(1+('CurrentPor-LH=40 unchanged'!D108+'CurrentPor-LH=40 unchanged'!H108)/100,2))*100</f>
        <v>9601.2395558122898</v>
      </c>
      <c r="E108">
        <f>(3/(1+('CurrentPor-LH=40 unchanged'!C108+'CurrentPor-LH=40 unchanged'!I108)/100)+103/POWER(1+('CurrentPor-LH=40 unchanged'!D108+'CurrentPor-LH=40 unchanged'!I108)/100,2))*100</f>
        <v>9580.3021025211638</v>
      </c>
      <c r="F108">
        <f>Portfolio!B$5*'CurrentPor-LH=40 unchanged'!E108</f>
        <v>52143.895533915893</v>
      </c>
      <c r="G108">
        <f>Portfolio!B$6*'CurrentPor-LH=40 unchanged'!F108</f>
        <v>3696.2945087936532</v>
      </c>
      <c r="H108">
        <f>Portfolio!B$7*'CurrentPor-LH=40 unchanged'!J108</f>
        <v>2148.0998964419859</v>
      </c>
      <c r="I108">
        <f t="shared" si="2"/>
        <v>96492.384733162166</v>
      </c>
      <c r="J108">
        <f t="shared" si="3"/>
        <v>1.1302655398321804</v>
      </c>
    </row>
    <row r="109" spans="1:10">
      <c r="A109" s="1">
        <v>45622</v>
      </c>
      <c r="B109">
        <f>(3/(1+('CurrentPor-LH=40 unchanged'!C109)/100)+103/POWER(1+('CurrentPor-LH=40 unchanged'!D109)/100,2))*100</f>
        <v>9707.5857774288397</v>
      </c>
      <c r="C109">
        <f>(3/(1+('CurrentPor-LH=40 unchanged'!C109+'CurrentPor-LH=40 unchanged'!G109)/100)+103/POWER(1+('CurrentPor-LH=40 unchanged'!D109+'CurrentPor-LH=40 unchanged'!G109)/100,2))*100</f>
        <v>9614.9673582483465</v>
      </c>
      <c r="D109">
        <f>(3/(1+('CurrentPor-LH=40 unchanged'!C109+'CurrentPor-LH=40 unchanged'!H109)/100)+103/POWER(1+('CurrentPor-LH=40 unchanged'!D109+'CurrentPor-LH=40 unchanged'!H109)/100,2))*100</f>
        <v>9601.2395558122898</v>
      </c>
      <c r="E109">
        <f>(3/(1+('CurrentPor-LH=40 unchanged'!C109+'CurrentPor-LH=40 unchanged'!I109)/100)+103/POWER(1+('CurrentPor-LH=40 unchanged'!D109+'CurrentPor-LH=40 unchanged'!I109)/100,2))*100</f>
        <v>9580.2687932720055</v>
      </c>
      <c r="F109">
        <f>Portfolio!B$5*'CurrentPor-LH=40 unchanged'!E109</f>
        <v>52143.895533915893</v>
      </c>
      <c r="G109">
        <f>Portfolio!B$6*'CurrentPor-LH=40 unchanged'!F109</f>
        <v>3696.2945087936532</v>
      </c>
      <c r="H109">
        <f>Portfolio!B$7*'CurrentPor-LH=40 unchanged'!J109</f>
        <v>2148.0998964419859</v>
      </c>
      <c r="I109">
        <f t="shared" si="2"/>
        <v>96492.351423913016</v>
      </c>
      <c r="J109">
        <f t="shared" si="3"/>
        <v>0.54308922923519276</v>
      </c>
    </row>
    <row r="110" spans="1:10">
      <c r="A110" s="1">
        <v>45623</v>
      </c>
      <c r="B110">
        <f>(3/(1+('CurrentPor-LH=40 unchanged'!C110)/100)+103/POWER(1+('CurrentPor-LH=40 unchanged'!D110)/100,2))*100</f>
        <v>9707.5857774288397</v>
      </c>
      <c r="C110">
        <f>(3/(1+('CurrentPor-LH=40 unchanged'!C110+'CurrentPor-LH=40 unchanged'!G110)/100)+103/POWER(1+('CurrentPor-LH=40 unchanged'!D110+'CurrentPor-LH=40 unchanged'!G110)/100,2))*100</f>
        <v>9614.9673582483465</v>
      </c>
      <c r="D110">
        <f>(3/(1+('CurrentPor-LH=40 unchanged'!C110+'CurrentPor-LH=40 unchanged'!H110)/100)+103/POWER(1+('CurrentPor-LH=40 unchanged'!D110+'CurrentPor-LH=40 unchanged'!H110)/100,2))*100</f>
        <v>9601.2395558122898</v>
      </c>
      <c r="E110">
        <f>(3/(1+('CurrentPor-LH=40 unchanged'!C110+'CurrentPor-LH=40 unchanged'!I110)/100)+103/POWER(1+('CurrentPor-LH=40 unchanged'!D110+'CurrentPor-LH=40 unchanged'!I110)/100,2))*100</f>
        <v>9580.247029161148</v>
      </c>
      <c r="F110">
        <f>Portfolio!B$5*'CurrentPor-LH=40 unchanged'!E110</f>
        <v>52143.895533915893</v>
      </c>
      <c r="G110">
        <f>Portfolio!B$6*'CurrentPor-LH=40 unchanged'!F110</f>
        <v>3696.2945087936532</v>
      </c>
      <c r="H110">
        <f>Portfolio!B$7*'CurrentPor-LH=40 unchanged'!J110</f>
        <v>2148.0998964419859</v>
      </c>
      <c r="I110">
        <f t="shared" si="2"/>
        <v>96492.329659802155</v>
      </c>
      <c r="J110">
        <f t="shared" si="3"/>
        <v>7.4843132038949989E-2</v>
      </c>
    </row>
    <row r="111" spans="1:10">
      <c r="A111" s="1">
        <v>45624</v>
      </c>
      <c r="B111">
        <f>(3/(1+('CurrentPor-LH=40 unchanged'!C111)/100)+103/POWER(1+('CurrentPor-LH=40 unchanged'!D111)/100,2))*100</f>
        <v>9707.5857774288397</v>
      </c>
      <c r="C111">
        <f>(3/(1+('CurrentPor-LH=40 unchanged'!C111+'CurrentPor-LH=40 unchanged'!G111)/100)+103/POWER(1+('CurrentPor-LH=40 unchanged'!D111+'CurrentPor-LH=40 unchanged'!G111)/100,2))*100</f>
        <v>9614.9673582483465</v>
      </c>
      <c r="D111">
        <f>(3/(1+('CurrentPor-LH=40 unchanged'!C111+'CurrentPor-LH=40 unchanged'!H111)/100)+103/POWER(1+('CurrentPor-LH=40 unchanged'!D111+'CurrentPor-LH=40 unchanged'!H111)/100,2))*100</f>
        <v>9601.2395558122898</v>
      </c>
      <c r="E111">
        <f>(3/(1+('CurrentPor-LH=40 unchanged'!C111+'CurrentPor-LH=40 unchanged'!I111)/100)+103/POWER(1+('CurrentPor-LH=40 unchanged'!D111+'CurrentPor-LH=40 unchanged'!I111)/100,2))*100</f>
        <v>9580.5595188750722</v>
      </c>
      <c r="F111">
        <f>Portfolio!B$5*'CurrentPor-LH=40 unchanged'!E111</f>
        <v>52143.895533915893</v>
      </c>
      <c r="G111">
        <f>Portfolio!B$6*'CurrentPor-LH=40 unchanged'!F111</f>
        <v>3696.2945087936532</v>
      </c>
      <c r="H111">
        <f>Portfolio!B$7*'CurrentPor-LH=40 unchanged'!J111</f>
        <v>2148.0998964419859</v>
      </c>
      <c r="I111">
        <f t="shared" si="2"/>
        <v>96492.642149516076</v>
      </c>
      <c r="J111">
        <f t="shared" si="3"/>
        <v>1.1957166588399559</v>
      </c>
    </row>
    <row r="112" spans="1:10">
      <c r="A112" s="1">
        <v>45625</v>
      </c>
      <c r="B112">
        <f>(3/(1+('CurrentPor-LH=40 unchanged'!C112)/100)+103/POWER(1+('CurrentPor-LH=40 unchanged'!D112)/100,2))*100</f>
        <v>9707.5857774288397</v>
      </c>
      <c r="C112">
        <f>(3/(1+('CurrentPor-LH=40 unchanged'!C112+'CurrentPor-LH=40 unchanged'!G112)/100)+103/POWER(1+('CurrentPor-LH=40 unchanged'!D112+'CurrentPor-LH=40 unchanged'!G112)/100,2))*100</f>
        <v>9614.9673582483465</v>
      </c>
      <c r="D112">
        <f>(3/(1+('CurrentPor-LH=40 unchanged'!C112+'CurrentPor-LH=40 unchanged'!H112)/100)+103/POWER(1+('CurrentPor-LH=40 unchanged'!D112+'CurrentPor-LH=40 unchanged'!H112)/100,2))*100</f>
        <v>9601.2395558122898</v>
      </c>
      <c r="E112">
        <f>(3/(1+('CurrentPor-LH=40 unchanged'!C112+'CurrentPor-LH=40 unchanged'!I112)/100)+103/POWER(1+('CurrentPor-LH=40 unchanged'!D112+'CurrentPor-LH=40 unchanged'!I112)/100,2))*100</f>
        <v>9580.2757300834273</v>
      </c>
      <c r="F112">
        <f>Portfolio!B$5*'CurrentPor-LH=40 unchanged'!E112</f>
        <v>52143.895533915893</v>
      </c>
      <c r="G112">
        <f>Portfolio!B$6*'CurrentPor-LH=40 unchanged'!F112</f>
        <v>3696.2945087936532</v>
      </c>
      <c r="H112">
        <f>Portfolio!B$7*'CurrentPor-LH=40 unchanged'!J112</f>
        <v>2148.0998964419859</v>
      </c>
      <c r="I112">
        <f t="shared" si="2"/>
        <v>96492.358360724436</v>
      </c>
      <c r="J112">
        <f t="shared" si="3"/>
        <v>-1.1285486897249939</v>
      </c>
    </row>
    <row r="113" spans="1:10">
      <c r="A113" s="1">
        <v>45628</v>
      </c>
      <c r="B113">
        <f>(3/(1+('CurrentPor-LH=40 unchanged'!C113)/100)+103/POWER(1+('CurrentPor-LH=40 unchanged'!D113)/100,2))*100</f>
        <v>9707.5857774288397</v>
      </c>
      <c r="C113">
        <f>(3/(1+('CurrentPor-LH=40 unchanged'!C113+'CurrentPor-LH=40 unchanged'!G113)/100)+103/POWER(1+('CurrentPor-LH=40 unchanged'!D113+'CurrentPor-LH=40 unchanged'!G113)/100,2))*100</f>
        <v>9614.9673582483465</v>
      </c>
      <c r="D113">
        <f>(3/(1+('CurrentPor-LH=40 unchanged'!C113+'CurrentPor-LH=40 unchanged'!H113)/100)+103/POWER(1+('CurrentPor-LH=40 unchanged'!D113+'CurrentPor-LH=40 unchanged'!H113)/100,2))*100</f>
        <v>9601.2395558122898</v>
      </c>
      <c r="E113">
        <f>(3/(1+('CurrentPor-LH=40 unchanged'!C113+'CurrentPor-LH=40 unchanged'!I113)/100)+103/POWER(1+('CurrentPor-LH=40 unchanged'!D113+'CurrentPor-LH=40 unchanged'!I113)/100,2))*100</f>
        <v>9580.9620001401818</v>
      </c>
      <c r="F113">
        <f>Portfolio!B$5*'CurrentPor-LH=40 unchanged'!E113</f>
        <v>52143.895533915893</v>
      </c>
      <c r="G113">
        <f>Portfolio!B$6*'CurrentPor-LH=40 unchanged'!F113</f>
        <v>3696.2945087936532</v>
      </c>
      <c r="H113">
        <f>Portfolio!B$7*'CurrentPor-LH=40 unchanged'!J113</f>
        <v>2148.0998964419859</v>
      </c>
      <c r="I113">
        <f t="shared" si="2"/>
        <v>96493.04463078118</v>
      </c>
      <c r="J113">
        <f t="shared" si="3"/>
        <v>-0.49876704985217657</v>
      </c>
    </row>
    <row r="114" spans="1:10">
      <c r="A114" s="1">
        <v>45629</v>
      </c>
      <c r="B114">
        <f>(3/(1+('CurrentPor-LH=40 unchanged'!C114)/100)+103/POWER(1+('CurrentPor-LH=40 unchanged'!D114)/100,2))*100</f>
        <v>9707.5857774288397</v>
      </c>
      <c r="C114">
        <f>(3/(1+('CurrentPor-LH=40 unchanged'!C114+'CurrentPor-LH=40 unchanged'!G114)/100)+103/POWER(1+('CurrentPor-LH=40 unchanged'!D114+'CurrentPor-LH=40 unchanged'!G114)/100,2))*100</f>
        <v>9614.9673582483465</v>
      </c>
      <c r="D114">
        <f>(3/(1+('CurrentPor-LH=40 unchanged'!C114+'CurrentPor-LH=40 unchanged'!H114)/100)+103/POWER(1+('CurrentPor-LH=40 unchanged'!D114+'CurrentPor-LH=40 unchanged'!H114)/100,2))*100</f>
        <v>9601.2395558122898</v>
      </c>
      <c r="E114">
        <f>(3/(1+('CurrentPor-LH=40 unchanged'!C114+'CurrentPor-LH=40 unchanged'!I114)/100)+103/POWER(1+('CurrentPor-LH=40 unchanged'!D114+'CurrentPor-LH=40 unchanged'!I114)/100,2))*100</f>
        <v>9580.7699175281105</v>
      </c>
      <c r="F114">
        <f>Portfolio!B$5*'CurrentPor-LH=40 unchanged'!E114</f>
        <v>52143.895533915893</v>
      </c>
      <c r="G114">
        <f>Portfolio!B$6*'CurrentPor-LH=40 unchanged'!F114</f>
        <v>3696.2945087936532</v>
      </c>
      <c r="H114">
        <f>Portfolio!B$7*'CurrentPor-LH=40 unchanged'!J114</f>
        <v>2148.0998964419859</v>
      </c>
      <c r="I114">
        <f t="shared" si="2"/>
        <v>96492.852548169118</v>
      </c>
      <c r="J114">
        <f t="shared" si="3"/>
        <v>1.4306126045557903</v>
      </c>
    </row>
    <row r="115" spans="1:10">
      <c r="A115" s="1">
        <v>45630</v>
      </c>
      <c r="B115">
        <f>(3/(1+('CurrentPor-LH=40 unchanged'!C115)/100)+103/POWER(1+('CurrentPor-LH=40 unchanged'!D115)/100,2))*100</f>
        <v>9707.5857774288397</v>
      </c>
      <c r="C115">
        <f>(3/(1+('CurrentPor-LH=40 unchanged'!C115+'CurrentPor-LH=40 unchanged'!G115)/100)+103/POWER(1+('CurrentPor-LH=40 unchanged'!D115+'CurrentPor-LH=40 unchanged'!G115)/100,2))*100</f>
        <v>9614.9673582483465</v>
      </c>
      <c r="D115">
        <f>(3/(1+('CurrentPor-LH=40 unchanged'!C115+'CurrentPor-LH=40 unchanged'!H115)/100)+103/POWER(1+('CurrentPor-LH=40 unchanged'!D115+'CurrentPor-LH=40 unchanged'!H115)/100,2))*100</f>
        <v>9601.2395558122898</v>
      </c>
      <c r="E115">
        <f>(3/(1+('CurrentPor-LH=40 unchanged'!C115+'CurrentPor-LH=40 unchanged'!I115)/100)+103/POWER(1+('CurrentPor-LH=40 unchanged'!D115+'CurrentPor-LH=40 unchanged'!I115)/100,2))*100</f>
        <v>9579.290936942909</v>
      </c>
      <c r="F115">
        <f>Portfolio!B$5*'CurrentPor-LH=40 unchanged'!E115</f>
        <v>52143.895533915893</v>
      </c>
      <c r="G115">
        <f>Portfolio!B$6*'CurrentPor-LH=40 unchanged'!F115</f>
        <v>3696.2945087936532</v>
      </c>
      <c r="H115">
        <f>Portfolio!B$7*'CurrentPor-LH=40 unchanged'!J115</f>
        <v>2148.0998964419859</v>
      </c>
      <c r="I115">
        <f t="shared" si="2"/>
        <v>96491.373567583927</v>
      </c>
      <c r="J115">
        <f t="shared" si="3"/>
        <v>-3.2577955869201105</v>
      </c>
    </row>
    <row r="116" spans="1:10">
      <c r="A116" s="1">
        <v>45631</v>
      </c>
      <c r="B116">
        <f>(3/(1+('CurrentPor-LH=40 unchanged'!C116)/100)+103/POWER(1+('CurrentPor-LH=40 unchanged'!D116)/100,2))*100</f>
        <v>9707.5857774288397</v>
      </c>
      <c r="C116">
        <f>(3/(1+('CurrentPor-LH=40 unchanged'!C116+'CurrentPor-LH=40 unchanged'!G116)/100)+103/POWER(1+('CurrentPor-LH=40 unchanged'!D116+'CurrentPor-LH=40 unchanged'!G116)/100,2))*100</f>
        <v>9614.9673582483465</v>
      </c>
      <c r="D116">
        <f>(3/(1+('CurrentPor-LH=40 unchanged'!C116+'CurrentPor-LH=40 unchanged'!H116)/100)+103/POWER(1+('CurrentPor-LH=40 unchanged'!D116+'CurrentPor-LH=40 unchanged'!H116)/100,2))*100</f>
        <v>9601.2395558122898</v>
      </c>
      <c r="E116">
        <f>(3/(1+('CurrentPor-LH=40 unchanged'!C116+'CurrentPor-LH=40 unchanged'!I116)/100)+103/POWER(1+('CurrentPor-LH=40 unchanged'!D116+'CurrentPor-LH=40 unchanged'!I116)/100,2))*100</f>
        <v>9580.8857283619127</v>
      </c>
      <c r="F116">
        <f>Portfolio!B$5*'CurrentPor-LH=40 unchanged'!E116</f>
        <v>52143.895533915893</v>
      </c>
      <c r="G116">
        <f>Portfolio!B$6*'CurrentPor-LH=40 unchanged'!F116</f>
        <v>3696.2945087936532</v>
      </c>
      <c r="H116">
        <f>Portfolio!B$7*'CurrentPor-LH=40 unchanged'!J116</f>
        <v>2148.0998964419859</v>
      </c>
      <c r="I116">
        <f t="shared" si="2"/>
        <v>96492.968359002916</v>
      </c>
      <c r="J116">
        <f t="shared" si="3"/>
        <v>2.4748505500901956</v>
      </c>
    </row>
    <row r="117" spans="1:10">
      <c r="A117" s="1">
        <v>45632</v>
      </c>
      <c r="B117">
        <f>(3/(1+('CurrentPor-LH=40 unchanged'!C117)/100)+103/POWER(1+('CurrentPor-LH=40 unchanged'!D117)/100,2))*100</f>
        <v>9707.5857774288397</v>
      </c>
      <c r="C117">
        <f>(3/(1+('CurrentPor-LH=40 unchanged'!C117+'CurrentPor-LH=40 unchanged'!G117)/100)+103/POWER(1+('CurrentPor-LH=40 unchanged'!D117+'CurrentPor-LH=40 unchanged'!G117)/100,2))*100</f>
        <v>9614.9673582483465</v>
      </c>
      <c r="D117">
        <f>(3/(1+('CurrentPor-LH=40 unchanged'!C117+'CurrentPor-LH=40 unchanged'!H117)/100)+103/POWER(1+('CurrentPor-LH=40 unchanged'!D117+'CurrentPor-LH=40 unchanged'!H117)/100,2))*100</f>
        <v>9601.2395558122898</v>
      </c>
      <c r="E117">
        <f>(3/(1+('CurrentPor-LH=40 unchanged'!C117+'CurrentPor-LH=40 unchanged'!I117)/100)+103/POWER(1+('CurrentPor-LH=40 unchanged'!D117+'CurrentPor-LH=40 unchanged'!I117)/100,2))*100</f>
        <v>9581.2428232433667</v>
      </c>
      <c r="F117">
        <f>Portfolio!B$5*'CurrentPor-LH=40 unchanged'!E117</f>
        <v>52143.895533915893</v>
      </c>
      <c r="G117">
        <f>Portfolio!B$6*'CurrentPor-LH=40 unchanged'!F117</f>
        <v>3696.2945087936532</v>
      </c>
      <c r="H117">
        <f>Portfolio!B$7*'CurrentPor-LH=40 unchanged'!J117</f>
        <v>2148.0998964419859</v>
      </c>
      <c r="I117">
        <f t="shared" si="2"/>
        <v>96493.325453884376</v>
      </c>
      <c r="J117">
        <f t="shared" si="3"/>
        <v>-0.43949167650134768</v>
      </c>
    </row>
    <row r="118" spans="1:10">
      <c r="A118" s="1">
        <v>45635</v>
      </c>
      <c r="B118">
        <f>(3/(1+('CurrentPor-LH=40 unchanged'!C118)/100)+103/POWER(1+('CurrentPor-LH=40 unchanged'!D118)/100,2))*100</f>
        <v>9707.5857774288397</v>
      </c>
      <c r="C118">
        <f>(3/(1+('CurrentPor-LH=40 unchanged'!C118+'CurrentPor-LH=40 unchanged'!G118)/100)+103/POWER(1+('CurrentPor-LH=40 unchanged'!D118+'CurrentPor-LH=40 unchanged'!G118)/100,2))*100</f>
        <v>9614.9673582483465</v>
      </c>
      <c r="D118">
        <f>(3/(1+('CurrentPor-LH=40 unchanged'!C118+'CurrentPor-LH=40 unchanged'!H118)/100)+103/POWER(1+('CurrentPor-LH=40 unchanged'!D118+'CurrentPor-LH=40 unchanged'!H118)/100,2))*100</f>
        <v>9601.2395558122898</v>
      </c>
      <c r="E118">
        <f>(3/(1+('CurrentPor-LH=40 unchanged'!C118+'CurrentPor-LH=40 unchanged'!I118)/100)+103/POWER(1+('CurrentPor-LH=40 unchanged'!D118+'CurrentPor-LH=40 unchanged'!I118)/100,2))*100</f>
        <v>9580.6542129293412</v>
      </c>
      <c r="F118">
        <f>Portfolio!B$5*'CurrentPor-LH=40 unchanged'!E118</f>
        <v>52143.895533915893</v>
      </c>
      <c r="G118">
        <f>Portfolio!B$6*'CurrentPor-LH=40 unchanged'!F118</f>
        <v>3696.2945087936532</v>
      </c>
      <c r="H118">
        <f>Portfolio!B$7*'CurrentPor-LH=40 unchanged'!J118</f>
        <v>2148.0998964419859</v>
      </c>
      <c r="I118">
        <f t="shared" si="2"/>
        <v>96492.736843570354</v>
      </c>
      <c r="J118">
        <f t="shared" si="3"/>
        <v>0.35211040818830952</v>
      </c>
    </row>
    <row r="119" spans="1:10">
      <c r="A119" s="1">
        <v>45636</v>
      </c>
      <c r="B119">
        <f>(3/(1+('CurrentPor-LH=40 unchanged'!C119)/100)+103/POWER(1+('CurrentPor-LH=40 unchanged'!D119)/100,2))*100</f>
        <v>9707.5857774288397</v>
      </c>
      <c r="C119">
        <f>(3/(1+('CurrentPor-LH=40 unchanged'!C119+'CurrentPor-LH=40 unchanged'!G119)/100)+103/POWER(1+('CurrentPor-LH=40 unchanged'!D119+'CurrentPor-LH=40 unchanged'!G119)/100,2))*100</f>
        <v>9614.9673582483465</v>
      </c>
      <c r="D119">
        <f>(3/(1+('CurrentPor-LH=40 unchanged'!C119+'CurrentPor-LH=40 unchanged'!H119)/100)+103/POWER(1+('CurrentPor-LH=40 unchanged'!D119+'CurrentPor-LH=40 unchanged'!H119)/100,2))*100</f>
        <v>9601.2395558122898</v>
      </c>
      <c r="E119">
        <f>(3/(1+('CurrentPor-LH=40 unchanged'!C119+'CurrentPor-LH=40 unchanged'!I119)/100)+103/POWER(1+('CurrentPor-LH=40 unchanged'!D119+'CurrentPor-LH=40 unchanged'!I119)/100,2))*100</f>
        <v>9580.3564694755823</v>
      </c>
      <c r="F119">
        <f>Portfolio!B$5*'CurrentPor-LH=40 unchanged'!E119</f>
        <v>52143.895533915893</v>
      </c>
      <c r="G119">
        <f>Portfolio!B$6*'CurrentPor-LH=40 unchanged'!F119</f>
        <v>3696.2945087936532</v>
      </c>
      <c r="H119">
        <f>Portfolio!B$7*'CurrentPor-LH=40 unchanged'!J119</f>
        <v>2148.0998964419859</v>
      </c>
      <c r="I119">
        <f t="shared" si="2"/>
        <v>96492.439100116593</v>
      </c>
      <c r="J119">
        <f t="shared" si="3"/>
        <v>8.7676203576847911E-2</v>
      </c>
    </row>
    <row r="120" spans="1:10">
      <c r="A120" s="1">
        <v>45637</v>
      </c>
      <c r="B120">
        <f>(3/(1+('CurrentPor-LH=40 unchanged'!C120)/100)+103/POWER(1+('CurrentPor-LH=40 unchanged'!D120)/100,2))*100</f>
        <v>9707.5857774288397</v>
      </c>
      <c r="C120">
        <f>(3/(1+('CurrentPor-LH=40 unchanged'!C120+'CurrentPor-LH=40 unchanged'!G120)/100)+103/POWER(1+('CurrentPor-LH=40 unchanged'!D120+'CurrentPor-LH=40 unchanged'!G120)/100,2))*100</f>
        <v>9614.9673582483465</v>
      </c>
      <c r="D120">
        <f>(3/(1+('CurrentPor-LH=40 unchanged'!C120+'CurrentPor-LH=40 unchanged'!H120)/100)+103/POWER(1+('CurrentPor-LH=40 unchanged'!D120+'CurrentPor-LH=40 unchanged'!H120)/100,2))*100</f>
        <v>9601.2395558122898</v>
      </c>
      <c r="E120">
        <f>(3/(1+('CurrentPor-LH=40 unchanged'!C120+'CurrentPor-LH=40 unchanged'!I120)/100)+103/POWER(1+('CurrentPor-LH=40 unchanged'!D120+'CurrentPor-LH=40 unchanged'!I120)/100,2))*100</f>
        <v>9580.5475670242795</v>
      </c>
      <c r="F120">
        <f>Portfolio!B$5*'CurrentPor-LH=40 unchanged'!E120</f>
        <v>52143.895533915893</v>
      </c>
      <c r="G120">
        <f>Portfolio!B$6*'CurrentPor-LH=40 unchanged'!F120</f>
        <v>3696.2945087936532</v>
      </c>
      <c r="H120">
        <f>Portfolio!B$7*'CurrentPor-LH=40 unchanged'!J120</f>
        <v>2148.0998964419859</v>
      </c>
      <c r="I120">
        <f t="shared" si="2"/>
        <v>96492.63019766529</v>
      </c>
      <c r="J120">
        <f t="shared" si="3"/>
        <v>0.300537863135105</v>
      </c>
    </row>
    <row r="121" spans="1:10">
      <c r="A121" s="1">
        <v>45638</v>
      </c>
      <c r="B121">
        <f>(3/(1+('CurrentPor-LH=40 unchanged'!C121)/100)+103/POWER(1+('CurrentPor-LH=40 unchanged'!D121)/100,2))*100</f>
        <v>9707.5857774288397</v>
      </c>
      <c r="C121">
        <f>(3/(1+('CurrentPor-LH=40 unchanged'!C121+'CurrentPor-LH=40 unchanged'!G121)/100)+103/POWER(1+('CurrentPor-LH=40 unchanged'!D121+'CurrentPor-LH=40 unchanged'!G121)/100,2))*100</f>
        <v>9614.9673582483465</v>
      </c>
      <c r="D121">
        <f>(3/(1+('CurrentPor-LH=40 unchanged'!C121+'CurrentPor-LH=40 unchanged'!H121)/100)+103/POWER(1+('CurrentPor-LH=40 unchanged'!D121+'CurrentPor-LH=40 unchanged'!H121)/100,2))*100</f>
        <v>9601.2395558122898</v>
      </c>
      <c r="E121">
        <f>(3/(1+('CurrentPor-LH=40 unchanged'!C121+'CurrentPor-LH=40 unchanged'!I121)/100)+103/POWER(1+('CurrentPor-LH=40 unchanged'!D121+'CurrentPor-LH=40 unchanged'!I121)/100,2))*100</f>
        <v>9581.1613817776724</v>
      </c>
      <c r="F121">
        <f>Portfolio!B$5*'CurrentPor-LH=40 unchanged'!E121</f>
        <v>52143.895533915893</v>
      </c>
      <c r="G121">
        <f>Portfolio!B$6*'CurrentPor-LH=40 unchanged'!F121</f>
        <v>3696.2945087936532</v>
      </c>
      <c r="H121">
        <f>Portfolio!B$7*'CurrentPor-LH=40 unchanged'!J121</f>
        <v>2148.0998964419859</v>
      </c>
      <c r="I121">
        <f t="shared" si="2"/>
        <v>96493.244012418683</v>
      </c>
      <c r="J121">
        <f t="shared" si="3"/>
        <v>0.60186290260753594</v>
      </c>
    </row>
    <row r="122" spans="1:10">
      <c r="A122" s="1">
        <v>45639</v>
      </c>
      <c r="B122">
        <f>(3/(1+('CurrentPor-LH=40 unchanged'!C122)/100)+103/POWER(1+('CurrentPor-LH=40 unchanged'!D122)/100,2))*100</f>
        <v>9707.5857774288397</v>
      </c>
      <c r="C122">
        <f>(3/(1+('CurrentPor-LH=40 unchanged'!C122+'CurrentPor-LH=40 unchanged'!G122)/100)+103/POWER(1+('CurrentPor-LH=40 unchanged'!D122+'CurrentPor-LH=40 unchanged'!G122)/100,2))*100</f>
        <v>9614.9673582483465</v>
      </c>
      <c r="D122">
        <f>(3/(1+('CurrentPor-LH=40 unchanged'!C122+'CurrentPor-LH=40 unchanged'!H122)/100)+103/POWER(1+('CurrentPor-LH=40 unchanged'!D122+'CurrentPor-LH=40 unchanged'!H122)/100,2))*100</f>
        <v>9601.2395558122898</v>
      </c>
      <c r="E122">
        <f>(3/(1+('CurrentPor-LH=40 unchanged'!C122+'CurrentPor-LH=40 unchanged'!I122)/100)+103/POWER(1+('CurrentPor-LH=40 unchanged'!D122+'CurrentPor-LH=40 unchanged'!I122)/100,2))*100</f>
        <v>9579.7511137268666</v>
      </c>
      <c r="F122">
        <f>Portfolio!B$5*'CurrentPor-LH=40 unchanged'!E122</f>
        <v>52143.895533915893</v>
      </c>
      <c r="G122">
        <f>Portfolio!B$6*'CurrentPor-LH=40 unchanged'!F122</f>
        <v>3696.2945087936532</v>
      </c>
      <c r="H122">
        <f>Portfolio!B$7*'CurrentPor-LH=40 unchanged'!J122</f>
        <v>2148.0998964419859</v>
      </c>
      <c r="I122">
        <f t="shared" si="2"/>
        <v>96491.833744367876</v>
      </c>
      <c r="J122">
        <f t="shared" si="3"/>
        <v>-0.52461635656072758</v>
      </c>
    </row>
    <row r="123" spans="1:10">
      <c r="A123" s="1">
        <v>45642</v>
      </c>
      <c r="B123">
        <f>(3/(1+('CurrentPor-LH=40 unchanged'!C123)/100)+103/POWER(1+('CurrentPor-LH=40 unchanged'!D123)/100,2))*100</f>
        <v>9707.5857774288397</v>
      </c>
      <c r="C123">
        <f>(3/(1+('CurrentPor-LH=40 unchanged'!C123+'CurrentPor-LH=40 unchanged'!G123)/100)+103/POWER(1+('CurrentPor-LH=40 unchanged'!D123+'CurrentPor-LH=40 unchanged'!G123)/100,2))*100</f>
        <v>9614.9673582483465</v>
      </c>
      <c r="D123">
        <f>(3/(1+('CurrentPor-LH=40 unchanged'!C123+'CurrentPor-LH=40 unchanged'!H123)/100)+103/POWER(1+('CurrentPor-LH=40 unchanged'!D123+'CurrentPor-LH=40 unchanged'!H123)/100,2))*100</f>
        <v>9601.2395558122898</v>
      </c>
      <c r="E123">
        <f>(3/(1+('CurrentPor-LH=40 unchanged'!C123+'CurrentPor-LH=40 unchanged'!I123)/100)+103/POWER(1+('CurrentPor-LH=40 unchanged'!D123+'CurrentPor-LH=40 unchanged'!I123)/100,2))*100</f>
        <v>9580.5846911005356</v>
      </c>
      <c r="F123">
        <f>Portfolio!B$5*'CurrentPor-LH=40 unchanged'!E123</f>
        <v>52143.895533915893</v>
      </c>
      <c r="G123">
        <f>Portfolio!B$6*'CurrentPor-LH=40 unchanged'!F123</f>
        <v>3696.2945087936532</v>
      </c>
      <c r="H123">
        <f>Portfolio!B$7*'CurrentPor-LH=40 unchanged'!J123</f>
        <v>2148.0998964419859</v>
      </c>
      <c r="I123">
        <f t="shared" si="2"/>
        <v>96492.667321741537</v>
      </c>
      <c r="J123">
        <f t="shared" si="3"/>
        <v>-0.37730903964256868</v>
      </c>
    </row>
    <row r="124" spans="1:10">
      <c r="A124" s="1">
        <v>45643</v>
      </c>
      <c r="B124">
        <f>(3/(1+('CurrentPor-LH=40 unchanged'!C124)/100)+103/POWER(1+('CurrentPor-LH=40 unchanged'!D124)/100,2))*100</f>
        <v>9707.5857774288397</v>
      </c>
      <c r="C124">
        <f>(3/(1+('CurrentPor-LH=40 unchanged'!C124+'CurrentPor-LH=40 unchanged'!G124)/100)+103/POWER(1+('CurrentPor-LH=40 unchanged'!D124+'CurrentPor-LH=40 unchanged'!G124)/100,2))*100</f>
        <v>9614.9673582483465</v>
      </c>
      <c r="D124">
        <f>(3/(1+('CurrentPor-LH=40 unchanged'!C124+'CurrentPor-LH=40 unchanged'!H124)/100)+103/POWER(1+('CurrentPor-LH=40 unchanged'!D124+'CurrentPor-LH=40 unchanged'!H124)/100,2))*100</f>
        <v>9601.2395558122898</v>
      </c>
      <c r="E124">
        <f>(3/(1+('CurrentPor-LH=40 unchanged'!C124+'CurrentPor-LH=40 unchanged'!I124)/100)+103/POWER(1+('CurrentPor-LH=40 unchanged'!D124+'CurrentPor-LH=40 unchanged'!I124)/100,2))*100</f>
        <v>9580.7516500824258</v>
      </c>
      <c r="F124">
        <f>Portfolio!B$5*'CurrentPor-LH=40 unchanged'!E124</f>
        <v>52143.895533915893</v>
      </c>
      <c r="G124">
        <f>Portfolio!B$6*'CurrentPor-LH=40 unchanged'!F124</f>
        <v>3696.2945087936532</v>
      </c>
      <c r="H124">
        <f>Portfolio!B$7*'CurrentPor-LH=40 unchanged'!J124</f>
        <v>2148.0998964419859</v>
      </c>
      <c r="I124">
        <f t="shared" si="2"/>
        <v>96492.834280723429</v>
      </c>
      <c r="J124">
        <f t="shared" si="3"/>
        <v>-1.8267445688252337E-2</v>
      </c>
    </row>
    <row r="125" spans="1:10">
      <c r="A125" s="1">
        <v>45644</v>
      </c>
      <c r="B125">
        <f>(3/(1+('CurrentPor-LH=40 unchanged'!C125)/100)+103/POWER(1+('CurrentPor-LH=40 unchanged'!D125)/100,2))*100</f>
        <v>9707.5857774288397</v>
      </c>
      <c r="C125">
        <f>(3/(1+('CurrentPor-LH=40 unchanged'!C125+'CurrentPor-LH=40 unchanged'!G125)/100)+103/POWER(1+('CurrentPor-LH=40 unchanged'!D125+'CurrentPor-LH=40 unchanged'!G125)/100,2))*100</f>
        <v>9614.9673582483465</v>
      </c>
      <c r="D125">
        <f>(3/(1+('CurrentPor-LH=40 unchanged'!C125+'CurrentPor-LH=40 unchanged'!H125)/100)+103/POWER(1+('CurrentPor-LH=40 unchanged'!D125+'CurrentPor-LH=40 unchanged'!H125)/100,2))*100</f>
        <v>9601.2395558122898</v>
      </c>
      <c r="E125">
        <f>(3/(1+('CurrentPor-LH=40 unchanged'!C125+'CurrentPor-LH=40 unchanged'!I125)/100)+103/POWER(1+('CurrentPor-LH=40 unchanged'!D125+'CurrentPor-LH=40 unchanged'!I125)/100,2))*100</f>
        <v>9580.5324716588002</v>
      </c>
      <c r="F125">
        <f>Portfolio!B$5*'CurrentPor-LH=40 unchanged'!E125</f>
        <v>52143.895533915893</v>
      </c>
      <c r="G125">
        <f>Portfolio!B$6*'CurrentPor-LH=40 unchanged'!F125</f>
        <v>3696.2945087936532</v>
      </c>
      <c r="H125">
        <f>Portfolio!B$7*'CurrentPor-LH=40 unchanged'!J125</f>
        <v>2148.0998964419859</v>
      </c>
      <c r="I125">
        <f t="shared" si="2"/>
        <v>96492.615102299809</v>
      </c>
      <c r="J125">
        <f t="shared" si="3"/>
        <v>1.2415347158821533</v>
      </c>
    </row>
    <row r="126" spans="1:10">
      <c r="A126" s="1">
        <v>45645</v>
      </c>
      <c r="B126">
        <f>(3/(1+('CurrentPor-LH=40 unchanged'!C126)/100)+103/POWER(1+('CurrentPor-LH=40 unchanged'!D126)/100,2))*100</f>
        <v>9707.5857774288397</v>
      </c>
      <c r="C126">
        <f>(3/(1+('CurrentPor-LH=40 unchanged'!C126+'CurrentPor-LH=40 unchanged'!G126)/100)+103/POWER(1+('CurrentPor-LH=40 unchanged'!D126+'CurrentPor-LH=40 unchanged'!G126)/100,2))*100</f>
        <v>9614.9673582483465</v>
      </c>
      <c r="D126">
        <f>(3/(1+('CurrentPor-LH=40 unchanged'!C126+'CurrentPor-LH=40 unchanged'!H126)/100)+103/POWER(1+('CurrentPor-LH=40 unchanged'!D126+'CurrentPor-LH=40 unchanged'!H126)/100,2))*100</f>
        <v>9601.2395558122898</v>
      </c>
      <c r="E126">
        <f>(3/(1+('CurrentPor-LH=40 unchanged'!C126+'CurrentPor-LH=40 unchanged'!I126)/100)+103/POWER(1+('CurrentPor-LH=40 unchanged'!D126+'CurrentPor-LH=40 unchanged'!I126)/100,2))*100</f>
        <v>9580.0774297077205</v>
      </c>
      <c r="F126">
        <f>Portfolio!B$5*'CurrentPor-LH=40 unchanged'!E126</f>
        <v>52143.895533915893</v>
      </c>
      <c r="G126">
        <f>Portfolio!B$6*'CurrentPor-LH=40 unchanged'!F126</f>
        <v>3696.2945087936532</v>
      </c>
      <c r="H126">
        <f>Portfolio!B$7*'CurrentPor-LH=40 unchanged'!J126</f>
        <v>2148.0998964419859</v>
      </c>
      <c r="I126">
        <f t="shared" si="2"/>
        <v>96492.160060348731</v>
      </c>
      <c r="J126">
        <f t="shared" si="3"/>
        <v>-0.80829865418490954</v>
      </c>
    </row>
    <row r="127" spans="1:10">
      <c r="A127" s="1">
        <v>45646</v>
      </c>
      <c r="B127">
        <f>(3/(1+('CurrentPor-LH=40 unchanged'!C127)/100)+103/POWER(1+('CurrentPor-LH=40 unchanged'!D127)/100,2))*100</f>
        <v>9707.5857774288397</v>
      </c>
      <c r="C127">
        <f>(3/(1+('CurrentPor-LH=40 unchanged'!C127+'CurrentPor-LH=40 unchanged'!G127)/100)+103/POWER(1+('CurrentPor-LH=40 unchanged'!D127+'CurrentPor-LH=40 unchanged'!G127)/100,2))*100</f>
        <v>9614.9673582483465</v>
      </c>
      <c r="D127">
        <f>(3/(1+('CurrentPor-LH=40 unchanged'!C127+'CurrentPor-LH=40 unchanged'!H127)/100)+103/POWER(1+('CurrentPor-LH=40 unchanged'!D127+'CurrentPor-LH=40 unchanged'!H127)/100,2))*100</f>
        <v>9601.2395558122898</v>
      </c>
      <c r="E127">
        <f>(3/(1+('CurrentPor-LH=40 unchanged'!C127+'CurrentPor-LH=40 unchanged'!I127)/100)+103/POWER(1+('CurrentPor-LH=40 unchanged'!D127+'CurrentPor-LH=40 unchanged'!I127)/100,2))*100</f>
        <v>9580.9255332380453</v>
      </c>
      <c r="F127">
        <f>Portfolio!B$5*'CurrentPor-LH=40 unchanged'!E127</f>
        <v>52143.895533915893</v>
      </c>
      <c r="G127">
        <f>Portfolio!B$6*'CurrentPor-LH=40 unchanged'!F127</f>
        <v>3696.2945087936532</v>
      </c>
      <c r="H127">
        <f>Portfolio!B$7*'CurrentPor-LH=40 unchanged'!J127</f>
        <v>2148.0998964419859</v>
      </c>
      <c r="I127">
        <f t="shared" si="2"/>
        <v>96493.008163879058</v>
      </c>
      <c r="J127">
        <f t="shared" si="3"/>
        <v>-0.31729000531777274</v>
      </c>
    </row>
    <row r="128" spans="1:10">
      <c r="A128" s="1">
        <v>45649</v>
      </c>
      <c r="B128">
        <f>(3/(1+('CurrentPor-LH=40 unchanged'!C128)/100)+103/POWER(1+('CurrentPor-LH=40 unchanged'!D128)/100,2))*100</f>
        <v>9707.5857774288397</v>
      </c>
      <c r="C128">
        <f>(3/(1+('CurrentPor-LH=40 unchanged'!C128+'CurrentPor-LH=40 unchanged'!G128)/100)+103/POWER(1+('CurrentPor-LH=40 unchanged'!D128+'CurrentPor-LH=40 unchanged'!G128)/100,2))*100</f>
        <v>9614.9673582483465</v>
      </c>
      <c r="D128">
        <f>(3/(1+('CurrentPor-LH=40 unchanged'!C128+'CurrentPor-LH=40 unchanged'!H128)/100)+103/POWER(1+('CurrentPor-LH=40 unchanged'!D128+'CurrentPor-LH=40 unchanged'!H128)/100,2))*100</f>
        <v>9601.2395558122898</v>
      </c>
      <c r="E128">
        <f>(3/(1+('CurrentPor-LH=40 unchanged'!C128+'CurrentPor-LH=40 unchanged'!I128)/100)+103/POWER(1+('CurrentPor-LH=40 unchanged'!D128+'CurrentPor-LH=40 unchanged'!I128)/100,2))*100</f>
        <v>9578.1966732505916</v>
      </c>
      <c r="F128">
        <f>Portfolio!B$5*'CurrentPor-LH=40 unchanged'!E128</f>
        <v>52143.895533915893</v>
      </c>
      <c r="G128">
        <f>Portfolio!B$6*'CurrentPor-LH=40 unchanged'!F128</f>
        <v>3696.2945087936532</v>
      </c>
      <c r="H128">
        <f>Portfolio!B$7*'CurrentPor-LH=40 unchanged'!J128</f>
        <v>2148.0998964419859</v>
      </c>
      <c r="I128">
        <f t="shared" si="2"/>
        <v>96490.279303891599</v>
      </c>
      <c r="J128">
        <f t="shared" si="3"/>
        <v>-2.4575396787549835</v>
      </c>
    </row>
    <row r="129" spans="1:10">
      <c r="A129" s="1">
        <v>45650</v>
      </c>
      <c r="B129">
        <f>(3/(1+('CurrentPor-LH=40 unchanged'!C129)/100)+103/POWER(1+('CurrentPor-LH=40 unchanged'!D129)/100,2))*100</f>
        <v>9707.5857774288397</v>
      </c>
      <c r="C129">
        <f>(3/(1+('CurrentPor-LH=40 unchanged'!C129+'CurrentPor-LH=40 unchanged'!G129)/100)+103/POWER(1+('CurrentPor-LH=40 unchanged'!D129+'CurrentPor-LH=40 unchanged'!G129)/100,2))*100</f>
        <v>9614.9673582483465</v>
      </c>
      <c r="D129">
        <f>(3/(1+('CurrentPor-LH=40 unchanged'!C129+'CurrentPor-LH=40 unchanged'!H129)/100)+103/POWER(1+('CurrentPor-LH=40 unchanged'!D129+'CurrentPor-LH=40 unchanged'!H129)/100,2))*100</f>
        <v>9601.2395558122898</v>
      </c>
      <c r="E129">
        <f>(3/(1+('CurrentPor-LH=40 unchanged'!C129+'CurrentPor-LH=40 unchanged'!I129)/100)+103/POWER(1+('CurrentPor-LH=40 unchanged'!D129+'CurrentPor-LH=40 unchanged'!I129)/100,2))*100</f>
        <v>9579.8108186065874</v>
      </c>
      <c r="F129">
        <f>Portfolio!B$5*'CurrentPor-LH=40 unchanged'!E129</f>
        <v>52143.895533915893</v>
      </c>
      <c r="G129">
        <f>Portfolio!B$6*'CurrentPor-LH=40 unchanged'!F129</f>
        <v>3696.2945087936532</v>
      </c>
      <c r="H129">
        <f>Portfolio!B$7*'CurrentPor-LH=40 unchanged'!J129</f>
        <v>2148.0998964419859</v>
      </c>
      <c r="I129">
        <f t="shared" si="2"/>
        <v>96491.893449247596</v>
      </c>
      <c r="J129">
        <f t="shared" si="3"/>
        <v>-0.54565086899674498</v>
      </c>
    </row>
    <row r="130" spans="1:10">
      <c r="A130" s="1">
        <v>45651</v>
      </c>
      <c r="B130">
        <f>(3/(1+('CurrentPor-LH=40 unchanged'!C130)/100)+103/POWER(1+('CurrentPor-LH=40 unchanged'!D130)/100,2))*100</f>
        <v>9707.5857774288397</v>
      </c>
      <c r="C130">
        <f>(3/(1+('CurrentPor-LH=40 unchanged'!C130+'CurrentPor-LH=40 unchanged'!G130)/100)+103/POWER(1+('CurrentPor-LH=40 unchanged'!D130+'CurrentPor-LH=40 unchanged'!G130)/100,2))*100</f>
        <v>9614.9673582483465</v>
      </c>
      <c r="D130">
        <f>(3/(1+('CurrentPor-LH=40 unchanged'!C130+'CurrentPor-LH=40 unchanged'!H130)/100)+103/POWER(1+('CurrentPor-LH=40 unchanged'!D130+'CurrentPor-LH=40 unchanged'!H130)/100,2))*100</f>
        <v>9601.2395558122898</v>
      </c>
      <c r="E130">
        <f>(3/(1+('CurrentPor-LH=40 unchanged'!C130+'CurrentPor-LH=40 unchanged'!I130)/100)+103/POWER(1+('CurrentPor-LH=40 unchanged'!D130+'CurrentPor-LH=40 unchanged'!I130)/100,2))*100</f>
        <v>9580.2357928853471</v>
      </c>
      <c r="F130">
        <f>Portfolio!B$5*'CurrentPor-LH=40 unchanged'!E130</f>
        <v>52143.895533915893</v>
      </c>
      <c r="G130">
        <f>Portfolio!B$6*'CurrentPor-LH=40 unchanged'!F130</f>
        <v>3696.2945087936532</v>
      </c>
      <c r="H130">
        <f>Portfolio!B$7*'CurrentPor-LH=40 unchanged'!J130</f>
        <v>2148.0998964419859</v>
      </c>
      <c r="I130">
        <f t="shared" si="2"/>
        <v>96492.318423526347</v>
      </c>
      <c r="J130">
        <f t="shared" si="3"/>
        <v>-0.3117741389432922</v>
      </c>
    </row>
    <row r="131" spans="1:10">
      <c r="A131" s="1">
        <v>45652</v>
      </c>
      <c r="B131">
        <f>(3/(1+('CurrentPor-LH=40 unchanged'!C131)/100)+103/POWER(1+('CurrentPor-LH=40 unchanged'!D131)/100,2))*100</f>
        <v>9707.5857774288397</v>
      </c>
      <c r="C131">
        <f>(3/(1+('CurrentPor-LH=40 unchanged'!C131+'CurrentPor-LH=40 unchanged'!G131)/100)+103/POWER(1+('CurrentPor-LH=40 unchanged'!D131+'CurrentPor-LH=40 unchanged'!G131)/100,2))*100</f>
        <v>9614.9673582483465</v>
      </c>
      <c r="D131">
        <f>(3/(1+('CurrentPor-LH=40 unchanged'!C131+'CurrentPor-LH=40 unchanged'!H131)/100)+103/POWER(1+('CurrentPor-LH=40 unchanged'!D131+'CurrentPor-LH=40 unchanged'!H131)/100,2))*100</f>
        <v>9601.2395558122898</v>
      </c>
      <c r="E131">
        <f>(3/(1+('CurrentPor-LH=40 unchanged'!C131+'CurrentPor-LH=40 unchanged'!I131)/100)+103/POWER(1+('CurrentPor-LH=40 unchanged'!D131+'CurrentPor-LH=40 unchanged'!I131)/100,2))*100</f>
        <v>9581.0206695111883</v>
      </c>
      <c r="F131">
        <f>Portfolio!B$5*'CurrentPor-LH=40 unchanged'!E131</f>
        <v>52143.895533915893</v>
      </c>
      <c r="G131">
        <f>Portfolio!B$6*'CurrentPor-LH=40 unchanged'!F131</f>
        <v>3696.2945087936532</v>
      </c>
      <c r="H131">
        <f>Portfolio!B$7*'CurrentPor-LH=40 unchanged'!J131</f>
        <v>2148.0998964419859</v>
      </c>
      <c r="I131">
        <f t="shared" si="2"/>
        <v>96493.103300152186</v>
      </c>
      <c r="J131">
        <f t="shared" si="3"/>
        <v>-0.14071226649684832</v>
      </c>
    </row>
    <row r="132" spans="1:10">
      <c r="A132" s="1">
        <v>45653</v>
      </c>
      <c r="B132">
        <f>(3/(1+('CurrentPor-LH=40 unchanged'!C132)/100)+103/POWER(1+('CurrentPor-LH=40 unchanged'!D132)/100,2))*100</f>
        <v>9707.5857774288397</v>
      </c>
      <c r="C132">
        <f>(3/(1+('CurrentPor-LH=40 unchanged'!C132+'CurrentPor-LH=40 unchanged'!G132)/100)+103/POWER(1+('CurrentPor-LH=40 unchanged'!D132+'CurrentPor-LH=40 unchanged'!G132)/100,2))*100</f>
        <v>9614.9673582483465</v>
      </c>
      <c r="D132">
        <f>(3/(1+('CurrentPor-LH=40 unchanged'!C132+'CurrentPor-LH=40 unchanged'!H132)/100)+103/POWER(1+('CurrentPor-LH=40 unchanged'!D132+'CurrentPor-LH=40 unchanged'!H132)/100,2))*100</f>
        <v>9601.2395558122898</v>
      </c>
      <c r="E132">
        <f>(3/(1+('CurrentPor-LH=40 unchanged'!C132+'CurrentPor-LH=40 unchanged'!I132)/100)+103/POWER(1+('CurrentPor-LH=40 unchanged'!D132+'CurrentPor-LH=40 unchanged'!I132)/100,2))*100</f>
        <v>9581.6239856129378</v>
      </c>
      <c r="F132">
        <f>Portfolio!B$5*'CurrentPor-LH=40 unchanged'!E132</f>
        <v>52143.895533915893</v>
      </c>
      <c r="G132">
        <f>Portfolio!B$6*'CurrentPor-LH=40 unchanged'!F132</f>
        <v>3696.2945087936532</v>
      </c>
      <c r="H132">
        <f>Portfolio!B$7*'CurrentPor-LH=40 unchanged'!J132</f>
        <v>2148.0998964419859</v>
      </c>
      <c r="I132">
        <f t="shared" ref="I132:I195" si="4">SUM(B132:H132)</f>
        <v>96493.706616253956</v>
      </c>
      <c r="J132">
        <f t="shared" si="3"/>
        <v>1.8728718860802474</v>
      </c>
    </row>
    <row r="133" spans="1:10">
      <c r="A133" s="1">
        <v>45656</v>
      </c>
      <c r="B133">
        <f>(3/(1+('CurrentPor-LH=40 unchanged'!C133)/100)+103/POWER(1+('CurrentPor-LH=40 unchanged'!D133)/100,2))*100</f>
        <v>9707.5857774288397</v>
      </c>
      <c r="C133">
        <f>(3/(1+('CurrentPor-LH=40 unchanged'!C133+'CurrentPor-LH=40 unchanged'!G133)/100)+103/POWER(1+('CurrentPor-LH=40 unchanged'!D133+'CurrentPor-LH=40 unchanged'!G133)/100,2))*100</f>
        <v>9614.9673582483465</v>
      </c>
      <c r="D133">
        <f>(3/(1+('CurrentPor-LH=40 unchanged'!C133+'CurrentPor-LH=40 unchanged'!H133)/100)+103/POWER(1+('CurrentPor-LH=40 unchanged'!D133+'CurrentPor-LH=40 unchanged'!H133)/100,2))*100</f>
        <v>9601.2395558122898</v>
      </c>
      <c r="E133">
        <f>(3/(1+('CurrentPor-LH=40 unchanged'!C133+'CurrentPor-LH=40 unchanged'!I133)/100)+103/POWER(1+('CurrentPor-LH=40 unchanged'!D133+'CurrentPor-LH=40 unchanged'!I133)/100,2))*100</f>
        <v>9580.5624811036396</v>
      </c>
      <c r="F133">
        <f>Portfolio!B$5*'CurrentPor-LH=40 unchanged'!E133</f>
        <v>52143.895533915893</v>
      </c>
      <c r="G133">
        <f>Portfolio!B$6*'CurrentPor-LH=40 unchanged'!F133</f>
        <v>3696.2945087936532</v>
      </c>
      <c r="H133">
        <f>Portfolio!B$7*'CurrentPor-LH=40 unchanged'!J133</f>
        <v>2148.0998964419859</v>
      </c>
      <c r="I133">
        <f t="shared" si="4"/>
        <v>96492.645111744656</v>
      </c>
      <c r="J133">
        <f t="shared" si="3"/>
        <v>-2.2209996881429106E-2</v>
      </c>
    </row>
    <row r="134" spans="1:10">
      <c r="A134" s="1">
        <v>45657</v>
      </c>
      <c r="B134">
        <f>(3/(1+('CurrentPor-LH=40 unchanged'!C134)/100)+103/POWER(1+('CurrentPor-LH=40 unchanged'!D134)/100,2))*100</f>
        <v>9707.5857774288397</v>
      </c>
      <c r="C134">
        <f>(3/(1+('CurrentPor-LH=40 unchanged'!C134+'CurrentPor-LH=40 unchanged'!G134)/100)+103/POWER(1+('CurrentPor-LH=40 unchanged'!D134+'CurrentPor-LH=40 unchanged'!G134)/100,2))*100</f>
        <v>9614.9673582483465</v>
      </c>
      <c r="D134">
        <f>(3/(1+('CurrentPor-LH=40 unchanged'!C134+'CurrentPor-LH=40 unchanged'!H134)/100)+103/POWER(1+('CurrentPor-LH=40 unchanged'!D134+'CurrentPor-LH=40 unchanged'!H134)/100,2))*100</f>
        <v>9601.2395558122898</v>
      </c>
      <c r="E134">
        <f>(3/(1+('CurrentPor-LH=40 unchanged'!C134+'CurrentPor-LH=40 unchanged'!I134)/100)+103/POWER(1+('CurrentPor-LH=40 unchanged'!D134+'CurrentPor-LH=40 unchanged'!I134)/100,2))*100</f>
        <v>9580.7846881736496</v>
      </c>
      <c r="F134">
        <f>Portfolio!B$5*'CurrentPor-LH=40 unchanged'!E134</f>
        <v>52143.895533915893</v>
      </c>
      <c r="G134">
        <f>Portfolio!B$6*'CurrentPor-LH=40 unchanged'!F134</f>
        <v>3696.2945087936532</v>
      </c>
      <c r="H134">
        <f>Portfolio!B$7*'CurrentPor-LH=40 unchanged'!J134</f>
        <v>2148.0998964419859</v>
      </c>
      <c r="I134">
        <f t="shared" si="4"/>
        <v>96492.867318814664</v>
      </c>
      <c r="J134">
        <f t="shared" si="3"/>
        <v>3.3038091234629974E-2</v>
      </c>
    </row>
    <row r="135" spans="1:10">
      <c r="A135" s="1">
        <v>45658</v>
      </c>
      <c r="B135">
        <f>(3/(1+('CurrentPor-LH=40 unchanged'!C135)/100)+103/POWER(1+('CurrentPor-LH=40 unchanged'!D135)/100,2))*100</f>
        <v>9707.5857774288397</v>
      </c>
      <c r="C135">
        <f>(3/(1+('CurrentPor-LH=40 unchanged'!C135+'CurrentPor-LH=40 unchanged'!G135)/100)+103/POWER(1+('CurrentPor-LH=40 unchanged'!D135+'CurrentPor-LH=40 unchanged'!G135)/100,2))*100</f>
        <v>9614.9673582483465</v>
      </c>
      <c r="D135">
        <f>(3/(1+('CurrentPor-LH=40 unchanged'!C135+'CurrentPor-LH=40 unchanged'!H135)/100)+103/POWER(1+('CurrentPor-LH=40 unchanged'!D135+'CurrentPor-LH=40 unchanged'!H135)/100,2))*100</f>
        <v>9601.2395558122898</v>
      </c>
      <c r="E135">
        <f>(3/(1+('CurrentPor-LH=40 unchanged'!C135+'CurrentPor-LH=40 unchanged'!I135)/100)+103/POWER(1+('CurrentPor-LH=40 unchanged'!D135+'CurrentPor-LH=40 unchanged'!I135)/100,2))*100</f>
        <v>9579.0066248431594</v>
      </c>
      <c r="F135">
        <f>Portfolio!B$5*'CurrentPor-LH=40 unchanged'!E135</f>
        <v>52143.895533915893</v>
      </c>
      <c r="G135">
        <f>Portfolio!B$6*'CurrentPor-LH=40 unchanged'!F135</f>
        <v>3696.2945087936532</v>
      </c>
      <c r="H135">
        <f>Portfolio!B$7*'CurrentPor-LH=40 unchanged'!J135</f>
        <v>2148.0998964419859</v>
      </c>
      <c r="I135">
        <f t="shared" si="4"/>
        <v>96491.08925548417</v>
      </c>
      <c r="J135">
        <f t="shared" si="3"/>
        <v>-1.5258468156389426</v>
      </c>
    </row>
    <row r="136" spans="1:10">
      <c r="A136" s="1">
        <v>45659</v>
      </c>
      <c r="B136">
        <f>(3/(1+('CurrentPor-LH=40 unchanged'!C136)/100)+103/POWER(1+('CurrentPor-LH=40 unchanged'!D136)/100,2))*100</f>
        <v>9707.5857774288397</v>
      </c>
      <c r="C136">
        <f>(3/(1+('CurrentPor-LH=40 unchanged'!C136+'CurrentPor-LH=40 unchanged'!G136)/100)+103/POWER(1+('CurrentPor-LH=40 unchanged'!D136+'CurrentPor-LH=40 unchanged'!G136)/100,2))*100</f>
        <v>9614.9673582483465</v>
      </c>
      <c r="D136">
        <f>(3/(1+('CurrentPor-LH=40 unchanged'!C136+'CurrentPor-LH=40 unchanged'!H136)/100)+103/POWER(1+('CurrentPor-LH=40 unchanged'!D136+'CurrentPor-LH=40 unchanged'!H136)/100,2))*100</f>
        <v>9601.2395558122898</v>
      </c>
      <c r="E136">
        <f>(3/(1+('CurrentPor-LH=40 unchanged'!C136+'CurrentPor-LH=40 unchanged'!I136)/100)+103/POWER(1+('CurrentPor-LH=40 unchanged'!D136+'CurrentPor-LH=40 unchanged'!I136)/100,2))*100</f>
        <v>9580.5486399562433</v>
      </c>
      <c r="F136">
        <f>Portfolio!B$5*'CurrentPor-LH=40 unchanged'!E136</f>
        <v>52143.895533915893</v>
      </c>
      <c r="G136">
        <f>Portfolio!B$6*'CurrentPor-LH=40 unchanged'!F136</f>
        <v>3696.2945087936532</v>
      </c>
      <c r="H136">
        <f>Portfolio!B$7*'CurrentPor-LH=40 unchanged'!J136</f>
        <v>2148.0998964419859</v>
      </c>
      <c r="I136">
        <f t="shared" si="4"/>
        <v>96492.631270597252</v>
      </c>
      <c r="J136">
        <f t="shared" si="3"/>
        <v>0.47121024852094706</v>
      </c>
    </row>
    <row r="137" spans="1:10">
      <c r="A137" s="1">
        <v>45660</v>
      </c>
      <c r="B137">
        <f>(3/(1+('CurrentPor-LH=40 unchanged'!C137)/100)+103/POWER(1+('CurrentPor-LH=40 unchanged'!D137)/100,2))*100</f>
        <v>9707.5857774288397</v>
      </c>
      <c r="C137">
        <f>(3/(1+('CurrentPor-LH=40 unchanged'!C137+'CurrentPor-LH=40 unchanged'!G137)/100)+103/POWER(1+('CurrentPor-LH=40 unchanged'!D137+'CurrentPor-LH=40 unchanged'!G137)/100,2))*100</f>
        <v>9614.9673582483465</v>
      </c>
      <c r="D137">
        <f>(3/(1+('CurrentPor-LH=40 unchanged'!C137+'CurrentPor-LH=40 unchanged'!H137)/100)+103/POWER(1+('CurrentPor-LH=40 unchanged'!D137+'CurrentPor-LH=40 unchanged'!H137)/100,2))*100</f>
        <v>9601.2395558122898</v>
      </c>
      <c r="E137">
        <f>(3/(1+('CurrentPor-LH=40 unchanged'!C137+'CurrentPor-LH=40 unchanged'!I137)/100)+103/POWER(1+('CurrentPor-LH=40 unchanged'!D137+'CurrentPor-LH=40 unchanged'!I137)/100,2))*100</f>
        <v>9582.3509663142595</v>
      </c>
      <c r="F137">
        <f>Portfolio!B$5*'CurrentPor-LH=40 unchanged'!E137</f>
        <v>52143.895533915893</v>
      </c>
      <c r="G137">
        <f>Portfolio!B$6*'CurrentPor-LH=40 unchanged'!F137</f>
        <v>3696.2945087936532</v>
      </c>
      <c r="H137">
        <f>Portfolio!B$7*'CurrentPor-LH=40 unchanged'!J137</f>
        <v>2148.0998964419859</v>
      </c>
      <c r="I137">
        <f t="shared" si="4"/>
        <v>96494.433596955278</v>
      </c>
      <c r="J137">
        <f t="shared" si="3"/>
        <v>1.4254330762196332</v>
      </c>
    </row>
    <row r="138" spans="1:10">
      <c r="A138" s="1">
        <v>45663</v>
      </c>
      <c r="B138">
        <f>(3/(1+('CurrentPor-LH=40 unchanged'!C138)/100)+103/POWER(1+('CurrentPor-LH=40 unchanged'!D138)/100,2))*100</f>
        <v>9707.5857774288397</v>
      </c>
      <c r="C138">
        <f>(3/(1+('CurrentPor-LH=40 unchanged'!C138+'CurrentPor-LH=40 unchanged'!G138)/100)+103/POWER(1+('CurrentPor-LH=40 unchanged'!D138+'CurrentPor-LH=40 unchanged'!G138)/100,2))*100</f>
        <v>9614.9673582483465</v>
      </c>
      <c r="D138">
        <f>(3/(1+('CurrentPor-LH=40 unchanged'!C138+'CurrentPor-LH=40 unchanged'!H138)/100)+103/POWER(1+('CurrentPor-LH=40 unchanged'!D138+'CurrentPor-LH=40 unchanged'!H138)/100,2))*100</f>
        <v>9601.2395558122898</v>
      </c>
      <c r="E138">
        <f>(3/(1+('CurrentPor-LH=40 unchanged'!C138+'CurrentPor-LH=40 unchanged'!I138)/100)+103/POWER(1+('CurrentPor-LH=40 unchanged'!D138+'CurrentPor-LH=40 unchanged'!I138)/100,2))*100</f>
        <v>9580.350510801798</v>
      </c>
      <c r="F138">
        <f>Portfolio!B$5*'CurrentPor-LH=40 unchanged'!E138</f>
        <v>52143.895533915893</v>
      </c>
      <c r="G138">
        <f>Portfolio!B$6*'CurrentPor-LH=40 unchanged'!F138</f>
        <v>3696.2945087936532</v>
      </c>
      <c r="H138">
        <f>Portfolio!B$7*'CurrentPor-LH=40 unchanged'!J138</f>
        <v>2148.0998964419859</v>
      </c>
      <c r="I138">
        <f t="shared" si="4"/>
        <v>96492.433141442816</v>
      </c>
      <c r="J138">
        <f t="shared" si="3"/>
        <v>2.1538375512172934</v>
      </c>
    </row>
    <row r="139" spans="1:10">
      <c r="A139" s="1">
        <v>45664</v>
      </c>
      <c r="B139">
        <f>(3/(1+('CurrentPor-LH=40 unchanged'!C139)/100)+103/POWER(1+('CurrentPor-LH=40 unchanged'!D139)/100,2))*100</f>
        <v>9707.5857774288397</v>
      </c>
      <c r="C139">
        <f>(3/(1+('CurrentPor-LH=40 unchanged'!C139+'CurrentPor-LH=40 unchanged'!G139)/100)+103/POWER(1+('CurrentPor-LH=40 unchanged'!D139+'CurrentPor-LH=40 unchanged'!G139)/100,2))*100</f>
        <v>9614.9673582483465</v>
      </c>
      <c r="D139">
        <f>(3/(1+('CurrentPor-LH=40 unchanged'!C139+'CurrentPor-LH=40 unchanged'!H139)/100)+103/POWER(1+('CurrentPor-LH=40 unchanged'!D139+'CurrentPor-LH=40 unchanged'!H139)/100,2))*100</f>
        <v>9601.2395558122898</v>
      </c>
      <c r="E139">
        <f>(3/(1+('CurrentPor-LH=40 unchanged'!C139+'CurrentPor-LH=40 unchanged'!I139)/100)+103/POWER(1+('CurrentPor-LH=40 unchanged'!D139+'CurrentPor-LH=40 unchanged'!I139)/100,2))*100</f>
        <v>9580.5443814391328</v>
      </c>
      <c r="F139">
        <f>Portfolio!B$5*'CurrentPor-LH=40 unchanged'!E139</f>
        <v>52143.895533915893</v>
      </c>
      <c r="G139">
        <f>Portfolio!B$6*'CurrentPor-LH=40 unchanged'!F139</f>
        <v>3696.2945087936532</v>
      </c>
      <c r="H139">
        <f>Portfolio!B$7*'CurrentPor-LH=40 unchanged'!J139</f>
        <v>2148.0998964419859</v>
      </c>
      <c r="I139">
        <f t="shared" si="4"/>
        <v>96492.627012080149</v>
      </c>
      <c r="J139">
        <f t="shared" si="3"/>
        <v>0.73356283255270682</v>
      </c>
    </row>
    <row r="140" spans="1:10">
      <c r="A140" s="1">
        <v>45665</v>
      </c>
      <c r="B140">
        <f>(3/(1+('CurrentPor-LH=40 unchanged'!C140)/100)+103/POWER(1+('CurrentPor-LH=40 unchanged'!D140)/100,2))*100</f>
        <v>9707.5857774288397</v>
      </c>
      <c r="C140">
        <f>(3/(1+('CurrentPor-LH=40 unchanged'!C140+'CurrentPor-LH=40 unchanged'!G140)/100)+103/POWER(1+('CurrentPor-LH=40 unchanged'!D140+'CurrentPor-LH=40 unchanged'!G140)/100,2))*100</f>
        <v>9614.9673582483465</v>
      </c>
      <c r="D140">
        <f>(3/(1+('CurrentPor-LH=40 unchanged'!C140+'CurrentPor-LH=40 unchanged'!H140)/100)+103/POWER(1+('CurrentPor-LH=40 unchanged'!D140+'CurrentPor-LH=40 unchanged'!H140)/100,2))*100</f>
        <v>9601.2395558122898</v>
      </c>
      <c r="E140">
        <f>(3/(1+('CurrentPor-LH=40 unchanged'!C140+'CurrentPor-LH=40 unchanged'!I140)/100)+103/POWER(1+('CurrentPor-LH=40 unchanged'!D140+'CurrentPor-LH=40 unchanged'!I140)/100,2))*100</f>
        <v>9580.7789557144333</v>
      </c>
      <c r="F140">
        <f>Portfolio!B$5*'CurrentPor-LH=40 unchanged'!E140</f>
        <v>52143.895533915893</v>
      </c>
      <c r="G140">
        <f>Portfolio!B$6*'CurrentPor-LH=40 unchanged'!F140</f>
        <v>3696.2945087936532</v>
      </c>
      <c r="H140">
        <f>Portfolio!B$7*'CurrentPor-LH=40 unchanged'!J140</f>
        <v>2148.0998964419859</v>
      </c>
      <c r="I140">
        <f t="shared" si="4"/>
        <v>96492.861586355444</v>
      </c>
      <c r="J140">
        <f t="shared" si="3"/>
        <v>0.54316282909712754</v>
      </c>
    </row>
    <row r="141" spans="1:10">
      <c r="A141" s="1">
        <v>45666</v>
      </c>
      <c r="B141">
        <f>(3/(1+('CurrentPor-LH=40 unchanged'!C141)/100)+103/POWER(1+('CurrentPor-LH=40 unchanged'!D141)/100,2))*100</f>
        <v>9707.5857774288397</v>
      </c>
      <c r="C141">
        <f>(3/(1+('CurrentPor-LH=40 unchanged'!C141+'CurrentPor-LH=40 unchanged'!G141)/100)+103/POWER(1+('CurrentPor-LH=40 unchanged'!D141+'CurrentPor-LH=40 unchanged'!G141)/100,2))*100</f>
        <v>9614.9673582483465</v>
      </c>
      <c r="D141">
        <f>(3/(1+('CurrentPor-LH=40 unchanged'!C141+'CurrentPor-LH=40 unchanged'!H141)/100)+103/POWER(1+('CurrentPor-LH=40 unchanged'!D141+'CurrentPor-LH=40 unchanged'!H141)/100,2))*100</f>
        <v>9601.2395558122898</v>
      </c>
      <c r="E141">
        <f>(3/(1+('CurrentPor-LH=40 unchanged'!C141+'CurrentPor-LH=40 unchanged'!I141)/100)+103/POWER(1+('CurrentPor-LH=40 unchanged'!D141+'CurrentPor-LH=40 unchanged'!I141)/100,2))*100</f>
        <v>9580.8863347847309</v>
      </c>
      <c r="F141">
        <f>Portfolio!B$5*'CurrentPor-LH=40 unchanged'!E141</f>
        <v>52143.895533915893</v>
      </c>
      <c r="G141">
        <f>Portfolio!B$6*'CurrentPor-LH=40 unchanged'!F141</f>
        <v>3696.2945087936532</v>
      </c>
      <c r="H141">
        <f>Portfolio!B$7*'CurrentPor-LH=40 unchanged'!J141</f>
        <v>2148.0998964419859</v>
      </c>
      <c r="I141">
        <f t="shared" si="4"/>
        <v>96492.968965425738</v>
      </c>
      <c r="J141">
        <f t="shared" si="3"/>
        <v>-0.13433472644828726</v>
      </c>
    </row>
    <row r="142" spans="1:10">
      <c r="A142" s="1">
        <v>45667</v>
      </c>
      <c r="B142">
        <f>(3/(1+('CurrentPor-LH=40 unchanged'!C142)/100)+103/POWER(1+('CurrentPor-LH=40 unchanged'!D142)/100,2))*100</f>
        <v>9707.5857774288397</v>
      </c>
      <c r="C142">
        <f>(3/(1+('CurrentPor-LH=40 unchanged'!C142+'CurrentPor-LH=40 unchanged'!G142)/100)+103/POWER(1+('CurrentPor-LH=40 unchanged'!D142+'CurrentPor-LH=40 unchanged'!G142)/100,2))*100</f>
        <v>9614.9673582483465</v>
      </c>
      <c r="D142">
        <f>(3/(1+('CurrentPor-LH=40 unchanged'!C142+'CurrentPor-LH=40 unchanged'!H142)/100)+103/POWER(1+('CurrentPor-LH=40 unchanged'!D142+'CurrentPor-LH=40 unchanged'!H142)/100,2))*100</f>
        <v>9601.2395558122898</v>
      </c>
      <c r="E142">
        <f>(3/(1+('CurrentPor-LH=40 unchanged'!C142+'CurrentPor-LH=40 unchanged'!I142)/100)+103/POWER(1+('CurrentPor-LH=40 unchanged'!D142+'CurrentPor-LH=40 unchanged'!I142)/100,2))*100</f>
        <v>9580.5194339819845</v>
      </c>
      <c r="F142">
        <f>Portfolio!B$5*'CurrentPor-LH=40 unchanged'!E142</f>
        <v>52143.895533915893</v>
      </c>
      <c r="G142">
        <f>Portfolio!B$6*'CurrentPor-LH=40 unchanged'!F142</f>
        <v>3696.2945087936532</v>
      </c>
      <c r="H142">
        <f>Portfolio!B$7*'CurrentPor-LH=40 unchanged'!J142</f>
        <v>2148.0998964419859</v>
      </c>
      <c r="I142">
        <f t="shared" si="4"/>
        <v>96492.602064622988</v>
      </c>
      <c r="J142">
        <f t="shared" ref="J142:J205" si="5">I142-I132</f>
        <v>-1.1045516309677623</v>
      </c>
    </row>
    <row r="143" spans="1:10">
      <c r="A143" s="1">
        <v>45670</v>
      </c>
      <c r="B143">
        <f>(3/(1+('CurrentPor-LH=40 unchanged'!C143)/100)+103/POWER(1+('CurrentPor-LH=40 unchanged'!D143)/100,2))*100</f>
        <v>9707.5857774288397</v>
      </c>
      <c r="C143">
        <f>(3/(1+('CurrentPor-LH=40 unchanged'!C143+'CurrentPor-LH=40 unchanged'!G143)/100)+103/POWER(1+('CurrentPor-LH=40 unchanged'!D143+'CurrentPor-LH=40 unchanged'!G143)/100,2))*100</f>
        <v>9614.9673582483465</v>
      </c>
      <c r="D143">
        <f>(3/(1+('CurrentPor-LH=40 unchanged'!C143+'CurrentPor-LH=40 unchanged'!H143)/100)+103/POWER(1+('CurrentPor-LH=40 unchanged'!D143+'CurrentPor-LH=40 unchanged'!H143)/100,2))*100</f>
        <v>9601.2395558122898</v>
      </c>
      <c r="E143">
        <f>(3/(1+('CurrentPor-LH=40 unchanged'!C143+'CurrentPor-LH=40 unchanged'!I143)/100)+103/POWER(1+('CurrentPor-LH=40 unchanged'!D143+'CurrentPor-LH=40 unchanged'!I143)/100,2))*100</f>
        <v>9579.877774571909</v>
      </c>
      <c r="F143">
        <f>Portfolio!B$5*'CurrentPor-LH=40 unchanged'!E143</f>
        <v>52143.895533915893</v>
      </c>
      <c r="G143">
        <f>Portfolio!B$6*'CurrentPor-LH=40 unchanged'!F143</f>
        <v>3696.2945087936532</v>
      </c>
      <c r="H143">
        <f>Portfolio!B$7*'CurrentPor-LH=40 unchanged'!J143</f>
        <v>2148.0998964419859</v>
      </c>
      <c r="I143">
        <f t="shared" si="4"/>
        <v>96491.960405212929</v>
      </c>
      <c r="J143">
        <f t="shared" si="5"/>
        <v>-0.68470653172698803</v>
      </c>
    </row>
    <row r="144" spans="1:10">
      <c r="A144" s="1">
        <v>45671</v>
      </c>
      <c r="B144">
        <f>(3/(1+('CurrentPor-LH=40 unchanged'!C144)/100)+103/POWER(1+('CurrentPor-LH=40 unchanged'!D144)/100,2))*100</f>
        <v>9707.5857774288397</v>
      </c>
      <c r="C144">
        <f>(3/(1+('CurrentPor-LH=40 unchanged'!C144+'CurrentPor-LH=40 unchanged'!G144)/100)+103/POWER(1+('CurrentPor-LH=40 unchanged'!D144+'CurrentPor-LH=40 unchanged'!G144)/100,2))*100</f>
        <v>9614.9673582483465</v>
      </c>
      <c r="D144">
        <f>(3/(1+('CurrentPor-LH=40 unchanged'!C144+'CurrentPor-LH=40 unchanged'!H144)/100)+103/POWER(1+('CurrentPor-LH=40 unchanged'!D144+'CurrentPor-LH=40 unchanged'!H144)/100,2))*100</f>
        <v>9601.2395558122898</v>
      </c>
      <c r="E144">
        <f>(3/(1+('CurrentPor-LH=40 unchanged'!C144+'CurrentPor-LH=40 unchanged'!I144)/100)+103/POWER(1+('CurrentPor-LH=40 unchanged'!D144+'CurrentPor-LH=40 unchanged'!I144)/100,2))*100</f>
        <v>9582.0966967007425</v>
      </c>
      <c r="F144">
        <f>Portfolio!B$5*'CurrentPor-LH=40 unchanged'!E144</f>
        <v>52143.895533915893</v>
      </c>
      <c r="G144">
        <f>Portfolio!B$6*'CurrentPor-LH=40 unchanged'!F144</f>
        <v>3696.2945087936532</v>
      </c>
      <c r="H144">
        <f>Portfolio!B$7*'CurrentPor-LH=40 unchanged'!J144</f>
        <v>2148.0998964419859</v>
      </c>
      <c r="I144">
        <f t="shared" si="4"/>
        <v>96494.179327341742</v>
      </c>
      <c r="J144">
        <f t="shared" si="5"/>
        <v>1.312008527078433</v>
      </c>
    </row>
    <row r="145" spans="1:10">
      <c r="A145" s="1">
        <v>45672</v>
      </c>
      <c r="B145">
        <f>(3/(1+('CurrentPor-LH=40 unchanged'!C145)/100)+103/POWER(1+('CurrentPor-LH=40 unchanged'!D145)/100,2))*100</f>
        <v>9707.5857774288397</v>
      </c>
      <c r="C145">
        <f>(3/(1+('CurrentPor-LH=40 unchanged'!C145+'CurrentPor-LH=40 unchanged'!G145)/100)+103/POWER(1+('CurrentPor-LH=40 unchanged'!D145+'CurrentPor-LH=40 unchanged'!G145)/100,2))*100</f>
        <v>9614.9673582483465</v>
      </c>
      <c r="D145">
        <f>(3/(1+('CurrentPor-LH=40 unchanged'!C145+'CurrentPor-LH=40 unchanged'!H145)/100)+103/POWER(1+('CurrentPor-LH=40 unchanged'!D145+'CurrentPor-LH=40 unchanged'!H145)/100,2))*100</f>
        <v>9601.2395558122898</v>
      </c>
      <c r="E145">
        <f>(3/(1+('CurrentPor-LH=40 unchanged'!C145+'CurrentPor-LH=40 unchanged'!I145)/100)+103/POWER(1+('CurrentPor-LH=40 unchanged'!D145+'CurrentPor-LH=40 unchanged'!I145)/100,2))*100</f>
        <v>9580.3370446961108</v>
      </c>
      <c r="F145">
        <f>Portfolio!B$5*'CurrentPor-LH=40 unchanged'!E145</f>
        <v>52143.895533915893</v>
      </c>
      <c r="G145">
        <f>Portfolio!B$6*'CurrentPor-LH=40 unchanged'!F145</f>
        <v>3696.2945087936532</v>
      </c>
      <c r="H145">
        <f>Portfolio!B$7*'CurrentPor-LH=40 unchanged'!J145</f>
        <v>2148.0998964419859</v>
      </c>
      <c r="I145">
        <f t="shared" si="4"/>
        <v>96492.419675337122</v>
      </c>
      <c r="J145">
        <f t="shared" si="5"/>
        <v>1.3304198529513087</v>
      </c>
    </row>
    <row r="146" spans="1:10">
      <c r="A146" s="1">
        <v>45673</v>
      </c>
      <c r="B146">
        <f>(3/(1+('CurrentPor-LH=40 unchanged'!C146)/100)+103/POWER(1+('CurrentPor-LH=40 unchanged'!D146)/100,2))*100</f>
        <v>9707.5857774288397</v>
      </c>
      <c r="C146">
        <f>(3/(1+('CurrentPor-LH=40 unchanged'!C146+'CurrentPor-LH=40 unchanged'!G146)/100)+103/POWER(1+('CurrentPor-LH=40 unchanged'!D146+'CurrentPor-LH=40 unchanged'!G146)/100,2))*100</f>
        <v>9614.9673582483465</v>
      </c>
      <c r="D146">
        <f>(3/(1+('CurrentPor-LH=40 unchanged'!C146+'CurrentPor-LH=40 unchanged'!H146)/100)+103/POWER(1+('CurrentPor-LH=40 unchanged'!D146+'CurrentPor-LH=40 unchanged'!H146)/100,2))*100</f>
        <v>9601.2395558122898</v>
      </c>
      <c r="E146">
        <f>(3/(1+('CurrentPor-LH=40 unchanged'!C146+'CurrentPor-LH=40 unchanged'!I146)/100)+103/POWER(1+('CurrentPor-LH=40 unchanged'!D146+'CurrentPor-LH=40 unchanged'!I146)/100,2))*100</f>
        <v>9579.2296827444679</v>
      </c>
      <c r="F146">
        <f>Portfolio!B$5*'CurrentPor-LH=40 unchanged'!E146</f>
        <v>52143.895533915893</v>
      </c>
      <c r="G146">
        <f>Portfolio!B$6*'CurrentPor-LH=40 unchanged'!F146</f>
        <v>3696.2945087936532</v>
      </c>
      <c r="H146">
        <f>Portfolio!B$7*'CurrentPor-LH=40 unchanged'!J146</f>
        <v>2148.0998964419859</v>
      </c>
      <c r="I146">
        <f t="shared" si="4"/>
        <v>96491.312313385468</v>
      </c>
      <c r="J146">
        <f t="shared" si="5"/>
        <v>-1.3189572117844364</v>
      </c>
    </row>
    <row r="147" spans="1:10">
      <c r="A147" s="1">
        <v>45674</v>
      </c>
      <c r="B147">
        <f>(3/(1+('CurrentPor-LH=40 unchanged'!C147)/100)+103/POWER(1+('CurrentPor-LH=40 unchanged'!D147)/100,2))*100</f>
        <v>9707.5857774288397</v>
      </c>
      <c r="C147">
        <f>(3/(1+('CurrentPor-LH=40 unchanged'!C147+'CurrentPor-LH=40 unchanged'!G147)/100)+103/POWER(1+('CurrentPor-LH=40 unchanged'!D147+'CurrentPor-LH=40 unchanged'!G147)/100,2))*100</f>
        <v>9614.9673582483465</v>
      </c>
      <c r="D147">
        <f>(3/(1+('CurrentPor-LH=40 unchanged'!C147+'CurrentPor-LH=40 unchanged'!H147)/100)+103/POWER(1+('CurrentPor-LH=40 unchanged'!D147+'CurrentPor-LH=40 unchanged'!H147)/100,2))*100</f>
        <v>9601.2395558122898</v>
      </c>
      <c r="E147">
        <f>(3/(1+('CurrentPor-LH=40 unchanged'!C147+'CurrentPor-LH=40 unchanged'!I147)/100)+103/POWER(1+('CurrentPor-LH=40 unchanged'!D147+'CurrentPor-LH=40 unchanged'!I147)/100,2))*100</f>
        <v>9580.8636626406133</v>
      </c>
      <c r="F147">
        <f>Portfolio!B$5*'CurrentPor-LH=40 unchanged'!E147</f>
        <v>52143.895533915893</v>
      </c>
      <c r="G147">
        <f>Portfolio!B$6*'CurrentPor-LH=40 unchanged'!F147</f>
        <v>3696.2945087936532</v>
      </c>
      <c r="H147">
        <f>Portfolio!B$7*'CurrentPor-LH=40 unchanged'!J147</f>
        <v>2148.0998964419859</v>
      </c>
      <c r="I147">
        <f t="shared" si="4"/>
        <v>96492.946293281624</v>
      </c>
      <c r="J147">
        <f t="shared" si="5"/>
        <v>-1.4873036736535141</v>
      </c>
    </row>
    <row r="148" spans="1:10">
      <c r="A148" s="1">
        <v>45677</v>
      </c>
      <c r="B148">
        <f>(3/(1+('CurrentPor-LH=40 unchanged'!C148)/100)+103/POWER(1+('CurrentPor-LH=40 unchanged'!D148)/100,2))*100</f>
        <v>9707.5857774288397</v>
      </c>
      <c r="C148">
        <f>(3/(1+('CurrentPor-LH=40 unchanged'!C148+'CurrentPor-LH=40 unchanged'!G148)/100)+103/POWER(1+('CurrentPor-LH=40 unchanged'!D148+'CurrentPor-LH=40 unchanged'!G148)/100,2))*100</f>
        <v>9614.9673582483465</v>
      </c>
      <c r="D148">
        <f>(3/(1+('CurrentPor-LH=40 unchanged'!C148+'CurrentPor-LH=40 unchanged'!H148)/100)+103/POWER(1+('CurrentPor-LH=40 unchanged'!D148+'CurrentPor-LH=40 unchanged'!H148)/100,2))*100</f>
        <v>9601.2395558122898</v>
      </c>
      <c r="E148">
        <f>(3/(1+('CurrentPor-LH=40 unchanged'!C148+'CurrentPor-LH=40 unchanged'!I148)/100)+103/POWER(1+('CurrentPor-LH=40 unchanged'!D148+'CurrentPor-LH=40 unchanged'!I148)/100,2))*100</f>
        <v>9582.8736337425289</v>
      </c>
      <c r="F148">
        <f>Portfolio!B$5*'CurrentPor-LH=40 unchanged'!E148</f>
        <v>52143.895533915893</v>
      </c>
      <c r="G148">
        <f>Portfolio!B$6*'CurrentPor-LH=40 unchanged'!F148</f>
        <v>3696.2945087936532</v>
      </c>
      <c r="H148">
        <f>Portfolio!B$7*'CurrentPor-LH=40 unchanged'!J148</f>
        <v>2148.0998964419859</v>
      </c>
      <c r="I148">
        <f t="shared" si="4"/>
        <v>96494.956264383538</v>
      </c>
      <c r="J148">
        <f t="shared" si="5"/>
        <v>2.5231229407218052</v>
      </c>
    </row>
    <row r="149" spans="1:10">
      <c r="A149" s="1">
        <v>45678</v>
      </c>
      <c r="B149">
        <f>(3/(1+('CurrentPor-LH=40 unchanged'!C149)/100)+103/POWER(1+('CurrentPor-LH=40 unchanged'!D149)/100,2))*100</f>
        <v>9707.5857774288397</v>
      </c>
      <c r="C149">
        <f>(3/(1+('CurrentPor-LH=40 unchanged'!C149+'CurrentPor-LH=40 unchanged'!G149)/100)+103/POWER(1+('CurrentPor-LH=40 unchanged'!D149+'CurrentPor-LH=40 unchanged'!G149)/100,2))*100</f>
        <v>9614.9673582483465</v>
      </c>
      <c r="D149">
        <f>(3/(1+('CurrentPor-LH=40 unchanged'!C149+'CurrentPor-LH=40 unchanged'!H149)/100)+103/POWER(1+('CurrentPor-LH=40 unchanged'!D149+'CurrentPor-LH=40 unchanged'!H149)/100,2))*100</f>
        <v>9601.2395558122898</v>
      </c>
      <c r="E149">
        <f>(3/(1+('CurrentPor-LH=40 unchanged'!C149+'CurrentPor-LH=40 unchanged'!I149)/100)+103/POWER(1+('CurrentPor-LH=40 unchanged'!D149+'CurrentPor-LH=40 unchanged'!I149)/100,2))*100</f>
        <v>9581.1893794536463</v>
      </c>
      <c r="F149">
        <f>Portfolio!B$5*'CurrentPor-LH=40 unchanged'!E149</f>
        <v>52143.895533915893</v>
      </c>
      <c r="G149">
        <f>Portfolio!B$6*'CurrentPor-LH=40 unchanged'!F149</f>
        <v>3696.2945087936532</v>
      </c>
      <c r="H149">
        <f>Portfolio!B$7*'CurrentPor-LH=40 unchanged'!J149</f>
        <v>2148.0998964419859</v>
      </c>
      <c r="I149">
        <f t="shared" si="4"/>
        <v>96493.272010094646</v>
      </c>
      <c r="J149">
        <f t="shared" si="5"/>
        <v>0.64499801449710503</v>
      </c>
    </row>
    <row r="150" spans="1:10">
      <c r="A150" s="1">
        <v>45679</v>
      </c>
      <c r="B150">
        <f>(3/(1+('CurrentPor-LH=40 unchanged'!C150)/100)+103/POWER(1+('CurrentPor-LH=40 unchanged'!D150)/100,2))*100</f>
        <v>9707.5857774288397</v>
      </c>
      <c r="C150">
        <f>(3/(1+('CurrentPor-LH=40 unchanged'!C150+'CurrentPor-LH=40 unchanged'!G150)/100)+103/POWER(1+('CurrentPor-LH=40 unchanged'!D150+'CurrentPor-LH=40 unchanged'!G150)/100,2))*100</f>
        <v>9614.9673582483465</v>
      </c>
      <c r="D150">
        <f>(3/(1+('CurrentPor-LH=40 unchanged'!C150+'CurrentPor-LH=40 unchanged'!H150)/100)+103/POWER(1+('CurrentPor-LH=40 unchanged'!D150+'CurrentPor-LH=40 unchanged'!H150)/100,2))*100</f>
        <v>9601.2395558122898</v>
      </c>
      <c r="E150">
        <f>(3/(1+('CurrentPor-LH=40 unchanged'!C150+'CurrentPor-LH=40 unchanged'!I150)/100)+103/POWER(1+('CurrentPor-LH=40 unchanged'!D150+'CurrentPor-LH=40 unchanged'!I150)/100,2))*100</f>
        <v>9580.279882083827</v>
      </c>
      <c r="F150">
        <f>Portfolio!B$5*'CurrentPor-LH=40 unchanged'!E150</f>
        <v>52143.895533915893</v>
      </c>
      <c r="G150">
        <f>Portfolio!B$6*'CurrentPor-LH=40 unchanged'!F150</f>
        <v>3696.2945087936532</v>
      </c>
      <c r="H150">
        <f>Portfolio!B$7*'CurrentPor-LH=40 unchanged'!J150</f>
        <v>2148.0998964419859</v>
      </c>
      <c r="I150">
        <f t="shared" si="4"/>
        <v>96492.362512724838</v>
      </c>
      <c r="J150">
        <f t="shared" si="5"/>
        <v>-0.49907363060628995</v>
      </c>
    </row>
    <row r="151" spans="1:10">
      <c r="A151" s="1">
        <v>45680</v>
      </c>
      <c r="B151">
        <f>(3/(1+('CurrentPor-LH=40 unchanged'!C151)/100)+103/POWER(1+('CurrentPor-LH=40 unchanged'!D151)/100,2))*100</f>
        <v>9707.5857774288397</v>
      </c>
      <c r="C151">
        <f>(3/(1+('CurrentPor-LH=40 unchanged'!C151+'CurrentPor-LH=40 unchanged'!G151)/100)+103/POWER(1+('CurrentPor-LH=40 unchanged'!D151+'CurrentPor-LH=40 unchanged'!G151)/100,2))*100</f>
        <v>9614.9673582483465</v>
      </c>
      <c r="D151">
        <f>(3/(1+('CurrentPor-LH=40 unchanged'!C151+'CurrentPor-LH=40 unchanged'!H151)/100)+103/POWER(1+('CurrentPor-LH=40 unchanged'!D151+'CurrentPor-LH=40 unchanged'!H151)/100,2))*100</f>
        <v>9601.2395558122898</v>
      </c>
      <c r="E151">
        <f>(3/(1+('CurrentPor-LH=40 unchanged'!C151+'CurrentPor-LH=40 unchanged'!I151)/100)+103/POWER(1+('CurrentPor-LH=40 unchanged'!D151+'CurrentPor-LH=40 unchanged'!I151)/100,2))*100</f>
        <v>9580.2644455527661</v>
      </c>
      <c r="F151">
        <f>Portfolio!B$5*'CurrentPor-LH=40 unchanged'!E151</f>
        <v>52143.895533915893</v>
      </c>
      <c r="G151">
        <f>Portfolio!B$6*'CurrentPor-LH=40 unchanged'!F151</f>
        <v>3696.2945087936532</v>
      </c>
      <c r="H151">
        <f>Portfolio!B$7*'CurrentPor-LH=40 unchanged'!J151</f>
        <v>2148.0998964419859</v>
      </c>
      <c r="I151">
        <f t="shared" si="4"/>
        <v>96492.347076193764</v>
      </c>
      <c r="J151">
        <f t="shared" si="5"/>
        <v>-0.62188923197390977</v>
      </c>
    </row>
    <row r="152" spans="1:10">
      <c r="A152" s="1">
        <v>45681</v>
      </c>
      <c r="B152">
        <f>(3/(1+('CurrentPor-LH=40 unchanged'!C152)/100)+103/POWER(1+('CurrentPor-LH=40 unchanged'!D152)/100,2))*100</f>
        <v>9707.5857774288397</v>
      </c>
      <c r="C152">
        <f>(3/(1+('CurrentPor-LH=40 unchanged'!C152+'CurrentPor-LH=40 unchanged'!G152)/100)+103/POWER(1+('CurrentPor-LH=40 unchanged'!D152+'CurrentPor-LH=40 unchanged'!G152)/100,2))*100</f>
        <v>9614.9673582483465</v>
      </c>
      <c r="D152">
        <f>(3/(1+('CurrentPor-LH=40 unchanged'!C152+'CurrentPor-LH=40 unchanged'!H152)/100)+103/POWER(1+('CurrentPor-LH=40 unchanged'!D152+'CurrentPor-LH=40 unchanged'!H152)/100,2))*100</f>
        <v>9601.2395558122898</v>
      </c>
      <c r="E152">
        <f>(3/(1+('CurrentPor-LH=40 unchanged'!C152+'CurrentPor-LH=40 unchanged'!I152)/100)+103/POWER(1+('CurrentPor-LH=40 unchanged'!D152+'CurrentPor-LH=40 unchanged'!I152)/100,2))*100</f>
        <v>9580.2220280971069</v>
      </c>
      <c r="F152">
        <f>Portfolio!B$5*'CurrentPor-LH=40 unchanged'!E152</f>
        <v>52143.895533915893</v>
      </c>
      <c r="G152">
        <f>Portfolio!B$6*'CurrentPor-LH=40 unchanged'!F152</f>
        <v>3696.2945087936532</v>
      </c>
      <c r="H152">
        <f>Portfolio!B$7*'CurrentPor-LH=40 unchanged'!J152</f>
        <v>2148.0998964419859</v>
      </c>
      <c r="I152">
        <f t="shared" si="4"/>
        <v>96492.304658738125</v>
      </c>
      <c r="J152">
        <f t="shared" si="5"/>
        <v>-0.29740588486311026</v>
      </c>
    </row>
    <row r="153" spans="1:10">
      <c r="A153" s="1">
        <v>45684</v>
      </c>
      <c r="B153">
        <f>(3/(1+('CurrentPor-LH=40 unchanged'!C153)/100)+103/POWER(1+('CurrentPor-LH=40 unchanged'!D153)/100,2))*100</f>
        <v>9707.5857774288397</v>
      </c>
      <c r="C153">
        <f>(3/(1+('CurrentPor-LH=40 unchanged'!C153+'CurrentPor-LH=40 unchanged'!G153)/100)+103/POWER(1+('CurrentPor-LH=40 unchanged'!D153+'CurrentPor-LH=40 unchanged'!G153)/100,2))*100</f>
        <v>9614.9673582483465</v>
      </c>
      <c r="D153">
        <f>(3/(1+('CurrentPor-LH=40 unchanged'!C153+'CurrentPor-LH=40 unchanged'!H153)/100)+103/POWER(1+('CurrentPor-LH=40 unchanged'!D153+'CurrentPor-LH=40 unchanged'!H153)/100,2))*100</f>
        <v>9601.2395558122898</v>
      </c>
      <c r="E153">
        <f>(3/(1+('CurrentPor-LH=40 unchanged'!C153+'CurrentPor-LH=40 unchanged'!I153)/100)+103/POWER(1+('CurrentPor-LH=40 unchanged'!D153+'CurrentPor-LH=40 unchanged'!I153)/100,2))*100</f>
        <v>9580.9362831777344</v>
      </c>
      <c r="F153">
        <f>Portfolio!B$5*'CurrentPor-LH=40 unchanged'!E153</f>
        <v>52143.895533915893</v>
      </c>
      <c r="G153">
        <f>Portfolio!B$6*'CurrentPor-LH=40 unchanged'!F153</f>
        <v>3696.2945087936532</v>
      </c>
      <c r="H153">
        <f>Portfolio!B$7*'CurrentPor-LH=40 unchanged'!J153</f>
        <v>2148.0998964419859</v>
      </c>
      <c r="I153">
        <f t="shared" si="4"/>
        <v>96493.018913818742</v>
      </c>
      <c r="J153">
        <f t="shared" si="5"/>
        <v>1.0585086058126763</v>
      </c>
    </row>
    <row r="154" spans="1:10">
      <c r="A154" s="1">
        <v>45685</v>
      </c>
      <c r="B154">
        <f>(3/(1+('CurrentPor-LH=40 unchanged'!C154)/100)+103/POWER(1+('CurrentPor-LH=40 unchanged'!D154)/100,2))*100</f>
        <v>9707.5857774288397</v>
      </c>
      <c r="C154">
        <f>(3/(1+('CurrentPor-LH=40 unchanged'!C154+'CurrentPor-LH=40 unchanged'!G154)/100)+103/POWER(1+('CurrentPor-LH=40 unchanged'!D154+'CurrentPor-LH=40 unchanged'!G154)/100,2))*100</f>
        <v>9614.9673582483465</v>
      </c>
      <c r="D154">
        <f>(3/(1+('CurrentPor-LH=40 unchanged'!C154+'CurrentPor-LH=40 unchanged'!H154)/100)+103/POWER(1+('CurrentPor-LH=40 unchanged'!D154+'CurrentPor-LH=40 unchanged'!H154)/100,2))*100</f>
        <v>9601.2395558122898</v>
      </c>
      <c r="E154">
        <f>(3/(1+('CurrentPor-LH=40 unchanged'!C154+'CurrentPor-LH=40 unchanged'!I154)/100)+103/POWER(1+('CurrentPor-LH=40 unchanged'!D154+'CurrentPor-LH=40 unchanged'!I154)/100,2))*100</f>
        <v>9580.1188291312865</v>
      </c>
      <c r="F154">
        <f>Portfolio!B$5*'CurrentPor-LH=40 unchanged'!E154</f>
        <v>52143.895533915893</v>
      </c>
      <c r="G154">
        <f>Portfolio!B$6*'CurrentPor-LH=40 unchanged'!F154</f>
        <v>3696.2945087936532</v>
      </c>
      <c r="H154">
        <f>Portfolio!B$7*'CurrentPor-LH=40 unchanged'!J154</f>
        <v>2148.0998964419859</v>
      </c>
      <c r="I154">
        <f t="shared" si="4"/>
        <v>96492.201459772288</v>
      </c>
      <c r="J154">
        <f t="shared" si="5"/>
        <v>-1.9778675694542471</v>
      </c>
    </row>
    <row r="155" spans="1:10">
      <c r="A155" s="1">
        <v>45686</v>
      </c>
      <c r="B155">
        <f>(3/(1+('CurrentPor-LH=40 unchanged'!C155)/100)+103/POWER(1+('CurrentPor-LH=40 unchanged'!D155)/100,2))*100</f>
        <v>9707.5857774288397</v>
      </c>
      <c r="C155">
        <f>(3/(1+('CurrentPor-LH=40 unchanged'!C155+'CurrentPor-LH=40 unchanged'!G155)/100)+103/POWER(1+('CurrentPor-LH=40 unchanged'!D155+'CurrentPor-LH=40 unchanged'!G155)/100,2))*100</f>
        <v>9614.9673582483465</v>
      </c>
      <c r="D155">
        <f>(3/(1+('CurrentPor-LH=40 unchanged'!C155+'CurrentPor-LH=40 unchanged'!H155)/100)+103/POWER(1+('CurrentPor-LH=40 unchanged'!D155+'CurrentPor-LH=40 unchanged'!H155)/100,2))*100</f>
        <v>9601.2395558122898</v>
      </c>
      <c r="E155">
        <f>(3/(1+('CurrentPor-LH=40 unchanged'!C155+'CurrentPor-LH=40 unchanged'!I155)/100)+103/POWER(1+('CurrentPor-LH=40 unchanged'!D155+'CurrentPor-LH=40 unchanged'!I155)/100,2))*100</f>
        <v>9579.6893977633081</v>
      </c>
      <c r="F155">
        <f>Portfolio!B$5*'CurrentPor-LH=40 unchanged'!E155</f>
        <v>52143.895533915893</v>
      </c>
      <c r="G155">
        <f>Portfolio!B$6*'CurrentPor-LH=40 unchanged'!F155</f>
        <v>3696.2945087936532</v>
      </c>
      <c r="H155">
        <f>Portfolio!B$7*'CurrentPor-LH=40 unchanged'!J155</f>
        <v>2148.0998964419859</v>
      </c>
      <c r="I155">
        <f t="shared" si="4"/>
        <v>96491.772028404317</v>
      </c>
      <c r="J155">
        <f t="shared" si="5"/>
        <v>-0.64764693280449137</v>
      </c>
    </row>
    <row r="156" spans="1:10">
      <c r="A156" s="1">
        <v>45687</v>
      </c>
      <c r="B156">
        <f>(3/(1+('CurrentPor-LH=40 unchanged'!C156)/100)+103/POWER(1+('CurrentPor-LH=40 unchanged'!D156)/100,2))*100</f>
        <v>9707.5857774288397</v>
      </c>
      <c r="C156">
        <f>(3/(1+('CurrentPor-LH=40 unchanged'!C156+'CurrentPor-LH=40 unchanged'!G156)/100)+103/POWER(1+('CurrentPor-LH=40 unchanged'!D156+'CurrentPor-LH=40 unchanged'!G156)/100,2))*100</f>
        <v>9614.9673582483465</v>
      </c>
      <c r="D156">
        <f>(3/(1+('CurrentPor-LH=40 unchanged'!C156+'CurrentPor-LH=40 unchanged'!H156)/100)+103/POWER(1+('CurrentPor-LH=40 unchanged'!D156+'CurrentPor-LH=40 unchanged'!H156)/100,2))*100</f>
        <v>9601.2395558122898</v>
      </c>
      <c r="E156">
        <f>(3/(1+('CurrentPor-LH=40 unchanged'!C156+'CurrentPor-LH=40 unchanged'!I156)/100)+103/POWER(1+('CurrentPor-LH=40 unchanged'!D156+'CurrentPor-LH=40 unchanged'!I156)/100,2))*100</f>
        <v>9580.5566226277369</v>
      </c>
      <c r="F156">
        <f>Portfolio!B$5*'CurrentPor-LH=40 unchanged'!E156</f>
        <v>52143.895533915893</v>
      </c>
      <c r="G156">
        <f>Portfolio!B$6*'CurrentPor-LH=40 unchanged'!F156</f>
        <v>3696.2945087936532</v>
      </c>
      <c r="H156">
        <f>Portfolio!B$7*'CurrentPor-LH=40 unchanged'!J156</f>
        <v>2148.0998964419859</v>
      </c>
      <c r="I156">
        <f t="shared" si="4"/>
        <v>96492.639253268746</v>
      </c>
      <c r="J156">
        <f t="shared" si="5"/>
        <v>1.3269398832781008</v>
      </c>
    </row>
    <row r="157" spans="1:10">
      <c r="A157" s="1">
        <v>45688</v>
      </c>
      <c r="B157">
        <f>(3/(1+('CurrentPor-LH=40 unchanged'!C157)/100)+103/POWER(1+('CurrentPor-LH=40 unchanged'!D157)/100,2))*100</f>
        <v>9707.5857774288397</v>
      </c>
      <c r="C157">
        <f>(3/(1+('CurrentPor-LH=40 unchanged'!C157+'CurrentPor-LH=40 unchanged'!G157)/100)+103/POWER(1+('CurrentPor-LH=40 unchanged'!D157+'CurrentPor-LH=40 unchanged'!G157)/100,2))*100</f>
        <v>9614.9673582483465</v>
      </c>
      <c r="D157">
        <f>(3/(1+('CurrentPor-LH=40 unchanged'!C157+'CurrentPor-LH=40 unchanged'!H157)/100)+103/POWER(1+('CurrentPor-LH=40 unchanged'!D157+'CurrentPor-LH=40 unchanged'!H157)/100,2))*100</f>
        <v>9601.2395558122898</v>
      </c>
      <c r="E157">
        <f>(3/(1+('CurrentPor-LH=40 unchanged'!C157+'CurrentPor-LH=40 unchanged'!I157)/100)+103/POWER(1+('CurrentPor-LH=40 unchanged'!D157+'CurrentPor-LH=40 unchanged'!I157)/100,2))*100</f>
        <v>9581.1764280347634</v>
      </c>
      <c r="F157">
        <f>Portfolio!B$5*'CurrentPor-LH=40 unchanged'!E157</f>
        <v>52143.895533915893</v>
      </c>
      <c r="G157">
        <f>Portfolio!B$6*'CurrentPor-LH=40 unchanged'!F157</f>
        <v>3696.2945087936532</v>
      </c>
      <c r="H157">
        <f>Portfolio!B$7*'CurrentPor-LH=40 unchanged'!J157</f>
        <v>2148.0998964419859</v>
      </c>
      <c r="I157">
        <f t="shared" si="4"/>
        <v>96493.259058675772</v>
      </c>
      <c r="J157">
        <f t="shared" si="5"/>
        <v>0.3127653941483004</v>
      </c>
    </row>
    <row r="158" spans="1:10">
      <c r="A158" s="1">
        <v>45691</v>
      </c>
      <c r="B158">
        <f>(3/(1+('CurrentPor-LH=40 unchanged'!C158)/100)+103/POWER(1+('CurrentPor-LH=40 unchanged'!D158)/100,2))*100</f>
        <v>9707.5857774288397</v>
      </c>
      <c r="C158">
        <f>(3/(1+('CurrentPor-LH=40 unchanged'!C158+'CurrentPor-LH=40 unchanged'!G158)/100)+103/POWER(1+('CurrentPor-LH=40 unchanged'!D158+'CurrentPor-LH=40 unchanged'!G158)/100,2))*100</f>
        <v>9614.9673582483465</v>
      </c>
      <c r="D158">
        <f>(3/(1+('CurrentPor-LH=40 unchanged'!C158+'CurrentPor-LH=40 unchanged'!H158)/100)+103/POWER(1+('CurrentPor-LH=40 unchanged'!D158+'CurrentPor-LH=40 unchanged'!H158)/100,2))*100</f>
        <v>9601.2395558122898</v>
      </c>
      <c r="E158">
        <f>(3/(1+('CurrentPor-LH=40 unchanged'!C158+'CurrentPor-LH=40 unchanged'!I158)/100)+103/POWER(1+('CurrentPor-LH=40 unchanged'!D158+'CurrentPor-LH=40 unchanged'!I158)/100,2))*100</f>
        <v>9580.0205368822171</v>
      </c>
      <c r="F158">
        <f>Portfolio!B$5*'CurrentPor-LH=40 unchanged'!E158</f>
        <v>52143.895533915893</v>
      </c>
      <c r="G158">
        <f>Portfolio!B$6*'CurrentPor-LH=40 unchanged'!F158</f>
        <v>3696.2945087936532</v>
      </c>
      <c r="H158">
        <f>Portfolio!B$7*'CurrentPor-LH=40 unchanged'!J158</f>
        <v>2148.0998964419859</v>
      </c>
      <c r="I158">
        <f t="shared" si="4"/>
        <v>96492.103167523237</v>
      </c>
      <c r="J158">
        <f t="shared" si="5"/>
        <v>-2.853096860300866</v>
      </c>
    </row>
    <row r="159" spans="1:10">
      <c r="A159" s="1">
        <v>45692</v>
      </c>
      <c r="B159">
        <f>(3/(1+('CurrentPor-LH=40 unchanged'!C159)/100)+103/POWER(1+('CurrentPor-LH=40 unchanged'!D159)/100,2))*100</f>
        <v>9707.5857774288397</v>
      </c>
      <c r="C159">
        <f>(3/(1+('CurrentPor-LH=40 unchanged'!C159+'CurrentPor-LH=40 unchanged'!G159)/100)+103/POWER(1+('CurrentPor-LH=40 unchanged'!D159+'CurrentPor-LH=40 unchanged'!G159)/100,2))*100</f>
        <v>9614.9673582483465</v>
      </c>
      <c r="D159">
        <f>(3/(1+('CurrentPor-LH=40 unchanged'!C159+'CurrentPor-LH=40 unchanged'!H159)/100)+103/POWER(1+('CurrentPor-LH=40 unchanged'!D159+'CurrentPor-LH=40 unchanged'!H159)/100,2))*100</f>
        <v>9601.2395558122898</v>
      </c>
      <c r="E159">
        <f>(3/(1+('CurrentPor-LH=40 unchanged'!C159+'CurrentPor-LH=40 unchanged'!I159)/100)+103/POWER(1+('CurrentPor-LH=40 unchanged'!D159+'CurrentPor-LH=40 unchanged'!I159)/100,2))*100</f>
        <v>9581.4267629949518</v>
      </c>
      <c r="F159">
        <f>Portfolio!B$5*'CurrentPor-LH=40 unchanged'!E159</f>
        <v>52143.895533915893</v>
      </c>
      <c r="G159">
        <f>Portfolio!B$6*'CurrentPor-LH=40 unchanged'!F159</f>
        <v>3696.2945087936532</v>
      </c>
      <c r="H159">
        <f>Portfolio!B$7*'CurrentPor-LH=40 unchanged'!J159</f>
        <v>2148.0998964419859</v>
      </c>
      <c r="I159">
        <f t="shared" si="4"/>
        <v>96493.509393635963</v>
      </c>
      <c r="J159">
        <f t="shared" si="5"/>
        <v>0.23738354131637607</v>
      </c>
    </row>
    <row r="160" spans="1:10">
      <c r="A160" s="1">
        <v>45693</v>
      </c>
      <c r="B160">
        <f>(3/(1+('CurrentPor-LH=40 unchanged'!C160)/100)+103/POWER(1+('CurrentPor-LH=40 unchanged'!D160)/100,2))*100</f>
        <v>9707.5857774288397</v>
      </c>
      <c r="C160">
        <f>(3/(1+('CurrentPor-LH=40 unchanged'!C160+'CurrentPor-LH=40 unchanged'!G160)/100)+103/POWER(1+('CurrentPor-LH=40 unchanged'!D160+'CurrentPor-LH=40 unchanged'!G160)/100,2))*100</f>
        <v>9614.9673582483465</v>
      </c>
      <c r="D160">
        <f>(3/(1+('CurrentPor-LH=40 unchanged'!C160+'CurrentPor-LH=40 unchanged'!H160)/100)+103/POWER(1+('CurrentPor-LH=40 unchanged'!D160+'CurrentPor-LH=40 unchanged'!H160)/100,2))*100</f>
        <v>9601.2395558122898</v>
      </c>
      <c r="E160">
        <f>(3/(1+('CurrentPor-LH=40 unchanged'!C160+'CurrentPor-LH=40 unchanged'!I160)/100)+103/POWER(1+('CurrentPor-LH=40 unchanged'!D160+'CurrentPor-LH=40 unchanged'!I160)/100,2))*100</f>
        <v>9581.3339771800165</v>
      </c>
      <c r="F160">
        <f>Portfolio!B$5*'CurrentPor-LH=40 unchanged'!E160</f>
        <v>52143.895533915893</v>
      </c>
      <c r="G160">
        <f>Portfolio!B$6*'CurrentPor-LH=40 unchanged'!F160</f>
        <v>3696.2945087936532</v>
      </c>
      <c r="H160">
        <f>Portfolio!B$7*'CurrentPor-LH=40 unchanged'!J160</f>
        <v>2148.0998964419859</v>
      </c>
      <c r="I160">
        <f t="shared" si="4"/>
        <v>96493.416607821026</v>
      </c>
      <c r="J160">
        <f t="shared" si="5"/>
        <v>1.0540950961876661</v>
      </c>
    </row>
    <row r="161" spans="1:10">
      <c r="A161" s="1">
        <v>45694</v>
      </c>
      <c r="B161">
        <f>(3/(1+('CurrentPor-LH=40 unchanged'!C161)/100)+103/POWER(1+('CurrentPor-LH=40 unchanged'!D161)/100,2))*100</f>
        <v>9707.5857774288397</v>
      </c>
      <c r="C161">
        <f>(3/(1+('CurrentPor-LH=40 unchanged'!C161+'CurrentPor-LH=40 unchanged'!G161)/100)+103/POWER(1+('CurrentPor-LH=40 unchanged'!D161+'CurrentPor-LH=40 unchanged'!G161)/100,2))*100</f>
        <v>9614.9673582483465</v>
      </c>
      <c r="D161">
        <f>(3/(1+('CurrentPor-LH=40 unchanged'!C161+'CurrentPor-LH=40 unchanged'!H161)/100)+103/POWER(1+('CurrentPor-LH=40 unchanged'!D161+'CurrentPor-LH=40 unchanged'!H161)/100,2))*100</f>
        <v>9601.2395558122898</v>
      </c>
      <c r="E161">
        <f>(3/(1+('CurrentPor-LH=40 unchanged'!C161+'CurrentPor-LH=40 unchanged'!I161)/100)+103/POWER(1+('CurrentPor-LH=40 unchanged'!D161+'CurrentPor-LH=40 unchanged'!I161)/100,2))*100</f>
        <v>9581.3395422839985</v>
      </c>
      <c r="F161">
        <f>Portfolio!B$5*'CurrentPor-LH=40 unchanged'!E161</f>
        <v>52143.895533915893</v>
      </c>
      <c r="G161">
        <f>Portfolio!B$6*'CurrentPor-LH=40 unchanged'!F161</f>
        <v>3696.2945087936532</v>
      </c>
      <c r="H161">
        <f>Portfolio!B$7*'CurrentPor-LH=40 unchanged'!J161</f>
        <v>2148.0998964419859</v>
      </c>
      <c r="I161">
        <f t="shared" si="4"/>
        <v>96493.422172925013</v>
      </c>
      <c r="J161">
        <f t="shared" si="5"/>
        <v>1.0750967312487774</v>
      </c>
    </row>
    <row r="162" spans="1:10">
      <c r="A162" s="1">
        <v>45695</v>
      </c>
      <c r="B162">
        <f>(3/(1+('CurrentPor-LH=40 unchanged'!C162)/100)+103/POWER(1+('CurrentPor-LH=40 unchanged'!D162)/100,2))*100</f>
        <v>9707.5857774288397</v>
      </c>
      <c r="C162">
        <f>(3/(1+('CurrentPor-LH=40 unchanged'!C162+'CurrentPor-LH=40 unchanged'!G162)/100)+103/POWER(1+('CurrentPor-LH=40 unchanged'!D162+'CurrentPor-LH=40 unchanged'!G162)/100,2))*100</f>
        <v>9614.9673582483465</v>
      </c>
      <c r="D162">
        <f>(3/(1+('CurrentPor-LH=40 unchanged'!C162+'CurrentPor-LH=40 unchanged'!H162)/100)+103/POWER(1+('CurrentPor-LH=40 unchanged'!D162+'CurrentPor-LH=40 unchanged'!H162)/100,2))*100</f>
        <v>9601.2395558122898</v>
      </c>
      <c r="E162">
        <f>(3/(1+('CurrentPor-LH=40 unchanged'!C162+'CurrentPor-LH=40 unchanged'!I162)/100)+103/POWER(1+('CurrentPor-LH=40 unchanged'!D162+'CurrentPor-LH=40 unchanged'!I162)/100,2))*100</f>
        <v>9581.8406087416988</v>
      </c>
      <c r="F162">
        <f>Portfolio!B$5*'CurrentPor-LH=40 unchanged'!E162</f>
        <v>52143.895533915893</v>
      </c>
      <c r="G162">
        <f>Portfolio!B$6*'CurrentPor-LH=40 unchanged'!F162</f>
        <v>3696.2945087936532</v>
      </c>
      <c r="H162">
        <f>Portfolio!B$7*'CurrentPor-LH=40 unchanged'!J162</f>
        <v>2148.0998964419859</v>
      </c>
      <c r="I162">
        <f t="shared" si="4"/>
        <v>96493.923239382697</v>
      </c>
      <c r="J162">
        <f t="shared" si="5"/>
        <v>1.6185806445719209</v>
      </c>
    </row>
    <row r="163" spans="1:10">
      <c r="A163" s="1">
        <v>45698</v>
      </c>
      <c r="B163">
        <f>(3/(1+('CurrentPor-LH=40 unchanged'!C163)/100)+103/POWER(1+('CurrentPor-LH=40 unchanged'!D163)/100,2))*100</f>
        <v>9707.5857774288397</v>
      </c>
      <c r="C163">
        <f>(3/(1+('CurrentPor-LH=40 unchanged'!C163+'CurrentPor-LH=40 unchanged'!G163)/100)+103/POWER(1+('CurrentPor-LH=40 unchanged'!D163+'CurrentPor-LH=40 unchanged'!G163)/100,2))*100</f>
        <v>9614.9673582483465</v>
      </c>
      <c r="D163">
        <f>(3/(1+('CurrentPor-LH=40 unchanged'!C163+'CurrentPor-LH=40 unchanged'!H163)/100)+103/POWER(1+('CurrentPor-LH=40 unchanged'!D163+'CurrentPor-LH=40 unchanged'!H163)/100,2))*100</f>
        <v>9601.2395558122898</v>
      </c>
      <c r="E163">
        <f>(3/(1+('CurrentPor-LH=40 unchanged'!C163+'CurrentPor-LH=40 unchanged'!I163)/100)+103/POWER(1+('CurrentPor-LH=40 unchanged'!D163+'CurrentPor-LH=40 unchanged'!I163)/100,2))*100</f>
        <v>9580.0853345159703</v>
      </c>
      <c r="F163">
        <f>Portfolio!B$5*'CurrentPor-LH=40 unchanged'!E163</f>
        <v>52143.895533915893</v>
      </c>
      <c r="G163">
        <f>Portfolio!B$6*'CurrentPor-LH=40 unchanged'!F163</f>
        <v>3696.2945087936532</v>
      </c>
      <c r="H163">
        <f>Portfolio!B$7*'CurrentPor-LH=40 unchanged'!J163</f>
        <v>2148.0998964419859</v>
      </c>
      <c r="I163">
        <f t="shared" si="4"/>
        <v>96492.167965156972</v>
      </c>
      <c r="J163">
        <f t="shared" si="5"/>
        <v>-0.85094866176950745</v>
      </c>
    </row>
    <row r="164" spans="1:10">
      <c r="A164" s="1">
        <v>45699</v>
      </c>
      <c r="B164">
        <f>(3/(1+('CurrentPor-LH=40 unchanged'!C164)/100)+103/POWER(1+('CurrentPor-LH=40 unchanged'!D164)/100,2))*100</f>
        <v>9707.5857774288397</v>
      </c>
      <c r="C164">
        <f>(3/(1+('CurrentPor-LH=40 unchanged'!C164+'CurrentPor-LH=40 unchanged'!G164)/100)+103/POWER(1+('CurrentPor-LH=40 unchanged'!D164+'CurrentPor-LH=40 unchanged'!G164)/100,2))*100</f>
        <v>9614.9673582483465</v>
      </c>
      <c r="D164">
        <f>(3/(1+('CurrentPor-LH=40 unchanged'!C164+'CurrentPor-LH=40 unchanged'!H164)/100)+103/POWER(1+('CurrentPor-LH=40 unchanged'!D164+'CurrentPor-LH=40 unchanged'!H164)/100,2))*100</f>
        <v>9601.2395558122898</v>
      </c>
      <c r="E164">
        <f>(3/(1+('CurrentPor-LH=40 unchanged'!C164+'CurrentPor-LH=40 unchanged'!I164)/100)+103/POWER(1+('CurrentPor-LH=40 unchanged'!D164+'CurrentPor-LH=40 unchanged'!I164)/100,2))*100</f>
        <v>9581.1530142653501</v>
      </c>
      <c r="F164">
        <f>Portfolio!B$5*'CurrentPor-LH=40 unchanged'!E164</f>
        <v>52143.895533915893</v>
      </c>
      <c r="G164">
        <f>Portfolio!B$6*'CurrentPor-LH=40 unchanged'!F164</f>
        <v>3696.2945087936532</v>
      </c>
      <c r="H164">
        <f>Portfolio!B$7*'CurrentPor-LH=40 unchanged'!J164</f>
        <v>2148.0998964419859</v>
      </c>
      <c r="I164">
        <f t="shared" si="4"/>
        <v>96493.235644906366</v>
      </c>
      <c r="J164">
        <f t="shared" si="5"/>
        <v>1.0341851340781432</v>
      </c>
    </row>
    <row r="165" spans="1:10">
      <c r="A165" s="1">
        <v>45700</v>
      </c>
      <c r="B165">
        <f>(3/(1+('CurrentPor-LH=40 unchanged'!C165)/100)+103/POWER(1+('CurrentPor-LH=40 unchanged'!D165)/100,2))*100</f>
        <v>9707.5857774288397</v>
      </c>
      <c r="C165">
        <f>(3/(1+('CurrentPor-LH=40 unchanged'!C165+'CurrentPor-LH=40 unchanged'!G165)/100)+103/POWER(1+('CurrentPor-LH=40 unchanged'!D165+'CurrentPor-LH=40 unchanged'!G165)/100,2))*100</f>
        <v>9614.9673582483465</v>
      </c>
      <c r="D165">
        <f>(3/(1+('CurrentPor-LH=40 unchanged'!C165+'CurrentPor-LH=40 unchanged'!H165)/100)+103/POWER(1+('CurrentPor-LH=40 unchanged'!D165+'CurrentPor-LH=40 unchanged'!H165)/100,2))*100</f>
        <v>9601.2395558122898</v>
      </c>
      <c r="E165">
        <f>(3/(1+('CurrentPor-LH=40 unchanged'!C165+'CurrentPor-LH=40 unchanged'!I165)/100)+103/POWER(1+('CurrentPor-LH=40 unchanged'!D165+'CurrentPor-LH=40 unchanged'!I165)/100,2))*100</f>
        <v>9581.211711060063</v>
      </c>
      <c r="F165">
        <f>Portfolio!B$5*'CurrentPor-LH=40 unchanged'!E165</f>
        <v>52143.895533915893</v>
      </c>
      <c r="G165">
        <f>Portfolio!B$6*'CurrentPor-LH=40 unchanged'!F165</f>
        <v>3696.2945087936532</v>
      </c>
      <c r="H165">
        <f>Portfolio!B$7*'CurrentPor-LH=40 unchanged'!J165</f>
        <v>2148.0998964419859</v>
      </c>
      <c r="I165">
        <f t="shared" si="4"/>
        <v>96493.294341701068</v>
      </c>
      <c r="J165">
        <f t="shared" si="5"/>
        <v>1.5223132967512356</v>
      </c>
    </row>
    <row r="166" spans="1:10">
      <c r="A166" s="1">
        <v>45701</v>
      </c>
      <c r="B166">
        <f>(3/(1+('CurrentPor-LH=40 unchanged'!C166)/100)+103/POWER(1+('CurrentPor-LH=40 unchanged'!D166)/100,2))*100</f>
        <v>9707.5857774288397</v>
      </c>
      <c r="C166">
        <f>(3/(1+('CurrentPor-LH=40 unchanged'!C166+'CurrentPor-LH=40 unchanged'!G166)/100)+103/POWER(1+('CurrentPor-LH=40 unchanged'!D166+'CurrentPor-LH=40 unchanged'!G166)/100,2))*100</f>
        <v>9614.9673582483465</v>
      </c>
      <c r="D166">
        <f>(3/(1+('CurrentPor-LH=40 unchanged'!C166+'CurrentPor-LH=40 unchanged'!H166)/100)+103/POWER(1+('CurrentPor-LH=40 unchanged'!D166+'CurrentPor-LH=40 unchanged'!H166)/100,2))*100</f>
        <v>9601.2395558122898</v>
      </c>
      <c r="E166">
        <f>(3/(1+('CurrentPor-LH=40 unchanged'!C166+'CurrentPor-LH=40 unchanged'!I166)/100)+103/POWER(1+('CurrentPor-LH=40 unchanged'!D166+'CurrentPor-LH=40 unchanged'!I166)/100,2))*100</f>
        <v>9580.5309672130352</v>
      </c>
      <c r="F166">
        <f>Portfolio!B$5*'CurrentPor-LH=40 unchanged'!E166</f>
        <v>52143.895533915893</v>
      </c>
      <c r="G166">
        <f>Portfolio!B$6*'CurrentPor-LH=40 unchanged'!F166</f>
        <v>3696.2945087936532</v>
      </c>
      <c r="H166">
        <f>Portfolio!B$7*'CurrentPor-LH=40 unchanged'!J166</f>
        <v>2148.0998964419859</v>
      </c>
      <c r="I166">
        <f t="shared" si="4"/>
        <v>96492.613597854055</v>
      </c>
      <c r="J166">
        <f t="shared" si="5"/>
        <v>-2.5655414690845646E-2</v>
      </c>
    </row>
    <row r="167" spans="1:10">
      <c r="A167" s="1">
        <v>45702</v>
      </c>
      <c r="B167">
        <f>(3/(1+('CurrentPor-LH=40 unchanged'!C167)/100)+103/POWER(1+('CurrentPor-LH=40 unchanged'!D167)/100,2))*100</f>
        <v>9707.5857774288397</v>
      </c>
      <c r="C167">
        <f>(3/(1+('CurrentPor-LH=40 unchanged'!C167+'CurrentPor-LH=40 unchanged'!G167)/100)+103/POWER(1+('CurrentPor-LH=40 unchanged'!D167+'CurrentPor-LH=40 unchanged'!G167)/100,2))*100</f>
        <v>9614.9673582483465</v>
      </c>
      <c r="D167">
        <f>(3/(1+('CurrentPor-LH=40 unchanged'!C167+'CurrentPor-LH=40 unchanged'!H167)/100)+103/POWER(1+('CurrentPor-LH=40 unchanged'!D167+'CurrentPor-LH=40 unchanged'!H167)/100,2))*100</f>
        <v>9601.2395558122898</v>
      </c>
      <c r="E167">
        <f>(3/(1+('CurrentPor-LH=40 unchanged'!C167+'CurrentPor-LH=40 unchanged'!I167)/100)+103/POWER(1+('CurrentPor-LH=40 unchanged'!D167+'CurrentPor-LH=40 unchanged'!I167)/100,2))*100</f>
        <v>9581.1266074224368</v>
      </c>
      <c r="F167">
        <f>Portfolio!B$5*'CurrentPor-LH=40 unchanged'!E167</f>
        <v>52143.895533915893</v>
      </c>
      <c r="G167">
        <f>Portfolio!B$6*'CurrentPor-LH=40 unchanged'!F167</f>
        <v>3696.2945087936532</v>
      </c>
      <c r="H167">
        <f>Portfolio!B$7*'CurrentPor-LH=40 unchanged'!J167</f>
        <v>2148.0998964419859</v>
      </c>
      <c r="I167">
        <f t="shared" si="4"/>
        <v>96493.209238063442</v>
      </c>
      <c r="J167">
        <f t="shared" si="5"/>
        <v>-4.9820612330222502E-2</v>
      </c>
    </row>
    <row r="168" spans="1:10">
      <c r="A168" s="1">
        <v>45705</v>
      </c>
      <c r="B168">
        <f>(3/(1+('CurrentPor-LH=40 unchanged'!C168)/100)+103/POWER(1+('CurrentPor-LH=40 unchanged'!D168)/100,2))*100</f>
        <v>9707.5857774288397</v>
      </c>
      <c r="C168">
        <f>(3/(1+('CurrentPor-LH=40 unchanged'!C168+'CurrentPor-LH=40 unchanged'!G168)/100)+103/POWER(1+('CurrentPor-LH=40 unchanged'!D168+'CurrentPor-LH=40 unchanged'!G168)/100,2))*100</f>
        <v>9614.9673582483465</v>
      </c>
      <c r="D168">
        <f>(3/(1+('CurrentPor-LH=40 unchanged'!C168+'CurrentPor-LH=40 unchanged'!H168)/100)+103/POWER(1+('CurrentPor-LH=40 unchanged'!D168+'CurrentPor-LH=40 unchanged'!H168)/100,2))*100</f>
        <v>9601.2395558122898</v>
      </c>
      <c r="E168">
        <f>(3/(1+('CurrentPor-LH=40 unchanged'!C168+'CurrentPor-LH=40 unchanged'!I168)/100)+103/POWER(1+('CurrentPor-LH=40 unchanged'!D168+'CurrentPor-LH=40 unchanged'!I168)/100,2))*100</f>
        <v>9580.4183285495528</v>
      </c>
      <c r="F168">
        <f>Portfolio!B$5*'CurrentPor-LH=40 unchanged'!E168</f>
        <v>52143.895533915893</v>
      </c>
      <c r="G168">
        <f>Portfolio!B$6*'CurrentPor-LH=40 unchanged'!F168</f>
        <v>3696.2945087936532</v>
      </c>
      <c r="H168">
        <f>Portfolio!B$7*'CurrentPor-LH=40 unchanged'!J168</f>
        <v>2148.0998964419859</v>
      </c>
      <c r="I168">
        <f t="shared" si="4"/>
        <v>96492.500959190555</v>
      </c>
      <c r="J168">
        <f t="shared" si="5"/>
        <v>0.39779166731750593</v>
      </c>
    </row>
    <row r="169" spans="1:10">
      <c r="A169" s="1">
        <v>45706</v>
      </c>
      <c r="B169">
        <f>(3/(1+('CurrentPor-LH=40 unchanged'!C169)/100)+103/POWER(1+('CurrentPor-LH=40 unchanged'!D169)/100,2))*100</f>
        <v>9707.5857774288397</v>
      </c>
      <c r="C169">
        <f>(3/(1+('CurrentPor-LH=40 unchanged'!C169+'CurrentPor-LH=40 unchanged'!G169)/100)+103/POWER(1+('CurrentPor-LH=40 unchanged'!D169+'CurrentPor-LH=40 unchanged'!G169)/100,2))*100</f>
        <v>9614.9673582483465</v>
      </c>
      <c r="D169">
        <f>(3/(1+('CurrentPor-LH=40 unchanged'!C169+'CurrentPor-LH=40 unchanged'!H169)/100)+103/POWER(1+('CurrentPor-LH=40 unchanged'!D169+'CurrentPor-LH=40 unchanged'!H169)/100,2))*100</f>
        <v>9601.2395558122898</v>
      </c>
      <c r="E169">
        <f>(3/(1+('CurrentPor-LH=40 unchanged'!C169+'CurrentPor-LH=40 unchanged'!I169)/100)+103/POWER(1+('CurrentPor-LH=40 unchanged'!D169+'CurrentPor-LH=40 unchanged'!I169)/100,2))*100</f>
        <v>9582.1206670582433</v>
      </c>
      <c r="F169">
        <f>Portfolio!B$5*'CurrentPor-LH=40 unchanged'!E169</f>
        <v>52143.895533915893</v>
      </c>
      <c r="G169">
        <f>Portfolio!B$6*'CurrentPor-LH=40 unchanged'!F169</f>
        <v>3696.2945087936532</v>
      </c>
      <c r="H169">
        <f>Portfolio!B$7*'CurrentPor-LH=40 unchanged'!J169</f>
        <v>2148.0998964419859</v>
      </c>
      <c r="I169">
        <f t="shared" si="4"/>
        <v>96494.203297699263</v>
      </c>
      <c r="J169">
        <f t="shared" si="5"/>
        <v>0.69390406330057885</v>
      </c>
    </row>
    <row r="170" spans="1:10">
      <c r="A170" s="1">
        <v>45707</v>
      </c>
      <c r="B170">
        <f>(3/(1+('CurrentPor-LH=40 unchanged'!C170)/100)+103/POWER(1+('CurrentPor-LH=40 unchanged'!D170)/100,2))*100</f>
        <v>9707.5857774288397</v>
      </c>
      <c r="C170">
        <f>(3/(1+('CurrentPor-LH=40 unchanged'!C170+'CurrentPor-LH=40 unchanged'!G170)/100)+103/POWER(1+('CurrentPor-LH=40 unchanged'!D170+'CurrentPor-LH=40 unchanged'!G170)/100,2))*100</f>
        <v>9614.9673582483465</v>
      </c>
      <c r="D170">
        <f>(3/(1+('CurrentPor-LH=40 unchanged'!C170+'CurrentPor-LH=40 unchanged'!H170)/100)+103/POWER(1+('CurrentPor-LH=40 unchanged'!D170+'CurrentPor-LH=40 unchanged'!H170)/100,2))*100</f>
        <v>9601.2395558122898</v>
      </c>
      <c r="E170">
        <f>(3/(1+('CurrentPor-LH=40 unchanged'!C170+'CurrentPor-LH=40 unchanged'!I170)/100)+103/POWER(1+('CurrentPor-LH=40 unchanged'!D170+'CurrentPor-LH=40 unchanged'!I170)/100,2))*100</f>
        <v>9580.7381265307795</v>
      </c>
      <c r="F170">
        <f>Portfolio!B$5*'CurrentPor-LH=40 unchanged'!E170</f>
        <v>52143.895533915893</v>
      </c>
      <c r="G170">
        <f>Portfolio!B$6*'CurrentPor-LH=40 unchanged'!F170</f>
        <v>3696.2945087936532</v>
      </c>
      <c r="H170">
        <f>Portfolio!B$7*'CurrentPor-LH=40 unchanged'!J170</f>
        <v>2148.0998964419859</v>
      </c>
      <c r="I170">
        <f t="shared" si="4"/>
        <v>96492.820757171794</v>
      </c>
      <c r="J170">
        <f t="shared" si="5"/>
        <v>-0.59585064923157915</v>
      </c>
    </row>
    <row r="171" spans="1:10">
      <c r="A171" s="1">
        <v>45708</v>
      </c>
      <c r="B171">
        <f>(3/(1+('CurrentPor-LH=40 unchanged'!C171)/100)+103/POWER(1+('CurrentPor-LH=40 unchanged'!D171)/100,2))*100</f>
        <v>9707.5857774288397</v>
      </c>
      <c r="C171">
        <f>(3/(1+('CurrentPor-LH=40 unchanged'!C171+'CurrentPor-LH=40 unchanged'!G171)/100)+103/POWER(1+('CurrentPor-LH=40 unchanged'!D171+'CurrentPor-LH=40 unchanged'!G171)/100,2))*100</f>
        <v>9614.9673582483465</v>
      </c>
      <c r="D171">
        <f>(3/(1+('CurrentPor-LH=40 unchanged'!C171+'CurrentPor-LH=40 unchanged'!H171)/100)+103/POWER(1+('CurrentPor-LH=40 unchanged'!D171+'CurrentPor-LH=40 unchanged'!H171)/100,2))*100</f>
        <v>9601.2395558122898</v>
      </c>
      <c r="E171">
        <f>(3/(1+('CurrentPor-LH=40 unchanged'!C171+'CurrentPor-LH=40 unchanged'!I171)/100)+103/POWER(1+('CurrentPor-LH=40 unchanged'!D171+'CurrentPor-LH=40 unchanged'!I171)/100,2))*100</f>
        <v>9580.8027685194393</v>
      </c>
      <c r="F171">
        <f>Portfolio!B$5*'CurrentPor-LH=40 unchanged'!E171</f>
        <v>52143.895533915893</v>
      </c>
      <c r="G171">
        <f>Portfolio!B$6*'CurrentPor-LH=40 unchanged'!F171</f>
        <v>3696.2945087936532</v>
      </c>
      <c r="H171">
        <f>Portfolio!B$7*'CurrentPor-LH=40 unchanged'!J171</f>
        <v>2148.0998964419859</v>
      </c>
      <c r="I171">
        <f t="shared" si="4"/>
        <v>96492.885399160456</v>
      </c>
      <c r="J171">
        <f t="shared" si="5"/>
        <v>-0.53677376455743797</v>
      </c>
    </row>
    <row r="172" spans="1:10">
      <c r="A172" s="1">
        <v>45709</v>
      </c>
      <c r="B172">
        <f>(3/(1+('CurrentPor-LH=40 unchanged'!C172)/100)+103/POWER(1+('CurrentPor-LH=40 unchanged'!D172)/100,2))*100</f>
        <v>9707.5857774288397</v>
      </c>
      <c r="C172">
        <f>(3/(1+('CurrentPor-LH=40 unchanged'!C172+'CurrentPor-LH=40 unchanged'!G172)/100)+103/POWER(1+('CurrentPor-LH=40 unchanged'!D172+'CurrentPor-LH=40 unchanged'!G172)/100,2))*100</f>
        <v>9614.9673582483465</v>
      </c>
      <c r="D172">
        <f>(3/(1+('CurrentPor-LH=40 unchanged'!C172+'CurrentPor-LH=40 unchanged'!H172)/100)+103/POWER(1+('CurrentPor-LH=40 unchanged'!D172+'CurrentPor-LH=40 unchanged'!H172)/100,2))*100</f>
        <v>9601.2395558122898</v>
      </c>
      <c r="E172">
        <f>(3/(1+('CurrentPor-LH=40 unchanged'!C172+'CurrentPor-LH=40 unchanged'!I172)/100)+103/POWER(1+('CurrentPor-LH=40 unchanged'!D172+'CurrentPor-LH=40 unchanged'!I172)/100,2))*100</f>
        <v>9580.8246753988042</v>
      </c>
      <c r="F172">
        <f>Portfolio!B$5*'CurrentPor-LH=40 unchanged'!E172</f>
        <v>52143.895533915893</v>
      </c>
      <c r="G172">
        <f>Portfolio!B$6*'CurrentPor-LH=40 unchanged'!F172</f>
        <v>3696.2945087936532</v>
      </c>
      <c r="H172">
        <f>Portfolio!B$7*'CurrentPor-LH=40 unchanged'!J172</f>
        <v>2148.0998964419859</v>
      </c>
      <c r="I172">
        <f t="shared" si="4"/>
        <v>96492.907306039808</v>
      </c>
      <c r="J172">
        <f t="shared" si="5"/>
        <v>-1.0159333428891841</v>
      </c>
    </row>
    <row r="173" spans="1:10">
      <c r="A173" s="1">
        <v>45712</v>
      </c>
      <c r="B173">
        <f>(3/(1+('CurrentPor-LH=40 unchanged'!C173)/100)+103/POWER(1+('CurrentPor-LH=40 unchanged'!D173)/100,2))*100</f>
        <v>9707.5857774288397</v>
      </c>
      <c r="C173">
        <f>(3/(1+('CurrentPor-LH=40 unchanged'!C173+'CurrentPor-LH=40 unchanged'!G173)/100)+103/POWER(1+('CurrentPor-LH=40 unchanged'!D173+'CurrentPor-LH=40 unchanged'!G173)/100,2))*100</f>
        <v>9614.9673582483465</v>
      </c>
      <c r="D173">
        <f>(3/(1+('CurrentPor-LH=40 unchanged'!C173+'CurrentPor-LH=40 unchanged'!H173)/100)+103/POWER(1+('CurrentPor-LH=40 unchanged'!D173+'CurrentPor-LH=40 unchanged'!H173)/100,2))*100</f>
        <v>9601.2395558122898</v>
      </c>
      <c r="E173">
        <f>(3/(1+('CurrentPor-LH=40 unchanged'!C173+'CurrentPor-LH=40 unchanged'!I173)/100)+103/POWER(1+('CurrentPor-LH=40 unchanged'!D173+'CurrentPor-LH=40 unchanged'!I173)/100,2))*100</f>
        <v>9580.2201101821247</v>
      </c>
      <c r="F173">
        <f>Portfolio!B$5*'CurrentPor-LH=40 unchanged'!E173</f>
        <v>52143.895533915893</v>
      </c>
      <c r="G173">
        <f>Portfolio!B$6*'CurrentPor-LH=40 unchanged'!F173</f>
        <v>3696.2945087936532</v>
      </c>
      <c r="H173">
        <f>Portfolio!B$7*'CurrentPor-LH=40 unchanged'!J173</f>
        <v>2148.0998964419859</v>
      </c>
      <c r="I173">
        <f t="shared" si="4"/>
        <v>96492.302740823143</v>
      </c>
      <c r="J173">
        <f t="shared" si="5"/>
        <v>0.13477566617075354</v>
      </c>
    </row>
    <row r="174" spans="1:10">
      <c r="A174" s="1">
        <v>45713</v>
      </c>
      <c r="B174">
        <f>(3/(1+('CurrentPor-LH=40 unchanged'!C174)/100)+103/POWER(1+('CurrentPor-LH=40 unchanged'!D174)/100,2))*100</f>
        <v>9707.5857774288397</v>
      </c>
      <c r="C174">
        <f>(3/(1+('CurrentPor-LH=40 unchanged'!C174+'CurrentPor-LH=40 unchanged'!G174)/100)+103/POWER(1+('CurrentPor-LH=40 unchanged'!D174+'CurrentPor-LH=40 unchanged'!G174)/100,2))*100</f>
        <v>9614.9673582483465</v>
      </c>
      <c r="D174">
        <f>(3/(1+('CurrentPor-LH=40 unchanged'!C174+'CurrentPor-LH=40 unchanged'!H174)/100)+103/POWER(1+('CurrentPor-LH=40 unchanged'!D174+'CurrentPor-LH=40 unchanged'!H174)/100,2))*100</f>
        <v>9601.2395558122898</v>
      </c>
      <c r="E174">
        <f>(3/(1+('CurrentPor-LH=40 unchanged'!C174+'CurrentPor-LH=40 unchanged'!I174)/100)+103/POWER(1+('CurrentPor-LH=40 unchanged'!D174+'CurrentPor-LH=40 unchanged'!I174)/100,2))*100</f>
        <v>9580.976903943194</v>
      </c>
      <c r="F174">
        <f>Portfolio!B$5*'CurrentPor-LH=40 unchanged'!E174</f>
        <v>52143.895533915893</v>
      </c>
      <c r="G174">
        <f>Portfolio!B$6*'CurrentPor-LH=40 unchanged'!F174</f>
        <v>3696.2945087936532</v>
      </c>
      <c r="H174">
        <f>Portfolio!B$7*'CurrentPor-LH=40 unchanged'!J174</f>
        <v>2148.0998964419859</v>
      </c>
      <c r="I174">
        <f t="shared" si="4"/>
        <v>96493.059534584201</v>
      </c>
      <c r="J174">
        <f t="shared" si="5"/>
        <v>-0.17611032216518652</v>
      </c>
    </row>
    <row r="175" spans="1:10">
      <c r="A175" s="1">
        <v>45714</v>
      </c>
      <c r="B175">
        <f>(3/(1+('CurrentPor-LH=40 unchanged'!C175)/100)+103/POWER(1+('CurrentPor-LH=40 unchanged'!D175)/100,2))*100</f>
        <v>9707.5857774288397</v>
      </c>
      <c r="C175">
        <f>(3/(1+('CurrentPor-LH=40 unchanged'!C175+'CurrentPor-LH=40 unchanged'!G175)/100)+103/POWER(1+('CurrentPor-LH=40 unchanged'!D175+'CurrentPor-LH=40 unchanged'!G175)/100,2))*100</f>
        <v>9614.9673582483465</v>
      </c>
      <c r="D175">
        <f>(3/(1+('CurrentPor-LH=40 unchanged'!C175+'CurrentPor-LH=40 unchanged'!H175)/100)+103/POWER(1+('CurrentPor-LH=40 unchanged'!D175+'CurrentPor-LH=40 unchanged'!H175)/100,2))*100</f>
        <v>9601.2395558122898</v>
      </c>
      <c r="E175">
        <f>(3/(1+('CurrentPor-LH=40 unchanged'!C175+'CurrentPor-LH=40 unchanged'!I175)/100)+103/POWER(1+('CurrentPor-LH=40 unchanged'!D175+'CurrentPor-LH=40 unchanged'!I175)/100,2))*100</f>
        <v>9581.6531457080491</v>
      </c>
      <c r="F175">
        <f>Portfolio!B$5*'CurrentPor-LH=40 unchanged'!E175</f>
        <v>52143.895533915893</v>
      </c>
      <c r="G175">
        <f>Portfolio!B$6*'CurrentPor-LH=40 unchanged'!F175</f>
        <v>3696.2945087936532</v>
      </c>
      <c r="H175">
        <f>Portfolio!B$7*'CurrentPor-LH=40 unchanged'!J175</f>
        <v>2148.0998964419859</v>
      </c>
      <c r="I175">
        <f t="shared" si="4"/>
        <v>96493.735776349058</v>
      </c>
      <c r="J175">
        <f t="shared" si="5"/>
        <v>0.44143464798980858</v>
      </c>
    </row>
    <row r="176" spans="1:10">
      <c r="A176" s="1">
        <v>45715</v>
      </c>
      <c r="B176">
        <f>(3/(1+('CurrentPor-LH=40 unchanged'!C176)/100)+103/POWER(1+('CurrentPor-LH=40 unchanged'!D176)/100,2))*100</f>
        <v>9707.5857774288397</v>
      </c>
      <c r="C176">
        <f>(3/(1+('CurrentPor-LH=40 unchanged'!C176+'CurrentPor-LH=40 unchanged'!G176)/100)+103/POWER(1+('CurrentPor-LH=40 unchanged'!D176+'CurrentPor-LH=40 unchanged'!G176)/100,2))*100</f>
        <v>9614.9673582483465</v>
      </c>
      <c r="D176">
        <f>(3/(1+('CurrentPor-LH=40 unchanged'!C176+'CurrentPor-LH=40 unchanged'!H176)/100)+103/POWER(1+('CurrentPor-LH=40 unchanged'!D176+'CurrentPor-LH=40 unchanged'!H176)/100,2))*100</f>
        <v>9601.2395558122898</v>
      </c>
      <c r="E176">
        <f>(3/(1+('CurrentPor-LH=40 unchanged'!C176+'CurrentPor-LH=40 unchanged'!I176)/100)+103/POWER(1+('CurrentPor-LH=40 unchanged'!D176+'CurrentPor-LH=40 unchanged'!I176)/100,2))*100</f>
        <v>9579.3951518741778</v>
      </c>
      <c r="F176">
        <f>Portfolio!B$5*'CurrentPor-LH=40 unchanged'!E176</f>
        <v>52143.895533915893</v>
      </c>
      <c r="G176">
        <f>Portfolio!B$6*'CurrentPor-LH=40 unchanged'!F176</f>
        <v>3696.2945087936532</v>
      </c>
      <c r="H176">
        <f>Portfolio!B$7*'CurrentPor-LH=40 unchanged'!J176</f>
        <v>2148.0998964419859</v>
      </c>
      <c r="I176">
        <f t="shared" si="4"/>
        <v>96491.477782515183</v>
      </c>
      <c r="J176">
        <f t="shared" si="5"/>
        <v>-1.1358153388719074</v>
      </c>
    </row>
    <row r="177" spans="1:10">
      <c r="A177" s="1">
        <v>45716</v>
      </c>
      <c r="B177">
        <f>(3/(1+('CurrentPor-LH=40 unchanged'!C177)/100)+103/POWER(1+('CurrentPor-LH=40 unchanged'!D177)/100,2))*100</f>
        <v>9707.5857774288397</v>
      </c>
      <c r="C177">
        <f>(3/(1+('CurrentPor-LH=40 unchanged'!C177+'CurrentPor-LH=40 unchanged'!G177)/100)+103/POWER(1+('CurrentPor-LH=40 unchanged'!D177+'CurrentPor-LH=40 unchanged'!G177)/100,2))*100</f>
        <v>9614.9673582483465</v>
      </c>
      <c r="D177">
        <f>(3/(1+('CurrentPor-LH=40 unchanged'!C177+'CurrentPor-LH=40 unchanged'!H177)/100)+103/POWER(1+('CurrentPor-LH=40 unchanged'!D177+'CurrentPor-LH=40 unchanged'!H177)/100,2))*100</f>
        <v>9601.2395558122898</v>
      </c>
      <c r="E177">
        <f>(3/(1+('CurrentPor-LH=40 unchanged'!C177+'CurrentPor-LH=40 unchanged'!I177)/100)+103/POWER(1+('CurrentPor-LH=40 unchanged'!D177+'CurrentPor-LH=40 unchanged'!I177)/100,2))*100</f>
        <v>9579.1437676115347</v>
      </c>
      <c r="F177">
        <f>Portfolio!B$5*'CurrentPor-LH=40 unchanged'!E177</f>
        <v>52143.895533915893</v>
      </c>
      <c r="G177">
        <f>Portfolio!B$6*'CurrentPor-LH=40 unchanged'!F177</f>
        <v>3696.2945087936532</v>
      </c>
      <c r="H177">
        <f>Portfolio!B$7*'CurrentPor-LH=40 unchanged'!J177</f>
        <v>2148.0998964419859</v>
      </c>
      <c r="I177">
        <f t="shared" si="4"/>
        <v>96491.226398252547</v>
      </c>
      <c r="J177">
        <f t="shared" si="5"/>
        <v>-1.9828398108948022</v>
      </c>
    </row>
    <row r="178" spans="1:10">
      <c r="A178" s="1">
        <v>45719</v>
      </c>
      <c r="B178">
        <f>(3/(1+('CurrentPor-LH=40 unchanged'!C178)/100)+103/POWER(1+('CurrentPor-LH=40 unchanged'!D178)/100,2))*100</f>
        <v>9707.5857774288397</v>
      </c>
      <c r="C178">
        <f>(3/(1+('CurrentPor-LH=40 unchanged'!C178+'CurrentPor-LH=40 unchanged'!G178)/100)+103/POWER(1+('CurrentPor-LH=40 unchanged'!D178+'CurrentPor-LH=40 unchanged'!G178)/100,2))*100</f>
        <v>9614.9673582483465</v>
      </c>
      <c r="D178">
        <f>(3/(1+('CurrentPor-LH=40 unchanged'!C178+'CurrentPor-LH=40 unchanged'!H178)/100)+103/POWER(1+('CurrentPor-LH=40 unchanged'!D178+'CurrentPor-LH=40 unchanged'!H178)/100,2))*100</f>
        <v>9601.2395558122898</v>
      </c>
      <c r="E178">
        <f>(3/(1+('CurrentPor-LH=40 unchanged'!C178+'CurrentPor-LH=40 unchanged'!I178)/100)+103/POWER(1+('CurrentPor-LH=40 unchanged'!D178+'CurrentPor-LH=40 unchanged'!I178)/100,2))*100</f>
        <v>9581.2673056063413</v>
      </c>
      <c r="F178">
        <f>Portfolio!B$5*'CurrentPor-LH=40 unchanged'!E178</f>
        <v>52143.895533915893</v>
      </c>
      <c r="G178">
        <f>Portfolio!B$6*'CurrentPor-LH=40 unchanged'!F178</f>
        <v>3696.2945087936532</v>
      </c>
      <c r="H178">
        <f>Portfolio!B$7*'CurrentPor-LH=40 unchanged'!J178</f>
        <v>2148.0998964419859</v>
      </c>
      <c r="I178">
        <f t="shared" si="4"/>
        <v>96493.349936247352</v>
      </c>
      <c r="J178">
        <f t="shared" si="5"/>
        <v>0.84897705679759383</v>
      </c>
    </row>
    <row r="179" spans="1:10">
      <c r="A179" s="1">
        <v>45720</v>
      </c>
      <c r="B179">
        <f>(3/(1+('CurrentPor-LH=40 unchanged'!C179)/100)+103/POWER(1+('CurrentPor-LH=40 unchanged'!D179)/100,2))*100</f>
        <v>9707.5857774288397</v>
      </c>
      <c r="C179">
        <f>(3/(1+('CurrentPor-LH=40 unchanged'!C179+'CurrentPor-LH=40 unchanged'!G179)/100)+103/POWER(1+('CurrentPor-LH=40 unchanged'!D179+'CurrentPor-LH=40 unchanged'!G179)/100,2))*100</f>
        <v>9614.9673582483465</v>
      </c>
      <c r="D179">
        <f>(3/(1+('CurrentPor-LH=40 unchanged'!C179+'CurrentPor-LH=40 unchanged'!H179)/100)+103/POWER(1+('CurrentPor-LH=40 unchanged'!D179+'CurrentPor-LH=40 unchanged'!H179)/100,2))*100</f>
        <v>9601.2395558122898</v>
      </c>
      <c r="E179">
        <f>(3/(1+('CurrentPor-LH=40 unchanged'!C179+'CurrentPor-LH=40 unchanged'!I179)/100)+103/POWER(1+('CurrentPor-LH=40 unchanged'!D179+'CurrentPor-LH=40 unchanged'!I179)/100,2))*100</f>
        <v>9579.9048868127065</v>
      </c>
      <c r="F179">
        <f>Portfolio!B$5*'CurrentPor-LH=40 unchanged'!E179</f>
        <v>52143.895533915893</v>
      </c>
      <c r="G179">
        <f>Portfolio!B$6*'CurrentPor-LH=40 unchanged'!F179</f>
        <v>3696.2945087936532</v>
      </c>
      <c r="H179">
        <f>Portfolio!B$7*'CurrentPor-LH=40 unchanged'!J179</f>
        <v>2148.0998964419859</v>
      </c>
      <c r="I179">
        <f t="shared" si="4"/>
        <v>96491.987517453716</v>
      </c>
      <c r="J179">
        <f t="shared" si="5"/>
        <v>-2.2157802455476485</v>
      </c>
    </row>
    <row r="180" spans="1:10">
      <c r="A180" s="1">
        <v>45721</v>
      </c>
      <c r="B180">
        <f>(3/(1+('CurrentPor-LH=40 unchanged'!C180)/100)+103/POWER(1+('CurrentPor-LH=40 unchanged'!D180)/100,2))*100</f>
        <v>9707.5857774288397</v>
      </c>
      <c r="C180">
        <f>(3/(1+('CurrentPor-LH=40 unchanged'!C180+'CurrentPor-LH=40 unchanged'!G180)/100)+103/POWER(1+('CurrentPor-LH=40 unchanged'!D180+'CurrentPor-LH=40 unchanged'!G180)/100,2))*100</f>
        <v>9614.9673582483465</v>
      </c>
      <c r="D180">
        <f>(3/(1+('CurrentPor-LH=40 unchanged'!C180+'CurrentPor-LH=40 unchanged'!H180)/100)+103/POWER(1+('CurrentPor-LH=40 unchanged'!D180+'CurrentPor-LH=40 unchanged'!H180)/100,2))*100</f>
        <v>9601.2395558122898</v>
      </c>
      <c r="E180">
        <f>(3/(1+('CurrentPor-LH=40 unchanged'!C180+'CurrentPor-LH=40 unchanged'!I180)/100)+103/POWER(1+('CurrentPor-LH=40 unchanged'!D180+'CurrentPor-LH=40 unchanged'!I180)/100,2))*100</f>
        <v>9579.9429569371223</v>
      </c>
      <c r="F180">
        <f>Portfolio!B$5*'CurrentPor-LH=40 unchanged'!E180</f>
        <v>52143.895533915893</v>
      </c>
      <c r="G180">
        <f>Portfolio!B$6*'CurrentPor-LH=40 unchanged'!F180</f>
        <v>3696.2945087936532</v>
      </c>
      <c r="H180">
        <f>Portfolio!B$7*'CurrentPor-LH=40 unchanged'!J180</f>
        <v>2148.0998964419859</v>
      </c>
      <c r="I180">
        <f t="shared" si="4"/>
        <v>96492.025587578129</v>
      </c>
      <c r="J180">
        <f t="shared" si="5"/>
        <v>-0.79516959366446827</v>
      </c>
    </row>
    <row r="181" spans="1:10">
      <c r="A181" s="1">
        <v>45722</v>
      </c>
      <c r="B181">
        <f>(3/(1+('CurrentPor-LH=40 unchanged'!C181)/100)+103/POWER(1+('CurrentPor-LH=40 unchanged'!D181)/100,2))*100</f>
        <v>9707.5857774288397</v>
      </c>
      <c r="C181">
        <f>(3/(1+('CurrentPor-LH=40 unchanged'!C181+'CurrentPor-LH=40 unchanged'!G181)/100)+103/POWER(1+('CurrentPor-LH=40 unchanged'!D181+'CurrentPor-LH=40 unchanged'!G181)/100,2))*100</f>
        <v>9614.9673582483465</v>
      </c>
      <c r="D181">
        <f>(3/(1+('CurrentPor-LH=40 unchanged'!C181+'CurrentPor-LH=40 unchanged'!H181)/100)+103/POWER(1+('CurrentPor-LH=40 unchanged'!D181+'CurrentPor-LH=40 unchanged'!H181)/100,2))*100</f>
        <v>9601.2395558122898</v>
      </c>
      <c r="E181">
        <f>(3/(1+('CurrentPor-LH=40 unchanged'!C181+'CurrentPor-LH=40 unchanged'!I181)/100)+103/POWER(1+('CurrentPor-LH=40 unchanged'!D181+'CurrentPor-LH=40 unchanged'!I181)/100,2))*100</f>
        <v>9579.6668647682745</v>
      </c>
      <c r="F181">
        <f>Portfolio!B$5*'CurrentPor-LH=40 unchanged'!E181</f>
        <v>52143.895533915893</v>
      </c>
      <c r="G181">
        <f>Portfolio!B$6*'CurrentPor-LH=40 unchanged'!F181</f>
        <v>3696.2945087936532</v>
      </c>
      <c r="H181">
        <f>Portfolio!B$7*'CurrentPor-LH=40 unchanged'!J181</f>
        <v>2148.0998964419859</v>
      </c>
      <c r="I181">
        <f t="shared" si="4"/>
        <v>96491.749495409284</v>
      </c>
      <c r="J181">
        <f t="shared" si="5"/>
        <v>-1.1359037511720089</v>
      </c>
    </row>
    <row r="182" spans="1:10">
      <c r="A182" s="1">
        <v>45723</v>
      </c>
      <c r="B182">
        <f>(3/(1+('CurrentPor-LH=40 unchanged'!C182)/100)+103/POWER(1+('CurrentPor-LH=40 unchanged'!D182)/100,2))*100</f>
        <v>9707.5857774288397</v>
      </c>
      <c r="C182">
        <f>(3/(1+('CurrentPor-LH=40 unchanged'!C182+'CurrentPor-LH=40 unchanged'!G182)/100)+103/POWER(1+('CurrentPor-LH=40 unchanged'!D182+'CurrentPor-LH=40 unchanged'!G182)/100,2))*100</f>
        <v>9614.9673582483465</v>
      </c>
      <c r="D182">
        <f>(3/(1+('CurrentPor-LH=40 unchanged'!C182+'CurrentPor-LH=40 unchanged'!H182)/100)+103/POWER(1+('CurrentPor-LH=40 unchanged'!D182+'CurrentPor-LH=40 unchanged'!H182)/100,2))*100</f>
        <v>9601.2395558122898</v>
      </c>
      <c r="E182">
        <f>(3/(1+('CurrentPor-LH=40 unchanged'!C182+'CurrentPor-LH=40 unchanged'!I182)/100)+103/POWER(1+('CurrentPor-LH=40 unchanged'!D182+'CurrentPor-LH=40 unchanged'!I182)/100,2))*100</f>
        <v>9581.4748378717886</v>
      </c>
      <c r="F182">
        <f>Portfolio!B$5*'CurrentPor-LH=40 unchanged'!E182</f>
        <v>52143.895533915893</v>
      </c>
      <c r="G182">
        <f>Portfolio!B$6*'CurrentPor-LH=40 unchanged'!F182</f>
        <v>3696.2945087936532</v>
      </c>
      <c r="H182">
        <f>Portfolio!B$7*'CurrentPor-LH=40 unchanged'!J182</f>
        <v>2148.0998964419859</v>
      </c>
      <c r="I182">
        <f t="shared" si="4"/>
        <v>96493.557468512809</v>
      </c>
      <c r="J182">
        <f t="shared" si="5"/>
        <v>0.65016247300081886</v>
      </c>
    </row>
    <row r="183" spans="1:10">
      <c r="A183" s="1">
        <v>45726</v>
      </c>
      <c r="B183">
        <f>(3/(1+('CurrentPor-LH=40 unchanged'!C183)/100)+103/POWER(1+('CurrentPor-LH=40 unchanged'!D183)/100,2))*100</f>
        <v>9707.5857774288397</v>
      </c>
      <c r="C183">
        <f>(3/(1+('CurrentPor-LH=40 unchanged'!C183+'CurrentPor-LH=40 unchanged'!G183)/100)+103/POWER(1+('CurrentPor-LH=40 unchanged'!D183+'CurrentPor-LH=40 unchanged'!G183)/100,2))*100</f>
        <v>9614.9673582483465</v>
      </c>
      <c r="D183">
        <f>(3/(1+('CurrentPor-LH=40 unchanged'!C183+'CurrentPor-LH=40 unchanged'!H183)/100)+103/POWER(1+('CurrentPor-LH=40 unchanged'!D183+'CurrentPor-LH=40 unchanged'!H183)/100,2))*100</f>
        <v>9601.2395558122898</v>
      </c>
      <c r="E183">
        <f>(3/(1+('CurrentPor-LH=40 unchanged'!C183+'CurrentPor-LH=40 unchanged'!I183)/100)+103/POWER(1+('CurrentPor-LH=40 unchanged'!D183+'CurrentPor-LH=40 unchanged'!I183)/100,2))*100</f>
        <v>9582.0350652334091</v>
      </c>
      <c r="F183">
        <f>Portfolio!B$5*'CurrentPor-LH=40 unchanged'!E183</f>
        <v>52143.895533915893</v>
      </c>
      <c r="G183">
        <f>Portfolio!B$6*'CurrentPor-LH=40 unchanged'!F183</f>
        <v>3696.2945087936532</v>
      </c>
      <c r="H183">
        <f>Portfolio!B$7*'CurrentPor-LH=40 unchanged'!J183</f>
        <v>2148.0998964419859</v>
      </c>
      <c r="I183">
        <f t="shared" si="4"/>
        <v>96494.117695874418</v>
      </c>
      <c r="J183">
        <f t="shared" si="5"/>
        <v>1.8149550512753194</v>
      </c>
    </row>
    <row r="184" spans="1:10">
      <c r="A184" s="1">
        <v>45727</v>
      </c>
      <c r="B184">
        <f>(3/(1+('CurrentPor-LH=40 unchanged'!C184)/100)+103/POWER(1+('CurrentPor-LH=40 unchanged'!D184)/100,2))*100</f>
        <v>9707.5857774288397</v>
      </c>
      <c r="C184">
        <f>(3/(1+('CurrentPor-LH=40 unchanged'!C184+'CurrentPor-LH=40 unchanged'!G184)/100)+103/POWER(1+('CurrentPor-LH=40 unchanged'!D184+'CurrentPor-LH=40 unchanged'!G184)/100,2))*100</f>
        <v>9614.9673582483465</v>
      </c>
      <c r="D184">
        <f>(3/(1+('CurrentPor-LH=40 unchanged'!C184+'CurrentPor-LH=40 unchanged'!H184)/100)+103/POWER(1+('CurrentPor-LH=40 unchanged'!D184+'CurrentPor-LH=40 unchanged'!H184)/100,2))*100</f>
        <v>9601.2395558122898</v>
      </c>
      <c r="E184">
        <f>(3/(1+('CurrentPor-LH=40 unchanged'!C184+'CurrentPor-LH=40 unchanged'!I184)/100)+103/POWER(1+('CurrentPor-LH=40 unchanged'!D184+'CurrentPor-LH=40 unchanged'!I184)/100,2))*100</f>
        <v>9579.6027309219098</v>
      </c>
      <c r="F184">
        <f>Portfolio!B$5*'CurrentPor-LH=40 unchanged'!E184</f>
        <v>52143.895533915893</v>
      </c>
      <c r="G184">
        <f>Portfolio!B$6*'CurrentPor-LH=40 unchanged'!F184</f>
        <v>3696.2945087936532</v>
      </c>
      <c r="H184">
        <f>Portfolio!B$7*'CurrentPor-LH=40 unchanged'!J184</f>
        <v>2148.0998964419859</v>
      </c>
      <c r="I184">
        <f t="shared" si="4"/>
        <v>96491.685361562922</v>
      </c>
      <c r="J184">
        <f t="shared" si="5"/>
        <v>-1.3741730212786933</v>
      </c>
    </row>
    <row r="185" spans="1:10">
      <c r="A185" s="1">
        <v>45728</v>
      </c>
      <c r="B185">
        <f>(3/(1+('CurrentPor-LH=40 unchanged'!C185)/100)+103/POWER(1+('CurrentPor-LH=40 unchanged'!D185)/100,2))*100</f>
        <v>9707.5857774288397</v>
      </c>
      <c r="C185">
        <f>(3/(1+('CurrentPor-LH=40 unchanged'!C185+'CurrentPor-LH=40 unchanged'!G185)/100)+103/POWER(1+('CurrentPor-LH=40 unchanged'!D185+'CurrentPor-LH=40 unchanged'!G185)/100,2))*100</f>
        <v>9614.9673582483465</v>
      </c>
      <c r="D185">
        <f>(3/(1+('CurrentPor-LH=40 unchanged'!C185+'CurrentPor-LH=40 unchanged'!H185)/100)+103/POWER(1+('CurrentPor-LH=40 unchanged'!D185+'CurrentPor-LH=40 unchanged'!H185)/100,2))*100</f>
        <v>9601.2395558122898</v>
      </c>
      <c r="E185">
        <f>(3/(1+('CurrentPor-LH=40 unchanged'!C185+'CurrentPor-LH=40 unchanged'!I185)/100)+103/POWER(1+('CurrentPor-LH=40 unchanged'!D185+'CurrentPor-LH=40 unchanged'!I185)/100,2))*100</f>
        <v>9581.4150386279125</v>
      </c>
      <c r="F185">
        <f>Portfolio!B$5*'CurrentPor-LH=40 unchanged'!E185</f>
        <v>52143.895533915893</v>
      </c>
      <c r="G185">
        <f>Portfolio!B$6*'CurrentPor-LH=40 unchanged'!F185</f>
        <v>3696.2945087936532</v>
      </c>
      <c r="H185">
        <f>Portfolio!B$7*'CurrentPor-LH=40 unchanged'!J185</f>
        <v>2148.0998964419859</v>
      </c>
      <c r="I185">
        <f t="shared" si="4"/>
        <v>96493.497669268923</v>
      </c>
      <c r="J185">
        <f t="shared" si="5"/>
        <v>-0.23810708013479598</v>
      </c>
    </row>
    <row r="186" spans="1:10">
      <c r="A186" s="1">
        <v>45729</v>
      </c>
      <c r="B186">
        <f>(3/(1+('CurrentPor-LH=40 unchanged'!C186)/100)+103/POWER(1+('CurrentPor-LH=40 unchanged'!D186)/100,2))*100</f>
        <v>9707.5857774288397</v>
      </c>
      <c r="C186">
        <f>(3/(1+('CurrentPor-LH=40 unchanged'!C186+'CurrentPor-LH=40 unchanged'!G186)/100)+103/POWER(1+('CurrentPor-LH=40 unchanged'!D186+'CurrentPor-LH=40 unchanged'!G186)/100,2))*100</f>
        <v>9614.9673582483465</v>
      </c>
      <c r="D186">
        <f>(3/(1+('CurrentPor-LH=40 unchanged'!C186+'CurrentPor-LH=40 unchanged'!H186)/100)+103/POWER(1+('CurrentPor-LH=40 unchanged'!D186+'CurrentPor-LH=40 unchanged'!H186)/100,2))*100</f>
        <v>9601.2395558122898</v>
      </c>
      <c r="E186">
        <f>(3/(1+('CurrentPor-LH=40 unchanged'!C186+'CurrentPor-LH=40 unchanged'!I186)/100)+103/POWER(1+('CurrentPor-LH=40 unchanged'!D186+'CurrentPor-LH=40 unchanged'!I186)/100,2))*100</f>
        <v>9579.9387901347636</v>
      </c>
      <c r="F186">
        <f>Portfolio!B$5*'CurrentPor-LH=40 unchanged'!E186</f>
        <v>52143.895533915893</v>
      </c>
      <c r="G186">
        <f>Portfolio!B$6*'CurrentPor-LH=40 unchanged'!F186</f>
        <v>3696.2945087936532</v>
      </c>
      <c r="H186">
        <f>Portfolio!B$7*'CurrentPor-LH=40 unchanged'!J186</f>
        <v>2148.0998964419859</v>
      </c>
      <c r="I186">
        <f t="shared" si="4"/>
        <v>96492.021420775782</v>
      </c>
      <c r="J186">
        <f t="shared" si="5"/>
        <v>0.54363826059852727</v>
      </c>
    </row>
    <row r="187" spans="1:10">
      <c r="A187" s="1">
        <v>45730</v>
      </c>
      <c r="B187">
        <f>(3/(1+('CurrentPor-LH=40 unchanged'!C187)/100)+103/POWER(1+('CurrentPor-LH=40 unchanged'!D187)/100,2))*100</f>
        <v>9707.5857774288397</v>
      </c>
      <c r="C187">
        <f>(3/(1+('CurrentPor-LH=40 unchanged'!C187+'CurrentPor-LH=40 unchanged'!G187)/100)+103/POWER(1+('CurrentPor-LH=40 unchanged'!D187+'CurrentPor-LH=40 unchanged'!G187)/100,2))*100</f>
        <v>9614.9673582483465</v>
      </c>
      <c r="D187">
        <f>(3/(1+('CurrentPor-LH=40 unchanged'!C187+'CurrentPor-LH=40 unchanged'!H187)/100)+103/POWER(1+('CurrentPor-LH=40 unchanged'!D187+'CurrentPor-LH=40 unchanged'!H187)/100,2))*100</f>
        <v>9601.2395558122898</v>
      </c>
      <c r="E187">
        <f>(3/(1+('CurrentPor-LH=40 unchanged'!C187+'CurrentPor-LH=40 unchanged'!I187)/100)+103/POWER(1+('CurrentPor-LH=40 unchanged'!D187+'CurrentPor-LH=40 unchanged'!I187)/100,2))*100</f>
        <v>9580.3644691577283</v>
      </c>
      <c r="F187">
        <f>Portfolio!B$5*'CurrentPor-LH=40 unchanged'!E187</f>
        <v>52143.895533915893</v>
      </c>
      <c r="G187">
        <f>Portfolio!B$6*'CurrentPor-LH=40 unchanged'!F187</f>
        <v>3696.2945087936532</v>
      </c>
      <c r="H187">
        <f>Portfolio!B$7*'CurrentPor-LH=40 unchanged'!J187</f>
        <v>2148.0998964419859</v>
      </c>
      <c r="I187">
        <f t="shared" si="4"/>
        <v>96492.447099798737</v>
      </c>
      <c r="J187">
        <f t="shared" si="5"/>
        <v>1.2207015461899573</v>
      </c>
    </row>
    <row r="188" spans="1:10">
      <c r="A188" s="13">
        <v>45733</v>
      </c>
      <c r="B188">
        <f>(3/(1+('CurrentPor-LH=40 unchanged'!C188)/100)+103/POWER(1+('CurrentPor-LH=40 unchanged'!D188)/100,2))*100</f>
        <v>9707.5857774288397</v>
      </c>
      <c r="C188">
        <f>(3/(1+('CurrentPor-LH=40 unchanged'!C188+'CurrentPor-LH=40 unchanged'!G188)/100)+103/POWER(1+('CurrentPor-LH=40 unchanged'!D188+'CurrentPor-LH=40 unchanged'!G188)/100,2))*100</f>
        <v>9614.9673582483465</v>
      </c>
      <c r="D188">
        <f>(3/(1+('CurrentPor-LH=40 unchanged'!C188+'CurrentPor-LH=40 unchanged'!H188)/100)+103/POWER(1+('CurrentPor-LH=40 unchanged'!D188+'CurrentPor-LH=40 unchanged'!H188)/100,2))*100</f>
        <v>9601.2395558122898</v>
      </c>
      <c r="E188">
        <f>(3/(1+('CurrentPor-LH=40 unchanged'!C188+'CurrentPor-LH=40 unchanged'!I188)/100)+103/POWER(1+('CurrentPor-LH=40 unchanged'!D188+'CurrentPor-LH=40 unchanged'!I188)/100,2))*100</f>
        <v>9580.6454985559321</v>
      </c>
      <c r="F188">
        <f>Portfolio!B$5*'CurrentPor-LH=40 unchanged'!E188</f>
        <v>52143.895533915893</v>
      </c>
      <c r="G188">
        <f>Portfolio!B$6*'CurrentPor-LH=40 unchanged'!F188</f>
        <v>3696.2945087936532</v>
      </c>
      <c r="H188">
        <f>Portfolio!B$7*'CurrentPor-LH=40 unchanged'!J188</f>
        <v>2148.0998964419859</v>
      </c>
      <c r="I188">
        <f t="shared" si="4"/>
        <v>96492.728129196941</v>
      </c>
      <c r="J188">
        <f t="shared" si="5"/>
        <v>-0.62180705041100737</v>
      </c>
    </row>
    <row r="189" spans="1:10">
      <c r="A189" s="1">
        <v>45734</v>
      </c>
      <c r="B189">
        <f>(3/(1+('CurrentPor-LH=40 unchanged'!C189)/100)+103/POWER(1+('CurrentPor-LH=40 unchanged'!D189)/100,2))*100</f>
        <v>9707.5857774288397</v>
      </c>
      <c r="C189">
        <f>(3/(1+('CurrentPor-LH=40 unchanged'!C189+'CurrentPor-LH=40 unchanged'!G189)/100)+103/POWER(1+('CurrentPor-LH=40 unchanged'!D189+'CurrentPor-LH=40 unchanged'!G189)/100,2))*100</f>
        <v>9614.9673582483465</v>
      </c>
      <c r="D189">
        <f>(3/(1+('CurrentPor-LH=40 unchanged'!C189+'CurrentPor-LH=40 unchanged'!H189)/100)+103/POWER(1+('CurrentPor-LH=40 unchanged'!D189+'CurrentPor-LH=40 unchanged'!H189)/100,2))*100</f>
        <v>9601.2395558122898</v>
      </c>
      <c r="E189">
        <f>(3/(1+('CurrentPor-LH=40 unchanged'!C189+'CurrentPor-LH=40 unchanged'!I189)/100)+103/POWER(1+('CurrentPor-LH=40 unchanged'!D189+'CurrentPor-LH=40 unchanged'!I189)/100,2))*100</f>
        <v>9580.3887991504871</v>
      </c>
      <c r="F189">
        <f>Portfolio!B$5*'CurrentPor-LH=40 unchanged'!E189</f>
        <v>52143.895533915893</v>
      </c>
      <c r="G189">
        <f>Portfolio!B$6*'CurrentPor-LH=40 unchanged'!F189</f>
        <v>3696.2945087936532</v>
      </c>
      <c r="H189">
        <f>Portfolio!B$7*'CurrentPor-LH=40 unchanged'!J189</f>
        <v>2148.0998964419859</v>
      </c>
      <c r="I189">
        <f t="shared" si="4"/>
        <v>96492.471429791491</v>
      </c>
      <c r="J189">
        <f t="shared" si="5"/>
        <v>0.48391233777510934</v>
      </c>
    </row>
    <row r="190" spans="1:10">
      <c r="A190" s="1">
        <v>45735</v>
      </c>
      <c r="B190">
        <f>(3/(1+('CurrentPor-LH=40 unchanged'!C190)/100)+103/POWER(1+('CurrentPor-LH=40 unchanged'!D190)/100,2))*100</f>
        <v>9707.5857774288397</v>
      </c>
      <c r="C190">
        <f>(3/(1+('CurrentPor-LH=40 unchanged'!C190+'CurrentPor-LH=40 unchanged'!G190)/100)+103/POWER(1+('CurrentPor-LH=40 unchanged'!D190+'CurrentPor-LH=40 unchanged'!G190)/100,2))*100</f>
        <v>9614.9673582483465</v>
      </c>
      <c r="D190">
        <f>(3/(1+('CurrentPor-LH=40 unchanged'!C190+'CurrentPor-LH=40 unchanged'!H190)/100)+103/POWER(1+('CurrentPor-LH=40 unchanged'!D190+'CurrentPor-LH=40 unchanged'!H190)/100,2))*100</f>
        <v>9601.2395558122898</v>
      </c>
      <c r="E190">
        <f>(3/(1+('CurrentPor-LH=40 unchanged'!C190+'CurrentPor-LH=40 unchanged'!I190)/100)+103/POWER(1+('CurrentPor-LH=40 unchanged'!D190+'CurrentPor-LH=40 unchanged'!I190)/100,2))*100</f>
        <v>9582.1119724264627</v>
      </c>
      <c r="F190">
        <f>Portfolio!B$5*'CurrentPor-LH=40 unchanged'!E190</f>
        <v>52143.895533915893</v>
      </c>
      <c r="G190">
        <f>Portfolio!B$6*'CurrentPor-LH=40 unchanged'!F190</f>
        <v>3696.2945087936532</v>
      </c>
      <c r="H190">
        <f>Portfolio!B$7*'CurrentPor-LH=40 unchanged'!J190</f>
        <v>2148.0998964419859</v>
      </c>
      <c r="I190">
        <f t="shared" si="4"/>
        <v>96494.194603067474</v>
      </c>
      <c r="J190">
        <f t="shared" si="5"/>
        <v>2.1690154893440194</v>
      </c>
    </row>
    <row r="191" spans="1:10">
      <c r="A191" s="1">
        <v>45736</v>
      </c>
      <c r="B191">
        <f>(3/(1+('CurrentPor-LH=40 unchanged'!C191)/100)+103/POWER(1+('CurrentPor-LH=40 unchanged'!D191)/100,2))*100</f>
        <v>9707.5857774288397</v>
      </c>
      <c r="C191">
        <f>(3/(1+('CurrentPor-LH=40 unchanged'!C191+'CurrentPor-LH=40 unchanged'!G191)/100)+103/POWER(1+('CurrentPor-LH=40 unchanged'!D191+'CurrentPor-LH=40 unchanged'!G191)/100,2))*100</f>
        <v>9614.9673582483465</v>
      </c>
      <c r="D191">
        <f>(3/(1+('CurrentPor-LH=40 unchanged'!C191+'CurrentPor-LH=40 unchanged'!H191)/100)+103/POWER(1+('CurrentPor-LH=40 unchanged'!D191+'CurrentPor-LH=40 unchanged'!H191)/100,2))*100</f>
        <v>9601.2395558122898</v>
      </c>
      <c r="E191">
        <f>(3/(1+('CurrentPor-LH=40 unchanged'!C191+'CurrentPor-LH=40 unchanged'!I191)/100)+103/POWER(1+('CurrentPor-LH=40 unchanged'!D191+'CurrentPor-LH=40 unchanged'!I191)/100,2))*100</f>
        <v>9581.5416821441668</v>
      </c>
      <c r="F191">
        <f>Portfolio!B$5*'CurrentPor-LH=40 unchanged'!E191</f>
        <v>52143.895533915893</v>
      </c>
      <c r="G191">
        <f>Portfolio!B$6*'CurrentPor-LH=40 unchanged'!F191</f>
        <v>3696.2945087936532</v>
      </c>
      <c r="H191">
        <f>Portfolio!B$7*'CurrentPor-LH=40 unchanged'!J191</f>
        <v>2148.0998964419859</v>
      </c>
      <c r="I191">
        <f t="shared" si="4"/>
        <v>96493.624312785178</v>
      </c>
      <c r="J191">
        <f t="shared" si="5"/>
        <v>1.8748173758940538</v>
      </c>
    </row>
    <row r="192" spans="1:10">
      <c r="A192" s="1">
        <v>45737</v>
      </c>
      <c r="B192">
        <f>(3/(1+('CurrentPor-LH=40 unchanged'!C192)/100)+103/POWER(1+('CurrentPor-LH=40 unchanged'!D192)/100,2))*100</f>
        <v>9707.5857774288397</v>
      </c>
      <c r="C192">
        <f>(3/(1+('CurrentPor-LH=40 unchanged'!C192+'CurrentPor-LH=40 unchanged'!G192)/100)+103/POWER(1+('CurrentPor-LH=40 unchanged'!D192+'CurrentPor-LH=40 unchanged'!G192)/100,2))*100</f>
        <v>9614.9673582483465</v>
      </c>
      <c r="D192">
        <f>(3/(1+('CurrentPor-LH=40 unchanged'!C192+'CurrentPor-LH=40 unchanged'!H192)/100)+103/POWER(1+('CurrentPor-LH=40 unchanged'!D192+'CurrentPor-LH=40 unchanged'!H192)/100,2))*100</f>
        <v>9601.2395558122898</v>
      </c>
      <c r="E192">
        <f>(3/(1+('CurrentPor-LH=40 unchanged'!C192+'CurrentPor-LH=40 unchanged'!I192)/100)+103/POWER(1+('CurrentPor-LH=40 unchanged'!D192+'CurrentPor-LH=40 unchanged'!I192)/100,2))*100</f>
        <v>9578.2999225113654</v>
      </c>
      <c r="F192">
        <f>Portfolio!B$5*'CurrentPor-LH=40 unchanged'!E192</f>
        <v>52143.895533915893</v>
      </c>
      <c r="G192">
        <f>Portfolio!B$6*'CurrentPor-LH=40 unchanged'!F192</f>
        <v>3696.2945087936532</v>
      </c>
      <c r="H192">
        <f>Portfolio!B$7*'CurrentPor-LH=40 unchanged'!J192</f>
        <v>2148.0998964419859</v>
      </c>
      <c r="I192">
        <f t="shared" si="4"/>
        <v>96490.382553152376</v>
      </c>
      <c r="J192">
        <f t="shared" si="5"/>
        <v>-3.174915360432351</v>
      </c>
    </row>
    <row r="193" spans="1:10">
      <c r="A193" s="1">
        <v>45740</v>
      </c>
      <c r="B193">
        <f>(3/(1+('CurrentPor-LH=40 unchanged'!C193)/100)+103/POWER(1+('CurrentPor-LH=40 unchanged'!D193)/100,2))*100</f>
        <v>9707.5857774288397</v>
      </c>
      <c r="C193">
        <f>(3/(1+('CurrentPor-LH=40 unchanged'!C193+'CurrentPor-LH=40 unchanged'!G193)/100)+103/POWER(1+('CurrentPor-LH=40 unchanged'!D193+'CurrentPor-LH=40 unchanged'!G193)/100,2))*100</f>
        <v>9614.9673582483465</v>
      </c>
      <c r="D193">
        <f>(3/(1+('CurrentPor-LH=40 unchanged'!C193+'CurrentPor-LH=40 unchanged'!H193)/100)+103/POWER(1+('CurrentPor-LH=40 unchanged'!D193+'CurrentPor-LH=40 unchanged'!H193)/100,2))*100</f>
        <v>9601.2395558122898</v>
      </c>
      <c r="E193">
        <f>(3/(1+('CurrentPor-LH=40 unchanged'!C193+'CurrentPor-LH=40 unchanged'!I193)/100)+103/POWER(1+('CurrentPor-LH=40 unchanged'!D193+'CurrentPor-LH=40 unchanged'!I193)/100,2))*100</f>
        <v>9581.0793804743462</v>
      </c>
      <c r="F193">
        <f>Portfolio!B$5*'CurrentPor-LH=40 unchanged'!E193</f>
        <v>52143.895533915893</v>
      </c>
      <c r="G193">
        <f>Portfolio!B$6*'CurrentPor-LH=40 unchanged'!F193</f>
        <v>3696.2945087936532</v>
      </c>
      <c r="H193">
        <f>Portfolio!B$7*'CurrentPor-LH=40 unchanged'!J193</f>
        <v>2148.0998964419859</v>
      </c>
      <c r="I193">
        <f t="shared" si="4"/>
        <v>96493.162011115361</v>
      </c>
      <c r="J193">
        <f t="shared" si="5"/>
        <v>-0.95568475905747619</v>
      </c>
    </row>
    <row r="194" spans="1:10">
      <c r="A194" s="1">
        <v>45741</v>
      </c>
      <c r="B194">
        <f>(3/(1+('CurrentPor-LH=40 unchanged'!C194)/100)+103/POWER(1+('CurrentPor-LH=40 unchanged'!D194)/100,2))*100</f>
        <v>9707.5857774288397</v>
      </c>
      <c r="C194">
        <f>(3/(1+('CurrentPor-LH=40 unchanged'!C194+'CurrentPor-LH=40 unchanged'!G194)/100)+103/POWER(1+('CurrentPor-LH=40 unchanged'!D194+'CurrentPor-LH=40 unchanged'!G194)/100,2))*100</f>
        <v>9614.9673582483465</v>
      </c>
      <c r="D194">
        <f>(3/(1+('CurrentPor-LH=40 unchanged'!C194+'CurrentPor-LH=40 unchanged'!H194)/100)+103/POWER(1+('CurrentPor-LH=40 unchanged'!D194+'CurrentPor-LH=40 unchanged'!H194)/100,2))*100</f>
        <v>9601.2395558122898</v>
      </c>
      <c r="E194">
        <f>(3/(1+('CurrentPor-LH=40 unchanged'!C194+'CurrentPor-LH=40 unchanged'!I194)/100)+103/POWER(1+('CurrentPor-LH=40 unchanged'!D194+'CurrentPor-LH=40 unchanged'!I194)/100,2))*100</f>
        <v>9580.8460628314042</v>
      </c>
      <c r="F194">
        <f>Portfolio!B$5*'CurrentPor-LH=40 unchanged'!E194</f>
        <v>52143.895533915893</v>
      </c>
      <c r="G194">
        <f>Portfolio!B$6*'CurrentPor-LH=40 unchanged'!F194</f>
        <v>3696.2945087936532</v>
      </c>
      <c r="H194">
        <f>Portfolio!B$7*'CurrentPor-LH=40 unchanged'!J194</f>
        <v>2148.0998964419859</v>
      </c>
      <c r="I194">
        <f t="shared" si="4"/>
        <v>96492.928693472422</v>
      </c>
      <c r="J194">
        <f t="shared" si="5"/>
        <v>1.2433319094998296</v>
      </c>
    </row>
    <row r="195" spans="1:10">
      <c r="A195" s="1">
        <v>45742</v>
      </c>
      <c r="B195">
        <f>(3/(1+('CurrentPor-LH=40 unchanged'!C195)/100)+103/POWER(1+('CurrentPor-LH=40 unchanged'!D195)/100,2))*100</f>
        <v>9707.5857774288397</v>
      </c>
      <c r="C195">
        <f>(3/(1+('CurrentPor-LH=40 unchanged'!C195+'CurrentPor-LH=40 unchanged'!G195)/100)+103/POWER(1+('CurrentPor-LH=40 unchanged'!D195+'CurrentPor-LH=40 unchanged'!G195)/100,2))*100</f>
        <v>9614.9673582483465</v>
      </c>
      <c r="D195">
        <f>(3/(1+('CurrentPor-LH=40 unchanged'!C195+'CurrentPor-LH=40 unchanged'!H195)/100)+103/POWER(1+('CurrentPor-LH=40 unchanged'!D195+'CurrentPor-LH=40 unchanged'!H195)/100,2))*100</f>
        <v>9601.2395558122898</v>
      </c>
      <c r="E195">
        <f>(3/(1+('CurrentPor-LH=40 unchanged'!C195+'CurrentPor-LH=40 unchanged'!I195)/100)+103/POWER(1+('CurrentPor-LH=40 unchanged'!D195+'CurrentPor-LH=40 unchanged'!I195)/100,2))*100</f>
        <v>9578.3316448618443</v>
      </c>
      <c r="F195">
        <f>Portfolio!B$5*'CurrentPor-LH=40 unchanged'!E195</f>
        <v>52143.895533915893</v>
      </c>
      <c r="G195">
        <f>Portfolio!B$6*'CurrentPor-LH=40 unchanged'!F195</f>
        <v>3696.2945087936532</v>
      </c>
      <c r="H195">
        <f>Portfolio!B$7*'CurrentPor-LH=40 unchanged'!J195</f>
        <v>2148.0998964419859</v>
      </c>
      <c r="I195">
        <f t="shared" si="4"/>
        <v>96490.414275502859</v>
      </c>
      <c r="J195">
        <f t="shared" si="5"/>
        <v>-3.0833937660645461</v>
      </c>
    </row>
    <row r="196" spans="1:10">
      <c r="A196" s="1">
        <v>45743</v>
      </c>
      <c r="B196">
        <f>(3/(1+('CurrentPor-LH=40 unchanged'!C196)/100)+103/POWER(1+('CurrentPor-LH=40 unchanged'!D196)/100,2))*100</f>
        <v>9707.5857774288397</v>
      </c>
      <c r="C196">
        <f>(3/(1+('CurrentPor-LH=40 unchanged'!C196+'CurrentPor-LH=40 unchanged'!G196)/100)+103/POWER(1+('CurrentPor-LH=40 unchanged'!D196+'CurrentPor-LH=40 unchanged'!G196)/100,2))*100</f>
        <v>9614.9673582483465</v>
      </c>
      <c r="D196">
        <f>(3/(1+('CurrentPor-LH=40 unchanged'!C196+'CurrentPor-LH=40 unchanged'!H196)/100)+103/POWER(1+('CurrentPor-LH=40 unchanged'!D196+'CurrentPor-LH=40 unchanged'!H196)/100,2))*100</f>
        <v>9601.2395558122898</v>
      </c>
      <c r="E196">
        <f>(3/(1+('CurrentPor-LH=40 unchanged'!C196+'CurrentPor-LH=40 unchanged'!I196)/100)+103/POWER(1+('CurrentPor-LH=40 unchanged'!D196+'CurrentPor-LH=40 unchanged'!I196)/100,2))*100</f>
        <v>9580.4631807122314</v>
      </c>
      <c r="F196">
        <f>Portfolio!B$5*'CurrentPor-LH=40 unchanged'!E196</f>
        <v>52143.895533915893</v>
      </c>
      <c r="G196">
        <f>Portfolio!B$6*'CurrentPor-LH=40 unchanged'!F196</f>
        <v>3696.2945087936532</v>
      </c>
      <c r="H196">
        <f>Portfolio!B$7*'CurrentPor-LH=40 unchanged'!J196</f>
        <v>2148.0998964419859</v>
      </c>
      <c r="I196">
        <f t="shared" ref="I196:I259" si="6">SUM(B196:H196)</f>
        <v>96492.545811353237</v>
      </c>
      <c r="J196">
        <f t="shared" si="5"/>
        <v>0.52439057745505124</v>
      </c>
    </row>
    <row r="197" spans="1:10">
      <c r="A197" s="1">
        <v>45744</v>
      </c>
      <c r="B197">
        <f>(3/(1+('CurrentPor-LH=40 unchanged'!C197)/100)+103/POWER(1+('CurrentPor-LH=40 unchanged'!D197)/100,2))*100</f>
        <v>9707.5857774288397</v>
      </c>
      <c r="C197">
        <f>(3/(1+('CurrentPor-LH=40 unchanged'!C197+'CurrentPor-LH=40 unchanged'!G197)/100)+103/POWER(1+('CurrentPor-LH=40 unchanged'!D197+'CurrentPor-LH=40 unchanged'!G197)/100,2))*100</f>
        <v>9614.9673582483465</v>
      </c>
      <c r="D197">
        <f>(3/(1+('CurrentPor-LH=40 unchanged'!C197+'CurrentPor-LH=40 unchanged'!H197)/100)+103/POWER(1+('CurrentPor-LH=40 unchanged'!D197+'CurrentPor-LH=40 unchanged'!H197)/100,2))*100</f>
        <v>9601.2395558122898</v>
      </c>
      <c r="E197">
        <f>(3/(1+('CurrentPor-LH=40 unchanged'!C197+'CurrentPor-LH=40 unchanged'!I197)/100)+103/POWER(1+('CurrentPor-LH=40 unchanged'!D197+'CurrentPor-LH=40 unchanged'!I197)/100,2))*100</f>
        <v>9579.9611182409244</v>
      </c>
      <c r="F197">
        <f>Portfolio!B$5*'CurrentPor-LH=40 unchanged'!E197</f>
        <v>52143.895533915893</v>
      </c>
      <c r="G197">
        <f>Portfolio!B$6*'CurrentPor-LH=40 unchanged'!F197</f>
        <v>3696.2945087936532</v>
      </c>
      <c r="H197">
        <f>Portfolio!B$7*'CurrentPor-LH=40 unchanged'!J197</f>
        <v>2148.0998964419859</v>
      </c>
      <c r="I197">
        <f t="shared" si="6"/>
        <v>96492.043748881944</v>
      </c>
      <c r="J197">
        <f t="shared" si="5"/>
        <v>-0.40335091679298785</v>
      </c>
    </row>
    <row r="198" spans="1:10">
      <c r="A198" s="1">
        <v>45747</v>
      </c>
      <c r="B198">
        <f>(3/(1+('CurrentPor-LH=40 unchanged'!C198)/100)+103/POWER(1+('CurrentPor-LH=40 unchanged'!D198)/100,2))*100</f>
        <v>9707.5857774288397</v>
      </c>
      <c r="C198">
        <f>(3/(1+('CurrentPor-LH=40 unchanged'!C198+'CurrentPor-LH=40 unchanged'!G198)/100)+103/POWER(1+('CurrentPor-LH=40 unchanged'!D198+'CurrentPor-LH=40 unchanged'!G198)/100,2))*100</f>
        <v>9614.9673582483465</v>
      </c>
      <c r="D198">
        <f>(3/(1+('CurrentPor-LH=40 unchanged'!C198+'CurrentPor-LH=40 unchanged'!H198)/100)+103/POWER(1+('CurrentPor-LH=40 unchanged'!D198+'CurrentPor-LH=40 unchanged'!H198)/100,2))*100</f>
        <v>9601.2395558122898</v>
      </c>
      <c r="E198">
        <f>(3/(1+('CurrentPor-LH=40 unchanged'!C198+'CurrentPor-LH=40 unchanged'!I198)/100)+103/POWER(1+('CurrentPor-LH=40 unchanged'!D198+'CurrentPor-LH=40 unchanged'!I198)/100,2))*100</f>
        <v>9582.3862248828591</v>
      </c>
      <c r="F198">
        <f>Portfolio!B$5*'CurrentPor-LH=40 unchanged'!E198</f>
        <v>52143.895533915893</v>
      </c>
      <c r="G198">
        <f>Portfolio!B$6*'CurrentPor-LH=40 unchanged'!F198</f>
        <v>3696.2945087936532</v>
      </c>
      <c r="H198">
        <f>Portfolio!B$7*'CurrentPor-LH=40 unchanged'!J198</f>
        <v>2148.0998964419859</v>
      </c>
      <c r="I198">
        <f t="shared" si="6"/>
        <v>96494.468855523868</v>
      </c>
      <c r="J198">
        <f t="shared" si="5"/>
        <v>1.7407263269269606</v>
      </c>
    </row>
    <row r="199" spans="1:10">
      <c r="A199" s="1">
        <v>45748</v>
      </c>
      <c r="B199">
        <f>(3/(1+('CurrentPor-LH=40 unchanged'!C199)/100)+103/POWER(1+('CurrentPor-LH=40 unchanged'!D199)/100,2))*100</f>
        <v>9707.5857774288397</v>
      </c>
      <c r="C199">
        <f>(3/(1+('CurrentPor-LH=40 unchanged'!C199+'CurrentPor-LH=40 unchanged'!G199)/100)+103/POWER(1+('CurrentPor-LH=40 unchanged'!D199+'CurrentPor-LH=40 unchanged'!G199)/100,2))*100</f>
        <v>9614.9673582483465</v>
      </c>
      <c r="D199">
        <f>(3/(1+('CurrentPor-LH=40 unchanged'!C199+'CurrentPor-LH=40 unchanged'!H199)/100)+103/POWER(1+('CurrentPor-LH=40 unchanged'!D199+'CurrentPor-LH=40 unchanged'!H199)/100,2))*100</f>
        <v>9601.2395558122898</v>
      </c>
      <c r="E199">
        <f>(3/(1+('CurrentPor-LH=40 unchanged'!C199+'CurrentPor-LH=40 unchanged'!I199)/100)+103/POWER(1+('CurrentPor-LH=40 unchanged'!D199+'CurrentPor-LH=40 unchanged'!I199)/100,2))*100</f>
        <v>9579.8614289936904</v>
      </c>
      <c r="F199">
        <f>Portfolio!B$5*'CurrentPor-LH=40 unchanged'!E199</f>
        <v>52143.895533915893</v>
      </c>
      <c r="G199">
        <f>Portfolio!B$6*'CurrentPor-LH=40 unchanged'!F199</f>
        <v>3696.2945087936532</v>
      </c>
      <c r="H199">
        <f>Portfolio!B$7*'CurrentPor-LH=40 unchanged'!J199</f>
        <v>2148.0998964419859</v>
      </c>
      <c r="I199">
        <f t="shared" si="6"/>
        <v>96491.944059634698</v>
      </c>
      <c r="J199">
        <f t="shared" si="5"/>
        <v>-0.52737015679304022</v>
      </c>
    </row>
    <row r="200" spans="1:10">
      <c r="A200" s="1">
        <v>45749</v>
      </c>
      <c r="B200">
        <f>(3/(1+('CurrentPor-LH=40 unchanged'!C200)/100)+103/POWER(1+('CurrentPor-LH=40 unchanged'!D200)/100,2))*100</f>
        <v>9707.5857774288397</v>
      </c>
      <c r="C200">
        <f>(3/(1+('CurrentPor-LH=40 unchanged'!C200+'CurrentPor-LH=40 unchanged'!G200)/100)+103/POWER(1+('CurrentPor-LH=40 unchanged'!D200+'CurrentPor-LH=40 unchanged'!G200)/100,2))*100</f>
        <v>9614.9673582483465</v>
      </c>
      <c r="D200">
        <f>(3/(1+('CurrentPor-LH=40 unchanged'!C200+'CurrentPor-LH=40 unchanged'!H200)/100)+103/POWER(1+('CurrentPor-LH=40 unchanged'!D200+'CurrentPor-LH=40 unchanged'!H200)/100,2))*100</f>
        <v>9601.2395558122898</v>
      </c>
      <c r="E200">
        <f>(3/(1+('CurrentPor-LH=40 unchanged'!C200+'CurrentPor-LH=40 unchanged'!I200)/100)+103/POWER(1+('CurrentPor-LH=40 unchanged'!D200+'CurrentPor-LH=40 unchanged'!I200)/100,2))*100</f>
        <v>9578.9470947184327</v>
      </c>
      <c r="F200">
        <f>Portfolio!B$5*'CurrentPor-LH=40 unchanged'!E200</f>
        <v>52143.895533915893</v>
      </c>
      <c r="G200">
        <f>Portfolio!B$6*'CurrentPor-LH=40 unchanged'!F200</f>
        <v>3696.2945087936532</v>
      </c>
      <c r="H200">
        <f>Portfolio!B$7*'CurrentPor-LH=40 unchanged'!J200</f>
        <v>2148.0998964419859</v>
      </c>
      <c r="I200">
        <f t="shared" si="6"/>
        <v>96491.029725359447</v>
      </c>
      <c r="J200">
        <f t="shared" si="5"/>
        <v>-3.1648777080263244</v>
      </c>
    </row>
    <row r="201" spans="1:10">
      <c r="A201" s="1">
        <v>45750</v>
      </c>
      <c r="B201">
        <f>(3/(1+('CurrentPor-LH=40 unchanged'!C201)/100)+103/POWER(1+('CurrentPor-LH=40 unchanged'!D201)/100,2))*100</f>
        <v>9707.5857774288397</v>
      </c>
      <c r="C201">
        <f>(3/(1+('CurrentPor-LH=40 unchanged'!C201+'CurrentPor-LH=40 unchanged'!G201)/100)+103/POWER(1+('CurrentPor-LH=40 unchanged'!D201+'CurrentPor-LH=40 unchanged'!G201)/100,2))*100</f>
        <v>9614.9673582483465</v>
      </c>
      <c r="D201">
        <f>(3/(1+('CurrentPor-LH=40 unchanged'!C201+'CurrentPor-LH=40 unchanged'!H201)/100)+103/POWER(1+('CurrentPor-LH=40 unchanged'!D201+'CurrentPor-LH=40 unchanged'!H201)/100,2))*100</f>
        <v>9601.2395558122898</v>
      </c>
      <c r="E201">
        <f>(3/(1+('CurrentPor-LH=40 unchanged'!C201+'CurrentPor-LH=40 unchanged'!I201)/100)+103/POWER(1+('CurrentPor-LH=40 unchanged'!D201+'CurrentPor-LH=40 unchanged'!I201)/100,2))*100</f>
        <v>9580.5931539777375</v>
      </c>
      <c r="F201">
        <f>Portfolio!B$5*'CurrentPor-LH=40 unchanged'!E201</f>
        <v>52143.895533915893</v>
      </c>
      <c r="G201">
        <f>Portfolio!B$6*'CurrentPor-LH=40 unchanged'!F201</f>
        <v>3696.2945087936532</v>
      </c>
      <c r="H201">
        <f>Portfolio!B$7*'CurrentPor-LH=40 unchanged'!J201</f>
        <v>2148.0998964419859</v>
      </c>
      <c r="I201">
        <f t="shared" si="6"/>
        <v>96492.675784618754</v>
      </c>
      <c r="J201">
        <f t="shared" si="5"/>
        <v>-0.94852816642378457</v>
      </c>
    </row>
    <row r="202" spans="1:10">
      <c r="A202" s="1">
        <v>45751</v>
      </c>
      <c r="B202">
        <f>(3/(1+('CurrentPor-LH=40 unchanged'!C202)/100)+103/POWER(1+('CurrentPor-LH=40 unchanged'!D202)/100,2))*100</f>
        <v>9707.5857774288397</v>
      </c>
      <c r="C202">
        <f>(3/(1+('CurrentPor-LH=40 unchanged'!C202+'CurrentPor-LH=40 unchanged'!G202)/100)+103/POWER(1+('CurrentPor-LH=40 unchanged'!D202+'CurrentPor-LH=40 unchanged'!G202)/100,2))*100</f>
        <v>9614.9673582483465</v>
      </c>
      <c r="D202">
        <f>(3/(1+('CurrentPor-LH=40 unchanged'!C202+'CurrentPor-LH=40 unchanged'!H202)/100)+103/POWER(1+('CurrentPor-LH=40 unchanged'!D202+'CurrentPor-LH=40 unchanged'!H202)/100,2))*100</f>
        <v>9601.2395558122898</v>
      </c>
      <c r="E202">
        <f>(3/(1+('CurrentPor-LH=40 unchanged'!C202+'CurrentPor-LH=40 unchanged'!I202)/100)+103/POWER(1+('CurrentPor-LH=40 unchanged'!D202+'CurrentPor-LH=40 unchanged'!I202)/100,2))*100</f>
        <v>9579.580617643187</v>
      </c>
      <c r="F202">
        <f>Portfolio!B$5*'CurrentPor-LH=40 unchanged'!E202</f>
        <v>52143.895533915893</v>
      </c>
      <c r="G202">
        <f>Portfolio!B$6*'CurrentPor-LH=40 unchanged'!F202</f>
        <v>3696.2945087936532</v>
      </c>
      <c r="H202">
        <f>Portfolio!B$7*'CurrentPor-LH=40 unchanged'!J202</f>
        <v>2148.0998964419859</v>
      </c>
      <c r="I202">
        <f t="shared" si="6"/>
        <v>96491.663248284196</v>
      </c>
      <c r="J202">
        <f t="shared" si="5"/>
        <v>1.2806951318198116</v>
      </c>
    </row>
    <row r="203" spans="1:10">
      <c r="A203" s="1">
        <v>45754</v>
      </c>
      <c r="B203">
        <f>(3/(1+('CurrentPor-LH=40 unchanged'!C203)/100)+103/POWER(1+('CurrentPor-LH=40 unchanged'!D203)/100,2))*100</f>
        <v>9707.5857774288397</v>
      </c>
      <c r="C203">
        <f>(3/(1+('CurrentPor-LH=40 unchanged'!C203+'CurrentPor-LH=40 unchanged'!G203)/100)+103/POWER(1+('CurrentPor-LH=40 unchanged'!D203+'CurrentPor-LH=40 unchanged'!G203)/100,2))*100</f>
        <v>9614.9673582483465</v>
      </c>
      <c r="D203">
        <f>(3/(1+('CurrentPor-LH=40 unchanged'!C203+'CurrentPor-LH=40 unchanged'!H203)/100)+103/POWER(1+('CurrentPor-LH=40 unchanged'!D203+'CurrentPor-LH=40 unchanged'!H203)/100,2))*100</f>
        <v>9601.2395558122898</v>
      </c>
      <c r="E203">
        <f>(3/(1+('CurrentPor-LH=40 unchanged'!C203+'CurrentPor-LH=40 unchanged'!I203)/100)+103/POWER(1+('CurrentPor-LH=40 unchanged'!D203+'CurrentPor-LH=40 unchanged'!I203)/100,2))*100</f>
        <v>9580.0890355199026</v>
      </c>
      <c r="F203">
        <f>Portfolio!B$5*'CurrentPor-LH=40 unchanged'!E203</f>
        <v>52143.895533915893</v>
      </c>
      <c r="G203">
        <f>Portfolio!B$6*'CurrentPor-LH=40 unchanged'!F203</f>
        <v>3696.2945087936532</v>
      </c>
      <c r="H203">
        <f>Portfolio!B$7*'CurrentPor-LH=40 unchanged'!J203</f>
        <v>2148.0998964419859</v>
      </c>
      <c r="I203">
        <f t="shared" si="6"/>
        <v>96492.17166616091</v>
      </c>
      <c r="J203">
        <f t="shared" si="5"/>
        <v>-0.99034495445084758</v>
      </c>
    </row>
    <row r="204" spans="1:10">
      <c r="A204" s="1">
        <v>45755</v>
      </c>
      <c r="B204">
        <f>(3/(1+('CurrentPor-LH=40 unchanged'!C204)/100)+103/POWER(1+('CurrentPor-LH=40 unchanged'!D204)/100,2))*100</f>
        <v>9707.5857774288397</v>
      </c>
      <c r="C204">
        <f>(3/(1+('CurrentPor-LH=40 unchanged'!C204+'CurrentPor-LH=40 unchanged'!G204)/100)+103/POWER(1+('CurrentPor-LH=40 unchanged'!D204+'CurrentPor-LH=40 unchanged'!G204)/100,2))*100</f>
        <v>9614.9673582483465</v>
      </c>
      <c r="D204">
        <f>(3/(1+('CurrentPor-LH=40 unchanged'!C204+'CurrentPor-LH=40 unchanged'!H204)/100)+103/POWER(1+('CurrentPor-LH=40 unchanged'!D204+'CurrentPor-LH=40 unchanged'!H204)/100,2))*100</f>
        <v>9601.2395558122898</v>
      </c>
      <c r="E204">
        <f>(3/(1+('CurrentPor-LH=40 unchanged'!C204+'CurrentPor-LH=40 unchanged'!I204)/100)+103/POWER(1+('CurrentPor-LH=40 unchanged'!D204+'CurrentPor-LH=40 unchanged'!I204)/100,2))*100</f>
        <v>9577.4744915782867</v>
      </c>
      <c r="F204">
        <f>Portfolio!B$5*'CurrentPor-LH=40 unchanged'!E204</f>
        <v>52143.895533915893</v>
      </c>
      <c r="G204">
        <f>Portfolio!B$6*'CurrentPor-LH=40 unchanged'!F204</f>
        <v>3696.2945087936532</v>
      </c>
      <c r="H204">
        <f>Portfolio!B$7*'CurrentPor-LH=40 unchanged'!J204</f>
        <v>2148.0998964419859</v>
      </c>
      <c r="I204">
        <f t="shared" si="6"/>
        <v>96489.557122219296</v>
      </c>
      <c r="J204">
        <f t="shared" si="5"/>
        <v>-3.3715712531266036</v>
      </c>
    </row>
    <row r="205" spans="1:10">
      <c r="A205" s="1">
        <v>45756</v>
      </c>
      <c r="B205">
        <f>(3/(1+('CurrentPor-LH=40 unchanged'!C205)/100)+103/POWER(1+('CurrentPor-LH=40 unchanged'!D205)/100,2))*100</f>
        <v>9707.5857774288397</v>
      </c>
      <c r="C205">
        <f>(3/(1+('CurrentPor-LH=40 unchanged'!C205+'CurrentPor-LH=40 unchanged'!G205)/100)+103/POWER(1+('CurrentPor-LH=40 unchanged'!D205+'CurrentPor-LH=40 unchanged'!G205)/100,2))*100</f>
        <v>9614.9673582483465</v>
      </c>
      <c r="D205">
        <f>(3/(1+('CurrentPor-LH=40 unchanged'!C205+'CurrentPor-LH=40 unchanged'!H205)/100)+103/POWER(1+('CurrentPor-LH=40 unchanged'!D205+'CurrentPor-LH=40 unchanged'!H205)/100,2))*100</f>
        <v>9601.2395558122898</v>
      </c>
      <c r="E205">
        <f>(3/(1+('CurrentPor-LH=40 unchanged'!C205+'CurrentPor-LH=40 unchanged'!I205)/100)+103/POWER(1+('CurrentPor-LH=40 unchanged'!D205+'CurrentPor-LH=40 unchanged'!I205)/100,2))*100</f>
        <v>9579.3318572727694</v>
      </c>
      <c r="F205">
        <f>Portfolio!B$5*'CurrentPor-LH=40 unchanged'!E205</f>
        <v>52143.895533915893</v>
      </c>
      <c r="G205">
        <f>Portfolio!B$6*'CurrentPor-LH=40 unchanged'!F205</f>
        <v>3696.2945087936532</v>
      </c>
      <c r="H205">
        <f>Portfolio!B$7*'CurrentPor-LH=40 unchanged'!J205</f>
        <v>2148.0998964419859</v>
      </c>
      <c r="I205">
        <f t="shared" si="6"/>
        <v>96491.414487913789</v>
      </c>
      <c r="J205">
        <f t="shared" si="5"/>
        <v>1.0002124109305441</v>
      </c>
    </row>
    <row r="206" spans="1:10">
      <c r="A206" s="1">
        <v>45757</v>
      </c>
      <c r="B206">
        <f>(3/(1+('CurrentPor-LH=40 unchanged'!C206)/100)+103/POWER(1+('CurrentPor-LH=40 unchanged'!D206)/100,2))*100</f>
        <v>9707.5857774288397</v>
      </c>
      <c r="C206">
        <f>(3/(1+('CurrentPor-LH=40 unchanged'!C206+'CurrentPor-LH=40 unchanged'!G206)/100)+103/POWER(1+('CurrentPor-LH=40 unchanged'!D206+'CurrentPor-LH=40 unchanged'!G206)/100,2))*100</f>
        <v>9614.9673582483465</v>
      </c>
      <c r="D206">
        <f>(3/(1+('CurrentPor-LH=40 unchanged'!C206+'CurrentPor-LH=40 unchanged'!H206)/100)+103/POWER(1+('CurrentPor-LH=40 unchanged'!D206+'CurrentPor-LH=40 unchanged'!H206)/100,2))*100</f>
        <v>9601.2395558122898</v>
      </c>
      <c r="E206">
        <f>(3/(1+('CurrentPor-LH=40 unchanged'!C206+'CurrentPor-LH=40 unchanged'!I206)/100)+103/POWER(1+('CurrentPor-LH=40 unchanged'!D206+'CurrentPor-LH=40 unchanged'!I206)/100,2))*100</f>
        <v>9579.8326749195712</v>
      </c>
      <c r="F206">
        <f>Portfolio!B$5*'CurrentPor-LH=40 unchanged'!E206</f>
        <v>52143.895533915893</v>
      </c>
      <c r="G206">
        <f>Portfolio!B$6*'CurrentPor-LH=40 unchanged'!F206</f>
        <v>3696.2945087936532</v>
      </c>
      <c r="H206">
        <f>Portfolio!B$7*'CurrentPor-LH=40 unchanged'!J206</f>
        <v>2148.0998964419859</v>
      </c>
      <c r="I206">
        <f t="shared" si="6"/>
        <v>96491.915305560586</v>
      </c>
      <c r="J206">
        <f t="shared" ref="J206:J263" si="7">I206-I196</f>
        <v>-0.63050579265109263</v>
      </c>
    </row>
    <row r="207" spans="1:10">
      <c r="A207" s="1">
        <v>45758</v>
      </c>
      <c r="B207">
        <f>(3/(1+('CurrentPor-LH=40 unchanged'!C207)/100)+103/POWER(1+('CurrentPor-LH=40 unchanged'!D207)/100,2))*100</f>
        <v>9707.5857774288397</v>
      </c>
      <c r="C207">
        <f>(3/(1+('CurrentPor-LH=40 unchanged'!C207+'CurrentPor-LH=40 unchanged'!G207)/100)+103/POWER(1+('CurrentPor-LH=40 unchanged'!D207+'CurrentPor-LH=40 unchanged'!G207)/100,2))*100</f>
        <v>9614.9673582483465</v>
      </c>
      <c r="D207">
        <f>(3/(1+('CurrentPor-LH=40 unchanged'!C207+'CurrentPor-LH=40 unchanged'!H207)/100)+103/POWER(1+('CurrentPor-LH=40 unchanged'!D207+'CurrentPor-LH=40 unchanged'!H207)/100,2))*100</f>
        <v>9601.2395558122898</v>
      </c>
      <c r="E207">
        <f>(3/(1+('CurrentPor-LH=40 unchanged'!C207+'CurrentPor-LH=40 unchanged'!I207)/100)+103/POWER(1+('CurrentPor-LH=40 unchanged'!D207+'CurrentPor-LH=40 unchanged'!I207)/100,2))*100</f>
        <v>9580.4885829514042</v>
      </c>
      <c r="F207">
        <f>Portfolio!B$5*'CurrentPor-LH=40 unchanged'!E207</f>
        <v>52143.895533915893</v>
      </c>
      <c r="G207">
        <f>Portfolio!B$6*'CurrentPor-LH=40 unchanged'!F207</f>
        <v>3696.2945087936532</v>
      </c>
      <c r="H207">
        <f>Portfolio!B$7*'CurrentPor-LH=40 unchanged'!J207</f>
        <v>2148.0998964419859</v>
      </c>
      <c r="I207">
        <f t="shared" si="6"/>
        <v>96492.571213592411</v>
      </c>
      <c r="J207">
        <f t="shared" si="7"/>
        <v>0.52746471046702936</v>
      </c>
    </row>
    <row r="208" spans="1:10">
      <c r="A208" s="1">
        <v>45761</v>
      </c>
      <c r="B208">
        <f>(3/(1+('CurrentPor-LH=40 unchanged'!C208)/100)+103/POWER(1+('CurrentPor-LH=40 unchanged'!D208)/100,2))*100</f>
        <v>9707.5857774288397</v>
      </c>
      <c r="C208">
        <f>(3/(1+('CurrentPor-LH=40 unchanged'!C208+'CurrentPor-LH=40 unchanged'!G208)/100)+103/POWER(1+('CurrentPor-LH=40 unchanged'!D208+'CurrentPor-LH=40 unchanged'!G208)/100,2))*100</f>
        <v>9614.9673582483465</v>
      </c>
      <c r="D208">
        <f>(3/(1+('CurrentPor-LH=40 unchanged'!C208+'CurrentPor-LH=40 unchanged'!H208)/100)+103/POWER(1+('CurrentPor-LH=40 unchanged'!D208+'CurrentPor-LH=40 unchanged'!H208)/100,2))*100</f>
        <v>9601.2395558122898</v>
      </c>
      <c r="E208">
        <f>(3/(1+('CurrentPor-LH=40 unchanged'!C208+'CurrentPor-LH=40 unchanged'!I208)/100)+103/POWER(1+('CurrentPor-LH=40 unchanged'!D208+'CurrentPor-LH=40 unchanged'!I208)/100,2))*100</f>
        <v>9582.2911040117997</v>
      </c>
      <c r="F208">
        <f>Portfolio!B$5*'CurrentPor-LH=40 unchanged'!E208</f>
        <v>52143.895533915893</v>
      </c>
      <c r="G208">
        <f>Portfolio!B$6*'CurrentPor-LH=40 unchanged'!F208</f>
        <v>3696.2945087936532</v>
      </c>
      <c r="H208">
        <f>Portfolio!B$7*'CurrentPor-LH=40 unchanged'!J208</f>
        <v>2148.0998964419859</v>
      </c>
      <c r="I208">
        <f t="shared" si="6"/>
        <v>96494.373734652807</v>
      </c>
      <c r="J208">
        <f t="shared" si="7"/>
        <v>-9.5120871061226353E-2</v>
      </c>
    </row>
    <row r="209" spans="1:10">
      <c r="A209" s="1">
        <v>45762</v>
      </c>
      <c r="B209">
        <f>(3/(1+('CurrentPor-LH=40 unchanged'!C209)/100)+103/POWER(1+('CurrentPor-LH=40 unchanged'!D209)/100,2))*100</f>
        <v>9707.5857774288397</v>
      </c>
      <c r="C209">
        <f>(3/(1+('CurrentPor-LH=40 unchanged'!C209+'CurrentPor-LH=40 unchanged'!G209)/100)+103/POWER(1+('CurrentPor-LH=40 unchanged'!D209+'CurrentPor-LH=40 unchanged'!G209)/100,2))*100</f>
        <v>9614.9673582483465</v>
      </c>
      <c r="D209">
        <f>(3/(1+('CurrentPor-LH=40 unchanged'!C209+'CurrentPor-LH=40 unchanged'!H209)/100)+103/POWER(1+('CurrentPor-LH=40 unchanged'!D209+'CurrentPor-LH=40 unchanged'!H209)/100,2))*100</f>
        <v>9601.2395558122898</v>
      </c>
      <c r="E209">
        <f>(3/(1+('CurrentPor-LH=40 unchanged'!C209+'CurrentPor-LH=40 unchanged'!I209)/100)+103/POWER(1+('CurrentPor-LH=40 unchanged'!D209+'CurrentPor-LH=40 unchanged'!I209)/100,2))*100</f>
        <v>9582.2866714527445</v>
      </c>
      <c r="F209">
        <f>Portfolio!B$5*'CurrentPor-LH=40 unchanged'!E209</f>
        <v>52143.895533915893</v>
      </c>
      <c r="G209">
        <f>Portfolio!B$6*'CurrentPor-LH=40 unchanged'!F209</f>
        <v>3696.2945087936532</v>
      </c>
      <c r="H209">
        <f>Portfolio!B$7*'CurrentPor-LH=40 unchanged'!J209</f>
        <v>2148.0998964419859</v>
      </c>
      <c r="I209">
        <f t="shared" si="6"/>
        <v>96494.369302093764</v>
      </c>
      <c r="J209">
        <f t="shared" si="7"/>
        <v>2.4252424590667943</v>
      </c>
    </row>
    <row r="210" spans="1:10">
      <c r="A210" s="1">
        <v>45763</v>
      </c>
      <c r="B210">
        <f>(3/(1+('CurrentPor-LH=40 unchanged'!C210)/100)+103/POWER(1+('CurrentPor-LH=40 unchanged'!D210)/100,2))*100</f>
        <v>9707.5857774288397</v>
      </c>
      <c r="C210">
        <f>(3/(1+('CurrentPor-LH=40 unchanged'!C210+'CurrentPor-LH=40 unchanged'!G210)/100)+103/POWER(1+('CurrentPor-LH=40 unchanged'!D210+'CurrentPor-LH=40 unchanged'!G210)/100,2))*100</f>
        <v>9614.9673582483465</v>
      </c>
      <c r="D210">
        <f>(3/(1+('CurrentPor-LH=40 unchanged'!C210+'CurrentPor-LH=40 unchanged'!H210)/100)+103/POWER(1+('CurrentPor-LH=40 unchanged'!D210+'CurrentPor-LH=40 unchanged'!H210)/100,2))*100</f>
        <v>9601.2395558122898</v>
      </c>
      <c r="E210">
        <f>(3/(1+('CurrentPor-LH=40 unchanged'!C210+'CurrentPor-LH=40 unchanged'!I210)/100)+103/POWER(1+('CurrentPor-LH=40 unchanged'!D210+'CurrentPor-LH=40 unchanged'!I210)/100,2))*100</f>
        <v>9580.4366410927123</v>
      </c>
      <c r="F210">
        <f>Portfolio!B$5*'CurrentPor-LH=40 unchanged'!E210</f>
        <v>52143.895533915893</v>
      </c>
      <c r="G210">
        <f>Portfolio!B$6*'CurrentPor-LH=40 unchanged'!F210</f>
        <v>3696.2945087936532</v>
      </c>
      <c r="H210">
        <f>Portfolio!B$7*'CurrentPor-LH=40 unchanged'!J210</f>
        <v>2148.0998964419859</v>
      </c>
      <c r="I210">
        <f t="shared" si="6"/>
        <v>96492.51927173372</v>
      </c>
      <c r="J210">
        <f t="shared" si="7"/>
        <v>1.4895463742723223</v>
      </c>
    </row>
    <row r="211" spans="1:10">
      <c r="A211" s="1">
        <v>45764</v>
      </c>
      <c r="B211">
        <f>(3/(1+('CurrentPor-LH=40 unchanged'!C211)/100)+103/POWER(1+('CurrentPor-LH=40 unchanged'!D211)/100,2))*100</f>
        <v>9707.5857774288397</v>
      </c>
      <c r="C211">
        <f>(3/(1+('CurrentPor-LH=40 unchanged'!C211+'CurrentPor-LH=40 unchanged'!G211)/100)+103/POWER(1+('CurrentPor-LH=40 unchanged'!D211+'CurrentPor-LH=40 unchanged'!G211)/100,2))*100</f>
        <v>9614.9673582483465</v>
      </c>
      <c r="D211">
        <f>(3/(1+('CurrentPor-LH=40 unchanged'!C211+'CurrentPor-LH=40 unchanged'!H211)/100)+103/POWER(1+('CurrentPor-LH=40 unchanged'!D211+'CurrentPor-LH=40 unchanged'!H211)/100,2))*100</f>
        <v>9601.2395558122898</v>
      </c>
      <c r="E211">
        <f>(3/(1+('CurrentPor-LH=40 unchanged'!C211+'CurrentPor-LH=40 unchanged'!I211)/100)+103/POWER(1+('CurrentPor-LH=40 unchanged'!D211+'CurrentPor-LH=40 unchanged'!I211)/100,2))*100</f>
        <v>9580.8447310471183</v>
      </c>
      <c r="F211">
        <f>Portfolio!B$5*'CurrentPor-LH=40 unchanged'!E211</f>
        <v>52143.895533915893</v>
      </c>
      <c r="G211">
        <f>Portfolio!B$6*'CurrentPor-LH=40 unchanged'!F211</f>
        <v>3696.2945087936532</v>
      </c>
      <c r="H211">
        <f>Portfolio!B$7*'CurrentPor-LH=40 unchanged'!J211</f>
        <v>2148.0998964419859</v>
      </c>
      <c r="I211">
        <f t="shared" si="6"/>
        <v>96492.927361688126</v>
      </c>
      <c r="J211">
        <f t="shared" si="7"/>
        <v>0.25157706937170587</v>
      </c>
    </row>
    <row r="212" spans="1:10">
      <c r="A212" s="1">
        <v>45765</v>
      </c>
      <c r="B212">
        <f>(3/(1+('CurrentPor-LH=40 unchanged'!C212)/100)+103/POWER(1+('CurrentPor-LH=40 unchanged'!D212)/100,2))*100</f>
        <v>9707.5857774288397</v>
      </c>
      <c r="C212">
        <f>(3/(1+('CurrentPor-LH=40 unchanged'!C212+'CurrentPor-LH=40 unchanged'!G212)/100)+103/POWER(1+('CurrentPor-LH=40 unchanged'!D212+'CurrentPor-LH=40 unchanged'!G212)/100,2))*100</f>
        <v>9614.9673582483465</v>
      </c>
      <c r="D212">
        <f>(3/(1+('CurrentPor-LH=40 unchanged'!C212+'CurrentPor-LH=40 unchanged'!H212)/100)+103/POWER(1+('CurrentPor-LH=40 unchanged'!D212+'CurrentPor-LH=40 unchanged'!H212)/100,2))*100</f>
        <v>9601.2395558122898</v>
      </c>
      <c r="E212">
        <f>(3/(1+('CurrentPor-LH=40 unchanged'!C212+'CurrentPor-LH=40 unchanged'!I212)/100)+103/POWER(1+('CurrentPor-LH=40 unchanged'!D212+'CurrentPor-LH=40 unchanged'!I212)/100,2))*100</f>
        <v>9579.5132129173362</v>
      </c>
      <c r="F212">
        <f>Portfolio!B$5*'CurrentPor-LH=40 unchanged'!E212</f>
        <v>52143.895533915893</v>
      </c>
      <c r="G212">
        <f>Portfolio!B$6*'CurrentPor-LH=40 unchanged'!F212</f>
        <v>3696.2945087936532</v>
      </c>
      <c r="H212">
        <f>Portfolio!B$7*'CurrentPor-LH=40 unchanged'!J212</f>
        <v>2148.0998964419859</v>
      </c>
      <c r="I212">
        <f t="shared" si="6"/>
        <v>96491.595843558345</v>
      </c>
      <c r="J212">
        <f t="shared" si="7"/>
        <v>-6.7404725850792602E-2</v>
      </c>
    </row>
    <row r="213" spans="1:10">
      <c r="A213" s="1">
        <v>45768</v>
      </c>
      <c r="B213">
        <f>(3/(1+('CurrentPor-LH=40 unchanged'!C213)/100)+103/POWER(1+('CurrentPor-LH=40 unchanged'!D213)/100,2))*100</f>
        <v>9707.5857774288397</v>
      </c>
      <c r="C213">
        <f>(3/(1+('CurrentPor-LH=40 unchanged'!C213+'CurrentPor-LH=40 unchanged'!G213)/100)+103/POWER(1+('CurrentPor-LH=40 unchanged'!D213+'CurrentPor-LH=40 unchanged'!G213)/100,2))*100</f>
        <v>9614.9673582483465</v>
      </c>
      <c r="D213">
        <f>(3/(1+('CurrentPor-LH=40 unchanged'!C213+'CurrentPor-LH=40 unchanged'!H213)/100)+103/POWER(1+('CurrentPor-LH=40 unchanged'!D213+'CurrentPor-LH=40 unchanged'!H213)/100,2))*100</f>
        <v>9601.2395558122898</v>
      </c>
      <c r="E213">
        <f>(3/(1+('CurrentPor-LH=40 unchanged'!C213+'CurrentPor-LH=40 unchanged'!I213)/100)+103/POWER(1+('CurrentPor-LH=40 unchanged'!D213+'CurrentPor-LH=40 unchanged'!I213)/100,2))*100</f>
        <v>9580.0160112982776</v>
      </c>
      <c r="F213">
        <f>Portfolio!B$5*'CurrentPor-LH=40 unchanged'!E213</f>
        <v>52143.895533915893</v>
      </c>
      <c r="G213">
        <f>Portfolio!B$6*'CurrentPor-LH=40 unchanged'!F213</f>
        <v>3696.2945087936532</v>
      </c>
      <c r="H213">
        <f>Portfolio!B$7*'CurrentPor-LH=40 unchanged'!J213</f>
        <v>2148.0998964419859</v>
      </c>
      <c r="I213">
        <f t="shared" si="6"/>
        <v>96492.098641939287</v>
      </c>
      <c r="J213">
        <f t="shared" si="7"/>
        <v>-7.3024221623199992E-2</v>
      </c>
    </row>
    <row r="214" spans="1:10">
      <c r="A214" s="1">
        <v>45769</v>
      </c>
      <c r="B214">
        <f>(3/(1+('CurrentPor-LH=40 unchanged'!C214)/100)+103/POWER(1+('CurrentPor-LH=40 unchanged'!D214)/100,2))*100</f>
        <v>9707.5857774288397</v>
      </c>
      <c r="C214">
        <f>(3/(1+('CurrentPor-LH=40 unchanged'!C214+'CurrentPor-LH=40 unchanged'!G214)/100)+103/POWER(1+('CurrentPor-LH=40 unchanged'!D214+'CurrentPor-LH=40 unchanged'!G214)/100,2))*100</f>
        <v>9614.9673582483465</v>
      </c>
      <c r="D214">
        <f>(3/(1+('CurrentPor-LH=40 unchanged'!C214+'CurrentPor-LH=40 unchanged'!H214)/100)+103/POWER(1+('CurrentPor-LH=40 unchanged'!D214+'CurrentPor-LH=40 unchanged'!H214)/100,2))*100</f>
        <v>9601.2395558122898</v>
      </c>
      <c r="E214">
        <f>(3/(1+('CurrentPor-LH=40 unchanged'!C214+'CurrentPor-LH=40 unchanged'!I214)/100)+103/POWER(1+('CurrentPor-LH=40 unchanged'!D214+'CurrentPor-LH=40 unchanged'!I214)/100,2))*100</f>
        <v>9580.6461702907818</v>
      </c>
      <c r="F214">
        <f>Portfolio!B$5*'CurrentPor-LH=40 unchanged'!E214</f>
        <v>52143.895533915893</v>
      </c>
      <c r="G214">
        <f>Portfolio!B$6*'CurrentPor-LH=40 unchanged'!F214</f>
        <v>3696.2945087936532</v>
      </c>
      <c r="H214">
        <f>Portfolio!B$7*'CurrentPor-LH=40 unchanged'!J214</f>
        <v>2148.0998964419859</v>
      </c>
      <c r="I214">
        <f t="shared" si="6"/>
        <v>96492.728800931785</v>
      </c>
      <c r="J214">
        <f t="shared" si="7"/>
        <v>3.1716787124896655</v>
      </c>
    </row>
    <row r="215" spans="1:10">
      <c r="A215" s="1">
        <v>45770</v>
      </c>
      <c r="B215">
        <f>(3/(1+('CurrentPor-LH=40 unchanged'!C215)/100)+103/POWER(1+('CurrentPor-LH=40 unchanged'!D215)/100,2))*100</f>
        <v>9707.5857774288397</v>
      </c>
      <c r="C215">
        <f>(3/(1+('CurrentPor-LH=40 unchanged'!C215+'CurrentPor-LH=40 unchanged'!G215)/100)+103/POWER(1+('CurrentPor-LH=40 unchanged'!D215+'CurrentPor-LH=40 unchanged'!G215)/100,2))*100</f>
        <v>9614.9673582483465</v>
      </c>
      <c r="D215">
        <f>(3/(1+('CurrentPor-LH=40 unchanged'!C215+'CurrentPor-LH=40 unchanged'!H215)/100)+103/POWER(1+('CurrentPor-LH=40 unchanged'!D215+'CurrentPor-LH=40 unchanged'!H215)/100,2))*100</f>
        <v>9601.2395558122898</v>
      </c>
      <c r="E215">
        <f>(3/(1+('CurrentPor-LH=40 unchanged'!C215+'CurrentPor-LH=40 unchanged'!I215)/100)+103/POWER(1+('CurrentPor-LH=40 unchanged'!D215+'CurrentPor-LH=40 unchanged'!I215)/100,2))*100</f>
        <v>9581.1060732120277</v>
      </c>
      <c r="F215">
        <f>Portfolio!B$5*'CurrentPor-LH=40 unchanged'!E215</f>
        <v>52143.895533915893</v>
      </c>
      <c r="G215">
        <f>Portfolio!B$6*'CurrentPor-LH=40 unchanged'!F215</f>
        <v>3696.2945087936532</v>
      </c>
      <c r="H215">
        <f>Portfolio!B$7*'CurrentPor-LH=40 unchanged'!J215</f>
        <v>2148.0998964419859</v>
      </c>
      <c r="I215">
        <f t="shared" si="6"/>
        <v>96493.18870385304</v>
      </c>
      <c r="J215">
        <f t="shared" si="7"/>
        <v>1.7742159392510075</v>
      </c>
    </row>
    <row r="216" spans="1:10">
      <c r="A216" s="1">
        <v>45771</v>
      </c>
      <c r="B216">
        <f>(3/(1+('CurrentPor-LH=40 unchanged'!C216)/100)+103/POWER(1+('CurrentPor-LH=40 unchanged'!D216)/100,2))*100</f>
        <v>9707.5857774288397</v>
      </c>
      <c r="C216">
        <f>(3/(1+('CurrentPor-LH=40 unchanged'!C216+'CurrentPor-LH=40 unchanged'!G216)/100)+103/POWER(1+('CurrentPor-LH=40 unchanged'!D216+'CurrentPor-LH=40 unchanged'!G216)/100,2))*100</f>
        <v>9614.9673582483465</v>
      </c>
      <c r="D216">
        <f>(3/(1+('CurrentPor-LH=40 unchanged'!C216+'CurrentPor-LH=40 unchanged'!H216)/100)+103/POWER(1+('CurrentPor-LH=40 unchanged'!D216+'CurrentPor-LH=40 unchanged'!H216)/100,2))*100</f>
        <v>9601.2395558122898</v>
      </c>
      <c r="E216">
        <f>(3/(1+('CurrentPor-LH=40 unchanged'!C216+'CurrentPor-LH=40 unchanged'!I216)/100)+103/POWER(1+('CurrentPor-LH=40 unchanged'!D216+'CurrentPor-LH=40 unchanged'!I216)/100,2))*100</f>
        <v>9579.9643646704317</v>
      </c>
      <c r="F216">
        <f>Portfolio!B$5*'CurrentPor-LH=40 unchanged'!E216</f>
        <v>52143.895533915893</v>
      </c>
      <c r="G216">
        <f>Portfolio!B$6*'CurrentPor-LH=40 unchanged'!F216</f>
        <v>3696.2945087936532</v>
      </c>
      <c r="H216">
        <f>Portfolio!B$7*'CurrentPor-LH=40 unchanged'!J216</f>
        <v>2148.0998964419859</v>
      </c>
      <c r="I216">
        <f t="shared" si="6"/>
        <v>96492.046995311437</v>
      </c>
      <c r="J216">
        <f t="shared" si="7"/>
        <v>0.13168975085136481</v>
      </c>
    </row>
    <row r="217" spans="1:10">
      <c r="A217" s="1">
        <v>45772</v>
      </c>
      <c r="B217">
        <f>(3/(1+('CurrentPor-LH=40 unchanged'!C217)/100)+103/POWER(1+('CurrentPor-LH=40 unchanged'!D217)/100,2))*100</f>
        <v>9707.5857774288397</v>
      </c>
      <c r="C217">
        <f>(3/(1+('CurrentPor-LH=40 unchanged'!C217+'CurrentPor-LH=40 unchanged'!G217)/100)+103/POWER(1+('CurrentPor-LH=40 unchanged'!D217+'CurrentPor-LH=40 unchanged'!G217)/100,2))*100</f>
        <v>9614.9673582483465</v>
      </c>
      <c r="D217">
        <f>(3/(1+('CurrentPor-LH=40 unchanged'!C217+'CurrentPor-LH=40 unchanged'!H217)/100)+103/POWER(1+('CurrentPor-LH=40 unchanged'!D217+'CurrentPor-LH=40 unchanged'!H217)/100,2))*100</f>
        <v>9601.2395558122898</v>
      </c>
      <c r="E217">
        <f>(3/(1+('CurrentPor-LH=40 unchanged'!C217+'CurrentPor-LH=40 unchanged'!I217)/100)+103/POWER(1+('CurrentPor-LH=40 unchanged'!D217+'CurrentPor-LH=40 unchanged'!I217)/100,2))*100</f>
        <v>9581.2738336585917</v>
      </c>
      <c r="F217">
        <f>Portfolio!B$5*'CurrentPor-LH=40 unchanged'!E217</f>
        <v>52143.895533915893</v>
      </c>
      <c r="G217">
        <f>Portfolio!B$6*'CurrentPor-LH=40 unchanged'!F217</f>
        <v>3696.2945087936532</v>
      </c>
      <c r="H217">
        <f>Portfolio!B$7*'CurrentPor-LH=40 unchanged'!J217</f>
        <v>2148.0998964419859</v>
      </c>
      <c r="I217">
        <f t="shared" si="6"/>
        <v>96493.356464299592</v>
      </c>
      <c r="J217">
        <f t="shared" si="7"/>
        <v>0.78525070718023926</v>
      </c>
    </row>
    <row r="218" spans="1:10">
      <c r="A218" s="1">
        <v>45775</v>
      </c>
      <c r="B218">
        <f>(3/(1+('CurrentPor-LH=40 unchanged'!C218)/100)+103/POWER(1+('CurrentPor-LH=40 unchanged'!D218)/100,2))*100</f>
        <v>9707.5857774288397</v>
      </c>
      <c r="C218">
        <f>(3/(1+('CurrentPor-LH=40 unchanged'!C218+'CurrentPor-LH=40 unchanged'!G218)/100)+103/POWER(1+('CurrentPor-LH=40 unchanged'!D218+'CurrentPor-LH=40 unchanged'!G218)/100,2))*100</f>
        <v>9614.9673582483465</v>
      </c>
      <c r="D218">
        <f>(3/(1+('CurrentPor-LH=40 unchanged'!C218+'CurrentPor-LH=40 unchanged'!H218)/100)+103/POWER(1+('CurrentPor-LH=40 unchanged'!D218+'CurrentPor-LH=40 unchanged'!H218)/100,2))*100</f>
        <v>9601.2395558122898</v>
      </c>
      <c r="E218">
        <f>(3/(1+('CurrentPor-LH=40 unchanged'!C218+'CurrentPor-LH=40 unchanged'!I218)/100)+103/POWER(1+('CurrentPor-LH=40 unchanged'!D218+'CurrentPor-LH=40 unchanged'!I218)/100,2))*100</f>
        <v>9581.7461701869233</v>
      </c>
      <c r="F218">
        <f>Portfolio!B$5*'CurrentPor-LH=40 unchanged'!E218</f>
        <v>52143.895533915893</v>
      </c>
      <c r="G218">
        <f>Portfolio!B$6*'CurrentPor-LH=40 unchanged'!F218</f>
        <v>3696.2945087936532</v>
      </c>
      <c r="H218">
        <f>Portfolio!B$7*'CurrentPor-LH=40 unchanged'!J218</f>
        <v>2148.0998964419859</v>
      </c>
      <c r="I218">
        <f t="shared" si="6"/>
        <v>96493.828800827934</v>
      </c>
      <c r="J218">
        <f t="shared" si="7"/>
        <v>-0.54493382487271447</v>
      </c>
    </row>
    <row r="219" spans="1:10">
      <c r="A219" s="1">
        <v>45776</v>
      </c>
      <c r="B219">
        <f>(3/(1+('CurrentPor-LH=40 unchanged'!C219)/100)+103/POWER(1+('CurrentPor-LH=40 unchanged'!D219)/100,2))*100</f>
        <v>9707.5857774288397</v>
      </c>
      <c r="C219">
        <f>(3/(1+('CurrentPor-LH=40 unchanged'!C219+'CurrentPor-LH=40 unchanged'!G219)/100)+103/POWER(1+('CurrentPor-LH=40 unchanged'!D219+'CurrentPor-LH=40 unchanged'!G219)/100,2))*100</f>
        <v>9614.9673582483465</v>
      </c>
      <c r="D219">
        <f>(3/(1+('CurrentPor-LH=40 unchanged'!C219+'CurrentPor-LH=40 unchanged'!H219)/100)+103/POWER(1+('CurrentPor-LH=40 unchanged'!D219+'CurrentPor-LH=40 unchanged'!H219)/100,2))*100</f>
        <v>9601.2395558122898</v>
      </c>
      <c r="E219">
        <f>(3/(1+('CurrentPor-LH=40 unchanged'!C219+'CurrentPor-LH=40 unchanged'!I219)/100)+103/POWER(1+('CurrentPor-LH=40 unchanged'!D219+'CurrentPor-LH=40 unchanged'!I219)/100,2))*100</f>
        <v>9580.1848347560372</v>
      </c>
      <c r="F219">
        <f>Portfolio!B$5*'CurrentPor-LH=40 unchanged'!E219</f>
        <v>52143.895533915893</v>
      </c>
      <c r="G219">
        <f>Portfolio!B$6*'CurrentPor-LH=40 unchanged'!F219</f>
        <v>3696.2945087936532</v>
      </c>
      <c r="H219">
        <f>Portfolio!B$7*'CurrentPor-LH=40 unchanged'!J219</f>
        <v>2148.0998964419859</v>
      </c>
      <c r="I219">
        <f t="shared" si="6"/>
        <v>96492.267465397046</v>
      </c>
      <c r="J219">
        <f t="shared" si="7"/>
        <v>-2.1018366967182374</v>
      </c>
    </row>
    <row r="220" spans="1:10">
      <c r="A220" s="1">
        <v>45777</v>
      </c>
      <c r="B220">
        <f>(3/(1+('CurrentPor-LH=40 unchanged'!C220)/100)+103/POWER(1+('CurrentPor-LH=40 unchanged'!D220)/100,2))*100</f>
        <v>9707.5857774288397</v>
      </c>
      <c r="C220">
        <f>(3/(1+('CurrentPor-LH=40 unchanged'!C220+'CurrentPor-LH=40 unchanged'!G220)/100)+103/POWER(1+('CurrentPor-LH=40 unchanged'!D220+'CurrentPor-LH=40 unchanged'!G220)/100,2))*100</f>
        <v>9614.9673582483465</v>
      </c>
      <c r="D220">
        <f>(3/(1+('CurrentPor-LH=40 unchanged'!C220+'CurrentPor-LH=40 unchanged'!H220)/100)+103/POWER(1+('CurrentPor-LH=40 unchanged'!D220+'CurrentPor-LH=40 unchanged'!H220)/100,2))*100</f>
        <v>9601.2395558122898</v>
      </c>
      <c r="E220">
        <f>(3/(1+('CurrentPor-LH=40 unchanged'!C220+'CurrentPor-LH=40 unchanged'!I220)/100)+103/POWER(1+('CurrentPor-LH=40 unchanged'!D220+'CurrentPor-LH=40 unchanged'!I220)/100,2))*100</f>
        <v>9579.8196664277166</v>
      </c>
      <c r="F220">
        <f>Portfolio!B$5*'CurrentPor-LH=40 unchanged'!E220</f>
        <v>52143.895533915893</v>
      </c>
      <c r="G220">
        <f>Portfolio!B$6*'CurrentPor-LH=40 unchanged'!F220</f>
        <v>3696.2945087936532</v>
      </c>
      <c r="H220">
        <f>Portfolio!B$7*'CurrentPor-LH=40 unchanged'!J220</f>
        <v>2148.0998964419859</v>
      </c>
      <c r="I220">
        <f t="shared" si="6"/>
        <v>96491.902297068722</v>
      </c>
      <c r="J220">
        <f t="shared" si="7"/>
        <v>-0.61697466499754228</v>
      </c>
    </row>
    <row r="221" spans="1:10">
      <c r="A221" s="1">
        <v>45778</v>
      </c>
      <c r="B221">
        <f>(3/(1+('CurrentPor-LH=40 unchanged'!C221)/100)+103/POWER(1+('CurrentPor-LH=40 unchanged'!D221)/100,2))*100</f>
        <v>9707.5857774288397</v>
      </c>
      <c r="C221">
        <f>(3/(1+('CurrentPor-LH=40 unchanged'!C221+'CurrentPor-LH=40 unchanged'!G221)/100)+103/POWER(1+('CurrentPor-LH=40 unchanged'!D221+'CurrentPor-LH=40 unchanged'!G221)/100,2))*100</f>
        <v>9614.9673582483465</v>
      </c>
      <c r="D221">
        <f>(3/(1+('CurrentPor-LH=40 unchanged'!C221+'CurrentPor-LH=40 unchanged'!H221)/100)+103/POWER(1+('CurrentPor-LH=40 unchanged'!D221+'CurrentPor-LH=40 unchanged'!H221)/100,2))*100</f>
        <v>9601.2395558122898</v>
      </c>
      <c r="E221">
        <f>(3/(1+('CurrentPor-LH=40 unchanged'!C221+'CurrentPor-LH=40 unchanged'!I221)/100)+103/POWER(1+('CurrentPor-LH=40 unchanged'!D221+'CurrentPor-LH=40 unchanged'!I221)/100,2))*100</f>
        <v>9582.0116488298263</v>
      </c>
      <c r="F221">
        <f>Portfolio!B$5*'CurrentPor-LH=40 unchanged'!E221</f>
        <v>52143.895533915893</v>
      </c>
      <c r="G221">
        <f>Portfolio!B$6*'CurrentPor-LH=40 unchanged'!F221</f>
        <v>3696.2945087936532</v>
      </c>
      <c r="H221">
        <f>Portfolio!B$7*'CurrentPor-LH=40 unchanged'!J221</f>
        <v>2148.0998964419859</v>
      </c>
      <c r="I221">
        <f t="shared" si="6"/>
        <v>96494.094279470839</v>
      </c>
      <c r="J221">
        <f t="shared" si="7"/>
        <v>1.1669177827134263</v>
      </c>
    </row>
    <row r="222" spans="1:10">
      <c r="A222" s="1">
        <v>45779</v>
      </c>
      <c r="B222">
        <f>(3/(1+('CurrentPor-LH=40 unchanged'!C222)/100)+103/POWER(1+('CurrentPor-LH=40 unchanged'!D222)/100,2))*100</f>
        <v>9707.5857774288397</v>
      </c>
      <c r="C222">
        <f>(3/(1+('CurrentPor-LH=40 unchanged'!C222+'CurrentPor-LH=40 unchanged'!G222)/100)+103/POWER(1+('CurrentPor-LH=40 unchanged'!D222+'CurrentPor-LH=40 unchanged'!G222)/100,2))*100</f>
        <v>9614.9673582483465</v>
      </c>
      <c r="D222">
        <f>(3/(1+('CurrentPor-LH=40 unchanged'!C222+'CurrentPor-LH=40 unchanged'!H222)/100)+103/POWER(1+('CurrentPor-LH=40 unchanged'!D222+'CurrentPor-LH=40 unchanged'!H222)/100,2))*100</f>
        <v>9601.2395558122898</v>
      </c>
      <c r="E222">
        <f>(3/(1+('CurrentPor-LH=40 unchanged'!C222+'CurrentPor-LH=40 unchanged'!I222)/100)+103/POWER(1+('CurrentPor-LH=40 unchanged'!D222+'CurrentPor-LH=40 unchanged'!I222)/100,2))*100</f>
        <v>9582.1326987173798</v>
      </c>
      <c r="F222">
        <f>Portfolio!B$5*'CurrentPor-LH=40 unchanged'!E222</f>
        <v>52143.895533915893</v>
      </c>
      <c r="G222">
        <f>Portfolio!B$6*'CurrentPor-LH=40 unchanged'!F222</f>
        <v>3696.2945087936532</v>
      </c>
      <c r="H222">
        <f>Portfolio!B$7*'CurrentPor-LH=40 unchanged'!J222</f>
        <v>2148.0998964419859</v>
      </c>
      <c r="I222">
        <f t="shared" si="6"/>
        <v>96494.215329358398</v>
      </c>
      <c r="J222">
        <f t="shared" si="7"/>
        <v>2.6194858000526438</v>
      </c>
    </row>
    <row r="223" spans="1:10">
      <c r="A223" s="1">
        <v>45782</v>
      </c>
      <c r="B223">
        <f>(3/(1+('CurrentPor-LH=40 unchanged'!C223)/100)+103/POWER(1+('CurrentPor-LH=40 unchanged'!D223)/100,2))*100</f>
        <v>9707.5857774288397</v>
      </c>
      <c r="C223">
        <f>(3/(1+('CurrentPor-LH=40 unchanged'!C223+'CurrentPor-LH=40 unchanged'!G223)/100)+103/POWER(1+('CurrentPor-LH=40 unchanged'!D223+'CurrentPor-LH=40 unchanged'!G223)/100,2))*100</f>
        <v>9614.9673582483465</v>
      </c>
      <c r="D223">
        <f>(3/(1+('CurrentPor-LH=40 unchanged'!C223+'CurrentPor-LH=40 unchanged'!H223)/100)+103/POWER(1+('CurrentPor-LH=40 unchanged'!D223+'CurrentPor-LH=40 unchanged'!H223)/100,2))*100</f>
        <v>9601.2395558122898</v>
      </c>
      <c r="E223">
        <f>(3/(1+('CurrentPor-LH=40 unchanged'!C223+'CurrentPor-LH=40 unchanged'!I223)/100)+103/POWER(1+('CurrentPor-LH=40 unchanged'!D223+'CurrentPor-LH=40 unchanged'!I223)/100,2))*100</f>
        <v>9581.3670498975716</v>
      </c>
      <c r="F223">
        <f>Portfolio!B$5*'CurrentPor-LH=40 unchanged'!E223</f>
        <v>52143.895533915893</v>
      </c>
      <c r="G223">
        <f>Portfolio!B$6*'CurrentPor-LH=40 unchanged'!F223</f>
        <v>3696.2945087936532</v>
      </c>
      <c r="H223">
        <f>Portfolio!B$7*'CurrentPor-LH=40 unchanged'!J223</f>
        <v>2148.0998964419859</v>
      </c>
      <c r="I223">
        <f t="shared" si="6"/>
        <v>96493.449680538572</v>
      </c>
      <c r="J223">
        <f t="shared" si="7"/>
        <v>1.3510385992849478</v>
      </c>
    </row>
    <row r="224" spans="1:10">
      <c r="A224" s="1">
        <v>45783</v>
      </c>
      <c r="B224">
        <f>(3/(1+('CurrentPor-LH=40 unchanged'!C224)/100)+103/POWER(1+('CurrentPor-LH=40 unchanged'!D224)/100,2))*100</f>
        <v>9707.5857774288397</v>
      </c>
      <c r="C224">
        <f>(3/(1+('CurrentPor-LH=40 unchanged'!C224+'CurrentPor-LH=40 unchanged'!G224)/100)+103/POWER(1+('CurrentPor-LH=40 unchanged'!D224+'CurrentPor-LH=40 unchanged'!G224)/100,2))*100</f>
        <v>9614.9673582483465</v>
      </c>
      <c r="D224">
        <f>(3/(1+('CurrentPor-LH=40 unchanged'!C224+'CurrentPor-LH=40 unchanged'!H224)/100)+103/POWER(1+('CurrentPor-LH=40 unchanged'!D224+'CurrentPor-LH=40 unchanged'!H224)/100,2))*100</f>
        <v>9601.2395558122898</v>
      </c>
      <c r="E224">
        <f>(3/(1+('CurrentPor-LH=40 unchanged'!C224+'CurrentPor-LH=40 unchanged'!I224)/100)+103/POWER(1+('CurrentPor-LH=40 unchanged'!D224+'CurrentPor-LH=40 unchanged'!I224)/100,2))*100</f>
        <v>9580.5783462320705</v>
      </c>
      <c r="F224">
        <f>Portfolio!B$5*'CurrentPor-LH=40 unchanged'!E224</f>
        <v>52143.895533915893</v>
      </c>
      <c r="G224">
        <f>Portfolio!B$6*'CurrentPor-LH=40 unchanged'!F224</f>
        <v>3696.2945087936532</v>
      </c>
      <c r="H224">
        <f>Portfolio!B$7*'CurrentPor-LH=40 unchanged'!J224</f>
        <v>2148.0998964419859</v>
      </c>
      <c r="I224">
        <f t="shared" si="6"/>
        <v>96492.660976873085</v>
      </c>
      <c r="J224">
        <f t="shared" si="7"/>
        <v>-6.7824058700352907E-2</v>
      </c>
    </row>
    <row r="225" spans="1:10">
      <c r="A225" s="1">
        <v>45784</v>
      </c>
      <c r="B225">
        <f>(3/(1+('CurrentPor-LH=40 unchanged'!C225)/100)+103/POWER(1+('CurrentPor-LH=40 unchanged'!D225)/100,2))*100</f>
        <v>9707.5857774288397</v>
      </c>
      <c r="C225">
        <f>(3/(1+('CurrentPor-LH=40 unchanged'!C225+'CurrentPor-LH=40 unchanged'!G225)/100)+103/POWER(1+('CurrentPor-LH=40 unchanged'!D225+'CurrentPor-LH=40 unchanged'!G225)/100,2))*100</f>
        <v>9614.9673582483465</v>
      </c>
      <c r="D225">
        <f>(3/(1+('CurrentPor-LH=40 unchanged'!C225+'CurrentPor-LH=40 unchanged'!H225)/100)+103/POWER(1+('CurrentPor-LH=40 unchanged'!D225+'CurrentPor-LH=40 unchanged'!H225)/100,2))*100</f>
        <v>9601.2395558122898</v>
      </c>
      <c r="E225">
        <f>(3/(1+('CurrentPor-LH=40 unchanged'!C225+'CurrentPor-LH=40 unchanged'!I225)/100)+103/POWER(1+('CurrentPor-LH=40 unchanged'!D225+'CurrentPor-LH=40 unchanged'!I225)/100,2))*100</f>
        <v>9579.4241231332035</v>
      </c>
      <c r="F225">
        <f>Portfolio!B$5*'CurrentPor-LH=40 unchanged'!E225</f>
        <v>52143.895533915893</v>
      </c>
      <c r="G225">
        <f>Portfolio!B$6*'CurrentPor-LH=40 unchanged'!F225</f>
        <v>3696.2945087936532</v>
      </c>
      <c r="H225">
        <f>Portfolio!B$7*'CurrentPor-LH=40 unchanged'!J225</f>
        <v>2148.0998964419859</v>
      </c>
      <c r="I225">
        <f t="shared" si="6"/>
        <v>96491.506753774214</v>
      </c>
      <c r="J225">
        <f t="shared" si="7"/>
        <v>-1.6819500788260484</v>
      </c>
    </row>
    <row r="226" spans="1:10">
      <c r="A226" s="1">
        <v>45785</v>
      </c>
      <c r="B226">
        <f>(3/(1+('CurrentPor-LH=40 unchanged'!C226)/100)+103/POWER(1+('CurrentPor-LH=40 unchanged'!D226)/100,2))*100</f>
        <v>9707.5857774288397</v>
      </c>
      <c r="C226">
        <f>(3/(1+('CurrentPor-LH=40 unchanged'!C226+'CurrentPor-LH=40 unchanged'!G226)/100)+103/POWER(1+('CurrentPor-LH=40 unchanged'!D226+'CurrentPor-LH=40 unchanged'!G226)/100,2))*100</f>
        <v>9614.9673582483465</v>
      </c>
      <c r="D226">
        <f>(3/(1+('CurrentPor-LH=40 unchanged'!C226+'CurrentPor-LH=40 unchanged'!H226)/100)+103/POWER(1+('CurrentPor-LH=40 unchanged'!D226+'CurrentPor-LH=40 unchanged'!H226)/100,2))*100</f>
        <v>9601.2395558122898</v>
      </c>
      <c r="E226">
        <f>(3/(1+('CurrentPor-LH=40 unchanged'!C226+'CurrentPor-LH=40 unchanged'!I226)/100)+103/POWER(1+('CurrentPor-LH=40 unchanged'!D226+'CurrentPor-LH=40 unchanged'!I226)/100,2))*100</f>
        <v>9579.3005286208645</v>
      </c>
      <c r="F226">
        <f>Portfolio!B$5*'CurrentPor-LH=40 unchanged'!E226</f>
        <v>52143.895533915893</v>
      </c>
      <c r="G226">
        <f>Portfolio!B$6*'CurrentPor-LH=40 unchanged'!F226</f>
        <v>3696.2945087936532</v>
      </c>
      <c r="H226">
        <f>Portfolio!B$7*'CurrentPor-LH=40 unchanged'!J226</f>
        <v>2148.0998964419859</v>
      </c>
      <c r="I226">
        <f t="shared" si="6"/>
        <v>96491.383159261881</v>
      </c>
      <c r="J226">
        <f t="shared" si="7"/>
        <v>-0.66383604955626652</v>
      </c>
    </row>
    <row r="227" spans="1:10">
      <c r="A227" s="1">
        <v>45786</v>
      </c>
      <c r="B227">
        <f>(3/(1+('CurrentPor-LH=40 unchanged'!C227)/100)+103/POWER(1+('CurrentPor-LH=40 unchanged'!D227)/100,2))*100</f>
        <v>9707.5857774288397</v>
      </c>
      <c r="C227">
        <f>(3/(1+('CurrentPor-LH=40 unchanged'!C227+'CurrentPor-LH=40 unchanged'!G227)/100)+103/POWER(1+('CurrentPor-LH=40 unchanged'!D227+'CurrentPor-LH=40 unchanged'!G227)/100,2))*100</f>
        <v>9614.9673582483465</v>
      </c>
      <c r="D227">
        <f>(3/(1+('CurrentPor-LH=40 unchanged'!C227+'CurrentPor-LH=40 unchanged'!H227)/100)+103/POWER(1+('CurrentPor-LH=40 unchanged'!D227+'CurrentPor-LH=40 unchanged'!H227)/100,2))*100</f>
        <v>9601.2395558122898</v>
      </c>
      <c r="E227">
        <f>(3/(1+('CurrentPor-LH=40 unchanged'!C227+'CurrentPor-LH=40 unchanged'!I227)/100)+103/POWER(1+('CurrentPor-LH=40 unchanged'!D227+'CurrentPor-LH=40 unchanged'!I227)/100,2))*100</f>
        <v>9580.996708806304</v>
      </c>
      <c r="F227">
        <f>Portfolio!B$5*'CurrentPor-LH=40 unchanged'!E227</f>
        <v>52143.895533915893</v>
      </c>
      <c r="G227">
        <f>Portfolio!B$6*'CurrentPor-LH=40 unchanged'!F227</f>
        <v>3696.2945087936532</v>
      </c>
      <c r="H227">
        <f>Portfolio!B$7*'CurrentPor-LH=40 unchanged'!J227</f>
        <v>2148.0998964419859</v>
      </c>
      <c r="I227">
        <f t="shared" si="6"/>
        <v>96493.079339447315</v>
      </c>
      <c r="J227">
        <f t="shared" si="7"/>
        <v>-0.27712485227675643</v>
      </c>
    </row>
    <row r="228" spans="1:10">
      <c r="A228" s="1">
        <v>45789</v>
      </c>
      <c r="B228">
        <f>(3/(1+('CurrentPor-LH=40 unchanged'!C228)/100)+103/POWER(1+('CurrentPor-LH=40 unchanged'!D228)/100,2))*100</f>
        <v>9707.5857774288397</v>
      </c>
      <c r="C228">
        <f>(3/(1+('CurrentPor-LH=40 unchanged'!C228+'CurrentPor-LH=40 unchanged'!G228)/100)+103/POWER(1+('CurrentPor-LH=40 unchanged'!D228+'CurrentPor-LH=40 unchanged'!G228)/100,2))*100</f>
        <v>9614.9673582483465</v>
      </c>
      <c r="D228">
        <f>(3/(1+('CurrentPor-LH=40 unchanged'!C228+'CurrentPor-LH=40 unchanged'!H228)/100)+103/POWER(1+('CurrentPor-LH=40 unchanged'!D228+'CurrentPor-LH=40 unchanged'!H228)/100,2))*100</f>
        <v>9601.2395558122898</v>
      </c>
      <c r="E228">
        <f>(3/(1+('CurrentPor-LH=40 unchanged'!C228+'CurrentPor-LH=40 unchanged'!I228)/100)+103/POWER(1+('CurrentPor-LH=40 unchanged'!D228+'CurrentPor-LH=40 unchanged'!I228)/100,2))*100</f>
        <v>9580.3650991372488</v>
      </c>
      <c r="F228">
        <f>Portfolio!B$5*'CurrentPor-LH=40 unchanged'!E228</f>
        <v>52143.895533915893</v>
      </c>
      <c r="G228">
        <f>Portfolio!B$6*'CurrentPor-LH=40 unchanged'!F228</f>
        <v>3696.2945087936532</v>
      </c>
      <c r="H228">
        <f>Portfolio!B$7*'CurrentPor-LH=40 unchanged'!J228</f>
        <v>2148.0998964419859</v>
      </c>
      <c r="I228">
        <f t="shared" si="6"/>
        <v>96492.447729778258</v>
      </c>
      <c r="J228">
        <f t="shared" si="7"/>
        <v>-1.3810710496763932</v>
      </c>
    </row>
    <row r="229" spans="1:10">
      <c r="A229" s="1">
        <v>45790</v>
      </c>
      <c r="B229">
        <f>(3/(1+('CurrentPor-LH=40 unchanged'!C229)/100)+103/POWER(1+('CurrentPor-LH=40 unchanged'!D229)/100,2))*100</f>
        <v>9707.5857774288397</v>
      </c>
      <c r="C229">
        <f>(3/(1+('CurrentPor-LH=40 unchanged'!C229+'CurrentPor-LH=40 unchanged'!G229)/100)+103/POWER(1+('CurrentPor-LH=40 unchanged'!D229+'CurrentPor-LH=40 unchanged'!G229)/100,2))*100</f>
        <v>9614.9673582483465</v>
      </c>
      <c r="D229">
        <f>(3/(1+('CurrentPor-LH=40 unchanged'!C229+'CurrentPor-LH=40 unchanged'!H229)/100)+103/POWER(1+('CurrentPor-LH=40 unchanged'!D229+'CurrentPor-LH=40 unchanged'!H229)/100,2))*100</f>
        <v>9601.2395558122898</v>
      </c>
      <c r="E229">
        <f>(3/(1+('CurrentPor-LH=40 unchanged'!C229+'CurrentPor-LH=40 unchanged'!I229)/100)+103/POWER(1+('CurrentPor-LH=40 unchanged'!D229+'CurrentPor-LH=40 unchanged'!I229)/100,2))*100</f>
        <v>9580.2798343728318</v>
      </c>
      <c r="F229">
        <f>Portfolio!B$5*'CurrentPor-LH=40 unchanged'!E229</f>
        <v>52143.895533915893</v>
      </c>
      <c r="G229">
        <f>Portfolio!B$6*'CurrentPor-LH=40 unchanged'!F229</f>
        <v>3696.2945087936532</v>
      </c>
      <c r="H229">
        <f>Portfolio!B$7*'CurrentPor-LH=40 unchanged'!J229</f>
        <v>2148.0998964419859</v>
      </c>
      <c r="I229">
        <f t="shared" si="6"/>
        <v>96492.362465013852</v>
      </c>
      <c r="J229">
        <f t="shared" si="7"/>
        <v>9.4999616805580445E-2</v>
      </c>
    </row>
    <row r="230" spans="1:10">
      <c r="A230" s="1">
        <v>45791</v>
      </c>
      <c r="B230">
        <f>(3/(1+('CurrentPor-LH=40 unchanged'!C230)/100)+103/POWER(1+('CurrentPor-LH=40 unchanged'!D230)/100,2))*100</f>
        <v>9707.5857774288397</v>
      </c>
      <c r="C230">
        <f>(3/(1+('CurrentPor-LH=40 unchanged'!C230+'CurrentPor-LH=40 unchanged'!G230)/100)+103/POWER(1+('CurrentPor-LH=40 unchanged'!D230+'CurrentPor-LH=40 unchanged'!G230)/100,2))*100</f>
        <v>9614.9673582483465</v>
      </c>
      <c r="D230">
        <f>(3/(1+('CurrentPor-LH=40 unchanged'!C230+'CurrentPor-LH=40 unchanged'!H230)/100)+103/POWER(1+('CurrentPor-LH=40 unchanged'!D230+'CurrentPor-LH=40 unchanged'!H230)/100,2))*100</f>
        <v>9601.2395558122898</v>
      </c>
      <c r="E230">
        <f>(3/(1+('CurrentPor-LH=40 unchanged'!C230+'CurrentPor-LH=40 unchanged'!I230)/100)+103/POWER(1+('CurrentPor-LH=40 unchanged'!D230+'CurrentPor-LH=40 unchanged'!I230)/100,2))*100</f>
        <v>9580.7792612115554</v>
      </c>
      <c r="F230">
        <f>Portfolio!B$5*'CurrentPor-LH=40 unchanged'!E230</f>
        <v>52143.895533915893</v>
      </c>
      <c r="G230">
        <f>Portfolio!B$6*'CurrentPor-LH=40 unchanged'!F230</f>
        <v>3696.2945087936532</v>
      </c>
      <c r="H230">
        <f>Portfolio!B$7*'CurrentPor-LH=40 unchanged'!J230</f>
        <v>2148.0998964419859</v>
      </c>
      <c r="I230">
        <f t="shared" si="6"/>
        <v>96492.861891852561</v>
      </c>
      <c r="J230">
        <f t="shared" si="7"/>
        <v>0.95959478383883834</v>
      </c>
    </row>
    <row r="231" spans="1:10">
      <c r="A231" s="1">
        <v>45792</v>
      </c>
      <c r="B231">
        <f>(3/(1+('CurrentPor-LH=40 unchanged'!C231)/100)+103/POWER(1+('CurrentPor-LH=40 unchanged'!D231)/100,2))*100</f>
        <v>9707.5857774288397</v>
      </c>
      <c r="C231">
        <f>(3/(1+('CurrentPor-LH=40 unchanged'!C231+'CurrentPor-LH=40 unchanged'!G231)/100)+103/POWER(1+('CurrentPor-LH=40 unchanged'!D231+'CurrentPor-LH=40 unchanged'!G231)/100,2))*100</f>
        <v>9614.9673582483465</v>
      </c>
      <c r="D231">
        <f>(3/(1+('CurrentPor-LH=40 unchanged'!C231+'CurrentPor-LH=40 unchanged'!H231)/100)+103/POWER(1+('CurrentPor-LH=40 unchanged'!D231+'CurrentPor-LH=40 unchanged'!H231)/100,2))*100</f>
        <v>9601.2395558122898</v>
      </c>
      <c r="E231">
        <f>(3/(1+('CurrentPor-LH=40 unchanged'!C231+'CurrentPor-LH=40 unchanged'!I231)/100)+103/POWER(1+('CurrentPor-LH=40 unchanged'!D231+'CurrentPor-LH=40 unchanged'!I231)/100,2))*100</f>
        <v>9580.70713809466</v>
      </c>
      <c r="F231">
        <f>Portfolio!B$5*'CurrentPor-LH=40 unchanged'!E231</f>
        <v>52143.895533915893</v>
      </c>
      <c r="G231">
        <f>Portfolio!B$6*'CurrentPor-LH=40 unchanged'!F231</f>
        <v>3696.2945087936532</v>
      </c>
      <c r="H231">
        <f>Portfolio!B$7*'CurrentPor-LH=40 unchanged'!J231</f>
        <v>2148.0998964419859</v>
      </c>
      <c r="I231">
        <f t="shared" si="6"/>
        <v>96492.78976873566</v>
      </c>
      <c r="J231">
        <f t="shared" si="7"/>
        <v>-1.3045107351790648</v>
      </c>
    </row>
    <row r="232" spans="1:10">
      <c r="A232" s="1">
        <v>45793</v>
      </c>
      <c r="B232">
        <f>(3/(1+('CurrentPor-LH=40 unchanged'!C232)/100)+103/POWER(1+('CurrentPor-LH=40 unchanged'!D232)/100,2))*100</f>
        <v>9707.5857774288397</v>
      </c>
      <c r="C232">
        <f>(3/(1+('CurrentPor-LH=40 unchanged'!C232+'CurrentPor-LH=40 unchanged'!G232)/100)+103/POWER(1+('CurrentPor-LH=40 unchanged'!D232+'CurrentPor-LH=40 unchanged'!G232)/100,2))*100</f>
        <v>9614.9673582483465</v>
      </c>
      <c r="D232">
        <f>(3/(1+('CurrentPor-LH=40 unchanged'!C232+'CurrentPor-LH=40 unchanged'!H232)/100)+103/POWER(1+('CurrentPor-LH=40 unchanged'!D232+'CurrentPor-LH=40 unchanged'!H232)/100,2))*100</f>
        <v>9601.2395558122898</v>
      </c>
      <c r="E232">
        <f>(3/(1+('CurrentPor-LH=40 unchanged'!C232+'CurrentPor-LH=40 unchanged'!I232)/100)+103/POWER(1+('CurrentPor-LH=40 unchanged'!D232+'CurrentPor-LH=40 unchanged'!I232)/100,2))*100</f>
        <v>9580.6265560858756</v>
      </c>
      <c r="F232">
        <f>Portfolio!B$5*'CurrentPor-LH=40 unchanged'!E232</f>
        <v>52143.895533915893</v>
      </c>
      <c r="G232">
        <f>Portfolio!B$6*'CurrentPor-LH=40 unchanged'!F232</f>
        <v>3696.2945087936532</v>
      </c>
      <c r="H232">
        <f>Portfolio!B$7*'CurrentPor-LH=40 unchanged'!J232</f>
        <v>2148.0998964419859</v>
      </c>
      <c r="I232">
        <f t="shared" si="6"/>
        <v>96492.709186726875</v>
      </c>
      <c r="J232">
        <f t="shared" si="7"/>
        <v>-1.5061426315223798</v>
      </c>
    </row>
    <row r="233" spans="1:10">
      <c r="A233" s="1">
        <v>45796</v>
      </c>
      <c r="B233">
        <f>(3/(1+('CurrentPor-LH=40 unchanged'!C233)/100)+103/POWER(1+('CurrentPor-LH=40 unchanged'!D233)/100,2))*100</f>
        <v>9707.5857774288397</v>
      </c>
      <c r="C233">
        <f>(3/(1+('CurrentPor-LH=40 unchanged'!C233+'CurrentPor-LH=40 unchanged'!G233)/100)+103/POWER(1+('CurrentPor-LH=40 unchanged'!D233+'CurrentPor-LH=40 unchanged'!G233)/100,2))*100</f>
        <v>9614.9673582483465</v>
      </c>
      <c r="D233">
        <f>(3/(1+('CurrentPor-LH=40 unchanged'!C233+'CurrentPor-LH=40 unchanged'!H233)/100)+103/POWER(1+('CurrentPor-LH=40 unchanged'!D233+'CurrentPor-LH=40 unchanged'!H233)/100,2))*100</f>
        <v>9601.2395558122898</v>
      </c>
      <c r="E233">
        <f>(3/(1+('CurrentPor-LH=40 unchanged'!C233+'CurrentPor-LH=40 unchanged'!I233)/100)+103/POWER(1+('CurrentPor-LH=40 unchanged'!D233+'CurrentPor-LH=40 unchanged'!I233)/100,2))*100</f>
        <v>9579.7043812262018</v>
      </c>
      <c r="F233">
        <f>Portfolio!B$5*'CurrentPor-LH=40 unchanged'!E233</f>
        <v>52143.895533915893</v>
      </c>
      <c r="G233">
        <f>Portfolio!B$6*'CurrentPor-LH=40 unchanged'!F233</f>
        <v>3696.2945087936532</v>
      </c>
      <c r="H233">
        <f>Portfolio!B$7*'CurrentPor-LH=40 unchanged'!J233</f>
        <v>2148.0998964419859</v>
      </c>
      <c r="I233">
        <f t="shared" si="6"/>
        <v>96491.7870118672</v>
      </c>
      <c r="J233">
        <f t="shared" si="7"/>
        <v>-1.6626686713716481</v>
      </c>
    </row>
    <row r="234" spans="1:10">
      <c r="A234" s="1">
        <v>45797</v>
      </c>
      <c r="B234">
        <f>(3/(1+('CurrentPor-LH=40 unchanged'!C234)/100)+103/POWER(1+('CurrentPor-LH=40 unchanged'!D234)/100,2))*100</f>
        <v>9707.5857774288397</v>
      </c>
      <c r="C234">
        <f>(3/(1+('CurrentPor-LH=40 unchanged'!C234+'CurrentPor-LH=40 unchanged'!G234)/100)+103/POWER(1+('CurrentPor-LH=40 unchanged'!D234+'CurrentPor-LH=40 unchanged'!G234)/100,2))*100</f>
        <v>9614.9673582483465</v>
      </c>
      <c r="D234">
        <f>(3/(1+('CurrentPor-LH=40 unchanged'!C234+'CurrentPor-LH=40 unchanged'!H234)/100)+103/POWER(1+('CurrentPor-LH=40 unchanged'!D234+'CurrentPor-LH=40 unchanged'!H234)/100,2))*100</f>
        <v>9601.2395558122898</v>
      </c>
      <c r="E234">
        <f>(3/(1+('CurrentPor-LH=40 unchanged'!C234+'CurrentPor-LH=40 unchanged'!I234)/100)+103/POWER(1+('CurrentPor-LH=40 unchanged'!D234+'CurrentPor-LH=40 unchanged'!I234)/100,2))*100</f>
        <v>9581.090087865281</v>
      </c>
      <c r="F234">
        <f>Portfolio!B$5*'CurrentPor-LH=40 unchanged'!E234</f>
        <v>52143.895533915893</v>
      </c>
      <c r="G234">
        <f>Portfolio!B$6*'CurrentPor-LH=40 unchanged'!F234</f>
        <v>3696.2945087936532</v>
      </c>
      <c r="H234">
        <f>Portfolio!B$7*'CurrentPor-LH=40 unchanged'!J234</f>
        <v>2148.0998964419859</v>
      </c>
      <c r="I234">
        <f t="shared" si="6"/>
        <v>96493.172718506292</v>
      </c>
      <c r="J234">
        <f t="shared" si="7"/>
        <v>0.51174163320683874</v>
      </c>
    </row>
    <row r="235" spans="1:10">
      <c r="A235" s="1">
        <v>45798</v>
      </c>
      <c r="B235">
        <f>(3/(1+('CurrentPor-LH=40 unchanged'!C235)/100)+103/POWER(1+('CurrentPor-LH=40 unchanged'!D235)/100,2))*100</f>
        <v>9707.5857774288397</v>
      </c>
      <c r="C235">
        <f>(3/(1+('CurrentPor-LH=40 unchanged'!C235+'CurrentPor-LH=40 unchanged'!G235)/100)+103/POWER(1+('CurrentPor-LH=40 unchanged'!D235+'CurrentPor-LH=40 unchanged'!G235)/100,2))*100</f>
        <v>9614.9673582483465</v>
      </c>
      <c r="D235">
        <f>(3/(1+('CurrentPor-LH=40 unchanged'!C235+'CurrentPor-LH=40 unchanged'!H235)/100)+103/POWER(1+('CurrentPor-LH=40 unchanged'!D235+'CurrentPor-LH=40 unchanged'!H235)/100,2))*100</f>
        <v>9601.2395558122898</v>
      </c>
      <c r="E235">
        <f>(3/(1+('CurrentPor-LH=40 unchanged'!C235+'CurrentPor-LH=40 unchanged'!I235)/100)+103/POWER(1+('CurrentPor-LH=40 unchanged'!D235+'CurrentPor-LH=40 unchanged'!I235)/100,2))*100</f>
        <v>9579.147512612697</v>
      </c>
      <c r="F235">
        <f>Portfolio!B$5*'CurrentPor-LH=40 unchanged'!E235</f>
        <v>52143.895533915893</v>
      </c>
      <c r="G235">
        <f>Portfolio!B$6*'CurrentPor-LH=40 unchanged'!F235</f>
        <v>3696.2945087936532</v>
      </c>
      <c r="H235">
        <f>Portfolio!B$7*'CurrentPor-LH=40 unchanged'!J235</f>
        <v>2148.0998964419859</v>
      </c>
      <c r="I235">
        <f t="shared" si="6"/>
        <v>96491.230143253706</v>
      </c>
      <c r="J235">
        <f t="shared" si="7"/>
        <v>-0.27661052050825674</v>
      </c>
    </row>
    <row r="236" spans="1:10">
      <c r="A236" s="1">
        <v>45799</v>
      </c>
      <c r="B236">
        <f>(3/(1+('CurrentPor-LH=40 unchanged'!C236)/100)+103/POWER(1+('CurrentPor-LH=40 unchanged'!D236)/100,2))*100</f>
        <v>9707.5857774288397</v>
      </c>
      <c r="C236">
        <f>(3/(1+('CurrentPor-LH=40 unchanged'!C236+'CurrentPor-LH=40 unchanged'!G236)/100)+103/POWER(1+('CurrentPor-LH=40 unchanged'!D236+'CurrentPor-LH=40 unchanged'!G236)/100,2))*100</f>
        <v>9614.9673582483465</v>
      </c>
      <c r="D236">
        <f>(3/(1+('CurrentPor-LH=40 unchanged'!C236+'CurrentPor-LH=40 unchanged'!H236)/100)+103/POWER(1+('CurrentPor-LH=40 unchanged'!D236+'CurrentPor-LH=40 unchanged'!H236)/100,2))*100</f>
        <v>9601.2395558122898</v>
      </c>
      <c r="E236">
        <f>(3/(1+('CurrentPor-LH=40 unchanged'!C236+'CurrentPor-LH=40 unchanged'!I236)/100)+103/POWER(1+('CurrentPor-LH=40 unchanged'!D236+'CurrentPor-LH=40 unchanged'!I236)/100,2))*100</f>
        <v>9580.4976876146775</v>
      </c>
      <c r="F236">
        <f>Portfolio!B$5*'CurrentPor-LH=40 unchanged'!E236</f>
        <v>52143.895533915893</v>
      </c>
      <c r="G236">
        <f>Portfolio!B$6*'CurrentPor-LH=40 unchanged'!F236</f>
        <v>3696.2945087936532</v>
      </c>
      <c r="H236">
        <f>Portfolio!B$7*'CurrentPor-LH=40 unchanged'!J236</f>
        <v>2148.0998964419859</v>
      </c>
      <c r="I236">
        <f t="shared" si="6"/>
        <v>96492.580318255685</v>
      </c>
      <c r="J236">
        <f t="shared" si="7"/>
        <v>1.197158993803896</v>
      </c>
    </row>
    <row r="237" spans="1:10">
      <c r="A237" s="1">
        <v>45800</v>
      </c>
      <c r="B237">
        <f>(3/(1+('CurrentPor-LH=40 unchanged'!C237)/100)+103/POWER(1+('CurrentPor-LH=40 unchanged'!D237)/100,2))*100</f>
        <v>9707.5857774288397</v>
      </c>
      <c r="C237">
        <f>(3/(1+('CurrentPor-LH=40 unchanged'!C237+'CurrentPor-LH=40 unchanged'!G237)/100)+103/POWER(1+('CurrentPor-LH=40 unchanged'!D237+'CurrentPor-LH=40 unchanged'!G237)/100,2))*100</f>
        <v>9614.9673582483465</v>
      </c>
      <c r="D237">
        <f>(3/(1+('CurrentPor-LH=40 unchanged'!C237+'CurrentPor-LH=40 unchanged'!H237)/100)+103/POWER(1+('CurrentPor-LH=40 unchanged'!D237+'CurrentPor-LH=40 unchanged'!H237)/100,2))*100</f>
        <v>9601.2395558122898</v>
      </c>
      <c r="E237">
        <f>(3/(1+('CurrentPor-LH=40 unchanged'!C237+'CurrentPor-LH=40 unchanged'!I237)/100)+103/POWER(1+('CurrentPor-LH=40 unchanged'!D237+'CurrentPor-LH=40 unchanged'!I237)/100,2))*100</f>
        <v>9580.6341961793714</v>
      </c>
      <c r="F237">
        <f>Portfolio!B$5*'CurrentPor-LH=40 unchanged'!E237</f>
        <v>52143.895533915893</v>
      </c>
      <c r="G237">
        <f>Portfolio!B$6*'CurrentPor-LH=40 unchanged'!F237</f>
        <v>3696.2945087936532</v>
      </c>
      <c r="H237">
        <f>Portfolio!B$7*'CurrentPor-LH=40 unchanged'!J237</f>
        <v>2148.0998964419859</v>
      </c>
      <c r="I237">
        <f t="shared" si="6"/>
        <v>96492.716826820382</v>
      </c>
      <c r="J237">
        <f t="shared" si="7"/>
        <v>-0.36251262693258468</v>
      </c>
    </row>
    <row r="238" spans="1:10">
      <c r="A238" s="1">
        <v>45803</v>
      </c>
      <c r="B238">
        <f>(3/(1+('CurrentPor-LH=40 unchanged'!C238)/100)+103/POWER(1+('CurrentPor-LH=40 unchanged'!D238)/100,2))*100</f>
        <v>9707.5857774288397</v>
      </c>
      <c r="C238">
        <f>(3/(1+('CurrentPor-LH=40 unchanged'!C238+'CurrentPor-LH=40 unchanged'!G238)/100)+103/POWER(1+('CurrentPor-LH=40 unchanged'!D238+'CurrentPor-LH=40 unchanged'!G238)/100,2))*100</f>
        <v>9614.9673582483465</v>
      </c>
      <c r="D238">
        <f>(3/(1+('CurrentPor-LH=40 unchanged'!C238+'CurrentPor-LH=40 unchanged'!H238)/100)+103/POWER(1+('CurrentPor-LH=40 unchanged'!D238+'CurrentPor-LH=40 unchanged'!H238)/100,2))*100</f>
        <v>9601.2395558122898</v>
      </c>
      <c r="E238">
        <f>(3/(1+('CurrentPor-LH=40 unchanged'!C238+'CurrentPor-LH=40 unchanged'!I238)/100)+103/POWER(1+('CurrentPor-LH=40 unchanged'!D238+'CurrentPor-LH=40 unchanged'!I238)/100,2))*100</f>
        <v>9580.3464922530602</v>
      </c>
      <c r="F238">
        <f>Portfolio!B$5*'CurrentPor-LH=40 unchanged'!E238</f>
        <v>52143.895533915893</v>
      </c>
      <c r="G238">
        <f>Portfolio!B$6*'CurrentPor-LH=40 unchanged'!F238</f>
        <v>3696.2945087936532</v>
      </c>
      <c r="H238">
        <f>Portfolio!B$7*'CurrentPor-LH=40 unchanged'!J238</f>
        <v>2148.0998964419859</v>
      </c>
      <c r="I238">
        <f t="shared" si="6"/>
        <v>96492.429122894071</v>
      </c>
      <c r="J238">
        <f t="shared" si="7"/>
        <v>-1.8606884186738171E-2</v>
      </c>
    </row>
    <row r="239" spans="1:10">
      <c r="A239" s="1">
        <v>45804</v>
      </c>
      <c r="B239">
        <f>(3/(1+('CurrentPor-LH=40 unchanged'!C239)/100)+103/POWER(1+('CurrentPor-LH=40 unchanged'!D239)/100,2))*100</f>
        <v>9707.5857774288397</v>
      </c>
      <c r="C239">
        <f>(3/(1+('CurrentPor-LH=40 unchanged'!C239+'CurrentPor-LH=40 unchanged'!G239)/100)+103/POWER(1+('CurrentPor-LH=40 unchanged'!D239+'CurrentPor-LH=40 unchanged'!G239)/100,2))*100</f>
        <v>9614.9673582483465</v>
      </c>
      <c r="D239">
        <f>(3/(1+('CurrentPor-LH=40 unchanged'!C239+'CurrentPor-LH=40 unchanged'!H239)/100)+103/POWER(1+('CurrentPor-LH=40 unchanged'!D239+'CurrentPor-LH=40 unchanged'!H239)/100,2))*100</f>
        <v>9601.2395558122898</v>
      </c>
      <c r="E239">
        <f>(3/(1+('CurrentPor-LH=40 unchanged'!C239+'CurrentPor-LH=40 unchanged'!I239)/100)+103/POWER(1+('CurrentPor-LH=40 unchanged'!D239+'CurrentPor-LH=40 unchanged'!I239)/100,2))*100</f>
        <v>9578.4733380283378</v>
      </c>
      <c r="F239">
        <f>Portfolio!B$5*'CurrentPor-LH=40 unchanged'!E239</f>
        <v>52143.895533915893</v>
      </c>
      <c r="G239">
        <f>Portfolio!B$6*'CurrentPor-LH=40 unchanged'!F239</f>
        <v>3696.2945087936532</v>
      </c>
      <c r="H239">
        <f>Portfolio!B$7*'CurrentPor-LH=40 unchanged'!J239</f>
        <v>2148.0998964419859</v>
      </c>
      <c r="I239">
        <f t="shared" si="6"/>
        <v>96490.555968669345</v>
      </c>
      <c r="J239">
        <f t="shared" si="7"/>
        <v>-1.8064963445067406</v>
      </c>
    </row>
    <row r="240" spans="1:10">
      <c r="A240" s="1">
        <v>45805</v>
      </c>
      <c r="B240">
        <f>(3/(1+('CurrentPor-LH=40 unchanged'!C240)/100)+103/POWER(1+('CurrentPor-LH=40 unchanged'!D240)/100,2))*100</f>
        <v>9707.5857774288397</v>
      </c>
      <c r="C240">
        <f>(3/(1+('CurrentPor-LH=40 unchanged'!C240+'CurrentPor-LH=40 unchanged'!G240)/100)+103/POWER(1+('CurrentPor-LH=40 unchanged'!D240+'CurrentPor-LH=40 unchanged'!G240)/100,2))*100</f>
        <v>9614.9673582483465</v>
      </c>
      <c r="D240">
        <f>(3/(1+('CurrentPor-LH=40 unchanged'!C240+'CurrentPor-LH=40 unchanged'!H240)/100)+103/POWER(1+('CurrentPor-LH=40 unchanged'!D240+'CurrentPor-LH=40 unchanged'!H240)/100,2))*100</f>
        <v>9601.2395558122898</v>
      </c>
      <c r="E240">
        <f>(3/(1+('CurrentPor-LH=40 unchanged'!C240+'CurrentPor-LH=40 unchanged'!I240)/100)+103/POWER(1+('CurrentPor-LH=40 unchanged'!D240+'CurrentPor-LH=40 unchanged'!I240)/100,2))*100</f>
        <v>9580.0821636801211</v>
      </c>
      <c r="F240">
        <f>Portfolio!B$5*'CurrentPor-LH=40 unchanged'!E240</f>
        <v>52143.895533915893</v>
      </c>
      <c r="G240">
        <f>Portfolio!B$6*'CurrentPor-LH=40 unchanged'!F240</f>
        <v>3696.2945087936532</v>
      </c>
      <c r="H240">
        <f>Portfolio!B$7*'CurrentPor-LH=40 unchanged'!J240</f>
        <v>2148.0998964419859</v>
      </c>
      <c r="I240">
        <f t="shared" si="6"/>
        <v>96492.164794321128</v>
      </c>
      <c r="J240">
        <f t="shared" si="7"/>
        <v>-0.69709753143251874</v>
      </c>
    </row>
    <row r="241" spans="1:10">
      <c r="A241" s="1">
        <v>45806</v>
      </c>
      <c r="B241">
        <f>(3/(1+('CurrentPor-LH=40 unchanged'!C241)/100)+103/POWER(1+('CurrentPor-LH=40 unchanged'!D241)/100,2))*100</f>
        <v>9707.5857774288397</v>
      </c>
      <c r="C241">
        <f>(3/(1+('CurrentPor-LH=40 unchanged'!C241+'CurrentPor-LH=40 unchanged'!G241)/100)+103/POWER(1+('CurrentPor-LH=40 unchanged'!D241+'CurrentPor-LH=40 unchanged'!G241)/100,2))*100</f>
        <v>9614.9673582483465</v>
      </c>
      <c r="D241">
        <f>(3/(1+('CurrentPor-LH=40 unchanged'!C241+'CurrentPor-LH=40 unchanged'!H241)/100)+103/POWER(1+('CurrentPor-LH=40 unchanged'!D241+'CurrentPor-LH=40 unchanged'!H241)/100,2))*100</f>
        <v>9601.2395558122898</v>
      </c>
      <c r="E241">
        <f>(3/(1+('CurrentPor-LH=40 unchanged'!C241+'CurrentPor-LH=40 unchanged'!I241)/100)+103/POWER(1+('CurrentPor-LH=40 unchanged'!D241+'CurrentPor-LH=40 unchanged'!I241)/100,2))*100</f>
        <v>9578.6026130307127</v>
      </c>
      <c r="F241">
        <f>Portfolio!B$5*'CurrentPor-LH=40 unchanged'!E241</f>
        <v>52143.895533915893</v>
      </c>
      <c r="G241">
        <f>Portfolio!B$6*'CurrentPor-LH=40 unchanged'!F241</f>
        <v>3696.2945087936532</v>
      </c>
      <c r="H241">
        <f>Portfolio!B$7*'CurrentPor-LH=40 unchanged'!J241</f>
        <v>2148.0998964419859</v>
      </c>
      <c r="I241">
        <f t="shared" si="6"/>
        <v>96490.685243671716</v>
      </c>
      <c r="J241">
        <f t="shared" si="7"/>
        <v>-2.1045250639435835</v>
      </c>
    </row>
    <row r="242" spans="1:10">
      <c r="A242" s="1">
        <v>45807</v>
      </c>
      <c r="B242">
        <f>(3/(1+('CurrentPor-LH=40 unchanged'!C242)/100)+103/POWER(1+('CurrentPor-LH=40 unchanged'!D242)/100,2))*100</f>
        <v>9707.5857774288397</v>
      </c>
      <c r="C242">
        <f>(3/(1+('CurrentPor-LH=40 unchanged'!C242+'CurrentPor-LH=40 unchanged'!G242)/100)+103/POWER(1+('CurrentPor-LH=40 unchanged'!D242+'CurrentPor-LH=40 unchanged'!G242)/100,2))*100</f>
        <v>9614.9673582483465</v>
      </c>
      <c r="D242">
        <f>(3/(1+('CurrentPor-LH=40 unchanged'!C242+'CurrentPor-LH=40 unchanged'!H242)/100)+103/POWER(1+('CurrentPor-LH=40 unchanged'!D242+'CurrentPor-LH=40 unchanged'!H242)/100,2))*100</f>
        <v>9601.2395558122898</v>
      </c>
      <c r="E242">
        <f>(3/(1+('CurrentPor-LH=40 unchanged'!C242+'CurrentPor-LH=40 unchanged'!I242)/100)+103/POWER(1+('CurrentPor-LH=40 unchanged'!D242+'CurrentPor-LH=40 unchanged'!I242)/100,2))*100</f>
        <v>9582.1736022824825</v>
      </c>
      <c r="F242">
        <f>Portfolio!B$5*'CurrentPor-LH=40 unchanged'!E242</f>
        <v>52143.895533915893</v>
      </c>
      <c r="G242">
        <f>Portfolio!B$6*'CurrentPor-LH=40 unchanged'!F242</f>
        <v>3696.2945087936532</v>
      </c>
      <c r="H242">
        <f>Portfolio!B$7*'CurrentPor-LH=40 unchanged'!J242</f>
        <v>2148.0998964419859</v>
      </c>
      <c r="I242">
        <f t="shared" si="6"/>
        <v>96494.256232923493</v>
      </c>
      <c r="J242">
        <f t="shared" si="7"/>
        <v>1.5470461966178846</v>
      </c>
    </row>
    <row r="243" spans="1:10">
      <c r="A243" s="1">
        <v>45810</v>
      </c>
      <c r="B243">
        <f>(3/(1+('CurrentPor-LH=40 unchanged'!C243)/100)+103/POWER(1+('CurrentPor-LH=40 unchanged'!D243)/100,2))*100</f>
        <v>9707.5857774288397</v>
      </c>
      <c r="C243">
        <f>(3/(1+('CurrentPor-LH=40 unchanged'!C243+'CurrentPor-LH=40 unchanged'!G243)/100)+103/POWER(1+('CurrentPor-LH=40 unchanged'!D243+'CurrentPor-LH=40 unchanged'!G243)/100,2))*100</f>
        <v>9614.9673582483465</v>
      </c>
      <c r="D243">
        <f>(3/(1+('CurrentPor-LH=40 unchanged'!C243+'CurrentPor-LH=40 unchanged'!H243)/100)+103/POWER(1+('CurrentPor-LH=40 unchanged'!D243+'CurrentPor-LH=40 unchanged'!H243)/100,2))*100</f>
        <v>9601.2395558122898</v>
      </c>
      <c r="E243">
        <f>(3/(1+('CurrentPor-LH=40 unchanged'!C243+'CurrentPor-LH=40 unchanged'!I243)/100)+103/POWER(1+('CurrentPor-LH=40 unchanged'!D243+'CurrentPor-LH=40 unchanged'!I243)/100,2))*100</f>
        <v>9581.3238986982269</v>
      </c>
      <c r="F243">
        <f>Portfolio!B$5*'CurrentPor-LH=40 unchanged'!E243</f>
        <v>52143.895533915893</v>
      </c>
      <c r="G243">
        <f>Portfolio!B$6*'CurrentPor-LH=40 unchanged'!F243</f>
        <v>3696.2945087936532</v>
      </c>
      <c r="H243">
        <f>Portfolio!B$7*'CurrentPor-LH=40 unchanged'!J243</f>
        <v>2148.0998964419859</v>
      </c>
      <c r="I243">
        <f t="shared" si="6"/>
        <v>96493.406529339234</v>
      </c>
      <c r="J243">
        <f t="shared" si="7"/>
        <v>1.6195174720342038</v>
      </c>
    </row>
    <row r="244" spans="1:10">
      <c r="A244" s="1">
        <v>45811</v>
      </c>
      <c r="B244">
        <f>(3/(1+('CurrentPor-LH=40 unchanged'!C244)/100)+103/POWER(1+('CurrentPor-LH=40 unchanged'!D244)/100,2))*100</f>
        <v>9707.5857774288397</v>
      </c>
      <c r="C244">
        <f>(3/(1+('CurrentPor-LH=40 unchanged'!C244+'CurrentPor-LH=40 unchanged'!G244)/100)+103/POWER(1+('CurrentPor-LH=40 unchanged'!D244+'CurrentPor-LH=40 unchanged'!G244)/100,2))*100</f>
        <v>9614.9673582483465</v>
      </c>
      <c r="D244">
        <f>(3/(1+('CurrentPor-LH=40 unchanged'!C244+'CurrentPor-LH=40 unchanged'!H244)/100)+103/POWER(1+('CurrentPor-LH=40 unchanged'!D244+'CurrentPor-LH=40 unchanged'!H244)/100,2))*100</f>
        <v>9601.2395558122898</v>
      </c>
      <c r="E244">
        <f>(3/(1+('CurrentPor-LH=40 unchanged'!C244+'CurrentPor-LH=40 unchanged'!I244)/100)+103/POWER(1+('CurrentPor-LH=40 unchanged'!D244+'CurrentPor-LH=40 unchanged'!I244)/100,2))*100</f>
        <v>9582.0486269684279</v>
      </c>
      <c r="F244">
        <f>Portfolio!B$5*'CurrentPor-LH=40 unchanged'!E244</f>
        <v>52143.895533915893</v>
      </c>
      <c r="G244">
        <f>Portfolio!B$6*'CurrentPor-LH=40 unchanged'!F244</f>
        <v>3696.2945087936532</v>
      </c>
      <c r="H244">
        <f>Portfolio!B$7*'CurrentPor-LH=40 unchanged'!J244</f>
        <v>2148.0998964419859</v>
      </c>
      <c r="I244">
        <f t="shared" si="6"/>
        <v>96494.131257609435</v>
      </c>
      <c r="J244">
        <f t="shared" si="7"/>
        <v>0.9585391031432664</v>
      </c>
    </row>
    <row r="245" spans="1:10">
      <c r="A245" s="1">
        <v>45812</v>
      </c>
      <c r="B245">
        <f>(3/(1+('CurrentPor-LH=40 unchanged'!C245)/100)+103/POWER(1+('CurrentPor-LH=40 unchanged'!D245)/100,2))*100</f>
        <v>9707.5857774288397</v>
      </c>
      <c r="C245">
        <f>(3/(1+('CurrentPor-LH=40 unchanged'!C245+'CurrentPor-LH=40 unchanged'!G245)/100)+103/POWER(1+('CurrentPor-LH=40 unchanged'!D245+'CurrentPor-LH=40 unchanged'!G245)/100,2))*100</f>
        <v>9614.9673582483465</v>
      </c>
      <c r="D245">
        <f>(3/(1+('CurrentPor-LH=40 unchanged'!C245+'CurrentPor-LH=40 unchanged'!H245)/100)+103/POWER(1+('CurrentPor-LH=40 unchanged'!D245+'CurrentPor-LH=40 unchanged'!H245)/100,2))*100</f>
        <v>9601.2395558122898</v>
      </c>
      <c r="E245">
        <f>(3/(1+('CurrentPor-LH=40 unchanged'!C245+'CurrentPor-LH=40 unchanged'!I245)/100)+103/POWER(1+('CurrentPor-LH=40 unchanged'!D245+'CurrentPor-LH=40 unchanged'!I245)/100,2))*100</f>
        <v>9578.7316904421295</v>
      </c>
      <c r="F245">
        <f>Portfolio!B$5*'CurrentPor-LH=40 unchanged'!E245</f>
        <v>52143.895533915893</v>
      </c>
      <c r="G245">
        <f>Portfolio!B$6*'CurrentPor-LH=40 unchanged'!F245</f>
        <v>3696.2945087936532</v>
      </c>
      <c r="H245">
        <f>Portfolio!B$7*'CurrentPor-LH=40 unchanged'!J245</f>
        <v>2148.0998964419859</v>
      </c>
      <c r="I245">
        <f t="shared" si="6"/>
        <v>96490.814321083148</v>
      </c>
      <c r="J245">
        <f t="shared" si="7"/>
        <v>-0.41582217055838555</v>
      </c>
    </row>
    <row r="246" spans="1:10">
      <c r="A246" s="1">
        <v>45813</v>
      </c>
      <c r="B246">
        <f>(3/(1+('CurrentPor-LH=40 unchanged'!C246)/100)+103/POWER(1+('CurrentPor-LH=40 unchanged'!D246)/100,2))*100</f>
        <v>9707.5857774288397</v>
      </c>
      <c r="C246">
        <f>(3/(1+('CurrentPor-LH=40 unchanged'!C246+'CurrentPor-LH=40 unchanged'!G246)/100)+103/POWER(1+('CurrentPor-LH=40 unchanged'!D246+'CurrentPor-LH=40 unchanged'!G246)/100,2))*100</f>
        <v>9614.9673582483465</v>
      </c>
      <c r="D246">
        <f>(3/(1+('CurrentPor-LH=40 unchanged'!C246+'CurrentPor-LH=40 unchanged'!H246)/100)+103/POWER(1+('CurrentPor-LH=40 unchanged'!D246+'CurrentPor-LH=40 unchanged'!H246)/100,2))*100</f>
        <v>9601.2395558122898</v>
      </c>
      <c r="E246">
        <f>(3/(1+('CurrentPor-LH=40 unchanged'!C246+'CurrentPor-LH=40 unchanged'!I246)/100)+103/POWER(1+('CurrentPor-LH=40 unchanged'!D246+'CurrentPor-LH=40 unchanged'!I246)/100,2))*100</f>
        <v>9580.5509122102358</v>
      </c>
      <c r="F246">
        <f>Portfolio!B$5*'CurrentPor-LH=40 unchanged'!E246</f>
        <v>52143.895533915893</v>
      </c>
      <c r="G246">
        <f>Portfolio!B$6*'CurrentPor-LH=40 unchanged'!F246</f>
        <v>3696.2945087936532</v>
      </c>
      <c r="H246">
        <f>Portfolio!B$7*'CurrentPor-LH=40 unchanged'!J246</f>
        <v>2148.0998964419859</v>
      </c>
      <c r="I246">
        <f t="shared" si="6"/>
        <v>96492.633542851239</v>
      </c>
      <c r="J246">
        <f t="shared" si="7"/>
        <v>5.3224595554638654E-2</v>
      </c>
    </row>
    <row r="247" spans="1:10">
      <c r="A247" s="1">
        <v>45814</v>
      </c>
      <c r="B247">
        <f>(3/(1+('CurrentPor-LH=40 unchanged'!C247)/100)+103/POWER(1+('CurrentPor-LH=40 unchanged'!D247)/100,2))*100</f>
        <v>9707.5857774288397</v>
      </c>
      <c r="C247">
        <f>(3/(1+('CurrentPor-LH=40 unchanged'!C247+'CurrentPor-LH=40 unchanged'!G247)/100)+103/POWER(1+('CurrentPor-LH=40 unchanged'!D247+'CurrentPor-LH=40 unchanged'!G247)/100,2))*100</f>
        <v>9614.9673582483465</v>
      </c>
      <c r="D247">
        <f>(3/(1+('CurrentPor-LH=40 unchanged'!C247+'CurrentPor-LH=40 unchanged'!H247)/100)+103/POWER(1+('CurrentPor-LH=40 unchanged'!D247+'CurrentPor-LH=40 unchanged'!H247)/100,2))*100</f>
        <v>9601.2395558122898</v>
      </c>
      <c r="E247">
        <f>(3/(1+('CurrentPor-LH=40 unchanged'!C247+'CurrentPor-LH=40 unchanged'!I247)/100)+103/POWER(1+('CurrentPor-LH=40 unchanged'!D247+'CurrentPor-LH=40 unchanged'!I247)/100,2))*100</f>
        <v>9580.5703435403866</v>
      </c>
      <c r="F247">
        <f>Portfolio!B$5*'CurrentPor-LH=40 unchanged'!E247</f>
        <v>52143.895533915893</v>
      </c>
      <c r="G247">
        <f>Portfolio!B$6*'CurrentPor-LH=40 unchanged'!F247</f>
        <v>3696.2945087936532</v>
      </c>
      <c r="H247">
        <f>Portfolio!B$7*'CurrentPor-LH=40 unchanged'!J247</f>
        <v>2148.0998964419859</v>
      </c>
      <c r="I247">
        <f t="shared" si="6"/>
        <v>96492.652974181387</v>
      </c>
      <c r="J247">
        <f t="shared" si="7"/>
        <v>-6.3852638995740563E-2</v>
      </c>
    </row>
    <row r="248" spans="1:10">
      <c r="A248" s="1">
        <v>45817</v>
      </c>
      <c r="B248">
        <f>(3/(1+('CurrentPor-LH=40 unchanged'!C248)/100)+103/POWER(1+('CurrentPor-LH=40 unchanged'!D248)/100,2))*100</f>
        <v>9707.5857774288397</v>
      </c>
      <c r="C248">
        <f>(3/(1+('CurrentPor-LH=40 unchanged'!C248+'CurrentPor-LH=40 unchanged'!G248)/100)+103/POWER(1+('CurrentPor-LH=40 unchanged'!D248+'CurrentPor-LH=40 unchanged'!G248)/100,2))*100</f>
        <v>9614.9673582483465</v>
      </c>
      <c r="D248">
        <f>(3/(1+('CurrentPor-LH=40 unchanged'!C248+'CurrentPor-LH=40 unchanged'!H248)/100)+103/POWER(1+('CurrentPor-LH=40 unchanged'!D248+'CurrentPor-LH=40 unchanged'!H248)/100,2))*100</f>
        <v>9601.2395558122898</v>
      </c>
      <c r="E248">
        <f>(3/(1+('CurrentPor-LH=40 unchanged'!C248+'CurrentPor-LH=40 unchanged'!I248)/100)+103/POWER(1+('CurrentPor-LH=40 unchanged'!D248+'CurrentPor-LH=40 unchanged'!I248)/100,2))*100</f>
        <v>9578.8212801099562</v>
      </c>
      <c r="F248">
        <f>Portfolio!B$5*'CurrentPor-LH=40 unchanged'!E248</f>
        <v>52143.895533915893</v>
      </c>
      <c r="G248">
        <f>Portfolio!B$6*'CurrentPor-LH=40 unchanged'!F248</f>
        <v>3696.2945087936532</v>
      </c>
      <c r="H248">
        <f>Portfolio!B$7*'CurrentPor-LH=40 unchanged'!J248</f>
        <v>2148.0998964419859</v>
      </c>
      <c r="I248">
        <f t="shared" si="6"/>
        <v>96490.903910750974</v>
      </c>
      <c r="J248">
        <f t="shared" si="7"/>
        <v>-1.5252121430967236</v>
      </c>
    </row>
    <row r="249" spans="1:10">
      <c r="A249" s="1">
        <v>45818</v>
      </c>
      <c r="B249">
        <f>(3/(1+('CurrentPor-LH=40 unchanged'!C249)/100)+103/POWER(1+('CurrentPor-LH=40 unchanged'!D249)/100,2))*100</f>
        <v>9707.5857774288397</v>
      </c>
      <c r="C249">
        <f>(3/(1+('CurrentPor-LH=40 unchanged'!C249+'CurrentPor-LH=40 unchanged'!G249)/100)+103/POWER(1+('CurrentPor-LH=40 unchanged'!D249+'CurrentPor-LH=40 unchanged'!G249)/100,2))*100</f>
        <v>9614.9673582483465</v>
      </c>
      <c r="D249">
        <f>(3/(1+('CurrentPor-LH=40 unchanged'!C249+'CurrentPor-LH=40 unchanged'!H249)/100)+103/POWER(1+('CurrentPor-LH=40 unchanged'!D249+'CurrentPor-LH=40 unchanged'!H249)/100,2))*100</f>
        <v>9601.2395558122898</v>
      </c>
      <c r="E249">
        <f>(3/(1+('CurrentPor-LH=40 unchanged'!C249+'CurrentPor-LH=40 unchanged'!I249)/100)+103/POWER(1+('CurrentPor-LH=40 unchanged'!D249+'CurrentPor-LH=40 unchanged'!I249)/100,2))*100</f>
        <v>9580.40174148802</v>
      </c>
      <c r="F249">
        <f>Portfolio!B$5*'CurrentPor-LH=40 unchanged'!E249</f>
        <v>52143.895533915893</v>
      </c>
      <c r="G249">
        <f>Portfolio!B$6*'CurrentPor-LH=40 unchanged'!F249</f>
        <v>3696.2945087936532</v>
      </c>
      <c r="H249">
        <f>Portfolio!B$7*'CurrentPor-LH=40 unchanged'!J249</f>
        <v>2148.0998964419859</v>
      </c>
      <c r="I249">
        <f t="shared" si="6"/>
        <v>96492.484372129038</v>
      </c>
      <c r="J249">
        <f t="shared" si="7"/>
        <v>1.9284034596930724</v>
      </c>
    </row>
    <row r="250" spans="1:10">
      <c r="A250" s="1">
        <v>45819</v>
      </c>
      <c r="B250">
        <f>(3/(1+('CurrentPor-LH=40 unchanged'!C250)/100)+103/POWER(1+('CurrentPor-LH=40 unchanged'!D250)/100,2))*100</f>
        <v>9707.5857774288397</v>
      </c>
      <c r="C250">
        <f>(3/(1+('CurrentPor-LH=40 unchanged'!C250+'CurrentPor-LH=40 unchanged'!G250)/100)+103/POWER(1+('CurrentPor-LH=40 unchanged'!D250+'CurrentPor-LH=40 unchanged'!G250)/100,2))*100</f>
        <v>9614.9673582483465</v>
      </c>
      <c r="D250">
        <f>(3/(1+('CurrentPor-LH=40 unchanged'!C250+'CurrentPor-LH=40 unchanged'!H250)/100)+103/POWER(1+('CurrentPor-LH=40 unchanged'!D250+'CurrentPor-LH=40 unchanged'!H250)/100,2))*100</f>
        <v>9601.2395558122898</v>
      </c>
      <c r="E250">
        <f>(3/(1+('CurrentPor-LH=40 unchanged'!C250+'CurrentPor-LH=40 unchanged'!I250)/100)+103/POWER(1+('CurrentPor-LH=40 unchanged'!D250+'CurrentPor-LH=40 unchanged'!I250)/100,2))*100</f>
        <v>9582.3838735593145</v>
      </c>
      <c r="F250">
        <f>Portfolio!B$5*'CurrentPor-LH=40 unchanged'!E250</f>
        <v>52143.895533915893</v>
      </c>
      <c r="G250">
        <f>Portfolio!B$6*'CurrentPor-LH=40 unchanged'!F250</f>
        <v>3696.2945087936532</v>
      </c>
      <c r="H250">
        <f>Portfolio!B$7*'CurrentPor-LH=40 unchanged'!J250</f>
        <v>2148.0998964419859</v>
      </c>
      <c r="I250">
        <f t="shared" si="6"/>
        <v>96494.466504200318</v>
      </c>
      <c r="J250">
        <f t="shared" si="7"/>
        <v>2.3017098791897297</v>
      </c>
    </row>
    <row r="251" spans="1:10">
      <c r="A251" s="1">
        <v>45820</v>
      </c>
      <c r="B251">
        <f>(3/(1+('CurrentPor-LH=40 unchanged'!C251)/100)+103/POWER(1+('CurrentPor-LH=40 unchanged'!D251)/100,2))*100</f>
        <v>9707.5857774288397</v>
      </c>
      <c r="C251">
        <f>(3/(1+('CurrentPor-LH=40 unchanged'!C251+'CurrentPor-LH=40 unchanged'!G251)/100)+103/POWER(1+('CurrentPor-LH=40 unchanged'!D251+'CurrentPor-LH=40 unchanged'!G251)/100,2))*100</f>
        <v>9614.9673582483465</v>
      </c>
      <c r="D251">
        <f>(3/(1+('CurrentPor-LH=40 unchanged'!C251+'CurrentPor-LH=40 unchanged'!H251)/100)+103/POWER(1+('CurrentPor-LH=40 unchanged'!D251+'CurrentPor-LH=40 unchanged'!H251)/100,2))*100</f>
        <v>9601.2395558122898</v>
      </c>
      <c r="E251">
        <f>(3/(1+('CurrentPor-LH=40 unchanged'!C251+'CurrentPor-LH=40 unchanged'!I251)/100)+103/POWER(1+('CurrentPor-LH=40 unchanged'!D251+'CurrentPor-LH=40 unchanged'!I251)/100,2))*100</f>
        <v>9578.8778233571502</v>
      </c>
      <c r="F251">
        <f>Portfolio!B$5*'CurrentPor-LH=40 unchanged'!E251</f>
        <v>52143.895533915893</v>
      </c>
      <c r="G251">
        <f>Portfolio!B$6*'CurrentPor-LH=40 unchanged'!F251</f>
        <v>3696.2945087936532</v>
      </c>
      <c r="H251">
        <f>Portfolio!B$7*'CurrentPor-LH=40 unchanged'!J251</f>
        <v>2148.0998964419859</v>
      </c>
      <c r="I251">
        <f t="shared" si="6"/>
        <v>96490.960453998166</v>
      </c>
      <c r="J251">
        <f t="shared" si="7"/>
        <v>0.2752103264501784</v>
      </c>
    </row>
    <row r="252" spans="1:10">
      <c r="A252" s="1">
        <v>45821</v>
      </c>
      <c r="B252">
        <f>(3/(1+('CurrentPor-LH=40 unchanged'!C252)/100)+103/POWER(1+('CurrentPor-LH=40 unchanged'!D252)/100,2))*100</f>
        <v>9707.5857774288397</v>
      </c>
      <c r="C252">
        <f>(3/(1+('CurrentPor-LH=40 unchanged'!C252+'CurrentPor-LH=40 unchanged'!G252)/100)+103/POWER(1+('CurrentPor-LH=40 unchanged'!D252+'CurrentPor-LH=40 unchanged'!G252)/100,2))*100</f>
        <v>9614.9673582483465</v>
      </c>
      <c r="D252">
        <f>(3/(1+('CurrentPor-LH=40 unchanged'!C252+'CurrentPor-LH=40 unchanged'!H252)/100)+103/POWER(1+('CurrentPor-LH=40 unchanged'!D252+'CurrentPor-LH=40 unchanged'!H252)/100,2))*100</f>
        <v>9601.2395558122898</v>
      </c>
      <c r="E252">
        <f>(3/(1+('CurrentPor-LH=40 unchanged'!C252+'CurrentPor-LH=40 unchanged'!I252)/100)+103/POWER(1+('CurrentPor-LH=40 unchanged'!D252+'CurrentPor-LH=40 unchanged'!I252)/100,2))*100</f>
        <v>9580.31831520378</v>
      </c>
      <c r="F252">
        <f>Portfolio!B$5*'CurrentPor-LH=40 unchanged'!E252</f>
        <v>52143.895533915893</v>
      </c>
      <c r="G252">
        <f>Portfolio!B$6*'CurrentPor-LH=40 unchanged'!F252</f>
        <v>3696.2945087936532</v>
      </c>
      <c r="H252">
        <f>Portfolio!B$7*'CurrentPor-LH=40 unchanged'!J252</f>
        <v>2148.0998964419859</v>
      </c>
      <c r="I252">
        <f t="shared" si="6"/>
        <v>96492.400945844784</v>
      </c>
      <c r="J252">
        <f t="shared" si="7"/>
        <v>-1.8552870787098072</v>
      </c>
    </row>
    <row r="253" spans="1:10">
      <c r="A253" s="1">
        <v>45824</v>
      </c>
      <c r="B253">
        <f>(3/(1+('CurrentPor-LH=40 unchanged'!C253)/100)+103/POWER(1+('CurrentPor-LH=40 unchanged'!D253)/100,2))*100</f>
        <v>9707.5857774288397</v>
      </c>
      <c r="C253">
        <f>(3/(1+('CurrentPor-LH=40 unchanged'!C253+'CurrentPor-LH=40 unchanged'!G253)/100)+103/POWER(1+('CurrentPor-LH=40 unchanged'!D253+'CurrentPor-LH=40 unchanged'!G253)/100,2))*100</f>
        <v>9614.9673582483465</v>
      </c>
      <c r="D253">
        <f>(3/(1+('CurrentPor-LH=40 unchanged'!C253+'CurrentPor-LH=40 unchanged'!H253)/100)+103/POWER(1+('CurrentPor-LH=40 unchanged'!D253+'CurrentPor-LH=40 unchanged'!H253)/100,2))*100</f>
        <v>9601.2395558122898</v>
      </c>
      <c r="E253">
        <f>(3/(1+('CurrentPor-LH=40 unchanged'!C253+'CurrentPor-LH=40 unchanged'!I253)/100)+103/POWER(1+('CurrentPor-LH=40 unchanged'!D253+'CurrentPor-LH=40 unchanged'!I253)/100,2))*100</f>
        <v>9580.1762428978691</v>
      </c>
      <c r="F253">
        <f>Portfolio!B$5*'CurrentPor-LH=40 unchanged'!E253</f>
        <v>52143.895533915893</v>
      </c>
      <c r="G253">
        <f>Portfolio!B$6*'CurrentPor-LH=40 unchanged'!F253</f>
        <v>3696.2945087936532</v>
      </c>
      <c r="H253">
        <f>Portfolio!B$7*'CurrentPor-LH=40 unchanged'!J253</f>
        <v>2148.0998964419859</v>
      </c>
      <c r="I253">
        <f t="shared" si="6"/>
        <v>96492.258873538885</v>
      </c>
      <c r="J253">
        <f t="shared" si="7"/>
        <v>-1.1476558003487298</v>
      </c>
    </row>
    <row r="254" spans="1:10">
      <c r="A254" s="1">
        <v>45825</v>
      </c>
      <c r="B254">
        <f>(3/(1+('CurrentPor-LH=40 unchanged'!C254)/100)+103/POWER(1+('CurrentPor-LH=40 unchanged'!D254)/100,2))*100</f>
        <v>9707.5857774288397</v>
      </c>
      <c r="C254">
        <f>(3/(1+('CurrentPor-LH=40 unchanged'!C254+'CurrentPor-LH=40 unchanged'!G254)/100)+103/POWER(1+('CurrentPor-LH=40 unchanged'!D254+'CurrentPor-LH=40 unchanged'!G254)/100,2))*100</f>
        <v>9614.9673582483465</v>
      </c>
      <c r="D254">
        <f>(3/(1+('CurrentPor-LH=40 unchanged'!C254+'CurrentPor-LH=40 unchanged'!H254)/100)+103/POWER(1+('CurrentPor-LH=40 unchanged'!D254+'CurrentPor-LH=40 unchanged'!H254)/100,2))*100</f>
        <v>9601.2395558122898</v>
      </c>
      <c r="E254">
        <f>(3/(1+('CurrentPor-LH=40 unchanged'!C254+'CurrentPor-LH=40 unchanged'!I254)/100)+103/POWER(1+('CurrentPor-LH=40 unchanged'!D254+'CurrentPor-LH=40 unchanged'!I254)/100,2))*100</f>
        <v>9582.7185105677108</v>
      </c>
      <c r="F254">
        <f>Portfolio!B$5*'CurrentPor-LH=40 unchanged'!E254</f>
        <v>52143.895533915893</v>
      </c>
      <c r="G254">
        <f>Portfolio!B$6*'CurrentPor-LH=40 unchanged'!F254</f>
        <v>3696.2945087936532</v>
      </c>
      <c r="H254">
        <f>Portfolio!B$7*'CurrentPor-LH=40 unchanged'!J254</f>
        <v>2148.0998964419859</v>
      </c>
      <c r="I254">
        <f t="shared" si="6"/>
        <v>96494.801141208722</v>
      </c>
      <c r="J254">
        <f t="shared" si="7"/>
        <v>0.66988359928654972</v>
      </c>
    </row>
    <row r="255" spans="1:10">
      <c r="A255" s="1">
        <v>45826</v>
      </c>
      <c r="B255">
        <f>(3/(1+('CurrentPor-LH=40 unchanged'!C255)/100)+103/POWER(1+('CurrentPor-LH=40 unchanged'!D255)/100,2))*100</f>
        <v>9707.5857774288397</v>
      </c>
      <c r="C255">
        <f>(3/(1+('CurrentPor-LH=40 unchanged'!C255+'CurrentPor-LH=40 unchanged'!G255)/100)+103/POWER(1+('CurrentPor-LH=40 unchanged'!D255+'CurrentPor-LH=40 unchanged'!G255)/100,2))*100</f>
        <v>9614.9673582483465</v>
      </c>
      <c r="D255">
        <f>(3/(1+('CurrentPor-LH=40 unchanged'!C255+'CurrentPor-LH=40 unchanged'!H255)/100)+103/POWER(1+('CurrentPor-LH=40 unchanged'!D255+'CurrentPor-LH=40 unchanged'!H255)/100,2))*100</f>
        <v>9601.2395558122898</v>
      </c>
      <c r="E255">
        <f>(3/(1+('CurrentPor-LH=40 unchanged'!C255+'CurrentPor-LH=40 unchanged'!I255)/100)+103/POWER(1+('CurrentPor-LH=40 unchanged'!D255+'CurrentPor-LH=40 unchanged'!I255)/100,2))*100</f>
        <v>9579.010759048615</v>
      </c>
      <c r="F255">
        <f>Portfolio!B$5*'CurrentPor-LH=40 unchanged'!E255</f>
        <v>52143.895533915893</v>
      </c>
      <c r="G255">
        <f>Portfolio!B$6*'CurrentPor-LH=40 unchanged'!F255</f>
        <v>3696.2945087936532</v>
      </c>
      <c r="H255">
        <f>Portfolio!B$7*'CurrentPor-LH=40 unchanged'!J255</f>
        <v>2148.0998964419859</v>
      </c>
      <c r="I255">
        <f t="shared" si="6"/>
        <v>96491.093389689617</v>
      </c>
      <c r="J255">
        <f t="shared" si="7"/>
        <v>0.27906860646908171</v>
      </c>
    </row>
    <row r="256" spans="1:10">
      <c r="A256" s="1">
        <v>45827</v>
      </c>
      <c r="B256">
        <f>(3/(1+('CurrentPor-LH=40 unchanged'!C256)/100)+103/POWER(1+('CurrentPor-LH=40 unchanged'!D256)/100,2))*100</f>
        <v>9707.5857774288397</v>
      </c>
      <c r="C256">
        <f>(3/(1+('CurrentPor-LH=40 unchanged'!C256+'CurrentPor-LH=40 unchanged'!G256)/100)+103/POWER(1+('CurrentPor-LH=40 unchanged'!D256+'CurrentPor-LH=40 unchanged'!G256)/100,2))*100</f>
        <v>9614.9673582483465</v>
      </c>
      <c r="D256">
        <f>(3/(1+('CurrentPor-LH=40 unchanged'!C256+'CurrentPor-LH=40 unchanged'!H256)/100)+103/POWER(1+('CurrentPor-LH=40 unchanged'!D256+'CurrentPor-LH=40 unchanged'!H256)/100,2))*100</f>
        <v>9601.2395558122898</v>
      </c>
      <c r="E256">
        <f>(3/(1+('CurrentPor-LH=40 unchanged'!C256+'CurrentPor-LH=40 unchanged'!I256)/100)+103/POWER(1+('CurrentPor-LH=40 unchanged'!D256+'CurrentPor-LH=40 unchanged'!I256)/100,2))*100</f>
        <v>9580.7188362021134</v>
      </c>
      <c r="F256">
        <f>Portfolio!B$5*'CurrentPor-LH=40 unchanged'!E256</f>
        <v>52143.895533915893</v>
      </c>
      <c r="G256">
        <f>Portfolio!B$6*'CurrentPor-LH=40 unchanged'!F256</f>
        <v>3696.2945087936532</v>
      </c>
      <c r="H256">
        <f>Portfolio!B$7*'CurrentPor-LH=40 unchanged'!J256</f>
        <v>2148.0998964419859</v>
      </c>
      <c r="I256">
        <f t="shared" si="6"/>
        <v>96492.801466843128</v>
      </c>
      <c r="J256">
        <f t="shared" si="7"/>
        <v>0.16792399188852869</v>
      </c>
    </row>
    <row r="257" spans="1:10">
      <c r="A257" s="1">
        <v>45828</v>
      </c>
      <c r="B257">
        <f>(3/(1+('CurrentPor-LH=40 unchanged'!C257)/100)+103/POWER(1+('CurrentPor-LH=40 unchanged'!D257)/100,2))*100</f>
        <v>9707.5857774288397</v>
      </c>
      <c r="C257">
        <f>(3/(1+('CurrentPor-LH=40 unchanged'!C257+'CurrentPor-LH=40 unchanged'!G257)/100)+103/POWER(1+('CurrentPor-LH=40 unchanged'!D257+'CurrentPor-LH=40 unchanged'!G257)/100,2))*100</f>
        <v>9614.9673582483465</v>
      </c>
      <c r="D257">
        <f>(3/(1+('CurrentPor-LH=40 unchanged'!C257+'CurrentPor-LH=40 unchanged'!H257)/100)+103/POWER(1+('CurrentPor-LH=40 unchanged'!D257+'CurrentPor-LH=40 unchanged'!H257)/100,2))*100</f>
        <v>9601.2395558122898</v>
      </c>
      <c r="E257">
        <f>(3/(1+('CurrentPor-LH=40 unchanged'!C257+'CurrentPor-LH=40 unchanged'!I257)/100)+103/POWER(1+('CurrentPor-LH=40 unchanged'!D257+'CurrentPor-LH=40 unchanged'!I257)/100,2))*100</f>
        <v>9579.0823356422243</v>
      </c>
      <c r="F257">
        <f>Portfolio!B$5*'CurrentPor-LH=40 unchanged'!E257</f>
        <v>52143.895533915893</v>
      </c>
      <c r="G257">
        <f>Portfolio!B$6*'CurrentPor-LH=40 unchanged'!F257</f>
        <v>3696.2945087936532</v>
      </c>
      <c r="H257">
        <f>Portfolio!B$7*'CurrentPor-LH=40 unchanged'!J257</f>
        <v>2148.0998964419859</v>
      </c>
      <c r="I257">
        <f t="shared" si="6"/>
        <v>96491.164966283235</v>
      </c>
      <c r="J257">
        <f t="shared" si="7"/>
        <v>-1.4880078981514089</v>
      </c>
    </row>
    <row r="258" spans="1:10">
      <c r="A258" s="1">
        <v>45831</v>
      </c>
      <c r="B258">
        <f>(3/(1+('CurrentPor-LH=40 unchanged'!C258)/100)+103/POWER(1+('CurrentPor-LH=40 unchanged'!D258)/100,2))*100</f>
        <v>9707.5857774288397</v>
      </c>
      <c r="C258">
        <f>(3/(1+('CurrentPor-LH=40 unchanged'!C258+'CurrentPor-LH=40 unchanged'!G258)/100)+103/POWER(1+('CurrentPor-LH=40 unchanged'!D258+'CurrentPor-LH=40 unchanged'!G258)/100,2))*100</f>
        <v>9614.9673582483465</v>
      </c>
      <c r="D258">
        <f>(3/(1+('CurrentPor-LH=40 unchanged'!C258+'CurrentPor-LH=40 unchanged'!H258)/100)+103/POWER(1+('CurrentPor-LH=40 unchanged'!D258+'CurrentPor-LH=40 unchanged'!H258)/100,2))*100</f>
        <v>9601.2395558122898</v>
      </c>
      <c r="E258">
        <f>(3/(1+('CurrentPor-LH=40 unchanged'!C258+'CurrentPor-LH=40 unchanged'!I258)/100)+103/POWER(1+('CurrentPor-LH=40 unchanged'!D258+'CurrentPor-LH=40 unchanged'!I258)/100,2))*100</f>
        <v>9579.6288351442217</v>
      </c>
      <c r="F258">
        <f>Portfolio!B$5*'CurrentPor-LH=40 unchanged'!E258</f>
        <v>52143.895533915893</v>
      </c>
      <c r="G258">
        <f>Portfolio!B$6*'CurrentPor-LH=40 unchanged'!F258</f>
        <v>3696.2945087936532</v>
      </c>
      <c r="H258">
        <f>Portfolio!B$7*'CurrentPor-LH=40 unchanged'!J258</f>
        <v>2148.0998964419859</v>
      </c>
      <c r="I258">
        <f t="shared" si="6"/>
        <v>96491.711465785236</v>
      </c>
      <c r="J258">
        <f t="shared" si="7"/>
        <v>0.80755503426189534</v>
      </c>
    </row>
    <row r="259" spans="1:10">
      <c r="A259" s="1">
        <v>45832</v>
      </c>
      <c r="B259">
        <f>(3/(1+('CurrentPor-LH=40 unchanged'!C259)/100)+103/POWER(1+('CurrentPor-LH=40 unchanged'!D259)/100,2))*100</f>
        <v>9707.5857774288397</v>
      </c>
      <c r="C259">
        <f>(3/(1+('CurrentPor-LH=40 unchanged'!C259+'CurrentPor-LH=40 unchanged'!G259)/100)+103/POWER(1+('CurrentPor-LH=40 unchanged'!D259+'CurrentPor-LH=40 unchanged'!G259)/100,2))*100</f>
        <v>9614.9673582483465</v>
      </c>
      <c r="D259">
        <f>(3/(1+('CurrentPor-LH=40 unchanged'!C259+'CurrentPor-LH=40 unchanged'!H259)/100)+103/POWER(1+('CurrentPor-LH=40 unchanged'!D259+'CurrentPor-LH=40 unchanged'!H259)/100,2))*100</f>
        <v>9601.2395558122898</v>
      </c>
      <c r="E259">
        <f>(3/(1+('CurrentPor-LH=40 unchanged'!C259+'CurrentPor-LH=40 unchanged'!I259)/100)+103/POWER(1+('CurrentPor-LH=40 unchanged'!D259+'CurrentPor-LH=40 unchanged'!I259)/100,2))*100</f>
        <v>9580.8706323447968</v>
      </c>
      <c r="F259">
        <f>Portfolio!B$5*'CurrentPor-LH=40 unchanged'!E259</f>
        <v>52143.895533915893</v>
      </c>
      <c r="G259">
        <f>Portfolio!B$6*'CurrentPor-LH=40 unchanged'!F259</f>
        <v>3696.2945087936532</v>
      </c>
      <c r="H259">
        <f>Portfolio!B$7*'CurrentPor-LH=40 unchanged'!J259</f>
        <v>2148.0998964419859</v>
      </c>
      <c r="I259">
        <f t="shared" si="6"/>
        <v>96492.953262985815</v>
      </c>
      <c r="J259">
        <f t="shared" si="7"/>
        <v>0.46889085677685216</v>
      </c>
    </row>
    <row r="260" spans="1:10">
      <c r="A260" s="1">
        <v>45833</v>
      </c>
      <c r="B260">
        <f>(3/(1+('CurrentPor-LH=40 unchanged'!C260)/100)+103/POWER(1+('CurrentPor-LH=40 unchanged'!D260)/100,2))*100</f>
        <v>9707.5857774288397</v>
      </c>
      <c r="C260">
        <f>(3/(1+('CurrentPor-LH=40 unchanged'!C260+'CurrentPor-LH=40 unchanged'!G260)/100)+103/POWER(1+('CurrentPor-LH=40 unchanged'!D260+'CurrentPor-LH=40 unchanged'!G260)/100,2))*100</f>
        <v>9614.9673582483465</v>
      </c>
      <c r="D260">
        <f>(3/(1+('CurrentPor-LH=40 unchanged'!C260+'CurrentPor-LH=40 unchanged'!H260)/100)+103/POWER(1+('CurrentPor-LH=40 unchanged'!D260+'CurrentPor-LH=40 unchanged'!H260)/100,2))*100</f>
        <v>9601.2395558122898</v>
      </c>
      <c r="E260">
        <f>(3/(1+('CurrentPor-LH=40 unchanged'!C260+'CurrentPor-LH=40 unchanged'!I260)/100)+103/POWER(1+('CurrentPor-LH=40 unchanged'!D260+'CurrentPor-LH=40 unchanged'!I260)/100,2))*100</f>
        <v>9581.5270132168862</v>
      </c>
      <c r="F260">
        <f>Portfolio!B$5*'CurrentPor-LH=40 unchanged'!E260</f>
        <v>52143.895533915893</v>
      </c>
      <c r="G260">
        <f>Portfolio!B$6*'CurrentPor-LH=40 unchanged'!F260</f>
        <v>3696.2945087936532</v>
      </c>
      <c r="H260">
        <f>Portfolio!B$7*'CurrentPor-LH=40 unchanged'!J260</f>
        <v>2148.0998964419859</v>
      </c>
      <c r="I260">
        <f t="shared" ref="I260:I263" si="8">SUM(B260:H260)</f>
        <v>96493.609643857897</v>
      </c>
      <c r="J260">
        <f t="shared" si="7"/>
        <v>-0.85686034242098685</v>
      </c>
    </row>
    <row r="261" spans="1:10">
      <c r="A261" s="1">
        <v>45834</v>
      </c>
      <c r="B261">
        <f>(3/(1+('CurrentPor-LH=40 unchanged'!C261)/100)+103/POWER(1+('CurrentPor-LH=40 unchanged'!D261)/100,2))*100</f>
        <v>9707.5857774288397</v>
      </c>
      <c r="C261">
        <f>(3/(1+('CurrentPor-LH=40 unchanged'!C261+'CurrentPor-LH=40 unchanged'!G261)/100)+103/POWER(1+('CurrentPor-LH=40 unchanged'!D261+'CurrentPor-LH=40 unchanged'!G261)/100,2))*100</f>
        <v>9614.9673582483465</v>
      </c>
      <c r="D261">
        <f>(3/(1+('CurrentPor-LH=40 unchanged'!C261+'CurrentPor-LH=40 unchanged'!H261)/100)+103/POWER(1+('CurrentPor-LH=40 unchanged'!D261+'CurrentPor-LH=40 unchanged'!H261)/100,2))*100</f>
        <v>9601.2395558122898</v>
      </c>
      <c r="E261">
        <f>(3/(1+('CurrentPor-LH=40 unchanged'!C261+'CurrentPor-LH=40 unchanged'!I261)/100)+103/POWER(1+('CurrentPor-LH=40 unchanged'!D261+'CurrentPor-LH=40 unchanged'!I261)/100,2))*100</f>
        <v>9579.9577290909056</v>
      </c>
      <c r="F261">
        <f>Portfolio!B$5*'CurrentPor-LH=40 unchanged'!E261</f>
        <v>52143.895533915893</v>
      </c>
      <c r="G261">
        <f>Portfolio!B$6*'CurrentPor-LH=40 unchanged'!F261</f>
        <v>3696.2945087936532</v>
      </c>
      <c r="H261">
        <f>Portfolio!B$7*'CurrentPor-LH=40 unchanged'!J261</f>
        <v>2148.0998964419859</v>
      </c>
      <c r="I261">
        <f t="shared" si="8"/>
        <v>96492.040359731924</v>
      </c>
      <c r="J261">
        <f t="shared" si="7"/>
        <v>1.0799057337571867</v>
      </c>
    </row>
    <row r="262" spans="1:10">
      <c r="A262" s="1">
        <v>45835</v>
      </c>
      <c r="B262">
        <f>(3/(1+('CurrentPor-LH=40 unchanged'!C262)/100)+103/POWER(1+('CurrentPor-LH=40 unchanged'!D262)/100,2))*100</f>
        <v>9707.5857774288397</v>
      </c>
      <c r="C262">
        <f>(3/(1+('CurrentPor-LH=40 unchanged'!C262+'CurrentPor-LH=40 unchanged'!G262)/100)+103/POWER(1+('CurrentPor-LH=40 unchanged'!D262+'CurrentPor-LH=40 unchanged'!G262)/100,2))*100</f>
        <v>9614.9673582483465</v>
      </c>
      <c r="D262">
        <f>(3/(1+('CurrentPor-LH=40 unchanged'!C262+'CurrentPor-LH=40 unchanged'!H262)/100)+103/POWER(1+('CurrentPor-LH=40 unchanged'!D262+'CurrentPor-LH=40 unchanged'!H262)/100,2))*100</f>
        <v>9601.2395558122898</v>
      </c>
      <c r="E262">
        <f>(3/(1+('CurrentPor-LH=40 unchanged'!C262+'CurrentPor-LH=40 unchanged'!I262)/100)+103/POWER(1+('CurrentPor-LH=40 unchanged'!D262+'CurrentPor-LH=40 unchanged'!I262)/100,2))*100</f>
        <v>9582.0954414573189</v>
      </c>
      <c r="F262">
        <f>Portfolio!B$5*'CurrentPor-LH=40 unchanged'!E262</f>
        <v>52143.895533915893</v>
      </c>
      <c r="G262">
        <f>Portfolio!B$6*'CurrentPor-LH=40 unchanged'!F262</f>
        <v>3696.2945087936532</v>
      </c>
      <c r="H262">
        <f>Portfolio!B$7*'CurrentPor-LH=40 unchanged'!J262</f>
        <v>2148.0998964419859</v>
      </c>
      <c r="I262">
        <f t="shared" si="8"/>
        <v>96494.178072098337</v>
      </c>
      <c r="J262">
        <f t="shared" si="7"/>
        <v>1.7771262535534333</v>
      </c>
    </row>
    <row r="263" spans="1:10">
      <c r="A263" s="1">
        <v>45838</v>
      </c>
      <c r="B263">
        <f>(3/(1+('CurrentPor-LH=40 unchanged'!C263)/100)+103/POWER(1+('CurrentPor-LH=40 unchanged'!D263)/100,2))*100</f>
        <v>9707.5857774288397</v>
      </c>
      <c r="C263">
        <f>(3/(1+('CurrentPor-LH=40 unchanged'!C263+'CurrentPor-LH=40 unchanged'!G263)/100)+103/POWER(1+('CurrentPor-LH=40 unchanged'!D263+'CurrentPor-LH=40 unchanged'!G263)/100,2))*100</f>
        <v>9614.9673582483465</v>
      </c>
      <c r="D263">
        <f>(3/(1+('CurrentPor-LH=40 unchanged'!C263+'CurrentPor-LH=40 unchanged'!H263)/100)+103/POWER(1+('CurrentPor-LH=40 unchanged'!D263+'CurrentPor-LH=40 unchanged'!H263)/100,2))*100</f>
        <v>9601.2395558122898</v>
      </c>
      <c r="E263">
        <f>(3/(1+('CurrentPor-LH=40 unchanged'!C263+'CurrentPor-LH=40 unchanged'!I263)/100)+103/POWER(1+('CurrentPor-LH=40 unchanged'!D263+'CurrentPor-LH=40 unchanged'!I263)/100,2))*100</f>
        <v>9579.331729350537</v>
      </c>
      <c r="F263">
        <f>Portfolio!B$5*'CurrentPor-LH=40 unchanged'!E263</f>
        <v>52143.895533915893</v>
      </c>
      <c r="G263">
        <f>Portfolio!B$6*'CurrentPor-LH=40 unchanged'!F263</f>
        <v>3696.2945087936532</v>
      </c>
      <c r="H263">
        <f>Portfolio!B$7*'CurrentPor-LH=40 unchanged'!J263</f>
        <v>2148.0998964419859</v>
      </c>
      <c r="I263">
        <f t="shared" si="8"/>
        <v>96491.414359991541</v>
      </c>
      <c r="J263">
        <f t="shared" si="7"/>
        <v>-0.84451354734483175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9F0F-59C3-46B9-935D-3A9998178D87}">
  <dimension ref="A1:L263"/>
  <sheetViews>
    <sheetView topLeftCell="C1" workbookViewId="0">
      <selection activeCell="H8" sqref="H8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(3/(1+('CurrentPor-LH=60 unchanged'!C3)/100)+103/POWER(1+('CurrentPor-LH=60 unchanged'!D3)/100,2))*100</f>
        <v>9707.5857774288397</v>
      </c>
      <c r="C3">
        <f>(3/(1+('CurrentPor-LH=60 unchanged'!C3+'CurrentPor-LH=60 unchanged'!G3)/100)+103/POWER(1+('CurrentPor-LH=60 unchanged'!D3+'CurrentPor-LH=60 unchanged'!G3)/100,2))*100</f>
        <v>9614.9673582483465</v>
      </c>
      <c r="D3">
        <f>(3/(1+('CurrentPor-LH=60 unchanged'!C3+'CurrentPor-LH=60 unchanged'!H3)/100)+103/POWER(1+('CurrentPor-LH=60 unchanged'!D3+'CurrentPor-LH=60 unchanged'!H3)/100,2))*100</f>
        <v>9601.2395558122898</v>
      </c>
      <c r="E3">
        <f>(3/(1+('CurrentPor-LH=60 unchanged'!C3+'CurrentPor-LH=60 unchanged'!I3)/100)+103/POWER(1+('CurrentPor-LH=60 unchanged'!D3+'CurrentPor-LH=60 unchanged'!I3)/100,2))*100</f>
        <v>9581.4547115644182</v>
      </c>
      <c r="F3">
        <f>Portfolio!B$5*'CurrentPor-LH=60 unchanged'!E3</f>
        <v>52143.895533915893</v>
      </c>
      <c r="G3">
        <f>Portfolio!B$6*'CurrentPor-LH=60 unchanged'!F3</f>
        <v>3696.2945087936532</v>
      </c>
      <c r="H3">
        <f>Portfolio!B$7*'CurrentPor-LH=60 unchanged'!J3</f>
        <v>2148.0998964419859</v>
      </c>
      <c r="I3">
        <f>SUM(B3:H3)</f>
        <v>96493.537342205425</v>
      </c>
      <c r="K3" s="8">
        <f>_xlfn.PERCENTILE.INC(J13:J263, 0.025)</f>
        <v>0</v>
      </c>
      <c r="L3">
        <f>AVERAGEIF(J13:J263, "&lt;="&amp;K3,J13:J263)</f>
        <v>0</v>
      </c>
    </row>
    <row r="4" spans="1:12">
      <c r="A4" s="1">
        <v>45475</v>
      </c>
      <c r="B4">
        <f>(3/(1+('CurrentPor-LH=60 unchanged'!C4)/100)+103/POWER(1+('CurrentPor-LH=60 unchanged'!D4)/100,2))*100</f>
        <v>9707.5857774288397</v>
      </c>
      <c r="C4">
        <f>(3/(1+('CurrentPor-LH=60 unchanged'!C4+'CurrentPor-LH=60 unchanged'!G4)/100)+103/POWER(1+('CurrentPor-LH=60 unchanged'!D4+'CurrentPor-LH=60 unchanged'!G4)/100,2))*100</f>
        <v>9614.9673582483465</v>
      </c>
      <c r="D4">
        <f>(3/(1+('CurrentPor-LH=60 unchanged'!C4+'CurrentPor-LH=60 unchanged'!H4)/100)+103/POWER(1+('CurrentPor-LH=60 unchanged'!D4+'CurrentPor-LH=60 unchanged'!H4)/100,2))*100</f>
        <v>9601.2395558122898</v>
      </c>
      <c r="E4">
        <f>(3/(1+('CurrentPor-LH=60 unchanged'!C4+'CurrentPor-LH=60 unchanged'!I4)/100)+103/POWER(1+('CurrentPor-LH=60 unchanged'!D4+'CurrentPor-LH=60 unchanged'!I4)/100,2))*100</f>
        <v>9581.4547115644182</v>
      </c>
      <c r="F4">
        <f>Portfolio!B$5*'CurrentPor-LH=60 unchanged'!E4</f>
        <v>52143.895533915893</v>
      </c>
      <c r="G4">
        <f>Portfolio!B$6*'CurrentPor-LH=60 unchanged'!F4</f>
        <v>3696.2945087936532</v>
      </c>
      <c r="H4">
        <f>Portfolio!B$7*'CurrentPor-LH=60 unchanged'!J4</f>
        <v>2148.0998964419859</v>
      </c>
      <c r="I4">
        <f t="shared" ref="I4:I67" si="0">SUM(B4:H4)</f>
        <v>96493.537342205425</v>
      </c>
    </row>
    <row r="5" spans="1:12">
      <c r="A5" s="1">
        <v>45476</v>
      </c>
      <c r="B5">
        <f>(3/(1+('CurrentPor-LH=60 unchanged'!C5)/100)+103/POWER(1+('CurrentPor-LH=60 unchanged'!D5)/100,2))*100</f>
        <v>9707.5857774288397</v>
      </c>
      <c r="C5">
        <f>(3/(1+('CurrentPor-LH=60 unchanged'!C5+'CurrentPor-LH=60 unchanged'!G5)/100)+103/POWER(1+('CurrentPor-LH=60 unchanged'!D5+'CurrentPor-LH=60 unchanged'!G5)/100,2))*100</f>
        <v>9614.9673582483465</v>
      </c>
      <c r="D5">
        <f>(3/(1+('CurrentPor-LH=60 unchanged'!C5+'CurrentPor-LH=60 unchanged'!H5)/100)+103/POWER(1+('CurrentPor-LH=60 unchanged'!D5+'CurrentPor-LH=60 unchanged'!H5)/100,2))*100</f>
        <v>9601.2395558122898</v>
      </c>
      <c r="E5">
        <f>(3/(1+('CurrentPor-LH=60 unchanged'!C5+'CurrentPor-LH=60 unchanged'!I5)/100)+103/POWER(1+('CurrentPor-LH=60 unchanged'!D5+'CurrentPor-LH=60 unchanged'!I5)/100,2))*100</f>
        <v>9581.4547115644182</v>
      </c>
      <c r="F5">
        <f>Portfolio!B$5*'CurrentPor-LH=60 unchanged'!E5</f>
        <v>52143.895533915893</v>
      </c>
      <c r="G5">
        <f>Portfolio!B$6*'CurrentPor-LH=60 unchanged'!F5</f>
        <v>3696.2945087936532</v>
      </c>
      <c r="H5">
        <f>Portfolio!B$7*'CurrentPor-LH=60 unchanged'!J5</f>
        <v>2148.0998964419859</v>
      </c>
      <c r="I5">
        <f t="shared" si="0"/>
        <v>96493.537342205425</v>
      </c>
    </row>
    <row r="6" spans="1:12">
      <c r="A6" s="1">
        <v>45477</v>
      </c>
      <c r="B6">
        <f>(3/(1+('CurrentPor-LH=60 unchanged'!C6)/100)+103/POWER(1+('CurrentPor-LH=60 unchanged'!D6)/100,2))*100</f>
        <v>9707.5857774288397</v>
      </c>
      <c r="C6">
        <f>(3/(1+('CurrentPor-LH=60 unchanged'!C6+'CurrentPor-LH=60 unchanged'!G6)/100)+103/POWER(1+('CurrentPor-LH=60 unchanged'!D6+'CurrentPor-LH=60 unchanged'!G6)/100,2))*100</f>
        <v>9614.9673582483465</v>
      </c>
      <c r="D6">
        <f>(3/(1+('CurrentPor-LH=60 unchanged'!C6+'CurrentPor-LH=60 unchanged'!H6)/100)+103/POWER(1+('CurrentPor-LH=60 unchanged'!D6+'CurrentPor-LH=60 unchanged'!H6)/100,2))*100</f>
        <v>9601.2395558122898</v>
      </c>
      <c r="E6">
        <f>(3/(1+('CurrentPor-LH=60 unchanged'!C6+'CurrentPor-LH=60 unchanged'!I6)/100)+103/POWER(1+('CurrentPor-LH=60 unchanged'!D6+'CurrentPor-LH=60 unchanged'!I6)/100,2))*100</f>
        <v>9581.4547115644182</v>
      </c>
      <c r="F6">
        <f>Portfolio!B$5*'CurrentPor-LH=60 unchanged'!E6</f>
        <v>52143.895533915893</v>
      </c>
      <c r="G6">
        <f>Portfolio!B$6*'CurrentPor-LH=60 unchanged'!F6</f>
        <v>3696.2945087936532</v>
      </c>
      <c r="H6">
        <f>Portfolio!B$7*'CurrentPor-LH=60 unchanged'!J6</f>
        <v>2148.0998964419859</v>
      </c>
      <c r="I6">
        <f t="shared" si="0"/>
        <v>96493.537342205425</v>
      </c>
    </row>
    <row r="7" spans="1:12">
      <c r="A7" s="1">
        <v>45478</v>
      </c>
      <c r="B7">
        <f>(3/(1+('CurrentPor-LH=60 unchanged'!C7)/100)+103/POWER(1+('CurrentPor-LH=60 unchanged'!D7)/100,2))*100</f>
        <v>9707.5857774288397</v>
      </c>
      <c r="C7">
        <f>(3/(1+('CurrentPor-LH=60 unchanged'!C7+'CurrentPor-LH=60 unchanged'!G7)/100)+103/POWER(1+('CurrentPor-LH=60 unchanged'!D7+'CurrentPor-LH=60 unchanged'!G7)/100,2))*100</f>
        <v>9614.9673582483465</v>
      </c>
      <c r="D7">
        <f>(3/(1+('CurrentPor-LH=60 unchanged'!C7+'CurrentPor-LH=60 unchanged'!H7)/100)+103/POWER(1+('CurrentPor-LH=60 unchanged'!D7+'CurrentPor-LH=60 unchanged'!H7)/100,2))*100</f>
        <v>9601.2395558122898</v>
      </c>
      <c r="E7">
        <f>(3/(1+('CurrentPor-LH=60 unchanged'!C7+'CurrentPor-LH=60 unchanged'!I7)/100)+103/POWER(1+('CurrentPor-LH=60 unchanged'!D7+'CurrentPor-LH=60 unchanged'!I7)/100,2))*100</f>
        <v>9581.4547115644182</v>
      </c>
      <c r="F7">
        <f>Portfolio!B$5*'CurrentPor-LH=60 unchanged'!E7</f>
        <v>52143.895533915893</v>
      </c>
      <c r="G7">
        <f>Portfolio!B$6*'CurrentPor-LH=60 unchanged'!F7</f>
        <v>3696.2945087936532</v>
      </c>
      <c r="H7">
        <f>Portfolio!B$7*'CurrentPor-LH=60 unchanged'!J7</f>
        <v>2148.0998964419859</v>
      </c>
      <c r="I7">
        <f t="shared" si="0"/>
        <v>96493.537342205425</v>
      </c>
    </row>
    <row r="8" spans="1:12">
      <c r="A8" s="1">
        <v>45481</v>
      </c>
      <c r="B8">
        <f>(3/(1+('CurrentPor-LH=60 unchanged'!C8)/100)+103/POWER(1+('CurrentPor-LH=60 unchanged'!D8)/100,2))*100</f>
        <v>9707.5857774288397</v>
      </c>
      <c r="C8">
        <f>(3/(1+('CurrentPor-LH=60 unchanged'!C8+'CurrentPor-LH=60 unchanged'!G8)/100)+103/POWER(1+('CurrentPor-LH=60 unchanged'!D8+'CurrentPor-LH=60 unchanged'!G8)/100,2))*100</f>
        <v>9614.9673582483465</v>
      </c>
      <c r="D8">
        <f>(3/(1+('CurrentPor-LH=60 unchanged'!C8+'CurrentPor-LH=60 unchanged'!H8)/100)+103/POWER(1+('CurrentPor-LH=60 unchanged'!D8+'CurrentPor-LH=60 unchanged'!H8)/100,2))*100</f>
        <v>9601.2395558122898</v>
      </c>
      <c r="E8">
        <f>(3/(1+('CurrentPor-LH=60 unchanged'!C8+'CurrentPor-LH=60 unchanged'!I8)/100)+103/POWER(1+('CurrentPor-LH=60 unchanged'!D8+'CurrentPor-LH=60 unchanged'!I8)/100,2))*100</f>
        <v>9581.4547115644182</v>
      </c>
      <c r="F8">
        <f>Portfolio!B$5*'CurrentPor-LH=60 unchanged'!E8</f>
        <v>52143.895533915893</v>
      </c>
      <c r="G8">
        <f>Portfolio!B$6*'CurrentPor-LH=60 unchanged'!F8</f>
        <v>3696.2945087936532</v>
      </c>
      <c r="H8">
        <f>Portfolio!B$7*'CurrentPor-LH=60 unchanged'!J8</f>
        <v>2148.0998964419859</v>
      </c>
      <c r="I8">
        <f t="shared" si="0"/>
        <v>96493.537342205425</v>
      </c>
    </row>
    <row r="9" spans="1:12">
      <c r="A9" s="1">
        <v>45482</v>
      </c>
      <c r="B9">
        <f>(3/(1+('CurrentPor-LH=60 unchanged'!C9)/100)+103/POWER(1+('CurrentPor-LH=60 unchanged'!D9)/100,2))*100</f>
        <v>9707.5857774288397</v>
      </c>
      <c r="C9">
        <f>(3/(1+('CurrentPor-LH=60 unchanged'!C9+'CurrentPor-LH=60 unchanged'!G9)/100)+103/POWER(1+('CurrentPor-LH=60 unchanged'!D9+'CurrentPor-LH=60 unchanged'!G9)/100,2))*100</f>
        <v>9614.9673582483465</v>
      </c>
      <c r="D9">
        <f>(3/(1+('CurrentPor-LH=60 unchanged'!C9+'CurrentPor-LH=60 unchanged'!H9)/100)+103/POWER(1+('CurrentPor-LH=60 unchanged'!D9+'CurrentPor-LH=60 unchanged'!H9)/100,2))*100</f>
        <v>9601.2395558122898</v>
      </c>
      <c r="E9">
        <f>(3/(1+('CurrentPor-LH=60 unchanged'!C9+'CurrentPor-LH=60 unchanged'!I9)/100)+103/POWER(1+('CurrentPor-LH=60 unchanged'!D9+'CurrentPor-LH=60 unchanged'!I9)/100,2))*100</f>
        <v>9581.4547115644182</v>
      </c>
      <c r="F9">
        <f>Portfolio!B$5*'CurrentPor-LH=60 unchanged'!E9</f>
        <v>52143.895533915893</v>
      </c>
      <c r="G9">
        <f>Portfolio!B$6*'CurrentPor-LH=60 unchanged'!F9</f>
        <v>3696.2945087936532</v>
      </c>
      <c r="H9">
        <f>Portfolio!B$7*'CurrentPor-LH=60 unchanged'!J9</f>
        <v>2148.0998964419859</v>
      </c>
      <c r="I9">
        <f t="shared" si="0"/>
        <v>96493.537342205425</v>
      </c>
    </row>
    <row r="10" spans="1:12">
      <c r="A10" s="1">
        <v>45483</v>
      </c>
      <c r="B10">
        <f>(3/(1+('CurrentPor-LH=60 unchanged'!C10)/100)+103/POWER(1+('CurrentPor-LH=60 unchanged'!D10)/100,2))*100</f>
        <v>9707.5857774288397</v>
      </c>
      <c r="C10">
        <f>(3/(1+('CurrentPor-LH=60 unchanged'!C10+'CurrentPor-LH=60 unchanged'!G10)/100)+103/POWER(1+('CurrentPor-LH=60 unchanged'!D10+'CurrentPor-LH=60 unchanged'!G10)/100,2))*100</f>
        <v>9614.9673582483465</v>
      </c>
      <c r="D10">
        <f>(3/(1+('CurrentPor-LH=60 unchanged'!C10+'CurrentPor-LH=60 unchanged'!H10)/100)+103/POWER(1+('CurrentPor-LH=60 unchanged'!D10+'CurrentPor-LH=60 unchanged'!H10)/100,2))*100</f>
        <v>9601.2395558122898</v>
      </c>
      <c r="E10">
        <f>(3/(1+('CurrentPor-LH=60 unchanged'!C10+'CurrentPor-LH=60 unchanged'!I10)/100)+103/POWER(1+('CurrentPor-LH=60 unchanged'!D10+'CurrentPor-LH=60 unchanged'!I10)/100,2))*100</f>
        <v>9581.4547115644182</v>
      </c>
      <c r="F10">
        <f>Portfolio!B$5*'CurrentPor-LH=60 unchanged'!E10</f>
        <v>52143.895533915893</v>
      </c>
      <c r="G10">
        <f>Portfolio!B$6*'CurrentPor-LH=60 unchanged'!F10</f>
        <v>3696.2945087936532</v>
      </c>
      <c r="H10">
        <f>Portfolio!B$7*'CurrentPor-LH=60 unchanged'!J10</f>
        <v>2148.0998964419859</v>
      </c>
      <c r="I10">
        <f t="shared" si="0"/>
        <v>96493.537342205425</v>
      </c>
    </row>
    <row r="11" spans="1:12">
      <c r="A11" s="1">
        <v>45484</v>
      </c>
      <c r="B11">
        <f>(3/(1+('CurrentPor-LH=60 unchanged'!C11)/100)+103/POWER(1+('CurrentPor-LH=60 unchanged'!D11)/100,2))*100</f>
        <v>9707.5857774288397</v>
      </c>
      <c r="C11">
        <f>(3/(1+('CurrentPor-LH=60 unchanged'!C11+'CurrentPor-LH=60 unchanged'!G11)/100)+103/POWER(1+('CurrentPor-LH=60 unchanged'!D11+'CurrentPor-LH=60 unchanged'!G11)/100,2))*100</f>
        <v>9614.9673582483465</v>
      </c>
      <c r="D11">
        <f>(3/(1+('CurrentPor-LH=60 unchanged'!C11+'CurrentPor-LH=60 unchanged'!H11)/100)+103/POWER(1+('CurrentPor-LH=60 unchanged'!D11+'CurrentPor-LH=60 unchanged'!H11)/100,2))*100</f>
        <v>9601.2395558122898</v>
      </c>
      <c r="E11">
        <f>(3/(1+('CurrentPor-LH=60 unchanged'!C11+'CurrentPor-LH=60 unchanged'!I11)/100)+103/POWER(1+('CurrentPor-LH=60 unchanged'!D11+'CurrentPor-LH=60 unchanged'!I11)/100,2))*100</f>
        <v>9581.4547115644182</v>
      </c>
      <c r="F11">
        <f>Portfolio!B$5*'CurrentPor-LH=60 unchanged'!E11</f>
        <v>52143.895533915893</v>
      </c>
      <c r="G11">
        <f>Portfolio!B$6*'CurrentPor-LH=60 unchanged'!F11</f>
        <v>3696.2945087936532</v>
      </c>
      <c r="H11">
        <f>Portfolio!B$7*'CurrentPor-LH=60 unchanged'!J11</f>
        <v>2148.0998964419859</v>
      </c>
      <c r="I11">
        <f t="shared" si="0"/>
        <v>96493.537342205425</v>
      </c>
    </row>
    <row r="12" spans="1:12">
      <c r="A12" s="1">
        <v>45485</v>
      </c>
      <c r="B12">
        <f>(3/(1+('CurrentPor-LH=60 unchanged'!C12)/100)+103/POWER(1+('CurrentPor-LH=60 unchanged'!D12)/100,2))*100</f>
        <v>9707.5857774288397</v>
      </c>
      <c r="C12">
        <f>(3/(1+('CurrentPor-LH=60 unchanged'!C12+'CurrentPor-LH=60 unchanged'!G12)/100)+103/POWER(1+('CurrentPor-LH=60 unchanged'!D12+'CurrentPor-LH=60 unchanged'!G12)/100,2))*100</f>
        <v>9614.9673582483465</v>
      </c>
      <c r="D12">
        <f>(3/(1+('CurrentPor-LH=60 unchanged'!C12+'CurrentPor-LH=60 unchanged'!H12)/100)+103/POWER(1+('CurrentPor-LH=60 unchanged'!D12+'CurrentPor-LH=60 unchanged'!H12)/100,2))*100</f>
        <v>9601.2395558122898</v>
      </c>
      <c r="E12">
        <f>(3/(1+('CurrentPor-LH=60 unchanged'!C12+'CurrentPor-LH=60 unchanged'!I12)/100)+103/POWER(1+('CurrentPor-LH=60 unchanged'!D12+'CurrentPor-LH=60 unchanged'!I12)/100,2))*100</f>
        <v>9581.4547115644182</v>
      </c>
      <c r="F12">
        <f>Portfolio!B$5*'CurrentPor-LH=60 unchanged'!E12</f>
        <v>52143.895533915893</v>
      </c>
      <c r="G12">
        <f>Portfolio!B$6*'CurrentPor-LH=60 unchanged'!F12</f>
        <v>3696.2945087936532</v>
      </c>
      <c r="H12">
        <f>Portfolio!B$7*'CurrentPor-LH=60 unchanged'!J12</f>
        <v>2148.0998964419859</v>
      </c>
      <c r="I12">
        <f t="shared" si="0"/>
        <v>96493.537342205425</v>
      </c>
    </row>
    <row r="13" spans="1:12">
      <c r="A13" s="1">
        <v>45488</v>
      </c>
      <c r="B13">
        <f>(3/(1+('CurrentPor-LH=60 unchanged'!C13)/100)+103/POWER(1+('CurrentPor-LH=60 unchanged'!D13)/100,2))*100</f>
        <v>9707.5857774288397</v>
      </c>
      <c r="C13">
        <f>(3/(1+('CurrentPor-LH=60 unchanged'!C13+'CurrentPor-LH=60 unchanged'!G13)/100)+103/POWER(1+('CurrentPor-LH=60 unchanged'!D13+'CurrentPor-LH=60 unchanged'!G13)/100,2))*100</f>
        <v>9614.9673582483465</v>
      </c>
      <c r="D13">
        <f>(3/(1+('CurrentPor-LH=60 unchanged'!C13+'CurrentPor-LH=60 unchanged'!H13)/100)+103/POWER(1+('CurrentPor-LH=60 unchanged'!D13+'CurrentPor-LH=60 unchanged'!H13)/100,2))*100</f>
        <v>9601.2395558122898</v>
      </c>
      <c r="E13">
        <f>(3/(1+('CurrentPor-LH=60 unchanged'!C13+'CurrentPor-LH=60 unchanged'!I13)/100)+103/POWER(1+('CurrentPor-LH=60 unchanged'!D13+'CurrentPor-LH=60 unchanged'!I13)/100,2))*100</f>
        <v>9581.4547115644182</v>
      </c>
      <c r="F13">
        <f>Portfolio!B$5*'CurrentPor-LH=60 unchanged'!E13</f>
        <v>52143.895533915893</v>
      </c>
      <c r="G13">
        <f>Portfolio!B$6*'CurrentPor-LH=60 unchanged'!F13</f>
        <v>3696.2945087936532</v>
      </c>
      <c r="H13">
        <f>Portfolio!B$7*'CurrentPor-LH=60 unchanged'!J13</f>
        <v>2148.0998964419859</v>
      </c>
      <c r="I13">
        <f t="shared" si="0"/>
        <v>96493.537342205425</v>
      </c>
      <c r="J13">
        <f>I13-I3</f>
        <v>0</v>
      </c>
    </row>
    <row r="14" spans="1:12">
      <c r="A14" s="1">
        <v>45489</v>
      </c>
      <c r="B14">
        <f>(3/(1+('CurrentPor-LH=60 unchanged'!C14)/100)+103/POWER(1+('CurrentPor-LH=60 unchanged'!D14)/100,2))*100</f>
        <v>9707.5857774288397</v>
      </c>
      <c r="C14">
        <f>(3/(1+('CurrentPor-LH=60 unchanged'!C14+'CurrentPor-LH=60 unchanged'!G14)/100)+103/POWER(1+('CurrentPor-LH=60 unchanged'!D14+'CurrentPor-LH=60 unchanged'!G14)/100,2))*100</f>
        <v>9614.9673582483465</v>
      </c>
      <c r="D14">
        <f>(3/(1+('CurrentPor-LH=60 unchanged'!C14+'CurrentPor-LH=60 unchanged'!H14)/100)+103/POWER(1+('CurrentPor-LH=60 unchanged'!D14+'CurrentPor-LH=60 unchanged'!H14)/100,2))*100</f>
        <v>9601.2395558122898</v>
      </c>
      <c r="E14">
        <f>(3/(1+('CurrentPor-LH=60 unchanged'!C14+'CurrentPor-LH=60 unchanged'!I14)/100)+103/POWER(1+('CurrentPor-LH=60 unchanged'!D14+'CurrentPor-LH=60 unchanged'!I14)/100,2))*100</f>
        <v>9581.4547115644182</v>
      </c>
      <c r="F14">
        <f>Portfolio!B$5*'CurrentPor-LH=60 unchanged'!E14</f>
        <v>52143.895533915893</v>
      </c>
      <c r="G14">
        <f>Portfolio!B$6*'CurrentPor-LH=60 unchanged'!F14</f>
        <v>3696.2945087936532</v>
      </c>
      <c r="H14">
        <f>Portfolio!B$7*'CurrentPor-LH=60 unchanged'!J14</f>
        <v>2148.0998964419859</v>
      </c>
      <c r="I14">
        <f t="shared" si="0"/>
        <v>96493.537342205425</v>
      </c>
      <c r="J14">
        <f t="shared" ref="J14:J77" si="1">I14-I4</f>
        <v>0</v>
      </c>
    </row>
    <row r="15" spans="1:12">
      <c r="A15" s="1">
        <v>45490</v>
      </c>
      <c r="B15">
        <f>(3/(1+('CurrentPor-LH=60 unchanged'!C15)/100)+103/POWER(1+('CurrentPor-LH=60 unchanged'!D15)/100,2))*100</f>
        <v>9707.5857774288397</v>
      </c>
      <c r="C15">
        <f>(3/(1+('CurrentPor-LH=60 unchanged'!C15+'CurrentPor-LH=60 unchanged'!G15)/100)+103/POWER(1+('CurrentPor-LH=60 unchanged'!D15+'CurrentPor-LH=60 unchanged'!G15)/100,2))*100</f>
        <v>9614.9673582483465</v>
      </c>
      <c r="D15">
        <f>(3/(1+('CurrentPor-LH=60 unchanged'!C15+'CurrentPor-LH=60 unchanged'!H15)/100)+103/POWER(1+('CurrentPor-LH=60 unchanged'!D15+'CurrentPor-LH=60 unchanged'!H15)/100,2))*100</f>
        <v>9601.2395558122898</v>
      </c>
      <c r="E15">
        <f>(3/(1+('CurrentPor-LH=60 unchanged'!C15+'CurrentPor-LH=60 unchanged'!I15)/100)+103/POWER(1+('CurrentPor-LH=60 unchanged'!D15+'CurrentPor-LH=60 unchanged'!I15)/100,2))*100</f>
        <v>9581.4547115644182</v>
      </c>
      <c r="F15">
        <f>Portfolio!B$5*'CurrentPor-LH=60 unchanged'!E15</f>
        <v>52143.895533915893</v>
      </c>
      <c r="G15">
        <f>Portfolio!B$6*'CurrentPor-LH=60 unchanged'!F15</f>
        <v>3696.2945087936532</v>
      </c>
      <c r="H15">
        <f>Portfolio!B$7*'CurrentPor-LH=60 unchanged'!J15</f>
        <v>2148.0998964419859</v>
      </c>
      <c r="I15">
        <f t="shared" si="0"/>
        <v>96493.537342205425</v>
      </c>
      <c r="J15">
        <f t="shared" si="1"/>
        <v>0</v>
      </c>
    </row>
    <row r="16" spans="1:12">
      <c r="A16" s="1">
        <v>45491</v>
      </c>
      <c r="B16">
        <f>(3/(1+('CurrentPor-LH=60 unchanged'!C16)/100)+103/POWER(1+('CurrentPor-LH=60 unchanged'!D16)/100,2))*100</f>
        <v>9707.5857774288397</v>
      </c>
      <c r="C16">
        <f>(3/(1+('CurrentPor-LH=60 unchanged'!C16+'CurrentPor-LH=60 unchanged'!G16)/100)+103/POWER(1+('CurrentPor-LH=60 unchanged'!D16+'CurrentPor-LH=60 unchanged'!G16)/100,2))*100</f>
        <v>9614.9673582483465</v>
      </c>
      <c r="D16">
        <f>(3/(1+('CurrentPor-LH=60 unchanged'!C16+'CurrentPor-LH=60 unchanged'!H16)/100)+103/POWER(1+('CurrentPor-LH=60 unchanged'!D16+'CurrentPor-LH=60 unchanged'!H16)/100,2))*100</f>
        <v>9601.2395558122898</v>
      </c>
      <c r="E16">
        <f>(3/(1+('CurrentPor-LH=60 unchanged'!C16+'CurrentPor-LH=60 unchanged'!I16)/100)+103/POWER(1+('CurrentPor-LH=60 unchanged'!D16+'CurrentPor-LH=60 unchanged'!I16)/100,2))*100</f>
        <v>9581.4547115644182</v>
      </c>
      <c r="F16">
        <f>Portfolio!B$5*'CurrentPor-LH=60 unchanged'!E16</f>
        <v>52143.895533915893</v>
      </c>
      <c r="G16">
        <f>Portfolio!B$6*'CurrentPor-LH=60 unchanged'!F16</f>
        <v>3696.2945087936532</v>
      </c>
      <c r="H16">
        <f>Portfolio!B$7*'CurrentPor-LH=60 unchanged'!J16</f>
        <v>2148.0998964419859</v>
      </c>
      <c r="I16">
        <f t="shared" si="0"/>
        <v>96493.537342205425</v>
      </c>
      <c r="J16">
        <f t="shared" si="1"/>
        <v>0</v>
      </c>
    </row>
    <row r="17" spans="1:10">
      <c r="A17" s="1">
        <v>45492</v>
      </c>
      <c r="B17">
        <f>(3/(1+('CurrentPor-LH=60 unchanged'!C17)/100)+103/POWER(1+('CurrentPor-LH=60 unchanged'!D17)/100,2))*100</f>
        <v>9707.5857774288397</v>
      </c>
      <c r="C17">
        <f>(3/(1+('CurrentPor-LH=60 unchanged'!C17+'CurrentPor-LH=60 unchanged'!G17)/100)+103/POWER(1+('CurrentPor-LH=60 unchanged'!D17+'CurrentPor-LH=60 unchanged'!G17)/100,2))*100</f>
        <v>9614.9673582483465</v>
      </c>
      <c r="D17">
        <f>(3/(1+('CurrentPor-LH=60 unchanged'!C17+'CurrentPor-LH=60 unchanged'!H17)/100)+103/POWER(1+('CurrentPor-LH=60 unchanged'!D17+'CurrentPor-LH=60 unchanged'!H17)/100,2))*100</f>
        <v>9601.2395558122898</v>
      </c>
      <c r="E17">
        <f>(3/(1+('CurrentPor-LH=60 unchanged'!C17+'CurrentPor-LH=60 unchanged'!I17)/100)+103/POWER(1+('CurrentPor-LH=60 unchanged'!D17+'CurrentPor-LH=60 unchanged'!I17)/100,2))*100</f>
        <v>9581.4547115644182</v>
      </c>
      <c r="F17">
        <f>Portfolio!B$5*'CurrentPor-LH=60 unchanged'!E17</f>
        <v>52143.895533915893</v>
      </c>
      <c r="G17">
        <f>Portfolio!B$6*'CurrentPor-LH=60 unchanged'!F17</f>
        <v>3696.2945087936532</v>
      </c>
      <c r="H17">
        <f>Portfolio!B$7*'CurrentPor-LH=60 unchanged'!J17</f>
        <v>2148.0998964419859</v>
      </c>
      <c r="I17">
        <f t="shared" si="0"/>
        <v>96493.537342205425</v>
      </c>
      <c r="J17">
        <f t="shared" si="1"/>
        <v>0</v>
      </c>
    </row>
    <row r="18" spans="1:10">
      <c r="A18" s="1">
        <v>45495</v>
      </c>
      <c r="B18">
        <f>(3/(1+('CurrentPor-LH=60 unchanged'!C18)/100)+103/POWER(1+('CurrentPor-LH=60 unchanged'!D18)/100,2))*100</f>
        <v>9707.5857774288397</v>
      </c>
      <c r="C18">
        <f>(3/(1+('CurrentPor-LH=60 unchanged'!C18+'CurrentPor-LH=60 unchanged'!G18)/100)+103/POWER(1+('CurrentPor-LH=60 unchanged'!D18+'CurrentPor-LH=60 unchanged'!G18)/100,2))*100</f>
        <v>9614.9673582483465</v>
      </c>
      <c r="D18">
        <f>(3/(1+('CurrentPor-LH=60 unchanged'!C18+'CurrentPor-LH=60 unchanged'!H18)/100)+103/POWER(1+('CurrentPor-LH=60 unchanged'!D18+'CurrentPor-LH=60 unchanged'!H18)/100,2))*100</f>
        <v>9601.2395558122898</v>
      </c>
      <c r="E18">
        <f>(3/(1+('CurrentPor-LH=60 unchanged'!C18+'CurrentPor-LH=60 unchanged'!I18)/100)+103/POWER(1+('CurrentPor-LH=60 unchanged'!D18+'CurrentPor-LH=60 unchanged'!I18)/100,2))*100</f>
        <v>9581.4547115644182</v>
      </c>
      <c r="F18">
        <f>Portfolio!B$5*'CurrentPor-LH=60 unchanged'!E18</f>
        <v>52143.895533915893</v>
      </c>
      <c r="G18">
        <f>Portfolio!B$6*'CurrentPor-LH=60 unchanged'!F18</f>
        <v>3696.2945087936532</v>
      </c>
      <c r="H18">
        <f>Portfolio!B$7*'CurrentPor-LH=60 unchanged'!J18</f>
        <v>2148.0998964419859</v>
      </c>
      <c r="I18">
        <f t="shared" si="0"/>
        <v>96493.537342205425</v>
      </c>
      <c r="J18">
        <f t="shared" si="1"/>
        <v>0</v>
      </c>
    </row>
    <row r="19" spans="1:10">
      <c r="A19" s="1">
        <v>45496</v>
      </c>
      <c r="B19">
        <f>(3/(1+('CurrentPor-LH=60 unchanged'!C19)/100)+103/POWER(1+('CurrentPor-LH=60 unchanged'!D19)/100,2))*100</f>
        <v>9707.5857774288397</v>
      </c>
      <c r="C19">
        <f>(3/(1+('CurrentPor-LH=60 unchanged'!C19+'CurrentPor-LH=60 unchanged'!G19)/100)+103/POWER(1+('CurrentPor-LH=60 unchanged'!D19+'CurrentPor-LH=60 unchanged'!G19)/100,2))*100</f>
        <v>9614.9673582483465</v>
      </c>
      <c r="D19">
        <f>(3/(1+('CurrentPor-LH=60 unchanged'!C19+'CurrentPor-LH=60 unchanged'!H19)/100)+103/POWER(1+('CurrentPor-LH=60 unchanged'!D19+'CurrentPor-LH=60 unchanged'!H19)/100,2))*100</f>
        <v>9601.2395558122898</v>
      </c>
      <c r="E19">
        <f>(3/(1+('CurrentPor-LH=60 unchanged'!C19+'CurrentPor-LH=60 unchanged'!I19)/100)+103/POWER(1+('CurrentPor-LH=60 unchanged'!D19+'CurrentPor-LH=60 unchanged'!I19)/100,2))*100</f>
        <v>9581.4547115644182</v>
      </c>
      <c r="F19">
        <f>Portfolio!B$5*'CurrentPor-LH=60 unchanged'!E19</f>
        <v>52143.895533915893</v>
      </c>
      <c r="G19">
        <f>Portfolio!B$6*'CurrentPor-LH=60 unchanged'!F19</f>
        <v>3696.2945087936532</v>
      </c>
      <c r="H19">
        <f>Portfolio!B$7*'CurrentPor-LH=60 unchanged'!J19</f>
        <v>2148.0998964419859</v>
      </c>
      <c r="I19">
        <f t="shared" si="0"/>
        <v>96493.537342205425</v>
      </c>
      <c r="J19">
        <f t="shared" si="1"/>
        <v>0</v>
      </c>
    </row>
    <row r="20" spans="1:10">
      <c r="A20" s="1">
        <v>45497</v>
      </c>
      <c r="B20">
        <f>(3/(1+('CurrentPor-LH=60 unchanged'!C20)/100)+103/POWER(1+('CurrentPor-LH=60 unchanged'!D20)/100,2))*100</f>
        <v>9707.5857774288397</v>
      </c>
      <c r="C20">
        <f>(3/(1+('CurrentPor-LH=60 unchanged'!C20+'CurrentPor-LH=60 unchanged'!G20)/100)+103/POWER(1+('CurrentPor-LH=60 unchanged'!D20+'CurrentPor-LH=60 unchanged'!G20)/100,2))*100</f>
        <v>9614.9673582483465</v>
      </c>
      <c r="D20">
        <f>(3/(1+('CurrentPor-LH=60 unchanged'!C20+'CurrentPor-LH=60 unchanged'!H20)/100)+103/POWER(1+('CurrentPor-LH=60 unchanged'!D20+'CurrentPor-LH=60 unchanged'!H20)/100,2))*100</f>
        <v>9601.2395558122898</v>
      </c>
      <c r="E20">
        <f>(3/(1+('CurrentPor-LH=60 unchanged'!C20+'CurrentPor-LH=60 unchanged'!I20)/100)+103/POWER(1+('CurrentPor-LH=60 unchanged'!D20+'CurrentPor-LH=60 unchanged'!I20)/100,2))*100</f>
        <v>9581.4547115644182</v>
      </c>
      <c r="F20">
        <f>Portfolio!B$5*'CurrentPor-LH=60 unchanged'!E20</f>
        <v>52143.895533915893</v>
      </c>
      <c r="G20">
        <f>Portfolio!B$6*'CurrentPor-LH=60 unchanged'!F20</f>
        <v>3696.2945087936532</v>
      </c>
      <c r="H20">
        <f>Portfolio!B$7*'CurrentPor-LH=60 unchanged'!J20</f>
        <v>2148.0998964419859</v>
      </c>
      <c r="I20">
        <f t="shared" si="0"/>
        <v>96493.537342205425</v>
      </c>
      <c r="J20">
        <f t="shared" si="1"/>
        <v>0</v>
      </c>
    </row>
    <row r="21" spans="1:10">
      <c r="A21" s="1">
        <v>45498</v>
      </c>
      <c r="B21">
        <f>(3/(1+('CurrentPor-LH=60 unchanged'!C21)/100)+103/POWER(1+('CurrentPor-LH=60 unchanged'!D21)/100,2))*100</f>
        <v>9707.5857774288397</v>
      </c>
      <c r="C21">
        <f>(3/(1+('CurrentPor-LH=60 unchanged'!C21+'CurrentPor-LH=60 unchanged'!G21)/100)+103/POWER(1+('CurrentPor-LH=60 unchanged'!D21+'CurrentPor-LH=60 unchanged'!G21)/100,2))*100</f>
        <v>9614.9673582483465</v>
      </c>
      <c r="D21">
        <f>(3/(1+('CurrentPor-LH=60 unchanged'!C21+'CurrentPor-LH=60 unchanged'!H21)/100)+103/POWER(1+('CurrentPor-LH=60 unchanged'!D21+'CurrentPor-LH=60 unchanged'!H21)/100,2))*100</f>
        <v>9601.2395558122898</v>
      </c>
      <c r="E21">
        <f>(3/(1+('CurrentPor-LH=60 unchanged'!C21+'CurrentPor-LH=60 unchanged'!I21)/100)+103/POWER(1+('CurrentPor-LH=60 unchanged'!D21+'CurrentPor-LH=60 unchanged'!I21)/100,2))*100</f>
        <v>9581.4547115644182</v>
      </c>
      <c r="F21">
        <f>Portfolio!B$5*'CurrentPor-LH=60 unchanged'!E21</f>
        <v>52143.895533915893</v>
      </c>
      <c r="G21">
        <f>Portfolio!B$6*'CurrentPor-LH=60 unchanged'!F21</f>
        <v>3696.2945087936532</v>
      </c>
      <c r="H21">
        <f>Portfolio!B$7*'CurrentPor-LH=60 unchanged'!J21</f>
        <v>2148.0998964419859</v>
      </c>
      <c r="I21">
        <f t="shared" si="0"/>
        <v>96493.537342205425</v>
      </c>
      <c r="J21">
        <f t="shared" si="1"/>
        <v>0</v>
      </c>
    </row>
    <row r="22" spans="1:10">
      <c r="A22" s="1">
        <v>45499</v>
      </c>
      <c r="B22">
        <f>(3/(1+('CurrentPor-LH=60 unchanged'!C22)/100)+103/POWER(1+('CurrentPor-LH=60 unchanged'!D22)/100,2))*100</f>
        <v>9707.5857774288397</v>
      </c>
      <c r="C22">
        <f>(3/(1+('CurrentPor-LH=60 unchanged'!C22+'CurrentPor-LH=60 unchanged'!G22)/100)+103/POWER(1+('CurrentPor-LH=60 unchanged'!D22+'CurrentPor-LH=60 unchanged'!G22)/100,2))*100</f>
        <v>9614.9673582483465</v>
      </c>
      <c r="D22">
        <f>(3/(1+('CurrentPor-LH=60 unchanged'!C22+'CurrentPor-LH=60 unchanged'!H22)/100)+103/POWER(1+('CurrentPor-LH=60 unchanged'!D22+'CurrentPor-LH=60 unchanged'!H22)/100,2))*100</f>
        <v>9601.2395558122898</v>
      </c>
      <c r="E22">
        <f>(3/(1+('CurrentPor-LH=60 unchanged'!C22+'CurrentPor-LH=60 unchanged'!I22)/100)+103/POWER(1+('CurrentPor-LH=60 unchanged'!D22+'CurrentPor-LH=60 unchanged'!I22)/100,2))*100</f>
        <v>9581.4547115644182</v>
      </c>
      <c r="F22">
        <f>Portfolio!B$5*'CurrentPor-LH=60 unchanged'!E22</f>
        <v>52143.895533915893</v>
      </c>
      <c r="G22">
        <f>Portfolio!B$6*'CurrentPor-LH=60 unchanged'!F22</f>
        <v>3696.2945087936532</v>
      </c>
      <c r="H22">
        <f>Portfolio!B$7*'CurrentPor-LH=60 unchanged'!J22</f>
        <v>2148.0998964419859</v>
      </c>
      <c r="I22">
        <f t="shared" si="0"/>
        <v>96493.537342205425</v>
      </c>
      <c r="J22">
        <f t="shared" si="1"/>
        <v>0</v>
      </c>
    </row>
    <row r="23" spans="1:10">
      <c r="A23" s="1">
        <v>45502</v>
      </c>
      <c r="B23">
        <f>(3/(1+('CurrentPor-LH=60 unchanged'!C23)/100)+103/POWER(1+('CurrentPor-LH=60 unchanged'!D23)/100,2))*100</f>
        <v>9707.5857774288397</v>
      </c>
      <c r="C23">
        <f>(3/(1+('CurrentPor-LH=60 unchanged'!C23+'CurrentPor-LH=60 unchanged'!G23)/100)+103/POWER(1+('CurrentPor-LH=60 unchanged'!D23+'CurrentPor-LH=60 unchanged'!G23)/100,2))*100</f>
        <v>9614.9673582483465</v>
      </c>
      <c r="D23">
        <f>(3/(1+('CurrentPor-LH=60 unchanged'!C23+'CurrentPor-LH=60 unchanged'!H23)/100)+103/POWER(1+('CurrentPor-LH=60 unchanged'!D23+'CurrentPor-LH=60 unchanged'!H23)/100,2))*100</f>
        <v>9601.2395558122898</v>
      </c>
      <c r="E23">
        <f>(3/(1+('CurrentPor-LH=60 unchanged'!C23+'CurrentPor-LH=60 unchanged'!I23)/100)+103/POWER(1+('CurrentPor-LH=60 unchanged'!D23+'CurrentPor-LH=60 unchanged'!I23)/100,2))*100</f>
        <v>9581.4547115644182</v>
      </c>
      <c r="F23">
        <f>Portfolio!B$5*'CurrentPor-LH=60 unchanged'!E23</f>
        <v>52143.895533915893</v>
      </c>
      <c r="G23">
        <f>Portfolio!B$6*'CurrentPor-LH=60 unchanged'!F23</f>
        <v>3696.2945087936532</v>
      </c>
      <c r="H23">
        <f>Portfolio!B$7*'CurrentPor-LH=60 unchanged'!J23</f>
        <v>2148.0998964419859</v>
      </c>
      <c r="I23">
        <f t="shared" si="0"/>
        <v>96493.537342205425</v>
      </c>
      <c r="J23">
        <f t="shared" si="1"/>
        <v>0</v>
      </c>
    </row>
    <row r="24" spans="1:10">
      <c r="A24" s="1">
        <v>45503</v>
      </c>
      <c r="B24">
        <f>(3/(1+('CurrentPor-LH=60 unchanged'!C24)/100)+103/POWER(1+('CurrentPor-LH=60 unchanged'!D24)/100,2))*100</f>
        <v>9707.5857774288397</v>
      </c>
      <c r="C24">
        <f>(3/(1+('CurrentPor-LH=60 unchanged'!C24+'CurrentPor-LH=60 unchanged'!G24)/100)+103/POWER(1+('CurrentPor-LH=60 unchanged'!D24+'CurrentPor-LH=60 unchanged'!G24)/100,2))*100</f>
        <v>9614.9673582483465</v>
      </c>
      <c r="D24">
        <f>(3/(1+('CurrentPor-LH=60 unchanged'!C24+'CurrentPor-LH=60 unchanged'!H24)/100)+103/POWER(1+('CurrentPor-LH=60 unchanged'!D24+'CurrentPor-LH=60 unchanged'!H24)/100,2))*100</f>
        <v>9601.2395558122898</v>
      </c>
      <c r="E24">
        <f>(3/(1+('CurrentPor-LH=60 unchanged'!C24+'CurrentPor-LH=60 unchanged'!I24)/100)+103/POWER(1+('CurrentPor-LH=60 unchanged'!D24+'CurrentPor-LH=60 unchanged'!I24)/100,2))*100</f>
        <v>9581.4547115644182</v>
      </c>
      <c r="F24">
        <f>Portfolio!B$5*'CurrentPor-LH=60 unchanged'!E24</f>
        <v>52143.895533915893</v>
      </c>
      <c r="G24">
        <f>Portfolio!B$6*'CurrentPor-LH=60 unchanged'!F24</f>
        <v>3696.2945087936532</v>
      </c>
      <c r="H24">
        <f>Portfolio!B$7*'CurrentPor-LH=60 unchanged'!J24</f>
        <v>2148.0998964419859</v>
      </c>
      <c r="I24">
        <f t="shared" si="0"/>
        <v>96493.537342205425</v>
      </c>
      <c r="J24">
        <f t="shared" si="1"/>
        <v>0</v>
      </c>
    </row>
    <row r="25" spans="1:10">
      <c r="A25" s="1">
        <v>45504</v>
      </c>
      <c r="B25">
        <f>(3/(1+('CurrentPor-LH=60 unchanged'!C25)/100)+103/POWER(1+('CurrentPor-LH=60 unchanged'!D25)/100,2))*100</f>
        <v>9707.5857774288397</v>
      </c>
      <c r="C25">
        <f>(3/(1+('CurrentPor-LH=60 unchanged'!C25+'CurrentPor-LH=60 unchanged'!G25)/100)+103/POWER(1+('CurrentPor-LH=60 unchanged'!D25+'CurrentPor-LH=60 unchanged'!G25)/100,2))*100</f>
        <v>9614.9673582483465</v>
      </c>
      <c r="D25">
        <f>(3/(1+('CurrentPor-LH=60 unchanged'!C25+'CurrentPor-LH=60 unchanged'!H25)/100)+103/POWER(1+('CurrentPor-LH=60 unchanged'!D25+'CurrentPor-LH=60 unchanged'!H25)/100,2))*100</f>
        <v>9601.2395558122898</v>
      </c>
      <c r="E25">
        <f>(3/(1+('CurrentPor-LH=60 unchanged'!C25+'CurrentPor-LH=60 unchanged'!I25)/100)+103/POWER(1+('CurrentPor-LH=60 unchanged'!D25+'CurrentPor-LH=60 unchanged'!I25)/100,2))*100</f>
        <v>9581.4547115644182</v>
      </c>
      <c r="F25">
        <f>Portfolio!B$5*'CurrentPor-LH=60 unchanged'!E25</f>
        <v>52143.895533915893</v>
      </c>
      <c r="G25">
        <f>Portfolio!B$6*'CurrentPor-LH=60 unchanged'!F25</f>
        <v>3696.2945087936532</v>
      </c>
      <c r="H25">
        <f>Portfolio!B$7*'CurrentPor-LH=60 unchanged'!J25</f>
        <v>2148.0998964419859</v>
      </c>
      <c r="I25">
        <f t="shared" si="0"/>
        <v>96493.537342205425</v>
      </c>
      <c r="J25">
        <f t="shared" si="1"/>
        <v>0</v>
      </c>
    </row>
    <row r="26" spans="1:10">
      <c r="A26" s="1">
        <v>45505</v>
      </c>
      <c r="B26">
        <f>(3/(1+('CurrentPor-LH=60 unchanged'!C26)/100)+103/POWER(1+('CurrentPor-LH=60 unchanged'!D26)/100,2))*100</f>
        <v>9707.5857774288397</v>
      </c>
      <c r="C26">
        <f>(3/(1+('CurrentPor-LH=60 unchanged'!C26+'CurrentPor-LH=60 unchanged'!G26)/100)+103/POWER(1+('CurrentPor-LH=60 unchanged'!D26+'CurrentPor-LH=60 unchanged'!G26)/100,2))*100</f>
        <v>9614.9673582483465</v>
      </c>
      <c r="D26">
        <f>(3/(1+('CurrentPor-LH=60 unchanged'!C26+'CurrentPor-LH=60 unchanged'!H26)/100)+103/POWER(1+('CurrentPor-LH=60 unchanged'!D26+'CurrentPor-LH=60 unchanged'!H26)/100,2))*100</f>
        <v>9601.2395558122898</v>
      </c>
      <c r="E26">
        <f>(3/(1+('CurrentPor-LH=60 unchanged'!C26+'CurrentPor-LH=60 unchanged'!I26)/100)+103/POWER(1+('CurrentPor-LH=60 unchanged'!D26+'CurrentPor-LH=60 unchanged'!I26)/100,2))*100</f>
        <v>9581.4547115644182</v>
      </c>
      <c r="F26">
        <f>Portfolio!B$5*'CurrentPor-LH=60 unchanged'!E26</f>
        <v>52143.895533915893</v>
      </c>
      <c r="G26">
        <f>Portfolio!B$6*'CurrentPor-LH=60 unchanged'!F26</f>
        <v>3696.2945087936532</v>
      </c>
      <c r="H26">
        <f>Portfolio!B$7*'CurrentPor-LH=60 unchanged'!J26</f>
        <v>2148.0998964419859</v>
      </c>
      <c r="I26">
        <f t="shared" si="0"/>
        <v>96493.537342205425</v>
      </c>
      <c r="J26">
        <f t="shared" si="1"/>
        <v>0</v>
      </c>
    </row>
    <row r="27" spans="1:10">
      <c r="A27" s="1">
        <v>45506</v>
      </c>
      <c r="B27">
        <f>(3/(1+('CurrentPor-LH=60 unchanged'!C27)/100)+103/POWER(1+('CurrentPor-LH=60 unchanged'!D27)/100,2))*100</f>
        <v>9707.5857774288397</v>
      </c>
      <c r="C27">
        <f>(3/(1+('CurrentPor-LH=60 unchanged'!C27+'CurrentPor-LH=60 unchanged'!G27)/100)+103/POWER(1+('CurrentPor-LH=60 unchanged'!D27+'CurrentPor-LH=60 unchanged'!G27)/100,2))*100</f>
        <v>9614.9673582483465</v>
      </c>
      <c r="D27">
        <f>(3/(1+('CurrentPor-LH=60 unchanged'!C27+'CurrentPor-LH=60 unchanged'!H27)/100)+103/POWER(1+('CurrentPor-LH=60 unchanged'!D27+'CurrentPor-LH=60 unchanged'!H27)/100,2))*100</f>
        <v>9601.2395558122898</v>
      </c>
      <c r="E27">
        <f>(3/(1+('CurrentPor-LH=60 unchanged'!C27+'CurrentPor-LH=60 unchanged'!I27)/100)+103/POWER(1+('CurrentPor-LH=60 unchanged'!D27+'CurrentPor-LH=60 unchanged'!I27)/100,2))*100</f>
        <v>9581.4547115644182</v>
      </c>
      <c r="F27">
        <f>Portfolio!B$5*'CurrentPor-LH=60 unchanged'!E27</f>
        <v>52143.895533915893</v>
      </c>
      <c r="G27">
        <f>Portfolio!B$6*'CurrentPor-LH=60 unchanged'!F27</f>
        <v>3696.2945087936532</v>
      </c>
      <c r="H27">
        <f>Portfolio!B$7*'CurrentPor-LH=60 unchanged'!J27</f>
        <v>2148.0998964419859</v>
      </c>
      <c r="I27">
        <f t="shared" si="0"/>
        <v>96493.537342205425</v>
      </c>
      <c r="J27">
        <f t="shared" si="1"/>
        <v>0</v>
      </c>
    </row>
    <row r="28" spans="1:10">
      <c r="A28" s="1">
        <v>45509</v>
      </c>
      <c r="B28">
        <f>(3/(1+('CurrentPor-LH=60 unchanged'!C28)/100)+103/POWER(1+('CurrentPor-LH=60 unchanged'!D28)/100,2))*100</f>
        <v>9707.5857774288397</v>
      </c>
      <c r="C28">
        <f>(3/(1+('CurrentPor-LH=60 unchanged'!C28+'CurrentPor-LH=60 unchanged'!G28)/100)+103/POWER(1+('CurrentPor-LH=60 unchanged'!D28+'CurrentPor-LH=60 unchanged'!G28)/100,2))*100</f>
        <v>9614.9673582483465</v>
      </c>
      <c r="D28">
        <f>(3/(1+('CurrentPor-LH=60 unchanged'!C28+'CurrentPor-LH=60 unchanged'!H28)/100)+103/POWER(1+('CurrentPor-LH=60 unchanged'!D28+'CurrentPor-LH=60 unchanged'!H28)/100,2))*100</f>
        <v>9601.2395558122898</v>
      </c>
      <c r="E28">
        <f>(3/(1+('CurrentPor-LH=60 unchanged'!C28+'CurrentPor-LH=60 unchanged'!I28)/100)+103/POWER(1+('CurrentPor-LH=60 unchanged'!D28+'CurrentPor-LH=60 unchanged'!I28)/100,2))*100</f>
        <v>9581.4547115644182</v>
      </c>
      <c r="F28">
        <f>Portfolio!B$5*'CurrentPor-LH=60 unchanged'!E28</f>
        <v>52143.895533915893</v>
      </c>
      <c r="G28">
        <f>Portfolio!B$6*'CurrentPor-LH=60 unchanged'!F28</f>
        <v>3696.2945087936532</v>
      </c>
      <c r="H28">
        <f>Portfolio!B$7*'CurrentPor-LH=60 unchanged'!J28</f>
        <v>2148.0998964419859</v>
      </c>
      <c r="I28">
        <f t="shared" si="0"/>
        <v>96493.537342205425</v>
      </c>
      <c r="J28">
        <f t="shared" si="1"/>
        <v>0</v>
      </c>
    </row>
    <row r="29" spans="1:10">
      <c r="A29" s="1">
        <v>45510</v>
      </c>
      <c r="B29">
        <f>(3/(1+('CurrentPor-LH=60 unchanged'!C29)/100)+103/POWER(1+('CurrentPor-LH=60 unchanged'!D29)/100,2))*100</f>
        <v>9707.5857774288397</v>
      </c>
      <c r="C29">
        <f>(3/(1+('CurrentPor-LH=60 unchanged'!C29+'CurrentPor-LH=60 unchanged'!G29)/100)+103/POWER(1+('CurrentPor-LH=60 unchanged'!D29+'CurrentPor-LH=60 unchanged'!G29)/100,2))*100</f>
        <v>9614.9673582483465</v>
      </c>
      <c r="D29">
        <f>(3/(1+('CurrentPor-LH=60 unchanged'!C29+'CurrentPor-LH=60 unchanged'!H29)/100)+103/POWER(1+('CurrentPor-LH=60 unchanged'!D29+'CurrentPor-LH=60 unchanged'!H29)/100,2))*100</f>
        <v>9601.2395558122898</v>
      </c>
      <c r="E29">
        <f>(3/(1+('CurrentPor-LH=60 unchanged'!C29+'CurrentPor-LH=60 unchanged'!I29)/100)+103/POWER(1+('CurrentPor-LH=60 unchanged'!D29+'CurrentPor-LH=60 unchanged'!I29)/100,2))*100</f>
        <v>9581.4547115644182</v>
      </c>
      <c r="F29">
        <f>Portfolio!B$5*'CurrentPor-LH=60 unchanged'!E29</f>
        <v>52143.895533915893</v>
      </c>
      <c r="G29">
        <f>Portfolio!B$6*'CurrentPor-LH=60 unchanged'!F29</f>
        <v>3696.2945087936532</v>
      </c>
      <c r="H29">
        <f>Portfolio!B$7*'CurrentPor-LH=60 unchanged'!J29</f>
        <v>2148.0998964419859</v>
      </c>
      <c r="I29">
        <f t="shared" si="0"/>
        <v>96493.537342205425</v>
      </c>
      <c r="J29">
        <f t="shared" si="1"/>
        <v>0</v>
      </c>
    </row>
    <row r="30" spans="1:10">
      <c r="A30" s="1">
        <v>45511</v>
      </c>
      <c r="B30">
        <f>(3/(1+('CurrentPor-LH=60 unchanged'!C30)/100)+103/POWER(1+('CurrentPor-LH=60 unchanged'!D30)/100,2))*100</f>
        <v>9707.5857774288397</v>
      </c>
      <c r="C30">
        <f>(3/(1+('CurrentPor-LH=60 unchanged'!C30+'CurrentPor-LH=60 unchanged'!G30)/100)+103/POWER(1+('CurrentPor-LH=60 unchanged'!D30+'CurrentPor-LH=60 unchanged'!G30)/100,2))*100</f>
        <v>9614.9673582483465</v>
      </c>
      <c r="D30">
        <f>(3/(1+('CurrentPor-LH=60 unchanged'!C30+'CurrentPor-LH=60 unchanged'!H30)/100)+103/POWER(1+('CurrentPor-LH=60 unchanged'!D30+'CurrentPor-LH=60 unchanged'!H30)/100,2))*100</f>
        <v>9601.2395558122898</v>
      </c>
      <c r="E30">
        <f>(3/(1+('CurrentPor-LH=60 unchanged'!C30+'CurrentPor-LH=60 unchanged'!I30)/100)+103/POWER(1+('CurrentPor-LH=60 unchanged'!D30+'CurrentPor-LH=60 unchanged'!I30)/100,2))*100</f>
        <v>9581.4547115644182</v>
      </c>
      <c r="F30">
        <f>Portfolio!B$5*'CurrentPor-LH=60 unchanged'!E30</f>
        <v>52143.895533915893</v>
      </c>
      <c r="G30">
        <f>Portfolio!B$6*'CurrentPor-LH=60 unchanged'!F30</f>
        <v>3696.2945087936532</v>
      </c>
      <c r="H30">
        <f>Portfolio!B$7*'CurrentPor-LH=60 unchanged'!J30</f>
        <v>2148.0998964419859</v>
      </c>
      <c r="I30">
        <f t="shared" si="0"/>
        <v>96493.537342205425</v>
      </c>
      <c r="J30">
        <f t="shared" si="1"/>
        <v>0</v>
      </c>
    </row>
    <row r="31" spans="1:10">
      <c r="A31" s="1">
        <v>45512</v>
      </c>
      <c r="B31">
        <f>(3/(1+('CurrentPor-LH=60 unchanged'!C31)/100)+103/POWER(1+('CurrentPor-LH=60 unchanged'!D31)/100,2))*100</f>
        <v>9707.5857774288397</v>
      </c>
      <c r="C31">
        <f>(3/(1+('CurrentPor-LH=60 unchanged'!C31+'CurrentPor-LH=60 unchanged'!G31)/100)+103/POWER(1+('CurrentPor-LH=60 unchanged'!D31+'CurrentPor-LH=60 unchanged'!G31)/100,2))*100</f>
        <v>9614.9673582483465</v>
      </c>
      <c r="D31">
        <f>(3/(1+('CurrentPor-LH=60 unchanged'!C31+'CurrentPor-LH=60 unchanged'!H31)/100)+103/POWER(1+('CurrentPor-LH=60 unchanged'!D31+'CurrentPor-LH=60 unchanged'!H31)/100,2))*100</f>
        <v>9601.2395558122898</v>
      </c>
      <c r="E31">
        <f>(3/(1+('CurrentPor-LH=60 unchanged'!C31+'CurrentPor-LH=60 unchanged'!I31)/100)+103/POWER(1+('CurrentPor-LH=60 unchanged'!D31+'CurrentPor-LH=60 unchanged'!I31)/100,2))*100</f>
        <v>9581.4547115644182</v>
      </c>
      <c r="F31">
        <f>Portfolio!B$5*'CurrentPor-LH=60 unchanged'!E31</f>
        <v>52143.895533915893</v>
      </c>
      <c r="G31">
        <f>Portfolio!B$6*'CurrentPor-LH=60 unchanged'!F31</f>
        <v>3696.2945087936532</v>
      </c>
      <c r="H31">
        <f>Portfolio!B$7*'CurrentPor-LH=60 unchanged'!J31</f>
        <v>2148.0998964419859</v>
      </c>
      <c r="I31">
        <f t="shared" si="0"/>
        <v>96493.537342205425</v>
      </c>
      <c r="J31">
        <f t="shared" si="1"/>
        <v>0</v>
      </c>
    </row>
    <row r="32" spans="1:10">
      <c r="A32" s="1">
        <v>45513</v>
      </c>
      <c r="B32">
        <f>(3/(1+('CurrentPor-LH=60 unchanged'!C32)/100)+103/POWER(1+('CurrentPor-LH=60 unchanged'!D32)/100,2))*100</f>
        <v>9707.5857774288397</v>
      </c>
      <c r="C32">
        <f>(3/(1+('CurrentPor-LH=60 unchanged'!C32+'CurrentPor-LH=60 unchanged'!G32)/100)+103/POWER(1+('CurrentPor-LH=60 unchanged'!D32+'CurrentPor-LH=60 unchanged'!G32)/100,2))*100</f>
        <v>9614.9673582483465</v>
      </c>
      <c r="D32">
        <f>(3/(1+('CurrentPor-LH=60 unchanged'!C32+'CurrentPor-LH=60 unchanged'!H32)/100)+103/POWER(1+('CurrentPor-LH=60 unchanged'!D32+'CurrentPor-LH=60 unchanged'!H32)/100,2))*100</f>
        <v>9601.2395558122898</v>
      </c>
      <c r="E32">
        <f>(3/(1+('CurrentPor-LH=60 unchanged'!C32+'CurrentPor-LH=60 unchanged'!I32)/100)+103/POWER(1+('CurrentPor-LH=60 unchanged'!D32+'CurrentPor-LH=60 unchanged'!I32)/100,2))*100</f>
        <v>9581.4547115644182</v>
      </c>
      <c r="F32">
        <f>Portfolio!B$5*'CurrentPor-LH=60 unchanged'!E32</f>
        <v>52143.895533915893</v>
      </c>
      <c r="G32">
        <f>Portfolio!B$6*'CurrentPor-LH=60 unchanged'!F32</f>
        <v>3696.2945087936532</v>
      </c>
      <c r="H32">
        <f>Portfolio!B$7*'CurrentPor-LH=60 unchanged'!J32</f>
        <v>2148.0998964419859</v>
      </c>
      <c r="I32">
        <f t="shared" si="0"/>
        <v>96493.537342205425</v>
      </c>
      <c r="J32">
        <f t="shared" si="1"/>
        <v>0</v>
      </c>
    </row>
    <row r="33" spans="1:10">
      <c r="A33" s="1">
        <v>45516</v>
      </c>
      <c r="B33">
        <f>(3/(1+('CurrentPor-LH=60 unchanged'!C33)/100)+103/POWER(1+('CurrentPor-LH=60 unchanged'!D33)/100,2))*100</f>
        <v>9707.5857774288397</v>
      </c>
      <c r="C33">
        <f>(3/(1+('CurrentPor-LH=60 unchanged'!C33+'CurrentPor-LH=60 unchanged'!G33)/100)+103/POWER(1+('CurrentPor-LH=60 unchanged'!D33+'CurrentPor-LH=60 unchanged'!G33)/100,2))*100</f>
        <v>9614.9673582483465</v>
      </c>
      <c r="D33">
        <f>(3/(1+('CurrentPor-LH=60 unchanged'!C33+'CurrentPor-LH=60 unchanged'!H33)/100)+103/POWER(1+('CurrentPor-LH=60 unchanged'!D33+'CurrentPor-LH=60 unchanged'!H33)/100,2))*100</f>
        <v>9601.2395558122898</v>
      </c>
      <c r="E33">
        <f>(3/(1+('CurrentPor-LH=60 unchanged'!C33+'CurrentPor-LH=60 unchanged'!I33)/100)+103/POWER(1+('CurrentPor-LH=60 unchanged'!D33+'CurrentPor-LH=60 unchanged'!I33)/100,2))*100</f>
        <v>9581.4547115644182</v>
      </c>
      <c r="F33">
        <f>Portfolio!B$5*'CurrentPor-LH=60 unchanged'!E33</f>
        <v>52143.895533915893</v>
      </c>
      <c r="G33">
        <f>Portfolio!B$6*'CurrentPor-LH=60 unchanged'!F33</f>
        <v>3696.2945087936532</v>
      </c>
      <c r="H33">
        <f>Portfolio!B$7*'CurrentPor-LH=60 unchanged'!J33</f>
        <v>2148.0998964419859</v>
      </c>
      <c r="I33">
        <f t="shared" si="0"/>
        <v>96493.537342205425</v>
      </c>
      <c r="J33">
        <f t="shared" si="1"/>
        <v>0</v>
      </c>
    </row>
    <row r="34" spans="1:10">
      <c r="A34" s="1">
        <v>45517</v>
      </c>
      <c r="B34">
        <f>(3/(1+('CurrentPor-LH=60 unchanged'!C34)/100)+103/POWER(1+('CurrentPor-LH=60 unchanged'!D34)/100,2))*100</f>
        <v>9707.5857774288397</v>
      </c>
      <c r="C34">
        <f>(3/(1+('CurrentPor-LH=60 unchanged'!C34+'CurrentPor-LH=60 unchanged'!G34)/100)+103/POWER(1+('CurrentPor-LH=60 unchanged'!D34+'CurrentPor-LH=60 unchanged'!G34)/100,2))*100</f>
        <v>9614.9673582483465</v>
      </c>
      <c r="D34">
        <f>(3/(1+('CurrentPor-LH=60 unchanged'!C34+'CurrentPor-LH=60 unchanged'!H34)/100)+103/POWER(1+('CurrentPor-LH=60 unchanged'!D34+'CurrentPor-LH=60 unchanged'!H34)/100,2))*100</f>
        <v>9601.2395558122898</v>
      </c>
      <c r="E34">
        <f>(3/(1+('CurrentPor-LH=60 unchanged'!C34+'CurrentPor-LH=60 unchanged'!I34)/100)+103/POWER(1+('CurrentPor-LH=60 unchanged'!D34+'CurrentPor-LH=60 unchanged'!I34)/100,2))*100</f>
        <v>9581.4547115644182</v>
      </c>
      <c r="F34">
        <f>Portfolio!B$5*'CurrentPor-LH=60 unchanged'!E34</f>
        <v>52143.895533915893</v>
      </c>
      <c r="G34">
        <f>Portfolio!B$6*'CurrentPor-LH=60 unchanged'!F34</f>
        <v>3696.2945087936532</v>
      </c>
      <c r="H34">
        <f>Portfolio!B$7*'CurrentPor-LH=60 unchanged'!J34</f>
        <v>2148.0998964419859</v>
      </c>
      <c r="I34">
        <f t="shared" si="0"/>
        <v>96493.537342205425</v>
      </c>
      <c r="J34">
        <f t="shared" si="1"/>
        <v>0</v>
      </c>
    </row>
    <row r="35" spans="1:10">
      <c r="A35" s="1">
        <v>45518</v>
      </c>
      <c r="B35">
        <f>(3/(1+('CurrentPor-LH=60 unchanged'!C35)/100)+103/POWER(1+('CurrentPor-LH=60 unchanged'!D35)/100,2))*100</f>
        <v>9707.5857774288397</v>
      </c>
      <c r="C35">
        <f>(3/(1+('CurrentPor-LH=60 unchanged'!C35+'CurrentPor-LH=60 unchanged'!G35)/100)+103/POWER(1+('CurrentPor-LH=60 unchanged'!D35+'CurrentPor-LH=60 unchanged'!G35)/100,2))*100</f>
        <v>9614.9673582483465</v>
      </c>
      <c r="D35">
        <f>(3/(1+('CurrentPor-LH=60 unchanged'!C35+'CurrentPor-LH=60 unchanged'!H35)/100)+103/POWER(1+('CurrentPor-LH=60 unchanged'!D35+'CurrentPor-LH=60 unchanged'!H35)/100,2))*100</f>
        <v>9601.2395558122898</v>
      </c>
      <c r="E35">
        <f>(3/(1+('CurrentPor-LH=60 unchanged'!C35+'CurrentPor-LH=60 unchanged'!I35)/100)+103/POWER(1+('CurrentPor-LH=60 unchanged'!D35+'CurrentPor-LH=60 unchanged'!I35)/100,2))*100</f>
        <v>9581.4547115644182</v>
      </c>
      <c r="F35">
        <f>Portfolio!B$5*'CurrentPor-LH=60 unchanged'!E35</f>
        <v>52143.895533915893</v>
      </c>
      <c r="G35">
        <f>Portfolio!B$6*'CurrentPor-LH=60 unchanged'!F35</f>
        <v>3696.2945087936532</v>
      </c>
      <c r="H35">
        <f>Portfolio!B$7*'CurrentPor-LH=60 unchanged'!J35</f>
        <v>2148.0998964419859</v>
      </c>
      <c r="I35">
        <f t="shared" si="0"/>
        <v>96493.537342205425</v>
      </c>
      <c r="J35">
        <f t="shared" si="1"/>
        <v>0</v>
      </c>
    </row>
    <row r="36" spans="1:10">
      <c r="A36" s="1">
        <v>45519</v>
      </c>
      <c r="B36">
        <f>(3/(1+('CurrentPor-LH=60 unchanged'!C36)/100)+103/POWER(1+('CurrentPor-LH=60 unchanged'!D36)/100,2))*100</f>
        <v>9707.5857774288397</v>
      </c>
      <c r="C36">
        <f>(3/(1+('CurrentPor-LH=60 unchanged'!C36+'CurrentPor-LH=60 unchanged'!G36)/100)+103/POWER(1+('CurrentPor-LH=60 unchanged'!D36+'CurrentPor-LH=60 unchanged'!G36)/100,2))*100</f>
        <v>9614.9673582483465</v>
      </c>
      <c r="D36">
        <f>(3/(1+('CurrentPor-LH=60 unchanged'!C36+'CurrentPor-LH=60 unchanged'!H36)/100)+103/POWER(1+('CurrentPor-LH=60 unchanged'!D36+'CurrentPor-LH=60 unchanged'!H36)/100,2))*100</f>
        <v>9601.2395558122898</v>
      </c>
      <c r="E36">
        <f>(3/(1+('CurrentPor-LH=60 unchanged'!C36+'CurrentPor-LH=60 unchanged'!I36)/100)+103/POWER(1+('CurrentPor-LH=60 unchanged'!D36+'CurrentPor-LH=60 unchanged'!I36)/100,2))*100</f>
        <v>9581.4547115644182</v>
      </c>
      <c r="F36">
        <f>Portfolio!B$5*'CurrentPor-LH=60 unchanged'!E36</f>
        <v>52143.895533915893</v>
      </c>
      <c r="G36">
        <f>Portfolio!B$6*'CurrentPor-LH=60 unchanged'!F36</f>
        <v>3696.2945087936532</v>
      </c>
      <c r="H36">
        <f>Portfolio!B$7*'CurrentPor-LH=60 unchanged'!J36</f>
        <v>2148.0998964419859</v>
      </c>
      <c r="I36">
        <f t="shared" si="0"/>
        <v>96493.537342205425</v>
      </c>
      <c r="J36">
        <f t="shared" si="1"/>
        <v>0</v>
      </c>
    </row>
    <row r="37" spans="1:10">
      <c r="A37" s="1">
        <v>45520</v>
      </c>
      <c r="B37">
        <f>(3/(1+('CurrentPor-LH=60 unchanged'!C37)/100)+103/POWER(1+('CurrentPor-LH=60 unchanged'!D37)/100,2))*100</f>
        <v>9707.5857774288397</v>
      </c>
      <c r="C37">
        <f>(3/(1+('CurrentPor-LH=60 unchanged'!C37+'CurrentPor-LH=60 unchanged'!G37)/100)+103/POWER(1+('CurrentPor-LH=60 unchanged'!D37+'CurrentPor-LH=60 unchanged'!G37)/100,2))*100</f>
        <v>9614.9673582483465</v>
      </c>
      <c r="D37">
        <f>(3/(1+('CurrentPor-LH=60 unchanged'!C37+'CurrentPor-LH=60 unchanged'!H37)/100)+103/POWER(1+('CurrentPor-LH=60 unchanged'!D37+'CurrentPor-LH=60 unchanged'!H37)/100,2))*100</f>
        <v>9601.2395558122898</v>
      </c>
      <c r="E37">
        <f>(3/(1+('CurrentPor-LH=60 unchanged'!C37+'CurrentPor-LH=60 unchanged'!I37)/100)+103/POWER(1+('CurrentPor-LH=60 unchanged'!D37+'CurrentPor-LH=60 unchanged'!I37)/100,2))*100</f>
        <v>9581.4547115644182</v>
      </c>
      <c r="F37">
        <f>Portfolio!B$5*'CurrentPor-LH=60 unchanged'!E37</f>
        <v>52143.895533915893</v>
      </c>
      <c r="G37">
        <f>Portfolio!B$6*'CurrentPor-LH=60 unchanged'!F37</f>
        <v>3696.2945087936532</v>
      </c>
      <c r="H37">
        <f>Portfolio!B$7*'CurrentPor-LH=60 unchanged'!J37</f>
        <v>2148.0998964419859</v>
      </c>
      <c r="I37">
        <f t="shared" si="0"/>
        <v>96493.537342205425</v>
      </c>
      <c r="J37">
        <f t="shared" si="1"/>
        <v>0</v>
      </c>
    </row>
    <row r="38" spans="1:10">
      <c r="A38" s="1">
        <v>45523</v>
      </c>
      <c r="B38">
        <f>(3/(1+('CurrentPor-LH=60 unchanged'!C38)/100)+103/POWER(1+('CurrentPor-LH=60 unchanged'!D38)/100,2))*100</f>
        <v>9707.5857774288397</v>
      </c>
      <c r="C38">
        <f>(3/(1+('CurrentPor-LH=60 unchanged'!C38+'CurrentPor-LH=60 unchanged'!G38)/100)+103/POWER(1+('CurrentPor-LH=60 unchanged'!D38+'CurrentPor-LH=60 unchanged'!G38)/100,2))*100</f>
        <v>9614.9673582483465</v>
      </c>
      <c r="D38">
        <f>(3/(1+('CurrentPor-LH=60 unchanged'!C38+'CurrentPor-LH=60 unchanged'!H38)/100)+103/POWER(1+('CurrentPor-LH=60 unchanged'!D38+'CurrentPor-LH=60 unchanged'!H38)/100,2))*100</f>
        <v>9601.2395558122898</v>
      </c>
      <c r="E38">
        <f>(3/(1+('CurrentPor-LH=60 unchanged'!C38+'CurrentPor-LH=60 unchanged'!I38)/100)+103/POWER(1+('CurrentPor-LH=60 unchanged'!D38+'CurrentPor-LH=60 unchanged'!I38)/100,2))*100</f>
        <v>9581.4547115644182</v>
      </c>
      <c r="F38">
        <f>Portfolio!B$5*'CurrentPor-LH=60 unchanged'!E38</f>
        <v>52143.895533915893</v>
      </c>
      <c r="G38">
        <f>Portfolio!B$6*'CurrentPor-LH=60 unchanged'!F38</f>
        <v>3696.2945087936532</v>
      </c>
      <c r="H38">
        <f>Portfolio!B$7*'CurrentPor-LH=60 unchanged'!J38</f>
        <v>2148.0998964419859</v>
      </c>
      <c r="I38">
        <f t="shared" si="0"/>
        <v>96493.537342205425</v>
      </c>
      <c r="J38">
        <f t="shared" si="1"/>
        <v>0</v>
      </c>
    </row>
    <row r="39" spans="1:10">
      <c r="A39" s="1">
        <v>45524</v>
      </c>
      <c r="B39">
        <f>(3/(1+('CurrentPor-LH=60 unchanged'!C39)/100)+103/POWER(1+('CurrentPor-LH=60 unchanged'!D39)/100,2))*100</f>
        <v>9707.5857774288397</v>
      </c>
      <c r="C39">
        <f>(3/(1+('CurrentPor-LH=60 unchanged'!C39+'CurrentPor-LH=60 unchanged'!G39)/100)+103/POWER(1+('CurrentPor-LH=60 unchanged'!D39+'CurrentPor-LH=60 unchanged'!G39)/100,2))*100</f>
        <v>9614.9673582483465</v>
      </c>
      <c r="D39">
        <f>(3/(1+('CurrentPor-LH=60 unchanged'!C39+'CurrentPor-LH=60 unchanged'!H39)/100)+103/POWER(1+('CurrentPor-LH=60 unchanged'!D39+'CurrentPor-LH=60 unchanged'!H39)/100,2))*100</f>
        <v>9601.2395558122898</v>
      </c>
      <c r="E39">
        <f>(3/(1+('CurrentPor-LH=60 unchanged'!C39+'CurrentPor-LH=60 unchanged'!I39)/100)+103/POWER(1+('CurrentPor-LH=60 unchanged'!D39+'CurrentPor-LH=60 unchanged'!I39)/100,2))*100</f>
        <v>9581.4547115644182</v>
      </c>
      <c r="F39">
        <f>Portfolio!B$5*'CurrentPor-LH=60 unchanged'!E39</f>
        <v>52143.895533915893</v>
      </c>
      <c r="G39">
        <f>Portfolio!B$6*'CurrentPor-LH=60 unchanged'!F39</f>
        <v>3696.2945087936532</v>
      </c>
      <c r="H39">
        <f>Portfolio!B$7*'CurrentPor-LH=60 unchanged'!J39</f>
        <v>2148.0998964419859</v>
      </c>
      <c r="I39">
        <f t="shared" si="0"/>
        <v>96493.537342205425</v>
      </c>
      <c r="J39">
        <f t="shared" si="1"/>
        <v>0</v>
      </c>
    </row>
    <row r="40" spans="1:10">
      <c r="A40" s="1">
        <v>45525</v>
      </c>
      <c r="B40">
        <f>(3/(1+('CurrentPor-LH=60 unchanged'!C40)/100)+103/POWER(1+('CurrentPor-LH=60 unchanged'!D40)/100,2))*100</f>
        <v>9707.5857774288397</v>
      </c>
      <c r="C40">
        <f>(3/(1+('CurrentPor-LH=60 unchanged'!C40+'CurrentPor-LH=60 unchanged'!G40)/100)+103/POWER(1+('CurrentPor-LH=60 unchanged'!D40+'CurrentPor-LH=60 unchanged'!G40)/100,2))*100</f>
        <v>9614.9673582483465</v>
      </c>
      <c r="D40">
        <f>(3/(1+('CurrentPor-LH=60 unchanged'!C40+'CurrentPor-LH=60 unchanged'!H40)/100)+103/POWER(1+('CurrentPor-LH=60 unchanged'!D40+'CurrentPor-LH=60 unchanged'!H40)/100,2))*100</f>
        <v>9601.2395558122898</v>
      </c>
      <c r="E40">
        <f>(3/(1+('CurrentPor-LH=60 unchanged'!C40+'CurrentPor-LH=60 unchanged'!I40)/100)+103/POWER(1+('CurrentPor-LH=60 unchanged'!D40+'CurrentPor-LH=60 unchanged'!I40)/100,2))*100</f>
        <v>9581.4547115644182</v>
      </c>
      <c r="F40">
        <f>Portfolio!B$5*'CurrentPor-LH=60 unchanged'!E40</f>
        <v>52143.895533915893</v>
      </c>
      <c r="G40">
        <f>Portfolio!B$6*'CurrentPor-LH=60 unchanged'!F40</f>
        <v>3696.2945087936532</v>
      </c>
      <c r="H40">
        <f>Portfolio!B$7*'CurrentPor-LH=60 unchanged'!J40</f>
        <v>2148.0998964419859</v>
      </c>
      <c r="I40">
        <f t="shared" si="0"/>
        <v>96493.537342205425</v>
      </c>
      <c r="J40">
        <f t="shared" si="1"/>
        <v>0</v>
      </c>
    </row>
    <row r="41" spans="1:10">
      <c r="A41" s="1">
        <v>45526</v>
      </c>
      <c r="B41">
        <f>(3/(1+('CurrentPor-LH=60 unchanged'!C41)/100)+103/POWER(1+('CurrentPor-LH=60 unchanged'!D41)/100,2))*100</f>
        <v>9707.5857774288397</v>
      </c>
      <c r="C41">
        <f>(3/(1+('CurrentPor-LH=60 unchanged'!C41+'CurrentPor-LH=60 unchanged'!G41)/100)+103/POWER(1+('CurrentPor-LH=60 unchanged'!D41+'CurrentPor-LH=60 unchanged'!G41)/100,2))*100</f>
        <v>9614.9673582483465</v>
      </c>
      <c r="D41">
        <f>(3/(1+('CurrentPor-LH=60 unchanged'!C41+'CurrentPor-LH=60 unchanged'!H41)/100)+103/POWER(1+('CurrentPor-LH=60 unchanged'!D41+'CurrentPor-LH=60 unchanged'!H41)/100,2))*100</f>
        <v>9601.2395558122898</v>
      </c>
      <c r="E41">
        <f>(3/(1+('CurrentPor-LH=60 unchanged'!C41+'CurrentPor-LH=60 unchanged'!I41)/100)+103/POWER(1+('CurrentPor-LH=60 unchanged'!D41+'CurrentPor-LH=60 unchanged'!I41)/100,2))*100</f>
        <v>9581.4547115644182</v>
      </c>
      <c r="F41">
        <f>Portfolio!B$5*'CurrentPor-LH=60 unchanged'!E41</f>
        <v>52143.895533915893</v>
      </c>
      <c r="G41">
        <f>Portfolio!B$6*'CurrentPor-LH=60 unchanged'!F41</f>
        <v>3696.2945087936532</v>
      </c>
      <c r="H41">
        <f>Portfolio!B$7*'CurrentPor-LH=60 unchanged'!J41</f>
        <v>2148.0998964419859</v>
      </c>
      <c r="I41">
        <f t="shared" si="0"/>
        <v>96493.537342205425</v>
      </c>
      <c r="J41">
        <f t="shared" si="1"/>
        <v>0</v>
      </c>
    </row>
    <row r="42" spans="1:10">
      <c r="A42" s="1">
        <v>45527</v>
      </c>
      <c r="B42">
        <f>(3/(1+('CurrentPor-LH=60 unchanged'!C42)/100)+103/POWER(1+('CurrentPor-LH=60 unchanged'!D42)/100,2))*100</f>
        <v>9707.5857774288397</v>
      </c>
      <c r="C42">
        <f>(3/(1+('CurrentPor-LH=60 unchanged'!C42+'CurrentPor-LH=60 unchanged'!G42)/100)+103/POWER(1+('CurrentPor-LH=60 unchanged'!D42+'CurrentPor-LH=60 unchanged'!G42)/100,2))*100</f>
        <v>9614.9673582483465</v>
      </c>
      <c r="D42">
        <f>(3/(1+('CurrentPor-LH=60 unchanged'!C42+'CurrentPor-LH=60 unchanged'!H42)/100)+103/POWER(1+('CurrentPor-LH=60 unchanged'!D42+'CurrentPor-LH=60 unchanged'!H42)/100,2))*100</f>
        <v>9601.2395558122898</v>
      </c>
      <c r="E42">
        <f>(3/(1+('CurrentPor-LH=60 unchanged'!C42+'CurrentPor-LH=60 unchanged'!I42)/100)+103/POWER(1+('CurrentPor-LH=60 unchanged'!D42+'CurrentPor-LH=60 unchanged'!I42)/100,2))*100</f>
        <v>9581.4547115644182</v>
      </c>
      <c r="F42">
        <f>Portfolio!B$5*'CurrentPor-LH=60 unchanged'!E42</f>
        <v>52143.895533915893</v>
      </c>
      <c r="G42">
        <f>Portfolio!B$6*'CurrentPor-LH=60 unchanged'!F42</f>
        <v>3696.2945087936532</v>
      </c>
      <c r="H42">
        <f>Portfolio!B$7*'CurrentPor-LH=60 unchanged'!J42</f>
        <v>2148.0998964419859</v>
      </c>
      <c r="I42">
        <f t="shared" si="0"/>
        <v>96493.537342205425</v>
      </c>
      <c r="J42">
        <f t="shared" si="1"/>
        <v>0</v>
      </c>
    </row>
    <row r="43" spans="1:10">
      <c r="A43" s="1">
        <v>45530</v>
      </c>
      <c r="B43">
        <f>(3/(1+('CurrentPor-LH=60 unchanged'!C43)/100)+103/POWER(1+('CurrentPor-LH=60 unchanged'!D43)/100,2))*100</f>
        <v>9707.5857774288397</v>
      </c>
      <c r="C43">
        <f>(3/(1+('CurrentPor-LH=60 unchanged'!C43+'CurrentPor-LH=60 unchanged'!G43)/100)+103/POWER(1+('CurrentPor-LH=60 unchanged'!D43+'CurrentPor-LH=60 unchanged'!G43)/100,2))*100</f>
        <v>9614.9673582483465</v>
      </c>
      <c r="D43">
        <f>(3/(1+('CurrentPor-LH=60 unchanged'!C43+'CurrentPor-LH=60 unchanged'!H43)/100)+103/POWER(1+('CurrentPor-LH=60 unchanged'!D43+'CurrentPor-LH=60 unchanged'!H43)/100,2))*100</f>
        <v>9601.2395558122898</v>
      </c>
      <c r="E43">
        <f>(3/(1+('CurrentPor-LH=60 unchanged'!C43+'CurrentPor-LH=60 unchanged'!I43)/100)+103/POWER(1+('CurrentPor-LH=60 unchanged'!D43+'CurrentPor-LH=60 unchanged'!I43)/100,2))*100</f>
        <v>9581.4547115644182</v>
      </c>
      <c r="F43">
        <f>Portfolio!B$5*'CurrentPor-LH=60 unchanged'!E43</f>
        <v>52143.895533915893</v>
      </c>
      <c r="G43">
        <f>Portfolio!B$6*'CurrentPor-LH=60 unchanged'!F43</f>
        <v>3696.2945087936532</v>
      </c>
      <c r="H43">
        <f>Portfolio!B$7*'CurrentPor-LH=60 unchanged'!J43</f>
        <v>2148.0998964419859</v>
      </c>
      <c r="I43">
        <f t="shared" si="0"/>
        <v>96493.537342205425</v>
      </c>
      <c r="J43">
        <f t="shared" si="1"/>
        <v>0</v>
      </c>
    </row>
    <row r="44" spans="1:10">
      <c r="A44" s="1">
        <v>45531</v>
      </c>
      <c r="B44">
        <f>(3/(1+('CurrentPor-LH=60 unchanged'!C44)/100)+103/POWER(1+('CurrentPor-LH=60 unchanged'!D44)/100,2))*100</f>
        <v>9707.5857774288397</v>
      </c>
      <c r="C44">
        <f>(3/(1+('CurrentPor-LH=60 unchanged'!C44+'CurrentPor-LH=60 unchanged'!G44)/100)+103/POWER(1+('CurrentPor-LH=60 unchanged'!D44+'CurrentPor-LH=60 unchanged'!G44)/100,2))*100</f>
        <v>9614.9673582483465</v>
      </c>
      <c r="D44">
        <f>(3/(1+('CurrentPor-LH=60 unchanged'!C44+'CurrentPor-LH=60 unchanged'!H44)/100)+103/POWER(1+('CurrentPor-LH=60 unchanged'!D44+'CurrentPor-LH=60 unchanged'!H44)/100,2))*100</f>
        <v>9601.2395558122898</v>
      </c>
      <c r="E44">
        <f>(3/(1+('CurrentPor-LH=60 unchanged'!C44+'CurrentPor-LH=60 unchanged'!I44)/100)+103/POWER(1+('CurrentPor-LH=60 unchanged'!D44+'CurrentPor-LH=60 unchanged'!I44)/100,2))*100</f>
        <v>9581.4547115644182</v>
      </c>
      <c r="F44">
        <f>Portfolio!B$5*'CurrentPor-LH=60 unchanged'!E44</f>
        <v>52143.895533915893</v>
      </c>
      <c r="G44">
        <f>Portfolio!B$6*'CurrentPor-LH=60 unchanged'!F44</f>
        <v>3696.2945087936532</v>
      </c>
      <c r="H44">
        <f>Portfolio!B$7*'CurrentPor-LH=60 unchanged'!J44</f>
        <v>2148.0998964419859</v>
      </c>
      <c r="I44">
        <f t="shared" si="0"/>
        <v>96493.537342205425</v>
      </c>
      <c r="J44">
        <f t="shared" si="1"/>
        <v>0</v>
      </c>
    </row>
    <row r="45" spans="1:10">
      <c r="A45" s="1">
        <v>45532</v>
      </c>
      <c r="B45">
        <f>(3/(1+('CurrentPor-LH=60 unchanged'!C45)/100)+103/POWER(1+('CurrentPor-LH=60 unchanged'!D45)/100,2))*100</f>
        <v>9707.5857774288397</v>
      </c>
      <c r="C45">
        <f>(3/(1+('CurrentPor-LH=60 unchanged'!C45+'CurrentPor-LH=60 unchanged'!G45)/100)+103/POWER(1+('CurrentPor-LH=60 unchanged'!D45+'CurrentPor-LH=60 unchanged'!G45)/100,2))*100</f>
        <v>9614.9673582483465</v>
      </c>
      <c r="D45">
        <f>(3/(1+('CurrentPor-LH=60 unchanged'!C45+'CurrentPor-LH=60 unchanged'!H45)/100)+103/POWER(1+('CurrentPor-LH=60 unchanged'!D45+'CurrentPor-LH=60 unchanged'!H45)/100,2))*100</f>
        <v>9601.2395558122898</v>
      </c>
      <c r="E45">
        <f>(3/(1+('CurrentPor-LH=60 unchanged'!C45+'CurrentPor-LH=60 unchanged'!I45)/100)+103/POWER(1+('CurrentPor-LH=60 unchanged'!D45+'CurrentPor-LH=60 unchanged'!I45)/100,2))*100</f>
        <v>9581.4547115644182</v>
      </c>
      <c r="F45">
        <f>Portfolio!B$5*'CurrentPor-LH=60 unchanged'!E45</f>
        <v>52143.895533915893</v>
      </c>
      <c r="G45">
        <f>Portfolio!B$6*'CurrentPor-LH=60 unchanged'!F45</f>
        <v>3696.2945087936532</v>
      </c>
      <c r="H45">
        <f>Portfolio!B$7*'CurrentPor-LH=60 unchanged'!J45</f>
        <v>2148.0998964419859</v>
      </c>
      <c r="I45">
        <f t="shared" si="0"/>
        <v>96493.537342205425</v>
      </c>
      <c r="J45">
        <f t="shared" si="1"/>
        <v>0</v>
      </c>
    </row>
    <row r="46" spans="1:10">
      <c r="A46" s="1">
        <v>45533</v>
      </c>
      <c r="B46">
        <f>(3/(1+('CurrentPor-LH=60 unchanged'!C46)/100)+103/POWER(1+('CurrentPor-LH=60 unchanged'!D46)/100,2))*100</f>
        <v>9707.5857774288397</v>
      </c>
      <c r="C46">
        <f>(3/(1+('CurrentPor-LH=60 unchanged'!C46+'CurrentPor-LH=60 unchanged'!G46)/100)+103/POWER(1+('CurrentPor-LH=60 unchanged'!D46+'CurrentPor-LH=60 unchanged'!G46)/100,2))*100</f>
        <v>9614.9673582483465</v>
      </c>
      <c r="D46">
        <f>(3/(1+('CurrentPor-LH=60 unchanged'!C46+'CurrentPor-LH=60 unchanged'!H46)/100)+103/POWER(1+('CurrentPor-LH=60 unchanged'!D46+'CurrentPor-LH=60 unchanged'!H46)/100,2))*100</f>
        <v>9601.2395558122898</v>
      </c>
      <c r="E46">
        <f>(3/(1+('CurrentPor-LH=60 unchanged'!C46+'CurrentPor-LH=60 unchanged'!I46)/100)+103/POWER(1+('CurrentPor-LH=60 unchanged'!D46+'CurrentPor-LH=60 unchanged'!I46)/100,2))*100</f>
        <v>9581.4547115644182</v>
      </c>
      <c r="F46">
        <f>Portfolio!B$5*'CurrentPor-LH=60 unchanged'!E46</f>
        <v>52143.895533915893</v>
      </c>
      <c r="G46">
        <f>Portfolio!B$6*'CurrentPor-LH=60 unchanged'!F46</f>
        <v>3696.2945087936532</v>
      </c>
      <c r="H46">
        <f>Portfolio!B$7*'CurrentPor-LH=60 unchanged'!J46</f>
        <v>2148.0998964419859</v>
      </c>
      <c r="I46">
        <f t="shared" si="0"/>
        <v>96493.537342205425</v>
      </c>
      <c r="J46">
        <f t="shared" si="1"/>
        <v>0</v>
      </c>
    </row>
    <row r="47" spans="1:10">
      <c r="A47" s="1">
        <v>45534</v>
      </c>
      <c r="B47">
        <f>(3/(1+('CurrentPor-LH=60 unchanged'!C47)/100)+103/POWER(1+('CurrentPor-LH=60 unchanged'!D47)/100,2))*100</f>
        <v>9707.5857774288397</v>
      </c>
      <c r="C47">
        <f>(3/(1+('CurrentPor-LH=60 unchanged'!C47+'CurrentPor-LH=60 unchanged'!G47)/100)+103/POWER(1+('CurrentPor-LH=60 unchanged'!D47+'CurrentPor-LH=60 unchanged'!G47)/100,2))*100</f>
        <v>9614.9673582483465</v>
      </c>
      <c r="D47">
        <f>(3/(1+('CurrentPor-LH=60 unchanged'!C47+'CurrentPor-LH=60 unchanged'!H47)/100)+103/POWER(1+('CurrentPor-LH=60 unchanged'!D47+'CurrentPor-LH=60 unchanged'!H47)/100,2))*100</f>
        <v>9601.2395558122898</v>
      </c>
      <c r="E47">
        <f>(3/(1+('CurrentPor-LH=60 unchanged'!C47+'CurrentPor-LH=60 unchanged'!I47)/100)+103/POWER(1+('CurrentPor-LH=60 unchanged'!D47+'CurrentPor-LH=60 unchanged'!I47)/100,2))*100</f>
        <v>9581.4547115644182</v>
      </c>
      <c r="F47">
        <f>Portfolio!B$5*'CurrentPor-LH=60 unchanged'!E47</f>
        <v>52143.895533915893</v>
      </c>
      <c r="G47">
        <f>Portfolio!B$6*'CurrentPor-LH=60 unchanged'!F47</f>
        <v>3696.2945087936532</v>
      </c>
      <c r="H47">
        <f>Portfolio!B$7*'CurrentPor-LH=60 unchanged'!J47</f>
        <v>2148.0998964419859</v>
      </c>
      <c r="I47">
        <f t="shared" si="0"/>
        <v>96493.537342205425</v>
      </c>
      <c r="J47">
        <f t="shared" si="1"/>
        <v>0</v>
      </c>
    </row>
    <row r="48" spans="1:10">
      <c r="A48" s="1">
        <v>45537</v>
      </c>
      <c r="B48">
        <f>(3/(1+('CurrentPor-LH=60 unchanged'!C48)/100)+103/POWER(1+('CurrentPor-LH=60 unchanged'!D48)/100,2))*100</f>
        <v>9707.5857774288397</v>
      </c>
      <c r="C48">
        <f>(3/(1+('CurrentPor-LH=60 unchanged'!C48+'CurrentPor-LH=60 unchanged'!G48)/100)+103/POWER(1+('CurrentPor-LH=60 unchanged'!D48+'CurrentPor-LH=60 unchanged'!G48)/100,2))*100</f>
        <v>9614.9673582483465</v>
      </c>
      <c r="D48">
        <f>(3/(1+('CurrentPor-LH=60 unchanged'!C48+'CurrentPor-LH=60 unchanged'!H48)/100)+103/POWER(1+('CurrentPor-LH=60 unchanged'!D48+'CurrentPor-LH=60 unchanged'!H48)/100,2))*100</f>
        <v>9601.2395558122898</v>
      </c>
      <c r="E48">
        <f>(3/(1+('CurrentPor-LH=60 unchanged'!C48+'CurrentPor-LH=60 unchanged'!I48)/100)+103/POWER(1+('CurrentPor-LH=60 unchanged'!D48+'CurrentPor-LH=60 unchanged'!I48)/100,2))*100</f>
        <v>9581.4547115644182</v>
      </c>
      <c r="F48">
        <f>Portfolio!B$5*'CurrentPor-LH=60 unchanged'!E48</f>
        <v>52143.895533915893</v>
      </c>
      <c r="G48">
        <f>Portfolio!B$6*'CurrentPor-LH=60 unchanged'!F48</f>
        <v>3696.2945087936532</v>
      </c>
      <c r="H48">
        <f>Portfolio!B$7*'CurrentPor-LH=60 unchanged'!J48</f>
        <v>2148.0998964419859</v>
      </c>
      <c r="I48">
        <f t="shared" si="0"/>
        <v>96493.537342205425</v>
      </c>
      <c r="J48">
        <f t="shared" si="1"/>
        <v>0</v>
      </c>
    </row>
    <row r="49" spans="1:10">
      <c r="A49" s="1">
        <v>45538</v>
      </c>
      <c r="B49">
        <f>(3/(1+('CurrentPor-LH=60 unchanged'!C49)/100)+103/POWER(1+('CurrentPor-LH=60 unchanged'!D49)/100,2))*100</f>
        <v>9707.5857774288397</v>
      </c>
      <c r="C49">
        <f>(3/(1+('CurrentPor-LH=60 unchanged'!C49+'CurrentPor-LH=60 unchanged'!G49)/100)+103/POWER(1+('CurrentPor-LH=60 unchanged'!D49+'CurrentPor-LH=60 unchanged'!G49)/100,2))*100</f>
        <v>9614.9673582483465</v>
      </c>
      <c r="D49">
        <f>(3/(1+('CurrentPor-LH=60 unchanged'!C49+'CurrentPor-LH=60 unchanged'!H49)/100)+103/POWER(1+('CurrentPor-LH=60 unchanged'!D49+'CurrentPor-LH=60 unchanged'!H49)/100,2))*100</f>
        <v>9601.2395558122898</v>
      </c>
      <c r="E49">
        <f>(3/(1+('CurrentPor-LH=60 unchanged'!C49+'CurrentPor-LH=60 unchanged'!I49)/100)+103/POWER(1+('CurrentPor-LH=60 unchanged'!D49+'CurrentPor-LH=60 unchanged'!I49)/100,2))*100</f>
        <v>9581.4547115644182</v>
      </c>
      <c r="F49">
        <f>Portfolio!B$5*'CurrentPor-LH=60 unchanged'!E49</f>
        <v>52143.895533915893</v>
      </c>
      <c r="G49">
        <f>Portfolio!B$6*'CurrentPor-LH=60 unchanged'!F49</f>
        <v>3696.2945087936532</v>
      </c>
      <c r="H49">
        <f>Portfolio!B$7*'CurrentPor-LH=60 unchanged'!J49</f>
        <v>2148.0998964419859</v>
      </c>
      <c r="I49">
        <f t="shared" si="0"/>
        <v>96493.537342205425</v>
      </c>
      <c r="J49">
        <f t="shared" si="1"/>
        <v>0</v>
      </c>
    </row>
    <row r="50" spans="1:10">
      <c r="A50" s="1">
        <v>45539</v>
      </c>
      <c r="B50">
        <f>(3/(1+('CurrentPor-LH=60 unchanged'!C50)/100)+103/POWER(1+('CurrentPor-LH=60 unchanged'!D50)/100,2))*100</f>
        <v>9707.5857774288397</v>
      </c>
      <c r="C50">
        <f>(3/(1+('CurrentPor-LH=60 unchanged'!C50+'CurrentPor-LH=60 unchanged'!G50)/100)+103/POWER(1+('CurrentPor-LH=60 unchanged'!D50+'CurrentPor-LH=60 unchanged'!G50)/100,2))*100</f>
        <v>9614.9673582483465</v>
      </c>
      <c r="D50">
        <f>(3/(1+('CurrentPor-LH=60 unchanged'!C50+'CurrentPor-LH=60 unchanged'!H50)/100)+103/POWER(1+('CurrentPor-LH=60 unchanged'!D50+'CurrentPor-LH=60 unchanged'!H50)/100,2))*100</f>
        <v>9601.2395558122898</v>
      </c>
      <c r="E50">
        <f>(3/(1+('CurrentPor-LH=60 unchanged'!C50+'CurrentPor-LH=60 unchanged'!I50)/100)+103/POWER(1+('CurrentPor-LH=60 unchanged'!D50+'CurrentPor-LH=60 unchanged'!I50)/100,2))*100</f>
        <v>9581.4547115644182</v>
      </c>
      <c r="F50">
        <f>Portfolio!B$5*'CurrentPor-LH=60 unchanged'!E50</f>
        <v>52143.895533915893</v>
      </c>
      <c r="G50">
        <f>Portfolio!B$6*'CurrentPor-LH=60 unchanged'!F50</f>
        <v>3696.2945087936532</v>
      </c>
      <c r="H50">
        <f>Portfolio!B$7*'CurrentPor-LH=60 unchanged'!J50</f>
        <v>2148.0998964419859</v>
      </c>
      <c r="I50">
        <f t="shared" si="0"/>
        <v>96493.537342205425</v>
      </c>
      <c r="J50">
        <f t="shared" si="1"/>
        <v>0</v>
      </c>
    </row>
    <row r="51" spans="1:10">
      <c r="A51" s="1">
        <v>45540</v>
      </c>
      <c r="B51">
        <f>(3/(1+('CurrentPor-LH=60 unchanged'!C51)/100)+103/POWER(1+('CurrentPor-LH=60 unchanged'!D51)/100,2))*100</f>
        <v>9707.5857774288397</v>
      </c>
      <c r="C51">
        <f>(3/(1+('CurrentPor-LH=60 unchanged'!C51+'CurrentPor-LH=60 unchanged'!G51)/100)+103/POWER(1+('CurrentPor-LH=60 unchanged'!D51+'CurrentPor-LH=60 unchanged'!G51)/100,2))*100</f>
        <v>9614.9673582483465</v>
      </c>
      <c r="D51">
        <f>(3/(1+('CurrentPor-LH=60 unchanged'!C51+'CurrentPor-LH=60 unchanged'!H51)/100)+103/POWER(1+('CurrentPor-LH=60 unchanged'!D51+'CurrentPor-LH=60 unchanged'!H51)/100,2))*100</f>
        <v>9601.2395558122898</v>
      </c>
      <c r="E51">
        <f>(3/(1+('CurrentPor-LH=60 unchanged'!C51+'CurrentPor-LH=60 unchanged'!I51)/100)+103/POWER(1+('CurrentPor-LH=60 unchanged'!D51+'CurrentPor-LH=60 unchanged'!I51)/100,2))*100</f>
        <v>9581.4547115644182</v>
      </c>
      <c r="F51">
        <f>Portfolio!B$5*'CurrentPor-LH=60 unchanged'!E51</f>
        <v>52143.895533915893</v>
      </c>
      <c r="G51">
        <f>Portfolio!B$6*'CurrentPor-LH=60 unchanged'!F51</f>
        <v>3696.2945087936532</v>
      </c>
      <c r="H51">
        <f>Portfolio!B$7*'CurrentPor-LH=60 unchanged'!J51</f>
        <v>2148.0998964419859</v>
      </c>
      <c r="I51">
        <f t="shared" si="0"/>
        <v>96493.537342205425</v>
      </c>
      <c r="J51">
        <f t="shared" si="1"/>
        <v>0</v>
      </c>
    </row>
    <row r="52" spans="1:10">
      <c r="A52" s="1">
        <v>45541</v>
      </c>
      <c r="B52">
        <f>(3/(1+('CurrentPor-LH=60 unchanged'!C52)/100)+103/POWER(1+('CurrentPor-LH=60 unchanged'!D52)/100,2))*100</f>
        <v>9707.5857774288397</v>
      </c>
      <c r="C52">
        <f>(3/(1+('CurrentPor-LH=60 unchanged'!C52+'CurrentPor-LH=60 unchanged'!G52)/100)+103/POWER(1+('CurrentPor-LH=60 unchanged'!D52+'CurrentPor-LH=60 unchanged'!G52)/100,2))*100</f>
        <v>9614.9673582483465</v>
      </c>
      <c r="D52">
        <f>(3/(1+('CurrentPor-LH=60 unchanged'!C52+'CurrentPor-LH=60 unchanged'!H52)/100)+103/POWER(1+('CurrentPor-LH=60 unchanged'!D52+'CurrentPor-LH=60 unchanged'!H52)/100,2))*100</f>
        <v>9601.2395558122898</v>
      </c>
      <c r="E52">
        <f>(3/(1+('CurrentPor-LH=60 unchanged'!C52+'CurrentPor-LH=60 unchanged'!I52)/100)+103/POWER(1+('CurrentPor-LH=60 unchanged'!D52+'CurrentPor-LH=60 unchanged'!I52)/100,2))*100</f>
        <v>9581.4547115644182</v>
      </c>
      <c r="F52">
        <f>Portfolio!B$5*'CurrentPor-LH=60 unchanged'!E52</f>
        <v>52143.895533915893</v>
      </c>
      <c r="G52">
        <f>Portfolio!B$6*'CurrentPor-LH=60 unchanged'!F52</f>
        <v>3696.2945087936532</v>
      </c>
      <c r="H52">
        <f>Portfolio!B$7*'CurrentPor-LH=60 unchanged'!J52</f>
        <v>2148.0998964419859</v>
      </c>
      <c r="I52">
        <f t="shared" si="0"/>
        <v>96493.537342205425</v>
      </c>
      <c r="J52">
        <f t="shared" si="1"/>
        <v>0</v>
      </c>
    </row>
    <row r="53" spans="1:10">
      <c r="A53" s="1">
        <v>45544</v>
      </c>
      <c r="B53">
        <f>(3/(1+('CurrentPor-LH=60 unchanged'!C53)/100)+103/POWER(1+('CurrentPor-LH=60 unchanged'!D53)/100,2))*100</f>
        <v>9707.5857774288397</v>
      </c>
      <c r="C53">
        <f>(3/(1+('CurrentPor-LH=60 unchanged'!C53+'CurrentPor-LH=60 unchanged'!G53)/100)+103/POWER(1+('CurrentPor-LH=60 unchanged'!D53+'CurrentPor-LH=60 unchanged'!G53)/100,2))*100</f>
        <v>9614.9673582483465</v>
      </c>
      <c r="D53">
        <f>(3/(1+('CurrentPor-LH=60 unchanged'!C53+'CurrentPor-LH=60 unchanged'!H53)/100)+103/POWER(1+('CurrentPor-LH=60 unchanged'!D53+'CurrentPor-LH=60 unchanged'!H53)/100,2))*100</f>
        <v>9601.2395558122898</v>
      </c>
      <c r="E53">
        <f>(3/(1+('CurrentPor-LH=60 unchanged'!C53+'CurrentPor-LH=60 unchanged'!I53)/100)+103/POWER(1+('CurrentPor-LH=60 unchanged'!D53+'CurrentPor-LH=60 unchanged'!I53)/100,2))*100</f>
        <v>9581.4547115644182</v>
      </c>
      <c r="F53">
        <f>Portfolio!B$5*'CurrentPor-LH=60 unchanged'!E53</f>
        <v>52143.895533915893</v>
      </c>
      <c r="G53">
        <f>Portfolio!B$6*'CurrentPor-LH=60 unchanged'!F53</f>
        <v>3696.2945087936532</v>
      </c>
      <c r="H53">
        <f>Portfolio!B$7*'CurrentPor-LH=60 unchanged'!J53</f>
        <v>2148.0998964419859</v>
      </c>
      <c r="I53">
        <f t="shared" si="0"/>
        <v>96493.537342205425</v>
      </c>
      <c r="J53">
        <f t="shared" si="1"/>
        <v>0</v>
      </c>
    </row>
    <row r="54" spans="1:10">
      <c r="A54" s="1">
        <v>45545</v>
      </c>
      <c r="B54">
        <f>(3/(1+('CurrentPor-LH=60 unchanged'!C54)/100)+103/POWER(1+('CurrentPor-LH=60 unchanged'!D54)/100,2))*100</f>
        <v>9707.5857774288397</v>
      </c>
      <c r="C54">
        <f>(3/(1+('CurrentPor-LH=60 unchanged'!C54+'CurrentPor-LH=60 unchanged'!G54)/100)+103/POWER(1+('CurrentPor-LH=60 unchanged'!D54+'CurrentPor-LH=60 unchanged'!G54)/100,2))*100</f>
        <v>9614.9673582483465</v>
      </c>
      <c r="D54">
        <f>(3/(1+('CurrentPor-LH=60 unchanged'!C54+'CurrentPor-LH=60 unchanged'!H54)/100)+103/POWER(1+('CurrentPor-LH=60 unchanged'!D54+'CurrentPor-LH=60 unchanged'!H54)/100,2))*100</f>
        <v>9601.2395558122898</v>
      </c>
      <c r="E54">
        <f>(3/(1+('CurrentPor-LH=60 unchanged'!C54+'CurrentPor-LH=60 unchanged'!I54)/100)+103/POWER(1+('CurrentPor-LH=60 unchanged'!D54+'CurrentPor-LH=60 unchanged'!I54)/100,2))*100</f>
        <v>9581.4547115644182</v>
      </c>
      <c r="F54">
        <f>Portfolio!B$5*'CurrentPor-LH=60 unchanged'!E54</f>
        <v>52143.895533915893</v>
      </c>
      <c r="G54">
        <f>Portfolio!B$6*'CurrentPor-LH=60 unchanged'!F54</f>
        <v>3696.2945087936532</v>
      </c>
      <c r="H54">
        <f>Portfolio!B$7*'CurrentPor-LH=60 unchanged'!J54</f>
        <v>2148.0998964419859</v>
      </c>
      <c r="I54">
        <f t="shared" si="0"/>
        <v>96493.537342205425</v>
      </c>
      <c r="J54">
        <f t="shared" si="1"/>
        <v>0</v>
      </c>
    </row>
    <row r="55" spans="1:10">
      <c r="A55" s="1">
        <v>45546</v>
      </c>
      <c r="B55">
        <f>(3/(1+('CurrentPor-LH=60 unchanged'!C55)/100)+103/POWER(1+('CurrentPor-LH=60 unchanged'!D55)/100,2))*100</f>
        <v>9707.5857774288397</v>
      </c>
      <c r="C55">
        <f>(3/(1+('CurrentPor-LH=60 unchanged'!C55+'CurrentPor-LH=60 unchanged'!G55)/100)+103/POWER(1+('CurrentPor-LH=60 unchanged'!D55+'CurrentPor-LH=60 unchanged'!G55)/100,2))*100</f>
        <v>9614.9673582483465</v>
      </c>
      <c r="D55">
        <f>(3/(1+('CurrentPor-LH=60 unchanged'!C55+'CurrentPor-LH=60 unchanged'!H55)/100)+103/POWER(1+('CurrentPor-LH=60 unchanged'!D55+'CurrentPor-LH=60 unchanged'!H55)/100,2))*100</f>
        <v>9601.2395558122898</v>
      </c>
      <c r="E55">
        <f>(3/(1+('CurrentPor-LH=60 unchanged'!C55+'CurrentPor-LH=60 unchanged'!I55)/100)+103/POWER(1+('CurrentPor-LH=60 unchanged'!D55+'CurrentPor-LH=60 unchanged'!I55)/100,2))*100</f>
        <v>9581.4547115644182</v>
      </c>
      <c r="F55">
        <f>Portfolio!B$5*'CurrentPor-LH=60 unchanged'!E55</f>
        <v>52143.895533915893</v>
      </c>
      <c r="G55">
        <f>Portfolio!B$6*'CurrentPor-LH=60 unchanged'!F55</f>
        <v>3696.2945087936532</v>
      </c>
      <c r="H55">
        <f>Portfolio!B$7*'CurrentPor-LH=60 unchanged'!J55</f>
        <v>2148.0998964419859</v>
      </c>
      <c r="I55">
        <f t="shared" si="0"/>
        <v>96493.537342205425</v>
      </c>
      <c r="J55">
        <f t="shared" si="1"/>
        <v>0</v>
      </c>
    </row>
    <row r="56" spans="1:10">
      <c r="A56" s="1">
        <v>45547</v>
      </c>
      <c r="B56">
        <f>(3/(1+('CurrentPor-LH=60 unchanged'!C56)/100)+103/POWER(1+('CurrentPor-LH=60 unchanged'!D56)/100,2))*100</f>
        <v>9707.5857774288397</v>
      </c>
      <c r="C56">
        <f>(3/(1+('CurrentPor-LH=60 unchanged'!C56+'CurrentPor-LH=60 unchanged'!G56)/100)+103/POWER(1+('CurrentPor-LH=60 unchanged'!D56+'CurrentPor-LH=60 unchanged'!G56)/100,2))*100</f>
        <v>9614.9673582483465</v>
      </c>
      <c r="D56">
        <f>(3/(1+('CurrentPor-LH=60 unchanged'!C56+'CurrentPor-LH=60 unchanged'!H56)/100)+103/POWER(1+('CurrentPor-LH=60 unchanged'!D56+'CurrentPor-LH=60 unchanged'!H56)/100,2))*100</f>
        <v>9601.2395558122898</v>
      </c>
      <c r="E56">
        <f>(3/(1+('CurrentPor-LH=60 unchanged'!C56+'CurrentPor-LH=60 unchanged'!I56)/100)+103/POWER(1+('CurrentPor-LH=60 unchanged'!D56+'CurrentPor-LH=60 unchanged'!I56)/100,2))*100</f>
        <v>9581.4547115644182</v>
      </c>
      <c r="F56">
        <f>Portfolio!B$5*'CurrentPor-LH=60 unchanged'!E56</f>
        <v>52143.895533915893</v>
      </c>
      <c r="G56">
        <f>Portfolio!B$6*'CurrentPor-LH=60 unchanged'!F56</f>
        <v>3696.2945087936532</v>
      </c>
      <c r="H56">
        <f>Portfolio!B$7*'CurrentPor-LH=60 unchanged'!J56</f>
        <v>2148.0998964419859</v>
      </c>
      <c r="I56">
        <f t="shared" si="0"/>
        <v>96493.537342205425</v>
      </c>
      <c r="J56">
        <f t="shared" si="1"/>
        <v>0</v>
      </c>
    </row>
    <row r="57" spans="1:10">
      <c r="A57" s="1">
        <v>45548</v>
      </c>
      <c r="B57">
        <f>(3/(1+('CurrentPor-LH=60 unchanged'!C57)/100)+103/POWER(1+('CurrentPor-LH=60 unchanged'!D57)/100,2))*100</f>
        <v>9707.5857774288397</v>
      </c>
      <c r="C57">
        <f>(3/(1+('CurrentPor-LH=60 unchanged'!C57+'CurrentPor-LH=60 unchanged'!G57)/100)+103/POWER(1+('CurrentPor-LH=60 unchanged'!D57+'CurrentPor-LH=60 unchanged'!G57)/100,2))*100</f>
        <v>9614.9673582483465</v>
      </c>
      <c r="D57">
        <f>(3/(1+('CurrentPor-LH=60 unchanged'!C57+'CurrentPor-LH=60 unchanged'!H57)/100)+103/POWER(1+('CurrentPor-LH=60 unchanged'!D57+'CurrentPor-LH=60 unchanged'!H57)/100,2))*100</f>
        <v>9601.2395558122898</v>
      </c>
      <c r="E57">
        <f>(3/(1+('CurrentPor-LH=60 unchanged'!C57+'CurrentPor-LH=60 unchanged'!I57)/100)+103/POWER(1+('CurrentPor-LH=60 unchanged'!D57+'CurrentPor-LH=60 unchanged'!I57)/100,2))*100</f>
        <v>9581.4547115644182</v>
      </c>
      <c r="F57">
        <f>Portfolio!B$5*'CurrentPor-LH=60 unchanged'!E57</f>
        <v>52143.895533915893</v>
      </c>
      <c r="G57">
        <f>Portfolio!B$6*'CurrentPor-LH=60 unchanged'!F57</f>
        <v>3696.2945087936532</v>
      </c>
      <c r="H57">
        <f>Portfolio!B$7*'CurrentPor-LH=60 unchanged'!J57</f>
        <v>2148.0998964419859</v>
      </c>
      <c r="I57">
        <f t="shared" si="0"/>
        <v>96493.537342205425</v>
      </c>
      <c r="J57">
        <f t="shared" si="1"/>
        <v>0</v>
      </c>
    </row>
    <row r="58" spans="1:10">
      <c r="A58" s="1">
        <v>45551</v>
      </c>
      <c r="B58">
        <f>(3/(1+('CurrentPor-LH=60 unchanged'!C58)/100)+103/POWER(1+('CurrentPor-LH=60 unchanged'!D58)/100,2))*100</f>
        <v>9707.5857774288397</v>
      </c>
      <c r="C58">
        <f>(3/(1+('CurrentPor-LH=60 unchanged'!C58+'CurrentPor-LH=60 unchanged'!G58)/100)+103/POWER(1+('CurrentPor-LH=60 unchanged'!D58+'CurrentPor-LH=60 unchanged'!G58)/100,2))*100</f>
        <v>9614.9673582483465</v>
      </c>
      <c r="D58">
        <f>(3/(1+('CurrentPor-LH=60 unchanged'!C58+'CurrentPor-LH=60 unchanged'!H58)/100)+103/POWER(1+('CurrentPor-LH=60 unchanged'!D58+'CurrentPor-LH=60 unchanged'!H58)/100,2))*100</f>
        <v>9601.2395558122898</v>
      </c>
      <c r="E58">
        <f>(3/(1+('CurrentPor-LH=60 unchanged'!C58+'CurrentPor-LH=60 unchanged'!I58)/100)+103/POWER(1+('CurrentPor-LH=60 unchanged'!D58+'CurrentPor-LH=60 unchanged'!I58)/100,2))*100</f>
        <v>9581.4547115644182</v>
      </c>
      <c r="F58">
        <f>Portfolio!B$5*'CurrentPor-LH=60 unchanged'!E58</f>
        <v>52143.895533915893</v>
      </c>
      <c r="G58">
        <f>Portfolio!B$6*'CurrentPor-LH=60 unchanged'!F58</f>
        <v>3696.2945087936532</v>
      </c>
      <c r="H58">
        <f>Portfolio!B$7*'CurrentPor-LH=60 unchanged'!J58</f>
        <v>2148.0998964419859</v>
      </c>
      <c r="I58">
        <f t="shared" si="0"/>
        <v>96493.537342205425</v>
      </c>
      <c r="J58">
        <f t="shared" si="1"/>
        <v>0</v>
      </c>
    </row>
    <row r="59" spans="1:10">
      <c r="A59" s="1">
        <v>45552</v>
      </c>
      <c r="B59">
        <f>(3/(1+('CurrentPor-LH=60 unchanged'!C59)/100)+103/POWER(1+('CurrentPor-LH=60 unchanged'!D59)/100,2))*100</f>
        <v>9707.5857774288397</v>
      </c>
      <c r="C59">
        <f>(3/(1+('CurrentPor-LH=60 unchanged'!C59+'CurrentPor-LH=60 unchanged'!G59)/100)+103/POWER(1+('CurrentPor-LH=60 unchanged'!D59+'CurrentPor-LH=60 unchanged'!G59)/100,2))*100</f>
        <v>9614.9673582483465</v>
      </c>
      <c r="D59">
        <f>(3/(1+('CurrentPor-LH=60 unchanged'!C59+'CurrentPor-LH=60 unchanged'!H59)/100)+103/POWER(1+('CurrentPor-LH=60 unchanged'!D59+'CurrentPor-LH=60 unchanged'!H59)/100,2))*100</f>
        <v>9601.2395558122898</v>
      </c>
      <c r="E59">
        <f>(3/(1+('CurrentPor-LH=60 unchanged'!C59+'CurrentPor-LH=60 unchanged'!I59)/100)+103/POWER(1+('CurrentPor-LH=60 unchanged'!D59+'CurrentPor-LH=60 unchanged'!I59)/100,2))*100</f>
        <v>9581.4547115644182</v>
      </c>
      <c r="F59">
        <f>Portfolio!B$5*'CurrentPor-LH=60 unchanged'!E59</f>
        <v>52143.895533915893</v>
      </c>
      <c r="G59">
        <f>Portfolio!B$6*'CurrentPor-LH=60 unchanged'!F59</f>
        <v>3696.2945087936532</v>
      </c>
      <c r="H59">
        <f>Portfolio!B$7*'CurrentPor-LH=60 unchanged'!J59</f>
        <v>2148.0998964419859</v>
      </c>
      <c r="I59">
        <f t="shared" si="0"/>
        <v>96493.537342205425</v>
      </c>
      <c r="J59">
        <f t="shared" si="1"/>
        <v>0</v>
      </c>
    </row>
    <row r="60" spans="1:10">
      <c r="A60" s="1">
        <v>45553</v>
      </c>
      <c r="B60">
        <f>(3/(1+('CurrentPor-LH=60 unchanged'!C60)/100)+103/POWER(1+('CurrentPor-LH=60 unchanged'!D60)/100,2))*100</f>
        <v>9707.5857774288397</v>
      </c>
      <c r="C60">
        <f>(3/(1+('CurrentPor-LH=60 unchanged'!C60+'CurrentPor-LH=60 unchanged'!G60)/100)+103/POWER(1+('CurrentPor-LH=60 unchanged'!D60+'CurrentPor-LH=60 unchanged'!G60)/100,2))*100</f>
        <v>9614.9673582483465</v>
      </c>
      <c r="D60">
        <f>(3/(1+('CurrentPor-LH=60 unchanged'!C60+'CurrentPor-LH=60 unchanged'!H60)/100)+103/POWER(1+('CurrentPor-LH=60 unchanged'!D60+'CurrentPor-LH=60 unchanged'!H60)/100,2))*100</f>
        <v>9601.2395558122898</v>
      </c>
      <c r="E60">
        <f>(3/(1+('CurrentPor-LH=60 unchanged'!C60+'CurrentPor-LH=60 unchanged'!I60)/100)+103/POWER(1+('CurrentPor-LH=60 unchanged'!D60+'CurrentPor-LH=60 unchanged'!I60)/100,2))*100</f>
        <v>9581.4547115644182</v>
      </c>
      <c r="F60">
        <f>Portfolio!B$5*'CurrentPor-LH=60 unchanged'!E60</f>
        <v>52143.895533915893</v>
      </c>
      <c r="G60">
        <f>Portfolio!B$6*'CurrentPor-LH=60 unchanged'!F60</f>
        <v>3696.2945087936532</v>
      </c>
      <c r="H60">
        <f>Portfolio!B$7*'CurrentPor-LH=60 unchanged'!J60</f>
        <v>2148.0998964419859</v>
      </c>
      <c r="I60">
        <f t="shared" si="0"/>
        <v>96493.537342205425</v>
      </c>
      <c r="J60">
        <f t="shared" si="1"/>
        <v>0</v>
      </c>
    </row>
    <row r="61" spans="1:10">
      <c r="A61" s="1">
        <v>45554</v>
      </c>
      <c r="B61">
        <f>(3/(1+('CurrentPor-LH=60 unchanged'!C61)/100)+103/POWER(1+('CurrentPor-LH=60 unchanged'!D61)/100,2))*100</f>
        <v>9707.5857774288397</v>
      </c>
      <c r="C61">
        <f>(3/(1+('CurrentPor-LH=60 unchanged'!C61+'CurrentPor-LH=60 unchanged'!G61)/100)+103/POWER(1+('CurrentPor-LH=60 unchanged'!D61+'CurrentPor-LH=60 unchanged'!G61)/100,2))*100</f>
        <v>9614.9673582483465</v>
      </c>
      <c r="D61">
        <f>(3/(1+('CurrentPor-LH=60 unchanged'!C61+'CurrentPor-LH=60 unchanged'!H61)/100)+103/POWER(1+('CurrentPor-LH=60 unchanged'!D61+'CurrentPor-LH=60 unchanged'!H61)/100,2))*100</f>
        <v>9601.2395558122898</v>
      </c>
      <c r="E61">
        <f>(3/(1+('CurrentPor-LH=60 unchanged'!C61+'CurrentPor-LH=60 unchanged'!I61)/100)+103/POWER(1+('CurrentPor-LH=60 unchanged'!D61+'CurrentPor-LH=60 unchanged'!I61)/100,2))*100</f>
        <v>9581.4547115644182</v>
      </c>
      <c r="F61">
        <f>Portfolio!B$5*'CurrentPor-LH=60 unchanged'!E61</f>
        <v>52143.895533915893</v>
      </c>
      <c r="G61">
        <f>Portfolio!B$6*'CurrentPor-LH=60 unchanged'!F61</f>
        <v>3696.2945087936532</v>
      </c>
      <c r="H61">
        <f>Portfolio!B$7*'CurrentPor-LH=60 unchanged'!J61</f>
        <v>2148.0998964419859</v>
      </c>
      <c r="I61">
        <f t="shared" si="0"/>
        <v>96493.537342205425</v>
      </c>
      <c r="J61">
        <f t="shared" si="1"/>
        <v>0</v>
      </c>
    </row>
    <row r="62" spans="1:10">
      <c r="A62" s="1">
        <v>45555</v>
      </c>
      <c r="B62">
        <f>(3/(1+('CurrentPor-LH=60 unchanged'!C62)/100)+103/POWER(1+('CurrentPor-LH=60 unchanged'!D62)/100,2))*100</f>
        <v>9707.5857774288397</v>
      </c>
      <c r="C62">
        <f>(3/(1+('CurrentPor-LH=60 unchanged'!C62+'CurrentPor-LH=60 unchanged'!G62)/100)+103/POWER(1+('CurrentPor-LH=60 unchanged'!D62+'CurrentPor-LH=60 unchanged'!G62)/100,2))*100</f>
        <v>9614.9673582483465</v>
      </c>
      <c r="D62">
        <f>(3/(1+('CurrentPor-LH=60 unchanged'!C62+'CurrentPor-LH=60 unchanged'!H62)/100)+103/POWER(1+('CurrentPor-LH=60 unchanged'!D62+'CurrentPor-LH=60 unchanged'!H62)/100,2))*100</f>
        <v>9601.2395558122898</v>
      </c>
      <c r="E62">
        <f>(3/(1+('CurrentPor-LH=60 unchanged'!C62+'CurrentPor-LH=60 unchanged'!I62)/100)+103/POWER(1+('CurrentPor-LH=60 unchanged'!D62+'CurrentPor-LH=60 unchanged'!I62)/100,2))*100</f>
        <v>9581.4547115644182</v>
      </c>
      <c r="F62">
        <f>Portfolio!B$5*'CurrentPor-LH=60 unchanged'!E62</f>
        <v>52143.895533915893</v>
      </c>
      <c r="G62">
        <f>Portfolio!B$6*'CurrentPor-LH=60 unchanged'!F62</f>
        <v>3696.2945087936532</v>
      </c>
      <c r="H62">
        <f>Portfolio!B$7*'CurrentPor-LH=60 unchanged'!J62</f>
        <v>2148.0998964419859</v>
      </c>
      <c r="I62">
        <f t="shared" si="0"/>
        <v>96493.537342205425</v>
      </c>
      <c r="J62">
        <f t="shared" si="1"/>
        <v>0</v>
      </c>
    </row>
    <row r="63" spans="1:10">
      <c r="A63" s="1">
        <v>45558</v>
      </c>
      <c r="B63">
        <f>(3/(1+('CurrentPor-LH=60 unchanged'!C63)/100)+103/POWER(1+('CurrentPor-LH=60 unchanged'!D63)/100,2))*100</f>
        <v>9707.5857774288397</v>
      </c>
      <c r="C63">
        <f>(3/(1+('CurrentPor-LH=60 unchanged'!C63+'CurrentPor-LH=60 unchanged'!G63)/100)+103/POWER(1+('CurrentPor-LH=60 unchanged'!D63+'CurrentPor-LH=60 unchanged'!G63)/100,2))*100</f>
        <v>9614.9673582483465</v>
      </c>
      <c r="D63">
        <f>(3/(1+('CurrentPor-LH=60 unchanged'!C63+'CurrentPor-LH=60 unchanged'!H63)/100)+103/POWER(1+('CurrentPor-LH=60 unchanged'!D63+'CurrentPor-LH=60 unchanged'!H63)/100,2))*100</f>
        <v>9601.2395558122898</v>
      </c>
      <c r="E63">
        <f>(3/(1+('CurrentPor-LH=60 unchanged'!C63+'CurrentPor-LH=60 unchanged'!I63)/100)+103/POWER(1+('CurrentPor-LH=60 unchanged'!D63+'CurrentPor-LH=60 unchanged'!I63)/100,2))*100</f>
        <v>9581.4547115644182</v>
      </c>
      <c r="F63">
        <f>Portfolio!B$5*'CurrentPor-LH=60 unchanged'!E63</f>
        <v>52143.895533915893</v>
      </c>
      <c r="G63">
        <f>Portfolio!B$6*'CurrentPor-LH=60 unchanged'!F63</f>
        <v>3696.2945087936532</v>
      </c>
      <c r="H63">
        <f>Portfolio!B$7*'CurrentPor-LH=60 unchanged'!J63</f>
        <v>2148.0998964419859</v>
      </c>
      <c r="I63">
        <f t="shared" si="0"/>
        <v>96493.537342205425</v>
      </c>
      <c r="J63">
        <f t="shared" si="1"/>
        <v>0</v>
      </c>
    </row>
    <row r="64" spans="1:10">
      <c r="A64" s="1">
        <v>45559</v>
      </c>
      <c r="B64">
        <f>(3/(1+('CurrentPor-LH=60 unchanged'!C64)/100)+103/POWER(1+('CurrentPor-LH=60 unchanged'!D64)/100,2))*100</f>
        <v>9707.5857774288397</v>
      </c>
      <c r="C64">
        <f>(3/(1+('CurrentPor-LH=60 unchanged'!C64+'CurrentPor-LH=60 unchanged'!G64)/100)+103/POWER(1+('CurrentPor-LH=60 unchanged'!D64+'CurrentPor-LH=60 unchanged'!G64)/100,2))*100</f>
        <v>9614.9673582483465</v>
      </c>
      <c r="D64">
        <f>(3/(1+('CurrentPor-LH=60 unchanged'!C64+'CurrentPor-LH=60 unchanged'!H64)/100)+103/POWER(1+('CurrentPor-LH=60 unchanged'!D64+'CurrentPor-LH=60 unchanged'!H64)/100,2))*100</f>
        <v>9601.2395558122898</v>
      </c>
      <c r="E64">
        <f>(3/(1+('CurrentPor-LH=60 unchanged'!C64+'CurrentPor-LH=60 unchanged'!I64)/100)+103/POWER(1+('CurrentPor-LH=60 unchanged'!D64+'CurrentPor-LH=60 unchanged'!I64)/100,2))*100</f>
        <v>9581.4547115644182</v>
      </c>
      <c r="F64">
        <f>Portfolio!B$5*'CurrentPor-LH=60 unchanged'!E64</f>
        <v>52143.895533915893</v>
      </c>
      <c r="G64">
        <f>Portfolio!B$6*'CurrentPor-LH=60 unchanged'!F64</f>
        <v>3696.2945087936532</v>
      </c>
      <c r="H64">
        <f>Portfolio!B$7*'CurrentPor-LH=60 unchanged'!J64</f>
        <v>2148.0998964419859</v>
      </c>
      <c r="I64">
        <f t="shared" si="0"/>
        <v>96493.537342205425</v>
      </c>
      <c r="J64">
        <f t="shared" si="1"/>
        <v>0</v>
      </c>
    </row>
    <row r="65" spans="1:10">
      <c r="A65" s="1">
        <v>45560</v>
      </c>
      <c r="B65">
        <f>(3/(1+('CurrentPor-LH=60 unchanged'!C65)/100)+103/POWER(1+('CurrentPor-LH=60 unchanged'!D65)/100,2))*100</f>
        <v>9707.5857774288397</v>
      </c>
      <c r="C65">
        <f>(3/(1+('CurrentPor-LH=60 unchanged'!C65+'CurrentPor-LH=60 unchanged'!G65)/100)+103/POWER(1+('CurrentPor-LH=60 unchanged'!D65+'CurrentPor-LH=60 unchanged'!G65)/100,2))*100</f>
        <v>9614.9673582483465</v>
      </c>
      <c r="D65">
        <f>(3/(1+('CurrentPor-LH=60 unchanged'!C65+'CurrentPor-LH=60 unchanged'!H65)/100)+103/POWER(1+('CurrentPor-LH=60 unchanged'!D65+'CurrentPor-LH=60 unchanged'!H65)/100,2))*100</f>
        <v>9601.2395558122898</v>
      </c>
      <c r="E65">
        <f>(3/(1+('CurrentPor-LH=60 unchanged'!C65+'CurrentPor-LH=60 unchanged'!I65)/100)+103/POWER(1+('CurrentPor-LH=60 unchanged'!D65+'CurrentPor-LH=60 unchanged'!I65)/100,2))*100</f>
        <v>9581.4547115644182</v>
      </c>
      <c r="F65">
        <f>Portfolio!B$5*'CurrentPor-LH=60 unchanged'!E65</f>
        <v>52143.895533915893</v>
      </c>
      <c r="G65">
        <f>Portfolio!B$6*'CurrentPor-LH=60 unchanged'!F65</f>
        <v>3696.2945087936532</v>
      </c>
      <c r="H65">
        <f>Portfolio!B$7*'CurrentPor-LH=60 unchanged'!J65</f>
        <v>2148.0998964419859</v>
      </c>
      <c r="I65">
        <f t="shared" si="0"/>
        <v>96493.537342205425</v>
      </c>
      <c r="J65">
        <f t="shared" si="1"/>
        <v>0</v>
      </c>
    </row>
    <row r="66" spans="1:10">
      <c r="A66" s="1">
        <v>45561</v>
      </c>
      <c r="B66">
        <f>(3/(1+('CurrentPor-LH=60 unchanged'!C66)/100)+103/POWER(1+('CurrentPor-LH=60 unchanged'!D66)/100,2))*100</f>
        <v>9707.5857774288397</v>
      </c>
      <c r="C66">
        <f>(3/(1+('CurrentPor-LH=60 unchanged'!C66+'CurrentPor-LH=60 unchanged'!G66)/100)+103/POWER(1+('CurrentPor-LH=60 unchanged'!D66+'CurrentPor-LH=60 unchanged'!G66)/100,2))*100</f>
        <v>9614.9673582483465</v>
      </c>
      <c r="D66">
        <f>(3/(1+('CurrentPor-LH=60 unchanged'!C66+'CurrentPor-LH=60 unchanged'!H66)/100)+103/POWER(1+('CurrentPor-LH=60 unchanged'!D66+'CurrentPor-LH=60 unchanged'!H66)/100,2))*100</f>
        <v>9601.2395558122898</v>
      </c>
      <c r="E66">
        <f>(3/(1+('CurrentPor-LH=60 unchanged'!C66+'CurrentPor-LH=60 unchanged'!I66)/100)+103/POWER(1+('CurrentPor-LH=60 unchanged'!D66+'CurrentPor-LH=60 unchanged'!I66)/100,2))*100</f>
        <v>9581.4547115644182</v>
      </c>
      <c r="F66">
        <f>Portfolio!B$5*'CurrentPor-LH=60 unchanged'!E66</f>
        <v>52143.895533915893</v>
      </c>
      <c r="G66">
        <f>Portfolio!B$6*'CurrentPor-LH=60 unchanged'!F66</f>
        <v>3696.2945087936532</v>
      </c>
      <c r="H66">
        <f>Portfolio!B$7*'CurrentPor-LH=60 unchanged'!J66</f>
        <v>2148.0998964419859</v>
      </c>
      <c r="I66">
        <f t="shared" si="0"/>
        <v>96493.537342205425</v>
      </c>
      <c r="J66">
        <f t="shared" si="1"/>
        <v>0</v>
      </c>
    </row>
    <row r="67" spans="1:10">
      <c r="A67" s="1">
        <v>45562</v>
      </c>
      <c r="B67">
        <f>(3/(1+('CurrentPor-LH=60 unchanged'!C67)/100)+103/POWER(1+('CurrentPor-LH=60 unchanged'!D67)/100,2))*100</f>
        <v>9707.5857774288397</v>
      </c>
      <c r="C67">
        <f>(3/(1+('CurrentPor-LH=60 unchanged'!C67+'CurrentPor-LH=60 unchanged'!G67)/100)+103/POWER(1+('CurrentPor-LH=60 unchanged'!D67+'CurrentPor-LH=60 unchanged'!G67)/100,2))*100</f>
        <v>9614.9673582483465</v>
      </c>
      <c r="D67">
        <f>(3/(1+('CurrentPor-LH=60 unchanged'!C67+'CurrentPor-LH=60 unchanged'!H67)/100)+103/POWER(1+('CurrentPor-LH=60 unchanged'!D67+'CurrentPor-LH=60 unchanged'!H67)/100,2))*100</f>
        <v>9601.2395558122898</v>
      </c>
      <c r="E67">
        <f>(3/(1+('CurrentPor-LH=60 unchanged'!C67+'CurrentPor-LH=60 unchanged'!I67)/100)+103/POWER(1+('CurrentPor-LH=60 unchanged'!D67+'CurrentPor-LH=60 unchanged'!I67)/100,2))*100</f>
        <v>9581.4547115644182</v>
      </c>
      <c r="F67">
        <f>Portfolio!B$5*'CurrentPor-LH=60 unchanged'!E67</f>
        <v>52143.895533915893</v>
      </c>
      <c r="G67">
        <f>Portfolio!B$6*'CurrentPor-LH=60 unchanged'!F67</f>
        <v>3696.2945087936532</v>
      </c>
      <c r="H67">
        <f>Portfolio!B$7*'CurrentPor-LH=60 unchanged'!J67</f>
        <v>2148.0998964419859</v>
      </c>
      <c r="I67">
        <f t="shared" si="0"/>
        <v>96493.537342205425</v>
      </c>
      <c r="J67">
        <f t="shared" si="1"/>
        <v>0</v>
      </c>
    </row>
    <row r="68" spans="1:10">
      <c r="A68" s="1">
        <v>45565</v>
      </c>
      <c r="B68">
        <f>(3/(1+('CurrentPor-LH=60 unchanged'!C68)/100)+103/POWER(1+('CurrentPor-LH=60 unchanged'!D68)/100,2))*100</f>
        <v>9707.5857774288397</v>
      </c>
      <c r="C68">
        <f>(3/(1+('CurrentPor-LH=60 unchanged'!C68+'CurrentPor-LH=60 unchanged'!G68)/100)+103/POWER(1+('CurrentPor-LH=60 unchanged'!D68+'CurrentPor-LH=60 unchanged'!G68)/100,2))*100</f>
        <v>9614.9673582483465</v>
      </c>
      <c r="D68">
        <f>(3/(1+('CurrentPor-LH=60 unchanged'!C68+'CurrentPor-LH=60 unchanged'!H68)/100)+103/POWER(1+('CurrentPor-LH=60 unchanged'!D68+'CurrentPor-LH=60 unchanged'!H68)/100,2))*100</f>
        <v>9601.2395558122898</v>
      </c>
      <c r="E68">
        <f>(3/(1+('CurrentPor-LH=60 unchanged'!C68+'CurrentPor-LH=60 unchanged'!I68)/100)+103/POWER(1+('CurrentPor-LH=60 unchanged'!D68+'CurrentPor-LH=60 unchanged'!I68)/100,2))*100</f>
        <v>9581.4547115644182</v>
      </c>
      <c r="F68">
        <f>Portfolio!B$5*'CurrentPor-LH=60 unchanged'!E68</f>
        <v>52143.895533915893</v>
      </c>
      <c r="G68">
        <f>Portfolio!B$6*'CurrentPor-LH=60 unchanged'!F68</f>
        <v>3696.2945087936532</v>
      </c>
      <c r="H68">
        <f>Portfolio!B$7*'CurrentPor-LH=60 unchanged'!J68</f>
        <v>2148.0998964419859</v>
      </c>
      <c r="I68">
        <f t="shared" ref="I68:I131" si="2">SUM(B68:H68)</f>
        <v>96493.537342205425</v>
      </c>
      <c r="J68">
        <f t="shared" si="1"/>
        <v>0</v>
      </c>
    </row>
    <row r="69" spans="1:10">
      <c r="A69" s="1">
        <v>45566</v>
      </c>
      <c r="B69">
        <f>(3/(1+('CurrentPor-LH=60 unchanged'!C69)/100)+103/POWER(1+('CurrentPor-LH=60 unchanged'!D69)/100,2))*100</f>
        <v>9707.5857774288397</v>
      </c>
      <c r="C69">
        <f>(3/(1+('CurrentPor-LH=60 unchanged'!C69+'CurrentPor-LH=60 unchanged'!G69)/100)+103/POWER(1+('CurrentPor-LH=60 unchanged'!D69+'CurrentPor-LH=60 unchanged'!G69)/100,2))*100</f>
        <v>9614.9673582483465</v>
      </c>
      <c r="D69">
        <f>(3/(1+('CurrentPor-LH=60 unchanged'!C69+'CurrentPor-LH=60 unchanged'!H69)/100)+103/POWER(1+('CurrentPor-LH=60 unchanged'!D69+'CurrentPor-LH=60 unchanged'!H69)/100,2))*100</f>
        <v>9601.2395558122898</v>
      </c>
      <c r="E69">
        <f>(3/(1+('CurrentPor-LH=60 unchanged'!C69+'CurrentPor-LH=60 unchanged'!I69)/100)+103/POWER(1+('CurrentPor-LH=60 unchanged'!D69+'CurrentPor-LH=60 unchanged'!I69)/100,2))*100</f>
        <v>9581.4547115644182</v>
      </c>
      <c r="F69">
        <f>Portfolio!B$5*'CurrentPor-LH=60 unchanged'!E69</f>
        <v>52143.895533915893</v>
      </c>
      <c r="G69">
        <f>Portfolio!B$6*'CurrentPor-LH=60 unchanged'!F69</f>
        <v>3696.2945087936532</v>
      </c>
      <c r="H69">
        <f>Portfolio!B$7*'CurrentPor-LH=60 unchanged'!J69</f>
        <v>2148.0998964419859</v>
      </c>
      <c r="I69">
        <f t="shared" si="2"/>
        <v>96493.537342205425</v>
      </c>
      <c r="J69">
        <f t="shared" si="1"/>
        <v>0</v>
      </c>
    </row>
    <row r="70" spans="1:10">
      <c r="A70" s="1">
        <v>45567</v>
      </c>
      <c r="B70">
        <f>(3/(1+('CurrentPor-LH=60 unchanged'!C70)/100)+103/POWER(1+('CurrentPor-LH=60 unchanged'!D70)/100,2))*100</f>
        <v>9707.5857774288397</v>
      </c>
      <c r="C70">
        <f>(3/(1+('CurrentPor-LH=60 unchanged'!C70+'CurrentPor-LH=60 unchanged'!G70)/100)+103/POWER(1+('CurrentPor-LH=60 unchanged'!D70+'CurrentPor-LH=60 unchanged'!G70)/100,2))*100</f>
        <v>9614.9673582483465</v>
      </c>
      <c r="D70">
        <f>(3/(1+('CurrentPor-LH=60 unchanged'!C70+'CurrentPor-LH=60 unchanged'!H70)/100)+103/POWER(1+('CurrentPor-LH=60 unchanged'!D70+'CurrentPor-LH=60 unchanged'!H70)/100,2))*100</f>
        <v>9601.2395558122898</v>
      </c>
      <c r="E70">
        <f>(3/(1+('CurrentPor-LH=60 unchanged'!C70+'CurrentPor-LH=60 unchanged'!I70)/100)+103/POWER(1+('CurrentPor-LH=60 unchanged'!D70+'CurrentPor-LH=60 unchanged'!I70)/100,2))*100</f>
        <v>9581.4547115644182</v>
      </c>
      <c r="F70">
        <f>Portfolio!B$5*'CurrentPor-LH=60 unchanged'!E70</f>
        <v>52143.895533915893</v>
      </c>
      <c r="G70">
        <f>Portfolio!B$6*'CurrentPor-LH=60 unchanged'!F70</f>
        <v>3696.2945087936532</v>
      </c>
      <c r="H70">
        <f>Portfolio!B$7*'CurrentPor-LH=60 unchanged'!J70</f>
        <v>2148.0998964419859</v>
      </c>
      <c r="I70">
        <f t="shared" si="2"/>
        <v>96493.537342205425</v>
      </c>
      <c r="J70">
        <f t="shared" si="1"/>
        <v>0</v>
      </c>
    </row>
    <row r="71" spans="1:10">
      <c r="A71" s="1">
        <v>45568</v>
      </c>
      <c r="B71">
        <f>(3/(1+('CurrentPor-LH=60 unchanged'!C71)/100)+103/POWER(1+('CurrentPor-LH=60 unchanged'!D71)/100,2))*100</f>
        <v>9707.5857774288397</v>
      </c>
      <c r="C71">
        <f>(3/(1+('CurrentPor-LH=60 unchanged'!C71+'CurrentPor-LH=60 unchanged'!G71)/100)+103/POWER(1+('CurrentPor-LH=60 unchanged'!D71+'CurrentPor-LH=60 unchanged'!G71)/100,2))*100</f>
        <v>9614.9673582483465</v>
      </c>
      <c r="D71">
        <f>(3/(1+('CurrentPor-LH=60 unchanged'!C71+'CurrentPor-LH=60 unchanged'!H71)/100)+103/POWER(1+('CurrentPor-LH=60 unchanged'!D71+'CurrentPor-LH=60 unchanged'!H71)/100,2))*100</f>
        <v>9601.2395558122898</v>
      </c>
      <c r="E71">
        <f>(3/(1+('CurrentPor-LH=60 unchanged'!C71+'CurrentPor-LH=60 unchanged'!I71)/100)+103/POWER(1+('CurrentPor-LH=60 unchanged'!D71+'CurrentPor-LH=60 unchanged'!I71)/100,2))*100</f>
        <v>9581.4547115644182</v>
      </c>
      <c r="F71">
        <f>Portfolio!B$5*'CurrentPor-LH=60 unchanged'!E71</f>
        <v>52143.895533915893</v>
      </c>
      <c r="G71">
        <f>Portfolio!B$6*'CurrentPor-LH=60 unchanged'!F71</f>
        <v>3696.2945087936532</v>
      </c>
      <c r="H71">
        <f>Portfolio!B$7*'CurrentPor-LH=60 unchanged'!J71</f>
        <v>2148.0998964419859</v>
      </c>
      <c r="I71">
        <f t="shared" si="2"/>
        <v>96493.537342205425</v>
      </c>
      <c r="J71">
        <f t="shared" si="1"/>
        <v>0</v>
      </c>
    </row>
    <row r="72" spans="1:10">
      <c r="A72" s="1">
        <v>45569</v>
      </c>
      <c r="B72">
        <f>(3/(1+('CurrentPor-LH=60 unchanged'!C72)/100)+103/POWER(1+('CurrentPor-LH=60 unchanged'!D72)/100,2))*100</f>
        <v>9707.5857774288397</v>
      </c>
      <c r="C72">
        <f>(3/(1+('CurrentPor-LH=60 unchanged'!C72+'CurrentPor-LH=60 unchanged'!G72)/100)+103/POWER(1+('CurrentPor-LH=60 unchanged'!D72+'CurrentPor-LH=60 unchanged'!G72)/100,2))*100</f>
        <v>9614.9673582483465</v>
      </c>
      <c r="D72">
        <f>(3/(1+('CurrentPor-LH=60 unchanged'!C72+'CurrentPor-LH=60 unchanged'!H72)/100)+103/POWER(1+('CurrentPor-LH=60 unchanged'!D72+'CurrentPor-LH=60 unchanged'!H72)/100,2))*100</f>
        <v>9601.2395558122898</v>
      </c>
      <c r="E72">
        <f>(3/(1+('CurrentPor-LH=60 unchanged'!C72+'CurrentPor-LH=60 unchanged'!I72)/100)+103/POWER(1+('CurrentPor-LH=60 unchanged'!D72+'CurrentPor-LH=60 unchanged'!I72)/100,2))*100</f>
        <v>9581.4547115644182</v>
      </c>
      <c r="F72">
        <f>Portfolio!B$5*'CurrentPor-LH=60 unchanged'!E72</f>
        <v>52143.895533915893</v>
      </c>
      <c r="G72">
        <f>Portfolio!B$6*'CurrentPor-LH=60 unchanged'!F72</f>
        <v>3696.2945087936532</v>
      </c>
      <c r="H72">
        <f>Portfolio!B$7*'CurrentPor-LH=60 unchanged'!J72</f>
        <v>2148.0998964419859</v>
      </c>
      <c r="I72">
        <f t="shared" si="2"/>
        <v>96493.537342205425</v>
      </c>
      <c r="J72">
        <f t="shared" si="1"/>
        <v>0</v>
      </c>
    </row>
    <row r="73" spans="1:10">
      <c r="A73" s="1">
        <v>45572</v>
      </c>
      <c r="B73">
        <f>(3/(1+('CurrentPor-LH=60 unchanged'!C73)/100)+103/POWER(1+('CurrentPor-LH=60 unchanged'!D73)/100,2))*100</f>
        <v>9707.5857774288397</v>
      </c>
      <c r="C73">
        <f>(3/(1+('CurrentPor-LH=60 unchanged'!C73+'CurrentPor-LH=60 unchanged'!G73)/100)+103/POWER(1+('CurrentPor-LH=60 unchanged'!D73+'CurrentPor-LH=60 unchanged'!G73)/100,2))*100</f>
        <v>9614.9673582483465</v>
      </c>
      <c r="D73">
        <f>(3/(1+('CurrentPor-LH=60 unchanged'!C73+'CurrentPor-LH=60 unchanged'!H73)/100)+103/POWER(1+('CurrentPor-LH=60 unchanged'!D73+'CurrentPor-LH=60 unchanged'!H73)/100,2))*100</f>
        <v>9601.2395558122898</v>
      </c>
      <c r="E73">
        <f>(3/(1+('CurrentPor-LH=60 unchanged'!C73+'CurrentPor-LH=60 unchanged'!I73)/100)+103/POWER(1+('CurrentPor-LH=60 unchanged'!D73+'CurrentPor-LH=60 unchanged'!I73)/100,2))*100</f>
        <v>9581.4547115644182</v>
      </c>
      <c r="F73">
        <f>Portfolio!B$5*'CurrentPor-LH=60 unchanged'!E73</f>
        <v>52143.895533915893</v>
      </c>
      <c r="G73">
        <f>Portfolio!B$6*'CurrentPor-LH=60 unchanged'!F73</f>
        <v>3696.2945087936532</v>
      </c>
      <c r="H73">
        <f>Portfolio!B$7*'CurrentPor-LH=60 unchanged'!J73</f>
        <v>2148.0998964419859</v>
      </c>
      <c r="I73">
        <f t="shared" si="2"/>
        <v>96493.537342205425</v>
      </c>
      <c r="J73">
        <f t="shared" si="1"/>
        <v>0</v>
      </c>
    </row>
    <row r="74" spans="1:10">
      <c r="A74" s="1">
        <v>45573</v>
      </c>
      <c r="B74">
        <f>(3/(1+('CurrentPor-LH=60 unchanged'!C74)/100)+103/POWER(1+('CurrentPor-LH=60 unchanged'!D74)/100,2))*100</f>
        <v>9707.5857774288397</v>
      </c>
      <c r="C74">
        <f>(3/(1+('CurrentPor-LH=60 unchanged'!C74+'CurrentPor-LH=60 unchanged'!G74)/100)+103/POWER(1+('CurrentPor-LH=60 unchanged'!D74+'CurrentPor-LH=60 unchanged'!G74)/100,2))*100</f>
        <v>9614.9673582483465</v>
      </c>
      <c r="D74">
        <f>(3/(1+('CurrentPor-LH=60 unchanged'!C74+'CurrentPor-LH=60 unchanged'!H74)/100)+103/POWER(1+('CurrentPor-LH=60 unchanged'!D74+'CurrentPor-LH=60 unchanged'!H74)/100,2))*100</f>
        <v>9601.2395558122898</v>
      </c>
      <c r="E74">
        <f>(3/(1+('CurrentPor-LH=60 unchanged'!C74+'CurrentPor-LH=60 unchanged'!I74)/100)+103/POWER(1+('CurrentPor-LH=60 unchanged'!D74+'CurrentPor-LH=60 unchanged'!I74)/100,2))*100</f>
        <v>9581.4547115644182</v>
      </c>
      <c r="F74">
        <f>Portfolio!B$5*'CurrentPor-LH=60 unchanged'!E74</f>
        <v>52143.895533915893</v>
      </c>
      <c r="G74">
        <f>Portfolio!B$6*'CurrentPor-LH=60 unchanged'!F74</f>
        <v>3696.2945087936532</v>
      </c>
      <c r="H74">
        <f>Portfolio!B$7*'CurrentPor-LH=60 unchanged'!J74</f>
        <v>2148.0998964419859</v>
      </c>
      <c r="I74">
        <f t="shared" si="2"/>
        <v>96493.537342205425</v>
      </c>
      <c r="J74">
        <f t="shared" si="1"/>
        <v>0</v>
      </c>
    </row>
    <row r="75" spans="1:10">
      <c r="A75" s="1">
        <v>45574</v>
      </c>
      <c r="B75">
        <f>(3/(1+('CurrentPor-LH=60 unchanged'!C75)/100)+103/POWER(1+('CurrentPor-LH=60 unchanged'!D75)/100,2))*100</f>
        <v>9707.5857774288397</v>
      </c>
      <c r="C75">
        <f>(3/(1+('CurrentPor-LH=60 unchanged'!C75+'CurrentPor-LH=60 unchanged'!G75)/100)+103/POWER(1+('CurrentPor-LH=60 unchanged'!D75+'CurrentPor-LH=60 unchanged'!G75)/100,2))*100</f>
        <v>9614.9673582483465</v>
      </c>
      <c r="D75">
        <f>(3/(1+('CurrentPor-LH=60 unchanged'!C75+'CurrentPor-LH=60 unchanged'!H75)/100)+103/POWER(1+('CurrentPor-LH=60 unchanged'!D75+'CurrentPor-LH=60 unchanged'!H75)/100,2))*100</f>
        <v>9601.2395558122898</v>
      </c>
      <c r="E75">
        <f>(3/(1+('CurrentPor-LH=60 unchanged'!C75+'CurrentPor-LH=60 unchanged'!I75)/100)+103/POWER(1+('CurrentPor-LH=60 unchanged'!D75+'CurrentPor-LH=60 unchanged'!I75)/100,2))*100</f>
        <v>9581.4547115644182</v>
      </c>
      <c r="F75">
        <f>Portfolio!B$5*'CurrentPor-LH=60 unchanged'!E75</f>
        <v>52143.895533915893</v>
      </c>
      <c r="G75">
        <f>Portfolio!B$6*'CurrentPor-LH=60 unchanged'!F75</f>
        <v>3696.2945087936532</v>
      </c>
      <c r="H75">
        <f>Portfolio!B$7*'CurrentPor-LH=60 unchanged'!J75</f>
        <v>2148.0998964419859</v>
      </c>
      <c r="I75">
        <f t="shared" si="2"/>
        <v>96493.537342205425</v>
      </c>
      <c r="J75">
        <f t="shared" si="1"/>
        <v>0</v>
      </c>
    </row>
    <row r="76" spans="1:10">
      <c r="A76" s="1">
        <v>45575</v>
      </c>
      <c r="B76">
        <f>(3/(1+('CurrentPor-LH=60 unchanged'!C76)/100)+103/POWER(1+('CurrentPor-LH=60 unchanged'!D76)/100,2))*100</f>
        <v>9707.5857774288397</v>
      </c>
      <c r="C76">
        <f>(3/(1+('CurrentPor-LH=60 unchanged'!C76+'CurrentPor-LH=60 unchanged'!G76)/100)+103/POWER(1+('CurrentPor-LH=60 unchanged'!D76+'CurrentPor-LH=60 unchanged'!G76)/100,2))*100</f>
        <v>9614.9673582483465</v>
      </c>
      <c r="D76">
        <f>(3/(1+('CurrentPor-LH=60 unchanged'!C76+'CurrentPor-LH=60 unchanged'!H76)/100)+103/POWER(1+('CurrentPor-LH=60 unchanged'!D76+'CurrentPor-LH=60 unchanged'!H76)/100,2))*100</f>
        <v>9601.2395558122898</v>
      </c>
      <c r="E76">
        <f>(3/(1+('CurrentPor-LH=60 unchanged'!C76+'CurrentPor-LH=60 unchanged'!I76)/100)+103/POWER(1+('CurrentPor-LH=60 unchanged'!D76+'CurrentPor-LH=60 unchanged'!I76)/100,2))*100</f>
        <v>9581.4547115644182</v>
      </c>
      <c r="F76">
        <f>Portfolio!B$5*'CurrentPor-LH=60 unchanged'!E76</f>
        <v>52143.895533915893</v>
      </c>
      <c r="G76">
        <f>Portfolio!B$6*'CurrentPor-LH=60 unchanged'!F76</f>
        <v>3696.2945087936532</v>
      </c>
      <c r="H76">
        <f>Portfolio!B$7*'CurrentPor-LH=60 unchanged'!J76</f>
        <v>2148.0998964419859</v>
      </c>
      <c r="I76">
        <f t="shared" si="2"/>
        <v>96493.537342205425</v>
      </c>
      <c r="J76">
        <f t="shared" si="1"/>
        <v>0</v>
      </c>
    </row>
    <row r="77" spans="1:10">
      <c r="A77" s="1">
        <v>45576</v>
      </c>
      <c r="B77">
        <f>(3/(1+('CurrentPor-LH=60 unchanged'!C77)/100)+103/POWER(1+('CurrentPor-LH=60 unchanged'!D77)/100,2))*100</f>
        <v>9707.5857774288397</v>
      </c>
      <c r="C77">
        <f>(3/(1+('CurrentPor-LH=60 unchanged'!C77+'CurrentPor-LH=60 unchanged'!G77)/100)+103/POWER(1+('CurrentPor-LH=60 unchanged'!D77+'CurrentPor-LH=60 unchanged'!G77)/100,2))*100</f>
        <v>9614.9673582483465</v>
      </c>
      <c r="D77">
        <f>(3/(1+('CurrentPor-LH=60 unchanged'!C77+'CurrentPor-LH=60 unchanged'!H77)/100)+103/POWER(1+('CurrentPor-LH=60 unchanged'!D77+'CurrentPor-LH=60 unchanged'!H77)/100,2))*100</f>
        <v>9601.2395558122898</v>
      </c>
      <c r="E77">
        <f>(3/(1+('CurrentPor-LH=60 unchanged'!C77+'CurrentPor-LH=60 unchanged'!I77)/100)+103/POWER(1+('CurrentPor-LH=60 unchanged'!D77+'CurrentPor-LH=60 unchanged'!I77)/100,2))*100</f>
        <v>9581.4547115644182</v>
      </c>
      <c r="F77">
        <f>Portfolio!B$5*'CurrentPor-LH=60 unchanged'!E77</f>
        <v>52143.895533915893</v>
      </c>
      <c r="G77">
        <f>Portfolio!B$6*'CurrentPor-LH=60 unchanged'!F77</f>
        <v>3696.2945087936532</v>
      </c>
      <c r="H77">
        <f>Portfolio!B$7*'CurrentPor-LH=60 unchanged'!J77</f>
        <v>2148.0998964419859</v>
      </c>
      <c r="I77">
        <f t="shared" si="2"/>
        <v>96493.537342205425</v>
      </c>
      <c r="J77">
        <f t="shared" si="1"/>
        <v>0</v>
      </c>
    </row>
    <row r="78" spans="1:10">
      <c r="A78" s="1">
        <v>45579</v>
      </c>
      <c r="B78">
        <f>(3/(1+('CurrentPor-LH=60 unchanged'!C78)/100)+103/POWER(1+('CurrentPor-LH=60 unchanged'!D78)/100,2))*100</f>
        <v>9707.5857774288397</v>
      </c>
      <c r="C78">
        <f>(3/(1+('CurrentPor-LH=60 unchanged'!C78+'CurrentPor-LH=60 unchanged'!G78)/100)+103/POWER(1+('CurrentPor-LH=60 unchanged'!D78+'CurrentPor-LH=60 unchanged'!G78)/100,2))*100</f>
        <v>9614.9673582483465</v>
      </c>
      <c r="D78">
        <f>(3/(1+('CurrentPor-LH=60 unchanged'!C78+'CurrentPor-LH=60 unchanged'!H78)/100)+103/POWER(1+('CurrentPor-LH=60 unchanged'!D78+'CurrentPor-LH=60 unchanged'!H78)/100,2))*100</f>
        <v>9601.2395558122898</v>
      </c>
      <c r="E78">
        <f>(3/(1+('CurrentPor-LH=60 unchanged'!C78+'CurrentPor-LH=60 unchanged'!I78)/100)+103/POWER(1+('CurrentPor-LH=60 unchanged'!D78+'CurrentPor-LH=60 unchanged'!I78)/100,2))*100</f>
        <v>9581.4547115644182</v>
      </c>
      <c r="F78">
        <f>Portfolio!B$5*'CurrentPor-LH=60 unchanged'!E78</f>
        <v>52143.895533915893</v>
      </c>
      <c r="G78">
        <f>Portfolio!B$6*'CurrentPor-LH=60 unchanged'!F78</f>
        <v>3696.2945087936532</v>
      </c>
      <c r="H78">
        <f>Portfolio!B$7*'CurrentPor-LH=60 unchanged'!J78</f>
        <v>2148.0998964419859</v>
      </c>
      <c r="I78">
        <f t="shared" si="2"/>
        <v>96493.537342205425</v>
      </c>
      <c r="J78">
        <f t="shared" ref="J78:J141" si="3">I78-I68</f>
        <v>0</v>
      </c>
    </row>
    <row r="79" spans="1:10">
      <c r="A79" s="1">
        <v>45580</v>
      </c>
      <c r="B79">
        <f>(3/(1+('CurrentPor-LH=60 unchanged'!C79)/100)+103/POWER(1+('CurrentPor-LH=60 unchanged'!D79)/100,2))*100</f>
        <v>9707.5857774288397</v>
      </c>
      <c r="C79">
        <f>(3/(1+('CurrentPor-LH=60 unchanged'!C79+'CurrentPor-LH=60 unchanged'!G79)/100)+103/POWER(1+('CurrentPor-LH=60 unchanged'!D79+'CurrentPor-LH=60 unchanged'!G79)/100,2))*100</f>
        <v>9614.9673582483465</v>
      </c>
      <c r="D79">
        <f>(3/(1+('CurrentPor-LH=60 unchanged'!C79+'CurrentPor-LH=60 unchanged'!H79)/100)+103/POWER(1+('CurrentPor-LH=60 unchanged'!D79+'CurrentPor-LH=60 unchanged'!H79)/100,2))*100</f>
        <v>9601.2395558122898</v>
      </c>
      <c r="E79">
        <f>(3/(1+('CurrentPor-LH=60 unchanged'!C79+'CurrentPor-LH=60 unchanged'!I79)/100)+103/POWER(1+('CurrentPor-LH=60 unchanged'!D79+'CurrentPor-LH=60 unchanged'!I79)/100,2))*100</f>
        <v>9581.4547115644182</v>
      </c>
      <c r="F79">
        <f>Portfolio!B$5*'CurrentPor-LH=60 unchanged'!E79</f>
        <v>52143.895533915893</v>
      </c>
      <c r="G79">
        <f>Portfolio!B$6*'CurrentPor-LH=60 unchanged'!F79</f>
        <v>3696.2945087936532</v>
      </c>
      <c r="H79">
        <f>Portfolio!B$7*'CurrentPor-LH=60 unchanged'!J79</f>
        <v>2148.0998964419859</v>
      </c>
      <c r="I79">
        <f t="shared" si="2"/>
        <v>96493.537342205425</v>
      </c>
      <c r="J79">
        <f t="shared" si="3"/>
        <v>0</v>
      </c>
    </row>
    <row r="80" spans="1:10">
      <c r="A80" s="1">
        <v>45581</v>
      </c>
      <c r="B80">
        <f>(3/(1+('CurrentPor-LH=60 unchanged'!C80)/100)+103/POWER(1+('CurrentPor-LH=60 unchanged'!D80)/100,2))*100</f>
        <v>9707.5857774288397</v>
      </c>
      <c r="C80">
        <f>(3/(1+('CurrentPor-LH=60 unchanged'!C80+'CurrentPor-LH=60 unchanged'!G80)/100)+103/POWER(1+('CurrentPor-LH=60 unchanged'!D80+'CurrentPor-LH=60 unchanged'!G80)/100,2))*100</f>
        <v>9614.9673582483465</v>
      </c>
      <c r="D80">
        <f>(3/(1+('CurrentPor-LH=60 unchanged'!C80+'CurrentPor-LH=60 unchanged'!H80)/100)+103/POWER(1+('CurrentPor-LH=60 unchanged'!D80+'CurrentPor-LH=60 unchanged'!H80)/100,2))*100</f>
        <v>9601.2395558122898</v>
      </c>
      <c r="E80">
        <f>(3/(1+('CurrentPor-LH=60 unchanged'!C80+'CurrentPor-LH=60 unchanged'!I80)/100)+103/POWER(1+('CurrentPor-LH=60 unchanged'!D80+'CurrentPor-LH=60 unchanged'!I80)/100,2))*100</f>
        <v>9581.4547115644182</v>
      </c>
      <c r="F80">
        <f>Portfolio!B$5*'CurrentPor-LH=60 unchanged'!E80</f>
        <v>52143.895533915893</v>
      </c>
      <c r="G80">
        <f>Portfolio!B$6*'CurrentPor-LH=60 unchanged'!F80</f>
        <v>3696.2945087936532</v>
      </c>
      <c r="H80">
        <f>Portfolio!B$7*'CurrentPor-LH=60 unchanged'!J80</f>
        <v>2148.0998964419859</v>
      </c>
      <c r="I80">
        <f t="shared" si="2"/>
        <v>96493.537342205425</v>
      </c>
      <c r="J80">
        <f t="shared" si="3"/>
        <v>0</v>
      </c>
    </row>
    <row r="81" spans="1:10">
      <c r="A81" s="1">
        <v>45582</v>
      </c>
      <c r="B81">
        <f>(3/(1+('CurrentPor-LH=60 unchanged'!C81)/100)+103/POWER(1+('CurrentPor-LH=60 unchanged'!D81)/100,2))*100</f>
        <v>9707.5857774288397</v>
      </c>
      <c r="C81">
        <f>(3/(1+('CurrentPor-LH=60 unchanged'!C81+'CurrentPor-LH=60 unchanged'!G81)/100)+103/POWER(1+('CurrentPor-LH=60 unchanged'!D81+'CurrentPor-LH=60 unchanged'!G81)/100,2))*100</f>
        <v>9614.9673582483465</v>
      </c>
      <c r="D81">
        <f>(3/(1+('CurrentPor-LH=60 unchanged'!C81+'CurrentPor-LH=60 unchanged'!H81)/100)+103/POWER(1+('CurrentPor-LH=60 unchanged'!D81+'CurrentPor-LH=60 unchanged'!H81)/100,2))*100</f>
        <v>9601.2395558122898</v>
      </c>
      <c r="E81">
        <f>(3/(1+('CurrentPor-LH=60 unchanged'!C81+'CurrentPor-LH=60 unchanged'!I81)/100)+103/POWER(1+('CurrentPor-LH=60 unchanged'!D81+'CurrentPor-LH=60 unchanged'!I81)/100,2))*100</f>
        <v>9581.4547115644182</v>
      </c>
      <c r="F81">
        <f>Portfolio!B$5*'CurrentPor-LH=60 unchanged'!E81</f>
        <v>52143.895533915893</v>
      </c>
      <c r="G81">
        <f>Portfolio!B$6*'CurrentPor-LH=60 unchanged'!F81</f>
        <v>3696.2945087936532</v>
      </c>
      <c r="H81">
        <f>Portfolio!B$7*'CurrentPor-LH=60 unchanged'!J81</f>
        <v>2148.0998964419859</v>
      </c>
      <c r="I81">
        <f t="shared" si="2"/>
        <v>96493.537342205425</v>
      </c>
      <c r="J81">
        <f t="shared" si="3"/>
        <v>0</v>
      </c>
    </row>
    <row r="82" spans="1:10">
      <c r="A82" s="1">
        <v>45583</v>
      </c>
      <c r="B82">
        <f>(3/(1+('CurrentPor-LH=60 unchanged'!C82)/100)+103/POWER(1+('CurrentPor-LH=60 unchanged'!D82)/100,2))*100</f>
        <v>9707.5857774288397</v>
      </c>
      <c r="C82">
        <f>(3/(1+('CurrentPor-LH=60 unchanged'!C82+'CurrentPor-LH=60 unchanged'!G82)/100)+103/POWER(1+('CurrentPor-LH=60 unchanged'!D82+'CurrentPor-LH=60 unchanged'!G82)/100,2))*100</f>
        <v>9614.9673582483465</v>
      </c>
      <c r="D82">
        <f>(3/(1+('CurrentPor-LH=60 unchanged'!C82+'CurrentPor-LH=60 unchanged'!H82)/100)+103/POWER(1+('CurrentPor-LH=60 unchanged'!D82+'CurrentPor-LH=60 unchanged'!H82)/100,2))*100</f>
        <v>9601.2395558122898</v>
      </c>
      <c r="E82">
        <f>(3/(1+('CurrentPor-LH=60 unchanged'!C82+'CurrentPor-LH=60 unchanged'!I82)/100)+103/POWER(1+('CurrentPor-LH=60 unchanged'!D82+'CurrentPor-LH=60 unchanged'!I82)/100,2))*100</f>
        <v>9581.4547115644182</v>
      </c>
      <c r="F82">
        <f>Portfolio!B$5*'CurrentPor-LH=60 unchanged'!E82</f>
        <v>52143.895533915893</v>
      </c>
      <c r="G82">
        <f>Portfolio!B$6*'CurrentPor-LH=60 unchanged'!F82</f>
        <v>3696.2945087936532</v>
      </c>
      <c r="H82">
        <f>Portfolio!B$7*'CurrentPor-LH=60 unchanged'!J82</f>
        <v>2148.0998964419859</v>
      </c>
      <c r="I82">
        <f t="shared" si="2"/>
        <v>96493.537342205425</v>
      </c>
      <c r="J82">
        <f t="shared" si="3"/>
        <v>0</v>
      </c>
    </row>
    <row r="83" spans="1:10">
      <c r="A83" s="1">
        <v>45586</v>
      </c>
      <c r="B83">
        <f>(3/(1+('CurrentPor-LH=60 unchanged'!C83)/100)+103/POWER(1+('CurrentPor-LH=60 unchanged'!D83)/100,2))*100</f>
        <v>9707.5857774288397</v>
      </c>
      <c r="C83">
        <f>(3/(1+('CurrentPor-LH=60 unchanged'!C83+'CurrentPor-LH=60 unchanged'!G83)/100)+103/POWER(1+('CurrentPor-LH=60 unchanged'!D83+'CurrentPor-LH=60 unchanged'!G83)/100,2))*100</f>
        <v>9614.9673582483465</v>
      </c>
      <c r="D83">
        <f>(3/(1+('CurrentPor-LH=60 unchanged'!C83+'CurrentPor-LH=60 unchanged'!H83)/100)+103/POWER(1+('CurrentPor-LH=60 unchanged'!D83+'CurrentPor-LH=60 unchanged'!H83)/100,2))*100</f>
        <v>9601.2395558122898</v>
      </c>
      <c r="E83">
        <f>(3/(1+('CurrentPor-LH=60 unchanged'!C83+'CurrentPor-LH=60 unchanged'!I83)/100)+103/POWER(1+('CurrentPor-LH=60 unchanged'!D83+'CurrentPor-LH=60 unchanged'!I83)/100,2))*100</f>
        <v>9581.4547115644182</v>
      </c>
      <c r="F83">
        <f>Portfolio!B$5*'CurrentPor-LH=60 unchanged'!E83</f>
        <v>52143.895533915893</v>
      </c>
      <c r="G83">
        <f>Portfolio!B$6*'CurrentPor-LH=60 unchanged'!F83</f>
        <v>3696.2945087936532</v>
      </c>
      <c r="H83">
        <f>Portfolio!B$7*'CurrentPor-LH=60 unchanged'!J83</f>
        <v>2148.0998964419859</v>
      </c>
      <c r="I83">
        <f t="shared" si="2"/>
        <v>96493.537342205425</v>
      </c>
      <c r="J83">
        <f t="shared" si="3"/>
        <v>0</v>
      </c>
    </row>
    <row r="84" spans="1:10">
      <c r="A84" s="1">
        <v>45587</v>
      </c>
      <c r="B84">
        <f>(3/(1+('CurrentPor-LH=60 unchanged'!C84)/100)+103/POWER(1+('CurrentPor-LH=60 unchanged'!D84)/100,2))*100</f>
        <v>9707.5857774288397</v>
      </c>
      <c r="C84">
        <f>(3/(1+('CurrentPor-LH=60 unchanged'!C84+'CurrentPor-LH=60 unchanged'!G84)/100)+103/POWER(1+('CurrentPor-LH=60 unchanged'!D84+'CurrentPor-LH=60 unchanged'!G84)/100,2))*100</f>
        <v>9614.9673582483465</v>
      </c>
      <c r="D84">
        <f>(3/(1+('CurrentPor-LH=60 unchanged'!C84+'CurrentPor-LH=60 unchanged'!H84)/100)+103/POWER(1+('CurrentPor-LH=60 unchanged'!D84+'CurrentPor-LH=60 unchanged'!H84)/100,2))*100</f>
        <v>9601.2395558122898</v>
      </c>
      <c r="E84">
        <f>(3/(1+('CurrentPor-LH=60 unchanged'!C84+'CurrentPor-LH=60 unchanged'!I84)/100)+103/POWER(1+('CurrentPor-LH=60 unchanged'!D84+'CurrentPor-LH=60 unchanged'!I84)/100,2))*100</f>
        <v>9581.4547115644182</v>
      </c>
      <c r="F84">
        <f>Portfolio!B$5*'CurrentPor-LH=60 unchanged'!E84</f>
        <v>52143.895533915893</v>
      </c>
      <c r="G84">
        <f>Portfolio!B$6*'CurrentPor-LH=60 unchanged'!F84</f>
        <v>3696.2945087936532</v>
      </c>
      <c r="H84">
        <f>Portfolio!B$7*'CurrentPor-LH=60 unchanged'!J84</f>
        <v>2148.0998964419859</v>
      </c>
      <c r="I84">
        <f t="shared" si="2"/>
        <v>96493.537342205425</v>
      </c>
      <c r="J84">
        <f t="shared" si="3"/>
        <v>0</v>
      </c>
    </row>
    <row r="85" spans="1:10">
      <c r="A85" s="1">
        <v>45588</v>
      </c>
      <c r="B85">
        <f>(3/(1+('CurrentPor-LH=60 unchanged'!C85)/100)+103/POWER(1+('CurrentPor-LH=60 unchanged'!D85)/100,2))*100</f>
        <v>9707.5857774288397</v>
      </c>
      <c r="C85">
        <f>(3/(1+('CurrentPor-LH=60 unchanged'!C85+'CurrentPor-LH=60 unchanged'!G85)/100)+103/POWER(1+('CurrentPor-LH=60 unchanged'!D85+'CurrentPor-LH=60 unchanged'!G85)/100,2))*100</f>
        <v>9614.9673582483465</v>
      </c>
      <c r="D85">
        <f>(3/(1+('CurrentPor-LH=60 unchanged'!C85+'CurrentPor-LH=60 unchanged'!H85)/100)+103/POWER(1+('CurrentPor-LH=60 unchanged'!D85+'CurrentPor-LH=60 unchanged'!H85)/100,2))*100</f>
        <v>9601.2395558122898</v>
      </c>
      <c r="E85">
        <f>(3/(1+('CurrentPor-LH=60 unchanged'!C85+'CurrentPor-LH=60 unchanged'!I85)/100)+103/POWER(1+('CurrentPor-LH=60 unchanged'!D85+'CurrentPor-LH=60 unchanged'!I85)/100,2))*100</f>
        <v>9581.4547115644182</v>
      </c>
      <c r="F85">
        <f>Portfolio!B$5*'CurrentPor-LH=60 unchanged'!E85</f>
        <v>52143.895533915893</v>
      </c>
      <c r="G85">
        <f>Portfolio!B$6*'CurrentPor-LH=60 unchanged'!F85</f>
        <v>3696.2945087936532</v>
      </c>
      <c r="H85">
        <f>Portfolio!B$7*'CurrentPor-LH=60 unchanged'!J85</f>
        <v>2148.0998964419859</v>
      </c>
      <c r="I85">
        <f t="shared" si="2"/>
        <v>96493.537342205425</v>
      </c>
      <c r="J85">
        <f t="shared" si="3"/>
        <v>0</v>
      </c>
    </row>
    <row r="86" spans="1:10">
      <c r="A86" s="1">
        <v>45589</v>
      </c>
      <c r="B86">
        <f>(3/(1+('CurrentPor-LH=60 unchanged'!C86)/100)+103/POWER(1+('CurrentPor-LH=60 unchanged'!D86)/100,2))*100</f>
        <v>9707.5857774288397</v>
      </c>
      <c r="C86">
        <f>(3/(1+('CurrentPor-LH=60 unchanged'!C86+'CurrentPor-LH=60 unchanged'!G86)/100)+103/POWER(1+('CurrentPor-LH=60 unchanged'!D86+'CurrentPor-LH=60 unchanged'!G86)/100,2))*100</f>
        <v>9614.9673582483465</v>
      </c>
      <c r="D86">
        <f>(3/(1+('CurrentPor-LH=60 unchanged'!C86+'CurrentPor-LH=60 unchanged'!H86)/100)+103/POWER(1+('CurrentPor-LH=60 unchanged'!D86+'CurrentPor-LH=60 unchanged'!H86)/100,2))*100</f>
        <v>9601.2395558122898</v>
      </c>
      <c r="E86">
        <f>(3/(1+('CurrentPor-LH=60 unchanged'!C86+'CurrentPor-LH=60 unchanged'!I86)/100)+103/POWER(1+('CurrentPor-LH=60 unchanged'!D86+'CurrentPor-LH=60 unchanged'!I86)/100,2))*100</f>
        <v>9581.4547115644182</v>
      </c>
      <c r="F86">
        <f>Portfolio!B$5*'CurrentPor-LH=60 unchanged'!E86</f>
        <v>52143.895533915893</v>
      </c>
      <c r="G86">
        <f>Portfolio!B$6*'CurrentPor-LH=60 unchanged'!F86</f>
        <v>3696.2945087936532</v>
      </c>
      <c r="H86">
        <f>Portfolio!B$7*'CurrentPor-LH=60 unchanged'!J86</f>
        <v>2148.0998964419859</v>
      </c>
      <c r="I86">
        <f t="shared" si="2"/>
        <v>96493.537342205425</v>
      </c>
      <c r="J86">
        <f t="shared" si="3"/>
        <v>0</v>
      </c>
    </row>
    <row r="87" spans="1:10">
      <c r="A87" s="1">
        <v>45590</v>
      </c>
      <c r="B87">
        <f>(3/(1+('CurrentPor-LH=60 unchanged'!C87)/100)+103/POWER(1+('CurrentPor-LH=60 unchanged'!D87)/100,2))*100</f>
        <v>9707.5857774288397</v>
      </c>
      <c r="C87">
        <f>(3/(1+('CurrentPor-LH=60 unchanged'!C87+'CurrentPor-LH=60 unchanged'!G87)/100)+103/POWER(1+('CurrentPor-LH=60 unchanged'!D87+'CurrentPor-LH=60 unchanged'!G87)/100,2))*100</f>
        <v>9614.9673582483465</v>
      </c>
      <c r="D87">
        <f>(3/(1+('CurrentPor-LH=60 unchanged'!C87+'CurrentPor-LH=60 unchanged'!H87)/100)+103/POWER(1+('CurrentPor-LH=60 unchanged'!D87+'CurrentPor-LH=60 unchanged'!H87)/100,2))*100</f>
        <v>9601.2395558122898</v>
      </c>
      <c r="E87">
        <f>(3/(1+('CurrentPor-LH=60 unchanged'!C87+'CurrentPor-LH=60 unchanged'!I87)/100)+103/POWER(1+('CurrentPor-LH=60 unchanged'!D87+'CurrentPor-LH=60 unchanged'!I87)/100,2))*100</f>
        <v>9581.4547115644182</v>
      </c>
      <c r="F87">
        <f>Portfolio!B$5*'CurrentPor-LH=60 unchanged'!E87</f>
        <v>52143.895533915893</v>
      </c>
      <c r="G87">
        <f>Portfolio!B$6*'CurrentPor-LH=60 unchanged'!F87</f>
        <v>3696.2945087936532</v>
      </c>
      <c r="H87">
        <f>Portfolio!B$7*'CurrentPor-LH=60 unchanged'!J87</f>
        <v>2148.0998964419859</v>
      </c>
      <c r="I87">
        <f t="shared" si="2"/>
        <v>96493.537342205425</v>
      </c>
      <c r="J87">
        <f t="shared" si="3"/>
        <v>0</v>
      </c>
    </row>
    <row r="88" spans="1:10">
      <c r="A88" s="1">
        <v>45593</v>
      </c>
      <c r="B88">
        <f>(3/(1+('CurrentPor-LH=60 unchanged'!C88)/100)+103/POWER(1+('CurrentPor-LH=60 unchanged'!D88)/100,2))*100</f>
        <v>9707.5857774288397</v>
      </c>
      <c r="C88">
        <f>(3/(1+('CurrentPor-LH=60 unchanged'!C88+'CurrentPor-LH=60 unchanged'!G88)/100)+103/POWER(1+('CurrentPor-LH=60 unchanged'!D88+'CurrentPor-LH=60 unchanged'!G88)/100,2))*100</f>
        <v>9614.9673582483465</v>
      </c>
      <c r="D88">
        <f>(3/(1+('CurrentPor-LH=60 unchanged'!C88+'CurrentPor-LH=60 unchanged'!H88)/100)+103/POWER(1+('CurrentPor-LH=60 unchanged'!D88+'CurrentPor-LH=60 unchanged'!H88)/100,2))*100</f>
        <v>9601.2395558122898</v>
      </c>
      <c r="E88">
        <f>(3/(1+('CurrentPor-LH=60 unchanged'!C88+'CurrentPor-LH=60 unchanged'!I88)/100)+103/POWER(1+('CurrentPor-LH=60 unchanged'!D88+'CurrentPor-LH=60 unchanged'!I88)/100,2))*100</f>
        <v>9581.4547115644182</v>
      </c>
      <c r="F88">
        <f>Portfolio!B$5*'CurrentPor-LH=60 unchanged'!E88</f>
        <v>52143.895533915893</v>
      </c>
      <c r="G88">
        <f>Portfolio!B$6*'CurrentPor-LH=60 unchanged'!F88</f>
        <v>3696.2945087936532</v>
      </c>
      <c r="H88">
        <f>Portfolio!B$7*'CurrentPor-LH=60 unchanged'!J88</f>
        <v>2148.0998964419859</v>
      </c>
      <c r="I88">
        <f t="shared" si="2"/>
        <v>96493.537342205425</v>
      </c>
      <c r="J88">
        <f t="shared" si="3"/>
        <v>0</v>
      </c>
    </row>
    <row r="89" spans="1:10">
      <c r="A89" s="1">
        <v>45594</v>
      </c>
      <c r="B89">
        <f>(3/(1+('CurrentPor-LH=60 unchanged'!C89)/100)+103/POWER(1+('CurrentPor-LH=60 unchanged'!D89)/100,2))*100</f>
        <v>9707.5857774288397</v>
      </c>
      <c r="C89">
        <f>(3/(1+('CurrentPor-LH=60 unchanged'!C89+'CurrentPor-LH=60 unchanged'!G89)/100)+103/POWER(1+('CurrentPor-LH=60 unchanged'!D89+'CurrentPor-LH=60 unchanged'!G89)/100,2))*100</f>
        <v>9614.9673582483465</v>
      </c>
      <c r="D89">
        <f>(3/(1+('CurrentPor-LH=60 unchanged'!C89+'CurrentPor-LH=60 unchanged'!H89)/100)+103/POWER(1+('CurrentPor-LH=60 unchanged'!D89+'CurrentPor-LH=60 unchanged'!H89)/100,2))*100</f>
        <v>9601.2395558122898</v>
      </c>
      <c r="E89">
        <f>(3/(1+('CurrentPor-LH=60 unchanged'!C89+'CurrentPor-LH=60 unchanged'!I89)/100)+103/POWER(1+('CurrentPor-LH=60 unchanged'!D89+'CurrentPor-LH=60 unchanged'!I89)/100,2))*100</f>
        <v>9581.4547115644182</v>
      </c>
      <c r="F89">
        <f>Portfolio!B$5*'CurrentPor-LH=60 unchanged'!E89</f>
        <v>52143.895533915893</v>
      </c>
      <c r="G89">
        <f>Portfolio!B$6*'CurrentPor-LH=60 unchanged'!F89</f>
        <v>3696.2945087936532</v>
      </c>
      <c r="H89">
        <f>Portfolio!B$7*'CurrentPor-LH=60 unchanged'!J89</f>
        <v>2148.0998964419859</v>
      </c>
      <c r="I89">
        <f t="shared" si="2"/>
        <v>96493.537342205425</v>
      </c>
      <c r="J89">
        <f t="shared" si="3"/>
        <v>0</v>
      </c>
    </row>
    <row r="90" spans="1:10">
      <c r="A90" s="1">
        <v>45595</v>
      </c>
      <c r="B90">
        <f>(3/(1+('CurrentPor-LH=60 unchanged'!C90)/100)+103/POWER(1+('CurrentPor-LH=60 unchanged'!D90)/100,2))*100</f>
        <v>9707.5857774288397</v>
      </c>
      <c r="C90">
        <f>(3/(1+('CurrentPor-LH=60 unchanged'!C90+'CurrentPor-LH=60 unchanged'!G90)/100)+103/POWER(1+('CurrentPor-LH=60 unchanged'!D90+'CurrentPor-LH=60 unchanged'!G90)/100,2))*100</f>
        <v>9614.9673582483465</v>
      </c>
      <c r="D90">
        <f>(3/(1+('CurrentPor-LH=60 unchanged'!C90+'CurrentPor-LH=60 unchanged'!H90)/100)+103/POWER(1+('CurrentPor-LH=60 unchanged'!D90+'CurrentPor-LH=60 unchanged'!H90)/100,2))*100</f>
        <v>9601.2395558122898</v>
      </c>
      <c r="E90">
        <f>(3/(1+('CurrentPor-LH=60 unchanged'!C90+'CurrentPor-LH=60 unchanged'!I90)/100)+103/POWER(1+('CurrentPor-LH=60 unchanged'!D90+'CurrentPor-LH=60 unchanged'!I90)/100,2))*100</f>
        <v>9581.4547115644182</v>
      </c>
      <c r="F90">
        <f>Portfolio!B$5*'CurrentPor-LH=60 unchanged'!E90</f>
        <v>52143.895533915893</v>
      </c>
      <c r="G90">
        <f>Portfolio!B$6*'CurrentPor-LH=60 unchanged'!F90</f>
        <v>3696.2945087936532</v>
      </c>
      <c r="H90">
        <f>Portfolio!B$7*'CurrentPor-LH=60 unchanged'!J90</f>
        <v>2148.0998964419859</v>
      </c>
      <c r="I90">
        <f t="shared" si="2"/>
        <v>96493.537342205425</v>
      </c>
      <c r="J90">
        <f t="shared" si="3"/>
        <v>0</v>
      </c>
    </row>
    <row r="91" spans="1:10">
      <c r="A91" s="1">
        <v>45596</v>
      </c>
      <c r="B91">
        <f>(3/(1+('CurrentPor-LH=60 unchanged'!C91)/100)+103/POWER(1+('CurrentPor-LH=60 unchanged'!D91)/100,2))*100</f>
        <v>9707.5857774288397</v>
      </c>
      <c r="C91">
        <f>(3/(1+('CurrentPor-LH=60 unchanged'!C91+'CurrentPor-LH=60 unchanged'!G91)/100)+103/POWER(1+('CurrentPor-LH=60 unchanged'!D91+'CurrentPor-LH=60 unchanged'!G91)/100,2))*100</f>
        <v>9614.9673582483465</v>
      </c>
      <c r="D91">
        <f>(3/(1+('CurrentPor-LH=60 unchanged'!C91+'CurrentPor-LH=60 unchanged'!H91)/100)+103/POWER(1+('CurrentPor-LH=60 unchanged'!D91+'CurrentPor-LH=60 unchanged'!H91)/100,2))*100</f>
        <v>9601.2395558122898</v>
      </c>
      <c r="E91">
        <f>(3/(1+('CurrentPor-LH=60 unchanged'!C91+'CurrentPor-LH=60 unchanged'!I91)/100)+103/POWER(1+('CurrentPor-LH=60 unchanged'!D91+'CurrentPor-LH=60 unchanged'!I91)/100,2))*100</f>
        <v>9581.4547115644182</v>
      </c>
      <c r="F91">
        <f>Portfolio!B$5*'CurrentPor-LH=60 unchanged'!E91</f>
        <v>52143.895533915893</v>
      </c>
      <c r="G91">
        <f>Portfolio!B$6*'CurrentPor-LH=60 unchanged'!F91</f>
        <v>3696.2945087936532</v>
      </c>
      <c r="H91">
        <f>Portfolio!B$7*'CurrentPor-LH=60 unchanged'!J91</f>
        <v>2148.0998964419859</v>
      </c>
      <c r="I91">
        <f t="shared" si="2"/>
        <v>96493.537342205425</v>
      </c>
      <c r="J91">
        <f t="shared" si="3"/>
        <v>0</v>
      </c>
    </row>
    <row r="92" spans="1:10">
      <c r="A92" s="1">
        <v>45597</v>
      </c>
      <c r="B92">
        <f>(3/(1+('CurrentPor-LH=60 unchanged'!C92)/100)+103/POWER(1+('CurrentPor-LH=60 unchanged'!D92)/100,2))*100</f>
        <v>9707.5857774288397</v>
      </c>
      <c r="C92">
        <f>(3/(1+('CurrentPor-LH=60 unchanged'!C92+'CurrentPor-LH=60 unchanged'!G92)/100)+103/POWER(1+('CurrentPor-LH=60 unchanged'!D92+'CurrentPor-LH=60 unchanged'!G92)/100,2))*100</f>
        <v>9614.9673582483465</v>
      </c>
      <c r="D92">
        <f>(3/(1+('CurrentPor-LH=60 unchanged'!C92+'CurrentPor-LH=60 unchanged'!H92)/100)+103/POWER(1+('CurrentPor-LH=60 unchanged'!D92+'CurrentPor-LH=60 unchanged'!H92)/100,2))*100</f>
        <v>9601.2395558122898</v>
      </c>
      <c r="E92">
        <f>(3/(1+('CurrentPor-LH=60 unchanged'!C92+'CurrentPor-LH=60 unchanged'!I92)/100)+103/POWER(1+('CurrentPor-LH=60 unchanged'!D92+'CurrentPor-LH=60 unchanged'!I92)/100,2))*100</f>
        <v>9581.4547115644182</v>
      </c>
      <c r="F92">
        <f>Portfolio!B$5*'CurrentPor-LH=60 unchanged'!E92</f>
        <v>52143.895533915893</v>
      </c>
      <c r="G92">
        <f>Portfolio!B$6*'CurrentPor-LH=60 unchanged'!F92</f>
        <v>3696.2945087936532</v>
      </c>
      <c r="H92">
        <f>Portfolio!B$7*'CurrentPor-LH=60 unchanged'!J92</f>
        <v>2148.0998964419859</v>
      </c>
      <c r="I92">
        <f t="shared" si="2"/>
        <v>96493.537342205425</v>
      </c>
      <c r="J92">
        <f t="shared" si="3"/>
        <v>0</v>
      </c>
    </row>
    <row r="93" spans="1:10">
      <c r="A93" s="1">
        <v>45600</v>
      </c>
      <c r="B93">
        <f>(3/(1+('CurrentPor-LH=60 unchanged'!C93)/100)+103/POWER(1+('CurrentPor-LH=60 unchanged'!D93)/100,2))*100</f>
        <v>9707.5857774288397</v>
      </c>
      <c r="C93">
        <f>(3/(1+('CurrentPor-LH=60 unchanged'!C93+'CurrentPor-LH=60 unchanged'!G93)/100)+103/POWER(1+('CurrentPor-LH=60 unchanged'!D93+'CurrentPor-LH=60 unchanged'!G93)/100,2))*100</f>
        <v>9614.9673582483465</v>
      </c>
      <c r="D93">
        <f>(3/(1+('CurrentPor-LH=60 unchanged'!C93+'CurrentPor-LH=60 unchanged'!H93)/100)+103/POWER(1+('CurrentPor-LH=60 unchanged'!D93+'CurrentPor-LH=60 unchanged'!H93)/100,2))*100</f>
        <v>9601.2395558122898</v>
      </c>
      <c r="E93">
        <f>(3/(1+('CurrentPor-LH=60 unchanged'!C93+'CurrentPor-LH=60 unchanged'!I93)/100)+103/POWER(1+('CurrentPor-LH=60 unchanged'!D93+'CurrentPor-LH=60 unchanged'!I93)/100,2))*100</f>
        <v>9581.4547115644182</v>
      </c>
      <c r="F93">
        <f>Portfolio!B$5*'CurrentPor-LH=60 unchanged'!E93</f>
        <v>52143.895533915893</v>
      </c>
      <c r="G93">
        <f>Portfolio!B$6*'CurrentPor-LH=60 unchanged'!F93</f>
        <v>3696.2945087936532</v>
      </c>
      <c r="H93">
        <f>Portfolio!B$7*'CurrentPor-LH=60 unchanged'!J93</f>
        <v>2148.0998964419859</v>
      </c>
      <c r="I93">
        <f t="shared" si="2"/>
        <v>96493.537342205425</v>
      </c>
      <c r="J93">
        <f t="shared" si="3"/>
        <v>0</v>
      </c>
    </row>
    <row r="94" spans="1:10">
      <c r="A94" s="1">
        <v>45601</v>
      </c>
      <c r="B94">
        <f>(3/(1+('CurrentPor-LH=60 unchanged'!C94)/100)+103/POWER(1+('CurrentPor-LH=60 unchanged'!D94)/100,2))*100</f>
        <v>9707.5857774288397</v>
      </c>
      <c r="C94">
        <f>(3/(1+('CurrentPor-LH=60 unchanged'!C94+'CurrentPor-LH=60 unchanged'!G94)/100)+103/POWER(1+('CurrentPor-LH=60 unchanged'!D94+'CurrentPor-LH=60 unchanged'!G94)/100,2))*100</f>
        <v>9614.9673582483465</v>
      </c>
      <c r="D94">
        <f>(3/(1+('CurrentPor-LH=60 unchanged'!C94+'CurrentPor-LH=60 unchanged'!H94)/100)+103/POWER(1+('CurrentPor-LH=60 unchanged'!D94+'CurrentPor-LH=60 unchanged'!H94)/100,2))*100</f>
        <v>9601.2395558122898</v>
      </c>
      <c r="E94">
        <f>(3/(1+('CurrentPor-LH=60 unchanged'!C94+'CurrentPor-LH=60 unchanged'!I94)/100)+103/POWER(1+('CurrentPor-LH=60 unchanged'!D94+'CurrentPor-LH=60 unchanged'!I94)/100,2))*100</f>
        <v>9581.4547115644182</v>
      </c>
      <c r="F94">
        <f>Portfolio!B$5*'CurrentPor-LH=60 unchanged'!E94</f>
        <v>52143.895533915893</v>
      </c>
      <c r="G94">
        <f>Portfolio!B$6*'CurrentPor-LH=60 unchanged'!F94</f>
        <v>3696.2945087936532</v>
      </c>
      <c r="H94">
        <f>Portfolio!B$7*'CurrentPor-LH=60 unchanged'!J94</f>
        <v>2148.0998964419859</v>
      </c>
      <c r="I94">
        <f t="shared" si="2"/>
        <v>96493.537342205425</v>
      </c>
      <c r="J94">
        <f t="shared" si="3"/>
        <v>0</v>
      </c>
    </row>
    <row r="95" spans="1:10">
      <c r="A95" s="1">
        <v>45602</v>
      </c>
      <c r="B95">
        <f>(3/(1+('CurrentPor-LH=60 unchanged'!C95)/100)+103/POWER(1+('CurrentPor-LH=60 unchanged'!D95)/100,2))*100</f>
        <v>9707.5857774288397</v>
      </c>
      <c r="C95">
        <f>(3/(1+('CurrentPor-LH=60 unchanged'!C95+'CurrentPor-LH=60 unchanged'!G95)/100)+103/POWER(1+('CurrentPor-LH=60 unchanged'!D95+'CurrentPor-LH=60 unchanged'!G95)/100,2))*100</f>
        <v>9614.9673582483465</v>
      </c>
      <c r="D95">
        <f>(3/(1+('CurrentPor-LH=60 unchanged'!C95+'CurrentPor-LH=60 unchanged'!H95)/100)+103/POWER(1+('CurrentPor-LH=60 unchanged'!D95+'CurrentPor-LH=60 unchanged'!H95)/100,2))*100</f>
        <v>9601.2395558122898</v>
      </c>
      <c r="E95">
        <f>(3/(1+('CurrentPor-LH=60 unchanged'!C95+'CurrentPor-LH=60 unchanged'!I95)/100)+103/POWER(1+('CurrentPor-LH=60 unchanged'!D95+'CurrentPor-LH=60 unchanged'!I95)/100,2))*100</f>
        <v>9581.4547115644182</v>
      </c>
      <c r="F95">
        <f>Portfolio!B$5*'CurrentPor-LH=60 unchanged'!E95</f>
        <v>52143.895533915893</v>
      </c>
      <c r="G95">
        <f>Portfolio!B$6*'CurrentPor-LH=60 unchanged'!F95</f>
        <v>3696.2945087936532</v>
      </c>
      <c r="H95">
        <f>Portfolio!B$7*'CurrentPor-LH=60 unchanged'!J95</f>
        <v>2148.0998964419859</v>
      </c>
      <c r="I95">
        <f t="shared" si="2"/>
        <v>96493.537342205425</v>
      </c>
      <c r="J95">
        <f t="shared" si="3"/>
        <v>0</v>
      </c>
    </row>
    <row r="96" spans="1:10">
      <c r="A96" s="1">
        <v>45603</v>
      </c>
      <c r="B96">
        <f>(3/(1+('CurrentPor-LH=60 unchanged'!C96)/100)+103/POWER(1+('CurrentPor-LH=60 unchanged'!D96)/100,2))*100</f>
        <v>9707.5857774288397</v>
      </c>
      <c r="C96">
        <f>(3/(1+('CurrentPor-LH=60 unchanged'!C96+'CurrentPor-LH=60 unchanged'!G96)/100)+103/POWER(1+('CurrentPor-LH=60 unchanged'!D96+'CurrentPor-LH=60 unchanged'!G96)/100,2))*100</f>
        <v>9614.9673582483465</v>
      </c>
      <c r="D96">
        <f>(3/(1+('CurrentPor-LH=60 unchanged'!C96+'CurrentPor-LH=60 unchanged'!H96)/100)+103/POWER(1+('CurrentPor-LH=60 unchanged'!D96+'CurrentPor-LH=60 unchanged'!H96)/100,2))*100</f>
        <v>9601.2395558122898</v>
      </c>
      <c r="E96">
        <f>(3/(1+('CurrentPor-LH=60 unchanged'!C96+'CurrentPor-LH=60 unchanged'!I96)/100)+103/POWER(1+('CurrentPor-LH=60 unchanged'!D96+'CurrentPor-LH=60 unchanged'!I96)/100,2))*100</f>
        <v>9581.4547115644182</v>
      </c>
      <c r="F96">
        <f>Portfolio!B$5*'CurrentPor-LH=60 unchanged'!E96</f>
        <v>52143.895533915893</v>
      </c>
      <c r="G96">
        <f>Portfolio!B$6*'CurrentPor-LH=60 unchanged'!F96</f>
        <v>3696.2945087936532</v>
      </c>
      <c r="H96">
        <f>Portfolio!B$7*'CurrentPor-LH=60 unchanged'!J96</f>
        <v>2148.0998964419859</v>
      </c>
      <c r="I96">
        <f t="shared" si="2"/>
        <v>96493.537342205425</v>
      </c>
      <c r="J96">
        <f t="shared" si="3"/>
        <v>0</v>
      </c>
    </row>
    <row r="97" spans="1:10">
      <c r="A97" s="1">
        <v>45604</v>
      </c>
      <c r="B97">
        <f>(3/(1+('CurrentPor-LH=60 unchanged'!C97)/100)+103/POWER(1+('CurrentPor-LH=60 unchanged'!D97)/100,2))*100</f>
        <v>9707.5857774288397</v>
      </c>
      <c r="C97">
        <f>(3/(1+('CurrentPor-LH=60 unchanged'!C97+'CurrentPor-LH=60 unchanged'!G97)/100)+103/POWER(1+('CurrentPor-LH=60 unchanged'!D97+'CurrentPor-LH=60 unchanged'!G97)/100,2))*100</f>
        <v>9614.9673582483465</v>
      </c>
      <c r="D97">
        <f>(3/(1+('CurrentPor-LH=60 unchanged'!C97+'CurrentPor-LH=60 unchanged'!H97)/100)+103/POWER(1+('CurrentPor-LH=60 unchanged'!D97+'CurrentPor-LH=60 unchanged'!H97)/100,2))*100</f>
        <v>9601.2395558122898</v>
      </c>
      <c r="E97">
        <f>(3/(1+('CurrentPor-LH=60 unchanged'!C97+'CurrentPor-LH=60 unchanged'!I97)/100)+103/POWER(1+('CurrentPor-LH=60 unchanged'!D97+'CurrentPor-LH=60 unchanged'!I97)/100,2))*100</f>
        <v>9581.4547115644182</v>
      </c>
      <c r="F97">
        <f>Portfolio!B$5*'CurrentPor-LH=60 unchanged'!E97</f>
        <v>52143.895533915893</v>
      </c>
      <c r="G97">
        <f>Portfolio!B$6*'CurrentPor-LH=60 unchanged'!F97</f>
        <v>3696.2945087936532</v>
      </c>
      <c r="H97">
        <f>Portfolio!B$7*'CurrentPor-LH=60 unchanged'!J97</f>
        <v>2148.0998964419859</v>
      </c>
      <c r="I97">
        <f t="shared" si="2"/>
        <v>96493.537342205425</v>
      </c>
      <c r="J97">
        <f t="shared" si="3"/>
        <v>0</v>
      </c>
    </row>
    <row r="98" spans="1:10">
      <c r="A98" s="1">
        <v>45607</v>
      </c>
      <c r="B98">
        <f>(3/(1+('CurrentPor-LH=60 unchanged'!C98)/100)+103/POWER(1+('CurrentPor-LH=60 unchanged'!D98)/100,2))*100</f>
        <v>9707.5857774288397</v>
      </c>
      <c r="C98">
        <f>(3/(1+('CurrentPor-LH=60 unchanged'!C98+'CurrentPor-LH=60 unchanged'!G98)/100)+103/POWER(1+('CurrentPor-LH=60 unchanged'!D98+'CurrentPor-LH=60 unchanged'!G98)/100,2))*100</f>
        <v>9614.9673582483465</v>
      </c>
      <c r="D98">
        <f>(3/(1+('CurrentPor-LH=60 unchanged'!C98+'CurrentPor-LH=60 unchanged'!H98)/100)+103/POWER(1+('CurrentPor-LH=60 unchanged'!D98+'CurrentPor-LH=60 unchanged'!H98)/100,2))*100</f>
        <v>9601.2395558122898</v>
      </c>
      <c r="E98">
        <f>(3/(1+('CurrentPor-LH=60 unchanged'!C98+'CurrentPor-LH=60 unchanged'!I98)/100)+103/POWER(1+('CurrentPor-LH=60 unchanged'!D98+'CurrentPor-LH=60 unchanged'!I98)/100,2))*100</f>
        <v>9581.4547115644182</v>
      </c>
      <c r="F98">
        <f>Portfolio!B$5*'CurrentPor-LH=60 unchanged'!E98</f>
        <v>52143.895533915893</v>
      </c>
      <c r="G98">
        <f>Portfolio!B$6*'CurrentPor-LH=60 unchanged'!F98</f>
        <v>3696.2945087936532</v>
      </c>
      <c r="H98">
        <f>Portfolio!B$7*'CurrentPor-LH=60 unchanged'!J98</f>
        <v>2148.0998964419859</v>
      </c>
      <c r="I98">
        <f t="shared" si="2"/>
        <v>96493.537342205425</v>
      </c>
      <c r="J98">
        <f t="shared" si="3"/>
        <v>0</v>
      </c>
    </row>
    <row r="99" spans="1:10">
      <c r="A99" s="1">
        <v>45608</v>
      </c>
      <c r="B99">
        <f>(3/(1+('CurrentPor-LH=60 unchanged'!C99)/100)+103/POWER(1+('CurrentPor-LH=60 unchanged'!D99)/100,2))*100</f>
        <v>9707.5857774288397</v>
      </c>
      <c r="C99">
        <f>(3/(1+('CurrentPor-LH=60 unchanged'!C99+'CurrentPor-LH=60 unchanged'!G99)/100)+103/POWER(1+('CurrentPor-LH=60 unchanged'!D99+'CurrentPor-LH=60 unchanged'!G99)/100,2))*100</f>
        <v>9614.9673582483465</v>
      </c>
      <c r="D99">
        <f>(3/(1+('CurrentPor-LH=60 unchanged'!C99+'CurrentPor-LH=60 unchanged'!H99)/100)+103/POWER(1+('CurrentPor-LH=60 unchanged'!D99+'CurrentPor-LH=60 unchanged'!H99)/100,2))*100</f>
        <v>9601.2395558122898</v>
      </c>
      <c r="E99">
        <f>(3/(1+('CurrentPor-LH=60 unchanged'!C99+'CurrentPor-LH=60 unchanged'!I99)/100)+103/POWER(1+('CurrentPor-LH=60 unchanged'!D99+'CurrentPor-LH=60 unchanged'!I99)/100,2))*100</f>
        <v>9581.4547115644182</v>
      </c>
      <c r="F99">
        <f>Portfolio!B$5*'CurrentPor-LH=60 unchanged'!E99</f>
        <v>52143.895533915893</v>
      </c>
      <c r="G99">
        <f>Portfolio!B$6*'CurrentPor-LH=60 unchanged'!F99</f>
        <v>3696.2945087936532</v>
      </c>
      <c r="H99">
        <f>Portfolio!B$7*'CurrentPor-LH=60 unchanged'!J99</f>
        <v>2148.0998964419859</v>
      </c>
      <c r="I99">
        <f t="shared" si="2"/>
        <v>96493.537342205425</v>
      </c>
      <c r="J99">
        <f t="shared" si="3"/>
        <v>0</v>
      </c>
    </row>
    <row r="100" spans="1:10">
      <c r="A100" s="1">
        <v>45609</v>
      </c>
      <c r="B100">
        <f>(3/(1+('CurrentPor-LH=60 unchanged'!C100)/100)+103/POWER(1+('CurrentPor-LH=60 unchanged'!D100)/100,2))*100</f>
        <v>9707.5857774288397</v>
      </c>
      <c r="C100">
        <f>(3/(1+('CurrentPor-LH=60 unchanged'!C100+'CurrentPor-LH=60 unchanged'!G100)/100)+103/POWER(1+('CurrentPor-LH=60 unchanged'!D100+'CurrentPor-LH=60 unchanged'!G100)/100,2))*100</f>
        <v>9614.9673582483465</v>
      </c>
      <c r="D100">
        <f>(3/(1+('CurrentPor-LH=60 unchanged'!C100+'CurrentPor-LH=60 unchanged'!H100)/100)+103/POWER(1+('CurrentPor-LH=60 unchanged'!D100+'CurrentPor-LH=60 unchanged'!H100)/100,2))*100</f>
        <v>9601.2395558122898</v>
      </c>
      <c r="E100">
        <f>(3/(1+('CurrentPor-LH=60 unchanged'!C100+'CurrentPor-LH=60 unchanged'!I100)/100)+103/POWER(1+('CurrentPor-LH=60 unchanged'!D100+'CurrentPor-LH=60 unchanged'!I100)/100,2))*100</f>
        <v>9581.4547115644182</v>
      </c>
      <c r="F100">
        <f>Portfolio!B$5*'CurrentPor-LH=60 unchanged'!E100</f>
        <v>52143.895533915893</v>
      </c>
      <c r="G100">
        <f>Portfolio!B$6*'CurrentPor-LH=60 unchanged'!F100</f>
        <v>3696.2945087936532</v>
      </c>
      <c r="H100">
        <f>Portfolio!B$7*'CurrentPor-LH=60 unchanged'!J100</f>
        <v>2148.0998964419859</v>
      </c>
      <c r="I100">
        <f t="shared" si="2"/>
        <v>96493.537342205425</v>
      </c>
      <c r="J100">
        <f t="shared" si="3"/>
        <v>0</v>
      </c>
    </row>
    <row r="101" spans="1:10">
      <c r="A101" s="1">
        <v>45610</v>
      </c>
      <c r="B101">
        <f>(3/(1+('CurrentPor-LH=60 unchanged'!C101)/100)+103/POWER(1+('CurrentPor-LH=60 unchanged'!D101)/100,2))*100</f>
        <v>9707.5857774288397</v>
      </c>
      <c r="C101">
        <f>(3/(1+('CurrentPor-LH=60 unchanged'!C101+'CurrentPor-LH=60 unchanged'!G101)/100)+103/POWER(1+('CurrentPor-LH=60 unchanged'!D101+'CurrentPor-LH=60 unchanged'!G101)/100,2))*100</f>
        <v>9614.9673582483465</v>
      </c>
      <c r="D101">
        <f>(3/(1+('CurrentPor-LH=60 unchanged'!C101+'CurrentPor-LH=60 unchanged'!H101)/100)+103/POWER(1+('CurrentPor-LH=60 unchanged'!D101+'CurrentPor-LH=60 unchanged'!H101)/100,2))*100</f>
        <v>9601.2395558122898</v>
      </c>
      <c r="E101">
        <f>(3/(1+('CurrentPor-LH=60 unchanged'!C101+'CurrentPor-LH=60 unchanged'!I101)/100)+103/POWER(1+('CurrentPor-LH=60 unchanged'!D101+'CurrentPor-LH=60 unchanged'!I101)/100,2))*100</f>
        <v>9581.4547115644182</v>
      </c>
      <c r="F101">
        <f>Portfolio!B$5*'CurrentPor-LH=60 unchanged'!E101</f>
        <v>52143.895533915893</v>
      </c>
      <c r="G101">
        <f>Portfolio!B$6*'CurrentPor-LH=60 unchanged'!F101</f>
        <v>3696.2945087936532</v>
      </c>
      <c r="H101">
        <f>Portfolio!B$7*'CurrentPor-LH=60 unchanged'!J101</f>
        <v>2148.0998964419859</v>
      </c>
      <c r="I101">
        <f t="shared" si="2"/>
        <v>96493.537342205425</v>
      </c>
      <c r="J101">
        <f t="shared" si="3"/>
        <v>0</v>
      </c>
    </row>
    <row r="102" spans="1:10">
      <c r="A102" s="1">
        <v>45611</v>
      </c>
      <c r="B102">
        <f>(3/(1+('CurrentPor-LH=60 unchanged'!C102)/100)+103/POWER(1+('CurrentPor-LH=60 unchanged'!D102)/100,2))*100</f>
        <v>9707.5857774288397</v>
      </c>
      <c r="C102">
        <f>(3/(1+('CurrentPor-LH=60 unchanged'!C102+'CurrentPor-LH=60 unchanged'!G102)/100)+103/POWER(1+('CurrentPor-LH=60 unchanged'!D102+'CurrentPor-LH=60 unchanged'!G102)/100,2))*100</f>
        <v>9614.9673582483465</v>
      </c>
      <c r="D102">
        <f>(3/(1+('CurrentPor-LH=60 unchanged'!C102+'CurrentPor-LH=60 unchanged'!H102)/100)+103/POWER(1+('CurrentPor-LH=60 unchanged'!D102+'CurrentPor-LH=60 unchanged'!H102)/100,2))*100</f>
        <v>9601.2395558122898</v>
      </c>
      <c r="E102">
        <f>(3/(1+('CurrentPor-LH=60 unchanged'!C102+'CurrentPor-LH=60 unchanged'!I102)/100)+103/POWER(1+('CurrentPor-LH=60 unchanged'!D102+'CurrentPor-LH=60 unchanged'!I102)/100,2))*100</f>
        <v>9581.4547115644182</v>
      </c>
      <c r="F102">
        <f>Portfolio!B$5*'CurrentPor-LH=60 unchanged'!E102</f>
        <v>52143.895533915893</v>
      </c>
      <c r="G102">
        <f>Portfolio!B$6*'CurrentPor-LH=60 unchanged'!F102</f>
        <v>3696.2945087936532</v>
      </c>
      <c r="H102">
        <f>Portfolio!B$7*'CurrentPor-LH=60 unchanged'!J102</f>
        <v>2148.0998964419859</v>
      </c>
      <c r="I102">
        <f t="shared" si="2"/>
        <v>96493.537342205425</v>
      </c>
      <c r="J102">
        <f t="shared" si="3"/>
        <v>0</v>
      </c>
    </row>
    <row r="103" spans="1:10">
      <c r="A103" s="1">
        <v>45614</v>
      </c>
      <c r="B103">
        <f>(3/(1+('CurrentPor-LH=60 unchanged'!C103)/100)+103/POWER(1+('CurrentPor-LH=60 unchanged'!D103)/100,2))*100</f>
        <v>9707.5857774288397</v>
      </c>
      <c r="C103">
        <f>(3/(1+('CurrentPor-LH=60 unchanged'!C103+'CurrentPor-LH=60 unchanged'!G103)/100)+103/POWER(1+('CurrentPor-LH=60 unchanged'!D103+'CurrentPor-LH=60 unchanged'!G103)/100,2))*100</f>
        <v>9614.9673582483465</v>
      </c>
      <c r="D103">
        <f>(3/(1+('CurrentPor-LH=60 unchanged'!C103+'CurrentPor-LH=60 unchanged'!H103)/100)+103/POWER(1+('CurrentPor-LH=60 unchanged'!D103+'CurrentPor-LH=60 unchanged'!H103)/100,2))*100</f>
        <v>9601.2395558122898</v>
      </c>
      <c r="E103">
        <f>(3/(1+('CurrentPor-LH=60 unchanged'!C103+'CurrentPor-LH=60 unchanged'!I103)/100)+103/POWER(1+('CurrentPor-LH=60 unchanged'!D103+'CurrentPor-LH=60 unchanged'!I103)/100,2))*100</f>
        <v>9581.4547115644182</v>
      </c>
      <c r="F103">
        <f>Portfolio!B$5*'CurrentPor-LH=60 unchanged'!E103</f>
        <v>52143.895533915893</v>
      </c>
      <c r="G103">
        <f>Portfolio!B$6*'CurrentPor-LH=60 unchanged'!F103</f>
        <v>3696.2945087936532</v>
      </c>
      <c r="H103">
        <f>Portfolio!B$7*'CurrentPor-LH=60 unchanged'!J103</f>
        <v>2148.0998964419859</v>
      </c>
      <c r="I103">
        <f t="shared" si="2"/>
        <v>96493.537342205425</v>
      </c>
      <c r="J103">
        <f t="shared" si="3"/>
        <v>0</v>
      </c>
    </row>
    <row r="104" spans="1:10">
      <c r="A104" s="1">
        <v>45615</v>
      </c>
      <c r="B104">
        <f>(3/(1+('CurrentPor-LH=60 unchanged'!C104)/100)+103/POWER(1+('CurrentPor-LH=60 unchanged'!D104)/100,2))*100</f>
        <v>9707.5857774288397</v>
      </c>
      <c r="C104">
        <f>(3/(1+('CurrentPor-LH=60 unchanged'!C104+'CurrentPor-LH=60 unchanged'!G104)/100)+103/POWER(1+('CurrentPor-LH=60 unchanged'!D104+'CurrentPor-LH=60 unchanged'!G104)/100,2))*100</f>
        <v>9614.9673582483465</v>
      </c>
      <c r="D104">
        <f>(3/(1+('CurrentPor-LH=60 unchanged'!C104+'CurrentPor-LH=60 unchanged'!H104)/100)+103/POWER(1+('CurrentPor-LH=60 unchanged'!D104+'CurrentPor-LH=60 unchanged'!H104)/100,2))*100</f>
        <v>9601.2395558122898</v>
      </c>
      <c r="E104">
        <f>(3/(1+('CurrentPor-LH=60 unchanged'!C104+'CurrentPor-LH=60 unchanged'!I104)/100)+103/POWER(1+('CurrentPor-LH=60 unchanged'!D104+'CurrentPor-LH=60 unchanged'!I104)/100,2))*100</f>
        <v>9581.4547115644182</v>
      </c>
      <c r="F104">
        <f>Portfolio!B$5*'CurrentPor-LH=60 unchanged'!E104</f>
        <v>52143.895533915893</v>
      </c>
      <c r="G104">
        <f>Portfolio!B$6*'CurrentPor-LH=60 unchanged'!F104</f>
        <v>3696.2945087936532</v>
      </c>
      <c r="H104">
        <f>Portfolio!B$7*'CurrentPor-LH=60 unchanged'!J104</f>
        <v>2148.0998964419859</v>
      </c>
      <c r="I104">
        <f t="shared" si="2"/>
        <v>96493.537342205425</v>
      </c>
      <c r="J104">
        <f t="shared" si="3"/>
        <v>0</v>
      </c>
    </row>
    <row r="105" spans="1:10">
      <c r="A105" s="1">
        <v>45616</v>
      </c>
      <c r="B105">
        <f>(3/(1+('CurrentPor-LH=60 unchanged'!C105)/100)+103/POWER(1+('CurrentPor-LH=60 unchanged'!D105)/100,2))*100</f>
        <v>9707.5857774288397</v>
      </c>
      <c r="C105">
        <f>(3/(1+('CurrentPor-LH=60 unchanged'!C105+'CurrentPor-LH=60 unchanged'!G105)/100)+103/POWER(1+('CurrentPor-LH=60 unchanged'!D105+'CurrentPor-LH=60 unchanged'!G105)/100,2))*100</f>
        <v>9614.9673582483465</v>
      </c>
      <c r="D105">
        <f>(3/(1+('CurrentPor-LH=60 unchanged'!C105+'CurrentPor-LH=60 unchanged'!H105)/100)+103/POWER(1+('CurrentPor-LH=60 unchanged'!D105+'CurrentPor-LH=60 unchanged'!H105)/100,2))*100</f>
        <v>9601.2395558122898</v>
      </c>
      <c r="E105">
        <f>(3/(1+('CurrentPor-LH=60 unchanged'!C105+'CurrentPor-LH=60 unchanged'!I105)/100)+103/POWER(1+('CurrentPor-LH=60 unchanged'!D105+'CurrentPor-LH=60 unchanged'!I105)/100,2))*100</f>
        <v>9581.4547115644182</v>
      </c>
      <c r="F105">
        <f>Portfolio!B$5*'CurrentPor-LH=60 unchanged'!E105</f>
        <v>52143.895533915893</v>
      </c>
      <c r="G105">
        <f>Portfolio!B$6*'CurrentPor-LH=60 unchanged'!F105</f>
        <v>3696.2945087936532</v>
      </c>
      <c r="H105">
        <f>Portfolio!B$7*'CurrentPor-LH=60 unchanged'!J105</f>
        <v>2148.0998964419859</v>
      </c>
      <c r="I105">
        <f t="shared" si="2"/>
        <v>96493.537342205425</v>
      </c>
      <c r="J105">
        <f t="shared" si="3"/>
        <v>0</v>
      </c>
    </row>
    <row r="106" spans="1:10">
      <c r="A106" s="1">
        <v>45617</v>
      </c>
      <c r="B106">
        <f>(3/(1+('CurrentPor-LH=60 unchanged'!C106)/100)+103/POWER(1+('CurrentPor-LH=60 unchanged'!D106)/100,2))*100</f>
        <v>9707.5857774288397</v>
      </c>
      <c r="C106">
        <f>(3/(1+('CurrentPor-LH=60 unchanged'!C106+'CurrentPor-LH=60 unchanged'!G106)/100)+103/POWER(1+('CurrentPor-LH=60 unchanged'!D106+'CurrentPor-LH=60 unchanged'!G106)/100,2))*100</f>
        <v>9614.9673582483465</v>
      </c>
      <c r="D106">
        <f>(3/(1+('CurrentPor-LH=60 unchanged'!C106+'CurrentPor-LH=60 unchanged'!H106)/100)+103/POWER(1+('CurrentPor-LH=60 unchanged'!D106+'CurrentPor-LH=60 unchanged'!H106)/100,2))*100</f>
        <v>9601.2395558122898</v>
      </c>
      <c r="E106">
        <f>(3/(1+('CurrentPor-LH=60 unchanged'!C106+'CurrentPor-LH=60 unchanged'!I106)/100)+103/POWER(1+('CurrentPor-LH=60 unchanged'!D106+'CurrentPor-LH=60 unchanged'!I106)/100,2))*100</f>
        <v>9581.4547115644182</v>
      </c>
      <c r="F106">
        <f>Portfolio!B$5*'CurrentPor-LH=60 unchanged'!E106</f>
        <v>52143.895533915893</v>
      </c>
      <c r="G106">
        <f>Portfolio!B$6*'CurrentPor-LH=60 unchanged'!F106</f>
        <v>3696.2945087936532</v>
      </c>
      <c r="H106">
        <f>Portfolio!B$7*'CurrentPor-LH=60 unchanged'!J106</f>
        <v>2148.0998964419859</v>
      </c>
      <c r="I106">
        <f t="shared" si="2"/>
        <v>96493.537342205425</v>
      </c>
      <c r="J106">
        <f t="shared" si="3"/>
        <v>0</v>
      </c>
    </row>
    <row r="107" spans="1:10">
      <c r="A107" s="1">
        <v>45618</v>
      </c>
      <c r="B107">
        <f>(3/(1+('CurrentPor-LH=60 unchanged'!C107)/100)+103/POWER(1+('CurrentPor-LH=60 unchanged'!D107)/100,2))*100</f>
        <v>9707.5857774288397</v>
      </c>
      <c r="C107">
        <f>(3/(1+('CurrentPor-LH=60 unchanged'!C107+'CurrentPor-LH=60 unchanged'!G107)/100)+103/POWER(1+('CurrentPor-LH=60 unchanged'!D107+'CurrentPor-LH=60 unchanged'!G107)/100,2))*100</f>
        <v>9614.9673582483465</v>
      </c>
      <c r="D107">
        <f>(3/(1+('CurrentPor-LH=60 unchanged'!C107+'CurrentPor-LH=60 unchanged'!H107)/100)+103/POWER(1+('CurrentPor-LH=60 unchanged'!D107+'CurrentPor-LH=60 unchanged'!H107)/100,2))*100</f>
        <v>9601.2395558122898</v>
      </c>
      <c r="E107">
        <f>(3/(1+('CurrentPor-LH=60 unchanged'!C107+'CurrentPor-LH=60 unchanged'!I107)/100)+103/POWER(1+('CurrentPor-LH=60 unchanged'!D107+'CurrentPor-LH=60 unchanged'!I107)/100,2))*100</f>
        <v>9581.4547115644182</v>
      </c>
      <c r="F107">
        <f>Portfolio!B$5*'CurrentPor-LH=60 unchanged'!E107</f>
        <v>52143.895533915893</v>
      </c>
      <c r="G107">
        <f>Portfolio!B$6*'CurrentPor-LH=60 unchanged'!F107</f>
        <v>3696.2945087936532</v>
      </c>
      <c r="H107">
        <f>Portfolio!B$7*'CurrentPor-LH=60 unchanged'!J107</f>
        <v>2148.0998964419859</v>
      </c>
      <c r="I107">
        <f t="shared" si="2"/>
        <v>96493.537342205425</v>
      </c>
      <c r="J107">
        <f t="shared" si="3"/>
        <v>0</v>
      </c>
    </row>
    <row r="108" spans="1:10">
      <c r="A108" s="1">
        <v>45621</v>
      </c>
      <c r="B108">
        <f>(3/(1+('CurrentPor-LH=60 unchanged'!C108)/100)+103/POWER(1+('CurrentPor-LH=60 unchanged'!D108)/100,2))*100</f>
        <v>9707.5857774288397</v>
      </c>
      <c r="C108">
        <f>(3/(1+('CurrentPor-LH=60 unchanged'!C108+'CurrentPor-LH=60 unchanged'!G108)/100)+103/POWER(1+('CurrentPor-LH=60 unchanged'!D108+'CurrentPor-LH=60 unchanged'!G108)/100,2))*100</f>
        <v>9614.9673582483465</v>
      </c>
      <c r="D108">
        <f>(3/(1+('CurrentPor-LH=60 unchanged'!C108+'CurrentPor-LH=60 unchanged'!H108)/100)+103/POWER(1+('CurrentPor-LH=60 unchanged'!D108+'CurrentPor-LH=60 unchanged'!H108)/100,2))*100</f>
        <v>9601.2395558122898</v>
      </c>
      <c r="E108">
        <f>(3/(1+('CurrentPor-LH=60 unchanged'!C108+'CurrentPor-LH=60 unchanged'!I108)/100)+103/POWER(1+('CurrentPor-LH=60 unchanged'!D108+'CurrentPor-LH=60 unchanged'!I108)/100,2))*100</f>
        <v>9581.4547115644182</v>
      </c>
      <c r="F108">
        <f>Portfolio!B$5*'CurrentPor-LH=60 unchanged'!E108</f>
        <v>52143.895533915893</v>
      </c>
      <c r="G108">
        <f>Portfolio!B$6*'CurrentPor-LH=60 unchanged'!F108</f>
        <v>3696.2945087936532</v>
      </c>
      <c r="H108">
        <f>Portfolio!B$7*'CurrentPor-LH=60 unchanged'!J108</f>
        <v>2148.0998964419859</v>
      </c>
      <c r="I108">
        <f t="shared" si="2"/>
        <v>96493.537342205425</v>
      </c>
      <c r="J108">
        <f t="shared" si="3"/>
        <v>0</v>
      </c>
    </row>
    <row r="109" spans="1:10">
      <c r="A109" s="1">
        <v>45622</v>
      </c>
      <c r="B109">
        <f>(3/(1+('CurrentPor-LH=60 unchanged'!C109)/100)+103/POWER(1+('CurrentPor-LH=60 unchanged'!D109)/100,2))*100</f>
        <v>9707.5857774288397</v>
      </c>
      <c r="C109">
        <f>(3/(1+('CurrentPor-LH=60 unchanged'!C109+'CurrentPor-LH=60 unchanged'!G109)/100)+103/POWER(1+('CurrentPor-LH=60 unchanged'!D109+'CurrentPor-LH=60 unchanged'!G109)/100,2))*100</f>
        <v>9614.9673582483465</v>
      </c>
      <c r="D109">
        <f>(3/(1+('CurrentPor-LH=60 unchanged'!C109+'CurrentPor-LH=60 unchanged'!H109)/100)+103/POWER(1+('CurrentPor-LH=60 unchanged'!D109+'CurrentPor-LH=60 unchanged'!H109)/100,2))*100</f>
        <v>9601.2395558122898</v>
      </c>
      <c r="E109">
        <f>(3/(1+('CurrentPor-LH=60 unchanged'!C109+'CurrentPor-LH=60 unchanged'!I109)/100)+103/POWER(1+('CurrentPor-LH=60 unchanged'!D109+'CurrentPor-LH=60 unchanged'!I109)/100,2))*100</f>
        <v>9581.4547115644182</v>
      </c>
      <c r="F109">
        <f>Portfolio!B$5*'CurrentPor-LH=60 unchanged'!E109</f>
        <v>52143.895533915893</v>
      </c>
      <c r="G109">
        <f>Portfolio!B$6*'CurrentPor-LH=60 unchanged'!F109</f>
        <v>3696.2945087936532</v>
      </c>
      <c r="H109">
        <f>Portfolio!B$7*'CurrentPor-LH=60 unchanged'!J109</f>
        <v>2148.0998964419859</v>
      </c>
      <c r="I109">
        <f t="shared" si="2"/>
        <v>96493.537342205425</v>
      </c>
      <c r="J109">
        <f t="shared" si="3"/>
        <v>0</v>
      </c>
    </row>
    <row r="110" spans="1:10">
      <c r="A110" s="1">
        <v>45623</v>
      </c>
      <c r="B110">
        <f>(3/(1+('CurrentPor-LH=60 unchanged'!C110)/100)+103/POWER(1+('CurrentPor-LH=60 unchanged'!D110)/100,2))*100</f>
        <v>9707.5857774288397</v>
      </c>
      <c r="C110">
        <f>(3/(1+('CurrentPor-LH=60 unchanged'!C110+'CurrentPor-LH=60 unchanged'!G110)/100)+103/POWER(1+('CurrentPor-LH=60 unchanged'!D110+'CurrentPor-LH=60 unchanged'!G110)/100,2))*100</f>
        <v>9614.9673582483465</v>
      </c>
      <c r="D110">
        <f>(3/(1+('CurrentPor-LH=60 unchanged'!C110+'CurrentPor-LH=60 unchanged'!H110)/100)+103/POWER(1+('CurrentPor-LH=60 unchanged'!D110+'CurrentPor-LH=60 unchanged'!H110)/100,2))*100</f>
        <v>9601.2395558122898</v>
      </c>
      <c r="E110">
        <f>(3/(1+('CurrentPor-LH=60 unchanged'!C110+'CurrentPor-LH=60 unchanged'!I110)/100)+103/POWER(1+('CurrentPor-LH=60 unchanged'!D110+'CurrentPor-LH=60 unchanged'!I110)/100,2))*100</f>
        <v>9581.4547115644182</v>
      </c>
      <c r="F110">
        <f>Portfolio!B$5*'CurrentPor-LH=60 unchanged'!E110</f>
        <v>52143.895533915893</v>
      </c>
      <c r="G110">
        <f>Portfolio!B$6*'CurrentPor-LH=60 unchanged'!F110</f>
        <v>3696.2945087936532</v>
      </c>
      <c r="H110">
        <f>Portfolio!B$7*'CurrentPor-LH=60 unchanged'!J110</f>
        <v>2148.0998964419859</v>
      </c>
      <c r="I110">
        <f t="shared" si="2"/>
        <v>96493.537342205425</v>
      </c>
      <c r="J110">
        <f t="shared" si="3"/>
        <v>0</v>
      </c>
    </row>
    <row r="111" spans="1:10">
      <c r="A111" s="1">
        <v>45624</v>
      </c>
      <c r="B111">
        <f>(3/(1+('CurrentPor-LH=60 unchanged'!C111)/100)+103/POWER(1+('CurrentPor-LH=60 unchanged'!D111)/100,2))*100</f>
        <v>9707.5857774288397</v>
      </c>
      <c r="C111">
        <f>(3/(1+('CurrentPor-LH=60 unchanged'!C111+'CurrentPor-LH=60 unchanged'!G111)/100)+103/POWER(1+('CurrentPor-LH=60 unchanged'!D111+'CurrentPor-LH=60 unchanged'!G111)/100,2))*100</f>
        <v>9614.9673582483465</v>
      </c>
      <c r="D111">
        <f>(3/(1+('CurrentPor-LH=60 unchanged'!C111+'CurrentPor-LH=60 unchanged'!H111)/100)+103/POWER(1+('CurrentPor-LH=60 unchanged'!D111+'CurrentPor-LH=60 unchanged'!H111)/100,2))*100</f>
        <v>9601.2395558122898</v>
      </c>
      <c r="E111">
        <f>(3/(1+('CurrentPor-LH=60 unchanged'!C111+'CurrentPor-LH=60 unchanged'!I111)/100)+103/POWER(1+('CurrentPor-LH=60 unchanged'!D111+'CurrentPor-LH=60 unchanged'!I111)/100,2))*100</f>
        <v>9581.4547115644182</v>
      </c>
      <c r="F111">
        <f>Portfolio!B$5*'CurrentPor-LH=60 unchanged'!E111</f>
        <v>52143.895533915893</v>
      </c>
      <c r="G111">
        <f>Portfolio!B$6*'CurrentPor-LH=60 unchanged'!F111</f>
        <v>3696.2945087936532</v>
      </c>
      <c r="H111">
        <f>Portfolio!B$7*'CurrentPor-LH=60 unchanged'!J111</f>
        <v>2148.0998964419859</v>
      </c>
      <c r="I111">
        <f t="shared" si="2"/>
        <v>96493.537342205425</v>
      </c>
      <c r="J111">
        <f t="shared" si="3"/>
        <v>0</v>
      </c>
    </row>
    <row r="112" spans="1:10">
      <c r="A112" s="1">
        <v>45625</v>
      </c>
      <c r="B112">
        <f>(3/(1+('CurrentPor-LH=60 unchanged'!C112)/100)+103/POWER(1+('CurrentPor-LH=60 unchanged'!D112)/100,2))*100</f>
        <v>9707.5857774288397</v>
      </c>
      <c r="C112">
        <f>(3/(1+('CurrentPor-LH=60 unchanged'!C112+'CurrentPor-LH=60 unchanged'!G112)/100)+103/POWER(1+('CurrentPor-LH=60 unchanged'!D112+'CurrentPor-LH=60 unchanged'!G112)/100,2))*100</f>
        <v>9614.9673582483465</v>
      </c>
      <c r="D112">
        <f>(3/(1+('CurrentPor-LH=60 unchanged'!C112+'CurrentPor-LH=60 unchanged'!H112)/100)+103/POWER(1+('CurrentPor-LH=60 unchanged'!D112+'CurrentPor-LH=60 unchanged'!H112)/100,2))*100</f>
        <v>9601.2395558122898</v>
      </c>
      <c r="E112">
        <f>(3/(1+('CurrentPor-LH=60 unchanged'!C112+'CurrentPor-LH=60 unchanged'!I112)/100)+103/POWER(1+('CurrentPor-LH=60 unchanged'!D112+'CurrentPor-LH=60 unchanged'!I112)/100,2))*100</f>
        <v>9581.4547115644182</v>
      </c>
      <c r="F112">
        <f>Portfolio!B$5*'CurrentPor-LH=60 unchanged'!E112</f>
        <v>52143.895533915893</v>
      </c>
      <c r="G112">
        <f>Portfolio!B$6*'CurrentPor-LH=60 unchanged'!F112</f>
        <v>3696.2945087936532</v>
      </c>
      <c r="H112">
        <f>Portfolio!B$7*'CurrentPor-LH=60 unchanged'!J112</f>
        <v>2148.0998964419859</v>
      </c>
      <c r="I112">
        <f t="shared" si="2"/>
        <v>96493.537342205425</v>
      </c>
      <c r="J112">
        <f t="shared" si="3"/>
        <v>0</v>
      </c>
    </row>
    <row r="113" spans="1:10">
      <c r="A113" s="1">
        <v>45628</v>
      </c>
      <c r="B113">
        <f>(3/(1+('CurrentPor-LH=60 unchanged'!C113)/100)+103/POWER(1+('CurrentPor-LH=60 unchanged'!D113)/100,2))*100</f>
        <v>9707.5857774288397</v>
      </c>
      <c r="C113">
        <f>(3/(1+('CurrentPor-LH=60 unchanged'!C113+'CurrentPor-LH=60 unchanged'!G113)/100)+103/POWER(1+('CurrentPor-LH=60 unchanged'!D113+'CurrentPor-LH=60 unchanged'!G113)/100,2))*100</f>
        <v>9614.9673582483465</v>
      </c>
      <c r="D113">
        <f>(3/(1+('CurrentPor-LH=60 unchanged'!C113+'CurrentPor-LH=60 unchanged'!H113)/100)+103/POWER(1+('CurrentPor-LH=60 unchanged'!D113+'CurrentPor-LH=60 unchanged'!H113)/100,2))*100</f>
        <v>9601.2395558122898</v>
      </c>
      <c r="E113">
        <f>(3/(1+('CurrentPor-LH=60 unchanged'!C113+'CurrentPor-LH=60 unchanged'!I113)/100)+103/POWER(1+('CurrentPor-LH=60 unchanged'!D113+'CurrentPor-LH=60 unchanged'!I113)/100,2))*100</f>
        <v>9581.4547115644182</v>
      </c>
      <c r="F113">
        <f>Portfolio!B$5*'CurrentPor-LH=60 unchanged'!E113</f>
        <v>52143.895533915893</v>
      </c>
      <c r="G113">
        <f>Portfolio!B$6*'CurrentPor-LH=60 unchanged'!F113</f>
        <v>3696.2945087936532</v>
      </c>
      <c r="H113">
        <f>Portfolio!B$7*'CurrentPor-LH=60 unchanged'!J113</f>
        <v>2148.0998964419859</v>
      </c>
      <c r="I113">
        <f t="shared" si="2"/>
        <v>96493.537342205425</v>
      </c>
      <c r="J113">
        <f t="shared" si="3"/>
        <v>0</v>
      </c>
    </row>
    <row r="114" spans="1:10">
      <c r="A114" s="1">
        <v>45629</v>
      </c>
      <c r="B114">
        <f>(3/(1+('CurrentPor-LH=60 unchanged'!C114)/100)+103/POWER(1+('CurrentPor-LH=60 unchanged'!D114)/100,2))*100</f>
        <v>9707.5857774288397</v>
      </c>
      <c r="C114">
        <f>(3/(1+('CurrentPor-LH=60 unchanged'!C114+'CurrentPor-LH=60 unchanged'!G114)/100)+103/POWER(1+('CurrentPor-LH=60 unchanged'!D114+'CurrentPor-LH=60 unchanged'!G114)/100,2))*100</f>
        <v>9614.9673582483465</v>
      </c>
      <c r="D114">
        <f>(3/(1+('CurrentPor-LH=60 unchanged'!C114+'CurrentPor-LH=60 unchanged'!H114)/100)+103/POWER(1+('CurrentPor-LH=60 unchanged'!D114+'CurrentPor-LH=60 unchanged'!H114)/100,2))*100</f>
        <v>9601.2395558122898</v>
      </c>
      <c r="E114">
        <f>(3/(1+('CurrentPor-LH=60 unchanged'!C114+'CurrentPor-LH=60 unchanged'!I114)/100)+103/POWER(1+('CurrentPor-LH=60 unchanged'!D114+'CurrentPor-LH=60 unchanged'!I114)/100,2))*100</f>
        <v>9581.4547115644182</v>
      </c>
      <c r="F114">
        <f>Portfolio!B$5*'CurrentPor-LH=60 unchanged'!E114</f>
        <v>52143.895533915893</v>
      </c>
      <c r="G114">
        <f>Portfolio!B$6*'CurrentPor-LH=60 unchanged'!F114</f>
        <v>3696.2945087936532</v>
      </c>
      <c r="H114">
        <f>Portfolio!B$7*'CurrentPor-LH=60 unchanged'!J114</f>
        <v>2148.0998964419859</v>
      </c>
      <c r="I114">
        <f t="shared" si="2"/>
        <v>96493.537342205425</v>
      </c>
      <c r="J114">
        <f t="shared" si="3"/>
        <v>0</v>
      </c>
    </row>
    <row r="115" spans="1:10">
      <c r="A115" s="1">
        <v>45630</v>
      </c>
      <c r="B115">
        <f>(3/(1+('CurrentPor-LH=60 unchanged'!C115)/100)+103/POWER(1+('CurrentPor-LH=60 unchanged'!D115)/100,2))*100</f>
        <v>9707.5857774288397</v>
      </c>
      <c r="C115">
        <f>(3/(1+('CurrentPor-LH=60 unchanged'!C115+'CurrentPor-LH=60 unchanged'!G115)/100)+103/POWER(1+('CurrentPor-LH=60 unchanged'!D115+'CurrentPor-LH=60 unchanged'!G115)/100,2))*100</f>
        <v>9614.9673582483465</v>
      </c>
      <c r="D115">
        <f>(3/(1+('CurrentPor-LH=60 unchanged'!C115+'CurrentPor-LH=60 unchanged'!H115)/100)+103/POWER(1+('CurrentPor-LH=60 unchanged'!D115+'CurrentPor-LH=60 unchanged'!H115)/100,2))*100</f>
        <v>9601.2395558122898</v>
      </c>
      <c r="E115">
        <f>(3/(1+('CurrentPor-LH=60 unchanged'!C115+'CurrentPor-LH=60 unchanged'!I115)/100)+103/POWER(1+('CurrentPor-LH=60 unchanged'!D115+'CurrentPor-LH=60 unchanged'!I115)/100,2))*100</f>
        <v>9581.4547115644182</v>
      </c>
      <c r="F115">
        <f>Portfolio!B$5*'CurrentPor-LH=60 unchanged'!E115</f>
        <v>52143.895533915893</v>
      </c>
      <c r="G115">
        <f>Portfolio!B$6*'CurrentPor-LH=60 unchanged'!F115</f>
        <v>3696.2945087936532</v>
      </c>
      <c r="H115">
        <f>Portfolio!B$7*'CurrentPor-LH=60 unchanged'!J115</f>
        <v>2148.0998964419859</v>
      </c>
      <c r="I115">
        <f t="shared" si="2"/>
        <v>96493.537342205425</v>
      </c>
      <c r="J115">
        <f t="shared" si="3"/>
        <v>0</v>
      </c>
    </row>
    <row r="116" spans="1:10">
      <c r="A116" s="1">
        <v>45631</v>
      </c>
      <c r="B116">
        <f>(3/(1+('CurrentPor-LH=60 unchanged'!C116)/100)+103/POWER(1+('CurrentPor-LH=60 unchanged'!D116)/100,2))*100</f>
        <v>9707.5857774288397</v>
      </c>
      <c r="C116">
        <f>(3/(1+('CurrentPor-LH=60 unchanged'!C116+'CurrentPor-LH=60 unchanged'!G116)/100)+103/POWER(1+('CurrentPor-LH=60 unchanged'!D116+'CurrentPor-LH=60 unchanged'!G116)/100,2))*100</f>
        <v>9614.9673582483465</v>
      </c>
      <c r="D116">
        <f>(3/(1+('CurrentPor-LH=60 unchanged'!C116+'CurrentPor-LH=60 unchanged'!H116)/100)+103/POWER(1+('CurrentPor-LH=60 unchanged'!D116+'CurrentPor-LH=60 unchanged'!H116)/100,2))*100</f>
        <v>9601.2395558122898</v>
      </c>
      <c r="E116">
        <f>(3/(1+('CurrentPor-LH=60 unchanged'!C116+'CurrentPor-LH=60 unchanged'!I116)/100)+103/POWER(1+('CurrentPor-LH=60 unchanged'!D116+'CurrentPor-LH=60 unchanged'!I116)/100,2))*100</f>
        <v>9581.4547115644182</v>
      </c>
      <c r="F116">
        <f>Portfolio!B$5*'CurrentPor-LH=60 unchanged'!E116</f>
        <v>52143.895533915893</v>
      </c>
      <c r="G116">
        <f>Portfolio!B$6*'CurrentPor-LH=60 unchanged'!F116</f>
        <v>3696.2945087936532</v>
      </c>
      <c r="H116">
        <f>Portfolio!B$7*'CurrentPor-LH=60 unchanged'!J116</f>
        <v>2148.0998964419859</v>
      </c>
      <c r="I116">
        <f t="shared" si="2"/>
        <v>96493.537342205425</v>
      </c>
      <c r="J116">
        <f t="shared" si="3"/>
        <v>0</v>
      </c>
    </row>
    <row r="117" spans="1:10">
      <c r="A117" s="1">
        <v>45632</v>
      </c>
      <c r="B117">
        <f>(3/(1+('CurrentPor-LH=60 unchanged'!C117)/100)+103/POWER(1+('CurrentPor-LH=60 unchanged'!D117)/100,2))*100</f>
        <v>9707.5857774288397</v>
      </c>
      <c r="C117">
        <f>(3/(1+('CurrentPor-LH=60 unchanged'!C117+'CurrentPor-LH=60 unchanged'!G117)/100)+103/POWER(1+('CurrentPor-LH=60 unchanged'!D117+'CurrentPor-LH=60 unchanged'!G117)/100,2))*100</f>
        <v>9614.9673582483465</v>
      </c>
      <c r="D117">
        <f>(3/(1+('CurrentPor-LH=60 unchanged'!C117+'CurrentPor-LH=60 unchanged'!H117)/100)+103/POWER(1+('CurrentPor-LH=60 unchanged'!D117+'CurrentPor-LH=60 unchanged'!H117)/100,2))*100</f>
        <v>9601.2395558122898</v>
      </c>
      <c r="E117">
        <f>(3/(1+('CurrentPor-LH=60 unchanged'!C117+'CurrentPor-LH=60 unchanged'!I117)/100)+103/POWER(1+('CurrentPor-LH=60 unchanged'!D117+'CurrentPor-LH=60 unchanged'!I117)/100,2))*100</f>
        <v>9581.4547115644182</v>
      </c>
      <c r="F117">
        <f>Portfolio!B$5*'CurrentPor-LH=60 unchanged'!E117</f>
        <v>52143.895533915893</v>
      </c>
      <c r="G117">
        <f>Portfolio!B$6*'CurrentPor-LH=60 unchanged'!F117</f>
        <v>3696.2945087936532</v>
      </c>
      <c r="H117">
        <f>Portfolio!B$7*'CurrentPor-LH=60 unchanged'!J117</f>
        <v>2148.0998964419859</v>
      </c>
      <c r="I117">
        <f t="shared" si="2"/>
        <v>96493.537342205425</v>
      </c>
      <c r="J117">
        <f t="shared" si="3"/>
        <v>0</v>
      </c>
    </row>
    <row r="118" spans="1:10">
      <c r="A118" s="1">
        <v>45635</v>
      </c>
      <c r="B118">
        <f>(3/(1+('CurrentPor-LH=60 unchanged'!C118)/100)+103/POWER(1+('CurrentPor-LH=60 unchanged'!D118)/100,2))*100</f>
        <v>9707.5857774288397</v>
      </c>
      <c r="C118">
        <f>(3/(1+('CurrentPor-LH=60 unchanged'!C118+'CurrentPor-LH=60 unchanged'!G118)/100)+103/POWER(1+('CurrentPor-LH=60 unchanged'!D118+'CurrentPor-LH=60 unchanged'!G118)/100,2))*100</f>
        <v>9614.9673582483465</v>
      </c>
      <c r="D118">
        <f>(3/(1+('CurrentPor-LH=60 unchanged'!C118+'CurrentPor-LH=60 unchanged'!H118)/100)+103/POWER(1+('CurrentPor-LH=60 unchanged'!D118+'CurrentPor-LH=60 unchanged'!H118)/100,2))*100</f>
        <v>9601.2395558122898</v>
      </c>
      <c r="E118">
        <f>(3/(1+('CurrentPor-LH=60 unchanged'!C118+'CurrentPor-LH=60 unchanged'!I118)/100)+103/POWER(1+('CurrentPor-LH=60 unchanged'!D118+'CurrentPor-LH=60 unchanged'!I118)/100,2))*100</f>
        <v>9581.4547115644182</v>
      </c>
      <c r="F118">
        <f>Portfolio!B$5*'CurrentPor-LH=60 unchanged'!E118</f>
        <v>52143.895533915893</v>
      </c>
      <c r="G118">
        <f>Portfolio!B$6*'CurrentPor-LH=60 unchanged'!F118</f>
        <v>3696.2945087936532</v>
      </c>
      <c r="H118">
        <f>Portfolio!B$7*'CurrentPor-LH=60 unchanged'!J118</f>
        <v>2148.0998964419859</v>
      </c>
      <c r="I118">
        <f t="shared" si="2"/>
        <v>96493.537342205425</v>
      </c>
      <c r="J118">
        <f t="shared" si="3"/>
        <v>0</v>
      </c>
    </row>
    <row r="119" spans="1:10">
      <c r="A119" s="1">
        <v>45636</v>
      </c>
      <c r="B119">
        <f>(3/(1+('CurrentPor-LH=60 unchanged'!C119)/100)+103/POWER(1+('CurrentPor-LH=60 unchanged'!D119)/100,2))*100</f>
        <v>9707.5857774288397</v>
      </c>
      <c r="C119">
        <f>(3/(1+('CurrentPor-LH=60 unchanged'!C119+'CurrentPor-LH=60 unchanged'!G119)/100)+103/POWER(1+('CurrentPor-LH=60 unchanged'!D119+'CurrentPor-LH=60 unchanged'!G119)/100,2))*100</f>
        <v>9614.9673582483465</v>
      </c>
      <c r="D119">
        <f>(3/(1+('CurrentPor-LH=60 unchanged'!C119+'CurrentPor-LH=60 unchanged'!H119)/100)+103/POWER(1+('CurrentPor-LH=60 unchanged'!D119+'CurrentPor-LH=60 unchanged'!H119)/100,2))*100</f>
        <v>9601.2395558122898</v>
      </c>
      <c r="E119">
        <f>(3/(1+('CurrentPor-LH=60 unchanged'!C119+'CurrentPor-LH=60 unchanged'!I119)/100)+103/POWER(1+('CurrentPor-LH=60 unchanged'!D119+'CurrentPor-LH=60 unchanged'!I119)/100,2))*100</f>
        <v>9581.4547115644182</v>
      </c>
      <c r="F119">
        <f>Portfolio!B$5*'CurrentPor-LH=60 unchanged'!E119</f>
        <v>52143.895533915893</v>
      </c>
      <c r="G119">
        <f>Portfolio!B$6*'CurrentPor-LH=60 unchanged'!F119</f>
        <v>3696.2945087936532</v>
      </c>
      <c r="H119">
        <f>Portfolio!B$7*'CurrentPor-LH=60 unchanged'!J119</f>
        <v>2148.0998964419859</v>
      </c>
      <c r="I119">
        <f t="shared" si="2"/>
        <v>96493.537342205425</v>
      </c>
      <c r="J119">
        <f t="shared" si="3"/>
        <v>0</v>
      </c>
    </row>
    <row r="120" spans="1:10">
      <c r="A120" s="1">
        <v>45637</v>
      </c>
      <c r="B120">
        <f>(3/(1+('CurrentPor-LH=60 unchanged'!C120)/100)+103/POWER(1+('CurrentPor-LH=60 unchanged'!D120)/100,2))*100</f>
        <v>9707.5857774288397</v>
      </c>
      <c r="C120">
        <f>(3/(1+('CurrentPor-LH=60 unchanged'!C120+'CurrentPor-LH=60 unchanged'!G120)/100)+103/POWER(1+('CurrentPor-LH=60 unchanged'!D120+'CurrentPor-LH=60 unchanged'!G120)/100,2))*100</f>
        <v>9614.9673582483465</v>
      </c>
      <c r="D120">
        <f>(3/(1+('CurrentPor-LH=60 unchanged'!C120+'CurrentPor-LH=60 unchanged'!H120)/100)+103/POWER(1+('CurrentPor-LH=60 unchanged'!D120+'CurrentPor-LH=60 unchanged'!H120)/100,2))*100</f>
        <v>9601.2395558122898</v>
      </c>
      <c r="E120">
        <f>(3/(1+('CurrentPor-LH=60 unchanged'!C120+'CurrentPor-LH=60 unchanged'!I120)/100)+103/POWER(1+('CurrentPor-LH=60 unchanged'!D120+'CurrentPor-LH=60 unchanged'!I120)/100,2))*100</f>
        <v>9581.4547115644182</v>
      </c>
      <c r="F120">
        <f>Portfolio!B$5*'CurrentPor-LH=60 unchanged'!E120</f>
        <v>52143.895533915893</v>
      </c>
      <c r="G120">
        <f>Portfolio!B$6*'CurrentPor-LH=60 unchanged'!F120</f>
        <v>3696.2945087936532</v>
      </c>
      <c r="H120">
        <f>Portfolio!B$7*'CurrentPor-LH=60 unchanged'!J120</f>
        <v>2148.0998964419859</v>
      </c>
      <c r="I120">
        <f t="shared" si="2"/>
        <v>96493.537342205425</v>
      </c>
      <c r="J120">
        <f t="shared" si="3"/>
        <v>0</v>
      </c>
    </row>
    <row r="121" spans="1:10">
      <c r="A121" s="1">
        <v>45638</v>
      </c>
      <c r="B121">
        <f>(3/(1+('CurrentPor-LH=60 unchanged'!C121)/100)+103/POWER(1+('CurrentPor-LH=60 unchanged'!D121)/100,2))*100</f>
        <v>9707.5857774288397</v>
      </c>
      <c r="C121">
        <f>(3/(1+('CurrentPor-LH=60 unchanged'!C121+'CurrentPor-LH=60 unchanged'!G121)/100)+103/POWER(1+('CurrentPor-LH=60 unchanged'!D121+'CurrentPor-LH=60 unchanged'!G121)/100,2))*100</f>
        <v>9614.9673582483465</v>
      </c>
      <c r="D121">
        <f>(3/(1+('CurrentPor-LH=60 unchanged'!C121+'CurrentPor-LH=60 unchanged'!H121)/100)+103/POWER(1+('CurrentPor-LH=60 unchanged'!D121+'CurrentPor-LH=60 unchanged'!H121)/100,2))*100</f>
        <v>9601.2395558122898</v>
      </c>
      <c r="E121">
        <f>(3/(1+('CurrentPor-LH=60 unchanged'!C121+'CurrentPor-LH=60 unchanged'!I121)/100)+103/POWER(1+('CurrentPor-LH=60 unchanged'!D121+'CurrentPor-LH=60 unchanged'!I121)/100,2))*100</f>
        <v>9581.4547115644182</v>
      </c>
      <c r="F121">
        <f>Portfolio!B$5*'CurrentPor-LH=60 unchanged'!E121</f>
        <v>52143.895533915893</v>
      </c>
      <c r="G121">
        <f>Portfolio!B$6*'CurrentPor-LH=60 unchanged'!F121</f>
        <v>3696.2945087936532</v>
      </c>
      <c r="H121">
        <f>Portfolio!B$7*'CurrentPor-LH=60 unchanged'!J121</f>
        <v>2148.0998964419859</v>
      </c>
      <c r="I121">
        <f t="shared" si="2"/>
        <v>96493.537342205425</v>
      </c>
      <c r="J121">
        <f t="shared" si="3"/>
        <v>0</v>
      </c>
    </row>
    <row r="122" spans="1:10">
      <c r="A122" s="1">
        <v>45639</v>
      </c>
      <c r="B122">
        <f>(3/(1+('CurrentPor-LH=60 unchanged'!C122)/100)+103/POWER(1+('CurrentPor-LH=60 unchanged'!D122)/100,2))*100</f>
        <v>9707.5857774288397</v>
      </c>
      <c r="C122">
        <f>(3/(1+('CurrentPor-LH=60 unchanged'!C122+'CurrentPor-LH=60 unchanged'!G122)/100)+103/POWER(1+('CurrentPor-LH=60 unchanged'!D122+'CurrentPor-LH=60 unchanged'!G122)/100,2))*100</f>
        <v>9614.9673582483465</v>
      </c>
      <c r="D122">
        <f>(3/(1+('CurrentPor-LH=60 unchanged'!C122+'CurrentPor-LH=60 unchanged'!H122)/100)+103/POWER(1+('CurrentPor-LH=60 unchanged'!D122+'CurrentPor-LH=60 unchanged'!H122)/100,2))*100</f>
        <v>9601.2395558122898</v>
      </c>
      <c r="E122">
        <f>(3/(1+('CurrentPor-LH=60 unchanged'!C122+'CurrentPor-LH=60 unchanged'!I122)/100)+103/POWER(1+('CurrentPor-LH=60 unchanged'!D122+'CurrentPor-LH=60 unchanged'!I122)/100,2))*100</f>
        <v>9581.4547115644182</v>
      </c>
      <c r="F122">
        <f>Portfolio!B$5*'CurrentPor-LH=60 unchanged'!E122</f>
        <v>52143.895533915893</v>
      </c>
      <c r="G122">
        <f>Portfolio!B$6*'CurrentPor-LH=60 unchanged'!F122</f>
        <v>3696.2945087936532</v>
      </c>
      <c r="H122">
        <f>Portfolio!B$7*'CurrentPor-LH=60 unchanged'!J122</f>
        <v>2148.0998964419859</v>
      </c>
      <c r="I122">
        <f t="shared" si="2"/>
        <v>96493.537342205425</v>
      </c>
      <c r="J122">
        <f t="shared" si="3"/>
        <v>0</v>
      </c>
    </row>
    <row r="123" spans="1:10">
      <c r="A123" s="1">
        <v>45642</v>
      </c>
      <c r="B123">
        <f>(3/(1+('CurrentPor-LH=60 unchanged'!C123)/100)+103/POWER(1+('CurrentPor-LH=60 unchanged'!D123)/100,2))*100</f>
        <v>9707.5857774288397</v>
      </c>
      <c r="C123">
        <f>(3/(1+('CurrentPor-LH=60 unchanged'!C123+'CurrentPor-LH=60 unchanged'!G123)/100)+103/POWER(1+('CurrentPor-LH=60 unchanged'!D123+'CurrentPor-LH=60 unchanged'!G123)/100,2))*100</f>
        <v>9614.9673582483465</v>
      </c>
      <c r="D123">
        <f>(3/(1+('CurrentPor-LH=60 unchanged'!C123+'CurrentPor-LH=60 unchanged'!H123)/100)+103/POWER(1+('CurrentPor-LH=60 unchanged'!D123+'CurrentPor-LH=60 unchanged'!H123)/100,2))*100</f>
        <v>9601.2395558122898</v>
      </c>
      <c r="E123">
        <f>(3/(1+('CurrentPor-LH=60 unchanged'!C123+'CurrentPor-LH=60 unchanged'!I123)/100)+103/POWER(1+('CurrentPor-LH=60 unchanged'!D123+'CurrentPor-LH=60 unchanged'!I123)/100,2))*100</f>
        <v>9581.4547115644182</v>
      </c>
      <c r="F123">
        <f>Portfolio!B$5*'CurrentPor-LH=60 unchanged'!E123</f>
        <v>52143.895533915893</v>
      </c>
      <c r="G123">
        <f>Portfolio!B$6*'CurrentPor-LH=60 unchanged'!F123</f>
        <v>3696.2945087936532</v>
      </c>
      <c r="H123">
        <f>Portfolio!B$7*'CurrentPor-LH=60 unchanged'!J123</f>
        <v>2148.0998964419859</v>
      </c>
      <c r="I123">
        <f t="shared" si="2"/>
        <v>96493.537342205425</v>
      </c>
      <c r="J123">
        <f t="shared" si="3"/>
        <v>0</v>
      </c>
    </row>
    <row r="124" spans="1:10">
      <c r="A124" s="1">
        <v>45643</v>
      </c>
      <c r="B124">
        <f>(3/(1+('CurrentPor-LH=60 unchanged'!C124)/100)+103/POWER(1+('CurrentPor-LH=60 unchanged'!D124)/100,2))*100</f>
        <v>9707.5857774288397</v>
      </c>
      <c r="C124">
        <f>(3/(1+('CurrentPor-LH=60 unchanged'!C124+'CurrentPor-LH=60 unchanged'!G124)/100)+103/POWER(1+('CurrentPor-LH=60 unchanged'!D124+'CurrentPor-LH=60 unchanged'!G124)/100,2))*100</f>
        <v>9614.9673582483465</v>
      </c>
      <c r="D124">
        <f>(3/(1+('CurrentPor-LH=60 unchanged'!C124+'CurrentPor-LH=60 unchanged'!H124)/100)+103/POWER(1+('CurrentPor-LH=60 unchanged'!D124+'CurrentPor-LH=60 unchanged'!H124)/100,2))*100</f>
        <v>9601.2395558122898</v>
      </c>
      <c r="E124">
        <f>(3/(1+('CurrentPor-LH=60 unchanged'!C124+'CurrentPor-LH=60 unchanged'!I124)/100)+103/POWER(1+('CurrentPor-LH=60 unchanged'!D124+'CurrentPor-LH=60 unchanged'!I124)/100,2))*100</f>
        <v>9581.4547115644182</v>
      </c>
      <c r="F124">
        <f>Portfolio!B$5*'CurrentPor-LH=60 unchanged'!E124</f>
        <v>52143.895533915893</v>
      </c>
      <c r="G124">
        <f>Portfolio!B$6*'CurrentPor-LH=60 unchanged'!F124</f>
        <v>3696.2945087936532</v>
      </c>
      <c r="H124">
        <f>Portfolio!B$7*'CurrentPor-LH=60 unchanged'!J124</f>
        <v>2148.0998964419859</v>
      </c>
      <c r="I124">
        <f t="shared" si="2"/>
        <v>96493.537342205425</v>
      </c>
      <c r="J124">
        <f t="shared" si="3"/>
        <v>0</v>
      </c>
    </row>
    <row r="125" spans="1:10">
      <c r="A125" s="1">
        <v>45644</v>
      </c>
      <c r="B125">
        <f>(3/(1+('CurrentPor-LH=60 unchanged'!C125)/100)+103/POWER(1+('CurrentPor-LH=60 unchanged'!D125)/100,2))*100</f>
        <v>9707.5857774288397</v>
      </c>
      <c r="C125">
        <f>(3/(1+('CurrentPor-LH=60 unchanged'!C125+'CurrentPor-LH=60 unchanged'!G125)/100)+103/POWER(1+('CurrentPor-LH=60 unchanged'!D125+'CurrentPor-LH=60 unchanged'!G125)/100,2))*100</f>
        <v>9614.9673582483465</v>
      </c>
      <c r="D125">
        <f>(3/(1+('CurrentPor-LH=60 unchanged'!C125+'CurrentPor-LH=60 unchanged'!H125)/100)+103/POWER(1+('CurrentPor-LH=60 unchanged'!D125+'CurrentPor-LH=60 unchanged'!H125)/100,2))*100</f>
        <v>9601.2395558122898</v>
      </c>
      <c r="E125">
        <f>(3/(1+('CurrentPor-LH=60 unchanged'!C125+'CurrentPor-LH=60 unchanged'!I125)/100)+103/POWER(1+('CurrentPor-LH=60 unchanged'!D125+'CurrentPor-LH=60 unchanged'!I125)/100,2))*100</f>
        <v>9581.4547115644182</v>
      </c>
      <c r="F125">
        <f>Portfolio!B$5*'CurrentPor-LH=60 unchanged'!E125</f>
        <v>52143.895533915893</v>
      </c>
      <c r="G125">
        <f>Portfolio!B$6*'CurrentPor-LH=60 unchanged'!F125</f>
        <v>3696.2945087936532</v>
      </c>
      <c r="H125">
        <f>Portfolio!B$7*'CurrentPor-LH=60 unchanged'!J125</f>
        <v>2148.0998964419859</v>
      </c>
      <c r="I125">
        <f t="shared" si="2"/>
        <v>96493.537342205425</v>
      </c>
      <c r="J125">
        <f t="shared" si="3"/>
        <v>0</v>
      </c>
    </row>
    <row r="126" spans="1:10">
      <c r="A126" s="1">
        <v>45645</v>
      </c>
      <c r="B126">
        <f>(3/(1+('CurrentPor-LH=60 unchanged'!C126)/100)+103/POWER(1+('CurrentPor-LH=60 unchanged'!D126)/100,2))*100</f>
        <v>9707.5857774288397</v>
      </c>
      <c r="C126">
        <f>(3/(1+('CurrentPor-LH=60 unchanged'!C126+'CurrentPor-LH=60 unchanged'!G126)/100)+103/POWER(1+('CurrentPor-LH=60 unchanged'!D126+'CurrentPor-LH=60 unchanged'!G126)/100,2))*100</f>
        <v>9614.9673582483465</v>
      </c>
      <c r="D126">
        <f>(3/(1+('CurrentPor-LH=60 unchanged'!C126+'CurrentPor-LH=60 unchanged'!H126)/100)+103/POWER(1+('CurrentPor-LH=60 unchanged'!D126+'CurrentPor-LH=60 unchanged'!H126)/100,2))*100</f>
        <v>9601.2395558122898</v>
      </c>
      <c r="E126">
        <f>(3/(1+('CurrentPor-LH=60 unchanged'!C126+'CurrentPor-LH=60 unchanged'!I126)/100)+103/POWER(1+('CurrentPor-LH=60 unchanged'!D126+'CurrentPor-LH=60 unchanged'!I126)/100,2))*100</f>
        <v>9581.4547115644182</v>
      </c>
      <c r="F126">
        <f>Portfolio!B$5*'CurrentPor-LH=60 unchanged'!E126</f>
        <v>52143.895533915893</v>
      </c>
      <c r="G126">
        <f>Portfolio!B$6*'CurrentPor-LH=60 unchanged'!F126</f>
        <v>3696.2945087936532</v>
      </c>
      <c r="H126">
        <f>Portfolio!B$7*'CurrentPor-LH=60 unchanged'!J126</f>
        <v>2148.0998964419859</v>
      </c>
      <c r="I126">
        <f t="shared" si="2"/>
        <v>96493.537342205425</v>
      </c>
      <c r="J126">
        <f t="shared" si="3"/>
        <v>0</v>
      </c>
    </row>
    <row r="127" spans="1:10">
      <c r="A127" s="1">
        <v>45646</v>
      </c>
      <c r="B127">
        <f>(3/(1+('CurrentPor-LH=60 unchanged'!C127)/100)+103/POWER(1+('CurrentPor-LH=60 unchanged'!D127)/100,2))*100</f>
        <v>9707.5857774288397</v>
      </c>
      <c r="C127">
        <f>(3/(1+('CurrentPor-LH=60 unchanged'!C127+'CurrentPor-LH=60 unchanged'!G127)/100)+103/POWER(1+('CurrentPor-LH=60 unchanged'!D127+'CurrentPor-LH=60 unchanged'!G127)/100,2))*100</f>
        <v>9614.9673582483465</v>
      </c>
      <c r="D127">
        <f>(3/(1+('CurrentPor-LH=60 unchanged'!C127+'CurrentPor-LH=60 unchanged'!H127)/100)+103/POWER(1+('CurrentPor-LH=60 unchanged'!D127+'CurrentPor-LH=60 unchanged'!H127)/100,2))*100</f>
        <v>9601.2395558122898</v>
      </c>
      <c r="E127">
        <f>(3/(1+('CurrentPor-LH=60 unchanged'!C127+'CurrentPor-LH=60 unchanged'!I127)/100)+103/POWER(1+('CurrentPor-LH=60 unchanged'!D127+'CurrentPor-LH=60 unchanged'!I127)/100,2))*100</f>
        <v>9581.4547115644182</v>
      </c>
      <c r="F127">
        <f>Portfolio!B$5*'CurrentPor-LH=60 unchanged'!E127</f>
        <v>52143.895533915893</v>
      </c>
      <c r="G127">
        <f>Portfolio!B$6*'CurrentPor-LH=60 unchanged'!F127</f>
        <v>3696.2945087936532</v>
      </c>
      <c r="H127">
        <f>Portfolio!B$7*'CurrentPor-LH=60 unchanged'!J127</f>
        <v>2148.0998964419859</v>
      </c>
      <c r="I127">
        <f t="shared" si="2"/>
        <v>96493.537342205425</v>
      </c>
      <c r="J127">
        <f t="shared" si="3"/>
        <v>0</v>
      </c>
    </row>
    <row r="128" spans="1:10">
      <c r="A128" s="1">
        <v>45649</v>
      </c>
      <c r="B128">
        <f>(3/(1+('CurrentPor-LH=60 unchanged'!C128)/100)+103/POWER(1+('CurrentPor-LH=60 unchanged'!D128)/100,2))*100</f>
        <v>9707.5857774288397</v>
      </c>
      <c r="C128">
        <f>(3/(1+('CurrentPor-LH=60 unchanged'!C128+'CurrentPor-LH=60 unchanged'!G128)/100)+103/POWER(1+('CurrentPor-LH=60 unchanged'!D128+'CurrentPor-LH=60 unchanged'!G128)/100,2))*100</f>
        <v>9614.9673582483465</v>
      </c>
      <c r="D128">
        <f>(3/(1+('CurrentPor-LH=60 unchanged'!C128+'CurrentPor-LH=60 unchanged'!H128)/100)+103/POWER(1+('CurrentPor-LH=60 unchanged'!D128+'CurrentPor-LH=60 unchanged'!H128)/100,2))*100</f>
        <v>9601.2395558122898</v>
      </c>
      <c r="E128">
        <f>(3/(1+('CurrentPor-LH=60 unchanged'!C128+'CurrentPor-LH=60 unchanged'!I128)/100)+103/POWER(1+('CurrentPor-LH=60 unchanged'!D128+'CurrentPor-LH=60 unchanged'!I128)/100,2))*100</f>
        <v>9581.4547115644182</v>
      </c>
      <c r="F128">
        <f>Portfolio!B$5*'CurrentPor-LH=60 unchanged'!E128</f>
        <v>52143.895533915893</v>
      </c>
      <c r="G128">
        <f>Portfolio!B$6*'CurrentPor-LH=60 unchanged'!F128</f>
        <v>3696.2945087936532</v>
      </c>
      <c r="H128">
        <f>Portfolio!B$7*'CurrentPor-LH=60 unchanged'!J128</f>
        <v>2148.0998964419859</v>
      </c>
      <c r="I128">
        <f t="shared" si="2"/>
        <v>96493.537342205425</v>
      </c>
      <c r="J128">
        <f t="shared" si="3"/>
        <v>0</v>
      </c>
    </row>
    <row r="129" spans="1:10">
      <c r="A129" s="1">
        <v>45650</v>
      </c>
      <c r="B129">
        <f>(3/(1+('CurrentPor-LH=60 unchanged'!C129)/100)+103/POWER(1+('CurrentPor-LH=60 unchanged'!D129)/100,2))*100</f>
        <v>9707.5857774288397</v>
      </c>
      <c r="C129">
        <f>(3/(1+('CurrentPor-LH=60 unchanged'!C129+'CurrentPor-LH=60 unchanged'!G129)/100)+103/POWER(1+('CurrentPor-LH=60 unchanged'!D129+'CurrentPor-LH=60 unchanged'!G129)/100,2))*100</f>
        <v>9614.9673582483465</v>
      </c>
      <c r="D129">
        <f>(3/(1+('CurrentPor-LH=60 unchanged'!C129+'CurrentPor-LH=60 unchanged'!H129)/100)+103/POWER(1+('CurrentPor-LH=60 unchanged'!D129+'CurrentPor-LH=60 unchanged'!H129)/100,2))*100</f>
        <v>9601.2395558122898</v>
      </c>
      <c r="E129">
        <f>(3/(1+('CurrentPor-LH=60 unchanged'!C129+'CurrentPor-LH=60 unchanged'!I129)/100)+103/POWER(1+('CurrentPor-LH=60 unchanged'!D129+'CurrentPor-LH=60 unchanged'!I129)/100,2))*100</f>
        <v>9581.4547115644182</v>
      </c>
      <c r="F129">
        <f>Portfolio!B$5*'CurrentPor-LH=60 unchanged'!E129</f>
        <v>52143.895533915893</v>
      </c>
      <c r="G129">
        <f>Portfolio!B$6*'CurrentPor-LH=60 unchanged'!F129</f>
        <v>3696.2945087936532</v>
      </c>
      <c r="H129">
        <f>Portfolio!B$7*'CurrentPor-LH=60 unchanged'!J129</f>
        <v>2148.0998964419859</v>
      </c>
      <c r="I129">
        <f t="shared" si="2"/>
        <v>96493.537342205425</v>
      </c>
      <c r="J129">
        <f t="shared" si="3"/>
        <v>0</v>
      </c>
    </row>
    <row r="130" spans="1:10">
      <c r="A130" s="1">
        <v>45651</v>
      </c>
      <c r="B130">
        <f>(3/(1+('CurrentPor-LH=60 unchanged'!C130)/100)+103/POWER(1+('CurrentPor-LH=60 unchanged'!D130)/100,2))*100</f>
        <v>9707.5857774288397</v>
      </c>
      <c r="C130">
        <f>(3/(1+('CurrentPor-LH=60 unchanged'!C130+'CurrentPor-LH=60 unchanged'!G130)/100)+103/POWER(1+('CurrentPor-LH=60 unchanged'!D130+'CurrentPor-LH=60 unchanged'!G130)/100,2))*100</f>
        <v>9614.9673582483465</v>
      </c>
      <c r="D130">
        <f>(3/(1+('CurrentPor-LH=60 unchanged'!C130+'CurrentPor-LH=60 unchanged'!H130)/100)+103/POWER(1+('CurrentPor-LH=60 unchanged'!D130+'CurrentPor-LH=60 unchanged'!H130)/100,2))*100</f>
        <v>9601.2395558122898</v>
      </c>
      <c r="E130">
        <f>(3/(1+('CurrentPor-LH=60 unchanged'!C130+'CurrentPor-LH=60 unchanged'!I130)/100)+103/POWER(1+('CurrentPor-LH=60 unchanged'!D130+'CurrentPor-LH=60 unchanged'!I130)/100,2))*100</f>
        <v>9581.4547115644182</v>
      </c>
      <c r="F130">
        <f>Portfolio!B$5*'CurrentPor-LH=60 unchanged'!E130</f>
        <v>52143.895533915893</v>
      </c>
      <c r="G130">
        <f>Portfolio!B$6*'CurrentPor-LH=60 unchanged'!F130</f>
        <v>3696.2945087936532</v>
      </c>
      <c r="H130">
        <f>Portfolio!B$7*'CurrentPor-LH=60 unchanged'!J130</f>
        <v>2148.0998964419859</v>
      </c>
      <c r="I130">
        <f t="shared" si="2"/>
        <v>96493.537342205425</v>
      </c>
      <c r="J130">
        <f t="shared" si="3"/>
        <v>0</v>
      </c>
    </row>
    <row r="131" spans="1:10">
      <c r="A131" s="1">
        <v>45652</v>
      </c>
      <c r="B131">
        <f>(3/(1+('CurrentPor-LH=60 unchanged'!C131)/100)+103/POWER(1+('CurrentPor-LH=60 unchanged'!D131)/100,2))*100</f>
        <v>9707.5857774288397</v>
      </c>
      <c r="C131">
        <f>(3/(1+('CurrentPor-LH=60 unchanged'!C131+'CurrentPor-LH=60 unchanged'!G131)/100)+103/POWER(1+('CurrentPor-LH=60 unchanged'!D131+'CurrentPor-LH=60 unchanged'!G131)/100,2))*100</f>
        <v>9614.9673582483465</v>
      </c>
      <c r="D131">
        <f>(3/(1+('CurrentPor-LH=60 unchanged'!C131+'CurrentPor-LH=60 unchanged'!H131)/100)+103/POWER(1+('CurrentPor-LH=60 unchanged'!D131+'CurrentPor-LH=60 unchanged'!H131)/100,2))*100</f>
        <v>9601.2395558122898</v>
      </c>
      <c r="E131">
        <f>(3/(1+('CurrentPor-LH=60 unchanged'!C131+'CurrentPor-LH=60 unchanged'!I131)/100)+103/POWER(1+('CurrentPor-LH=60 unchanged'!D131+'CurrentPor-LH=60 unchanged'!I131)/100,2))*100</f>
        <v>9581.4547115644182</v>
      </c>
      <c r="F131">
        <f>Portfolio!B$5*'CurrentPor-LH=60 unchanged'!E131</f>
        <v>52143.895533915893</v>
      </c>
      <c r="G131">
        <f>Portfolio!B$6*'CurrentPor-LH=60 unchanged'!F131</f>
        <v>3696.2945087936532</v>
      </c>
      <c r="H131">
        <f>Portfolio!B$7*'CurrentPor-LH=60 unchanged'!J131</f>
        <v>2148.0998964419859</v>
      </c>
      <c r="I131">
        <f t="shared" si="2"/>
        <v>96493.537342205425</v>
      </c>
      <c r="J131">
        <f t="shared" si="3"/>
        <v>0</v>
      </c>
    </row>
    <row r="132" spans="1:10">
      <c r="A132" s="1">
        <v>45653</v>
      </c>
      <c r="B132">
        <f>(3/(1+('CurrentPor-LH=60 unchanged'!C132)/100)+103/POWER(1+('CurrentPor-LH=60 unchanged'!D132)/100,2))*100</f>
        <v>9707.5857774288397</v>
      </c>
      <c r="C132">
        <f>(3/(1+('CurrentPor-LH=60 unchanged'!C132+'CurrentPor-LH=60 unchanged'!G132)/100)+103/POWER(1+('CurrentPor-LH=60 unchanged'!D132+'CurrentPor-LH=60 unchanged'!G132)/100,2))*100</f>
        <v>9614.9673582483465</v>
      </c>
      <c r="D132">
        <f>(3/(1+('CurrentPor-LH=60 unchanged'!C132+'CurrentPor-LH=60 unchanged'!H132)/100)+103/POWER(1+('CurrentPor-LH=60 unchanged'!D132+'CurrentPor-LH=60 unchanged'!H132)/100,2))*100</f>
        <v>9601.2395558122898</v>
      </c>
      <c r="E132">
        <f>(3/(1+('CurrentPor-LH=60 unchanged'!C132+'CurrentPor-LH=60 unchanged'!I132)/100)+103/POWER(1+('CurrentPor-LH=60 unchanged'!D132+'CurrentPor-LH=60 unchanged'!I132)/100,2))*100</f>
        <v>9581.4547115644182</v>
      </c>
      <c r="F132">
        <f>Portfolio!B$5*'CurrentPor-LH=60 unchanged'!E132</f>
        <v>52143.895533915893</v>
      </c>
      <c r="G132">
        <f>Portfolio!B$6*'CurrentPor-LH=60 unchanged'!F132</f>
        <v>3696.2945087936532</v>
      </c>
      <c r="H132">
        <f>Portfolio!B$7*'CurrentPor-LH=60 unchanged'!J132</f>
        <v>2148.0998964419859</v>
      </c>
      <c r="I132">
        <f t="shared" ref="I132:I195" si="4">SUM(B132:H132)</f>
        <v>96493.537342205425</v>
      </c>
      <c r="J132">
        <f t="shared" si="3"/>
        <v>0</v>
      </c>
    </row>
    <row r="133" spans="1:10">
      <c r="A133" s="1">
        <v>45656</v>
      </c>
      <c r="B133">
        <f>(3/(1+('CurrentPor-LH=60 unchanged'!C133)/100)+103/POWER(1+('CurrentPor-LH=60 unchanged'!D133)/100,2))*100</f>
        <v>9707.5857774288397</v>
      </c>
      <c r="C133">
        <f>(3/(1+('CurrentPor-LH=60 unchanged'!C133+'CurrentPor-LH=60 unchanged'!G133)/100)+103/POWER(1+('CurrentPor-LH=60 unchanged'!D133+'CurrentPor-LH=60 unchanged'!G133)/100,2))*100</f>
        <v>9614.9673582483465</v>
      </c>
      <c r="D133">
        <f>(3/(1+('CurrentPor-LH=60 unchanged'!C133+'CurrentPor-LH=60 unchanged'!H133)/100)+103/POWER(1+('CurrentPor-LH=60 unchanged'!D133+'CurrentPor-LH=60 unchanged'!H133)/100,2))*100</f>
        <v>9601.2395558122898</v>
      </c>
      <c r="E133">
        <f>(3/(1+('CurrentPor-LH=60 unchanged'!C133+'CurrentPor-LH=60 unchanged'!I133)/100)+103/POWER(1+('CurrentPor-LH=60 unchanged'!D133+'CurrentPor-LH=60 unchanged'!I133)/100,2))*100</f>
        <v>9581.4547115644182</v>
      </c>
      <c r="F133">
        <f>Portfolio!B$5*'CurrentPor-LH=60 unchanged'!E133</f>
        <v>52143.895533915893</v>
      </c>
      <c r="G133">
        <f>Portfolio!B$6*'CurrentPor-LH=60 unchanged'!F133</f>
        <v>3696.2945087936532</v>
      </c>
      <c r="H133">
        <f>Portfolio!B$7*'CurrentPor-LH=60 unchanged'!J133</f>
        <v>2148.0998964419859</v>
      </c>
      <c r="I133">
        <f t="shared" si="4"/>
        <v>96493.537342205425</v>
      </c>
      <c r="J133">
        <f t="shared" si="3"/>
        <v>0</v>
      </c>
    </row>
    <row r="134" spans="1:10">
      <c r="A134" s="1">
        <v>45657</v>
      </c>
      <c r="B134">
        <f>(3/(1+('CurrentPor-LH=60 unchanged'!C134)/100)+103/POWER(1+('CurrentPor-LH=60 unchanged'!D134)/100,2))*100</f>
        <v>9707.5857774288397</v>
      </c>
      <c r="C134">
        <f>(3/(1+('CurrentPor-LH=60 unchanged'!C134+'CurrentPor-LH=60 unchanged'!G134)/100)+103/POWER(1+('CurrentPor-LH=60 unchanged'!D134+'CurrentPor-LH=60 unchanged'!G134)/100,2))*100</f>
        <v>9614.9673582483465</v>
      </c>
      <c r="D134">
        <f>(3/(1+('CurrentPor-LH=60 unchanged'!C134+'CurrentPor-LH=60 unchanged'!H134)/100)+103/POWER(1+('CurrentPor-LH=60 unchanged'!D134+'CurrentPor-LH=60 unchanged'!H134)/100,2))*100</f>
        <v>9601.2395558122898</v>
      </c>
      <c r="E134">
        <f>(3/(1+('CurrentPor-LH=60 unchanged'!C134+'CurrentPor-LH=60 unchanged'!I134)/100)+103/POWER(1+('CurrentPor-LH=60 unchanged'!D134+'CurrentPor-LH=60 unchanged'!I134)/100,2))*100</f>
        <v>9581.4547115644182</v>
      </c>
      <c r="F134">
        <f>Portfolio!B$5*'CurrentPor-LH=60 unchanged'!E134</f>
        <v>52143.895533915893</v>
      </c>
      <c r="G134">
        <f>Portfolio!B$6*'CurrentPor-LH=60 unchanged'!F134</f>
        <v>3696.2945087936532</v>
      </c>
      <c r="H134">
        <f>Portfolio!B$7*'CurrentPor-LH=60 unchanged'!J134</f>
        <v>2148.0998964419859</v>
      </c>
      <c r="I134">
        <f t="shared" si="4"/>
        <v>96493.537342205425</v>
      </c>
      <c r="J134">
        <f t="shared" si="3"/>
        <v>0</v>
      </c>
    </row>
    <row r="135" spans="1:10">
      <c r="A135" s="1">
        <v>45658</v>
      </c>
      <c r="B135">
        <f>(3/(1+('CurrentPor-LH=60 unchanged'!C135)/100)+103/POWER(1+('CurrentPor-LH=60 unchanged'!D135)/100,2))*100</f>
        <v>9707.5857774288397</v>
      </c>
      <c r="C135">
        <f>(3/(1+('CurrentPor-LH=60 unchanged'!C135+'CurrentPor-LH=60 unchanged'!G135)/100)+103/POWER(1+('CurrentPor-LH=60 unchanged'!D135+'CurrentPor-LH=60 unchanged'!G135)/100,2))*100</f>
        <v>9614.9673582483465</v>
      </c>
      <c r="D135">
        <f>(3/(1+('CurrentPor-LH=60 unchanged'!C135+'CurrentPor-LH=60 unchanged'!H135)/100)+103/POWER(1+('CurrentPor-LH=60 unchanged'!D135+'CurrentPor-LH=60 unchanged'!H135)/100,2))*100</f>
        <v>9601.2395558122898</v>
      </c>
      <c r="E135">
        <f>(3/(1+('CurrentPor-LH=60 unchanged'!C135+'CurrentPor-LH=60 unchanged'!I135)/100)+103/POWER(1+('CurrentPor-LH=60 unchanged'!D135+'CurrentPor-LH=60 unchanged'!I135)/100,2))*100</f>
        <v>9581.4547115644182</v>
      </c>
      <c r="F135">
        <f>Portfolio!B$5*'CurrentPor-LH=60 unchanged'!E135</f>
        <v>52143.895533915893</v>
      </c>
      <c r="G135">
        <f>Portfolio!B$6*'CurrentPor-LH=60 unchanged'!F135</f>
        <v>3696.2945087936532</v>
      </c>
      <c r="H135">
        <f>Portfolio!B$7*'CurrentPor-LH=60 unchanged'!J135</f>
        <v>2148.0998964419859</v>
      </c>
      <c r="I135">
        <f t="shared" si="4"/>
        <v>96493.537342205425</v>
      </c>
      <c r="J135">
        <f t="shared" si="3"/>
        <v>0</v>
      </c>
    </row>
    <row r="136" spans="1:10">
      <c r="A136" s="1">
        <v>45659</v>
      </c>
      <c r="B136">
        <f>(3/(1+('CurrentPor-LH=60 unchanged'!C136)/100)+103/POWER(1+('CurrentPor-LH=60 unchanged'!D136)/100,2))*100</f>
        <v>9707.5857774288397</v>
      </c>
      <c r="C136">
        <f>(3/(1+('CurrentPor-LH=60 unchanged'!C136+'CurrentPor-LH=60 unchanged'!G136)/100)+103/POWER(1+('CurrentPor-LH=60 unchanged'!D136+'CurrentPor-LH=60 unchanged'!G136)/100,2))*100</f>
        <v>9614.9673582483465</v>
      </c>
      <c r="D136">
        <f>(3/(1+('CurrentPor-LH=60 unchanged'!C136+'CurrentPor-LH=60 unchanged'!H136)/100)+103/POWER(1+('CurrentPor-LH=60 unchanged'!D136+'CurrentPor-LH=60 unchanged'!H136)/100,2))*100</f>
        <v>9601.2395558122898</v>
      </c>
      <c r="E136">
        <f>(3/(1+('CurrentPor-LH=60 unchanged'!C136+'CurrentPor-LH=60 unchanged'!I136)/100)+103/POWER(1+('CurrentPor-LH=60 unchanged'!D136+'CurrentPor-LH=60 unchanged'!I136)/100,2))*100</f>
        <v>9581.4547115644182</v>
      </c>
      <c r="F136">
        <f>Portfolio!B$5*'CurrentPor-LH=60 unchanged'!E136</f>
        <v>52143.895533915893</v>
      </c>
      <c r="G136">
        <f>Portfolio!B$6*'CurrentPor-LH=60 unchanged'!F136</f>
        <v>3696.2945087936532</v>
      </c>
      <c r="H136">
        <f>Portfolio!B$7*'CurrentPor-LH=60 unchanged'!J136</f>
        <v>2148.0998964419859</v>
      </c>
      <c r="I136">
        <f t="shared" si="4"/>
        <v>96493.537342205425</v>
      </c>
      <c r="J136">
        <f t="shared" si="3"/>
        <v>0</v>
      </c>
    </row>
    <row r="137" spans="1:10">
      <c r="A137" s="1">
        <v>45660</v>
      </c>
      <c r="B137">
        <f>(3/(1+('CurrentPor-LH=60 unchanged'!C137)/100)+103/POWER(1+('CurrentPor-LH=60 unchanged'!D137)/100,2))*100</f>
        <v>9707.5857774288397</v>
      </c>
      <c r="C137">
        <f>(3/(1+('CurrentPor-LH=60 unchanged'!C137+'CurrentPor-LH=60 unchanged'!G137)/100)+103/POWER(1+('CurrentPor-LH=60 unchanged'!D137+'CurrentPor-LH=60 unchanged'!G137)/100,2))*100</f>
        <v>9614.9673582483465</v>
      </c>
      <c r="D137">
        <f>(3/(1+('CurrentPor-LH=60 unchanged'!C137+'CurrentPor-LH=60 unchanged'!H137)/100)+103/POWER(1+('CurrentPor-LH=60 unchanged'!D137+'CurrentPor-LH=60 unchanged'!H137)/100,2))*100</f>
        <v>9601.2395558122898</v>
      </c>
      <c r="E137">
        <f>(3/(1+('CurrentPor-LH=60 unchanged'!C137+'CurrentPor-LH=60 unchanged'!I137)/100)+103/POWER(1+('CurrentPor-LH=60 unchanged'!D137+'CurrentPor-LH=60 unchanged'!I137)/100,2))*100</f>
        <v>9581.4547115644182</v>
      </c>
      <c r="F137">
        <f>Portfolio!B$5*'CurrentPor-LH=60 unchanged'!E137</f>
        <v>52143.895533915893</v>
      </c>
      <c r="G137">
        <f>Portfolio!B$6*'CurrentPor-LH=60 unchanged'!F137</f>
        <v>3696.2945087936532</v>
      </c>
      <c r="H137">
        <f>Portfolio!B$7*'CurrentPor-LH=60 unchanged'!J137</f>
        <v>2148.0998964419859</v>
      </c>
      <c r="I137">
        <f t="shared" si="4"/>
        <v>96493.537342205425</v>
      </c>
      <c r="J137">
        <f t="shared" si="3"/>
        <v>0</v>
      </c>
    </row>
    <row r="138" spans="1:10">
      <c r="A138" s="1">
        <v>45663</v>
      </c>
      <c r="B138">
        <f>(3/(1+('CurrentPor-LH=60 unchanged'!C138)/100)+103/POWER(1+('CurrentPor-LH=60 unchanged'!D138)/100,2))*100</f>
        <v>9707.5857774288397</v>
      </c>
      <c r="C138">
        <f>(3/(1+('CurrentPor-LH=60 unchanged'!C138+'CurrentPor-LH=60 unchanged'!G138)/100)+103/POWER(1+('CurrentPor-LH=60 unchanged'!D138+'CurrentPor-LH=60 unchanged'!G138)/100,2))*100</f>
        <v>9614.9673582483465</v>
      </c>
      <c r="D138">
        <f>(3/(1+('CurrentPor-LH=60 unchanged'!C138+'CurrentPor-LH=60 unchanged'!H138)/100)+103/POWER(1+('CurrentPor-LH=60 unchanged'!D138+'CurrentPor-LH=60 unchanged'!H138)/100,2))*100</f>
        <v>9601.2395558122898</v>
      </c>
      <c r="E138">
        <f>(3/(1+('CurrentPor-LH=60 unchanged'!C138+'CurrentPor-LH=60 unchanged'!I138)/100)+103/POWER(1+('CurrentPor-LH=60 unchanged'!D138+'CurrentPor-LH=60 unchanged'!I138)/100,2))*100</f>
        <v>9581.4547115644182</v>
      </c>
      <c r="F138">
        <f>Portfolio!B$5*'CurrentPor-LH=60 unchanged'!E138</f>
        <v>52143.895533915893</v>
      </c>
      <c r="G138">
        <f>Portfolio!B$6*'CurrentPor-LH=60 unchanged'!F138</f>
        <v>3696.2945087936532</v>
      </c>
      <c r="H138">
        <f>Portfolio!B$7*'CurrentPor-LH=60 unchanged'!J138</f>
        <v>2148.0998964419859</v>
      </c>
      <c r="I138">
        <f t="shared" si="4"/>
        <v>96493.537342205425</v>
      </c>
      <c r="J138">
        <f t="shared" si="3"/>
        <v>0</v>
      </c>
    </row>
    <row r="139" spans="1:10">
      <c r="A139" s="1">
        <v>45664</v>
      </c>
      <c r="B139">
        <f>(3/(1+('CurrentPor-LH=60 unchanged'!C139)/100)+103/POWER(1+('CurrentPor-LH=60 unchanged'!D139)/100,2))*100</f>
        <v>9707.5857774288397</v>
      </c>
      <c r="C139">
        <f>(3/(1+('CurrentPor-LH=60 unchanged'!C139+'CurrentPor-LH=60 unchanged'!G139)/100)+103/POWER(1+('CurrentPor-LH=60 unchanged'!D139+'CurrentPor-LH=60 unchanged'!G139)/100,2))*100</f>
        <v>9614.9673582483465</v>
      </c>
      <c r="D139">
        <f>(3/(1+('CurrentPor-LH=60 unchanged'!C139+'CurrentPor-LH=60 unchanged'!H139)/100)+103/POWER(1+('CurrentPor-LH=60 unchanged'!D139+'CurrentPor-LH=60 unchanged'!H139)/100,2))*100</f>
        <v>9601.2395558122898</v>
      </c>
      <c r="E139">
        <f>(3/(1+('CurrentPor-LH=60 unchanged'!C139+'CurrentPor-LH=60 unchanged'!I139)/100)+103/POWER(1+('CurrentPor-LH=60 unchanged'!D139+'CurrentPor-LH=60 unchanged'!I139)/100,2))*100</f>
        <v>9581.4547115644182</v>
      </c>
      <c r="F139">
        <f>Portfolio!B$5*'CurrentPor-LH=60 unchanged'!E139</f>
        <v>52143.895533915893</v>
      </c>
      <c r="G139">
        <f>Portfolio!B$6*'CurrentPor-LH=60 unchanged'!F139</f>
        <v>3696.2945087936532</v>
      </c>
      <c r="H139">
        <f>Portfolio!B$7*'CurrentPor-LH=60 unchanged'!J139</f>
        <v>2148.0998964419859</v>
      </c>
      <c r="I139">
        <f t="shared" si="4"/>
        <v>96493.537342205425</v>
      </c>
      <c r="J139">
        <f t="shared" si="3"/>
        <v>0</v>
      </c>
    </row>
    <row r="140" spans="1:10">
      <c r="A140" s="1">
        <v>45665</v>
      </c>
      <c r="B140">
        <f>(3/(1+('CurrentPor-LH=60 unchanged'!C140)/100)+103/POWER(1+('CurrentPor-LH=60 unchanged'!D140)/100,2))*100</f>
        <v>9707.5857774288397</v>
      </c>
      <c r="C140">
        <f>(3/(1+('CurrentPor-LH=60 unchanged'!C140+'CurrentPor-LH=60 unchanged'!G140)/100)+103/POWER(1+('CurrentPor-LH=60 unchanged'!D140+'CurrentPor-LH=60 unchanged'!G140)/100,2))*100</f>
        <v>9614.9673582483465</v>
      </c>
      <c r="D140">
        <f>(3/(1+('CurrentPor-LH=60 unchanged'!C140+'CurrentPor-LH=60 unchanged'!H140)/100)+103/POWER(1+('CurrentPor-LH=60 unchanged'!D140+'CurrentPor-LH=60 unchanged'!H140)/100,2))*100</f>
        <v>9601.2395558122898</v>
      </c>
      <c r="E140">
        <f>(3/(1+('CurrentPor-LH=60 unchanged'!C140+'CurrentPor-LH=60 unchanged'!I140)/100)+103/POWER(1+('CurrentPor-LH=60 unchanged'!D140+'CurrentPor-LH=60 unchanged'!I140)/100,2))*100</f>
        <v>9581.4547115644182</v>
      </c>
      <c r="F140">
        <f>Portfolio!B$5*'CurrentPor-LH=60 unchanged'!E140</f>
        <v>52143.895533915893</v>
      </c>
      <c r="G140">
        <f>Portfolio!B$6*'CurrentPor-LH=60 unchanged'!F140</f>
        <v>3696.2945087936532</v>
      </c>
      <c r="H140">
        <f>Portfolio!B$7*'CurrentPor-LH=60 unchanged'!J140</f>
        <v>2148.0998964419859</v>
      </c>
      <c r="I140">
        <f t="shared" si="4"/>
        <v>96493.537342205425</v>
      </c>
      <c r="J140">
        <f t="shared" si="3"/>
        <v>0</v>
      </c>
    </row>
    <row r="141" spans="1:10">
      <c r="A141" s="1">
        <v>45666</v>
      </c>
      <c r="B141">
        <f>(3/(1+('CurrentPor-LH=60 unchanged'!C141)/100)+103/POWER(1+('CurrentPor-LH=60 unchanged'!D141)/100,2))*100</f>
        <v>9707.5857774288397</v>
      </c>
      <c r="C141">
        <f>(3/(1+('CurrentPor-LH=60 unchanged'!C141+'CurrentPor-LH=60 unchanged'!G141)/100)+103/POWER(1+('CurrentPor-LH=60 unchanged'!D141+'CurrentPor-LH=60 unchanged'!G141)/100,2))*100</f>
        <v>9614.9673582483465</v>
      </c>
      <c r="D141">
        <f>(3/(1+('CurrentPor-LH=60 unchanged'!C141+'CurrentPor-LH=60 unchanged'!H141)/100)+103/POWER(1+('CurrentPor-LH=60 unchanged'!D141+'CurrentPor-LH=60 unchanged'!H141)/100,2))*100</f>
        <v>9601.2395558122898</v>
      </c>
      <c r="E141">
        <f>(3/(1+('CurrentPor-LH=60 unchanged'!C141+'CurrentPor-LH=60 unchanged'!I141)/100)+103/POWER(1+('CurrentPor-LH=60 unchanged'!D141+'CurrentPor-LH=60 unchanged'!I141)/100,2))*100</f>
        <v>9581.4547115644182</v>
      </c>
      <c r="F141">
        <f>Portfolio!B$5*'CurrentPor-LH=60 unchanged'!E141</f>
        <v>52143.895533915893</v>
      </c>
      <c r="G141">
        <f>Portfolio!B$6*'CurrentPor-LH=60 unchanged'!F141</f>
        <v>3696.2945087936532</v>
      </c>
      <c r="H141">
        <f>Portfolio!B$7*'CurrentPor-LH=60 unchanged'!J141</f>
        <v>2148.0998964419859</v>
      </c>
      <c r="I141">
        <f t="shared" si="4"/>
        <v>96493.537342205425</v>
      </c>
      <c r="J141">
        <f t="shared" si="3"/>
        <v>0</v>
      </c>
    </row>
    <row r="142" spans="1:10">
      <c r="A142" s="1">
        <v>45667</v>
      </c>
      <c r="B142">
        <f>(3/(1+('CurrentPor-LH=60 unchanged'!C142)/100)+103/POWER(1+('CurrentPor-LH=60 unchanged'!D142)/100,2))*100</f>
        <v>9707.5857774288397</v>
      </c>
      <c r="C142">
        <f>(3/(1+('CurrentPor-LH=60 unchanged'!C142+'CurrentPor-LH=60 unchanged'!G142)/100)+103/POWER(1+('CurrentPor-LH=60 unchanged'!D142+'CurrentPor-LH=60 unchanged'!G142)/100,2))*100</f>
        <v>9614.9673582483465</v>
      </c>
      <c r="D142">
        <f>(3/(1+('CurrentPor-LH=60 unchanged'!C142+'CurrentPor-LH=60 unchanged'!H142)/100)+103/POWER(1+('CurrentPor-LH=60 unchanged'!D142+'CurrentPor-LH=60 unchanged'!H142)/100,2))*100</f>
        <v>9601.2395558122898</v>
      </c>
      <c r="E142">
        <f>(3/(1+('CurrentPor-LH=60 unchanged'!C142+'CurrentPor-LH=60 unchanged'!I142)/100)+103/POWER(1+('CurrentPor-LH=60 unchanged'!D142+'CurrentPor-LH=60 unchanged'!I142)/100,2))*100</f>
        <v>9581.4547115644182</v>
      </c>
      <c r="F142">
        <f>Portfolio!B$5*'CurrentPor-LH=60 unchanged'!E142</f>
        <v>52143.895533915893</v>
      </c>
      <c r="G142">
        <f>Portfolio!B$6*'CurrentPor-LH=60 unchanged'!F142</f>
        <v>3696.2945087936532</v>
      </c>
      <c r="H142">
        <f>Portfolio!B$7*'CurrentPor-LH=60 unchanged'!J142</f>
        <v>2148.0998964419859</v>
      </c>
      <c r="I142">
        <f t="shared" si="4"/>
        <v>96493.537342205425</v>
      </c>
      <c r="J142">
        <f t="shared" ref="J142:J205" si="5">I142-I132</f>
        <v>0</v>
      </c>
    </row>
    <row r="143" spans="1:10">
      <c r="A143" s="1">
        <v>45670</v>
      </c>
      <c r="B143">
        <f>(3/(1+('CurrentPor-LH=60 unchanged'!C143)/100)+103/POWER(1+('CurrentPor-LH=60 unchanged'!D143)/100,2))*100</f>
        <v>9707.5857774288397</v>
      </c>
      <c r="C143">
        <f>(3/(1+('CurrentPor-LH=60 unchanged'!C143+'CurrentPor-LH=60 unchanged'!G143)/100)+103/POWER(1+('CurrentPor-LH=60 unchanged'!D143+'CurrentPor-LH=60 unchanged'!G143)/100,2))*100</f>
        <v>9614.9673582483465</v>
      </c>
      <c r="D143">
        <f>(3/(1+('CurrentPor-LH=60 unchanged'!C143+'CurrentPor-LH=60 unchanged'!H143)/100)+103/POWER(1+('CurrentPor-LH=60 unchanged'!D143+'CurrentPor-LH=60 unchanged'!H143)/100,2))*100</f>
        <v>9601.2395558122898</v>
      </c>
      <c r="E143">
        <f>(3/(1+('CurrentPor-LH=60 unchanged'!C143+'CurrentPor-LH=60 unchanged'!I143)/100)+103/POWER(1+('CurrentPor-LH=60 unchanged'!D143+'CurrentPor-LH=60 unchanged'!I143)/100,2))*100</f>
        <v>9581.4547115644182</v>
      </c>
      <c r="F143">
        <f>Portfolio!B$5*'CurrentPor-LH=60 unchanged'!E143</f>
        <v>52143.895533915893</v>
      </c>
      <c r="G143">
        <f>Portfolio!B$6*'CurrentPor-LH=60 unchanged'!F143</f>
        <v>3696.2945087936532</v>
      </c>
      <c r="H143">
        <f>Portfolio!B$7*'CurrentPor-LH=60 unchanged'!J143</f>
        <v>2148.0998964419859</v>
      </c>
      <c r="I143">
        <f t="shared" si="4"/>
        <v>96493.537342205425</v>
      </c>
      <c r="J143">
        <f t="shared" si="5"/>
        <v>0</v>
      </c>
    </row>
    <row r="144" spans="1:10">
      <c r="A144" s="1">
        <v>45671</v>
      </c>
      <c r="B144">
        <f>(3/(1+('CurrentPor-LH=60 unchanged'!C144)/100)+103/POWER(1+('CurrentPor-LH=60 unchanged'!D144)/100,2))*100</f>
        <v>9707.5857774288397</v>
      </c>
      <c r="C144">
        <f>(3/(1+('CurrentPor-LH=60 unchanged'!C144+'CurrentPor-LH=60 unchanged'!G144)/100)+103/POWER(1+('CurrentPor-LH=60 unchanged'!D144+'CurrentPor-LH=60 unchanged'!G144)/100,2))*100</f>
        <v>9614.9673582483465</v>
      </c>
      <c r="D144">
        <f>(3/(1+('CurrentPor-LH=60 unchanged'!C144+'CurrentPor-LH=60 unchanged'!H144)/100)+103/POWER(1+('CurrentPor-LH=60 unchanged'!D144+'CurrentPor-LH=60 unchanged'!H144)/100,2))*100</f>
        <v>9601.2395558122898</v>
      </c>
      <c r="E144">
        <f>(3/(1+('CurrentPor-LH=60 unchanged'!C144+'CurrentPor-LH=60 unchanged'!I144)/100)+103/POWER(1+('CurrentPor-LH=60 unchanged'!D144+'CurrentPor-LH=60 unchanged'!I144)/100,2))*100</f>
        <v>9581.4547115644182</v>
      </c>
      <c r="F144">
        <f>Portfolio!B$5*'CurrentPor-LH=60 unchanged'!E144</f>
        <v>52143.895533915893</v>
      </c>
      <c r="G144">
        <f>Portfolio!B$6*'CurrentPor-LH=60 unchanged'!F144</f>
        <v>3696.2945087936532</v>
      </c>
      <c r="H144">
        <f>Portfolio!B$7*'CurrentPor-LH=60 unchanged'!J144</f>
        <v>2148.0998964419859</v>
      </c>
      <c r="I144">
        <f t="shared" si="4"/>
        <v>96493.537342205425</v>
      </c>
      <c r="J144">
        <f t="shared" si="5"/>
        <v>0</v>
      </c>
    </row>
    <row r="145" spans="1:10">
      <c r="A145" s="1">
        <v>45672</v>
      </c>
      <c r="B145">
        <f>(3/(1+('CurrentPor-LH=60 unchanged'!C145)/100)+103/POWER(1+('CurrentPor-LH=60 unchanged'!D145)/100,2))*100</f>
        <v>9707.5857774288397</v>
      </c>
      <c r="C145">
        <f>(3/(1+('CurrentPor-LH=60 unchanged'!C145+'CurrentPor-LH=60 unchanged'!G145)/100)+103/POWER(1+('CurrentPor-LH=60 unchanged'!D145+'CurrentPor-LH=60 unchanged'!G145)/100,2))*100</f>
        <v>9614.9673582483465</v>
      </c>
      <c r="D145">
        <f>(3/(1+('CurrentPor-LH=60 unchanged'!C145+'CurrentPor-LH=60 unchanged'!H145)/100)+103/POWER(1+('CurrentPor-LH=60 unchanged'!D145+'CurrentPor-LH=60 unchanged'!H145)/100,2))*100</f>
        <v>9601.2395558122898</v>
      </c>
      <c r="E145">
        <f>(3/(1+('CurrentPor-LH=60 unchanged'!C145+'CurrentPor-LH=60 unchanged'!I145)/100)+103/POWER(1+('CurrentPor-LH=60 unchanged'!D145+'CurrentPor-LH=60 unchanged'!I145)/100,2))*100</f>
        <v>9581.4547115644182</v>
      </c>
      <c r="F145">
        <f>Portfolio!B$5*'CurrentPor-LH=60 unchanged'!E145</f>
        <v>52143.895533915893</v>
      </c>
      <c r="G145">
        <f>Portfolio!B$6*'CurrentPor-LH=60 unchanged'!F145</f>
        <v>3696.2945087936532</v>
      </c>
      <c r="H145">
        <f>Portfolio!B$7*'CurrentPor-LH=60 unchanged'!J145</f>
        <v>2148.0998964419859</v>
      </c>
      <c r="I145">
        <f t="shared" si="4"/>
        <v>96493.537342205425</v>
      </c>
      <c r="J145">
        <f t="shared" si="5"/>
        <v>0</v>
      </c>
    </row>
    <row r="146" spans="1:10">
      <c r="A146" s="1">
        <v>45673</v>
      </c>
      <c r="B146">
        <f>(3/(1+('CurrentPor-LH=60 unchanged'!C146)/100)+103/POWER(1+('CurrentPor-LH=60 unchanged'!D146)/100,2))*100</f>
        <v>9707.5857774288397</v>
      </c>
      <c r="C146">
        <f>(3/(1+('CurrentPor-LH=60 unchanged'!C146+'CurrentPor-LH=60 unchanged'!G146)/100)+103/POWER(1+('CurrentPor-LH=60 unchanged'!D146+'CurrentPor-LH=60 unchanged'!G146)/100,2))*100</f>
        <v>9614.9673582483465</v>
      </c>
      <c r="D146">
        <f>(3/(1+('CurrentPor-LH=60 unchanged'!C146+'CurrentPor-LH=60 unchanged'!H146)/100)+103/POWER(1+('CurrentPor-LH=60 unchanged'!D146+'CurrentPor-LH=60 unchanged'!H146)/100,2))*100</f>
        <v>9601.2395558122898</v>
      </c>
      <c r="E146">
        <f>(3/(1+('CurrentPor-LH=60 unchanged'!C146+'CurrentPor-LH=60 unchanged'!I146)/100)+103/POWER(1+('CurrentPor-LH=60 unchanged'!D146+'CurrentPor-LH=60 unchanged'!I146)/100,2))*100</f>
        <v>9581.4547115644182</v>
      </c>
      <c r="F146">
        <f>Portfolio!B$5*'CurrentPor-LH=60 unchanged'!E146</f>
        <v>52143.895533915893</v>
      </c>
      <c r="G146">
        <f>Portfolio!B$6*'CurrentPor-LH=60 unchanged'!F146</f>
        <v>3696.2945087936532</v>
      </c>
      <c r="H146">
        <f>Portfolio!B$7*'CurrentPor-LH=60 unchanged'!J146</f>
        <v>2148.0998964419859</v>
      </c>
      <c r="I146">
        <f t="shared" si="4"/>
        <v>96493.537342205425</v>
      </c>
      <c r="J146">
        <f t="shared" si="5"/>
        <v>0</v>
      </c>
    </row>
    <row r="147" spans="1:10">
      <c r="A147" s="1">
        <v>45674</v>
      </c>
      <c r="B147">
        <f>(3/(1+('CurrentPor-LH=60 unchanged'!C147)/100)+103/POWER(1+('CurrentPor-LH=60 unchanged'!D147)/100,2))*100</f>
        <v>9707.5857774288397</v>
      </c>
      <c r="C147">
        <f>(3/(1+('CurrentPor-LH=60 unchanged'!C147+'CurrentPor-LH=60 unchanged'!G147)/100)+103/POWER(1+('CurrentPor-LH=60 unchanged'!D147+'CurrentPor-LH=60 unchanged'!G147)/100,2))*100</f>
        <v>9614.9673582483465</v>
      </c>
      <c r="D147">
        <f>(3/(1+('CurrentPor-LH=60 unchanged'!C147+'CurrentPor-LH=60 unchanged'!H147)/100)+103/POWER(1+('CurrentPor-LH=60 unchanged'!D147+'CurrentPor-LH=60 unchanged'!H147)/100,2))*100</f>
        <v>9601.2395558122898</v>
      </c>
      <c r="E147">
        <f>(3/(1+('CurrentPor-LH=60 unchanged'!C147+'CurrentPor-LH=60 unchanged'!I147)/100)+103/POWER(1+('CurrentPor-LH=60 unchanged'!D147+'CurrentPor-LH=60 unchanged'!I147)/100,2))*100</f>
        <v>9581.4547115644182</v>
      </c>
      <c r="F147">
        <f>Portfolio!B$5*'CurrentPor-LH=60 unchanged'!E147</f>
        <v>52143.895533915893</v>
      </c>
      <c r="G147">
        <f>Portfolio!B$6*'CurrentPor-LH=60 unchanged'!F147</f>
        <v>3696.2945087936532</v>
      </c>
      <c r="H147">
        <f>Portfolio!B$7*'CurrentPor-LH=60 unchanged'!J147</f>
        <v>2148.0998964419859</v>
      </c>
      <c r="I147">
        <f t="shared" si="4"/>
        <v>96493.537342205425</v>
      </c>
      <c r="J147">
        <f t="shared" si="5"/>
        <v>0</v>
      </c>
    </row>
    <row r="148" spans="1:10">
      <c r="A148" s="1">
        <v>45677</v>
      </c>
      <c r="B148">
        <f>(3/(1+('CurrentPor-LH=60 unchanged'!C148)/100)+103/POWER(1+('CurrentPor-LH=60 unchanged'!D148)/100,2))*100</f>
        <v>9707.5857774288397</v>
      </c>
      <c r="C148">
        <f>(3/(1+('CurrentPor-LH=60 unchanged'!C148+'CurrentPor-LH=60 unchanged'!G148)/100)+103/POWER(1+('CurrentPor-LH=60 unchanged'!D148+'CurrentPor-LH=60 unchanged'!G148)/100,2))*100</f>
        <v>9614.9673582483465</v>
      </c>
      <c r="D148">
        <f>(3/(1+('CurrentPor-LH=60 unchanged'!C148+'CurrentPor-LH=60 unchanged'!H148)/100)+103/POWER(1+('CurrentPor-LH=60 unchanged'!D148+'CurrentPor-LH=60 unchanged'!H148)/100,2))*100</f>
        <v>9601.2395558122898</v>
      </c>
      <c r="E148">
        <f>(3/(1+('CurrentPor-LH=60 unchanged'!C148+'CurrentPor-LH=60 unchanged'!I148)/100)+103/POWER(1+('CurrentPor-LH=60 unchanged'!D148+'CurrentPor-LH=60 unchanged'!I148)/100,2))*100</f>
        <v>9581.4547115644182</v>
      </c>
      <c r="F148">
        <f>Portfolio!B$5*'CurrentPor-LH=60 unchanged'!E148</f>
        <v>52143.895533915893</v>
      </c>
      <c r="G148">
        <f>Portfolio!B$6*'CurrentPor-LH=60 unchanged'!F148</f>
        <v>3696.2945087936532</v>
      </c>
      <c r="H148">
        <f>Portfolio!B$7*'CurrentPor-LH=60 unchanged'!J148</f>
        <v>2148.0998964419859</v>
      </c>
      <c r="I148">
        <f t="shared" si="4"/>
        <v>96493.537342205425</v>
      </c>
      <c r="J148">
        <f t="shared" si="5"/>
        <v>0</v>
      </c>
    </row>
    <row r="149" spans="1:10">
      <c r="A149" s="1">
        <v>45678</v>
      </c>
      <c r="B149">
        <f>(3/(1+('CurrentPor-LH=60 unchanged'!C149)/100)+103/POWER(1+('CurrentPor-LH=60 unchanged'!D149)/100,2))*100</f>
        <v>9707.5857774288397</v>
      </c>
      <c r="C149">
        <f>(3/(1+('CurrentPor-LH=60 unchanged'!C149+'CurrentPor-LH=60 unchanged'!G149)/100)+103/POWER(1+('CurrentPor-LH=60 unchanged'!D149+'CurrentPor-LH=60 unchanged'!G149)/100,2))*100</f>
        <v>9614.9673582483465</v>
      </c>
      <c r="D149">
        <f>(3/(1+('CurrentPor-LH=60 unchanged'!C149+'CurrentPor-LH=60 unchanged'!H149)/100)+103/POWER(1+('CurrentPor-LH=60 unchanged'!D149+'CurrentPor-LH=60 unchanged'!H149)/100,2))*100</f>
        <v>9601.2395558122898</v>
      </c>
      <c r="E149">
        <f>(3/(1+('CurrentPor-LH=60 unchanged'!C149+'CurrentPor-LH=60 unchanged'!I149)/100)+103/POWER(1+('CurrentPor-LH=60 unchanged'!D149+'CurrentPor-LH=60 unchanged'!I149)/100,2))*100</f>
        <v>9581.4547115644182</v>
      </c>
      <c r="F149">
        <f>Portfolio!B$5*'CurrentPor-LH=60 unchanged'!E149</f>
        <v>52143.895533915893</v>
      </c>
      <c r="G149">
        <f>Portfolio!B$6*'CurrentPor-LH=60 unchanged'!F149</f>
        <v>3696.2945087936532</v>
      </c>
      <c r="H149">
        <f>Portfolio!B$7*'CurrentPor-LH=60 unchanged'!J149</f>
        <v>2148.0998964419859</v>
      </c>
      <c r="I149">
        <f t="shared" si="4"/>
        <v>96493.537342205425</v>
      </c>
      <c r="J149">
        <f t="shared" si="5"/>
        <v>0</v>
      </c>
    </row>
    <row r="150" spans="1:10">
      <c r="A150" s="1">
        <v>45679</v>
      </c>
      <c r="B150">
        <f>(3/(1+('CurrentPor-LH=60 unchanged'!C150)/100)+103/POWER(1+('CurrentPor-LH=60 unchanged'!D150)/100,2))*100</f>
        <v>9707.5857774288397</v>
      </c>
      <c r="C150">
        <f>(3/(1+('CurrentPor-LH=60 unchanged'!C150+'CurrentPor-LH=60 unchanged'!G150)/100)+103/POWER(1+('CurrentPor-LH=60 unchanged'!D150+'CurrentPor-LH=60 unchanged'!G150)/100,2))*100</f>
        <v>9614.9673582483465</v>
      </c>
      <c r="D150">
        <f>(3/(1+('CurrentPor-LH=60 unchanged'!C150+'CurrentPor-LH=60 unchanged'!H150)/100)+103/POWER(1+('CurrentPor-LH=60 unchanged'!D150+'CurrentPor-LH=60 unchanged'!H150)/100,2))*100</f>
        <v>9601.2395558122898</v>
      </c>
      <c r="E150">
        <f>(3/(1+('CurrentPor-LH=60 unchanged'!C150+'CurrentPor-LH=60 unchanged'!I150)/100)+103/POWER(1+('CurrentPor-LH=60 unchanged'!D150+'CurrentPor-LH=60 unchanged'!I150)/100,2))*100</f>
        <v>9581.4547115644182</v>
      </c>
      <c r="F150">
        <f>Portfolio!B$5*'CurrentPor-LH=60 unchanged'!E150</f>
        <v>52143.895533915893</v>
      </c>
      <c r="G150">
        <f>Portfolio!B$6*'CurrentPor-LH=60 unchanged'!F150</f>
        <v>3696.2945087936532</v>
      </c>
      <c r="H150">
        <f>Portfolio!B$7*'CurrentPor-LH=60 unchanged'!J150</f>
        <v>2148.0998964419859</v>
      </c>
      <c r="I150">
        <f t="shared" si="4"/>
        <v>96493.537342205425</v>
      </c>
      <c r="J150">
        <f t="shared" si="5"/>
        <v>0</v>
      </c>
    </row>
    <row r="151" spans="1:10">
      <c r="A151" s="1">
        <v>45680</v>
      </c>
      <c r="B151">
        <f>(3/(1+('CurrentPor-LH=60 unchanged'!C151)/100)+103/POWER(1+('CurrentPor-LH=60 unchanged'!D151)/100,2))*100</f>
        <v>9707.5857774288397</v>
      </c>
      <c r="C151">
        <f>(3/(1+('CurrentPor-LH=60 unchanged'!C151+'CurrentPor-LH=60 unchanged'!G151)/100)+103/POWER(1+('CurrentPor-LH=60 unchanged'!D151+'CurrentPor-LH=60 unchanged'!G151)/100,2))*100</f>
        <v>9614.9673582483465</v>
      </c>
      <c r="D151">
        <f>(3/(1+('CurrentPor-LH=60 unchanged'!C151+'CurrentPor-LH=60 unchanged'!H151)/100)+103/POWER(1+('CurrentPor-LH=60 unchanged'!D151+'CurrentPor-LH=60 unchanged'!H151)/100,2))*100</f>
        <v>9601.2395558122898</v>
      </c>
      <c r="E151">
        <f>(3/(1+('CurrentPor-LH=60 unchanged'!C151+'CurrentPor-LH=60 unchanged'!I151)/100)+103/POWER(1+('CurrentPor-LH=60 unchanged'!D151+'CurrentPor-LH=60 unchanged'!I151)/100,2))*100</f>
        <v>9581.4547115644182</v>
      </c>
      <c r="F151">
        <f>Portfolio!B$5*'CurrentPor-LH=60 unchanged'!E151</f>
        <v>52143.895533915893</v>
      </c>
      <c r="G151">
        <f>Portfolio!B$6*'CurrentPor-LH=60 unchanged'!F151</f>
        <v>3696.2945087936532</v>
      </c>
      <c r="H151">
        <f>Portfolio!B$7*'CurrentPor-LH=60 unchanged'!J151</f>
        <v>2148.0998964419859</v>
      </c>
      <c r="I151">
        <f t="shared" si="4"/>
        <v>96493.537342205425</v>
      </c>
      <c r="J151">
        <f t="shared" si="5"/>
        <v>0</v>
      </c>
    </row>
    <row r="152" spans="1:10">
      <c r="A152" s="1">
        <v>45681</v>
      </c>
      <c r="B152">
        <f>(3/(1+('CurrentPor-LH=60 unchanged'!C152)/100)+103/POWER(1+('CurrentPor-LH=60 unchanged'!D152)/100,2))*100</f>
        <v>9707.5857774288397</v>
      </c>
      <c r="C152">
        <f>(3/(1+('CurrentPor-LH=60 unchanged'!C152+'CurrentPor-LH=60 unchanged'!G152)/100)+103/POWER(1+('CurrentPor-LH=60 unchanged'!D152+'CurrentPor-LH=60 unchanged'!G152)/100,2))*100</f>
        <v>9614.9673582483465</v>
      </c>
      <c r="D152">
        <f>(3/(1+('CurrentPor-LH=60 unchanged'!C152+'CurrentPor-LH=60 unchanged'!H152)/100)+103/POWER(1+('CurrentPor-LH=60 unchanged'!D152+'CurrentPor-LH=60 unchanged'!H152)/100,2))*100</f>
        <v>9601.2395558122898</v>
      </c>
      <c r="E152">
        <f>(3/(1+('CurrentPor-LH=60 unchanged'!C152+'CurrentPor-LH=60 unchanged'!I152)/100)+103/POWER(1+('CurrentPor-LH=60 unchanged'!D152+'CurrentPor-LH=60 unchanged'!I152)/100,2))*100</f>
        <v>9581.4547115644182</v>
      </c>
      <c r="F152">
        <f>Portfolio!B$5*'CurrentPor-LH=60 unchanged'!E152</f>
        <v>52143.895533915893</v>
      </c>
      <c r="G152">
        <f>Portfolio!B$6*'CurrentPor-LH=60 unchanged'!F152</f>
        <v>3696.2945087936532</v>
      </c>
      <c r="H152">
        <f>Portfolio!B$7*'CurrentPor-LH=60 unchanged'!J152</f>
        <v>2148.0998964419859</v>
      </c>
      <c r="I152">
        <f t="shared" si="4"/>
        <v>96493.537342205425</v>
      </c>
      <c r="J152">
        <f t="shared" si="5"/>
        <v>0</v>
      </c>
    </row>
    <row r="153" spans="1:10">
      <c r="A153" s="1">
        <v>45684</v>
      </c>
      <c r="B153">
        <f>(3/(1+('CurrentPor-LH=60 unchanged'!C153)/100)+103/POWER(1+('CurrentPor-LH=60 unchanged'!D153)/100,2))*100</f>
        <v>9707.5857774288397</v>
      </c>
      <c r="C153">
        <f>(3/(1+('CurrentPor-LH=60 unchanged'!C153+'CurrentPor-LH=60 unchanged'!G153)/100)+103/POWER(1+('CurrentPor-LH=60 unchanged'!D153+'CurrentPor-LH=60 unchanged'!G153)/100,2))*100</f>
        <v>9614.9673582483465</v>
      </c>
      <c r="D153">
        <f>(3/(1+('CurrentPor-LH=60 unchanged'!C153+'CurrentPor-LH=60 unchanged'!H153)/100)+103/POWER(1+('CurrentPor-LH=60 unchanged'!D153+'CurrentPor-LH=60 unchanged'!H153)/100,2))*100</f>
        <v>9601.2395558122898</v>
      </c>
      <c r="E153">
        <f>(3/(1+('CurrentPor-LH=60 unchanged'!C153+'CurrentPor-LH=60 unchanged'!I153)/100)+103/POWER(1+('CurrentPor-LH=60 unchanged'!D153+'CurrentPor-LH=60 unchanged'!I153)/100,2))*100</f>
        <v>9581.4547115644182</v>
      </c>
      <c r="F153">
        <f>Portfolio!B$5*'CurrentPor-LH=60 unchanged'!E153</f>
        <v>52143.895533915893</v>
      </c>
      <c r="G153">
        <f>Portfolio!B$6*'CurrentPor-LH=60 unchanged'!F153</f>
        <v>3696.2945087936532</v>
      </c>
      <c r="H153">
        <f>Portfolio!B$7*'CurrentPor-LH=60 unchanged'!J153</f>
        <v>2148.0998964419859</v>
      </c>
      <c r="I153">
        <f t="shared" si="4"/>
        <v>96493.537342205425</v>
      </c>
      <c r="J153">
        <f t="shared" si="5"/>
        <v>0</v>
      </c>
    </row>
    <row r="154" spans="1:10">
      <c r="A154" s="1">
        <v>45685</v>
      </c>
      <c r="B154">
        <f>(3/(1+('CurrentPor-LH=60 unchanged'!C154)/100)+103/POWER(1+('CurrentPor-LH=60 unchanged'!D154)/100,2))*100</f>
        <v>9707.5857774288397</v>
      </c>
      <c r="C154">
        <f>(3/(1+('CurrentPor-LH=60 unchanged'!C154+'CurrentPor-LH=60 unchanged'!G154)/100)+103/POWER(1+('CurrentPor-LH=60 unchanged'!D154+'CurrentPor-LH=60 unchanged'!G154)/100,2))*100</f>
        <v>9614.9673582483465</v>
      </c>
      <c r="D154">
        <f>(3/(1+('CurrentPor-LH=60 unchanged'!C154+'CurrentPor-LH=60 unchanged'!H154)/100)+103/POWER(1+('CurrentPor-LH=60 unchanged'!D154+'CurrentPor-LH=60 unchanged'!H154)/100,2))*100</f>
        <v>9601.2395558122898</v>
      </c>
      <c r="E154">
        <f>(3/(1+('CurrentPor-LH=60 unchanged'!C154+'CurrentPor-LH=60 unchanged'!I154)/100)+103/POWER(1+('CurrentPor-LH=60 unchanged'!D154+'CurrentPor-LH=60 unchanged'!I154)/100,2))*100</f>
        <v>9581.4547115644182</v>
      </c>
      <c r="F154">
        <f>Portfolio!B$5*'CurrentPor-LH=60 unchanged'!E154</f>
        <v>52143.895533915893</v>
      </c>
      <c r="G154">
        <f>Portfolio!B$6*'CurrentPor-LH=60 unchanged'!F154</f>
        <v>3696.2945087936532</v>
      </c>
      <c r="H154">
        <f>Portfolio!B$7*'CurrentPor-LH=60 unchanged'!J154</f>
        <v>2148.0998964419859</v>
      </c>
      <c r="I154">
        <f t="shared" si="4"/>
        <v>96493.537342205425</v>
      </c>
      <c r="J154">
        <f t="shared" si="5"/>
        <v>0</v>
      </c>
    </row>
    <row r="155" spans="1:10">
      <c r="A155" s="1">
        <v>45686</v>
      </c>
      <c r="B155">
        <f>(3/(1+('CurrentPor-LH=60 unchanged'!C155)/100)+103/POWER(1+('CurrentPor-LH=60 unchanged'!D155)/100,2))*100</f>
        <v>9707.5857774288397</v>
      </c>
      <c r="C155">
        <f>(3/(1+('CurrentPor-LH=60 unchanged'!C155+'CurrentPor-LH=60 unchanged'!G155)/100)+103/POWER(1+('CurrentPor-LH=60 unchanged'!D155+'CurrentPor-LH=60 unchanged'!G155)/100,2))*100</f>
        <v>9614.9673582483465</v>
      </c>
      <c r="D155">
        <f>(3/(1+('CurrentPor-LH=60 unchanged'!C155+'CurrentPor-LH=60 unchanged'!H155)/100)+103/POWER(1+('CurrentPor-LH=60 unchanged'!D155+'CurrentPor-LH=60 unchanged'!H155)/100,2))*100</f>
        <v>9601.2395558122898</v>
      </c>
      <c r="E155">
        <f>(3/(1+('CurrentPor-LH=60 unchanged'!C155+'CurrentPor-LH=60 unchanged'!I155)/100)+103/POWER(1+('CurrentPor-LH=60 unchanged'!D155+'CurrentPor-LH=60 unchanged'!I155)/100,2))*100</f>
        <v>9581.4547115644182</v>
      </c>
      <c r="F155">
        <f>Portfolio!B$5*'CurrentPor-LH=60 unchanged'!E155</f>
        <v>52143.895533915893</v>
      </c>
      <c r="G155">
        <f>Portfolio!B$6*'CurrentPor-LH=60 unchanged'!F155</f>
        <v>3696.2945087936532</v>
      </c>
      <c r="H155">
        <f>Portfolio!B$7*'CurrentPor-LH=60 unchanged'!J155</f>
        <v>2148.0998964419859</v>
      </c>
      <c r="I155">
        <f t="shared" si="4"/>
        <v>96493.537342205425</v>
      </c>
      <c r="J155">
        <f t="shared" si="5"/>
        <v>0</v>
      </c>
    </row>
    <row r="156" spans="1:10">
      <c r="A156" s="1">
        <v>45687</v>
      </c>
      <c r="B156">
        <f>(3/(1+('CurrentPor-LH=60 unchanged'!C156)/100)+103/POWER(1+('CurrentPor-LH=60 unchanged'!D156)/100,2))*100</f>
        <v>9707.5857774288397</v>
      </c>
      <c r="C156">
        <f>(3/(1+('CurrentPor-LH=60 unchanged'!C156+'CurrentPor-LH=60 unchanged'!G156)/100)+103/POWER(1+('CurrentPor-LH=60 unchanged'!D156+'CurrentPor-LH=60 unchanged'!G156)/100,2))*100</f>
        <v>9614.9673582483465</v>
      </c>
      <c r="D156">
        <f>(3/(1+('CurrentPor-LH=60 unchanged'!C156+'CurrentPor-LH=60 unchanged'!H156)/100)+103/POWER(1+('CurrentPor-LH=60 unchanged'!D156+'CurrentPor-LH=60 unchanged'!H156)/100,2))*100</f>
        <v>9601.2395558122898</v>
      </c>
      <c r="E156">
        <f>(3/(1+('CurrentPor-LH=60 unchanged'!C156+'CurrentPor-LH=60 unchanged'!I156)/100)+103/POWER(1+('CurrentPor-LH=60 unchanged'!D156+'CurrentPor-LH=60 unchanged'!I156)/100,2))*100</f>
        <v>9581.4547115644182</v>
      </c>
      <c r="F156">
        <f>Portfolio!B$5*'CurrentPor-LH=60 unchanged'!E156</f>
        <v>52143.895533915893</v>
      </c>
      <c r="G156">
        <f>Portfolio!B$6*'CurrentPor-LH=60 unchanged'!F156</f>
        <v>3696.2945087936532</v>
      </c>
      <c r="H156">
        <f>Portfolio!B$7*'CurrentPor-LH=60 unchanged'!J156</f>
        <v>2148.0998964419859</v>
      </c>
      <c r="I156">
        <f t="shared" si="4"/>
        <v>96493.537342205425</v>
      </c>
      <c r="J156">
        <f t="shared" si="5"/>
        <v>0</v>
      </c>
    </row>
    <row r="157" spans="1:10">
      <c r="A157" s="1">
        <v>45688</v>
      </c>
      <c r="B157">
        <f>(3/(1+('CurrentPor-LH=60 unchanged'!C157)/100)+103/POWER(1+('CurrentPor-LH=60 unchanged'!D157)/100,2))*100</f>
        <v>9707.5857774288397</v>
      </c>
      <c r="C157">
        <f>(3/(1+('CurrentPor-LH=60 unchanged'!C157+'CurrentPor-LH=60 unchanged'!G157)/100)+103/POWER(1+('CurrentPor-LH=60 unchanged'!D157+'CurrentPor-LH=60 unchanged'!G157)/100,2))*100</f>
        <v>9614.9673582483465</v>
      </c>
      <c r="D157">
        <f>(3/(1+('CurrentPor-LH=60 unchanged'!C157+'CurrentPor-LH=60 unchanged'!H157)/100)+103/POWER(1+('CurrentPor-LH=60 unchanged'!D157+'CurrentPor-LH=60 unchanged'!H157)/100,2))*100</f>
        <v>9601.2395558122898</v>
      </c>
      <c r="E157">
        <f>(3/(1+('CurrentPor-LH=60 unchanged'!C157+'CurrentPor-LH=60 unchanged'!I157)/100)+103/POWER(1+('CurrentPor-LH=60 unchanged'!D157+'CurrentPor-LH=60 unchanged'!I157)/100,2))*100</f>
        <v>9581.4547115644182</v>
      </c>
      <c r="F157">
        <f>Portfolio!B$5*'CurrentPor-LH=60 unchanged'!E157</f>
        <v>52143.895533915893</v>
      </c>
      <c r="G157">
        <f>Portfolio!B$6*'CurrentPor-LH=60 unchanged'!F157</f>
        <v>3696.2945087936532</v>
      </c>
      <c r="H157">
        <f>Portfolio!B$7*'CurrentPor-LH=60 unchanged'!J157</f>
        <v>2148.0998964419859</v>
      </c>
      <c r="I157">
        <f t="shared" si="4"/>
        <v>96493.537342205425</v>
      </c>
      <c r="J157">
        <f t="shared" si="5"/>
        <v>0</v>
      </c>
    </row>
    <row r="158" spans="1:10">
      <c r="A158" s="1">
        <v>45691</v>
      </c>
      <c r="B158">
        <f>(3/(1+('CurrentPor-LH=60 unchanged'!C158)/100)+103/POWER(1+('CurrentPor-LH=60 unchanged'!D158)/100,2))*100</f>
        <v>9707.5857774288397</v>
      </c>
      <c r="C158">
        <f>(3/(1+('CurrentPor-LH=60 unchanged'!C158+'CurrentPor-LH=60 unchanged'!G158)/100)+103/POWER(1+('CurrentPor-LH=60 unchanged'!D158+'CurrentPor-LH=60 unchanged'!G158)/100,2))*100</f>
        <v>9614.9673582483465</v>
      </c>
      <c r="D158">
        <f>(3/(1+('CurrentPor-LH=60 unchanged'!C158+'CurrentPor-LH=60 unchanged'!H158)/100)+103/POWER(1+('CurrentPor-LH=60 unchanged'!D158+'CurrentPor-LH=60 unchanged'!H158)/100,2))*100</f>
        <v>9601.2395558122898</v>
      </c>
      <c r="E158">
        <f>(3/(1+('CurrentPor-LH=60 unchanged'!C158+'CurrentPor-LH=60 unchanged'!I158)/100)+103/POWER(1+('CurrentPor-LH=60 unchanged'!D158+'CurrentPor-LH=60 unchanged'!I158)/100,2))*100</f>
        <v>9581.4547115644182</v>
      </c>
      <c r="F158">
        <f>Portfolio!B$5*'CurrentPor-LH=60 unchanged'!E158</f>
        <v>52143.895533915893</v>
      </c>
      <c r="G158">
        <f>Portfolio!B$6*'CurrentPor-LH=60 unchanged'!F158</f>
        <v>3696.2945087936532</v>
      </c>
      <c r="H158">
        <f>Portfolio!B$7*'CurrentPor-LH=60 unchanged'!J158</f>
        <v>2148.0998964419859</v>
      </c>
      <c r="I158">
        <f t="shared" si="4"/>
        <v>96493.537342205425</v>
      </c>
      <c r="J158">
        <f t="shared" si="5"/>
        <v>0</v>
      </c>
    </row>
    <row r="159" spans="1:10">
      <c r="A159" s="1">
        <v>45692</v>
      </c>
      <c r="B159">
        <f>(3/(1+('CurrentPor-LH=60 unchanged'!C159)/100)+103/POWER(1+('CurrentPor-LH=60 unchanged'!D159)/100,2))*100</f>
        <v>9707.5857774288397</v>
      </c>
      <c r="C159">
        <f>(3/(1+('CurrentPor-LH=60 unchanged'!C159+'CurrentPor-LH=60 unchanged'!G159)/100)+103/POWER(1+('CurrentPor-LH=60 unchanged'!D159+'CurrentPor-LH=60 unchanged'!G159)/100,2))*100</f>
        <v>9614.9673582483465</v>
      </c>
      <c r="D159">
        <f>(3/(1+('CurrentPor-LH=60 unchanged'!C159+'CurrentPor-LH=60 unchanged'!H159)/100)+103/POWER(1+('CurrentPor-LH=60 unchanged'!D159+'CurrentPor-LH=60 unchanged'!H159)/100,2))*100</f>
        <v>9601.2395558122898</v>
      </c>
      <c r="E159">
        <f>(3/(1+('CurrentPor-LH=60 unchanged'!C159+'CurrentPor-LH=60 unchanged'!I159)/100)+103/POWER(1+('CurrentPor-LH=60 unchanged'!D159+'CurrentPor-LH=60 unchanged'!I159)/100,2))*100</f>
        <v>9581.4547115644182</v>
      </c>
      <c r="F159">
        <f>Portfolio!B$5*'CurrentPor-LH=60 unchanged'!E159</f>
        <v>52143.895533915893</v>
      </c>
      <c r="G159">
        <f>Portfolio!B$6*'CurrentPor-LH=60 unchanged'!F159</f>
        <v>3696.2945087936532</v>
      </c>
      <c r="H159">
        <f>Portfolio!B$7*'CurrentPor-LH=60 unchanged'!J159</f>
        <v>2148.0998964419859</v>
      </c>
      <c r="I159">
        <f t="shared" si="4"/>
        <v>96493.537342205425</v>
      </c>
      <c r="J159">
        <f t="shared" si="5"/>
        <v>0</v>
      </c>
    </row>
    <row r="160" spans="1:10">
      <c r="A160" s="1">
        <v>45693</v>
      </c>
      <c r="B160">
        <f>(3/(1+('CurrentPor-LH=60 unchanged'!C160)/100)+103/POWER(1+('CurrentPor-LH=60 unchanged'!D160)/100,2))*100</f>
        <v>9707.5857774288397</v>
      </c>
      <c r="C160">
        <f>(3/(1+('CurrentPor-LH=60 unchanged'!C160+'CurrentPor-LH=60 unchanged'!G160)/100)+103/POWER(1+('CurrentPor-LH=60 unchanged'!D160+'CurrentPor-LH=60 unchanged'!G160)/100,2))*100</f>
        <v>9614.9673582483465</v>
      </c>
      <c r="D160">
        <f>(3/(1+('CurrentPor-LH=60 unchanged'!C160+'CurrentPor-LH=60 unchanged'!H160)/100)+103/POWER(1+('CurrentPor-LH=60 unchanged'!D160+'CurrentPor-LH=60 unchanged'!H160)/100,2))*100</f>
        <v>9601.2395558122898</v>
      </c>
      <c r="E160">
        <f>(3/(1+('CurrentPor-LH=60 unchanged'!C160+'CurrentPor-LH=60 unchanged'!I160)/100)+103/POWER(1+('CurrentPor-LH=60 unchanged'!D160+'CurrentPor-LH=60 unchanged'!I160)/100,2))*100</f>
        <v>9581.4547115644182</v>
      </c>
      <c r="F160">
        <f>Portfolio!B$5*'CurrentPor-LH=60 unchanged'!E160</f>
        <v>52143.895533915893</v>
      </c>
      <c r="G160">
        <f>Portfolio!B$6*'CurrentPor-LH=60 unchanged'!F160</f>
        <v>3696.2945087936532</v>
      </c>
      <c r="H160">
        <f>Portfolio!B$7*'CurrentPor-LH=60 unchanged'!J160</f>
        <v>2148.0998964419859</v>
      </c>
      <c r="I160">
        <f t="shared" si="4"/>
        <v>96493.537342205425</v>
      </c>
      <c r="J160">
        <f t="shared" si="5"/>
        <v>0</v>
      </c>
    </row>
    <row r="161" spans="1:10">
      <c r="A161" s="1">
        <v>45694</v>
      </c>
      <c r="B161">
        <f>(3/(1+('CurrentPor-LH=60 unchanged'!C161)/100)+103/POWER(1+('CurrentPor-LH=60 unchanged'!D161)/100,2))*100</f>
        <v>9707.5857774288397</v>
      </c>
      <c r="C161">
        <f>(3/(1+('CurrentPor-LH=60 unchanged'!C161+'CurrentPor-LH=60 unchanged'!G161)/100)+103/POWER(1+('CurrentPor-LH=60 unchanged'!D161+'CurrentPor-LH=60 unchanged'!G161)/100,2))*100</f>
        <v>9614.9673582483465</v>
      </c>
      <c r="D161">
        <f>(3/(1+('CurrentPor-LH=60 unchanged'!C161+'CurrentPor-LH=60 unchanged'!H161)/100)+103/POWER(1+('CurrentPor-LH=60 unchanged'!D161+'CurrentPor-LH=60 unchanged'!H161)/100,2))*100</f>
        <v>9601.2395558122898</v>
      </c>
      <c r="E161">
        <f>(3/(1+('CurrentPor-LH=60 unchanged'!C161+'CurrentPor-LH=60 unchanged'!I161)/100)+103/POWER(1+('CurrentPor-LH=60 unchanged'!D161+'CurrentPor-LH=60 unchanged'!I161)/100,2))*100</f>
        <v>9581.4547115644182</v>
      </c>
      <c r="F161">
        <f>Portfolio!B$5*'CurrentPor-LH=60 unchanged'!E161</f>
        <v>52143.895533915893</v>
      </c>
      <c r="G161">
        <f>Portfolio!B$6*'CurrentPor-LH=60 unchanged'!F161</f>
        <v>3696.2945087936532</v>
      </c>
      <c r="H161">
        <f>Portfolio!B$7*'CurrentPor-LH=60 unchanged'!J161</f>
        <v>2148.0998964419859</v>
      </c>
      <c r="I161">
        <f t="shared" si="4"/>
        <v>96493.537342205425</v>
      </c>
      <c r="J161">
        <f t="shared" si="5"/>
        <v>0</v>
      </c>
    </row>
    <row r="162" spans="1:10">
      <c r="A162" s="1">
        <v>45695</v>
      </c>
      <c r="B162">
        <f>(3/(1+('CurrentPor-LH=60 unchanged'!C162)/100)+103/POWER(1+('CurrentPor-LH=60 unchanged'!D162)/100,2))*100</f>
        <v>9707.5857774288397</v>
      </c>
      <c r="C162">
        <f>(3/(1+('CurrentPor-LH=60 unchanged'!C162+'CurrentPor-LH=60 unchanged'!G162)/100)+103/POWER(1+('CurrentPor-LH=60 unchanged'!D162+'CurrentPor-LH=60 unchanged'!G162)/100,2))*100</f>
        <v>9614.9673582483465</v>
      </c>
      <c r="D162">
        <f>(3/(1+('CurrentPor-LH=60 unchanged'!C162+'CurrentPor-LH=60 unchanged'!H162)/100)+103/POWER(1+('CurrentPor-LH=60 unchanged'!D162+'CurrentPor-LH=60 unchanged'!H162)/100,2))*100</f>
        <v>9601.2395558122898</v>
      </c>
      <c r="E162">
        <f>(3/(1+('CurrentPor-LH=60 unchanged'!C162+'CurrentPor-LH=60 unchanged'!I162)/100)+103/POWER(1+('CurrentPor-LH=60 unchanged'!D162+'CurrentPor-LH=60 unchanged'!I162)/100,2))*100</f>
        <v>9581.4547115644182</v>
      </c>
      <c r="F162">
        <f>Portfolio!B$5*'CurrentPor-LH=60 unchanged'!E162</f>
        <v>52143.895533915893</v>
      </c>
      <c r="G162">
        <f>Portfolio!B$6*'CurrentPor-LH=60 unchanged'!F162</f>
        <v>3696.2945087936532</v>
      </c>
      <c r="H162">
        <f>Portfolio!B$7*'CurrentPor-LH=60 unchanged'!J162</f>
        <v>2148.0998964419859</v>
      </c>
      <c r="I162">
        <f t="shared" si="4"/>
        <v>96493.537342205425</v>
      </c>
      <c r="J162">
        <f t="shared" si="5"/>
        <v>0</v>
      </c>
    </row>
    <row r="163" spans="1:10">
      <c r="A163" s="1">
        <v>45698</v>
      </c>
      <c r="B163">
        <f>(3/(1+('CurrentPor-LH=60 unchanged'!C163)/100)+103/POWER(1+('CurrentPor-LH=60 unchanged'!D163)/100,2))*100</f>
        <v>9707.5857774288397</v>
      </c>
      <c r="C163">
        <f>(3/(1+('CurrentPor-LH=60 unchanged'!C163+'CurrentPor-LH=60 unchanged'!G163)/100)+103/POWER(1+('CurrentPor-LH=60 unchanged'!D163+'CurrentPor-LH=60 unchanged'!G163)/100,2))*100</f>
        <v>9614.9673582483465</v>
      </c>
      <c r="D163">
        <f>(3/(1+('CurrentPor-LH=60 unchanged'!C163+'CurrentPor-LH=60 unchanged'!H163)/100)+103/POWER(1+('CurrentPor-LH=60 unchanged'!D163+'CurrentPor-LH=60 unchanged'!H163)/100,2))*100</f>
        <v>9601.2395558122898</v>
      </c>
      <c r="E163">
        <f>(3/(1+('CurrentPor-LH=60 unchanged'!C163+'CurrentPor-LH=60 unchanged'!I163)/100)+103/POWER(1+('CurrentPor-LH=60 unchanged'!D163+'CurrentPor-LH=60 unchanged'!I163)/100,2))*100</f>
        <v>9581.4547115644182</v>
      </c>
      <c r="F163">
        <f>Portfolio!B$5*'CurrentPor-LH=60 unchanged'!E163</f>
        <v>52143.895533915893</v>
      </c>
      <c r="G163">
        <f>Portfolio!B$6*'CurrentPor-LH=60 unchanged'!F163</f>
        <v>3696.2945087936532</v>
      </c>
      <c r="H163">
        <f>Portfolio!B$7*'CurrentPor-LH=60 unchanged'!J163</f>
        <v>2148.0998964419859</v>
      </c>
      <c r="I163">
        <f t="shared" si="4"/>
        <v>96493.537342205425</v>
      </c>
      <c r="J163">
        <f t="shared" si="5"/>
        <v>0</v>
      </c>
    </row>
    <row r="164" spans="1:10">
      <c r="A164" s="1">
        <v>45699</v>
      </c>
      <c r="B164">
        <f>(3/(1+('CurrentPor-LH=60 unchanged'!C164)/100)+103/POWER(1+('CurrentPor-LH=60 unchanged'!D164)/100,2))*100</f>
        <v>9707.5857774288397</v>
      </c>
      <c r="C164">
        <f>(3/(1+('CurrentPor-LH=60 unchanged'!C164+'CurrentPor-LH=60 unchanged'!G164)/100)+103/POWER(1+('CurrentPor-LH=60 unchanged'!D164+'CurrentPor-LH=60 unchanged'!G164)/100,2))*100</f>
        <v>9614.9673582483465</v>
      </c>
      <c r="D164">
        <f>(3/(1+('CurrentPor-LH=60 unchanged'!C164+'CurrentPor-LH=60 unchanged'!H164)/100)+103/POWER(1+('CurrentPor-LH=60 unchanged'!D164+'CurrentPor-LH=60 unchanged'!H164)/100,2))*100</f>
        <v>9601.2395558122898</v>
      </c>
      <c r="E164">
        <f>(3/(1+('CurrentPor-LH=60 unchanged'!C164+'CurrentPor-LH=60 unchanged'!I164)/100)+103/POWER(1+('CurrentPor-LH=60 unchanged'!D164+'CurrentPor-LH=60 unchanged'!I164)/100,2))*100</f>
        <v>9581.4547115644182</v>
      </c>
      <c r="F164">
        <f>Portfolio!B$5*'CurrentPor-LH=60 unchanged'!E164</f>
        <v>52143.895533915893</v>
      </c>
      <c r="G164">
        <f>Portfolio!B$6*'CurrentPor-LH=60 unchanged'!F164</f>
        <v>3696.2945087936532</v>
      </c>
      <c r="H164">
        <f>Portfolio!B$7*'CurrentPor-LH=60 unchanged'!J164</f>
        <v>2148.0998964419859</v>
      </c>
      <c r="I164">
        <f t="shared" si="4"/>
        <v>96493.537342205425</v>
      </c>
      <c r="J164">
        <f t="shared" si="5"/>
        <v>0</v>
      </c>
    </row>
    <row r="165" spans="1:10">
      <c r="A165" s="1">
        <v>45700</v>
      </c>
      <c r="B165">
        <f>(3/(1+('CurrentPor-LH=60 unchanged'!C165)/100)+103/POWER(1+('CurrentPor-LH=60 unchanged'!D165)/100,2))*100</f>
        <v>9707.5857774288397</v>
      </c>
      <c r="C165">
        <f>(3/(1+('CurrentPor-LH=60 unchanged'!C165+'CurrentPor-LH=60 unchanged'!G165)/100)+103/POWER(1+('CurrentPor-LH=60 unchanged'!D165+'CurrentPor-LH=60 unchanged'!G165)/100,2))*100</f>
        <v>9614.9673582483465</v>
      </c>
      <c r="D165">
        <f>(3/(1+('CurrentPor-LH=60 unchanged'!C165+'CurrentPor-LH=60 unchanged'!H165)/100)+103/POWER(1+('CurrentPor-LH=60 unchanged'!D165+'CurrentPor-LH=60 unchanged'!H165)/100,2))*100</f>
        <v>9601.2395558122898</v>
      </c>
      <c r="E165">
        <f>(3/(1+('CurrentPor-LH=60 unchanged'!C165+'CurrentPor-LH=60 unchanged'!I165)/100)+103/POWER(1+('CurrentPor-LH=60 unchanged'!D165+'CurrentPor-LH=60 unchanged'!I165)/100,2))*100</f>
        <v>9581.4547115644182</v>
      </c>
      <c r="F165">
        <f>Portfolio!B$5*'CurrentPor-LH=60 unchanged'!E165</f>
        <v>52143.895533915893</v>
      </c>
      <c r="G165">
        <f>Portfolio!B$6*'CurrentPor-LH=60 unchanged'!F165</f>
        <v>3696.2945087936532</v>
      </c>
      <c r="H165">
        <f>Portfolio!B$7*'CurrentPor-LH=60 unchanged'!J165</f>
        <v>2148.0998964419859</v>
      </c>
      <c r="I165">
        <f t="shared" si="4"/>
        <v>96493.537342205425</v>
      </c>
      <c r="J165">
        <f t="shared" si="5"/>
        <v>0</v>
      </c>
    </row>
    <row r="166" spans="1:10">
      <c r="A166" s="1">
        <v>45701</v>
      </c>
      <c r="B166">
        <f>(3/(1+('CurrentPor-LH=60 unchanged'!C166)/100)+103/POWER(1+('CurrentPor-LH=60 unchanged'!D166)/100,2))*100</f>
        <v>9707.5857774288397</v>
      </c>
      <c r="C166">
        <f>(3/(1+('CurrentPor-LH=60 unchanged'!C166+'CurrentPor-LH=60 unchanged'!G166)/100)+103/POWER(1+('CurrentPor-LH=60 unchanged'!D166+'CurrentPor-LH=60 unchanged'!G166)/100,2))*100</f>
        <v>9614.9673582483465</v>
      </c>
      <c r="D166">
        <f>(3/(1+('CurrentPor-LH=60 unchanged'!C166+'CurrentPor-LH=60 unchanged'!H166)/100)+103/POWER(1+('CurrentPor-LH=60 unchanged'!D166+'CurrentPor-LH=60 unchanged'!H166)/100,2))*100</f>
        <v>9601.2395558122898</v>
      </c>
      <c r="E166">
        <f>(3/(1+('CurrentPor-LH=60 unchanged'!C166+'CurrentPor-LH=60 unchanged'!I166)/100)+103/POWER(1+('CurrentPor-LH=60 unchanged'!D166+'CurrentPor-LH=60 unchanged'!I166)/100,2))*100</f>
        <v>9581.4547115644182</v>
      </c>
      <c r="F166">
        <f>Portfolio!B$5*'CurrentPor-LH=60 unchanged'!E166</f>
        <v>52143.895533915893</v>
      </c>
      <c r="G166">
        <f>Portfolio!B$6*'CurrentPor-LH=60 unchanged'!F166</f>
        <v>3696.2945087936532</v>
      </c>
      <c r="H166">
        <f>Portfolio!B$7*'CurrentPor-LH=60 unchanged'!J166</f>
        <v>2148.0998964419859</v>
      </c>
      <c r="I166">
        <f t="shared" si="4"/>
        <v>96493.537342205425</v>
      </c>
      <c r="J166">
        <f t="shared" si="5"/>
        <v>0</v>
      </c>
    </row>
    <row r="167" spans="1:10">
      <c r="A167" s="1">
        <v>45702</v>
      </c>
      <c r="B167">
        <f>(3/(1+('CurrentPor-LH=60 unchanged'!C167)/100)+103/POWER(1+('CurrentPor-LH=60 unchanged'!D167)/100,2))*100</f>
        <v>9707.5857774288397</v>
      </c>
      <c r="C167">
        <f>(3/(1+('CurrentPor-LH=60 unchanged'!C167+'CurrentPor-LH=60 unchanged'!G167)/100)+103/POWER(1+('CurrentPor-LH=60 unchanged'!D167+'CurrentPor-LH=60 unchanged'!G167)/100,2))*100</f>
        <v>9614.9673582483465</v>
      </c>
      <c r="D167">
        <f>(3/(1+('CurrentPor-LH=60 unchanged'!C167+'CurrentPor-LH=60 unchanged'!H167)/100)+103/POWER(1+('CurrentPor-LH=60 unchanged'!D167+'CurrentPor-LH=60 unchanged'!H167)/100,2))*100</f>
        <v>9601.2395558122898</v>
      </c>
      <c r="E167">
        <f>(3/(1+('CurrentPor-LH=60 unchanged'!C167+'CurrentPor-LH=60 unchanged'!I167)/100)+103/POWER(1+('CurrentPor-LH=60 unchanged'!D167+'CurrentPor-LH=60 unchanged'!I167)/100,2))*100</f>
        <v>9581.4547115644182</v>
      </c>
      <c r="F167">
        <f>Portfolio!B$5*'CurrentPor-LH=60 unchanged'!E167</f>
        <v>52143.895533915893</v>
      </c>
      <c r="G167">
        <f>Portfolio!B$6*'CurrentPor-LH=60 unchanged'!F167</f>
        <v>3696.2945087936532</v>
      </c>
      <c r="H167">
        <f>Portfolio!B$7*'CurrentPor-LH=60 unchanged'!J167</f>
        <v>2148.0998964419859</v>
      </c>
      <c r="I167">
        <f t="shared" si="4"/>
        <v>96493.537342205425</v>
      </c>
      <c r="J167">
        <f t="shared" si="5"/>
        <v>0</v>
      </c>
    </row>
    <row r="168" spans="1:10">
      <c r="A168" s="1">
        <v>45705</v>
      </c>
      <c r="B168">
        <f>(3/(1+('CurrentPor-LH=60 unchanged'!C168)/100)+103/POWER(1+('CurrentPor-LH=60 unchanged'!D168)/100,2))*100</f>
        <v>9707.5857774288397</v>
      </c>
      <c r="C168">
        <f>(3/(1+('CurrentPor-LH=60 unchanged'!C168+'CurrentPor-LH=60 unchanged'!G168)/100)+103/POWER(1+('CurrentPor-LH=60 unchanged'!D168+'CurrentPor-LH=60 unchanged'!G168)/100,2))*100</f>
        <v>9614.9673582483465</v>
      </c>
      <c r="D168">
        <f>(3/(1+('CurrentPor-LH=60 unchanged'!C168+'CurrentPor-LH=60 unchanged'!H168)/100)+103/POWER(1+('CurrentPor-LH=60 unchanged'!D168+'CurrentPor-LH=60 unchanged'!H168)/100,2))*100</f>
        <v>9601.2395558122898</v>
      </c>
      <c r="E168">
        <f>(3/(1+('CurrentPor-LH=60 unchanged'!C168+'CurrentPor-LH=60 unchanged'!I168)/100)+103/POWER(1+('CurrentPor-LH=60 unchanged'!D168+'CurrentPor-LH=60 unchanged'!I168)/100,2))*100</f>
        <v>9581.4547115644182</v>
      </c>
      <c r="F168">
        <f>Portfolio!B$5*'CurrentPor-LH=60 unchanged'!E168</f>
        <v>52143.895533915893</v>
      </c>
      <c r="G168">
        <f>Portfolio!B$6*'CurrentPor-LH=60 unchanged'!F168</f>
        <v>3696.2945087936532</v>
      </c>
      <c r="H168">
        <f>Portfolio!B$7*'CurrentPor-LH=60 unchanged'!J168</f>
        <v>2148.0998964419859</v>
      </c>
      <c r="I168">
        <f t="shared" si="4"/>
        <v>96493.537342205425</v>
      </c>
      <c r="J168">
        <f t="shared" si="5"/>
        <v>0</v>
      </c>
    </row>
    <row r="169" spans="1:10">
      <c r="A169" s="1">
        <v>45706</v>
      </c>
      <c r="B169">
        <f>(3/(1+('CurrentPor-LH=60 unchanged'!C169)/100)+103/POWER(1+('CurrentPor-LH=60 unchanged'!D169)/100,2))*100</f>
        <v>9707.5857774288397</v>
      </c>
      <c r="C169">
        <f>(3/(1+('CurrentPor-LH=60 unchanged'!C169+'CurrentPor-LH=60 unchanged'!G169)/100)+103/POWER(1+('CurrentPor-LH=60 unchanged'!D169+'CurrentPor-LH=60 unchanged'!G169)/100,2))*100</f>
        <v>9614.9673582483465</v>
      </c>
      <c r="D169">
        <f>(3/(1+('CurrentPor-LH=60 unchanged'!C169+'CurrentPor-LH=60 unchanged'!H169)/100)+103/POWER(1+('CurrentPor-LH=60 unchanged'!D169+'CurrentPor-LH=60 unchanged'!H169)/100,2))*100</f>
        <v>9601.2395558122898</v>
      </c>
      <c r="E169">
        <f>(3/(1+('CurrentPor-LH=60 unchanged'!C169+'CurrentPor-LH=60 unchanged'!I169)/100)+103/POWER(1+('CurrentPor-LH=60 unchanged'!D169+'CurrentPor-LH=60 unchanged'!I169)/100,2))*100</f>
        <v>9581.4547115644182</v>
      </c>
      <c r="F169">
        <f>Portfolio!B$5*'CurrentPor-LH=60 unchanged'!E169</f>
        <v>52143.895533915893</v>
      </c>
      <c r="G169">
        <f>Portfolio!B$6*'CurrentPor-LH=60 unchanged'!F169</f>
        <v>3696.2945087936532</v>
      </c>
      <c r="H169">
        <f>Portfolio!B$7*'CurrentPor-LH=60 unchanged'!J169</f>
        <v>2148.0998964419859</v>
      </c>
      <c r="I169">
        <f t="shared" si="4"/>
        <v>96493.537342205425</v>
      </c>
      <c r="J169">
        <f t="shared" si="5"/>
        <v>0</v>
      </c>
    </row>
    <row r="170" spans="1:10">
      <c r="A170" s="1">
        <v>45707</v>
      </c>
      <c r="B170">
        <f>(3/(1+('CurrentPor-LH=60 unchanged'!C170)/100)+103/POWER(1+('CurrentPor-LH=60 unchanged'!D170)/100,2))*100</f>
        <v>9707.5857774288397</v>
      </c>
      <c r="C170">
        <f>(3/(1+('CurrentPor-LH=60 unchanged'!C170+'CurrentPor-LH=60 unchanged'!G170)/100)+103/POWER(1+('CurrentPor-LH=60 unchanged'!D170+'CurrentPor-LH=60 unchanged'!G170)/100,2))*100</f>
        <v>9614.9673582483465</v>
      </c>
      <c r="D170">
        <f>(3/(1+('CurrentPor-LH=60 unchanged'!C170+'CurrentPor-LH=60 unchanged'!H170)/100)+103/POWER(1+('CurrentPor-LH=60 unchanged'!D170+'CurrentPor-LH=60 unchanged'!H170)/100,2))*100</f>
        <v>9601.2395558122898</v>
      </c>
      <c r="E170">
        <f>(3/(1+('CurrentPor-LH=60 unchanged'!C170+'CurrentPor-LH=60 unchanged'!I170)/100)+103/POWER(1+('CurrentPor-LH=60 unchanged'!D170+'CurrentPor-LH=60 unchanged'!I170)/100,2))*100</f>
        <v>9581.4547115644182</v>
      </c>
      <c r="F170">
        <f>Portfolio!B$5*'CurrentPor-LH=60 unchanged'!E170</f>
        <v>52143.895533915893</v>
      </c>
      <c r="G170">
        <f>Portfolio!B$6*'CurrentPor-LH=60 unchanged'!F170</f>
        <v>3696.2945087936532</v>
      </c>
      <c r="H170">
        <f>Portfolio!B$7*'CurrentPor-LH=60 unchanged'!J170</f>
        <v>2148.0998964419859</v>
      </c>
      <c r="I170">
        <f t="shared" si="4"/>
        <v>96493.537342205425</v>
      </c>
      <c r="J170">
        <f t="shared" si="5"/>
        <v>0</v>
      </c>
    </row>
    <row r="171" spans="1:10">
      <c r="A171" s="1">
        <v>45708</v>
      </c>
      <c r="B171">
        <f>(3/(1+('CurrentPor-LH=60 unchanged'!C171)/100)+103/POWER(1+('CurrentPor-LH=60 unchanged'!D171)/100,2))*100</f>
        <v>9707.5857774288397</v>
      </c>
      <c r="C171">
        <f>(3/(1+('CurrentPor-LH=60 unchanged'!C171+'CurrentPor-LH=60 unchanged'!G171)/100)+103/POWER(1+('CurrentPor-LH=60 unchanged'!D171+'CurrentPor-LH=60 unchanged'!G171)/100,2))*100</f>
        <v>9614.9673582483465</v>
      </c>
      <c r="D171">
        <f>(3/(1+('CurrentPor-LH=60 unchanged'!C171+'CurrentPor-LH=60 unchanged'!H171)/100)+103/POWER(1+('CurrentPor-LH=60 unchanged'!D171+'CurrentPor-LH=60 unchanged'!H171)/100,2))*100</f>
        <v>9601.2395558122898</v>
      </c>
      <c r="E171">
        <f>(3/(1+('CurrentPor-LH=60 unchanged'!C171+'CurrentPor-LH=60 unchanged'!I171)/100)+103/POWER(1+('CurrentPor-LH=60 unchanged'!D171+'CurrentPor-LH=60 unchanged'!I171)/100,2))*100</f>
        <v>9581.4547115644182</v>
      </c>
      <c r="F171">
        <f>Portfolio!B$5*'CurrentPor-LH=60 unchanged'!E171</f>
        <v>52143.895533915893</v>
      </c>
      <c r="G171">
        <f>Portfolio!B$6*'CurrentPor-LH=60 unchanged'!F171</f>
        <v>3696.2945087936532</v>
      </c>
      <c r="H171">
        <f>Portfolio!B$7*'CurrentPor-LH=60 unchanged'!J171</f>
        <v>2148.0998964419859</v>
      </c>
      <c r="I171">
        <f t="shared" si="4"/>
        <v>96493.537342205425</v>
      </c>
      <c r="J171">
        <f t="shared" si="5"/>
        <v>0</v>
      </c>
    </row>
    <row r="172" spans="1:10">
      <c r="A172" s="1">
        <v>45709</v>
      </c>
      <c r="B172">
        <f>(3/(1+('CurrentPor-LH=60 unchanged'!C172)/100)+103/POWER(1+('CurrentPor-LH=60 unchanged'!D172)/100,2))*100</f>
        <v>9707.5857774288397</v>
      </c>
      <c r="C172">
        <f>(3/(1+('CurrentPor-LH=60 unchanged'!C172+'CurrentPor-LH=60 unchanged'!G172)/100)+103/POWER(1+('CurrentPor-LH=60 unchanged'!D172+'CurrentPor-LH=60 unchanged'!G172)/100,2))*100</f>
        <v>9614.9673582483465</v>
      </c>
      <c r="D172">
        <f>(3/(1+('CurrentPor-LH=60 unchanged'!C172+'CurrentPor-LH=60 unchanged'!H172)/100)+103/POWER(1+('CurrentPor-LH=60 unchanged'!D172+'CurrentPor-LH=60 unchanged'!H172)/100,2))*100</f>
        <v>9601.2395558122898</v>
      </c>
      <c r="E172">
        <f>(3/(1+('CurrentPor-LH=60 unchanged'!C172+'CurrentPor-LH=60 unchanged'!I172)/100)+103/POWER(1+('CurrentPor-LH=60 unchanged'!D172+'CurrentPor-LH=60 unchanged'!I172)/100,2))*100</f>
        <v>9581.4547115644182</v>
      </c>
      <c r="F172">
        <f>Portfolio!B$5*'CurrentPor-LH=60 unchanged'!E172</f>
        <v>52143.895533915893</v>
      </c>
      <c r="G172">
        <f>Portfolio!B$6*'CurrentPor-LH=60 unchanged'!F172</f>
        <v>3696.2945087936532</v>
      </c>
      <c r="H172">
        <f>Portfolio!B$7*'CurrentPor-LH=60 unchanged'!J172</f>
        <v>2148.0998964419859</v>
      </c>
      <c r="I172">
        <f t="shared" si="4"/>
        <v>96493.537342205425</v>
      </c>
      <c r="J172">
        <f t="shared" si="5"/>
        <v>0</v>
      </c>
    </row>
    <row r="173" spans="1:10">
      <c r="A173" s="1">
        <v>45712</v>
      </c>
      <c r="B173">
        <f>(3/(1+('CurrentPor-LH=60 unchanged'!C173)/100)+103/POWER(1+('CurrentPor-LH=60 unchanged'!D173)/100,2))*100</f>
        <v>9707.5857774288397</v>
      </c>
      <c r="C173">
        <f>(3/(1+('CurrentPor-LH=60 unchanged'!C173+'CurrentPor-LH=60 unchanged'!G173)/100)+103/POWER(1+('CurrentPor-LH=60 unchanged'!D173+'CurrentPor-LH=60 unchanged'!G173)/100,2))*100</f>
        <v>9614.9673582483465</v>
      </c>
      <c r="D173">
        <f>(3/(1+('CurrentPor-LH=60 unchanged'!C173+'CurrentPor-LH=60 unchanged'!H173)/100)+103/POWER(1+('CurrentPor-LH=60 unchanged'!D173+'CurrentPor-LH=60 unchanged'!H173)/100,2))*100</f>
        <v>9601.2395558122898</v>
      </c>
      <c r="E173">
        <f>(3/(1+('CurrentPor-LH=60 unchanged'!C173+'CurrentPor-LH=60 unchanged'!I173)/100)+103/POWER(1+('CurrentPor-LH=60 unchanged'!D173+'CurrentPor-LH=60 unchanged'!I173)/100,2))*100</f>
        <v>9581.4547115644182</v>
      </c>
      <c r="F173">
        <f>Portfolio!B$5*'CurrentPor-LH=60 unchanged'!E173</f>
        <v>52143.895533915893</v>
      </c>
      <c r="G173">
        <f>Portfolio!B$6*'CurrentPor-LH=60 unchanged'!F173</f>
        <v>3696.2945087936532</v>
      </c>
      <c r="H173">
        <f>Portfolio!B$7*'CurrentPor-LH=60 unchanged'!J173</f>
        <v>2148.0998964419859</v>
      </c>
      <c r="I173">
        <f t="shared" si="4"/>
        <v>96493.537342205425</v>
      </c>
      <c r="J173">
        <f t="shared" si="5"/>
        <v>0</v>
      </c>
    </row>
    <row r="174" spans="1:10">
      <c r="A174" s="1">
        <v>45713</v>
      </c>
      <c r="B174">
        <f>(3/(1+('CurrentPor-LH=60 unchanged'!C174)/100)+103/POWER(1+('CurrentPor-LH=60 unchanged'!D174)/100,2))*100</f>
        <v>9707.5857774288397</v>
      </c>
      <c r="C174">
        <f>(3/(1+('CurrentPor-LH=60 unchanged'!C174+'CurrentPor-LH=60 unchanged'!G174)/100)+103/POWER(1+('CurrentPor-LH=60 unchanged'!D174+'CurrentPor-LH=60 unchanged'!G174)/100,2))*100</f>
        <v>9614.9673582483465</v>
      </c>
      <c r="D174">
        <f>(3/(1+('CurrentPor-LH=60 unchanged'!C174+'CurrentPor-LH=60 unchanged'!H174)/100)+103/POWER(1+('CurrentPor-LH=60 unchanged'!D174+'CurrentPor-LH=60 unchanged'!H174)/100,2))*100</f>
        <v>9601.2395558122898</v>
      </c>
      <c r="E174">
        <f>(3/(1+('CurrentPor-LH=60 unchanged'!C174+'CurrentPor-LH=60 unchanged'!I174)/100)+103/POWER(1+('CurrentPor-LH=60 unchanged'!D174+'CurrentPor-LH=60 unchanged'!I174)/100,2))*100</f>
        <v>9581.4547115644182</v>
      </c>
      <c r="F174">
        <f>Portfolio!B$5*'CurrentPor-LH=60 unchanged'!E174</f>
        <v>52143.895533915893</v>
      </c>
      <c r="G174">
        <f>Portfolio!B$6*'CurrentPor-LH=60 unchanged'!F174</f>
        <v>3696.2945087936532</v>
      </c>
      <c r="H174">
        <f>Portfolio!B$7*'CurrentPor-LH=60 unchanged'!J174</f>
        <v>2148.0998964419859</v>
      </c>
      <c r="I174">
        <f t="shared" si="4"/>
        <v>96493.537342205425</v>
      </c>
      <c r="J174">
        <f t="shared" si="5"/>
        <v>0</v>
      </c>
    </row>
    <row r="175" spans="1:10">
      <c r="A175" s="1">
        <v>45714</v>
      </c>
      <c r="B175">
        <f>(3/(1+('CurrentPor-LH=60 unchanged'!C175)/100)+103/POWER(1+('CurrentPor-LH=60 unchanged'!D175)/100,2))*100</f>
        <v>9707.5857774288397</v>
      </c>
      <c r="C175">
        <f>(3/(1+('CurrentPor-LH=60 unchanged'!C175+'CurrentPor-LH=60 unchanged'!G175)/100)+103/POWER(1+('CurrentPor-LH=60 unchanged'!D175+'CurrentPor-LH=60 unchanged'!G175)/100,2))*100</f>
        <v>9614.9673582483465</v>
      </c>
      <c r="D175">
        <f>(3/(1+('CurrentPor-LH=60 unchanged'!C175+'CurrentPor-LH=60 unchanged'!H175)/100)+103/POWER(1+('CurrentPor-LH=60 unchanged'!D175+'CurrentPor-LH=60 unchanged'!H175)/100,2))*100</f>
        <v>9601.2395558122898</v>
      </c>
      <c r="E175">
        <f>(3/(1+('CurrentPor-LH=60 unchanged'!C175+'CurrentPor-LH=60 unchanged'!I175)/100)+103/POWER(1+('CurrentPor-LH=60 unchanged'!D175+'CurrentPor-LH=60 unchanged'!I175)/100,2))*100</f>
        <v>9581.4547115644182</v>
      </c>
      <c r="F175">
        <f>Portfolio!B$5*'CurrentPor-LH=60 unchanged'!E175</f>
        <v>52143.895533915893</v>
      </c>
      <c r="G175">
        <f>Portfolio!B$6*'CurrentPor-LH=60 unchanged'!F175</f>
        <v>3696.2945087936532</v>
      </c>
      <c r="H175">
        <f>Portfolio!B$7*'CurrentPor-LH=60 unchanged'!J175</f>
        <v>2148.0998964419859</v>
      </c>
      <c r="I175">
        <f t="shared" si="4"/>
        <v>96493.537342205425</v>
      </c>
      <c r="J175">
        <f t="shared" si="5"/>
        <v>0</v>
      </c>
    </row>
    <row r="176" spans="1:10">
      <c r="A176" s="1">
        <v>45715</v>
      </c>
      <c r="B176">
        <f>(3/(1+('CurrentPor-LH=60 unchanged'!C176)/100)+103/POWER(1+('CurrentPor-LH=60 unchanged'!D176)/100,2))*100</f>
        <v>9707.5857774288397</v>
      </c>
      <c r="C176">
        <f>(3/(1+('CurrentPor-LH=60 unchanged'!C176+'CurrentPor-LH=60 unchanged'!G176)/100)+103/POWER(1+('CurrentPor-LH=60 unchanged'!D176+'CurrentPor-LH=60 unchanged'!G176)/100,2))*100</f>
        <v>9614.9673582483465</v>
      </c>
      <c r="D176">
        <f>(3/(1+('CurrentPor-LH=60 unchanged'!C176+'CurrentPor-LH=60 unchanged'!H176)/100)+103/POWER(1+('CurrentPor-LH=60 unchanged'!D176+'CurrentPor-LH=60 unchanged'!H176)/100,2))*100</f>
        <v>9601.2395558122898</v>
      </c>
      <c r="E176">
        <f>(3/(1+('CurrentPor-LH=60 unchanged'!C176+'CurrentPor-LH=60 unchanged'!I176)/100)+103/POWER(1+('CurrentPor-LH=60 unchanged'!D176+'CurrentPor-LH=60 unchanged'!I176)/100,2))*100</f>
        <v>9581.4547115644182</v>
      </c>
      <c r="F176">
        <f>Portfolio!B$5*'CurrentPor-LH=60 unchanged'!E176</f>
        <v>52143.895533915893</v>
      </c>
      <c r="G176">
        <f>Portfolio!B$6*'CurrentPor-LH=60 unchanged'!F176</f>
        <v>3696.2945087936532</v>
      </c>
      <c r="H176">
        <f>Portfolio!B$7*'CurrentPor-LH=60 unchanged'!J176</f>
        <v>2148.0998964419859</v>
      </c>
      <c r="I176">
        <f t="shared" si="4"/>
        <v>96493.537342205425</v>
      </c>
      <c r="J176">
        <f t="shared" si="5"/>
        <v>0</v>
      </c>
    </row>
    <row r="177" spans="1:10">
      <c r="A177" s="1">
        <v>45716</v>
      </c>
      <c r="B177">
        <f>(3/(1+('CurrentPor-LH=60 unchanged'!C177)/100)+103/POWER(1+('CurrentPor-LH=60 unchanged'!D177)/100,2))*100</f>
        <v>9707.5857774288397</v>
      </c>
      <c r="C177">
        <f>(3/(1+('CurrentPor-LH=60 unchanged'!C177+'CurrentPor-LH=60 unchanged'!G177)/100)+103/POWER(1+('CurrentPor-LH=60 unchanged'!D177+'CurrentPor-LH=60 unchanged'!G177)/100,2))*100</f>
        <v>9614.9673582483465</v>
      </c>
      <c r="D177">
        <f>(3/(1+('CurrentPor-LH=60 unchanged'!C177+'CurrentPor-LH=60 unchanged'!H177)/100)+103/POWER(1+('CurrentPor-LH=60 unchanged'!D177+'CurrentPor-LH=60 unchanged'!H177)/100,2))*100</f>
        <v>9601.2395558122898</v>
      </c>
      <c r="E177">
        <f>(3/(1+('CurrentPor-LH=60 unchanged'!C177+'CurrentPor-LH=60 unchanged'!I177)/100)+103/POWER(1+('CurrentPor-LH=60 unchanged'!D177+'CurrentPor-LH=60 unchanged'!I177)/100,2))*100</f>
        <v>9581.4547115644182</v>
      </c>
      <c r="F177">
        <f>Portfolio!B$5*'CurrentPor-LH=60 unchanged'!E177</f>
        <v>52143.895533915893</v>
      </c>
      <c r="G177">
        <f>Portfolio!B$6*'CurrentPor-LH=60 unchanged'!F177</f>
        <v>3696.2945087936532</v>
      </c>
      <c r="H177">
        <f>Portfolio!B$7*'CurrentPor-LH=60 unchanged'!J177</f>
        <v>2148.0998964419859</v>
      </c>
      <c r="I177">
        <f t="shared" si="4"/>
        <v>96493.537342205425</v>
      </c>
      <c r="J177">
        <f t="shared" si="5"/>
        <v>0</v>
      </c>
    </row>
    <row r="178" spans="1:10">
      <c r="A178" s="1">
        <v>45719</v>
      </c>
      <c r="B178">
        <f>(3/(1+('CurrentPor-LH=60 unchanged'!C178)/100)+103/POWER(1+('CurrentPor-LH=60 unchanged'!D178)/100,2))*100</f>
        <v>9707.5857774288397</v>
      </c>
      <c r="C178">
        <f>(3/(1+('CurrentPor-LH=60 unchanged'!C178+'CurrentPor-LH=60 unchanged'!G178)/100)+103/POWER(1+('CurrentPor-LH=60 unchanged'!D178+'CurrentPor-LH=60 unchanged'!G178)/100,2))*100</f>
        <v>9614.9673582483465</v>
      </c>
      <c r="D178">
        <f>(3/(1+('CurrentPor-LH=60 unchanged'!C178+'CurrentPor-LH=60 unchanged'!H178)/100)+103/POWER(1+('CurrentPor-LH=60 unchanged'!D178+'CurrentPor-LH=60 unchanged'!H178)/100,2))*100</f>
        <v>9601.2395558122898</v>
      </c>
      <c r="E178">
        <f>(3/(1+('CurrentPor-LH=60 unchanged'!C178+'CurrentPor-LH=60 unchanged'!I178)/100)+103/POWER(1+('CurrentPor-LH=60 unchanged'!D178+'CurrentPor-LH=60 unchanged'!I178)/100,2))*100</f>
        <v>9581.4547115644182</v>
      </c>
      <c r="F178">
        <f>Portfolio!B$5*'CurrentPor-LH=60 unchanged'!E178</f>
        <v>52143.895533915893</v>
      </c>
      <c r="G178">
        <f>Portfolio!B$6*'CurrentPor-LH=60 unchanged'!F178</f>
        <v>3696.2945087936532</v>
      </c>
      <c r="H178">
        <f>Portfolio!B$7*'CurrentPor-LH=60 unchanged'!J178</f>
        <v>2148.0998964419859</v>
      </c>
      <c r="I178">
        <f t="shared" si="4"/>
        <v>96493.537342205425</v>
      </c>
      <c r="J178">
        <f t="shared" si="5"/>
        <v>0</v>
      </c>
    </row>
    <row r="179" spans="1:10">
      <c r="A179" s="1">
        <v>45720</v>
      </c>
      <c r="B179">
        <f>(3/(1+('CurrentPor-LH=60 unchanged'!C179)/100)+103/POWER(1+('CurrentPor-LH=60 unchanged'!D179)/100,2))*100</f>
        <v>9707.5857774288397</v>
      </c>
      <c r="C179">
        <f>(3/(1+('CurrentPor-LH=60 unchanged'!C179+'CurrentPor-LH=60 unchanged'!G179)/100)+103/POWER(1+('CurrentPor-LH=60 unchanged'!D179+'CurrentPor-LH=60 unchanged'!G179)/100,2))*100</f>
        <v>9614.9673582483465</v>
      </c>
      <c r="D179">
        <f>(3/(1+('CurrentPor-LH=60 unchanged'!C179+'CurrentPor-LH=60 unchanged'!H179)/100)+103/POWER(1+('CurrentPor-LH=60 unchanged'!D179+'CurrentPor-LH=60 unchanged'!H179)/100,2))*100</f>
        <v>9601.2395558122898</v>
      </c>
      <c r="E179">
        <f>(3/(1+('CurrentPor-LH=60 unchanged'!C179+'CurrentPor-LH=60 unchanged'!I179)/100)+103/POWER(1+('CurrentPor-LH=60 unchanged'!D179+'CurrentPor-LH=60 unchanged'!I179)/100,2))*100</f>
        <v>9581.4547115644182</v>
      </c>
      <c r="F179">
        <f>Portfolio!B$5*'CurrentPor-LH=60 unchanged'!E179</f>
        <v>52143.895533915893</v>
      </c>
      <c r="G179">
        <f>Portfolio!B$6*'CurrentPor-LH=60 unchanged'!F179</f>
        <v>3696.2945087936532</v>
      </c>
      <c r="H179">
        <f>Portfolio!B$7*'CurrentPor-LH=60 unchanged'!J179</f>
        <v>2148.0998964419859</v>
      </c>
      <c r="I179">
        <f t="shared" si="4"/>
        <v>96493.537342205425</v>
      </c>
      <c r="J179">
        <f t="shared" si="5"/>
        <v>0</v>
      </c>
    </row>
    <row r="180" spans="1:10">
      <c r="A180" s="1">
        <v>45721</v>
      </c>
      <c r="B180">
        <f>(3/(1+('CurrentPor-LH=60 unchanged'!C180)/100)+103/POWER(1+('CurrentPor-LH=60 unchanged'!D180)/100,2))*100</f>
        <v>9707.5857774288397</v>
      </c>
      <c r="C180">
        <f>(3/(1+('CurrentPor-LH=60 unchanged'!C180+'CurrentPor-LH=60 unchanged'!G180)/100)+103/POWER(1+('CurrentPor-LH=60 unchanged'!D180+'CurrentPor-LH=60 unchanged'!G180)/100,2))*100</f>
        <v>9614.9673582483465</v>
      </c>
      <c r="D180">
        <f>(3/(1+('CurrentPor-LH=60 unchanged'!C180+'CurrentPor-LH=60 unchanged'!H180)/100)+103/POWER(1+('CurrentPor-LH=60 unchanged'!D180+'CurrentPor-LH=60 unchanged'!H180)/100,2))*100</f>
        <v>9601.2395558122898</v>
      </c>
      <c r="E180">
        <f>(3/(1+('CurrentPor-LH=60 unchanged'!C180+'CurrentPor-LH=60 unchanged'!I180)/100)+103/POWER(1+('CurrentPor-LH=60 unchanged'!D180+'CurrentPor-LH=60 unchanged'!I180)/100,2))*100</f>
        <v>9581.4547115644182</v>
      </c>
      <c r="F180">
        <f>Portfolio!B$5*'CurrentPor-LH=60 unchanged'!E180</f>
        <v>52143.895533915893</v>
      </c>
      <c r="G180">
        <f>Portfolio!B$6*'CurrentPor-LH=60 unchanged'!F180</f>
        <v>3696.2945087936532</v>
      </c>
      <c r="H180">
        <f>Portfolio!B$7*'CurrentPor-LH=60 unchanged'!J180</f>
        <v>2148.0998964419859</v>
      </c>
      <c r="I180">
        <f t="shared" si="4"/>
        <v>96493.537342205425</v>
      </c>
      <c r="J180">
        <f t="shared" si="5"/>
        <v>0</v>
      </c>
    </row>
    <row r="181" spans="1:10">
      <c r="A181" s="1">
        <v>45722</v>
      </c>
      <c r="B181">
        <f>(3/(1+('CurrentPor-LH=60 unchanged'!C181)/100)+103/POWER(1+('CurrentPor-LH=60 unchanged'!D181)/100,2))*100</f>
        <v>9707.5857774288397</v>
      </c>
      <c r="C181">
        <f>(3/(1+('CurrentPor-LH=60 unchanged'!C181+'CurrentPor-LH=60 unchanged'!G181)/100)+103/POWER(1+('CurrentPor-LH=60 unchanged'!D181+'CurrentPor-LH=60 unchanged'!G181)/100,2))*100</f>
        <v>9614.9673582483465</v>
      </c>
      <c r="D181">
        <f>(3/(1+('CurrentPor-LH=60 unchanged'!C181+'CurrentPor-LH=60 unchanged'!H181)/100)+103/POWER(1+('CurrentPor-LH=60 unchanged'!D181+'CurrentPor-LH=60 unchanged'!H181)/100,2))*100</f>
        <v>9601.2395558122898</v>
      </c>
      <c r="E181">
        <f>(3/(1+('CurrentPor-LH=60 unchanged'!C181+'CurrentPor-LH=60 unchanged'!I181)/100)+103/POWER(1+('CurrentPor-LH=60 unchanged'!D181+'CurrentPor-LH=60 unchanged'!I181)/100,2))*100</f>
        <v>9581.4547115644182</v>
      </c>
      <c r="F181">
        <f>Portfolio!B$5*'CurrentPor-LH=60 unchanged'!E181</f>
        <v>52143.895533915893</v>
      </c>
      <c r="G181">
        <f>Portfolio!B$6*'CurrentPor-LH=60 unchanged'!F181</f>
        <v>3696.2945087936532</v>
      </c>
      <c r="H181">
        <f>Portfolio!B$7*'CurrentPor-LH=60 unchanged'!J181</f>
        <v>2148.0998964419859</v>
      </c>
      <c r="I181">
        <f t="shared" si="4"/>
        <v>96493.537342205425</v>
      </c>
      <c r="J181">
        <f t="shared" si="5"/>
        <v>0</v>
      </c>
    </row>
    <row r="182" spans="1:10">
      <c r="A182" s="1">
        <v>45723</v>
      </c>
      <c r="B182">
        <f>(3/(1+('CurrentPor-LH=60 unchanged'!C182)/100)+103/POWER(1+('CurrentPor-LH=60 unchanged'!D182)/100,2))*100</f>
        <v>9707.5857774288397</v>
      </c>
      <c r="C182">
        <f>(3/(1+('CurrentPor-LH=60 unchanged'!C182+'CurrentPor-LH=60 unchanged'!G182)/100)+103/POWER(1+('CurrentPor-LH=60 unchanged'!D182+'CurrentPor-LH=60 unchanged'!G182)/100,2))*100</f>
        <v>9614.9673582483465</v>
      </c>
      <c r="D182">
        <f>(3/(1+('CurrentPor-LH=60 unchanged'!C182+'CurrentPor-LH=60 unchanged'!H182)/100)+103/POWER(1+('CurrentPor-LH=60 unchanged'!D182+'CurrentPor-LH=60 unchanged'!H182)/100,2))*100</f>
        <v>9601.2395558122898</v>
      </c>
      <c r="E182">
        <f>(3/(1+('CurrentPor-LH=60 unchanged'!C182+'CurrentPor-LH=60 unchanged'!I182)/100)+103/POWER(1+('CurrentPor-LH=60 unchanged'!D182+'CurrentPor-LH=60 unchanged'!I182)/100,2))*100</f>
        <v>9581.4547115644182</v>
      </c>
      <c r="F182">
        <f>Portfolio!B$5*'CurrentPor-LH=60 unchanged'!E182</f>
        <v>52143.895533915893</v>
      </c>
      <c r="G182">
        <f>Portfolio!B$6*'CurrentPor-LH=60 unchanged'!F182</f>
        <v>3696.2945087936532</v>
      </c>
      <c r="H182">
        <f>Portfolio!B$7*'CurrentPor-LH=60 unchanged'!J182</f>
        <v>2148.0998964419859</v>
      </c>
      <c r="I182">
        <f t="shared" si="4"/>
        <v>96493.537342205425</v>
      </c>
      <c r="J182">
        <f t="shared" si="5"/>
        <v>0</v>
      </c>
    </row>
    <row r="183" spans="1:10">
      <c r="A183" s="1">
        <v>45726</v>
      </c>
      <c r="B183">
        <f>(3/(1+('CurrentPor-LH=60 unchanged'!C183)/100)+103/POWER(1+('CurrentPor-LH=60 unchanged'!D183)/100,2))*100</f>
        <v>9707.5857774288397</v>
      </c>
      <c r="C183">
        <f>(3/(1+('CurrentPor-LH=60 unchanged'!C183+'CurrentPor-LH=60 unchanged'!G183)/100)+103/POWER(1+('CurrentPor-LH=60 unchanged'!D183+'CurrentPor-LH=60 unchanged'!G183)/100,2))*100</f>
        <v>9614.9673582483465</v>
      </c>
      <c r="D183">
        <f>(3/(1+('CurrentPor-LH=60 unchanged'!C183+'CurrentPor-LH=60 unchanged'!H183)/100)+103/POWER(1+('CurrentPor-LH=60 unchanged'!D183+'CurrentPor-LH=60 unchanged'!H183)/100,2))*100</f>
        <v>9601.2395558122898</v>
      </c>
      <c r="E183">
        <f>(3/(1+('CurrentPor-LH=60 unchanged'!C183+'CurrentPor-LH=60 unchanged'!I183)/100)+103/POWER(1+('CurrentPor-LH=60 unchanged'!D183+'CurrentPor-LH=60 unchanged'!I183)/100,2))*100</f>
        <v>9581.4547115644182</v>
      </c>
      <c r="F183">
        <f>Portfolio!B$5*'CurrentPor-LH=60 unchanged'!E183</f>
        <v>52143.895533915893</v>
      </c>
      <c r="G183">
        <f>Portfolio!B$6*'CurrentPor-LH=60 unchanged'!F183</f>
        <v>3696.2945087936532</v>
      </c>
      <c r="H183">
        <f>Portfolio!B$7*'CurrentPor-LH=60 unchanged'!J183</f>
        <v>2148.0998964419859</v>
      </c>
      <c r="I183">
        <f t="shared" si="4"/>
        <v>96493.537342205425</v>
      </c>
      <c r="J183">
        <f t="shared" si="5"/>
        <v>0</v>
      </c>
    </row>
    <row r="184" spans="1:10">
      <c r="A184" s="1">
        <v>45727</v>
      </c>
      <c r="B184">
        <f>(3/(1+('CurrentPor-LH=60 unchanged'!C184)/100)+103/POWER(1+('CurrentPor-LH=60 unchanged'!D184)/100,2))*100</f>
        <v>9707.5857774288397</v>
      </c>
      <c r="C184">
        <f>(3/(1+('CurrentPor-LH=60 unchanged'!C184+'CurrentPor-LH=60 unchanged'!G184)/100)+103/POWER(1+('CurrentPor-LH=60 unchanged'!D184+'CurrentPor-LH=60 unchanged'!G184)/100,2))*100</f>
        <v>9614.9673582483465</v>
      </c>
      <c r="D184">
        <f>(3/(1+('CurrentPor-LH=60 unchanged'!C184+'CurrentPor-LH=60 unchanged'!H184)/100)+103/POWER(1+('CurrentPor-LH=60 unchanged'!D184+'CurrentPor-LH=60 unchanged'!H184)/100,2))*100</f>
        <v>9601.2395558122898</v>
      </c>
      <c r="E184">
        <f>(3/(1+('CurrentPor-LH=60 unchanged'!C184+'CurrentPor-LH=60 unchanged'!I184)/100)+103/POWER(1+('CurrentPor-LH=60 unchanged'!D184+'CurrentPor-LH=60 unchanged'!I184)/100,2))*100</f>
        <v>9581.4547115644182</v>
      </c>
      <c r="F184">
        <f>Portfolio!B$5*'CurrentPor-LH=60 unchanged'!E184</f>
        <v>52143.895533915893</v>
      </c>
      <c r="G184">
        <f>Portfolio!B$6*'CurrentPor-LH=60 unchanged'!F184</f>
        <v>3696.2945087936532</v>
      </c>
      <c r="H184">
        <f>Portfolio!B$7*'CurrentPor-LH=60 unchanged'!J184</f>
        <v>2148.0998964419859</v>
      </c>
      <c r="I184">
        <f t="shared" si="4"/>
        <v>96493.537342205425</v>
      </c>
      <c r="J184">
        <f t="shared" si="5"/>
        <v>0</v>
      </c>
    </row>
    <row r="185" spans="1:10">
      <c r="A185" s="1">
        <v>45728</v>
      </c>
      <c r="B185">
        <f>(3/(1+('CurrentPor-LH=60 unchanged'!C185)/100)+103/POWER(1+('CurrentPor-LH=60 unchanged'!D185)/100,2))*100</f>
        <v>9707.5857774288397</v>
      </c>
      <c r="C185">
        <f>(3/(1+('CurrentPor-LH=60 unchanged'!C185+'CurrentPor-LH=60 unchanged'!G185)/100)+103/POWER(1+('CurrentPor-LH=60 unchanged'!D185+'CurrentPor-LH=60 unchanged'!G185)/100,2))*100</f>
        <v>9614.9673582483465</v>
      </c>
      <c r="D185">
        <f>(3/(1+('CurrentPor-LH=60 unchanged'!C185+'CurrentPor-LH=60 unchanged'!H185)/100)+103/POWER(1+('CurrentPor-LH=60 unchanged'!D185+'CurrentPor-LH=60 unchanged'!H185)/100,2))*100</f>
        <v>9601.2395558122898</v>
      </c>
      <c r="E185">
        <f>(3/(1+('CurrentPor-LH=60 unchanged'!C185+'CurrentPor-LH=60 unchanged'!I185)/100)+103/POWER(1+('CurrentPor-LH=60 unchanged'!D185+'CurrentPor-LH=60 unchanged'!I185)/100,2))*100</f>
        <v>9581.4547115644182</v>
      </c>
      <c r="F185">
        <f>Portfolio!B$5*'CurrentPor-LH=60 unchanged'!E185</f>
        <v>52143.895533915893</v>
      </c>
      <c r="G185">
        <f>Portfolio!B$6*'CurrentPor-LH=60 unchanged'!F185</f>
        <v>3696.2945087936532</v>
      </c>
      <c r="H185">
        <f>Portfolio!B$7*'CurrentPor-LH=60 unchanged'!J185</f>
        <v>2148.0998964419859</v>
      </c>
      <c r="I185">
        <f t="shared" si="4"/>
        <v>96493.537342205425</v>
      </c>
      <c r="J185">
        <f t="shared" si="5"/>
        <v>0</v>
      </c>
    </row>
    <row r="186" spans="1:10">
      <c r="A186" s="1">
        <v>45729</v>
      </c>
      <c r="B186">
        <f>(3/(1+('CurrentPor-LH=60 unchanged'!C186)/100)+103/POWER(1+('CurrentPor-LH=60 unchanged'!D186)/100,2))*100</f>
        <v>9707.5857774288397</v>
      </c>
      <c r="C186">
        <f>(3/(1+('CurrentPor-LH=60 unchanged'!C186+'CurrentPor-LH=60 unchanged'!G186)/100)+103/POWER(1+('CurrentPor-LH=60 unchanged'!D186+'CurrentPor-LH=60 unchanged'!G186)/100,2))*100</f>
        <v>9614.9673582483465</v>
      </c>
      <c r="D186">
        <f>(3/(1+('CurrentPor-LH=60 unchanged'!C186+'CurrentPor-LH=60 unchanged'!H186)/100)+103/POWER(1+('CurrentPor-LH=60 unchanged'!D186+'CurrentPor-LH=60 unchanged'!H186)/100,2))*100</f>
        <v>9601.2395558122898</v>
      </c>
      <c r="E186">
        <f>(3/(1+('CurrentPor-LH=60 unchanged'!C186+'CurrentPor-LH=60 unchanged'!I186)/100)+103/POWER(1+('CurrentPor-LH=60 unchanged'!D186+'CurrentPor-LH=60 unchanged'!I186)/100,2))*100</f>
        <v>9581.4547115644182</v>
      </c>
      <c r="F186">
        <f>Portfolio!B$5*'CurrentPor-LH=60 unchanged'!E186</f>
        <v>52143.895533915893</v>
      </c>
      <c r="G186">
        <f>Portfolio!B$6*'CurrentPor-LH=60 unchanged'!F186</f>
        <v>3696.2945087936532</v>
      </c>
      <c r="H186">
        <f>Portfolio!B$7*'CurrentPor-LH=60 unchanged'!J186</f>
        <v>2148.0998964419859</v>
      </c>
      <c r="I186">
        <f t="shared" si="4"/>
        <v>96493.537342205425</v>
      </c>
      <c r="J186">
        <f t="shared" si="5"/>
        <v>0</v>
      </c>
    </row>
    <row r="187" spans="1:10">
      <c r="A187" s="1">
        <v>45730</v>
      </c>
      <c r="B187">
        <f>(3/(1+('CurrentPor-LH=60 unchanged'!C187)/100)+103/POWER(1+('CurrentPor-LH=60 unchanged'!D187)/100,2))*100</f>
        <v>9707.5857774288397</v>
      </c>
      <c r="C187">
        <f>(3/(1+('CurrentPor-LH=60 unchanged'!C187+'CurrentPor-LH=60 unchanged'!G187)/100)+103/POWER(1+('CurrentPor-LH=60 unchanged'!D187+'CurrentPor-LH=60 unchanged'!G187)/100,2))*100</f>
        <v>9614.9673582483465</v>
      </c>
      <c r="D187">
        <f>(3/(1+('CurrentPor-LH=60 unchanged'!C187+'CurrentPor-LH=60 unchanged'!H187)/100)+103/POWER(1+('CurrentPor-LH=60 unchanged'!D187+'CurrentPor-LH=60 unchanged'!H187)/100,2))*100</f>
        <v>9601.2395558122898</v>
      </c>
      <c r="E187">
        <f>(3/(1+('CurrentPor-LH=60 unchanged'!C187+'CurrentPor-LH=60 unchanged'!I187)/100)+103/POWER(1+('CurrentPor-LH=60 unchanged'!D187+'CurrentPor-LH=60 unchanged'!I187)/100,2))*100</f>
        <v>9581.4547115644182</v>
      </c>
      <c r="F187">
        <f>Portfolio!B$5*'CurrentPor-LH=60 unchanged'!E187</f>
        <v>52143.895533915893</v>
      </c>
      <c r="G187">
        <f>Portfolio!B$6*'CurrentPor-LH=60 unchanged'!F187</f>
        <v>3696.2945087936532</v>
      </c>
      <c r="H187">
        <f>Portfolio!B$7*'CurrentPor-LH=60 unchanged'!J187</f>
        <v>2148.0998964419859</v>
      </c>
      <c r="I187">
        <f t="shared" si="4"/>
        <v>96493.537342205425</v>
      </c>
      <c r="J187">
        <f t="shared" si="5"/>
        <v>0</v>
      </c>
    </row>
    <row r="188" spans="1:10">
      <c r="A188" s="13">
        <v>45733</v>
      </c>
      <c r="B188">
        <f>(3/(1+('CurrentPor-LH=60 unchanged'!C188)/100)+103/POWER(1+('CurrentPor-LH=60 unchanged'!D188)/100,2))*100</f>
        <v>9707.5857774288397</v>
      </c>
      <c r="C188">
        <f>(3/(1+('CurrentPor-LH=60 unchanged'!C188+'CurrentPor-LH=60 unchanged'!G188)/100)+103/POWER(1+('CurrentPor-LH=60 unchanged'!D188+'CurrentPor-LH=60 unchanged'!G188)/100,2))*100</f>
        <v>9614.9673582483465</v>
      </c>
      <c r="D188">
        <f>(3/(1+('CurrentPor-LH=60 unchanged'!C188+'CurrentPor-LH=60 unchanged'!H188)/100)+103/POWER(1+('CurrentPor-LH=60 unchanged'!D188+'CurrentPor-LH=60 unchanged'!H188)/100,2))*100</f>
        <v>9601.2395558122898</v>
      </c>
      <c r="E188">
        <f>(3/(1+('CurrentPor-LH=60 unchanged'!C188+'CurrentPor-LH=60 unchanged'!I188)/100)+103/POWER(1+('CurrentPor-LH=60 unchanged'!D188+'CurrentPor-LH=60 unchanged'!I188)/100,2))*100</f>
        <v>9581.4547115644182</v>
      </c>
      <c r="F188">
        <f>Portfolio!B$5*'CurrentPor-LH=60 unchanged'!E188</f>
        <v>52143.895533915893</v>
      </c>
      <c r="G188">
        <f>Portfolio!B$6*'CurrentPor-LH=60 unchanged'!F188</f>
        <v>3696.2945087936532</v>
      </c>
      <c r="H188">
        <f>Portfolio!B$7*'CurrentPor-LH=60 unchanged'!J188</f>
        <v>2148.0998964419859</v>
      </c>
      <c r="I188">
        <f t="shared" si="4"/>
        <v>96493.537342205425</v>
      </c>
      <c r="J188">
        <f t="shared" si="5"/>
        <v>0</v>
      </c>
    </row>
    <row r="189" spans="1:10">
      <c r="A189" s="1">
        <v>45734</v>
      </c>
      <c r="B189">
        <f>(3/(1+('CurrentPor-LH=60 unchanged'!C189)/100)+103/POWER(1+('CurrentPor-LH=60 unchanged'!D189)/100,2))*100</f>
        <v>9707.5857774288397</v>
      </c>
      <c r="C189">
        <f>(3/(1+('CurrentPor-LH=60 unchanged'!C189+'CurrentPor-LH=60 unchanged'!G189)/100)+103/POWER(1+('CurrentPor-LH=60 unchanged'!D189+'CurrentPor-LH=60 unchanged'!G189)/100,2))*100</f>
        <v>9614.9673582483465</v>
      </c>
      <c r="D189">
        <f>(3/(1+('CurrentPor-LH=60 unchanged'!C189+'CurrentPor-LH=60 unchanged'!H189)/100)+103/POWER(1+('CurrentPor-LH=60 unchanged'!D189+'CurrentPor-LH=60 unchanged'!H189)/100,2))*100</f>
        <v>9601.2395558122898</v>
      </c>
      <c r="E189">
        <f>(3/(1+('CurrentPor-LH=60 unchanged'!C189+'CurrentPor-LH=60 unchanged'!I189)/100)+103/POWER(1+('CurrentPor-LH=60 unchanged'!D189+'CurrentPor-LH=60 unchanged'!I189)/100,2))*100</f>
        <v>9581.4547115644182</v>
      </c>
      <c r="F189">
        <f>Portfolio!B$5*'CurrentPor-LH=60 unchanged'!E189</f>
        <v>52143.895533915893</v>
      </c>
      <c r="G189">
        <f>Portfolio!B$6*'CurrentPor-LH=60 unchanged'!F189</f>
        <v>3696.2945087936532</v>
      </c>
      <c r="H189">
        <f>Portfolio!B$7*'CurrentPor-LH=60 unchanged'!J189</f>
        <v>2148.0998964419859</v>
      </c>
      <c r="I189">
        <f t="shared" si="4"/>
        <v>96493.537342205425</v>
      </c>
      <c r="J189">
        <f t="shared" si="5"/>
        <v>0</v>
      </c>
    </row>
    <row r="190" spans="1:10">
      <c r="A190" s="1">
        <v>45735</v>
      </c>
      <c r="B190">
        <f>(3/(1+('CurrentPor-LH=60 unchanged'!C190)/100)+103/POWER(1+('CurrentPor-LH=60 unchanged'!D190)/100,2))*100</f>
        <v>9707.5857774288397</v>
      </c>
      <c r="C190">
        <f>(3/(1+('CurrentPor-LH=60 unchanged'!C190+'CurrentPor-LH=60 unchanged'!G190)/100)+103/POWER(1+('CurrentPor-LH=60 unchanged'!D190+'CurrentPor-LH=60 unchanged'!G190)/100,2))*100</f>
        <v>9614.9673582483465</v>
      </c>
      <c r="D190">
        <f>(3/(1+('CurrentPor-LH=60 unchanged'!C190+'CurrentPor-LH=60 unchanged'!H190)/100)+103/POWER(1+('CurrentPor-LH=60 unchanged'!D190+'CurrentPor-LH=60 unchanged'!H190)/100,2))*100</f>
        <v>9601.2395558122898</v>
      </c>
      <c r="E190">
        <f>(3/(1+('CurrentPor-LH=60 unchanged'!C190+'CurrentPor-LH=60 unchanged'!I190)/100)+103/POWER(1+('CurrentPor-LH=60 unchanged'!D190+'CurrentPor-LH=60 unchanged'!I190)/100,2))*100</f>
        <v>9581.4547115644182</v>
      </c>
      <c r="F190">
        <f>Portfolio!B$5*'CurrentPor-LH=60 unchanged'!E190</f>
        <v>52143.895533915893</v>
      </c>
      <c r="G190">
        <f>Portfolio!B$6*'CurrentPor-LH=60 unchanged'!F190</f>
        <v>3696.2945087936532</v>
      </c>
      <c r="H190">
        <f>Portfolio!B$7*'CurrentPor-LH=60 unchanged'!J190</f>
        <v>2148.0998964419859</v>
      </c>
      <c r="I190">
        <f t="shared" si="4"/>
        <v>96493.537342205425</v>
      </c>
      <c r="J190">
        <f t="shared" si="5"/>
        <v>0</v>
      </c>
    </row>
    <row r="191" spans="1:10">
      <c r="A191" s="1">
        <v>45736</v>
      </c>
      <c r="B191">
        <f>(3/(1+('CurrentPor-LH=60 unchanged'!C191)/100)+103/POWER(1+('CurrentPor-LH=60 unchanged'!D191)/100,2))*100</f>
        <v>9707.5857774288397</v>
      </c>
      <c r="C191">
        <f>(3/(1+('CurrentPor-LH=60 unchanged'!C191+'CurrentPor-LH=60 unchanged'!G191)/100)+103/POWER(1+('CurrentPor-LH=60 unchanged'!D191+'CurrentPor-LH=60 unchanged'!G191)/100,2))*100</f>
        <v>9614.9673582483465</v>
      </c>
      <c r="D191">
        <f>(3/(1+('CurrentPor-LH=60 unchanged'!C191+'CurrentPor-LH=60 unchanged'!H191)/100)+103/POWER(1+('CurrentPor-LH=60 unchanged'!D191+'CurrentPor-LH=60 unchanged'!H191)/100,2))*100</f>
        <v>9601.2395558122898</v>
      </c>
      <c r="E191">
        <f>(3/(1+('CurrentPor-LH=60 unchanged'!C191+'CurrentPor-LH=60 unchanged'!I191)/100)+103/POWER(1+('CurrentPor-LH=60 unchanged'!D191+'CurrentPor-LH=60 unchanged'!I191)/100,2))*100</f>
        <v>9581.4547115644182</v>
      </c>
      <c r="F191">
        <f>Portfolio!B$5*'CurrentPor-LH=60 unchanged'!E191</f>
        <v>52143.895533915893</v>
      </c>
      <c r="G191">
        <f>Portfolio!B$6*'CurrentPor-LH=60 unchanged'!F191</f>
        <v>3696.2945087936532</v>
      </c>
      <c r="H191">
        <f>Portfolio!B$7*'CurrentPor-LH=60 unchanged'!J191</f>
        <v>2148.0998964419859</v>
      </c>
      <c r="I191">
        <f t="shared" si="4"/>
        <v>96493.537342205425</v>
      </c>
      <c r="J191">
        <f t="shared" si="5"/>
        <v>0</v>
      </c>
    </row>
    <row r="192" spans="1:10">
      <c r="A192" s="1">
        <v>45737</v>
      </c>
      <c r="B192">
        <f>(3/(1+('CurrentPor-LH=60 unchanged'!C192)/100)+103/POWER(1+('CurrentPor-LH=60 unchanged'!D192)/100,2))*100</f>
        <v>9707.5857774288397</v>
      </c>
      <c r="C192">
        <f>(3/(1+('CurrentPor-LH=60 unchanged'!C192+'CurrentPor-LH=60 unchanged'!G192)/100)+103/POWER(1+('CurrentPor-LH=60 unchanged'!D192+'CurrentPor-LH=60 unchanged'!G192)/100,2))*100</f>
        <v>9614.9673582483465</v>
      </c>
      <c r="D192">
        <f>(3/(1+('CurrentPor-LH=60 unchanged'!C192+'CurrentPor-LH=60 unchanged'!H192)/100)+103/POWER(1+('CurrentPor-LH=60 unchanged'!D192+'CurrentPor-LH=60 unchanged'!H192)/100,2))*100</f>
        <v>9601.2395558122898</v>
      </c>
      <c r="E192">
        <f>(3/(1+('CurrentPor-LH=60 unchanged'!C192+'CurrentPor-LH=60 unchanged'!I192)/100)+103/POWER(1+('CurrentPor-LH=60 unchanged'!D192+'CurrentPor-LH=60 unchanged'!I192)/100,2))*100</f>
        <v>9581.4547115644182</v>
      </c>
      <c r="F192">
        <f>Portfolio!B$5*'CurrentPor-LH=60 unchanged'!E192</f>
        <v>52143.895533915893</v>
      </c>
      <c r="G192">
        <f>Portfolio!B$6*'CurrentPor-LH=60 unchanged'!F192</f>
        <v>3696.2945087936532</v>
      </c>
      <c r="H192">
        <f>Portfolio!B$7*'CurrentPor-LH=60 unchanged'!J192</f>
        <v>2148.0998964419859</v>
      </c>
      <c r="I192">
        <f t="shared" si="4"/>
        <v>96493.537342205425</v>
      </c>
      <c r="J192">
        <f t="shared" si="5"/>
        <v>0</v>
      </c>
    </row>
    <row r="193" spans="1:10">
      <c r="A193" s="1">
        <v>45740</v>
      </c>
      <c r="B193">
        <f>(3/(1+('CurrentPor-LH=60 unchanged'!C193)/100)+103/POWER(1+('CurrentPor-LH=60 unchanged'!D193)/100,2))*100</f>
        <v>9707.5857774288397</v>
      </c>
      <c r="C193">
        <f>(3/(1+('CurrentPor-LH=60 unchanged'!C193+'CurrentPor-LH=60 unchanged'!G193)/100)+103/POWER(1+('CurrentPor-LH=60 unchanged'!D193+'CurrentPor-LH=60 unchanged'!G193)/100,2))*100</f>
        <v>9614.9673582483465</v>
      </c>
      <c r="D193">
        <f>(3/(1+('CurrentPor-LH=60 unchanged'!C193+'CurrentPor-LH=60 unchanged'!H193)/100)+103/POWER(1+('CurrentPor-LH=60 unchanged'!D193+'CurrentPor-LH=60 unchanged'!H193)/100,2))*100</f>
        <v>9601.2395558122898</v>
      </c>
      <c r="E193">
        <f>(3/(1+('CurrentPor-LH=60 unchanged'!C193+'CurrentPor-LH=60 unchanged'!I193)/100)+103/POWER(1+('CurrentPor-LH=60 unchanged'!D193+'CurrentPor-LH=60 unchanged'!I193)/100,2))*100</f>
        <v>9581.4547115644182</v>
      </c>
      <c r="F193">
        <f>Portfolio!B$5*'CurrentPor-LH=60 unchanged'!E193</f>
        <v>52143.895533915893</v>
      </c>
      <c r="G193">
        <f>Portfolio!B$6*'CurrentPor-LH=60 unchanged'!F193</f>
        <v>3696.2945087936532</v>
      </c>
      <c r="H193">
        <f>Portfolio!B$7*'CurrentPor-LH=60 unchanged'!J193</f>
        <v>2148.0998964419859</v>
      </c>
      <c r="I193">
        <f t="shared" si="4"/>
        <v>96493.537342205425</v>
      </c>
      <c r="J193">
        <f t="shared" si="5"/>
        <v>0</v>
      </c>
    </row>
    <row r="194" spans="1:10">
      <c r="A194" s="1">
        <v>45741</v>
      </c>
      <c r="B194">
        <f>(3/(1+('CurrentPor-LH=60 unchanged'!C194)/100)+103/POWER(1+('CurrentPor-LH=60 unchanged'!D194)/100,2))*100</f>
        <v>9707.5857774288397</v>
      </c>
      <c r="C194">
        <f>(3/(1+('CurrentPor-LH=60 unchanged'!C194+'CurrentPor-LH=60 unchanged'!G194)/100)+103/POWER(1+('CurrentPor-LH=60 unchanged'!D194+'CurrentPor-LH=60 unchanged'!G194)/100,2))*100</f>
        <v>9614.9673582483465</v>
      </c>
      <c r="D194">
        <f>(3/(1+('CurrentPor-LH=60 unchanged'!C194+'CurrentPor-LH=60 unchanged'!H194)/100)+103/POWER(1+('CurrentPor-LH=60 unchanged'!D194+'CurrentPor-LH=60 unchanged'!H194)/100,2))*100</f>
        <v>9601.2395558122898</v>
      </c>
      <c r="E194">
        <f>(3/(1+('CurrentPor-LH=60 unchanged'!C194+'CurrentPor-LH=60 unchanged'!I194)/100)+103/POWER(1+('CurrentPor-LH=60 unchanged'!D194+'CurrentPor-LH=60 unchanged'!I194)/100,2))*100</f>
        <v>9581.4547115644182</v>
      </c>
      <c r="F194">
        <f>Portfolio!B$5*'CurrentPor-LH=60 unchanged'!E194</f>
        <v>52143.895533915893</v>
      </c>
      <c r="G194">
        <f>Portfolio!B$6*'CurrentPor-LH=60 unchanged'!F194</f>
        <v>3696.2945087936532</v>
      </c>
      <c r="H194">
        <f>Portfolio!B$7*'CurrentPor-LH=60 unchanged'!J194</f>
        <v>2148.0998964419859</v>
      </c>
      <c r="I194">
        <f t="shared" si="4"/>
        <v>96493.537342205425</v>
      </c>
      <c r="J194">
        <f t="shared" si="5"/>
        <v>0</v>
      </c>
    </row>
    <row r="195" spans="1:10">
      <c r="A195" s="1">
        <v>45742</v>
      </c>
      <c r="B195">
        <f>(3/(1+('CurrentPor-LH=60 unchanged'!C195)/100)+103/POWER(1+('CurrentPor-LH=60 unchanged'!D195)/100,2))*100</f>
        <v>9707.5857774288397</v>
      </c>
      <c r="C195">
        <f>(3/(1+('CurrentPor-LH=60 unchanged'!C195+'CurrentPor-LH=60 unchanged'!G195)/100)+103/POWER(1+('CurrentPor-LH=60 unchanged'!D195+'CurrentPor-LH=60 unchanged'!G195)/100,2))*100</f>
        <v>9614.9673582483465</v>
      </c>
      <c r="D195">
        <f>(3/(1+('CurrentPor-LH=60 unchanged'!C195+'CurrentPor-LH=60 unchanged'!H195)/100)+103/POWER(1+('CurrentPor-LH=60 unchanged'!D195+'CurrentPor-LH=60 unchanged'!H195)/100,2))*100</f>
        <v>9601.2395558122898</v>
      </c>
      <c r="E195">
        <f>(3/(1+('CurrentPor-LH=60 unchanged'!C195+'CurrentPor-LH=60 unchanged'!I195)/100)+103/POWER(1+('CurrentPor-LH=60 unchanged'!D195+'CurrentPor-LH=60 unchanged'!I195)/100,2))*100</f>
        <v>9581.4547115644182</v>
      </c>
      <c r="F195">
        <f>Portfolio!B$5*'CurrentPor-LH=60 unchanged'!E195</f>
        <v>52143.895533915893</v>
      </c>
      <c r="G195">
        <f>Portfolio!B$6*'CurrentPor-LH=60 unchanged'!F195</f>
        <v>3696.2945087936532</v>
      </c>
      <c r="H195">
        <f>Portfolio!B$7*'CurrentPor-LH=60 unchanged'!J195</f>
        <v>2148.0998964419859</v>
      </c>
      <c r="I195">
        <f t="shared" si="4"/>
        <v>96493.537342205425</v>
      </c>
      <c r="J195">
        <f t="shared" si="5"/>
        <v>0</v>
      </c>
    </row>
    <row r="196" spans="1:10">
      <c r="A196" s="1">
        <v>45743</v>
      </c>
      <c r="B196">
        <f>(3/(1+('CurrentPor-LH=60 unchanged'!C196)/100)+103/POWER(1+('CurrentPor-LH=60 unchanged'!D196)/100,2))*100</f>
        <v>9707.5857774288397</v>
      </c>
      <c r="C196">
        <f>(3/(1+('CurrentPor-LH=60 unchanged'!C196+'CurrentPor-LH=60 unchanged'!G196)/100)+103/POWER(1+('CurrentPor-LH=60 unchanged'!D196+'CurrentPor-LH=60 unchanged'!G196)/100,2))*100</f>
        <v>9614.9673582483465</v>
      </c>
      <c r="D196">
        <f>(3/(1+('CurrentPor-LH=60 unchanged'!C196+'CurrentPor-LH=60 unchanged'!H196)/100)+103/POWER(1+('CurrentPor-LH=60 unchanged'!D196+'CurrentPor-LH=60 unchanged'!H196)/100,2))*100</f>
        <v>9601.2395558122898</v>
      </c>
      <c r="E196">
        <f>(3/(1+('CurrentPor-LH=60 unchanged'!C196+'CurrentPor-LH=60 unchanged'!I196)/100)+103/POWER(1+('CurrentPor-LH=60 unchanged'!D196+'CurrentPor-LH=60 unchanged'!I196)/100,2))*100</f>
        <v>9581.4547115644182</v>
      </c>
      <c r="F196">
        <f>Portfolio!B$5*'CurrentPor-LH=60 unchanged'!E196</f>
        <v>52143.895533915893</v>
      </c>
      <c r="G196">
        <f>Portfolio!B$6*'CurrentPor-LH=60 unchanged'!F196</f>
        <v>3696.2945087936532</v>
      </c>
      <c r="H196">
        <f>Portfolio!B$7*'CurrentPor-LH=60 unchanged'!J196</f>
        <v>2148.0998964419859</v>
      </c>
      <c r="I196">
        <f t="shared" ref="I196:I259" si="6">SUM(B196:H196)</f>
        <v>96493.537342205425</v>
      </c>
      <c r="J196">
        <f t="shared" si="5"/>
        <v>0</v>
      </c>
    </row>
    <row r="197" spans="1:10">
      <c r="A197" s="1">
        <v>45744</v>
      </c>
      <c r="B197">
        <f>(3/(1+('CurrentPor-LH=60 unchanged'!C197)/100)+103/POWER(1+('CurrentPor-LH=60 unchanged'!D197)/100,2))*100</f>
        <v>9707.5857774288397</v>
      </c>
      <c r="C197">
        <f>(3/(1+('CurrentPor-LH=60 unchanged'!C197+'CurrentPor-LH=60 unchanged'!G197)/100)+103/POWER(1+('CurrentPor-LH=60 unchanged'!D197+'CurrentPor-LH=60 unchanged'!G197)/100,2))*100</f>
        <v>9614.9673582483465</v>
      </c>
      <c r="D197">
        <f>(3/(1+('CurrentPor-LH=60 unchanged'!C197+'CurrentPor-LH=60 unchanged'!H197)/100)+103/POWER(1+('CurrentPor-LH=60 unchanged'!D197+'CurrentPor-LH=60 unchanged'!H197)/100,2))*100</f>
        <v>9601.2395558122898</v>
      </c>
      <c r="E197">
        <f>(3/(1+('CurrentPor-LH=60 unchanged'!C197+'CurrentPor-LH=60 unchanged'!I197)/100)+103/POWER(1+('CurrentPor-LH=60 unchanged'!D197+'CurrentPor-LH=60 unchanged'!I197)/100,2))*100</f>
        <v>9581.4547115644182</v>
      </c>
      <c r="F197">
        <f>Portfolio!B$5*'CurrentPor-LH=60 unchanged'!E197</f>
        <v>52143.895533915893</v>
      </c>
      <c r="G197">
        <f>Portfolio!B$6*'CurrentPor-LH=60 unchanged'!F197</f>
        <v>3696.2945087936532</v>
      </c>
      <c r="H197">
        <f>Portfolio!B$7*'CurrentPor-LH=60 unchanged'!J197</f>
        <v>2148.0998964419859</v>
      </c>
      <c r="I197">
        <f t="shared" si="6"/>
        <v>96493.537342205425</v>
      </c>
      <c r="J197">
        <f t="shared" si="5"/>
        <v>0</v>
      </c>
    </row>
    <row r="198" spans="1:10">
      <c r="A198" s="1">
        <v>45747</v>
      </c>
      <c r="B198">
        <f>(3/(1+('CurrentPor-LH=60 unchanged'!C198)/100)+103/POWER(1+('CurrentPor-LH=60 unchanged'!D198)/100,2))*100</f>
        <v>9707.5857774288397</v>
      </c>
      <c r="C198">
        <f>(3/(1+('CurrentPor-LH=60 unchanged'!C198+'CurrentPor-LH=60 unchanged'!G198)/100)+103/POWER(1+('CurrentPor-LH=60 unchanged'!D198+'CurrentPor-LH=60 unchanged'!G198)/100,2))*100</f>
        <v>9614.9673582483465</v>
      </c>
      <c r="D198">
        <f>(3/(1+('CurrentPor-LH=60 unchanged'!C198+'CurrentPor-LH=60 unchanged'!H198)/100)+103/POWER(1+('CurrentPor-LH=60 unchanged'!D198+'CurrentPor-LH=60 unchanged'!H198)/100,2))*100</f>
        <v>9601.2395558122898</v>
      </c>
      <c r="E198">
        <f>(3/(1+('CurrentPor-LH=60 unchanged'!C198+'CurrentPor-LH=60 unchanged'!I198)/100)+103/POWER(1+('CurrentPor-LH=60 unchanged'!D198+'CurrentPor-LH=60 unchanged'!I198)/100,2))*100</f>
        <v>9581.4547115644182</v>
      </c>
      <c r="F198">
        <f>Portfolio!B$5*'CurrentPor-LH=60 unchanged'!E198</f>
        <v>52143.895533915893</v>
      </c>
      <c r="G198">
        <f>Portfolio!B$6*'CurrentPor-LH=60 unchanged'!F198</f>
        <v>3696.2945087936532</v>
      </c>
      <c r="H198">
        <f>Portfolio!B$7*'CurrentPor-LH=60 unchanged'!J198</f>
        <v>2148.0998964419859</v>
      </c>
      <c r="I198">
        <f t="shared" si="6"/>
        <v>96493.537342205425</v>
      </c>
      <c r="J198">
        <f t="shared" si="5"/>
        <v>0</v>
      </c>
    </row>
    <row r="199" spans="1:10">
      <c r="A199" s="1">
        <v>45748</v>
      </c>
      <c r="B199">
        <f>(3/(1+('CurrentPor-LH=60 unchanged'!C199)/100)+103/POWER(1+('CurrentPor-LH=60 unchanged'!D199)/100,2))*100</f>
        <v>9707.5857774288397</v>
      </c>
      <c r="C199">
        <f>(3/(1+('CurrentPor-LH=60 unchanged'!C199+'CurrentPor-LH=60 unchanged'!G199)/100)+103/POWER(1+('CurrentPor-LH=60 unchanged'!D199+'CurrentPor-LH=60 unchanged'!G199)/100,2))*100</f>
        <v>9614.9673582483465</v>
      </c>
      <c r="D199">
        <f>(3/(1+('CurrentPor-LH=60 unchanged'!C199+'CurrentPor-LH=60 unchanged'!H199)/100)+103/POWER(1+('CurrentPor-LH=60 unchanged'!D199+'CurrentPor-LH=60 unchanged'!H199)/100,2))*100</f>
        <v>9601.2395558122898</v>
      </c>
      <c r="E199">
        <f>(3/(1+('CurrentPor-LH=60 unchanged'!C199+'CurrentPor-LH=60 unchanged'!I199)/100)+103/POWER(1+('CurrentPor-LH=60 unchanged'!D199+'CurrentPor-LH=60 unchanged'!I199)/100,2))*100</f>
        <v>9581.4547115644182</v>
      </c>
      <c r="F199">
        <f>Portfolio!B$5*'CurrentPor-LH=60 unchanged'!E199</f>
        <v>52143.895533915893</v>
      </c>
      <c r="G199">
        <f>Portfolio!B$6*'CurrentPor-LH=60 unchanged'!F199</f>
        <v>3696.2945087936532</v>
      </c>
      <c r="H199">
        <f>Portfolio!B$7*'CurrentPor-LH=60 unchanged'!J199</f>
        <v>2148.0998964419859</v>
      </c>
      <c r="I199">
        <f t="shared" si="6"/>
        <v>96493.537342205425</v>
      </c>
      <c r="J199">
        <f t="shared" si="5"/>
        <v>0</v>
      </c>
    </row>
    <row r="200" spans="1:10">
      <c r="A200" s="1">
        <v>45749</v>
      </c>
      <c r="B200">
        <f>(3/(1+('CurrentPor-LH=60 unchanged'!C200)/100)+103/POWER(1+('CurrentPor-LH=60 unchanged'!D200)/100,2))*100</f>
        <v>9707.5857774288397</v>
      </c>
      <c r="C200">
        <f>(3/(1+('CurrentPor-LH=60 unchanged'!C200+'CurrentPor-LH=60 unchanged'!G200)/100)+103/POWER(1+('CurrentPor-LH=60 unchanged'!D200+'CurrentPor-LH=60 unchanged'!G200)/100,2))*100</f>
        <v>9614.9673582483465</v>
      </c>
      <c r="D200">
        <f>(3/(1+('CurrentPor-LH=60 unchanged'!C200+'CurrentPor-LH=60 unchanged'!H200)/100)+103/POWER(1+('CurrentPor-LH=60 unchanged'!D200+'CurrentPor-LH=60 unchanged'!H200)/100,2))*100</f>
        <v>9601.2395558122898</v>
      </c>
      <c r="E200">
        <f>(3/(1+('CurrentPor-LH=60 unchanged'!C200+'CurrentPor-LH=60 unchanged'!I200)/100)+103/POWER(1+('CurrentPor-LH=60 unchanged'!D200+'CurrentPor-LH=60 unchanged'!I200)/100,2))*100</f>
        <v>9581.4547115644182</v>
      </c>
      <c r="F200">
        <f>Portfolio!B$5*'CurrentPor-LH=60 unchanged'!E200</f>
        <v>52143.895533915893</v>
      </c>
      <c r="G200">
        <f>Portfolio!B$6*'CurrentPor-LH=60 unchanged'!F200</f>
        <v>3696.2945087936532</v>
      </c>
      <c r="H200">
        <f>Portfolio!B$7*'CurrentPor-LH=60 unchanged'!J200</f>
        <v>2148.0998964419859</v>
      </c>
      <c r="I200">
        <f t="shared" si="6"/>
        <v>96493.537342205425</v>
      </c>
      <c r="J200">
        <f t="shared" si="5"/>
        <v>0</v>
      </c>
    </row>
    <row r="201" spans="1:10">
      <c r="A201" s="1">
        <v>45750</v>
      </c>
      <c r="B201">
        <f>(3/(1+('CurrentPor-LH=60 unchanged'!C201)/100)+103/POWER(1+('CurrentPor-LH=60 unchanged'!D201)/100,2))*100</f>
        <v>9707.5857774288397</v>
      </c>
      <c r="C201">
        <f>(3/(1+('CurrentPor-LH=60 unchanged'!C201+'CurrentPor-LH=60 unchanged'!G201)/100)+103/POWER(1+('CurrentPor-LH=60 unchanged'!D201+'CurrentPor-LH=60 unchanged'!G201)/100,2))*100</f>
        <v>9614.9673582483465</v>
      </c>
      <c r="D201">
        <f>(3/(1+('CurrentPor-LH=60 unchanged'!C201+'CurrentPor-LH=60 unchanged'!H201)/100)+103/POWER(1+('CurrentPor-LH=60 unchanged'!D201+'CurrentPor-LH=60 unchanged'!H201)/100,2))*100</f>
        <v>9601.2395558122898</v>
      </c>
      <c r="E201">
        <f>(3/(1+('CurrentPor-LH=60 unchanged'!C201+'CurrentPor-LH=60 unchanged'!I201)/100)+103/POWER(1+('CurrentPor-LH=60 unchanged'!D201+'CurrentPor-LH=60 unchanged'!I201)/100,2))*100</f>
        <v>9581.4547115644182</v>
      </c>
      <c r="F201">
        <f>Portfolio!B$5*'CurrentPor-LH=60 unchanged'!E201</f>
        <v>52143.895533915893</v>
      </c>
      <c r="G201">
        <f>Portfolio!B$6*'CurrentPor-LH=60 unchanged'!F201</f>
        <v>3696.2945087936532</v>
      </c>
      <c r="H201">
        <f>Portfolio!B$7*'CurrentPor-LH=60 unchanged'!J201</f>
        <v>2148.0998964419859</v>
      </c>
      <c r="I201">
        <f t="shared" si="6"/>
        <v>96493.537342205425</v>
      </c>
      <c r="J201">
        <f t="shared" si="5"/>
        <v>0</v>
      </c>
    </row>
    <row r="202" spans="1:10">
      <c r="A202" s="1">
        <v>45751</v>
      </c>
      <c r="B202">
        <f>(3/(1+('CurrentPor-LH=60 unchanged'!C202)/100)+103/POWER(1+('CurrentPor-LH=60 unchanged'!D202)/100,2))*100</f>
        <v>9707.5857774288397</v>
      </c>
      <c r="C202">
        <f>(3/(1+('CurrentPor-LH=60 unchanged'!C202+'CurrentPor-LH=60 unchanged'!G202)/100)+103/POWER(1+('CurrentPor-LH=60 unchanged'!D202+'CurrentPor-LH=60 unchanged'!G202)/100,2))*100</f>
        <v>9614.9673582483465</v>
      </c>
      <c r="D202">
        <f>(3/(1+('CurrentPor-LH=60 unchanged'!C202+'CurrentPor-LH=60 unchanged'!H202)/100)+103/POWER(1+('CurrentPor-LH=60 unchanged'!D202+'CurrentPor-LH=60 unchanged'!H202)/100,2))*100</f>
        <v>9601.2395558122898</v>
      </c>
      <c r="E202">
        <f>(3/(1+('CurrentPor-LH=60 unchanged'!C202+'CurrentPor-LH=60 unchanged'!I202)/100)+103/POWER(1+('CurrentPor-LH=60 unchanged'!D202+'CurrentPor-LH=60 unchanged'!I202)/100,2))*100</f>
        <v>9581.4547115644182</v>
      </c>
      <c r="F202">
        <f>Portfolio!B$5*'CurrentPor-LH=60 unchanged'!E202</f>
        <v>52143.895533915893</v>
      </c>
      <c r="G202">
        <f>Portfolio!B$6*'CurrentPor-LH=60 unchanged'!F202</f>
        <v>3696.2945087936532</v>
      </c>
      <c r="H202">
        <f>Portfolio!B$7*'CurrentPor-LH=60 unchanged'!J202</f>
        <v>2148.0998964419859</v>
      </c>
      <c r="I202">
        <f t="shared" si="6"/>
        <v>96493.537342205425</v>
      </c>
      <c r="J202">
        <f t="shared" si="5"/>
        <v>0</v>
      </c>
    </row>
    <row r="203" spans="1:10">
      <c r="A203" s="1">
        <v>45754</v>
      </c>
      <c r="B203">
        <f>(3/(1+('CurrentPor-LH=60 unchanged'!C203)/100)+103/POWER(1+('CurrentPor-LH=60 unchanged'!D203)/100,2))*100</f>
        <v>9707.5857774288397</v>
      </c>
      <c r="C203">
        <f>(3/(1+('CurrentPor-LH=60 unchanged'!C203+'CurrentPor-LH=60 unchanged'!G203)/100)+103/POWER(1+('CurrentPor-LH=60 unchanged'!D203+'CurrentPor-LH=60 unchanged'!G203)/100,2))*100</f>
        <v>9614.9673582483465</v>
      </c>
      <c r="D203">
        <f>(3/(1+('CurrentPor-LH=60 unchanged'!C203+'CurrentPor-LH=60 unchanged'!H203)/100)+103/POWER(1+('CurrentPor-LH=60 unchanged'!D203+'CurrentPor-LH=60 unchanged'!H203)/100,2))*100</f>
        <v>9601.2395558122898</v>
      </c>
      <c r="E203">
        <f>(3/(1+('CurrentPor-LH=60 unchanged'!C203+'CurrentPor-LH=60 unchanged'!I203)/100)+103/POWER(1+('CurrentPor-LH=60 unchanged'!D203+'CurrentPor-LH=60 unchanged'!I203)/100,2))*100</f>
        <v>9581.4547115644182</v>
      </c>
      <c r="F203">
        <f>Portfolio!B$5*'CurrentPor-LH=60 unchanged'!E203</f>
        <v>52143.895533915893</v>
      </c>
      <c r="G203">
        <f>Portfolio!B$6*'CurrentPor-LH=60 unchanged'!F203</f>
        <v>3696.2945087936532</v>
      </c>
      <c r="H203">
        <f>Portfolio!B$7*'CurrentPor-LH=60 unchanged'!J203</f>
        <v>2148.0998964419859</v>
      </c>
      <c r="I203">
        <f t="shared" si="6"/>
        <v>96493.537342205425</v>
      </c>
      <c r="J203">
        <f t="shared" si="5"/>
        <v>0</v>
      </c>
    </row>
    <row r="204" spans="1:10">
      <c r="A204" s="1">
        <v>45755</v>
      </c>
      <c r="B204">
        <f>(3/(1+('CurrentPor-LH=60 unchanged'!C204)/100)+103/POWER(1+('CurrentPor-LH=60 unchanged'!D204)/100,2))*100</f>
        <v>9707.5857774288397</v>
      </c>
      <c r="C204">
        <f>(3/(1+('CurrentPor-LH=60 unchanged'!C204+'CurrentPor-LH=60 unchanged'!G204)/100)+103/POWER(1+('CurrentPor-LH=60 unchanged'!D204+'CurrentPor-LH=60 unchanged'!G204)/100,2))*100</f>
        <v>9614.9673582483465</v>
      </c>
      <c r="D204">
        <f>(3/(1+('CurrentPor-LH=60 unchanged'!C204+'CurrentPor-LH=60 unchanged'!H204)/100)+103/POWER(1+('CurrentPor-LH=60 unchanged'!D204+'CurrentPor-LH=60 unchanged'!H204)/100,2))*100</f>
        <v>9601.2395558122898</v>
      </c>
      <c r="E204">
        <f>(3/(1+('CurrentPor-LH=60 unchanged'!C204+'CurrentPor-LH=60 unchanged'!I204)/100)+103/POWER(1+('CurrentPor-LH=60 unchanged'!D204+'CurrentPor-LH=60 unchanged'!I204)/100,2))*100</f>
        <v>9581.4547115644182</v>
      </c>
      <c r="F204">
        <f>Portfolio!B$5*'CurrentPor-LH=60 unchanged'!E204</f>
        <v>52143.895533915893</v>
      </c>
      <c r="G204">
        <f>Portfolio!B$6*'CurrentPor-LH=60 unchanged'!F204</f>
        <v>3696.2945087936532</v>
      </c>
      <c r="H204">
        <f>Portfolio!B$7*'CurrentPor-LH=60 unchanged'!J204</f>
        <v>2148.0998964419859</v>
      </c>
      <c r="I204">
        <f t="shared" si="6"/>
        <v>96493.537342205425</v>
      </c>
      <c r="J204">
        <f t="shared" si="5"/>
        <v>0</v>
      </c>
    </row>
    <row r="205" spans="1:10">
      <c r="A205" s="1">
        <v>45756</v>
      </c>
      <c r="B205">
        <f>(3/(1+('CurrentPor-LH=60 unchanged'!C205)/100)+103/POWER(1+('CurrentPor-LH=60 unchanged'!D205)/100,2))*100</f>
        <v>9707.5857774288397</v>
      </c>
      <c r="C205">
        <f>(3/(1+('CurrentPor-LH=60 unchanged'!C205+'CurrentPor-LH=60 unchanged'!G205)/100)+103/POWER(1+('CurrentPor-LH=60 unchanged'!D205+'CurrentPor-LH=60 unchanged'!G205)/100,2))*100</f>
        <v>9614.9673582483465</v>
      </c>
      <c r="D205">
        <f>(3/(1+('CurrentPor-LH=60 unchanged'!C205+'CurrentPor-LH=60 unchanged'!H205)/100)+103/POWER(1+('CurrentPor-LH=60 unchanged'!D205+'CurrentPor-LH=60 unchanged'!H205)/100,2))*100</f>
        <v>9601.2395558122898</v>
      </c>
      <c r="E205">
        <f>(3/(1+('CurrentPor-LH=60 unchanged'!C205+'CurrentPor-LH=60 unchanged'!I205)/100)+103/POWER(1+('CurrentPor-LH=60 unchanged'!D205+'CurrentPor-LH=60 unchanged'!I205)/100,2))*100</f>
        <v>9581.4547115644182</v>
      </c>
      <c r="F205">
        <f>Portfolio!B$5*'CurrentPor-LH=60 unchanged'!E205</f>
        <v>52143.895533915893</v>
      </c>
      <c r="G205">
        <f>Portfolio!B$6*'CurrentPor-LH=60 unchanged'!F205</f>
        <v>3696.2945087936532</v>
      </c>
      <c r="H205">
        <f>Portfolio!B$7*'CurrentPor-LH=60 unchanged'!J205</f>
        <v>2148.0998964419859</v>
      </c>
      <c r="I205">
        <f t="shared" si="6"/>
        <v>96493.537342205425</v>
      </c>
      <c r="J205">
        <f t="shared" si="5"/>
        <v>0</v>
      </c>
    </row>
    <row r="206" spans="1:10">
      <c r="A206" s="1">
        <v>45757</v>
      </c>
      <c r="B206">
        <f>(3/(1+('CurrentPor-LH=60 unchanged'!C206)/100)+103/POWER(1+('CurrentPor-LH=60 unchanged'!D206)/100,2))*100</f>
        <v>9707.5857774288397</v>
      </c>
      <c r="C206">
        <f>(3/(1+('CurrentPor-LH=60 unchanged'!C206+'CurrentPor-LH=60 unchanged'!G206)/100)+103/POWER(1+('CurrentPor-LH=60 unchanged'!D206+'CurrentPor-LH=60 unchanged'!G206)/100,2))*100</f>
        <v>9614.9673582483465</v>
      </c>
      <c r="D206">
        <f>(3/(1+('CurrentPor-LH=60 unchanged'!C206+'CurrentPor-LH=60 unchanged'!H206)/100)+103/POWER(1+('CurrentPor-LH=60 unchanged'!D206+'CurrentPor-LH=60 unchanged'!H206)/100,2))*100</f>
        <v>9601.2395558122898</v>
      </c>
      <c r="E206">
        <f>(3/(1+('CurrentPor-LH=60 unchanged'!C206+'CurrentPor-LH=60 unchanged'!I206)/100)+103/POWER(1+('CurrentPor-LH=60 unchanged'!D206+'CurrentPor-LH=60 unchanged'!I206)/100,2))*100</f>
        <v>9581.4547115644182</v>
      </c>
      <c r="F206">
        <f>Portfolio!B$5*'CurrentPor-LH=60 unchanged'!E206</f>
        <v>52143.895533915893</v>
      </c>
      <c r="G206">
        <f>Portfolio!B$6*'CurrentPor-LH=60 unchanged'!F206</f>
        <v>3696.2945087936532</v>
      </c>
      <c r="H206">
        <f>Portfolio!B$7*'CurrentPor-LH=60 unchanged'!J206</f>
        <v>2148.0998964419859</v>
      </c>
      <c r="I206">
        <f t="shared" si="6"/>
        <v>96493.537342205425</v>
      </c>
      <c r="J206">
        <f t="shared" ref="J206:J263" si="7">I206-I196</f>
        <v>0</v>
      </c>
    </row>
    <row r="207" spans="1:10">
      <c r="A207" s="1">
        <v>45758</v>
      </c>
      <c r="B207">
        <f>(3/(1+('CurrentPor-LH=60 unchanged'!C207)/100)+103/POWER(1+('CurrentPor-LH=60 unchanged'!D207)/100,2))*100</f>
        <v>9707.5857774288397</v>
      </c>
      <c r="C207">
        <f>(3/(1+('CurrentPor-LH=60 unchanged'!C207+'CurrentPor-LH=60 unchanged'!G207)/100)+103/POWER(1+('CurrentPor-LH=60 unchanged'!D207+'CurrentPor-LH=60 unchanged'!G207)/100,2))*100</f>
        <v>9614.9673582483465</v>
      </c>
      <c r="D207">
        <f>(3/(1+('CurrentPor-LH=60 unchanged'!C207+'CurrentPor-LH=60 unchanged'!H207)/100)+103/POWER(1+('CurrentPor-LH=60 unchanged'!D207+'CurrentPor-LH=60 unchanged'!H207)/100,2))*100</f>
        <v>9601.2395558122898</v>
      </c>
      <c r="E207">
        <f>(3/(1+('CurrentPor-LH=60 unchanged'!C207+'CurrentPor-LH=60 unchanged'!I207)/100)+103/POWER(1+('CurrentPor-LH=60 unchanged'!D207+'CurrentPor-LH=60 unchanged'!I207)/100,2))*100</f>
        <v>9581.4547115644182</v>
      </c>
      <c r="F207">
        <f>Portfolio!B$5*'CurrentPor-LH=60 unchanged'!E207</f>
        <v>52143.895533915893</v>
      </c>
      <c r="G207">
        <f>Portfolio!B$6*'CurrentPor-LH=60 unchanged'!F207</f>
        <v>3696.2945087936532</v>
      </c>
      <c r="H207">
        <f>Portfolio!B$7*'CurrentPor-LH=60 unchanged'!J207</f>
        <v>2148.0998964419859</v>
      </c>
      <c r="I207">
        <f t="shared" si="6"/>
        <v>96493.537342205425</v>
      </c>
      <c r="J207">
        <f t="shared" si="7"/>
        <v>0</v>
      </c>
    </row>
    <row r="208" spans="1:10">
      <c r="A208" s="1">
        <v>45761</v>
      </c>
      <c r="B208">
        <f>(3/(1+('CurrentPor-LH=60 unchanged'!C208)/100)+103/POWER(1+('CurrentPor-LH=60 unchanged'!D208)/100,2))*100</f>
        <v>9707.5857774288397</v>
      </c>
      <c r="C208">
        <f>(3/(1+('CurrentPor-LH=60 unchanged'!C208+'CurrentPor-LH=60 unchanged'!G208)/100)+103/POWER(1+('CurrentPor-LH=60 unchanged'!D208+'CurrentPor-LH=60 unchanged'!G208)/100,2))*100</f>
        <v>9614.9673582483465</v>
      </c>
      <c r="D208">
        <f>(3/(1+('CurrentPor-LH=60 unchanged'!C208+'CurrentPor-LH=60 unchanged'!H208)/100)+103/POWER(1+('CurrentPor-LH=60 unchanged'!D208+'CurrentPor-LH=60 unchanged'!H208)/100,2))*100</f>
        <v>9601.2395558122898</v>
      </c>
      <c r="E208">
        <f>(3/(1+('CurrentPor-LH=60 unchanged'!C208+'CurrentPor-LH=60 unchanged'!I208)/100)+103/POWER(1+('CurrentPor-LH=60 unchanged'!D208+'CurrentPor-LH=60 unchanged'!I208)/100,2))*100</f>
        <v>9581.4547115644182</v>
      </c>
      <c r="F208">
        <f>Portfolio!B$5*'CurrentPor-LH=60 unchanged'!E208</f>
        <v>52143.895533915893</v>
      </c>
      <c r="G208">
        <f>Portfolio!B$6*'CurrentPor-LH=60 unchanged'!F208</f>
        <v>3696.2945087936532</v>
      </c>
      <c r="H208">
        <f>Portfolio!B$7*'CurrentPor-LH=60 unchanged'!J208</f>
        <v>2148.0998964419859</v>
      </c>
      <c r="I208">
        <f t="shared" si="6"/>
        <v>96493.537342205425</v>
      </c>
      <c r="J208">
        <f t="shared" si="7"/>
        <v>0</v>
      </c>
    </row>
    <row r="209" spans="1:10">
      <c r="A209" s="1">
        <v>45762</v>
      </c>
      <c r="B209">
        <f>(3/(1+('CurrentPor-LH=60 unchanged'!C209)/100)+103/POWER(1+('CurrentPor-LH=60 unchanged'!D209)/100,2))*100</f>
        <v>9707.5857774288397</v>
      </c>
      <c r="C209">
        <f>(3/(1+('CurrentPor-LH=60 unchanged'!C209+'CurrentPor-LH=60 unchanged'!G209)/100)+103/POWER(1+('CurrentPor-LH=60 unchanged'!D209+'CurrentPor-LH=60 unchanged'!G209)/100,2))*100</f>
        <v>9614.9673582483465</v>
      </c>
      <c r="D209">
        <f>(3/(1+('CurrentPor-LH=60 unchanged'!C209+'CurrentPor-LH=60 unchanged'!H209)/100)+103/POWER(1+('CurrentPor-LH=60 unchanged'!D209+'CurrentPor-LH=60 unchanged'!H209)/100,2))*100</f>
        <v>9601.2395558122898</v>
      </c>
      <c r="E209">
        <f>(3/(1+('CurrentPor-LH=60 unchanged'!C209+'CurrentPor-LH=60 unchanged'!I209)/100)+103/POWER(1+('CurrentPor-LH=60 unchanged'!D209+'CurrentPor-LH=60 unchanged'!I209)/100,2))*100</f>
        <v>9581.4547115644182</v>
      </c>
      <c r="F209">
        <f>Portfolio!B$5*'CurrentPor-LH=60 unchanged'!E209</f>
        <v>52143.895533915893</v>
      </c>
      <c r="G209">
        <f>Portfolio!B$6*'CurrentPor-LH=60 unchanged'!F209</f>
        <v>3696.2945087936532</v>
      </c>
      <c r="H209">
        <f>Portfolio!B$7*'CurrentPor-LH=60 unchanged'!J209</f>
        <v>2148.0998964419859</v>
      </c>
      <c r="I209">
        <f t="shared" si="6"/>
        <v>96493.537342205425</v>
      </c>
      <c r="J209">
        <f t="shared" si="7"/>
        <v>0</v>
      </c>
    </row>
    <row r="210" spans="1:10">
      <c r="A210" s="1">
        <v>45763</v>
      </c>
      <c r="B210">
        <f>(3/(1+('CurrentPor-LH=60 unchanged'!C210)/100)+103/POWER(1+('CurrentPor-LH=60 unchanged'!D210)/100,2))*100</f>
        <v>9707.5857774288397</v>
      </c>
      <c r="C210">
        <f>(3/(1+('CurrentPor-LH=60 unchanged'!C210+'CurrentPor-LH=60 unchanged'!G210)/100)+103/POWER(1+('CurrentPor-LH=60 unchanged'!D210+'CurrentPor-LH=60 unchanged'!G210)/100,2))*100</f>
        <v>9614.9673582483465</v>
      </c>
      <c r="D210">
        <f>(3/(1+('CurrentPor-LH=60 unchanged'!C210+'CurrentPor-LH=60 unchanged'!H210)/100)+103/POWER(1+('CurrentPor-LH=60 unchanged'!D210+'CurrentPor-LH=60 unchanged'!H210)/100,2))*100</f>
        <v>9601.2395558122898</v>
      </c>
      <c r="E210">
        <f>(3/(1+('CurrentPor-LH=60 unchanged'!C210+'CurrentPor-LH=60 unchanged'!I210)/100)+103/POWER(1+('CurrentPor-LH=60 unchanged'!D210+'CurrentPor-LH=60 unchanged'!I210)/100,2))*100</f>
        <v>9581.4547115644182</v>
      </c>
      <c r="F210">
        <f>Portfolio!B$5*'CurrentPor-LH=60 unchanged'!E210</f>
        <v>52143.895533915893</v>
      </c>
      <c r="G210">
        <f>Portfolio!B$6*'CurrentPor-LH=60 unchanged'!F210</f>
        <v>3696.2945087936532</v>
      </c>
      <c r="H210">
        <f>Portfolio!B$7*'CurrentPor-LH=60 unchanged'!J210</f>
        <v>2148.0998964419859</v>
      </c>
      <c r="I210">
        <f t="shared" si="6"/>
        <v>96493.537342205425</v>
      </c>
      <c r="J210">
        <f t="shared" si="7"/>
        <v>0</v>
      </c>
    </row>
    <row r="211" spans="1:10">
      <c r="A211" s="1">
        <v>45764</v>
      </c>
      <c r="B211">
        <f>(3/(1+('CurrentPor-LH=60 unchanged'!C211)/100)+103/POWER(1+('CurrentPor-LH=60 unchanged'!D211)/100,2))*100</f>
        <v>9707.5857774288397</v>
      </c>
      <c r="C211">
        <f>(3/(1+('CurrentPor-LH=60 unchanged'!C211+'CurrentPor-LH=60 unchanged'!G211)/100)+103/POWER(1+('CurrentPor-LH=60 unchanged'!D211+'CurrentPor-LH=60 unchanged'!G211)/100,2))*100</f>
        <v>9614.9673582483465</v>
      </c>
      <c r="D211">
        <f>(3/(1+('CurrentPor-LH=60 unchanged'!C211+'CurrentPor-LH=60 unchanged'!H211)/100)+103/POWER(1+('CurrentPor-LH=60 unchanged'!D211+'CurrentPor-LH=60 unchanged'!H211)/100,2))*100</f>
        <v>9601.2395558122898</v>
      </c>
      <c r="E211">
        <f>(3/(1+('CurrentPor-LH=60 unchanged'!C211+'CurrentPor-LH=60 unchanged'!I211)/100)+103/POWER(1+('CurrentPor-LH=60 unchanged'!D211+'CurrentPor-LH=60 unchanged'!I211)/100,2))*100</f>
        <v>9581.4547115644182</v>
      </c>
      <c r="F211">
        <f>Portfolio!B$5*'CurrentPor-LH=60 unchanged'!E211</f>
        <v>52143.895533915893</v>
      </c>
      <c r="G211">
        <f>Portfolio!B$6*'CurrentPor-LH=60 unchanged'!F211</f>
        <v>3696.2945087936532</v>
      </c>
      <c r="H211">
        <f>Portfolio!B$7*'CurrentPor-LH=60 unchanged'!J211</f>
        <v>2148.0998964419859</v>
      </c>
      <c r="I211">
        <f t="shared" si="6"/>
        <v>96493.537342205425</v>
      </c>
      <c r="J211">
        <f t="shared" si="7"/>
        <v>0</v>
      </c>
    </row>
    <row r="212" spans="1:10">
      <c r="A212" s="1">
        <v>45765</v>
      </c>
      <c r="B212">
        <f>(3/(1+('CurrentPor-LH=60 unchanged'!C212)/100)+103/POWER(1+('CurrentPor-LH=60 unchanged'!D212)/100,2))*100</f>
        <v>9707.5857774288397</v>
      </c>
      <c r="C212">
        <f>(3/(1+('CurrentPor-LH=60 unchanged'!C212+'CurrentPor-LH=60 unchanged'!G212)/100)+103/POWER(1+('CurrentPor-LH=60 unchanged'!D212+'CurrentPor-LH=60 unchanged'!G212)/100,2))*100</f>
        <v>9614.9673582483465</v>
      </c>
      <c r="D212">
        <f>(3/(1+('CurrentPor-LH=60 unchanged'!C212+'CurrentPor-LH=60 unchanged'!H212)/100)+103/POWER(1+('CurrentPor-LH=60 unchanged'!D212+'CurrentPor-LH=60 unchanged'!H212)/100,2))*100</f>
        <v>9601.2395558122898</v>
      </c>
      <c r="E212">
        <f>(3/(1+('CurrentPor-LH=60 unchanged'!C212+'CurrentPor-LH=60 unchanged'!I212)/100)+103/POWER(1+('CurrentPor-LH=60 unchanged'!D212+'CurrentPor-LH=60 unchanged'!I212)/100,2))*100</f>
        <v>9581.4547115644182</v>
      </c>
      <c r="F212">
        <f>Portfolio!B$5*'CurrentPor-LH=60 unchanged'!E212</f>
        <v>52143.895533915893</v>
      </c>
      <c r="G212">
        <f>Portfolio!B$6*'CurrentPor-LH=60 unchanged'!F212</f>
        <v>3696.2945087936532</v>
      </c>
      <c r="H212">
        <f>Portfolio!B$7*'CurrentPor-LH=60 unchanged'!J212</f>
        <v>2148.0998964419859</v>
      </c>
      <c r="I212">
        <f t="shared" si="6"/>
        <v>96493.537342205425</v>
      </c>
      <c r="J212">
        <f t="shared" si="7"/>
        <v>0</v>
      </c>
    </row>
    <row r="213" spans="1:10">
      <c r="A213" s="1">
        <v>45768</v>
      </c>
      <c r="B213">
        <f>(3/(1+('CurrentPor-LH=60 unchanged'!C213)/100)+103/POWER(1+('CurrentPor-LH=60 unchanged'!D213)/100,2))*100</f>
        <v>9707.5857774288397</v>
      </c>
      <c r="C213">
        <f>(3/(1+('CurrentPor-LH=60 unchanged'!C213+'CurrentPor-LH=60 unchanged'!G213)/100)+103/POWER(1+('CurrentPor-LH=60 unchanged'!D213+'CurrentPor-LH=60 unchanged'!G213)/100,2))*100</f>
        <v>9614.9673582483465</v>
      </c>
      <c r="D213">
        <f>(3/(1+('CurrentPor-LH=60 unchanged'!C213+'CurrentPor-LH=60 unchanged'!H213)/100)+103/POWER(1+('CurrentPor-LH=60 unchanged'!D213+'CurrentPor-LH=60 unchanged'!H213)/100,2))*100</f>
        <v>9601.2395558122898</v>
      </c>
      <c r="E213">
        <f>(3/(1+('CurrentPor-LH=60 unchanged'!C213+'CurrentPor-LH=60 unchanged'!I213)/100)+103/POWER(1+('CurrentPor-LH=60 unchanged'!D213+'CurrentPor-LH=60 unchanged'!I213)/100,2))*100</f>
        <v>9581.4547115644182</v>
      </c>
      <c r="F213">
        <f>Portfolio!B$5*'CurrentPor-LH=60 unchanged'!E213</f>
        <v>52143.895533915893</v>
      </c>
      <c r="G213">
        <f>Portfolio!B$6*'CurrentPor-LH=60 unchanged'!F213</f>
        <v>3696.2945087936532</v>
      </c>
      <c r="H213">
        <f>Portfolio!B$7*'CurrentPor-LH=60 unchanged'!J213</f>
        <v>2148.0998964419859</v>
      </c>
      <c r="I213">
        <f t="shared" si="6"/>
        <v>96493.537342205425</v>
      </c>
      <c r="J213">
        <f t="shared" si="7"/>
        <v>0</v>
      </c>
    </row>
    <row r="214" spans="1:10">
      <c r="A214" s="1">
        <v>45769</v>
      </c>
      <c r="B214">
        <f>(3/(1+('CurrentPor-LH=60 unchanged'!C214)/100)+103/POWER(1+('CurrentPor-LH=60 unchanged'!D214)/100,2))*100</f>
        <v>9707.5857774288397</v>
      </c>
      <c r="C214">
        <f>(3/(1+('CurrentPor-LH=60 unchanged'!C214+'CurrentPor-LH=60 unchanged'!G214)/100)+103/POWER(1+('CurrentPor-LH=60 unchanged'!D214+'CurrentPor-LH=60 unchanged'!G214)/100,2))*100</f>
        <v>9614.9673582483465</v>
      </c>
      <c r="D214">
        <f>(3/(1+('CurrentPor-LH=60 unchanged'!C214+'CurrentPor-LH=60 unchanged'!H214)/100)+103/POWER(1+('CurrentPor-LH=60 unchanged'!D214+'CurrentPor-LH=60 unchanged'!H214)/100,2))*100</f>
        <v>9601.2395558122898</v>
      </c>
      <c r="E214">
        <f>(3/(1+('CurrentPor-LH=60 unchanged'!C214+'CurrentPor-LH=60 unchanged'!I214)/100)+103/POWER(1+('CurrentPor-LH=60 unchanged'!D214+'CurrentPor-LH=60 unchanged'!I214)/100,2))*100</f>
        <v>9581.4547115644182</v>
      </c>
      <c r="F214">
        <f>Portfolio!B$5*'CurrentPor-LH=60 unchanged'!E214</f>
        <v>52143.895533915893</v>
      </c>
      <c r="G214">
        <f>Portfolio!B$6*'CurrentPor-LH=60 unchanged'!F214</f>
        <v>3696.2945087936532</v>
      </c>
      <c r="H214">
        <f>Portfolio!B$7*'CurrentPor-LH=60 unchanged'!J214</f>
        <v>2148.0998964419859</v>
      </c>
      <c r="I214">
        <f t="shared" si="6"/>
        <v>96493.537342205425</v>
      </c>
      <c r="J214">
        <f t="shared" si="7"/>
        <v>0</v>
      </c>
    </row>
    <row r="215" spans="1:10">
      <c r="A215" s="1">
        <v>45770</v>
      </c>
      <c r="B215">
        <f>(3/(1+('CurrentPor-LH=60 unchanged'!C215)/100)+103/POWER(1+('CurrentPor-LH=60 unchanged'!D215)/100,2))*100</f>
        <v>9707.5857774288397</v>
      </c>
      <c r="C215">
        <f>(3/(1+('CurrentPor-LH=60 unchanged'!C215+'CurrentPor-LH=60 unchanged'!G215)/100)+103/POWER(1+('CurrentPor-LH=60 unchanged'!D215+'CurrentPor-LH=60 unchanged'!G215)/100,2))*100</f>
        <v>9614.9673582483465</v>
      </c>
      <c r="D215">
        <f>(3/(1+('CurrentPor-LH=60 unchanged'!C215+'CurrentPor-LH=60 unchanged'!H215)/100)+103/POWER(1+('CurrentPor-LH=60 unchanged'!D215+'CurrentPor-LH=60 unchanged'!H215)/100,2))*100</f>
        <v>9601.2395558122898</v>
      </c>
      <c r="E215">
        <f>(3/(1+('CurrentPor-LH=60 unchanged'!C215+'CurrentPor-LH=60 unchanged'!I215)/100)+103/POWER(1+('CurrentPor-LH=60 unchanged'!D215+'CurrentPor-LH=60 unchanged'!I215)/100,2))*100</f>
        <v>9581.4547115644182</v>
      </c>
      <c r="F215">
        <f>Portfolio!B$5*'CurrentPor-LH=60 unchanged'!E215</f>
        <v>52143.895533915893</v>
      </c>
      <c r="G215">
        <f>Portfolio!B$6*'CurrentPor-LH=60 unchanged'!F215</f>
        <v>3696.2945087936532</v>
      </c>
      <c r="H215">
        <f>Portfolio!B$7*'CurrentPor-LH=60 unchanged'!J215</f>
        <v>2148.0998964419859</v>
      </c>
      <c r="I215">
        <f t="shared" si="6"/>
        <v>96493.537342205425</v>
      </c>
      <c r="J215">
        <f t="shared" si="7"/>
        <v>0</v>
      </c>
    </row>
    <row r="216" spans="1:10">
      <c r="A216" s="1">
        <v>45771</v>
      </c>
      <c r="B216">
        <f>(3/(1+('CurrentPor-LH=60 unchanged'!C216)/100)+103/POWER(1+('CurrentPor-LH=60 unchanged'!D216)/100,2))*100</f>
        <v>9707.5857774288397</v>
      </c>
      <c r="C216">
        <f>(3/(1+('CurrentPor-LH=60 unchanged'!C216+'CurrentPor-LH=60 unchanged'!G216)/100)+103/POWER(1+('CurrentPor-LH=60 unchanged'!D216+'CurrentPor-LH=60 unchanged'!G216)/100,2))*100</f>
        <v>9614.9673582483465</v>
      </c>
      <c r="D216">
        <f>(3/(1+('CurrentPor-LH=60 unchanged'!C216+'CurrentPor-LH=60 unchanged'!H216)/100)+103/POWER(1+('CurrentPor-LH=60 unchanged'!D216+'CurrentPor-LH=60 unchanged'!H216)/100,2))*100</f>
        <v>9601.2395558122898</v>
      </c>
      <c r="E216">
        <f>(3/(1+('CurrentPor-LH=60 unchanged'!C216+'CurrentPor-LH=60 unchanged'!I216)/100)+103/POWER(1+('CurrentPor-LH=60 unchanged'!D216+'CurrentPor-LH=60 unchanged'!I216)/100,2))*100</f>
        <v>9581.4547115644182</v>
      </c>
      <c r="F216">
        <f>Portfolio!B$5*'CurrentPor-LH=60 unchanged'!E216</f>
        <v>52143.895533915893</v>
      </c>
      <c r="G216">
        <f>Portfolio!B$6*'CurrentPor-LH=60 unchanged'!F216</f>
        <v>3696.2945087936532</v>
      </c>
      <c r="H216">
        <f>Portfolio!B$7*'CurrentPor-LH=60 unchanged'!J216</f>
        <v>2148.0998964419859</v>
      </c>
      <c r="I216">
        <f t="shared" si="6"/>
        <v>96493.537342205425</v>
      </c>
      <c r="J216">
        <f t="shared" si="7"/>
        <v>0</v>
      </c>
    </row>
    <row r="217" spans="1:10">
      <c r="A217" s="1">
        <v>45772</v>
      </c>
      <c r="B217">
        <f>(3/(1+('CurrentPor-LH=60 unchanged'!C217)/100)+103/POWER(1+('CurrentPor-LH=60 unchanged'!D217)/100,2))*100</f>
        <v>9707.5857774288397</v>
      </c>
      <c r="C217">
        <f>(3/(1+('CurrentPor-LH=60 unchanged'!C217+'CurrentPor-LH=60 unchanged'!G217)/100)+103/POWER(1+('CurrentPor-LH=60 unchanged'!D217+'CurrentPor-LH=60 unchanged'!G217)/100,2))*100</f>
        <v>9614.9673582483465</v>
      </c>
      <c r="D217">
        <f>(3/(1+('CurrentPor-LH=60 unchanged'!C217+'CurrentPor-LH=60 unchanged'!H217)/100)+103/POWER(1+('CurrentPor-LH=60 unchanged'!D217+'CurrentPor-LH=60 unchanged'!H217)/100,2))*100</f>
        <v>9601.2395558122898</v>
      </c>
      <c r="E217">
        <f>(3/(1+('CurrentPor-LH=60 unchanged'!C217+'CurrentPor-LH=60 unchanged'!I217)/100)+103/POWER(1+('CurrentPor-LH=60 unchanged'!D217+'CurrentPor-LH=60 unchanged'!I217)/100,2))*100</f>
        <v>9581.4547115644182</v>
      </c>
      <c r="F217">
        <f>Portfolio!B$5*'CurrentPor-LH=60 unchanged'!E217</f>
        <v>52143.895533915893</v>
      </c>
      <c r="G217">
        <f>Portfolio!B$6*'CurrentPor-LH=60 unchanged'!F217</f>
        <v>3696.2945087936532</v>
      </c>
      <c r="H217">
        <f>Portfolio!B$7*'CurrentPor-LH=60 unchanged'!J217</f>
        <v>2148.0998964419859</v>
      </c>
      <c r="I217">
        <f t="shared" si="6"/>
        <v>96493.537342205425</v>
      </c>
      <c r="J217">
        <f t="shared" si="7"/>
        <v>0</v>
      </c>
    </row>
    <row r="218" spans="1:10">
      <c r="A218" s="1">
        <v>45775</v>
      </c>
      <c r="B218">
        <f>(3/(1+('CurrentPor-LH=60 unchanged'!C218)/100)+103/POWER(1+('CurrentPor-LH=60 unchanged'!D218)/100,2))*100</f>
        <v>9707.5857774288397</v>
      </c>
      <c r="C218">
        <f>(3/(1+('CurrentPor-LH=60 unchanged'!C218+'CurrentPor-LH=60 unchanged'!G218)/100)+103/POWER(1+('CurrentPor-LH=60 unchanged'!D218+'CurrentPor-LH=60 unchanged'!G218)/100,2))*100</f>
        <v>9614.9673582483465</v>
      </c>
      <c r="D218">
        <f>(3/(1+('CurrentPor-LH=60 unchanged'!C218+'CurrentPor-LH=60 unchanged'!H218)/100)+103/POWER(1+('CurrentPor-LH=60 unchanged'!D218+'CurrentPor-LH=60 unchanged'!H218)/100,2))*100</f>
        <v>9601.2395558122898</v>
      </c>
      <c r="E218">
        <f>(3/(1+('CurrentPor-LH=60 unchanged'!C218+'CurrentPor-LH=60 unchanged'!I218)/100)+103/POWER(1+('CurrentPor-LH=60 unchanged'!D218+'CurrentPor-LH=60 unchanged'!I218)/100,2))*100</f>
        <v>9581.4547115644182</v>
      </c>
      <c r="F218">
        <f>Portfolio!B$5*'CurrentPor-LH=60 unchanged'!E218</f>
        <v>52143.895533915893</v>
      </c>
      <c r="G218">
        <f>Portfolio!B$6*'CurrentPor-LH=60 unchanged'!F218</f>
        <v>3696.2945087936532</v>
      </c>
      <c r="H218">
        <f>Portfolio!B$7*'CurrentPor-LH=60 unchanged'!J218</f>
        <v>2148.0998964419859</v>
      </c>
      <c r="I218">
        <f t="shared" si="6"/>
        <v>96493.537342205425</v>
      </c>
      <c r="J218">
        <f t="shared" si="7"/>
        <v>0</v>
      </c>
    </row>
    <row r="219" spans="1:10">
      <c r="A219" s="1">
        <v>45776</v>
      </c>
      <c r="B219">
        <f>(3/(1+('CurrentPor-LH=60 unchanged'!C219)/100)+103/POWER(1+('CurrentPor-LH=60 unchanged'!D219)/100,2))*100</f>
        <v>9707.5857774288397</v>
      </c>
      <c r="C219">
        <f>(3/(1+('CurrentPor-LH=60 unchanged'!C219+'CurrentPor-LH=60 unchanged'!G219)/100)+103/POWER(1+('CurrentPor-LH=60 unchanged'!D219+'CurrentPor-LH=60 unchanged'!G219)/100,2))*100</f>
        <v>9614.9673582483465</v>
      </c>
      <c r="D219">
        <f>(3/(1+('CurrentPor-LH=60 unchanged'!C219+'CurrentPor-LH=60 unchanged'!H219)/100)+103/POWER(1+('CurrentPor-LH=60 unchanged'!D219+'CurrentPor-LH=60 unchanged'!H219)/100,2))*100</f>
        <v>9601.2395558122898</v>
      </c>
      <c r="E219">
        <f>(3/(1+('CurrentPor-LH=60 unchanged'!C219+'CurrentPor-LH=60 unchanged'!I219)/100)+103/POWER(1+('CurrentPor-LH=60 unchanged'!D219+'CurrentPor-LH=60 unchanged'!I219)/100,2))*100</f>
        <v>9581.4547115644182</v>
      </c>
      <c r="F219">
        <f>Portfolio!B$5*'CurrentPor-LH=60 unchanged'!E219</f>
        <v>52143.895533915893</v>
      </c>
      <c r="G219">
        <f>Portfolio!B$6*'CurrentPor-LH=60 unchanged'!F219</f>
        <v>3696.2945087936532</v>
      </c>
      <c r="H219">
        <f>Portfolio!B$7*'CurrentPor-LH=60 unchanged'!J219</f>
        <v>2148.0998964419859</v>
      </c>
      <c r="I219">
        <f t="shared" si="6"/>
        <v>96493.537342205425</v>
      </c>
      <c r="J219">
        <f t="shared" si="7"/>
        <v>0</v>
      </c>
    </row>
    <row r="220" spans="1:10">
      <c r="A220" s="1">
        <v>45777</v>
      </c>
      <c r="B220">
        <f>(3/(1+('CurrentPor-LH=60 unchanged'!C220)/100)+103/POWER(1+('CurrentPor-LH=60 unchanged'!D220)/100,2))*100</f>
        <v>9707.5857774288397</v>
      </c>
      <c r="C220">
        <f>(3/(1+('CurrentPor-LH=60 unchanged'!C220+'CurrentPor-LH=60 unchanged'!G220)/100)+103/POWER(1+('CurrentPor-LH=60 unchanged'!D220+'CurrentPor-LH=60 unchanged'!G220)/100,2))*100</f>
        <v>9614.9673582483465</v>
      </c>
      <c r="D220">
        <f>(3/(1+('CurrentPor-LH=60 unchanged'!C220+'CurrentPor-LH=60 unchanged'!H220)/100)+103/POWER(1+('CurrentPor-LH=60 unchanged'!D220+'CurrentPor-LH=60 unchanged'!H220)/100,2))*100</f>
        <v>9601.2395558122898</v>
      </c>
      <c r="E220">
        <f>(3/(1+('CurrentPor-LH=60 unchanged'!C220+'CurrentPor-LH=60 unchanged'!I220)/100)+103/POWER(1+('CurrentPor-LH=60 unchanged'!D220+'CurrentPor-LH=60 unchanged'!I220)/100,2))*100</f>
        <v>9581.4547115644182</v>
      </c>
      <c r="F220">
        <f>Portfolio!B$5*'CurrentPor-LH=60 unchanged'!E220</f>
        <v>52143.895533915893</v>
      </c>
      <c r="G220">
        <f>Portfolio!B$6*'CurrentPor-LH=60 unchanged'!F220</f>
        <v>3696.2945087936532</v>
      </c>
      <c r="H220">
        <f>Portfolio!B$7*'CurrentPor-LH=60 unchanged'!J220</f>
        <v>2148.0998964419859</v>
      </c>
      <c r="I220">
        <f t="shared" si="6"/>
        <v>96493.537342205425</v>
      </c>
      <c r="J220">
        <f t="shared" si="7"/>
        <v>0</v>
      </c>
    </row>
    <row r="221" spans="1:10">
      <c r="A221" s="1">
        <v>45778</v>
      </c>
      <c r="B221">
        <f>(3/(1+('CurrentPor-LH=60 unchanged'!C221)/100)+103/POWER(1+('CurrentPor-LH=60 unchanged'!D221)/100,2))*100</f>
        <v>9707.5857774288397</v>
      </c>
      <c r="C221">
        <f>(3/(1+('CurrentPor-LH=60 unchanged'!C221+'CurrentPor-LH=60 unchanged'!G221)/100)+103/POWER(1+('CurrentPor-LH=60 unchanged'!D221+'CurrentPor-LH=60 unchanged'!G221)/100,2))*100</f>
        <v>9614.9673582483465</v>
      </c>
      <c r="D221">
        <f>(3/(1+('CurrentPor-LH=60 unchanged'!C221+'CurrentPor-LH=60 unchanged'!H221)/100)+103/POWER(1+('CurrentPor-LH=60 unchanged'!D221+'CurrentPor-LH=60 unchanged'!H221)/100,2))*100</f>
        <v>9601.2395558122898</v>
      </c>
      <c r="E221">
        <f>(3/(1+('CurrentPor-LH=60 unchanged'!C221+'CurrentPor-LH=60 unchanged'!I221)/100)+103/POWER(1+('CurrentPor-LH=60 unchanged'!D221+'CurrentPor-LH=60 unchanged'!I221)/100,2))*100</f>
        <v>9581.4547115644182</v>
      </c>
      <c r="F221">
        <f>Portfolio!B$5*'CurrentPor-LH=60 unchanged'!E221</f>
        <v>52143.895533915893</v>
      </c>
      <c r="G221">
        <f>Portfolio!B$6*'CurrentPor-LH=60 unchanged'!F221</f>
        <v>3696.2945087936532</v>
      </c>
      <c r="H221">
        <f>Portfolio!B$7*'CurrentPor-LH=60 unchanged'!J221</f>
        <v>2148.0998964419859</v>
      </c>
      <c r="I221">
        <f t="shared" si="6"/>
        <v>96493.537342205425</v>
      </c>
      <c r="J221">
        <f t="shared" si="7"/>
        <v>0</v>
      </c>
    </row>
    <row r="222" spans="1:10">
      <c r="A222" s="1">
        <v>45779</v>
      </c>
      <c r="B222">
        <f>(3/(1+('CurrentPor-LH=60 unchanged'!C222)/100)+103/POWER(1+('CurrentPor-LH=60 unchanged'!D222)/100,2))*100</f>
        <v>9707.5857774288397</v>
      </c>
      <c r="C222">
        <f>(3/(1+('CurrentPor-LH=60 unchanged'!C222+'CurrentPor-LH=60 unchanged'!G222)/100)+103/POWER(1+('CurrentPor-LH=60 unchanged'!D222+'CurrentPor-LH=60 unchanged'!G222)/100,2))*100</f>
        <v>9614.9673582483465</v>
      </c>
      <c r="D222">
        <f>(3/(1+('CurrentPor-LH=60 unchanged'!C222+'CurrentPor-LH=60 unchanged'!H222)/100)+103/POWER(1+('CurrentPor-LH=60 unchanged'!D222+'CurrentPor-LH=60 unchanged'!H222)/100,2))*100</f>
        <v>9601.2395558122898</v>
      </c>
      <c r="E222">
        <f>(3/(1+('CurrentPor-LH=60 unchanged'!C222+'CurrentPor-LH=60 unchanged'!I222)/100)+103/POWER(1+('CurrentPor-LH=60 unchanged'!D222+'CurrentPor-LH=60 unchanged'!I222)/100,2))*100</f>
        <v>9581.4547115644182</v>
      </c>
      <c r="F222">
        <f>Portfolio!B$5*'CurrentPor-LH=60 unchanged'!E222</f>
        <v>52143.895533915893</v>
      </c>
      <c r="G222">
        <f>Portfolio!B$6*'CurrentPor-LH=60 unchanged'!F222</f>
        <v>3696.2945087936532</v>
      </c>
      <c r="H222">
        <f>Portfolio!B$7*'CurrentPor-LH=60 unchanged'!J222</f>
        <v>2148.0998964419859</v>
      </c>
      <c r="I222">
        <f t="shared" si="6"/>
        <v>96493.537342205425</v>
      </c>
      <c r="J222">
        <f t="shared" si="7"/>
        <v>0</v>
      </c>
    </row>
    <row r="223" spans="1:10">
      <c r="A223" s="1">
        <v>45782</v>
      </c>
      <c r="B223">
        <f>(3/(1+('CurrentPor-LH=60 unchanged'!C223)/100)+103/POWER(1+('CurrentPor-LH=60 unchanged'!D223)/100,2))*100</f>
        <v>9707.5857774288397</v>
      </c>
      <c r="C223">
        <f>(3/(1+('CurrentPor-LH=60 unchanged'!C223+'CurrentPor-LH=60 unchanged'!G223)/100)+103/POWER(1+('CurrentPor-LH=60 unchanged'!D223+'CurrentPor-LH=60 unchanged'!G223)/100,2))*100</f>
        <v>9614.9673582483465</v>
      </c>
      <c r="D223">
        <f>(3/(1+('CurrentPor-LH=60 unchanged'!C223+'CurrentPor-LH=60 unchanged'!H223)/100)+103/POWER(1+('CurrentPor-LH=60 unchanged'!D223+'CurrentPor-LH=60 unchanged'!H223)/100,2))*100</f>
        <v>9601.2395558122898</v>
      </c>
      <c r="E223">
        <f>(3/(1+('CurrentPor-LH=60 unchanged'!C223+'CurrentPor-LH=60 unchanged'!I223)/100)+103/POWER(1+('CurrentPor-LH=60 unchanged'!D223+'CurrentPor-LH=60 unchanged'!I223)/100,2))*100</f>
        <v>9581.4547115644182</v>
      </c>
      <c r="F223">
        <f>Portfolio!B$5*'CurrentPor-LH=60 unchanged'!E223</f>
        <v>52143.895533915893</v>
      </c>
      <c r="G223">
        <f>Portfolio!B$6*'CurrentPor-LH=60 unchanged'!F223</f>
        <v>3696.2945087936532</v>
      </c>
      <c r="H223">
        <f>Portfolio!B$7*'CurrentPor-LH=60 unchanged'!J223</f>
        <v>2148.0998964419859</v>
      </c>
      <c r="I223">
        <f t="shared" si="6"/>
        <v>96493.537342205425</v>
      </c>
      <c r="J223">
        <f t="shared" si="7"/>
        <v>0</v>
      </c>
    </row>
    <row r="224" spans="1:10">
      <c r="A224" s="1">
        <v>45783</v>
      </c>
      <c r="B224">
        <f>(3/(1+('CurrentPor-LH=60 unchanged'!C224)/100)+103/POWER(1+('CurrentPor-LH=60 unchanged'!D224)/100,2))*100</f>
        <v>9707.5857774288397</v>
      </c>
      <c r="C224">
        <f>(3/(1+('CurrentPor-LH=60 unchanged'!C224+'CurrentPor-LH=60 unchanged'!G224)/100)+103/POWER(1+('CurrentPor-LH=60 unchanged'!D224+'CurrentPor-LH=60 unchanged'!G224)/100,2))*100</f>
        <v>9614.9673582483465</v>
      </c>
      <c r="D224">
        <f>(3/(1+('CurrentPor-LH=60 unchanged'!C224+'CurrentPor-LH=60 unchanged'!H224)/100)+103/POWER(1+('CurrentPor-LH=60 unchanged'!D224+'CurrentPor-LH=60 unchanged'!H224)/100,2))*100</f>
        <v>9601.2395558122898</v>
      </c>
      <c r="E224">
        <f>(3/(1+('CurrentPor-LH=60 unchanged'!C224+'CurrentPor-LH=60 unchanged'!I224)/100)+103/POWER(1+('CurrentPor-LH=60 unchanged'!D224+'CurrentPor-LH=60 unchanged'!I224)/100,2))*100</f>
        <v>9581.4547115644182</v>
      </c>
      <c r="F224">
        <f>Portfolio!B$5*'CurrentPor-LH=60 unchanged'!E224</f>
        <v>52143.895533915893</v>
      </c>
      <c r="G224">
        <f>Portfolio!B$6*'CurrentPor-LH=60 unchanged'!F224</f>
        <v>3696.2945087936532</v>
      </c>
      <c r="H224">
        <f>Portfolio!B$7*'CurrentPor-LH=60 unchanged'!J224</f>
        <v>2148.0998964419859</v>
      </c>
      <c r="I224">
        <f t="shared" si="6"/>
        <v>96493.537342205425</v>
      </c>
      <c r="J224">
        <f t="shared" si="7"/>
        <v>0</v>
      </c>
    </row>
    <row r="225" spans="1:10">
      <c r="A225" s="1">
        <v>45784</v>
      </c>
      <c r="B225">
        <f>(3/(1+('CurrentPor-LH=60 unchanged'!C225)/100)+103/POWER(1+('CurrentPor-LH=60 unchanged'!D225)/100,2))*100</f>
        <v>9707.5857774288397</v>
      </c>
      <c r="C225">
        <f>(3/(1+('CurrentPor-LH=60 unchanged'!C225+'CurrentPor-LH=60 unchanged'!G225)/100)+103/POWER(1+('CurrentPor-LH=60 unchanged'!D225+'CurrentPor-LH=60 unchanged'!G225)/100,2))*100</f>
        <v>9614.9673582483465</v>
      </c>
      <c r="D225">
        <f>(3/(1+('CurrentPor-LH=60 unchanged'!C225+'CurrentPor-LH=60 unchanged'!H225)/100)+103/POWER(1+('CurrentPor-LH=60 unchanged'!D225+'CurrentPor-LH=60 unchanged'!H225)/100,2))*100</f>
        <v>9601.2395558122898</v>
      </c>
      <c r="E225">
        <f>(3/(1+('CurrentPor-LH=60 unchanged'!C225+'CurrentPor-LH=60 unchanged'!I225)/100)+103/POWER(1+('CurrentPor-LH=60 unchanged'!D225+'CurrentPor-LH=60 unchanged'!I225)/100,2))*100</f>
        <v>9581.4547115644182</v>
      </c>
      <c r="F225">
        <f>Portfolio!B$5*'CurrentPor-LH=60 unchanged'!E225</f>
        <v>52143.895533915893</v>
      </c>
      <c r="G225">
        <f>Portfolio!B$6*'CurrentPor-LH=60 unchanged'!F225</f>
        <v>3696.2945087936532</v>
      </c>
      <c r="H225">
        <f>Portfolio!B$7*'CurrentPor-LH=60 unchanged'!J225</f>
        <v>2148.0998964419859</v>
      </c>
      <c r="I225">
        <f t="shared" si="6"/>
        <v>96493.537342205425</v>
      </c>
      <c r="J225">
        <f t="shared" si="7"/>
        <v>0</v>
      </c>
    </row>
    <row r="226" spans="1:10">
      <c r="A226" s="1">
        <v>45785</v>
      </c>
      <c r="B226">
        <f>(3/(1+('CurrentPor-LH=60 unchanged'!C226)/100)+103/POWER(1+('CurrentPor-LH=60 unchanged'!D226)/100,2))*100</f>
        <v>9707.5857774288397</v>
      </c>
      <c r="C226">
        <f>(3/(1+('CurrentPor-LH=60 unchanged'!C226+'CurrentPor-LH=60 unchanged'!G226)/100)+103/POWER(1+('CurrentPor-LH=60 unchanged'!D226+'CurrentPor-LH=60 unchanged'!G226)/100,2))*100</f>
        <v>9614.9673582483465</v>
      </c>
      <c r="D226">
        <f>(3/(1+('CurrentPor-LH=60 unchanged'!C226+'CurrentPor-LH=60 unchanged'!H226)/100)+103/POWER(1+('CurrentPor-LH=60 unchanged'!D226+'CurrentPor-LH=60 unchanged'!H226)/100,2))*100</f>
        <v>9601.2395558122898</v>
      </c>
      <c r="E226">
        <f>(3/(1+('CurrentPor-LH=60 unchanged'!C226+'CurrentPor-LH=60 unchanged'!I226)/100)+103/POWER(1+('CurrentPor-LH=60 unchanged'!D226+'CurrentPor-LH=60 unchanged'!I226)/100,2))*100</f>
        <v>9581.4547115644182</v>
      </c>
      <c r="F226">
        <f>Portfolio!B$5*'CurrentPor-LH=60 unchanged'!E226</f>
        <v>52143.895533915893</v>
      </c>
      <c r="G226">
        <f>Portfolio!B$6*'CurrentPor-LH=60 unchanged'!F226</f>
        <v>3696.2945087936532</v>
      </c>
      <c r="H226">
        <f>Portfolio!B$7*'CurrentPor-LH=60 unchanged'!J226</f>
        <v>2148.0998964419859</v>
      </c>
      <c r="I226">
        <f t="shared" si="6"/>
        <v>96493.537342205425</v>
      </c>
      <c r="J226">
        <f t="shared" si="7"/>
        <v>0</v>
      </c>
    </row>
    <row r="227" spans="1:10">
      <c r="A227" s="1">
        <v>45786</v>
      </c>
      <c r="B227">
        <f>(3/(1+('CurrentPor-LH=60 unchanged'!C227)/100)+103/POWER(1+('CurrentPor-LH=60 unchanged'!D227)/100,2))*100</f>
        <v>9707.5857774288397</v>
      </c>
      <c r="C227">
        <f>(3/(1+('CurrentPor-LH=60 unchanged'!C227+'CurrentPor-LH=60 unchanged'!G227)/100)+103/POWER(1+('CurrentPor-LH=60 unchanged'!D227+'CurrentPor-LH=60 unchanged'!G227)/100,2))*100</f>
        <v>9614.9673582483465</v>
      </c>
      <c r="D227">
        <f>(3/(1+('CurrentPor-LH=60 unchanged'!C227+'CurrentPor-LH=60 unchanged'!H227)/100)+103/POWER(1+('CurrentPor-LH=60 unchanged'!D227+'CurrentPor-LH=60 unchanged'!H227)/100,2))*100</f>
        <v>9601.2395558122898</v>
      </c>
      <c r="E227">
        <f>(3/(1+('CurrentPor-LH=60 unchanged'!C227+'CurrentPor-LH=60 unchanged'!I227)/100)+103/POWER(1+('CurrentPor-LH=60 unchanged'!D227+'CurrentPor-LH=60 unchanged'!I227)/100,2))*100</f>
        <v>9581.4547115644182</v>
      </c>
      <c r="F227">
        <f>Portfolio!B$5*'CurrentPor-LH=60 unchanged'!E227</f>
        <v>52143.895533915893</v>
      </c>
      <c r="G227">
        <f>Portfolio!B$6*'CurrentPor-LH=60 unchanged'!F227</f>
        <v>3696.2945087936532</v>
      </c>
      <c r="H227">
        <f>Portfolio!B$7*'CurrentPor-LH=60 unchanged'!J227</f>
        <v>2148.0998964419859</v>
      </c>
      <c r="I227">
        <f t="shared" si="6"/>
        <v>96493.537342205425</v>
      </c>
      <c r="J227">
        <f t="shared" si="7"/>
        <v>0</v>
      </c>
    </row>
    <row r="228" spans="1:10">
      <c r="A228" s="1">
        <v>45789</v>
      </c>
      <c r="B228">
        <f>(3/(1+('CurrentPor-LH=60 unchanged'!C228)/100)+103/POWER(1+('CurrentPor-LH=60 unchanged'!D228)/100,2))*100</f>
        <v>9707.5857774288397</v>
      </c>
      <c r="C228">
        <f>(3/(1+('CurrentPor-LH=60 unchanged'!C228+'CurrentPor-LH=60 unchanged'!G228)/100)+103/POWER(1+('CurrentPor-LH=60 unchanged'!D228+'CurrentPor-LH=60 unchanged'!G228)/100,2))*100</f>
        <v>9614.9673582483465</v>
      </c>
      <c r="D228">
        <f>(3/(1+('CurrentPor-LH=60 unchanged'!C228+'CurrentPor-LH=60 unchanged'!H228)/100)+103/POWER(1+('CurrentPor-LH=60 unchanged'!D228+'CurrentPor-LH=60 unchanged'!H228)/100,2))*100</f>
        <v>9601.2395558122898</v>
      </c>
      <c r="E228">
        <f>(3/(1+('CurrentPor-LH=60 unchanged'!C228+'CurrentPor-LH=60 unchanged'!I228)/100)+103/POWER(1+('CurrentPor-LH=60 unchanged'!D228+'CurrentPor-LH=60 unchanged'!I228)/100,2))*100</f>
        <v>9581.4547115644182</v>
      </c>
      <c r="F228">
        <f>Portfolio!B$5*'CurrentPor-LH=60 unchanged'!E228</f>
        <v>52143.895533915893</v>
      </c>
      <c r="G228">
        <f>Portfolio!B$6*'CurrentPor-LH=60 unchanged'!F228</f>
        <v>3696.2945087936532</v>
      </c>
      <c r="H228">
        <f>Portfolio!B$7*'CurrentPor-LH=60 unchanged'!J228</f>
        <v>2148.0998964419859</v>
      </c>
      <c r="I228">
        <f t="shared" si="6"/>
        <v>96493.537342205425</v>
      </c>
      <c r="J228">
        <f t="shared" si="7"/>
        <v>0</v>
      </c>
    </row>
    <row r="229" spans="1:10">
      <c r="A229" s="1">
        <v>45790</v>
      </c>
      <c r="B229">
        <f>(3/(1+('CurrentPor-LH=60 unchanged'!C229)/100)+103/POWER(1+('CurrentPor-LH=60 unchanged'!D229)/100,2))*100</f>
        <v>9707.5857774288397</v>
      </c>
      <c r="C229">
        <f>(3/(1+('CurrentPor-LH=60 unchanged'!C229+'CurrentPor-LH=60 unchanged'!G229)/100)+103/POWER(1+('CurrentPor-LH=60 unchanged'!D229+'CurrentPor-LH=60 unchanged'!G229)/100,2))*100</f>
        <v>9614.9673582483465</v>
      </c>
      <c r="D229">
        <f>(3/(1+('CurrentPor-LH=60 unchanged'!C229+'CurrentPor-LH=60 unchanged'!H229)/100)+103/POWER(1+('CurrentPor-LH=60 unchanged'!D229+'CurrentPor-LH=60 unchanged'!H229)/100,2))*100</f>
        <v>9601.2395558122898</v>
      </c>
      <c r="E229">
        <f>(3/(1+('CurrentPor-LH=60 unchanged'!C229+'CurrentPor-LH=60 unchanged'!I229)/100)+103/POWER(1+('CurrentPor-LH=60 unchanged'!D229+'CurrentPor-LH=60 unchanged'!I229)/100,2))*100</f>
        <v>9581.4547115644182</v>
      </c>
      <c r="F229">
        <f>Portfolio!B$5*'CurrentPor-LH=60 unchanged'!E229</f>
        <v>52143.895533915893</v>
      </c>
      <c r="G229">
        <f>Portfolio!B$6*'CurrentPor-LH=60 unchanged'!F229</f>
        <v>3696.2945087936532</v>
      </c>
      <c r="H229">
        <f>Portfolio!B$7*'CurrentPor-LH=60 unchanged'!J229</f>
        <v>2148.0998964419859</v>
      </c>
      <c r="I229">
        <f t="shared" si="6"/>
        <v>96493.537342205425</v>
      </c>
      <c r="J229">
        <f t="shared" si="7"/>
        <v>0</v>
      </c>
    </row>
    <row r="230" spans="1:10">
      <c r="A230" s="1">
        <v>45791</v>
      </c>
      <c r="B230">
        <f>(3/(1+('CurrentPor-LH=60 unchanged'!C230)/100)+103/POWER(1+('CurrentPor-LH=60 unchanged'!D230)/100,2))*100</f>
        <v>9707.5857774288397</v>
      </c>
      <c r="C230">
        <f>(3/(1+('CurrentPor-LH=60 unchanged'!C230+'CurrentPor-LH=60 unchanged'!G230)/100)+103/POWER(1+('CurrentPor-LH=60 unchanged'!D230+'CurrentPor-LH=60 unchanged'!G230)/100,2))*100</f>
        <v>9614.9673582483465</v>
      </c>
      <c r="D230">
        <f>(3/(1+('CurrentPor-LH=60 unchanged'!C230+'CurrentPor-LH=60 unchanged'!H230)/100)+103/POWER(1+('CurrentPor-LH=60 unchanged'!D230+'CurrentPor-LH=60 unchanged'!H230)/100,2))*100</f>
        <v>9601.2395558122898</v>
      </c>
      <c r="E230">
        <f>(3/(1+('CurrentPor-LH=60 unchanged'!C230+'CurrentPor-LH=60 unchanged'!I230)/100)+103/POWER(1+('CurrentPor-LH=60 unchanged'!D230+'CurrentPor-LH=60 unchanged'!I230)/100,2))*100</f>
        <v>9581.4547115644182</v>
      </c>
      <c r="F230">
        <f>Portfolio!B$5*'CurrentPor-LH=60 unchanged'!E230</f>
        <v>52143.895533915893</v>
      </c>
      <c r="G230">
        <f>Portfolio!B$6*'CurrentPor-LH=60 unchanged'!F230</f>
        <v>3696.2945087936532</v>
      </c>
      <c r="H230">
        <f>Portfolio!B$7*'CurrentPor-LH=60 unchanged'!J230</f>
        <v>2148.0998964419859</v>
      </c>
      <c r="I230">
        <f t="shared" si="6"/>
        <v>96493.537342205425</v>
      </c>
      <c r="J230">
        <f t="shared" si="7"/>
        <v>0</v>
      </c>
    </row>
    <row r="231" spans="1:10">
      <c r="A231" s="1">
        <v>45792</v>
      </c>
      <c r="B231">
        <f>(3/(1+('CurrentPor-LH=60 unchanged'!C231)/100)+103/POWER(1+('CurrentPor-LH=60 unchanged'!D231)/100,2))*100</f>
        <v>9707.5857774288397</v>
      </c>
      <c r="C231">
        <f>(3/(1+('CurrentPor-LH=60 unchanged'!C231+'CurrentPor-LH=60 unchanged'!G231)/100)+103/POWER(1+('CurrentPor-LH=60 unchanged'!D231+'CurrentPor-LH=60 unchanged'!G231)/100,2))*100</f>
        <v>9614.9673582483465</v>
      </c>
      <c r="D231">
        <f>(3/(1+('CurrentPor-LH=60 unchanged'!C231+'CurrentPor-LH=60 unchanged'!H231)/100)+103/POWER(1+('CurrentPor-LH=60 unchanged'!D231+'CurrentPor-LH=60 unchanged'!H231)/100,2))*100</f>
        <v>9601.2395558122898</v>
      </c>
      <c r="E231">
        <f>(3/(1+('CurrentPor-LH=60 unchanged'!C231+'CurrentPor-LH=60 unchanged'!I231)/100)+103/POWER(1+('CurrentPor-LH=60 unchanged'!D231+'CurrentPor-LH=60 unchanged'!I231)/100,2))*100</f>
        <v>9581.4547115644182</v>
      </c>
      <c r="F231">
        <f>Portfolio!B$5*'CurrentPor-LH=60 unchanged'!E231</f>
        <v>52143.895533915893</v>
      </c>
      <c r="G231">
        <f>Portfolio!B$6*'CurrentPor-LH=60 unchanged'!F231</f>
        <v>3696.2945087936532</v>
      </c>
      <c r="H231">
        <f>Portfolio!B$7*'CurrentPor-LH=60 unchanged'!J231</f>
        <v>2148.0998964419859</v>
      </c>
      <c r="I231">
        <f t="shared" si="6"/>
        <v>96493.537342205425</v>
      </c>
      <c r="J231">
        <f t="shared" si="7"/>
        <v>0</v>
      </c>
    </row>
    <row r="232" spans="1:10">
      <c r="A232" s="1">
        <v>45793</v>
      </c>
      <c r="B232">
        <f>(3/(1+('CurrentPor-LH=60 unchanged'!C232)/100)+103/POWER(1+('CurrentPor-LH=60 unchanged'!D232)/100,2))*100</f>
        <v>9707.5857774288397</v>
      </c>
      <c r="C232">
        <f>(3/(1+('CurrentPor-LH=60 unchanged'!C232+'CurrentPor-LH=60 unchanged'!G232)/100)+103/POWER(1+('CurrentPor-LH=60 unchanged'!D232+'CurrentPor-LH=60 unchanged'!G232)/100,2))*100</f>
        <v>9614.9673582483465</v>
      </c>
      <c r="D232">
        <f>(3/(1+('CurrentPor-LH=60 unchanged'!C232+'CurrentPor-LH=60 unchanged'!H232)/100)+103/POWER(1+('CurrentPor-LH=60 unchanged'!D232+'CurrentPor-LH=60 unchanged'!H232)/100,2))*100</f>
        <v>9601.2395558122898</v>
      </c>
      <c r="E232">
        <f>(3/(1+('CurrentPor-LH=60 unchanged'!C232+'CurrentPor-LH=60 unchanged'!I232)/100)+103/POWER(1+('CurrentPor-LH=60 unchanged'!D232+'CurrentPor-LH=60 unchanged'!I232)/100,2))*100</f>
        <v>9581.4547115644182</v>
      </c>
      <c r="F232">
        <f>Portfolio!B$5*'CurrentPor-LH=60 unchanged'!E232</f>
        <v>52143.895533915893</v>
      </c>
      <c r="G232">
        <f>Portfolio!B$6*'CurrentPor-LH=60 unchanged'!F232</f>
        <v>3696.2945087936532</v>
      </c>
      <c r="H232">
        <f>Portfolio!B$7*'CurrentPor-LH=60 unchanged'!J232</f>
        <v>2148.0998964419859</v>
      </c>
      <c r="I232">
        <f t="shared" si="6"/>
        <v>96493.537342205425</v>
      </c>
      <c r="J232">
        <f t="shared" si="7"/>
        <v>0</v>
      </c>
    </row>
    <row r="233" spans="1:10">
      <c r="A233" s="1">
        <v>45796</v>
      </c>
      <c r="B233">
        <f>(3/(1+('CurrentPor-LH=60 unchanged'!C233)/100)+103/POWER(1+('CurrentPor-LH=60 unchanged'!D233)/100,2))*100</f>
        <v>9707.5857774288397</v>
      </c>
      <c r="C233">
        <f>(3/(1+('CurrentPor-LH=60 unchanged'!C233+'CurrentPor-LH=60 unchanged'!G233)/100)+103/POWER(1+('CurrentPor-LH=60 unchanged'!D233+'CurrentPor-LH=60 unchanged'!G233)/100,2))*100</f>
        <v>9614.9673582483465</v>
      </c>
      <c r="D233">
        <f>(3/(1+('CurrentPor-LH=60 unchanged'!C233+'CurrentPor-LH=60 unchanged'!H233)/100)+103/POWER(1+('CurrentPor-LH=60 unchanged'!D233+'CurrentPor-LH=60 unchanged'!H233)/100,2))*100</f>
        <v>9601.2395558122898</v>
      </c>
      <c r="E233">
        <f>(3/(1+('CurrentPor-LH=60 unchanged'!C233+'CurrentPor-LH=60 unchanged'!I233)/100)+103/POWER(1+('CurrentPor-LH=60 unchanged'!D233+'CurrentPor-LH=60 unchanged'!I233)/100,2))*100</f>
        <v>9581.4547115644182</v>
      </c>
      <c r="F233">
        <f>Portfolio!B$5*'CurrentPor-LH=60 unchanged'!E233</f>
        <v>52143.895533915893</v>
      </c>
      <c r="G233">
        <f>Portfolio!B$6*'CurrentPor-LH=60 unchanged'!F233</f>
        <v>3696.2945087936532</v>
      </c>
      <c r="H233">
        <f>Portfolio!B$7*'CurrentPor-LH=60 unchanged'!J233</f>
        <v>2148.0998964419859</v>
      </c>
      <c r="I233">
        <f t="shared" si="6"/>
        <v>96493.537342205425</v>
      </c>
      <c r="J233">
        <f t="shared" si="7"/>
        <v>0</v>
      </c>
    </row>
    <row r="234" spans="1:10">
      <c r="A234" s="1">
        <v>45797</v>
      </c>
      <c r="B234">
        <f>(3/(1+('CurrentPor-LH=60 unchanged'!C234)/100)+103/POWER(1+('CurrentPor-LH=60 unchanged'!D234)/100,2))*100</f>
        <v>9707.5857774288397</v>
      </c>
      <c r="C234">
        <f>(3/(1+('CurrentPor-LH=60 unchanged'!C234+'CurrentPor-LH=60 unchanged'!G234)/100)+103/POWER(1+('CurrentPor-LH=60 unchanged'!D234+'CurrentPor-LH=60 unchanged'!G234)/100,2))*100</f>
        <v>9614.9673582483465</v>
      </c>
      <c r="D234">
        <f>(3/(1+('CurrentPor-LH=60 unchanged'!C234+'CurrentPor-LH=60 unchanged'!H234)/100)+103/POWER(1+('CurrentPor-LH=60 unchanged'!D234+'CurrentPor-LH=60 unchanged'!H234)/100,2))*100</f>
        <v>9601.2395558122898</v>
      </c>
      <c r="E234">
        <f>(3/(1+('CurrentPor-LH=60 unchanged'!C234+'CurrentPor-LH=60 unchanged'!I234)/100)+103/POWER(1+('CurrentPor-LH=60 unchanged'!D234+'CurrentPor-LH=60 unchanged'!I234)/100,2))*100</f>
        <v>9581.4547115644182</v>
      </c>
      <c r="F234">
        <f>Portfolio!B$5*'CurrentPor-LH=60 unchanged'!E234</f>
        <v>52143.895533915893</v>
      </c>
      <c r="G234">
        <f>Portfolio!B$6*'CurrentPor-LH=60 unchanged'!F234</f>
        <v>3696.2945087936532</v>
      </c>
      <c r="H234">
        <f>Portfolio!B$7*'CurrentPor-LH=60 unchanged'!J234</f>
        <v>2148.0998964419859</v>
      </c>
      <c r="I234">
        <f t="shared" si="6"/>
        <v>96493.537342205425</v>
      </c>
      <c r="J234">
        <f t="shared" si="7"/>
        <v>0</v>
      </c>
    </row>
    <row r="235" spans="1:10">
      <c r="A235" s="1">
        <v>45798</v>
      </c>
      <c r="B235">
        <f>(3/(1+('CurrentPor-LH=60 unchanged'!C235)/100)+103/POWER(1+('CurrentPor-LH=60 unchanged'!D235)/100,2))*100</f>
        <v>9707.5857774288397</v>
      </c>
      <c r="C235">
        <f>(3/(1+('CurrentPor-LH=60 unchanged'!C235+'CurrentPor-LH=60 unchanged'!G235)/100)+103/POWER(1+('CurrentPor-LH=60 unchanged'!D235+'CurrentPor-LH=60 unchanged'!G235)/100,2))*100</f>
        <v>9614.9673582483465</v>
      </c>
      <c r="D235">
        <f>(3/(1+('CurrentPor-LH=60 unchanged'!C235+'CurrentPor-LH=60 unchanged'!H235)/100)+103/POWER(1+('CurrentPor-LH=60 unchanged'!D235+'CurrentPor-LH=60 unchanged'!H235)/100,2))*100</f>
        <v>9601.2395558122898</v>
      </c>
      <c r="E235">
        <f>(3/(1+('CurrentPor-LH=60 unchanged'!C235+'CurrentPor-LH=60 unchanged'!I235)/100)+103/POWER(1+('CurrentPor-LH=60 unchanged'!D235+'CurrentPor-LH=60 unchanged'!I235)/100,2))*100</f>
        <v>9581.4547115644182</v>
      </c>
      <c r="F235">
        <f>Portfolio!B$5*'CurrentPor-LH=60 unchanged'!E235</f>
        <v>52143.895533915893</v>
      </c>
      <c r="G235">
        <f>Portfolio!B$6*'CurrentPor-LH=60 unchanged'!F235</f>
        <v>3696.2945087936532</v>
      </c>
      <c r="H235">
        <f>Portfolio!B$7*'CurrentPor-LH=60 unchanged'!J235</f>
        <v>2148.0998964419859</v>
      </c>
      <c r="I235">
        <f t="shared" si="6"/>
        <v>96493.537342205425</v>
      </c>
      <c r="J235">
        <f t="shared" si="7"/>
        <v>0</v>
      </c>
    </row>
    <row r="236" spans="1:10">
      <c r="A236" s="1">
        <v>45799</v>
      </c>
      <c r="B236">
        <f>(3/(1+('CurrentPor-LH=60 unchanged'!C236)/100)+103/POWER(1+('CurrentPor-LH=60 unchanged'!D236)/100,2))*100</f>
        <v>9707.5857774288397</v>
      </c>
      <c r="C236">
        <f>(3/(1+('CurrentPor-LH=60 unchanged'!C236+'CurrentPor-LH=60 unchanged'!G236)/100)+103/POWER(1+('CurrentPor-LH=60 unchanged'!D236+'CurrentPor-LH=60 unchanged'!G236)/100,2))*100</f>
        <v>9614.9673582483465</v>
      </c>
      <c r="D236">
        <f>(3/(1+('CurrentPor-LH=60 unchanged'!C236+'CurrentPor-LH=60 unchanged'!H236)/100)+103/POWER(1+('CurrentPor-LH=60 unchanged'!D236+'CurrentPor-LH=60 unchanged'!H236)/100,2))*100</f>
        <v>9601.2395558122898</v>
      </c>
      <c r="E236">
        <f>(3/(1+('CurrentPor-LH=60 unchanged'!C236+'CurrentPor-LH=60 unchanged'!I236)/100)+103/POWER(1+('CurrentPor-LH=60 unchanged'!D236+'CurrentPor-LH=60 unchanged'!I236)/100,2))*100</f>
        <v>9581.4547115644182</v>
      </c>
      <c r="F236">
        <f>Portfolio!B$5*'CurrentPor-LH=60 unchanged'!E236</f>
        <v>52143.895533915893</v>
      </c>
      <c r="G236">
        <f>Portfolio!B$6*'CurrentPor-LH=60 unchanged'!F236</f>
        <v>3696.2945087936532</v>
      </c>
      <c r="H236">
        <f>Portfolio!B$7*'CurrentPor-LH=60 unchanged'!J236</f>
        <v>2148.0998964419859</v>
      </c>
      <c r="I236">
        <f t="shared" si="6"/>
        <v>96493.537342205425</v>
      </c>
      <c r="J236">
        <f t="shared" si="7"/>
        <v>0</v>
      </c>
    </row>
    <row r="237" spans="1:10">
      <c r="A237" s="1">
        <v>45800</v>
      </c>
      <c r="B237">
        <f>(3/(1+('CurrentPor-LH=60 unchanged'!C237)/100)+103/POWER(1+('CurrentPor-LH=60 unchanged'!D237)/100,2))*100</f>
        <v>9707.5857774288397</v>
      </c>
      <c r="C237">
        <f>(3/(1+('CurrentPor-LH=60 unchanged'!C237+'CurrentPor-LH=60 unchanged'!G237)/100)+103/POWER(1+('CurrentPor-LH=60 unchanged'!D237+'CurrentPor-LH=60 unchanged'!G237)/100,2))*100</f>
        <v>9614.9673582483465</v>
      </c>
      <c r="D237">
        <f>(3/(1+('CurrentPor-LH=60 unchanged'!C237+'CurrentPor-LH=60 unchanged'!H237)/100)+103/POWER(1+('CurrentPor-LH=60 unchanged'!D237+'CurrentPor-LH=60 unchanged'!H237)/100,2))*100</f>
        <v>9601.2395558122898</v>
      </c>
      <c r="E237">
        <f>(3/(1+('CurrentPor-LH=60 unchanged'!C237+'CurrentPor-LH=60 unchanged'!I237)/100)+103/POWER(1+('CurrentPor-LH=60 unchanged'!D237+'CurrentPor-LH=60 unchanged'!I237)/100,2))*100</f>
        <v>9581.4547115644182</v>
      </c>
      <c r="F237">
        <f>Portfolio!B$5*'CurrentPor-LH=60 unchanged'!E237</f>
        <v>52143.895533915893</v>
      </c>
      <c r="G237">
        <f>Portfolio!B$6*'CurrentPor-LH=60 unchanged'!F237</f>
        <v>3696.2945087936532</v>
      </c>
      <c r="H237">
        <f>Portfolio!B$7*'CurrentPor-LH=60 unchanged'!J237</f>
        <v>2148.0998964419859</v>
      </c>
      <c r="I237">
        <f t="shared" si="6"/>
        <v>96493.537342205425</v>
      </c>
      <c r="J237">
        <f t="shared" si="7"/>
        <v>0</v>
      </c>
    </row>
    <row r="238" spans="1:10">
      <c r="A238" s="1">
        <v>45803</v>
      </c>
      <c r="B238">
        <f>(3/(1+('CurrentPor-LH=60 unchanged'!C238)/100)+103/POWER(1+('CurrentPor-LH=60 unchanged'!D238)/100,2))*100</f>
        <v>9707.5857774288397</v>
      </c>
      <c r="C238">
        <f>(3/(1+('CurrentPor-LH=60 unchanged'!C238+'CurrentPor-LH=60 unchanged'!G238)/100)+103/POWER(1+('CurrentPor-LH=60 unchanged'!D238+'CurrentPor-LH=60 unchanged'!G238)/100,2))*100</f>
        <v>9614.9673582483465</v>
      </c>
      <c r="D238">
        <f>(3/(1+('CurrentPor-LH=60 unchanged'!C238+'CurrentPor-LH=60 unchanged'!H238)/100)+103/POWER(1+('CurrentPor-LH=60 unchanged'!D238+'CurrentPor-LH=60 unchanged'!H238)/100,2))*100</f>
        <v>9601.2395558122898</v>
      </c>
      <c r="E238">
        <f>(3/(1+('CurrentPor-LH=60 unchanged'!C238+'CurrentPor-LH=60 unchanged'!I238)/100)+103/POWER(1+('CurrentPor-LH=60 unchanged'!D238+'CurrentPor-LH=60 unchanged'!I238)/100,2))*100</f>
        <v>9581.4547115644182</v>
      </c>
      <c r="F238">
        <f>Portfolio!B$5*'CurrentPor-LH=60 unchanged'!E238</f>
        <v>52143.895533915893</v>
      </c>
      <c r="G238">
        <f>Portfolio!B$6*'CurrentPor-LH=60 unchanged'!F238</f>
        <v>3696.2945087936532</v>
      </c>
      <c r="H238">
        <f>Portfolio!B$7*'CurrentPor-LH=60 unchanged'!J238</f>
        <v>2148.0998964419859</v>
      </c>
      <c r="I238">
        <f t="shared" si="6"/>
        <v>96493.537342205425</v>
      </c>
      <c r="J238">
        <f t="shared" si="7"/>
        <v>0</v>
      </c>
    </row>
    <row r="239" spans="1:10">
      <c r="A239" s="1">
        <v>45804</v>
      </c>
      <c r="B239">
        <f>(3/(1+('CurrentPor-LH=60 unchanged'!C239)/100)+103/POWER(1+('CurrentPor-LH=60 unchanged'!D239)/100,2))*100</f>
        <v>9707.5857774288397</v>
      </c>
      <c r="C239">
        <f>(3/(1+('CurrentPor-LH=60 unchanged'!C239+'CurrentPor-LH=60 unchanged'!G239)/100)+103/POWER(1+('CurrentPor-LH=60 unchanged'!D239+'CurrentPor-LH=60 unchanged'!G239)/100,2))*100</f>
        <v>9614.9673582483465</v>
      </c>
      <c r="D239">
        <f>(3/(1+('CurrentPor-LH=60 unchanged'!C239+'CurrentPor-LH=60 unchanged'!H239)/100)+103/POWER(1+('CurrentPor-LH=60 unchanged'!D239+'CurrentPor-LH=60 unchanged'!H239)/100,2))*100</f>
        <v>9601.2395558122898</v>
      </c>
      <c r="E239">
        <f>(3/(1+('CurrentPor-LH=60 unchanged'!C239+'CurrentPor-LH=60 unchanged'!I239)/100)+103/POWER(1+('CurrentPor-LH=60 unchanged'!D239+'CurrentPor-LH=60 unchanged'!I239)/100,2))*100</f>
        <v>9581.4547115644182</v>
      </c>
      <c r="F239">
        <f>Portfolio!B$5*'CurrentPor-LH=60 unchanged'!E239</f>
        <v>52143.895533915893</v>
      </c>
      <c r="G239">
        <f>Portfolio!B$6*'CurrentPor-LH=60 unchanged'!F239</f>
        <v>3696.2945087936532</v>
      </c>
      <c r="H239">
        <f>Portfolio!B$7*'CurrentPor-LH=60 unchanged'!J239</f>
        <v>2148.0998964419859</v>
      </c>
      <c r="I239">
        <f t="shared" si="6"/>
        <v>96493.537342205425</v>
      </c>
      <c r="J239">
        <f t="shared" si="7"/>
        <v>0</v>
      </c>
    </row>
    <row r="240" spans="1:10">
      <c r="A240" s="1">
        <v>45805</v>
      </c>
      <c r="B240">
        <f>(3/(1+('CurrentPor-LH=60 unchanged'!C240)/100)+103/POWER(1+('CurrentPor-LH=60 unchanged'!D240)/100,2))*100</f>
        <v>9707.5857774288397</v>
      </c>
      <c r="C240">
        <f>(3/(1+('CurrentPor-LH=60 unchanged'!C240+'CurrentPor-LH=60 unchanged'!G240)/100)+103/POWER(1+('CurrentPor-LH=60 unchanged'!D240+'CurrentPor-LH=60 unchanged'!G240)/100,2))*100</f>
        <v>9614.9673582483465</v>
      </c>
      <c r="D240">
        <f>(3/(1+('CurrentPor-LH=60 unchanged'!C240+'CurrentPor-LH=60 unchanged'!H240)/100)+103/POWER(1+('CurrentPor-LH=60 unchanged'!D240+'CurrentPor-LH=60 unchanged'!H240)/100,2))*100</f>
        <v>9601.2395558122898</v>
      </c>
      <c r="E240">
        <f>(3/(1+('CurrentPor-LH=60 unchanged'!C240+'CurrentPor-LH=60 unchanged'!I240)/100)+103/POWER(1+('CurrentPor-LH=60 unchanged'!D240+'CurrentPor-LH=60 unchanged'!I240)/100,2))*100</f>
        <v>9581.4547115644182</v>
      </c>
      <c r="F240">
        <f>Portfolio!B$5*'CurrentPor-LH=60 unchanged'!E240</f>
        <v>52143.895533915893</v>
      </c>
      <c r="G240">
        <f>Portfolio!B$6*'CurrentPor-LH=60 unchanged'!F240</f>
        <v>3696.2945087936532</v>
      </c>
      <c r="H240">
        <f>Portfolio!B$7*'CurrentPor-LH=60 unchanged'!J240</f>
        <v>2148.0998964419859</v>
      </c>
      <c r="I240">
        <f t="shared" si="6"/>
        <v>96493.537342205425</v>
      </c>
      <c r="J240">
        <f t="shared" si="7"/>
        <v>0</v>
      </c>
    </row>
    <row r="241" spans="1:10">
      <c r="A241" s="1">
        <v>45806</v>
      </c>
      <c r="B241">
        <f>(3/(1+('CurrentPor-LH=60 unchanged'!C241)/100)+103/POWER(1+('CurrentPor-LH=60 unchanged'!D241)/100,2))*100</f>
        <v>9707.5857774288397</v>
      </c>
      <c r="C241">
        <f>(3/(1+('CurrentPor-LH=60 unchanged'!C241+'CurrentPor-LH=60 unchanged'!G241)/100)+103/POWER(1+('CurrentPor-LH=60 unchanged'!D241+'CurrentPor-LH=60 unchanged'!G241)/100,2))*100</f>
        <v>9614.9673582483465</v>
      </c>
      <c r="D241">
        <f>(3/(1+('CurrentPor-LH=60 unchanged'!C241+'CurrentPor-LH=60 unchanged'!H241)/100)+103/POWER(1+('CurrentPor-LH=60 unchanged'!D241+'CurrentPor-LH=60 unchanged'!H241)/100,2))*100</f>
        <v>9601.2395558122898</v>
      </c>
      <c r="E241">
        <f>(3/(1+('CurrentPor-LH=60 unchanged'!C241+'CurrentPor-LH=60 unchanged'!I241)/100)+103/POWER(1+('CurrentPor-LH=60 unchanged'!D241+'CurrentPor-LH=60 unchanged'!I241)/100,2))*100</f>
        <v>9581.4547115644182</v>
      </c>
      <c r="F241">
        <f>Portfolio!B$5*'CurrentPor-LH=60 unchanged'!E241</f>
        <v>52143.895533915893</v>
      </c>
      <c r="G241">
        <f>Portfolio!B$6*'CurrentPor-LH=60 unchanged'!F241</f>
        <v>3696.2945087936532</v>
      </c>
      <c r="H241">
        <f>Portfolio!B$7*'CurrentPor-LH=60 unchanged'!J241</f>
        <v>2148.0998964419859</v>
      </c>
      <c r="I241">
        <f t="shared" si="6"/>
        <v>96493.537342205425</v>
      </c>
      <c r="J241">
        <f t="shared" si="7"/>
        <v>0</v>
      </c>
    </row>
    <row r="242" spans="1:10">
      <c r="A242" s="1">
        <v>45807</v>
      </c>
      <c r="B242">
        <f>(3/(1+('CurrentPor-LH=60 unchanged'!C242)/100)+103/POWER(1+('CurrentPor-LH=60 unchanged'!D242)/100,2))*100</f>
        <v>9707.5857774288397</v>
      </c>
      <c r="C242">
        <f>(3/(1+('CurrentPor-LH=60 unchanged'!C242+'CurrentPor-LH=60 unchanged'!G242)/100)+103/POWER(1+('CurrentPor-LH=60 unchanged'!D242+'CurrentPor-LH=60 unchanged'!G242)/100,2))*100</f>
        <v>9614.9673582483465</v>
      </c>
      <c r="D242">
        <f>(3/(1+('CurrentPor-LH=60 unchanged'!C242+'CurrentPor-LH=60 unchanged'!H242)/100)+103/POWER(1+('CurrentPor-LH=60 unchanged'!D242+'CurrentPor-LH=60 unchanged'!H242)/100,2))*100</f>
        <v>9601.2395558122898</v>
      </c>
      <c r="E242">
        <f>(3/(1+('CurrentPor-LH=60 unchanged'!C242+'CurrentPor-LH=60 unchanged'!I242)/100)+103/POWER(1+('CurrentPor-LH=60 unchanged'!D242+'CurrentPor-LH=60 unchanged'!I242)/100,2))*100</f>
        <v>9581.4547115644182</v>
      </c>
      <c r="F242">
        <f>Portfolio!B$5*'CurrentPor-LH=60 unchanged'!E242</f>
        <v>52143.895533915893</v>
      </c>
      <c r="G242">
        <f>Portfolio!B$6*'CurrentPor-LH=60 unchanged'!F242</f>
        <v>3696.2945087936532</v>
      </c>
      <c r="H242">
        <f>Portfolio!B$7*'CurrentPor-LH=60 unchanged'!J242</f>
        <v>2148.0998964419859</v>
      </c>
      <c r="I242">
        <f t="shared" si="6"/>
        <v>96493.537342205425</v>
      </c>
      <c r="J242">
        <f t="shared" si="7"/>
        <v>0</v>
      </c>
    </row>
    <row r="243" spans="1:10">
      <c r="A243" s="1">
        <v>45810</v>
      </c>
      <c r="B243">
        <f>(3/(1+('CurrentPor-LH=60 unchanged'!C243)/100)+103/POWER(1+('CurrentPor-LH=60 unchanged'!D243)/100,2))*100</f>
        <v>9707.5857774288397</v>
      </c>
      <c r="C243">
        <f>(3/(1+('CurrentPor-LH=60 unchanged'!C243+'CurrentPor-LH=60 unchanged'!G243)/100)+103/POWER(1+('CurrentPor-LH=60 unchanged'!D243+'CurrentPor-LH=60 unchanged'!G243)/100,2))*100</f>
        <v>9614.9673582483465</v>
      </c>
      <c r="D243">
        <f>(3/(1+('CurrentPor-LH=60 unchanged'!C243+'CurrentPor-LH=60 unchanged'!H243)/100)+103/POWER(1+('CurrentPor-LH=60 unchanged'!D243+'CurrentPor-LH=60 unchanged'!H243)/100,2))*100</f>
        <v>9601.2395558122898</v>
      </c>
      <c r="E243">
        <f>(3/(1+('CurrentPor-LH=60 unchanged'!C243+'CurrentPor-LH=60 unchanged'!I243)/100)+103/POWER(1+('CurrentPor-LH=60 unchanged'!D243+'CurrentPor-LH=60 unchanged'!I243)/100,2))*100</f>
        <v>9581.4547115644182</v>
      </c>
      <c r="F243">
        <f>Portfolio!B$5*'CurrentPor-LH=60 unchanged'!E243</f>
        <v>52143.895533915893</v>
      </c>
      <c r="G243">
        <f>Portfolio!B$6*'CurrentPor-LH=60 unchanged'!F243</f>
        <v>3696.2945087936532</v>
      </c>
      <c r="H243">
        <f>Portfolio!B$7*'CurrentPor-LH=60 unchanged'!J243</f>
        <v>2148.0998964419859</v>
      </c>
      <c r="I243">
        <f t="shared" si="6"/>
        <v>96493.537342205425</v>
      </c>
      <c r="J243">
        <f t="shared" si="7"/>
        <v>0</v>
      </c>
    </row>
    <row r="244" spans="1:10">
      <c r="A244" s="1">
        <v>45811</v>
      </c>
      <c r="B244">
        <f>(3/(1+('CurrentPor-LH=60 unchanged'!C244)/100)+103/POWER(1+('CurrentPor-LH=60 unchanged'!D244)/100,2))*100</f>
        <v>9707.5857774288397</v>
      </c>
      <c r="C244">
        <f>(3/(1+('CurrentPor-LH=60 unchanged'!C244+'CurrentPor-LH=60 unchanged'!G244)/100)+103/POWER(1+('CurrentPor-LH=60 unchanged'!D244+'CurrentPor-LH=60 unchanged'!G244)/100,2))*100</f>
        <v>9614.9673582483465</v>
      </c>
      <c r="D244">
        <f>(3/(1+('CurrentPor-LH=60 unchanged'!C244+'CurrentPor-LH=60 unchanged'!H244)/100)+103/POWER(1+('CurrentPor-LH=60 unchanged'!D244+'CurrentPor-LH=60 unchanged'!H244)/100,2))*100</f>
        <v>9601.2395558122898</v>
      </c>
      <c r="E244">
        <f>(3/(1+('CurrentPor-LH=60 unchanged'!C244+'CurrentPor-LH=60 unchanged'!I244)/100)+103/POWER(1+('CurrentPor-LH=60 unchanged'!D244+'CurrentPor-LH=60 unchanged'!I244)/100,2))*100</f>
        <v>9581.4547115644182</v>
      </c>
      <c r="F244">
        <f>Portfolio!B$5*'CurrentPor-LH=60 unchanged'!E244</f>
        <v>52143.895533915893</v>
      </c>
      <c r="G244">
        <f>Portfolio!B$6*'CurrentPor-LH=60 unchanged'!F244</f>
        <v>3696.2945087936532</v>
      </c>
      <c r="H244">
        <f>Portfolio!B$7*'CurrentPor-LH=60 unchanged'!J244</f>
        <v>2148.0998964419859</v>
      </c>
      <c r="I244">
        <f t="shared" si="6"/>
        <v>96493.537342205425</v>
      </c>
      <c r="J244">
        <f t="shared" si="7"/>
        <v>0</v>
      </c>
    </row>
    <row r="245" spans="1:10">
      <c r="A245" s="1">
        <v>45812</v>
      </c>
      <c r="B245">
        <f>(3/(1+('CurrentPor-LH=60 unchanged'!C245)/100)+103/POWER(1+('CurrentPor-LH=60 unchanged'!D245)/100,2))*100</f>
        <v>9707.5857774288397</v>
      </c>
      <c r="C245">
        <f>(3/(1+('CurrentPor-LH=60 unchanged'!C245+'CurrentPor-LH=60 unchanged'!G245)/100)+103/POWER(1+('CurrentPor-LH=60 unchanged'!D245+'CurrentPor-LH=60 unchanged'!G245)/100,2))*100</f>
        <v>9614.9673582483465</v>
      </c>
      <c r="D245">
        <f>(3/(1+('CurrentPor-LH=60 unchanged'!C245+'CurrentPor-LH=60 unchanged'!H245)/100)+103/POWER(1+('CurrentPor-LH=60 unchanged'!D245+'CurrentPor-LH=60 unchanged'!H245)/100,2))*100</f>
        <v>9601.2395558122898</v>
      </c>
      <c r="E245">
        <f>(3/(1+('CurrentPor-LH=60 unchanged'!C245+'CurrentPor-LH=60 unchanged'!I245)/100)+103/POWER(1+('CurrentPor-LH=60 unchanged'!D245+'CurrentPor-LH=60 unchanged'!I245)/100,2))*100</f>
        <v>9581.4547115644182</v>
      </c>
      <c r="F245">
        <f>Portfolio!B$5*'CurrentPor-LH=60 unchanged'!E245</f>
        <v>52143.895533915893</v>
      </c>
      <c r="G245">
        <f>Portfolio!B$6*'CurrentPor-LH=60 unchanged'!F245</f>
        <v>3696.2945087936532</v>
      </c>
      <c r="H245">
        <f>Portfolio!B$7*'CurrentPor-LH=60 unchanged'!J245</f>
        <v>2148.0998964419859</v>
      </c>
      <c r="I245">
        <f t="shared" si="6"/>
        <v>96493.537342205425</v>
      </c>
      <c r="J245">
        <f t="shared" si="7"/>
        <v>0</v>
      </c>
    </row>
    <row r="246" spans="1:10">
      <c r="A246" s="1">
        <v>45813</v>
      </c>
      <c r="B246">
        <f>(3/(1+('CurrentPor-LH=60 unchanged'!C246)/100)+103/POWER(1+('CurrentPor-LH=60 unchanged'!D246)/100,2))*100</f>
        <v>9707.5857774288397</v>
      </c>
      <c r="C246">
        <f>(3/(1+('CurrentPor-LH=60 unchanged'!C246+'CurrentPor-LH=60 unchanged'!G246)/100)+103/POWER(1+('CurrentPor-LH=60 unchanged'!D246+'CurrentPor-LH=60 unchanged'!G246)/100,2))*100</f>
        <v>9614.9673582483465</v>
      </c>
      <c r="D246">
        <f>(3/(1+('CurrentPor-LH=60 unchanged'!C246+'CurrentPor-LH=60 unchanged'!H246)/100)+103/POWER(1+('CurrentPor-LH=60 unchanged'!D246+'CurrentPor-LH=60 unchanged'!H246)/100,2))*100</f>
        <v>9601.2395558122898</v>
      </c>
      <c r="E246">
        <f>(3/(1+('CurrentPor-LH=60 unchanged'!C246+'CurrentPor-LH=60 unchanged'!I246)/100)+103/POWER(1+('CurrentPor-LH=60 unchanged'!D246+'CurrentPor-LH=60 unchanged'!I246)/100,2))*100</f>
        <v>9581.4547115644182</v>
      </c>
      <c r="F246">
        <f>Portfolio!B$5*'CurrentPor-LH=60 unchanged'!E246</f>
        <v>52143.895533915893</v>
      </c>
      <c r="G246">
        <f>Portfolio!B$6*'CurrentPor-LH=60 unchanged'!F246</f>
        <v>3696.2945087936532</v>
      </c>
      <c r="H246">
        <f>Portfolio!B$7*'CurrentPor-LH=60 unchanged'!J246</f>
        <v>2148.0998964419859</v>
      </c>
      <c r="I246">
        <f t="shared" si="6"/>
        <v>96493.537342205425</v>
      </c>
      <c r="J246">
        <f t="shared" si="7"/>
        <v>0</v>
      </c>
    </row>
    <row r="247" spans="1:10">
      <c r="A247" s="1">
        <v>45814</v>
      </c>
      <c r="B247">
        <f>(3/(1+('CurrentPor-LH=60 unchanged'!C247)/100)+103/POWER(1+('CurrentPor-LH=60 unchanged'!D247)/100,2))*100</f>
        <v>9707.5857774288397</v>
      </c>
      <c r="C247">
        <f>(3/(1+('CurrentPor-LH=60 unchanged'!C247+'CurrentPor-LH=60 unchanged'!G247)/100)+103/POWER(1+('CurrentPor-LH=60 unchanged'!D247+'CurrentPor-LH=60 unchanged'!G247)/100,2))*100</f>
        <v>9614.9673582483465</v>
      </c>
      <c r="D247">
        <f>(3/(1+('CurrentPor-LH=60 unchanged'!C247+'CurrentPor-LH=60 unchanged'!H247)/100)+103/POWER(1+('CurrentPor-LH=60 unchanged'!D247+'CurrentPor-LH=60 unchanged'!H247)/100,2))*100</f>
        <v>9601.2395558122898</v>
      </c>
      <c r="E247">
        <f>(3/(1+('CurrentPor-LH=60 unchanged'!C247+'CurrentPor-LH=60 unchanged'!I247)/100)+103/POWER(1+('CurrentPor-LH=60 unchanged'!D247+'CurrentPor-LH=60 unchanged'!I247)/100,2))*100</f>
        <v>9581.4547115644182</v>
      </c>
      <c r="F247">
        <f>Portfolio!B$5*'CurrentPor-LH=60 unchanged'!E247</f>
        <v>52143.895533915893</v>
      </c>
      <c r="G247">
        <f>Portfolio!B$6*'CurrentPor-LH=60 unchanged'!F247</f>
        <v>3696.2945087936532</v>
      </c>
      <c r="H247">
        <f>Portfolio!B$7*'CurrentPor-LH=60 unchanged'!J247</f>
        <v>2148.0998964419859</v>
      </c>
      <c r="I247">
        <f t="shared" si="6"/>
        <v>96493.537342205425</v>
      </c>
      <c r="J247">
        <f t="shared" si="7"/>
        <v>0</v>
      </c>
    </row>
    <row r="248" spans="1:10">
      <c r="A248" s="1">
        <v>45817</v>
      </c>
      <c r="B248">
        <f>(3/(1+('CurrentPor-LH=60 unchanged'!C248)/100)+103/POWER(1+('CurrentPor-LH=60 unchanged'!D248)/100,2))*100</f>
        <v>9707.5857774288397</v>
      </c>
      <c r="C248">
        <f>(3/(1+('CurrentPor-LH=60 unchanged'!C248+'CurrentPor-LH=60 unchanged'!G248)/100)+103/POWER(1+('CurrentPor-LH=60 unchanged'!D248+'CurrentPor-LH=60 unchanged'!G248)/100,2))*100</f>
        <v>9614.9673582483465</v>
      </c>
      <c r="D248">
        <f>(3/(1+('CurrentPor-LH=60 unchanged'!C248+'CurrentPor-LH=60 unchanged'!H248)/100)+103/POWER(1+('CurrentPor-LH=60 unchanged'!D248+'CurrentPor-LH=60 unchanged'!H248)/100,2))*100</f>
        <v>9601.2395558122898</v>
      </c>
      <c r="E248">
        <f>(3/(1+('CurrentPor-LH=60 unchanged'!C248+'CurrentPor-LH=60 unchanged'!I248)/100)+103/POWER(1+('CurrentPor-LH=60 unchanged'!D248+'CurrentPor-LH=60 unchanged'!I248)/100,2))*100</f>
        <v>9581.4547115644182</v>
      </c>
      <c r="F248">
        <f>Portfolio!B$5*'CurrentPor-LH=60 unchanged'!E248</f>
        <v>52143.895533915893</v>
      </c>
      <c r="G248">
        <f>Portfolio!B$6*'CurrentPor-LH=60 unchanged'!F248</f>
        <v>3696.2945087936532</v>
      </c>
      <c r="H248">
        <f>Portfolio!B$7*'CurrentPor-LH=60 unchanged'!J248</f>
        <v>2148.0998964419859</v>
      </c>
      <c r="I248">
        <f t="shared" si="6"/>
        <v>96493.537342205425</v>
      </c>
      <c r="J248">
        <f t="shared" si="7"/>
        <v>0</v>
      </c>
    </row>
    <row r="249" spans="1:10">
      <c r="A249" s="1">
        <v>45818</v>
      </c>
      <c r="B249">
        <f>(3/(1+('CurrentPor-LH=60 unchanged'!C249)/100)+103/POWER(1+('CurrentPor-LH=60 unchanged'!D249)/100,2))*100</f>
        <v>9707.5857774288397</v>
      </c>
      <c r="C249">
        <f>(3/(1+('CurrentPor-LH=60 unchanged'!C249+'CurrentPor-LH=60 unchanged'!G249)/100)+103/POWER(1+('CurrentPor-LH=60 unchanged'!D249+'CurrentPor-LH=60 unchanged'!G249)/100,2))*100</f>
        <v>9614.9673582483465</v>
      </c>
      <c r="D249">
        <f>(3/(1+('CurrentPor-LH=60 unchanged'!C249+'CurrentPor-LH=60 unchanged'!H249)/100)+103/POWER(1+('CurrentPor-LH=60 unchanged'!D249+'CurrentPor-LH=60 unchanged'!H249)/100,2))*100</f>
        <v>9601.2395558122898</v>
      </c>
      <c r="E249">
        <f>(3/(1+('CurrentPor-LH=60 unchanged'!C249+'CurrentPor-LH=60 unchanged'!I249)/100)+103/POWER(1+('CurrentPor-LH=60 unchanged'!D249+'CurrentPor-LH=60 unchanged'!I249)/100,2))*100</f>
        <v>9581.4547115644182</v>
      </c>
      <c r="F249">
        <f>Portfolio!B$5*'CurrentPor-LH=60 unchanged'!E249</f>
        <v>52143.895533915893</v>
      </c>
      <c r="G249">
        <f>Portfolio!B$6*'CurrentPor-LH=60 unchanged'!F249</f>
        <v>3696.2945087936532</v>
      </c>
      <c r="H249">
        <f>Portfolio!B$7*'CurrentPor-LH=60 unchanged'!J249</f>
        <v>2148.0998964419859</v>
      </c>
      <c r="I249">
        <f t="shared" si="6"/>
        <v>96493.537342205425</v>
      </c>
      <c r="J249">
        <f t="shared" si="7"/>
        <v>0</v>
      </c>
    </row>
    <row r="250" spans="1:10">
      <c r="A250" s="1">
        <v>45819</v>
      </c>
      <c r="B250">
        <f>(3/(1+('CurrentPor-LH=60 unchanged'!C250)/100)+103/POWER(1+('CurrentPor-LH=60 unchanged'!D250)/100,2))*100</f>
        <v>9707.5857774288397</v>
      </c>
      <c r="C250">
        <f>(3/(1+('CurrentPor-LH=60 unchanged'!C250+'CurrentPor-LH=60 unchanged'!G250)/100)+103/POWER(1+('CurrentPor-LH=60 unchanged'!D250+'CurrentPor-LH=60 unchanged'!G250)/100,2))*100</f>
        <v>9614.9673582483465</v>
      </c>
      <c r="D250">
        <f>(3/(1+('CurrentPor-LH=60 unchanged'!C250+'CurrentPor-LH=60 unchanged'!H250)/100)+103/POWER(1+('CurrentPor-LH=60 unchanged'!D250+'CurrentPor-LH=60 unchanged'!H250)/100,2))*100</f>
        <v>9601.2395558122898</v>
      </c>
      <c r="E250">
        <f>(3/(1+('CurrentPor-LH=60 unchanged'!C250+'CurrentPor-LH=60 unchanged'!I250)/100)+103/POWER(1+('CurrentPor-LH=60 unchanged'!D250+'CurrentPor-LH=60 unchanged'!I250)/100,2))*100</f>
        <v>9581.4547115644182</v>
      </c>
      <c r="F250">
        <f>Portfolio!B$5*'CurrentPor-LH=60 unchanged'!E250</f>
        <v>52143.895533915893</v>
      </c>
      <c r="G250">
        <f>Portfolio!B$6*'CurrentPor-LH=60 unchanged'!F250</f>
        <v>3696.2945087936532</v>
      </c>
      <c r="H250">
        <f>Portfolio!B$7*'CurrentPor-LH=60 unchanged'!J250</f>
        <v>2148.0998964419859</v>
      </c>
      <c r="I250">
        <f t="shared" si="6"/>
        <v>96493.537342205425</v>
      </c>
      <c r="J250">
        <f t="shared" si="7"/>
        <v>0</v>
      </c>
    </row>
    <row r="251" spans="1:10">
      <c r="A251" s="1">
        <v>45820</v>
      </c>
      <c r="B251">
        <f>(3/(1+('CurrentPor-LH=60 unchanged'!C251)/100)+103/POWER(1+('CurrentPor-LH=60 unchanged'!D251)/100,2))*100</f>
        <v>9707.5857774288397</v>
      </c>
      <c r="C251">
        <f>(3/(1+('CurrentPor-LH=60 unchanged'!C251+'CurrentPor-LH=60 unchanged'!G251)/100)+103/POWER(1+('CurrentPor-LH=60 unchanged'!D251+'CurrentPor-LH=60 unchanged'!G251)/100,2))*100</f>
        <v>9614.9673582483465</v>
      </c>
      <c r="D251">
        <f>(3/(1+('CurrentPor-LH=60 unchanged'!C251+'CurrentPor-LH=60 unchanged'!H251)/100)+103/POWER(1+('CurrentPor-LH=60 unchanged'!D251+'CurrentPor-LH=60 unchanged'!H251)/100,2))*100</f>
        <v>9601.2395558122898</v>
      </c>
      <c r="E251">
        <f>(3/(1+('CurrentPor-LH=60 unchanged'!C251+'CurrentPor-LH=60 unchanged'!I251)/100)+103/POWER(1+('CurrentPor-LH=60 unchanged'!D251+'CurrentPor-LH=60 unchanged'!I251)/100,2))*100</f>
        <v>9581.4547115644182</v>
      </c>
      <c r="F251">
        <f>Portfolio!B$5*'CurrentPor-LH=60 unchanged'!E251</f>
        <v>52143.895533915893</v>
      </c>
      <c r="G251">
        <f>Portfolio!B$6*'CurrentPor-LH=60 unchanged'!F251</f>
        <v>3696.2945087936532</v>
      </c>
      <c r="H251">
        <f>Portfolio!B$7*'CurrentPor-LH=60 unchanged'!J251</f>
        <v>2148.0998964419859</v>
      </c>
      <c r="I251">
        <f t="shared" si="6"/>
        <v>96493.537342205425</v>
      </c>
      <c r="J251">
        <f t="shared" si="7"/>
        <v>0</v>
      </c>
    </row>
    <row r="252" spans="1:10">
      <c r="A252" s="1">
        <v>45821</v>
      </c>
      <c r="B252">
        <f>(3/(1+('CurrentPor-LH=60 unchanged'!C252)/100)+103/POWER(1+('CurrentPor-LH=60 unchanged'!D252)/100,2))*100</f>
        <v>9707.5857774288397</v>
      </c>
      <c r="C252">
        <f>(3/(1+('CurrentPor-LH=60 unchanged'!C252+'CurrentPor-LH=60 unchanged'!G252)/100)+103/POWER(1+('CurrentPor-LH=60 unchanged'!D252+'CurrentPor-LH=60 unchanged'!G252)/100,2))*100</f>
        <v>9614.9673582483465</v>
      </c>
      <c r="D252">
        <f>(3/(1+('CurrentPor-LH=60 unchanged'!C252+'CurrentPor-LH=60 unchanged'!H252)/100)+103/POWER(1+('CurrentPor-LH=60 unchanged'!D252+'CurrentPor-LH=60 unchanged'!H252)/100,2))*100</f>
        <v>9601.2395558122898</v>
      </c>
      <c r="E252">
        <f>(3/(1+('CurrentPor-LH=60 unchanged'!C252+'CurrentPor-LH=60 unchanged'!I252)/100)+103/POWER(1+('CurrentPor-LH=60 unchanged'!D252+'CurrentPor-LH=60 unchanged'!I252)/100,2))*100</f>
        <v>9581.4547115644182</v>
      </c>
      <c r="F252">
        <f>Portfolio!B$5*'CurrentPor-LH=60 unchanged'!E252</f>
        <v>52143.895533915893</v>
      </c>
      <c r="G252">
        <f>Portfolio!B$6*'CurrentPor-LH=60 unchanged'!F252</f>
        <v>3696.2945087936532</v>
      </c>
      <c r="H252">
        <f>Portfolio!B$7*'CurrentPor-LH=60 unchanged'!J252</f>
        <v>2148.0998964419859</v>
      </c>
      <c r="I252">
        <f t="shared" si="6"/>
        <v>96493.537342205425</v>
      </c>
      <c r="J252">
        <f t="shared" si="7"/>
        <v>0</v>
      </c>
    </row>
    <row r="253" spans="1:10">
      <c r="A253" s="1">
        <v>45824</v>
      </c>
      <c r="B253">
        <f>(3/(1+('CurrentPor-LH=60 unchanged'!C253)/100)+103/POWER(1+('CurrentPor-LH=60 unchanged'!D253)/100,2))*100</f>
        <v>9707.5857774288397</v>
      </c>
      <c r="C253">
        <f>(3/(1+('CurrentPor-LH=60 unchanged'!C253+'CurrentPor-LH=60 unchanged'!G253)/100)+103/POWER(1+('CurrentPor-LH=60 unchanged'!D253+'CurrentPor-LH=60 unchanged'!G253)/100,2))*100</f>
        <v>9614.9673582483465</v>
      </c>
      <c r="D253">
        <f>(3/(1+('CurrentPor-LH=60 unchanged'!C253+'CurrentPor-LH=60 unchanged'!H253)/100)+103/POWER(1+('CurrentPor-LH=60 unchanged'!D253+'CurrentPor-LH=60 unchanged'!H253)/100,2))*100</f>
        <v>9601.2395558122898</v>
      </c>
      <c r="E253">
        <f>(3/(1+('CurrentPor-LH=60 unchanged'!C253+'CurrentPor-LH=60 unchanged'!I253)/100)+103/POWER(1+('CurrentPor-LH=60 unchanged'!D253+'CurrentPor-LH=60 unchanged'!I253)/100,2))*100</f>
        <v>9581.4547115644182</v>
      </c>
      <c r="F253">
        <f>Portfolio!B$5*'CurrentPor-LH=60 unchanged'!E253</f>
        <v>52143.895533915893</v>
      </c>
      <c r="G253">
        <f>Portfolio!B$6*'CurrentPor-LH=60 unchanged'!F253</f>
        <v>3696.2945087936532</v>
      </c>
      <c r="H253">
        <f>Portfolio!B$7*'CurrentPor-LH=60 unchanged'!J253</f>
        <v>2148.0998964419859</v>
      </c>
      <c r="I253">
        <f t="shared" si="6"/>
        <v>96493.537342205425</v>
      </c>
      <c r="J253">
        <f t="shared" si="7"/>
        <v>0</v>
      </c>
    </row>
    <row r="254" spans="1:10">
      <c r="A254" s="1">
        <v>45825</v>
      </c>
      <c r="B254">
        <f>(3/(1+('CurrentPor-LH=60 unchanged'!C254)/100)+103/POWER(1+('CurrentPor-LH=60 unchanged'!D254)/100,2))*100</f>
        <v>9707.5857774288397</v>
      </c>
      <c r="C254">
        <f>(3/(1+('CurrentPor-LH=60 unchanged'!C254+'CurrentPor-LH=60 unchanged'!G254)/100)+103/POWER(1+('CurrentPor-LH=60 unchanged'!D254+'CurrentPor-LH=60 unchanged'!G254)/100,2))*100</f>
        <v>9614.9673582483465</v>
      </c>
      <c r="D254">
        <f>(3/(1+('CurrentPor-LH=60 unchanged'!C254+'CurrentPor-LH=60 unchanged'!H254)/100)+103/POWER(1+('CurrentPor-LH=60 unchanged'!D254+'CurrentPor-LH=60 unchanged'!H254)/100,2))*100</f>
        <v>9601.2395558122898</v>
      </c>
      <c r="E254">
        <f>(3/(1+('CurrentPor-LH=60 unchanged'!C254+'CurrentPor-LH=60 unchanged'!I254)/100)+103/POWER(1+('CurrentPor-LH=60 unchanged'!D254+'CurrentPor-LH=60 unchanged'!I254)/100,2))*100</f>
        <v>9581.4547115644182</v>
      </c>
      <c r="F254">
        <f>Portfolio!B$5*'CurrentPor-LH=60 unchanged'!E254</f>
        <v>52143.895533915893</v>
      </c>
      <c r="G254">
        <f>Portfolio!B$6*'CurrentPor-LH=60 unchanged'!F254</f>
        <v>3696.2945087936532</v>
      </c>
      <c r="H254">
        <f>Portfolio!B$7*'CurrentPor-LH=60 unchanged'!J254</f>
        <v>2148.0998964419859</v>
      </c>
      <c r="I254">
        <f t="shared" si="6"/>
        <v>96493.537342205425</v>
      </c>
      <c r="J254">
        <f t="shared" si="7"/>
        <v>0</v>
      </c>
    </row>
    <row r="255" spans="1:10">
      <c r="A255" s="1">
        <v>45826</v>
      </c>
      <c r="B255">
        <f>(3/(1+('CurrentPor-LH=60 unchanged'!C255)/100)+103/POWER(1+('CurrentPor-LH=60 unchanged'!D255)/100,2))*100</f>
        <v>9707.5857774288397</v>
      </c>
      <c r="C255">
        <f>(3/(1+('CurrentPor-LH=60 unchanged'!C255+'CurrentPor-LH=60 unchanged'!G255)/100)+103/POWER(1+('CurrentPor-LH=60 unchanged'!D255+'CurrentPor-LH=60 unchanged'!G255)/100,2))*100</f>
        <v>9614.9673582483465</v>
      </c>
      <c r="D255">
        <f>(3/(1+('CurrentPor-LH=60 unchanged'!C255+'CurrentPor-LH=60 unchanged'!H255)/100)+103/POWER(1+('CurrentPor-LH=60 unchanged'!D255+'CurrentPor-LH=60 unchanged'!H255)/100,2))*100</f>
        <v>9601.2395558122898</v>
      </c>
      <c r="E255">
        <f>(3/(1+('CurrentPor-LH=60 unchanged'!C255+'CurrentPor-LH=60 unchanged'!I255)/100)+103/POWER(1+('CurrentPor-LH=60 unchanged'!D255+'CurrentPor-LH=60 unchanged'!I255)/100,2))*100</f>
        <v>9581.4547115644182</v>
      </c>
      <c r="F255">
        <f>Portfolio!B$5*'CurrentPor-LH=60 unchanged'!E255</f>
        <v>52143.895533915893</v>
      </c>
      <c r="G255">
        <f>Portfolio!B$6*'CurrentPor-LH=60 unchanged'!F255</f>
        <v>3696.2945087936532</v>
      </c>
      <c r="H255">
        <f>Portfolio!B$7*'CurrentPor-LH=60 unchanged'!J255</f>
        <v>2148.0998964419859</v>
      </c>
      <c r="I255">
        <f t="shared" si="6"/>
        <v>96493.537342205425</v>
      </c>
      <c r="J255">
        <f t="shared" si="7"/>
        <v>0</v>
      </c>
    </row>
    <row r="256" spans="1:10">
      <c r="A256" s="1">
        <v>45827</v>
      </c>
      <c r="B256">
        <f>(3/(1+('CurrentPor-LH=60 unchanged'!C256)/100)+103/POWER(1+('CurrentPor-LH=60 unchanged'!D256)/100,2))*100</f>
        <v>9707.5857774288397</v>
      </c>
      <c r="C256">
        <f>(3/(1+('CurrentPor-LH=60 unchanged'!C256+'CurrentPor-LH=60 unchanged'!G256)/100)+103/POWER(1+('CurrentPor-LH=60 unchanged'!D256+'CurrentPor-LH=60 unchanged'!G256)/100,2))*100</f>
        <v>9614.9673582483465</v>
      </c>
      <c r="D256">
        <f>(3/(1+('CurrentPor-LH=60 unchanged'!C256+'CurrentPor-LH=60 unchanged'!H256)/100)+103/POWER(1+('CurrentPor-LH=60 unchanged'!D256+'CurrentPor-LH=60 unchanged'!H256)/100,2))*100</f>
        <v>9601.2395558122898</v>
      </c>
      <c r="E256">
        <f>(3/(1+('CurrentPor-LH=60 unchanged'!C256+'CurrentPor-LH=60 unchanged'!I256)/100)+103/POWER(1+('CurrentPor-LH=60 unchanged'!D256+'CurrentPor-LH=60 unchanged'!I256)/100,2))*100</f>
        <v>9581.4547115644182</v>
      </c>
      <c r="F256">
        <f>Portfolio!B$5*'CurrentPor-LH=60 unchanged'!E256</f>
        <v>52143.895533915893</v>
      </c>
      <c r="G256">
        <f>Portfolio!B$6*'CurrentPor-LH=60 unchanged'!F256</f>
        <v>3696.2945087936532</v>
      </c>
      <c r="H256">
        <f>Portfolio!B$7*'CurrentPor-LH=60 unchanged'!J256</f>
        <v>2148.0998964419859</v>
      </c>
      <c r="I256">
        <f t="shared" si="6"/>
        <v>96493.537342205425</v>
      </c>
      <c r="J256">
        <f t="shared" si="7"/>
        <v>0</v>
      </c>
    </row>
    <row r="257" spans="1:10">
      <c r="A257" s="1">
        <v>45828</v>
      </c>
      <c r="B257">
        <f>(3/(1+('CurrentPor-LH=60 unchanged'!C257)/100)+103/POWER(1+('CurrentPor-LH=60 unchanged'!D257)/100,2))*100</f>
        <v>9707.5857774288397</v>
      </c>
      <c r="C257">
        <f>(3/(1+('CurrentPor-LH=60 unchanged'!C257+'CurrentPor-LH=60 unchanged'!G257)/100)+103/POWER(1+('CurrentPor-LH=60 unchanged'!D257+'CurrentPor-LH=60 unchanged'!G257)/100,2))*100</f>
        <v>9614.9673582483465</v>
      </c>
      <c r="D257">
        <f>(3/(1+('CurrentPor-LH=60 unchanged'!C257+'CurrentPor-LH=60 unchanged'!H257)/100)+103/POWER(1+('CurrentPor-LH=60 unchanged'!D257+'CurrentPor-LH=60 unchanged'!H257)/100,2))*100</f>
        <v>9601.2395558122898</v>
      </c>
      <c r="E257">
        <f>(3/(1+('CurrentPor-LH=60 unchanged'!C257+'CurrentPor-LH=60 unchanged'!I257)/100)+103/POWER(1+('CurrentPor-LH=60 unchanged'!D257+'CurrentPor-LH=60 unchanged'!I257)/100,2))*100</f>
        <v>9581.4547115644182</v>
      </c>
      <c r="F257">
        <f>Portfolio!B$5*'CurrentPor-LH=60 unchanged'!E257</f>
        <v>52143.895533915893</v>
      </c>
      <c r="G257">
        <f>Portfolio!B$6*'CurrentPor-LH=60 unchanged'!F257</f>
        <v>3696.2945087936532</v>
      </c>
      <c r="H257">
        <f>Portfolio!B$7*'CurrentPor-LH=60 unchanged'!J257</f>
        <v>2148.0998964419859</v>
      </c>
      <c r="I257">
        <f t="shared" si="6"/>
        <v>96493.537342205425</v>
      </c>
      <c r="J257">
        <f t="shared" si="7"/>
        <v>0</v>
      </c>
    </row>
    <row r="258" spans="1:10">
      <c r="A258" s="1">
        <v>45831</v>
      </c>
      <c r="B258">
        <f>(3/(1+('CurrentPor-LH=60 unchanged'!C258)/100)+103/POWER(1+('CurrentPor-LH=60 unchanged'!D258)/100,2))*100</f>
        <v>9707.5857774288397</v>
      </c>
      <c r="C258">
        <f>(3/(1+('CurrentPor-LH=60 unchanged'!C258+'CurrentPor-LH=60 unchanged'!G258)/100)+103/POWER(1+('CurrentPor-LH=60 unchanged'!D258+'CurrentPor-LH=60 unchanged'!G258)/100,2))*100</f>
        <v>9614.9673582483465</v>
      </c>
      <c r="D258">
        <f>(3/(1+('CurrentPor-LH=60 unchanged'!C258+'CurrentPor-LH=60 unchanged'!H258)/100)+103/POWER(1+('CurrentPor-LH=60 unchanged'!D258+'CurrentPor-LH=60 unchanged'!H258)/100,2))*100</f>
        <v>9601.2395558122898</v>
      </c>
      <c r="E258">
        <f>(3/(1+('CurrentPor-LH=60 unchanged'!C258+'CurrentPor-LH=60 unchanged'!I258)/100)+103/POWER(1+('CurrentPor-LH=60 unchanged'!D258+'CurrentPor-LH=60 unchanged'!I258)/100,2))*100</f>
        <v>9581.4547115644182</v>
      </c>
      <c r="F258">
        <f>Portfolio!B$5*'CurrentPor-LH=60 unchanged'!E258</f>
        <v>52143.895533915893</v>
      </c>
      <c r="G258">
        <f>Portfolio!B$6*'CurrentPor-LH=60 unchanged'!F258</f>
        <v>3696.2945087936532</v>
      </c>
      <c r="H258">
        <f>Portfolio!B$7*'CurrentPor-LH=60 unchanged'!J258</f>
        <v>2148.0998964419859</v>
      </c>
      <c r="I258">
        <f t="shared" si="6"/>
        <v>96493.537342205425</v>
      </c>
      <c r="J258">
        <f t="shared" si="7"/>
        <v>0</v>
      </c>
    </row>
    <row r="259" spans="1:10">
      <c r="A259" s="1">
        <v>45832</v>
      </c>
      <c r="B259">
        <f>(3/(1+('CurrentPor-LH=60 unchanged'!C259)/100)+103/POWER(1+('CurrentPor-LH=60 unchanged'!D259)/100,2))*100</f>
        <v>9707.5857774288397</v>
      </c>
      <c r="C259">
        <f>(3/(1+('CurrentPor-LH=60 unchanged'!C259+'CurrentPor-LH=60 unchanged'!G259)/100)+103/POWER(1+('CurrentPor-LH=60 unchanged'!D259+'CurrentPor-LH=60 unchanged'!G259)/100,2))*100</f>
        <v>9614.9673582483465</v>
      </c>
      <c r="D259">
        <f>(3/(1+('CurrentPor-LH=60 unchanged'!C259+'CurrentPor-LH=60 unchanged'!H259)/100)+103/POWER(1+('CurrentPor-LH=60 unchanged'!D259+'CurrentPor-LH=60 unchanged'!H259)/100,2))*100</f>
        <v>9601.2395558122898</v>
      </c>
      <c r="E259">
        <f>(3/(1+('CurrentPor-LH=60 unchanged'!C259+'CurrentPor-LH=60 unchanged'!I259)/100)+103/POWER(1+('CurrentPor-LH=60 unchanged'!D259+'CurrentPor-LH=60 unchanged'!I259)/100,2))*100</f>
        <v>9581.4547115644182</v>
      </c>
      <c r="F259">
        <f>Portfolio!B$5*'CurrentPor-LH=60 unchanged'!E259</f>
        <v>52143.895533915893</v>
      </c>
      <c r="G259">
        <f>Portfolio!B$6*'CurrentPor-LH=60 unchanged'!F259</f>
        <v>3696.2945087936532</v>
      </c>
      <c r="H259">
        <f>Portfolio!B$7*'CurrentPor-LH=60 unchanged'!J259</f>
        <v>2148.0998964419859</v>
      </c>
      <c r="I259">
        <f t="shared" si="6"/>
        <v>96493.537342205425</v>
      </c>
      <c r="J259">
        <f t="shared" si="7"/>
        <v>0</v>
      </c>
    </row>
    <row r="260" spans="1:10">
      <c r="A260" s="1">
        <v>45833</v>
      </c>
      <c r="B260">
        <f>(3/(1+('CurrentPor-LH=60 unchanged'!C260)/100)+103/POWER(1+('CurrentPor-LH=60 unchanged'!D260)/100,2))*100</f>
        <v>9707.5857774288397</v>
      </c>
      <c r="C260">
        <f>(3/(1+('CurrentPor-LH=60 unchanged'!C260+'CurrentPor-LH=60 unchanged'!G260)/100)+103/POWER(1+('CurrentPor-LH=60 unchanged'!D260+'CurrentPor-LH=60 unchanged'!G260)/100,2))*100</f>
        <v>9614.9673582483465</v>
      </c>
      <c r="D260">
        <f>(3/(1+('CurrentPor-LH=60 unchanged'!C260+'CurrentPor-LH=60 unchanged'!H260)/100)+103/POWER(1+('CurrentPor-LH=60 unchanged'!D260+'CurrentPor-LH=60 unchanged'!H260)/100,2))*100</f>
        <v>9601.2395558122898</v>
      </c>
      <c r="E260">
        <f>(3/(1+('CurrentPor-LH=60 unchanged'!C260+'CurrentPor-LH=60 unchanged'!I260)/100)+103/POWER(1+('CurrentPor-LH=60 unchanged'!D260+'CurrentPor-LH=60 unchanged'!I260)/100,2))*100</f>
        <v>9581.4547115644182</v>
      </c>
      <c r="F260">
        <f>Portfolio!B$5*'CurrentPor-LH=60 unchanged'!E260</f>
        <v>52143.895533915893</v>
      </c>
      <c r="G260">
        <f>Portfolio!B$6*'CurrentPor-LH=60 unchanged'!F260</f>
        <v>3696.2945087936532</v>
      </c>
      <c r="H260">
        <f>Portfolio!B$7*'CurrentPor-LH=60 unchanged'!J260</f>
        <v>2148.0998964419859</v>
      </c>
      <c r="I260">
        <f t="shared" ref="I260:I263" si="8">SUM(B260:H260)</f>
        <v>96493.537342205425</v>
      </c>
      <c r="J260">
        <f t="shared" si="7"/>
        <v>0</v>
      </c>
    </row>
    <row r="261" spans="1:10">
      <c r="A261" s="1">
        <v>45834</v>
      </c>
      <c r="B261">
        <f>(3/(1+('CurrentPor-LH=60 unchanged'!C261)/100)+103/POWER(1+('CurrentPor-LH=60 unchanged'!D261)/100,2))*100</f>
        <v>9707.5857774288397</v>
      </c>
      <c r="C261">
        <f>(3/(1+('CurrentPor-LH=60 unchanged'!C261+'CurrentPor-LH=60 unchanged'!G261)/100)+103/POWER(1+('CurrentPor-LH=60 unchanged'!D261+'CurrentPor-LH=60 unchanged'!G261)/100,2))*100</f>
        <v>9614.9673582483465</v>
      </c>
      <c r="D261">
        <f>(3/(1+('CurrentPor-LH=60 unchanged'!C261+'CurrentPor-LH=60 unchanged'!H261)/100)+103/POWER(1+('CurrentPor-LH=60 unchanged'!D261+'CurrentPor-LH=60 unchanged'!H261)/100,2))*100</f>
        <v>9601.2395558122898</v>
      </c>
      <c r="E261">
        <f>(3/(1+('CurrentPor-LH=60 unchanged'!C261+'CurrentPor-LH=60 unchanged'!I261)/100)+103/POWER(1+('CurrentPor-LH=60 unchanged'!D261+'CurrentPor-LH=60 unchanged'!I261)/100,2))*100</f>
        <v>9581.4547115644182</v>
      </c>
      <c r="F261">
        <f>Portfolio!B$5*'CurrentPor-LH=60 unchanged'!E261</f>
        <v>52143.895533915893</v>
      </c>
      <c r="G261">
        <f>Portfolio!B$6*'CurrentPor-LH=60 unchanged'!F261</f>
        <v>3696.2945087936532</v>
      </c>
      <c r="H261">
        <f>Portfolio!B$7*'CurrentPor-LH=60 unchanged'!J261</f>
        <v>2148.0998964419859</v>
      </c>
      <c r="I261">
        <f t="shared" si="8"/>
        <v>96493.537342205425</v>
      </c>
      <c r="J261">
        <f t="shared" si="7"/>
        <v>0</v>
      </c>
    </row>
    <row r="262" spans="1:10">
      <c r="A262" s="1">
        <v>45835</v>
      </c>
      <c r="B262">
        <f>(3/(1+('CurrentPor-LH=60 unchanged'!C262)/100)+103/POWER(1+('CurrentPor-LH=60 unchanged'!D262)/100,2))*100</f>
        <v>9707.5857774288397</v>
      </c>
      <c r="C262">
        <f>(3/(1+('CurrentPor-LH=60 unchanged'!C262+'CurrentPor-LH=60 unchanged'!G262)/100)+103/POWER(1+('CurrentPor-LH=60 unchanged'!D262+'CurrentPor-LH=60 unchanged'!G262)/100,2))*100</f>
        <v>9614.9673582483465</v>
      </c>
      <c r="D262">
        <f>(3/(1+('CurrentPor-LH=60 unchanged'!C262+'CurrentPor-LH=60 unchanged'!H262)/100)+103/POWER(1+('CurrentPor-LH=60 unchanged'!D262+'CurrentPor-LH=60 unchanged'!H262)/100,2))*100</f>
        <v>9601.2395558122898</v>
      </c>
      <c r="E262">
        <f>(3/(1+('CurrentPor-LH=60 unchanged'!C262+'CurrentPor-LH=60 unchanged'!I262)/100)+103/POWER(1+('CurrentPor-LH=60 unchanged'!D262+'CurrentPor-LH=60 unchanged'!I262)/100,2))*100</f>
        <v>9581.4547115644182</v>
      </c>
      <c r="F262">
        <f>Portfolio!B$5*'CurrentPor-LH=60 unchanged'!E262</f>
        <v>52143.895533915893</v>
      </c>
      <c r="G262">
        <f>Portfolio!B$6*'CurrentPor-LH=60 unchanged'!F262</f>
        <v>3696.2945087936532</v>
      </c>
      <c r="H262">
        <f>Portfolio!B$7*'CurrentPor-LH=60 unchanged'!J262</f>
        <v>2148.0998964419859</v>
      </c>
      <c r="I262">
        <f t="shared" si="8"/>
        <v>96493.537342205425</v>
      </c>
      <c r="J262">
        <f t="shared" si="7"/>
        <v>0</v>
      </c>
    </row>
    <row r="263" spans="1:10">
      <c r="A263" s="1">
        <v>45838</v>
      </c>
      <c r="B263">
        <f>(3/(1+('CurrentPor-LH=60 unchanged'!C263)/100)+103/POWER(1+('CurrentPor-LH=60 unchanged'!D263)/100,2))*100</f>
        <v>9707.5857774288397</v>
      </c>
      <c r="C263">
        <f>(3/(1+('CurrentPor-LH=60 unchanged'!C263+'CurrentPor-LH=60 unchanged'!G263)/100)+103/POWER(1+('CurrentPor-LH=60 unchanged'!D263+'CurrentPor-LH=60 unchanged'!G263)/100,2))*100</f>
        <v>9614.9673582483465</v>
      </c>
      <c r="D263">
        <f>(3/(1+('CurrentPor-LH=60 unchanged'!C263+'CurrentPor-LH=60 unchanged'!H263)/100)+103/POWER(1+('CurrentPor-LH=60 unchanged'!D263+'CurrentPor-LH=60 unchanged'!H263)/100,2))*100</f>
        <v>9601.2395558122898</v>
      </c>
      <c r="E263">
        <f>(3/(1+('CurrentPor-LH=60 unchanged'!C263+'CurrentPor-LH=60 unchanged'!I263)/100)+103/POWER(1+('CurrentPor-LH=60 unchanged'!D263+'CurrentPor-LH=60 unchanged'!I263)/100,2))*100</f>
        <v>9581.4547115644182</v>
      </c>
      <c r="F263">
        <f>Portfolio!B$5*'CurrentPor-LH=60 unchanged'!E263</f>
        <v>52143.895533915893</v>
      </c>
      <c r="G263">
        <f>Portfolio!B$6*'CurrentPor-LH=60 unchanged'!F263</f>
        <v>3696.2945087936532</v>
      </c>
      <c r="H263">
        <f>Portfolio!B$7*'CurrentPor-LH=60 unchanged'!J263</f>
        <v>2148.0998964419859</v>
      </c>
      <c r="I263">
        <f t="shared" si="8"/>
        <v>96493.537342205425</v>
      </c>
      <c r="J263">
        <f t="shared" si="7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CurrentPor-Equ Factor Movements</vt:lpstr>
      <vt:lpstr>CurrentPor-LH=10 unchanged</vt:lpstr>
      <vt:lpstr>CurrentPor-LH=20 unchanged</vt:lpstr>
      <vt:lpstr>CurrentPor-LH=40 unchanged</vt:lpstr>
      <vt:lpstr>CurrentPor-LH=60 unchanged</vt:lpstr>
      <vt:lpstr>Portfolio</vt:lpstr>
      <vt:lpstr>ES, Equity factor movement</vt:lpstr>
      <vt:lpstr>ES, Credit LH=10Unchanged</vt:lpstr>
      <vt:lpstr>ES, Credit LH=20Unchanged</vt:lpstr>
      <vt:lpstr>ES, Credit LH=40Unchanged</vt:lpstr>
      <vt:lpstr>ES, Credit LH=60Unchanged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2025-11-08T09:41:37Z</dcterms:modified>
</cp:coreProperties>
</file>