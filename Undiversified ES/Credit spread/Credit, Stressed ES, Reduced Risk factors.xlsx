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IMCCCi\Credit spread\"/>
    </mc:Choice>
  </mc:AlternateContent>
  <xr:revisionPtr revIDLastSave="0" documentId="13_ncr:1_{1E3066EF-6BC6-429A-993C-D7A4C72CE36D}" xr6:coauthVersionLast="47" xr6:coauthVersionMax="47" xr10:uidLastSave="{00000000-0000-0000-0000-000000000000}"/>
  <bookViews>
    <workbookView xWindow="-110" yWindow="-110" windowWidth="19420" windowHeight="10300" tabRatio="928" firstSheet="3" activeTab="4" xr2:uid="{DC1F76F4-8BE6-409E-AD1E-84625C47D90D}"/>
  </bookViews>
  <sheets>
    <sheet name="CurrentPor-Equ Factor Movements" sheetId="4" r:id="rId1"/>
    <sheet name="CurrentPor-LH=10 unchanged" sheetId="14" r:id="rId2"/>
    <sheet name="CurrentPor-LH=20 unchanged" sheetId="8" r:id="rId3"/>
    <sheet name="CurrentPor-LH=40 unchanged" sheetId="9" r:id="rId4"/>
    <sheet name="CurrentPor-LH=60 unchanged" sheetId="10" r:id="rId5"/>
    <sheet name="Portfolio" sheetId="5" r:id="rId6"/>
    <sheet name="ES, Equity factor movement" sheetId="7" r:id="rId7"/>
    <sheet name="ES, Credit LH=10Unchanged" sheetId="15" r:id="rId8"/>
    <sheet name="ES, Credit LH=20Unchanged" sheetId="11" r:id="rId9"/>
    <sheet name="ES, Credit LH=40Unchanged" sheetId="12" r:id="rId10"/>
    <sheet name="ES, Credit LH=60Unchanged" sheetId="13" r:id="rId11"/>
    <sheet name="NMRF" sheetId="2" r:id="rId12"/>
    <sheet name="formulae" sheetId="3" r:id="rId13"/>
  </sheets>
  <definedNames>
    <definedName name="_xlnm._FilterDatabase" localSheetId="0" hidden="1">'CurrentPor-Equ Factor Movements'!$A$3:$J$263</definedName>
    <definedName name="_xlnm._FilterDatabase" localSheetId="1" hidden="1">'CurrentPor-LH=10 unchanged'!$A$3:$J$263</definedName>
    <definedName name="_xlnm._FilterDatabase" localSheetId="2" hidden="1">'CurrentPor-LH=20 unchanged'!$A$3:$J$263</definedName>
    <definedName name="_xlnm._FilterDatabase" localSheetId="3" hidden="1">'CurrentPor-LH=40 unchanged'!$A$3:$J$263</definedName>
    <definedName name="_xlnm._FilterDatabase" localSheetId="4" hidden="1">'CurrentPor-LH=60 unchanged'!$A$3:$J$263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3" i="15" l="1"/>
  <c r="G263" i="15"/>
  <c r="F263" i="15"/>
  <c r="E263" i="15"/>
  <c r="D263" i="15"/>
  <c r="C263" i="15"/>
  <c r="B263" i="15"/>
  <c r="H262" i="15"/>
  <c r="G262" i="15"/>
  <c r="F262" i="15"/>
  <c r="E262" i="15"/>
  <c r="D262" i="15"/>
  <c r="C262" i="15"/>
  <c r="B262" i="15"/>
  <c r="H261" i="15"/>
  <c r="G261" i="15"/>
  <c r="F261" i="15"/>
  <c r="E261" i="15"/>
  <c r="D261" i="15"/>
  <c r="C261" i="15"/>
  <c r="B261" i="15"/>
  <c r="H260" i="15"/>
  <c r="G260" i="15"/>
  <c r="F260" i="15"/>
  <c r="E260" i="15"/>
  <c r="D260" i="15"/>
  <c r="C260" i="15"/>
  <c r="B260" i="15"/>
  <c r="H259" i="15"/>
  <c r="G259" i="15"/>
  <c r="F259" i="15"/>
  <c r="I259" i="15" s="1"/>
  <c r="E259" i="15"/>
  <c r="D259" i="15"/>
  <c r="C259" i="15"/>
  <c r="B259" i="15"/>
  <c r="H258" i="15"/>
  <c r="G258" i="15"/>
  <c r="F258" i="15"/>
  <c r="E258" i="15"/>
  <c r="D258" i="15"/>
  <c r="C258" i="15"/>
  <c r="B258" i="15"/>
  <c r="H257" i="15"/>
  <c r="G257" i="15"/>
  <c r="F257" i="15"/>
  <c r="E257" i="15"/>
  <c r="D257" i="15"/>
  <c r="C257" i="15"/>
  <c r="B257" i="15"/>
  <c r="H256" i="15"/>
  <c r="G256" i="15"/>
  <c r="F256" i="15"/>
  <c r="E256" i="15"/>
  <c r="D256" i="15"/>
  <c r="C256" i="15"/>
  <c r="B256" i="15"/>
  <c r="H255" i="15"/>
  <c r="G255" i="15"/>
  <c r="F255" i="15"/>
  <c r="E255" i="15"/>
  <c r="D255" i="15"/>
  <c r="C255" i="15"/>
  <c r="B255" i="15"/>
  <c r="H254" i="15"/>
  <c r="G254" i="15"/>
  <c r="F254" i="15"/>
  <c r="E254" i="15"/>
  <c r="D254" i="15"/>
  <c r="C254" i="15"/>
  <c r="B254" i="15"/>
  <c r="H253" i="15"/>
  <c r="G253" i="15"/>
  <c r="F253" i="15"/>
  <c r="E253" i="15"/>
  <c r="D253" i="15"/>
  <c r="C253" i="15"/>
  <c r="B253" i="15"/>
  <c r="H252" i="15"/>
  <c r="G252" i="15"/>
  <c r="I252" i="15" s="1"/>
  <c r="F252" i="15"/>
  <c r="E252" i="15"/>
  <c r="D252" i="15"/>
  <c r="C252" i="15"/>
  <c r="B252" i="15"/>
  <c r="H251" i="15"/>
  <c r="G251" i="15"/>
  <c r="F251" i="15"/>
  <c r="E251" i="15"/>
  <c r="D251" i="15"/>
  <c r="C251" i="15"/>
  <c r="B251" i="15"/>
  <c r="H250" i="15"/>
  <c r="G250" i="15"/>
  <c r="F250" i="15"/>
  <c r="E250" i="15"/>
  <c r="I250" i="15" s="1"/>
  <c r="D250" i="15"/>
  <c r="C250" i="15"/>
  <c r="B250" i="15"/>
  <c r="H249" i="15"/>
  <c r="G249" i="15"/>
  <c r="F249" i="15"/>
  <c r="E249" i="15"/>
  <c r="D249" i="15"/>
  <c r="C249" i="15"/>
  <c r="B249" i="15"/>
  <c r="H248" i="15"/>
  <c r="G248" i="15"/>
  <c r="F248" i="15"/>
  <c r="E248" i="15"/>
  <c r="D248" i="15"/>
  <c r="C248" i="15"/>
  <c r="B248" i="15"/>
  <c r="H247" i="15"/>
  <c r="G247" i="15"/>
  <c r="F247" i="15"/>
  <c r="E247" i="15"/>
  <c r="D247" i="15"/>
  <c r="C247" i="15"/>
  <c r="B247" i="15"/>
  <c r="H246" i="15"/>
  <c r="G246" i="15"/>
  <c r="F246" i="15"/>
  <c r="E246" i="15"/>
  <c r="D246" i="15"/>
  <c r="C246" i="15"/>
  <c r="B246" i="15"/>
  <c r="H245" i="15"/>
  <c r="I245" i="15" s="1"/>
  <c r="G245" i="15"/>
  <c r="F245" i="15"/>
  <c r="E245" i="15"/>
  <c r="D245" i="15"/>
  <c r="C245" i="15"/>
  <c r="B245" i="15"/>
  <c r="H244" i="15"/>
  <c r="G244" i="15"/>
  <c r="F244" i="15"/>
  <c r="E244" i="15"/>
  <c r="D244" i="15"/>
  <c r="C244" i="15"/>
  <c r="B244" i="15"/>
  <c r="H243" i="15"/>
  <c r="G243" i="15"/>
  <c r="F243" i="15"/>
  <c r="I243" i="15" s="1"/>
  <c r="E243" i="15"/>
  <c r="D243" i="15"/>
  <c r="C243" i="15"/>
  <c r="B243" i="15"/>
  <c r="H242" i="15"/>
  <c r="G242" i="15"/>
  <c r="F242" i="15"/>
  <c r="E242" i="15"/>
  <c r="D242" i="15"/>
  <c r="C242" i="15"/>
  <c r="B242" i="15"/>
  <c r="H241" i="15"/>
  <c r="G241" i="15"/>
  <c r="F241" i="15"/>
  <c r="E241" i="15"/>
  <c r="D241" i="15"/>
  <c r="C241" i="15"/>
  <c r="B241" i="15"/>
  <c r="H240" i="15"/>
  <c r="G240" i="15"/>
  <c r="F240" i="15"/>
  <c r="E240" i="15"/>
  <c r="D240" i="15"/>
  <c r="C240" i="15"/>
  <c r="B240" i="15"/>
  <c r="H239" i="15"/>
  <c r="G239" i="15"/>
  <c r="F239" i="15"/>
  <c r="E239" i="15"/>
  <c r="D239" i="15"/>
  <c r="C239" i="15"/>
  <c r="B239" i="15"/>
  <c r="H238" i="15"/>
  <c r="G238" i="15"/>
  <c r="F238" i="15"/>
  <c r="E238" i="15"/>
  <c r="D238" i="15"/>
  <c r="C238" i="15"/>
  <c r="B238" i="15"/>
  <c r="H237" i="15"/>
  <c r="G237" i="15"/>
  <c r="F237" i="15"/>
  <c r="E237" i="15"/>
  <c r="D237" i="15"/>
  <c r="C237" i="15"/>
  <c r="B237" i="15"/>
  <c r="H236" i="15"/>
  <c r="G236" i="15"/>
  <c r="F236" i="15"/>
  <c r="E236" i="15"/>
  <c r="D236" i="15"/>
  <c r="C236" i="15"/>
  <c r="B236" i="15"/>
  <c r="H235" i="15"/>
  <c r="G235" i="15"/>
  <c r="F235" i="15"/>
  <c r="E235" i="15"/>
  <c r="D235" i="15"/>
  <c r="C235" i="15"/>
  <c r="B235" i="15"/>
  <c r="H234" i="15"/>
  <c r="G234" i="15"/>
  <c r="F234" i="15"/>
  <c r="E234" i="15"/>
  <c r="I234" i="15" s="1"/>
  <c r="D234" i="15"/>
  <c r="C234" i="15"/>
  <c r="B234" i="15"/>
  <c r="H233" i="15"/>
  <c r="G233" i="15"/>
  <c r="F233" i="15"/>
  <c r="E233" i="15"/>
  <c r="D233" i="15"/>
  <c r="C233" i="15"/>
  <c r="B233" i="15"/>
  <c r="H232" i="15"/>
  <c r="G232" i="15"/>
  <c r="F232" i="15"/>
  <c r="E232" i="15"/>
  <c r="D232" i="15"/>
  <c r="C232" i="15"/>
  <c r="B232" i="15"/>
  <c r="H231" i="15"/>
  <c r="G231" i="15"/>
  <c r="F231" i="15"/>
  <c r="E231" i="15"/>
  <c r="D231" i="15"/>
  <c r="C231" i="15"/>
  <c r="B231" i="15"/>
  <c r="H230" i="15"/>
  <c r="G230" i="15"/>
  <c r="F230" i="15"/>
  <c r="E230" i="15"/>
  <c r="D230" i="15"/>
  <c r="C230" i="15"/>
  <c r="B230" i="15"/>
  <c r="H229" i="15"/>
  <c r="I229" i="15" s="1"/>
  <c r="G229" i="15"/>
  <c r="F229" i="15"/>
  <c r="E229" i="15"/>
  <c r="D229" i="15"/>
  <c r="C229" i="15"/>
  <c r="B229" i="15"/>
  <c r="H228" i="15"/>
  <c r="G228" i="15"/>
  <c r="F228" i="15"/>
  <c r="E228" i="15"/>
  <c r="D228" i="15"/>
  <c r="C228" i="15"/>
  <c r="B228" i="15"/>
  <c r="H227" i="15"/>
  <c r="G227" i="15"/>
  <c r="F227" i="15"/>
  <c r="I227" i="15" s="1"/>
  <c r="E227" i="15"/>
  <c r="D227" i="15"/>
  <c r="C227" i="15"/>
  <c r="B227" i="15"/>
  <c r="H226" i="15"/>
  <c r="G226" i="15"/>
  <c r="F226" i="15"/>
  <c r="E226" i="15"/>
  <c r="D226" i="15"/>
  <c r="C226" i="15"/>
  <c r="B226" i="15"/>
  <c r="H225" i="15"/>
  <c r="G225" i="15"/>
  <c r="F225" i="15"/>
  <c r="E225" i="15"/>
  <c r="D225" i="15"/>
  <c r="C225" i="15"/>
  <c r="B225" i="15"/>
  <c r="H224" i="15"/>
  <c r="G224" i="15"/>
  <c r="F224" i="15"/>
  <c r="E224" i="15"/>
  <c r="D224" i="15"/>
  <c r="C224" i="15"/>
  <c r="B224" i="15"/>
  <c r="H223" i="15"/>
  <c r="G223" i="15"/>
  <c r="F223" i="15"/>
  <c r="E223" i="15"/>
  <c r="D223" i="15"/>
  <c r="C223" i="15"/>
  <c r="B223" i="15"/>
  <c r="H222" i="15"/>
  <c r="G222" i="15"/>
  <c r="F222" i="15"/>
  <c r="E222" i="15"/>
  <c r="D222" i="15"/>
  <c r="C222" i="15"/>
  <c r="B222" i="15"/>
  <c r="H221" i="15"/>
  <c r="G221" i="15"/>
  <c r="F221" i="15"/>
  <c r="E221" i="15"/>
  <c r="D221" i="15"/>
  <c r="C221" i="15"/>
  <c r="B221" i="15"/>
  <c r="H220" i="15"/>
  <c r="G220" i="15"/>
  <c r="I220" i="15" s="1"/>
  <c r="F220" i="15"/>
  <c r="E220" i="15"/>
  <c r="D220" i="15"/>
  <c r="C220" i="15"/>
  <c r="B220" i="15"/>
  <c r="H219" i="15"/>
  <c r="G219" i="15"/>
  <c r="F219" i="15"/>
  <c r="E219" i="15"/>
  <c r="D219" i="15"/>
  <c r="C219" i="15"/>
  <c r="B219" i="15"/>
  <c r="H218" i="15"/>
  <c r="G218" i="15"/>
  <c r="F218" i="15"/>
  <c r="E218" i="15"/>
  <c r="I218" i="15" s="1"/>
  <c r="D218" i="15"/>
  <c r="C218" i="15"/>
  <c r="B218" i="15"/>
  <c r="H217" i="15"/>
  <c r="G217" i="15"/>
  <c r="F217" i="15"/>
  <c r="E217" i="15"/>
  <c r="D217" i="15"/>
  <c r="C217" i="15"/>
  <c r="B217" i="15"/>
  <c r="H216" i="15"/>
  <c r="G216" i="15"/>
  <c r="F216" i="15"/>
  <c r="E216" i="15"/>
  <c r="D216" i="15"/>
  <c r="C216" i="15"/>
  <c r="B216" i="15"/>
  <c r="H215" i="15"/>
  <c r="G215" i="15"/>
  <c r="F215" i="15"/>
  <c r="E215" i="15"/>
  <c r="D215" i="15"/>
  <c r="C215" i="15"/>
  <c r="B215" i="15"/>
  <c r="H214" i="15"/>
  <c r="G214" i="15"/>
  <c r="F214" i="15"/>
  <c r="E214" i="15"/>
  <c r="D214" i="15"/>
  <c r="C214" i="15"/>
  <c r="B214" i="15"/>
  <c r="H213" i="15"/>
  <c r="I213" i="15" s="1"/>
  <c r="G213" i="15"/>
  <c r="F213" i="15"/>
  <c r="E213" i="15"/>
  <c r="D213" i="15"/>
  <c r="C213" i="15"/>
  <c r="B213" i="15"/>
  <c r="H212" i="15"/>
  <c r="G212" i="15"/>
  <c r="F212" i="15"/>
  <c r="E212" i="15"/>
  <c r="D212" i="15"/>
  <c r="C212" i="15"/>
  <c r="B212" i="15"/>
  <c r="H211" i="15"/>
  <c r="G211" i="15"/>
  <c r="F211" i="15"/>
  <c r="I211" i="15" s="1"/>
  <c r="E211" i="15"/>
  <c r="D211" i="15"/>
  <c r="C211" i="15"/>
  <c r="B211" i="15"/>
  <c r="H210" i="15"/>
  <c r="G210" i="15"/>
  <c r="F210" i="15"/>
  <c r="E210" i="15"/>
  <c r="D210" i="15"/>
  <c r="C210" i="15"/>
  <c r="B210" i="15"/>
  <c r="H209" i="15"/>
  <c r="G209" i="15"/>
  <c r="F209" i="15"/>
  <c r="E209" i="15"/>
  <c r="D209" i="15"/>
  <c r="C209" i="15"/>
  <c r="B209" i="15"/>
  <c r="H208" i="15"/>
  <c r="G208" i="15"/>
  <c r="F208" i="15"/>
  <c r="E208" i="15"/>
  <c r="D208" i="15"/>
  <c r="C208" i="15"/>
  <c r="B208" i="15"/>
  <c r="H207" i="15"/>
  <c r="G207" i="15"/>
  <c r="F207" i="15"/>
  <c r="E207" i="15"/>
  <c r="D207" i="15"/>
  <c r="C207" i="15"/>
  <c r="B207" i="15"/>
  <c r="H206" i="15"/>
  <c r="G206" i="15"/>
  <c r="F206" i="15"/>
  <c r="E206" i="15"/>
  <c r="D206" i="15"/>
  <c r="C206" i="15"/>
  <c r="B206" i="15"/>
  <c r="H205" i="15"/>
  <c r="G205" i="15"/>
  <c r="F205" i="15"/>
  <c r="E205" i="15"/>
  <c r="D205" i="15"/>
  <c r="C205" i="15"/>
  <c r="B205" i="15"/>
  <c r="H204" i="15"/>
  <c r="G204" i="15"/>
  <c r="I204" i="15" s="1"/>
  <c r="F204" i="15"/>
  <c r="E204" i="15"/>
  <c r="D204" i="15"/>
  <c r="C204" i="15"/>
  <c r="B204" i="15"/>
  <c r="H203" i="15"/>
  <c r="G203" i="15"/>
  <c r="F203" i="15"/>
  <c r="E203" i="15"/>
  <c r="D203" i="15"/>
  <c r="C203" i="15"/>
  <c r="B203" i="15"/>
  <c r="H202" i="15"/>
  <c r="G202" i="15"/>
  <c r="F202" i="15"/>
  <c r="E202" i="15"/>
  <c r="I202" i="15" s="1"/>
  <c r="D202" i="15"/>
  <c r="C202" i="15"/>
  <c r="B202" i="15"/>
  <c r="H201" i="15"/>
  <c r="G201" i="15"/>
  <c r="F201" i="15"/>
  <c r="E201" i="15"/>
  <c r="D201" i="15"/>
  <c r="C201" i="15"/>
  <c r="B201" i="15"/>
  <c r="H200" i="15"/>
  <c r="G200" i="15"/>
  <c r="F200" i="15"/>
  <c r="E200" i="15"/>
  <c r="D200" i="15"/>
  <c r="C200" i="15"/>
  <c r="B200" i="15"/>
  <c r="H199" i="15"/>
  <c r="G199" i="15"/>
  <c r="F199" i="15"/>
  <c r="E199" i="15"/>
  <c r="D199" i="15"/>
  <c r="C199" i="15"/>
  <c r="B199" i="15"/>
  <c r="H198" i="15"/>
  <c r="G198" i="15"/>
  <c r="F198" i="15"/>
  <c r="E198" i="15"/>
  <c r="D198" i="15"/>
  <c r="C198" i="15"/>
  <c r="B198" i="15"/>
  <c r="H197" i="15"/>
  <c r="I197" i="15" s="1"/>
  <c r="G197" i="15"/>
  <c r="F197" i="15"/>
  <c r="E197" i="15"/>
  <c r="D197" i="15"/>
  <c r="C197" i="15"/>
  <c r="B197" i="15"/>
  <c r="H196" i="15"/>
  <c r="G196" i="15"/>
  <c r="F196" i="15"/>
  <c r="E196" i="15"/>
  <c r="D196" i="15"/>
  <c r="C196" i="15"/>
  <c r="B196" i="15"/>
  <c r="H195" i="15"/>
  <c r="G195" i="15"/>
  <c r="F195" i="15"/>
  <c r="I195" i="15" s="1"/>
  <c r="E195" i="15"/>
  <c r="D195" i="15"/>
  <c r="C195" i="15"/>
  <c r="B195" i="15"/>
  <c r="H194" i="15"/>
  <c r="G194" i="15"/>
  <c r="F194" i="15"/>
  <c r="E194" i="15"/>
  <c r="D194" i="15"/>
  <c r="C194" i="15"/>
  <c r="B194" i="15"/>
  <c r="H193" i="15"/>
  <c r="G193" i="15"/>
  <c r="F193" i="15"/>
  <c r="E193" i="15"/>
  <c r="D193" i="15"/>
  <c r="C193" i="15"/>
  <c r="B193" i="15"/>
  <c r="H192" i="15"/>
  <c r="G192" i="15"/>
  <c r="F192" i="15"/>
  <c r="E192" i="15"/>
  <c r="D192" i="15"/>
  <c r="C192" i="15"/>
  <c r="B192" i="15"/>
  <c r="H191" i="15"/>
  <c r="G191" i="15"/>
  <c r="F191" i="15"/>
  <c r="E191" i="15"/>
  <c r="D191" i="15"/>
  <c r="C191" i="15"/>
  <c r="B191" i="15"/>
  <c r="H190" i="15"/>
  <c r="G190" i="15"/>
  <c r="F190" i="15"/>
  <c r="E190" i="15"/>
  <c r="D190" i="15"/>
  <c r="C190" i="15"/>
  <c r="B190" i="15"/>
  <c r="H189" i="15"/>
  <c r="G189" i="15"/>
  <c r="F189" i="15"/>
  <c r="E189" i="15"/>
  <c r="D189" i="15"/>
  <c r="C189" i="15"/>
  <c r="B189" i="15"/>
  <c r="H188" i="15"/>
  <c r="G188" i="15"/>
  <c r="I188" i="15" s="1"/>
  <c r="F188" i="15"/>
  <c r="E188" i="15"/>
  <c r="D188" i="15"/>
  <c r="C188" i="15"/>
  <c r="B188" i="15"/>
  <c r="H187" i="15"/>
  <c r="G187" i="15"/>
  <c r="F187" i="15"/>
  <c r="E187" i="15"/>
  <c r="D187" i="15"/>
  <c r="C187" i="15"/>
  <c r="B187" i="15"/>
  <c r="H186" i="15"/>
  <c r="G186" i="15"/>
  <c r="F186" i="15"/>
  <c r="E186" i="15"/>
  <c r="I186" i="15" s="1"/>
  <c r="D186" i="15"/>
  <c r="C186" i="15"/>
  <c r="B186" i="15"/>
  <c r="H185" i="15"/>
  <c r="G185" i="15"/>
  <c r="F185" i="15"/>
  <c r="E185" i="15"/>
  <c r="D185" i="15"/>
  <c r="C185" i="15"/>
  <c r="B185" i="15"/>
  <c r="H184" i="15"/>
  <c r="G184" i="15"/>
  <c r="F184" i="15"/>
  <c r="E184" i="15"/>
  <c r="D184" i="15"/>
  <c r="C184" i="15"/>
  <c r="B184" i="15"/>
  <c r="H183" i="15"/>
  <c r="G183" i="15"/>
  <c r="F183" i="15"/>
  <c r="E183" i="15"/>
  <c r="D183" i="15"/>
  <c r="C183" i="15"/>
  <c r="B183" i="15"/>
  <c r="H182" i="15"/>
  <c r="G182" i="15"/>
  <c r="F182" i="15"/>
  <c r="E182" i="15"/>
  <c r="D182" i="15"/>
  <c r="C182" i="15"/>
  <c r="B182" i="15"/>
  <c r="H181" i="15"/>
  <c r="I181" i="15" s="1"/>
  <c r="G181" i="15"/>
  <c r="F181" i="15"/>
  <c r="E181" i="15"/>
  <c r="D181" i="15"/>
  <c r="C181" i="15"/>
  <c r="B181" i="15"/>
  <c r="H180" i="15"/>
  <c r="G180" i="15"/>
  <c r="F180" i="15"/>
  <c r="E180" i="15"/>
  <c r="D180" i="15"/>
  <c r="C180" i="15"/>
  <c r="B180" i="15"/>
  <c r="H179" i="15"/>
  <c r="G179" i="15"/>
  <c r="F179" i="15"/>
  <c r="I179" i="15" s="1"/>
  <c r="E179" i="15"/>
  <c r="D179" i="15"/>
  <c r="C179" i="15"/>
  <c r="B179" i="15"/>
  <c r="H178" i="15"/>
  <c r="G178" i="15"/>
  <c r="F178" i="15"/>
  <c r="E178" i="15"/>
  <c r="D178" i="15"/>
  <c r="C178" i="15"/>
  <c r="B178" i="15"/>
  <c r="H177" i="15"/>
  <c r="G177" i="15"/>
  <c r="F177" i="15"/>
  <c r="E177" i="15"/>
  <c r="D177" i="15"/>
  <c r="C177" i="15"/>
  <c r="B177" i="15"/>
  <c r="H176" i="15"/>
  <c r="G176" i="15"/>
  <c r="F176" i="15"/>
  <c r="E176" i="15"/>
  <c r="D176" i="15"/>
  <c r="C176" i="15"/>
  <c r="B176" i="15"/>
  <c r="H175" i="15"/>
  <c r="G175" i="15"/>
  <c r="F175" i="15"/>
  <c r="E175" i="15"/>
  <c r="D175" i="15"/>
  <c r="C175" i="15"/>
  <c r="B175" i="15"/>
  <c r="H174" i="15"/>
  <c r="G174" i="15"/>
  <c r="F174" i="15"/>
  <c r="E174" i="15"/>
  <c r="D174" i="15"/>
  <c r="C174" i="15"/>
  <c r="B174" i="15"/>
  <c r="H173" i="15"/>
  <c r="G173" i="15"/>
  <c r="F173" i="15"/>
  <c r="E173" i="15"/>
  <c r="D173" i="15"/>
  <c r="C173" i="15"/>
  <c r="B173" i="15"/>
  <c r="H172" i="15"/>
  <c r="G172" i="15"/>
  <c r="I172" i="15" s="1"/>
  <c r="F172" i="15"/>
  <c r="E172" i="15"/>
  <c r="D172" i="15"/>
  <c r="C172" i="15"/>
  <c r="B172" i="15"/>
  <c r="H171" i="15"/>
  <c r="G171" i="15"/>
  <c r="F171" i="15"/>
  <c r="E171" i="15"/>
  <c r="D171" i="15"/>
  <c r="C171" i="15"/>
  <c r="B171" i="15"/>
  <c r="H170" i="15"/>
  <c r="G170" i="15"/>
  <c r="F170" i="15"/>
  <c r="E170" i="15"/>
  <c r="I170" i="15" s="1"/>
  <c r="D170" i="15"/>
  <c r="C170" i="15"/>
  <c r="B170" i="15"/>
  <c r="H169" i="15"/>
  <c r="G169" i="15"/>
  <c r="F169" i="15"/>
  <c r="E169" i="15"/>
  <c r="D169" i="15"/>
  <c r="C169" i="15"/>
  <c r="B169" i="15"/>
  <c r="H168" i="15"/>
  <c r="G168" i="15"/>
  <c r="F168" i="15"/>
  <c r="E168" i="15"/>
  <c r="D168" i="15"/>
  <c r="C168" i="15"/>
  <c r="B168" i="15"/>
  <c r="H167" i="15"/>
  <c r="G167" i="15"/>
  <c r="F167" i="15"/>
  <c r="E167" i="15"/>
  <c r="D167" i="15"/>
  <c r="C167" i="15"/>
  <c r="B167" i="15"/>
  <c r="H166" i="15"/>
  <c r="G166" i="15"/>
  <c r="F166" i="15"/>
  <c r="E166" i="15"/>
  <c r="D166" i="15"/>
  <c r="C166" i="15"/>
  <c r="B166" i="15"/>
  <c r="H165" i="15"/>
  <c r="I165" i="15" s="1"/>
  <c r="G165" i="15"/>
  <c r="F165" i="15"/>
  <c r="E165" i="15"/>
  <c r="D165" i="15"/>
  <c r="C165" i="15"/>
  <c r="B165" i="15"/>
  <c r="H164" i="15"/>
  <c r="G164" i="15"/>
  <c r="F164" i="15"/>
  <c r="E164" i="15"/>
  <c r="D164" i="15"/>
  <c r="C164" i="15"/>
  <c r="B164" i="15"/>
  <c r="H163" i="15"/>
  <c r="G163" i="15"/>
  <c r="F163" i="15"/>
  <c r="I163" i="15" s="1"/>
  <c r="E163" i="15"/>
  <c r="D163" i="15"/>
  <c r="C163" i="15"/>
  <c r="B163" i="15"/>
  <c r="H162" i="15"/>
  <c r="G162" i="15"/>
  <c r="F162" i="15"/>
  <c r="E162" i="15"/>
  <c r="D162" i="15"/>
  <c r="C162" i="15"/>
  <c r="B162" i="15"/>
  <c r="H161" i="15"/>
  <c r="G161" i="15"/>
  <c r="F161" i="15"/>
  <c r="E161" i="15"/>
  <c r="D161" i="15"/>
  <c r="C161" i="15"/>
  <c r="B161" i="15"/>
  <c r="H160" i="15"/>
  <c r="G160" i="15"/>
  <c r="F160" i="15"/>
  <c r="E160" i="15"/>
  <c r="D160" i="15"/>
  <c r="C160" i="15"/>
  <c r="B160" i="15"/>
  <c r="H159" i="15"/>
  <c r="G159" i="15"/>
  <c r="F159" i="15"/>
  <c r="E159" i="15"/>
  <c r="D159" i="15"/>
  <c r="C159" i="15"/>
  <c r="B159" i="15"/>
  <c r="H158" i="15"/>
  <c r="G158" i="15"/>
  <c r="F158" i="15"/>
  <c r="E158" i="15"/>
  <c r="D158" i="15"/>
  <c r="C158" i="15"/>
  <c r="B158" i="15"/>
  <c r="H157" i="15"/>
  <c r="G157" i="15"/>
  <c r="F157" i="15"/>
  <c r="E157" i="15"/>
  <c r="D157" i="15"/>
  <c r="C157" i="15"/>
  <c r="B157" i="15"/>
  <c r="H156" i="15"/>
  <c r="G156" i="15"/>
  <c r="I156" i="15" s="1"/>
  <c r="F156" i="15"/>
  <c r="E156" i="15"/>
  <c r="D156" i="15"/>
  <c r="C156" i="15"/>
  <c r="B156" i="15"/>
  <c r="H155" i="15"/>
  <c r="G155" i="15"/>
  <c r="F155" i="15"/>
  <c r="E155" i="15"/>
  <c r="D155" i="15"/>
  <c r="C155" i="15"/>
  <c r="B155" i="15"/>
  <c r="H154" i="15"/>
  <c r="G154" i="15"/>
  <c r="F154" i="15"/>
  <c r="E154" i="15"/>
  <c r="I154" i="15" s="1"/>
  <c r="D154" i="15"/>
  <c r="C154" i="15"/>
  <c r="B154" i="15"/>
  <c r="H153" i="15"/>
  <c r="G153" i="15"/>
  <c r="F153" i="15"/>
  <c r="E153" i="15"/>
  <c r="D153" i="15"/>
  <c r="C153" i="15"/>
  <c r="B153" i="15"/>
  <c r="H152" i="15"/>
  <c r="G152" i="15"/>
  <c r="F152" i="15"/>
  <c r="E152" i="15"/>
  <c r="D152" i="15"/>
  <c r="C152" i="15"/>
  <c r="B152" i="15"/>
  <c r="H151" i="15"/>
  <c r="G151" i="15"/>
  <c r="F151" i="15"/>
  <c r="E151" i="15"/>
  <c r="D151" i="15"/>
  <c r="C151" i="15"/>
  <c r="B151" i="15"/>
  <c r="H150" i="15"/>
  <c r="G150" i="15"/>
  <c r="F150" i="15"/>
  <c r="E150" i="15"/>
  <c r="D150" i="15"/>
  <c r="C150" i="15"/>
  <c r="B150" i="15"/>
  <c r="H149" i="15"/>
  <c r="I149" i="15" s="1"/>
  <c r="G149" i="15"/>
  <c r="F149" i="15"/>
  <c r="E149" i="15"/>
  <c r="D149" i="15"/>
  <c r="C149" i="15"/>
  <c r="B149" i="15"/>
  <c r="H148" i="15"/>
  <c r="G148" i="15"/>
  <c r="F148" i="15"/>
  <c r="E148" i="15"/>
  <c r="D148" i="15"/>
  <c r="C148" i="15"/>
  <c r="B148" i="15"/>
  <c r="H147" i="15"/>
  <c r="G147" i="15"/>
  <c r="F147" i="15"/>
  <c r="I147" i="15" s="1"/>
  <c r="E147" i="15"/>
  <c r="D147" i="15"/>
  <c r="C147" i="15"/>
  <c r="B147" i="15"/>
  <c r="H146" i="15"/>
  <c r="G146" i="15"/>
  <c r="F146" i="15"/>
  <c r="E146" i="15"/>
  <c r="D146" i="15"/>
  <c r="C146" i="15"/>
  <c r="B146" i="15"/>
  <c r="H145" i="15"/>
  <c r="G145" i="15"/>
  <c r="F145" i="15"/>
  <c r="E145" i="15"/>
  <c r="D145" i="15"/>
  <c r="C145" i="15"/>
  <c r="B145" i="15"/>
  <c r="H144" i="15"/>
  <c r="G144" i="15"/>
  <c r="F144" i="15"/>
  <c r="E144" i="15"/>
  <c r="D144" i="15"/>
  <c r="C144" i="15"/>
  <c r="B144" i="15"/>
  <c r="H143" i="15"/>
  <c r="G143" i="15"/>
  <c r="F143" i="15"/>
  <c r="E143" i="15"/>
  <c r="D143" i="15"/>
  <c r="C143" i="15"/>
  <c r="B143" i="15"/>
  <c r="H142" i="15"/>
  <c r="G142" i="15"/>
  <c r="F142" i="15"/>
  <c r="E142" i="15"/>
  <c r="D142" i="15"/>
  <c r="C142" i="15"/>
  <c r="B142" i="15"/>
  <c r="H141" i="15"/>
  <c r="G141" i="15"/>
  <c r="F141" i="15"/>
  <c r="E141" i="15"/>
  <c r="D141" i="15"/>
  <c r="C141" i="15"/>
  <c r="B141" i="15"/>
  <c r="H140" i="15"/>
  <c r="G140" i="15"/>
  <c r="I140" i="15" s="1"/>
  <c r="F140" i="15"/>
  <c r="E140" i="15"/>
  <c r="D140" i="15"/>
  <c r="C140" i="15"/>
  <c r="B140" i="15"/>
  <c r="H139" i="15"/>
  <c r="G139" i="15"/>
  <c r="F139" i="15"/>
  <c r="E139" i="15"/>
  <c r="D139" i="15"/>
  <c r="C139" i="15"/>
  <c r="B139" i="15"/>
  <c r="H138" i="15"/>
  <c r="G138" i="15"/>
  <c r="F138" i="15"/>
  <c r="E138" i="15"/>
  <c r="I138" i="15" s="1"/>
  <c r="D138" i="15"/>
  <c r="C138" i="15"/>
  <c r="B138" i="15"/>
  <c r="H137" i="15"/>
  <c r="G137" i="15"/>
  <c r="F137" i="15"/>
  <c r="E137" i="15"/>
  <c r="D137" i="15"/>
  <c r="C137" i="15"/>
  <c r="B137" i="15"/>
  <c r="H136" i="15"/>
  <c r="G136" i="15"/>
  <c r="F136" i="15"/>
  <c r="E136" i="15"/>
  <c r="D136" i="15"/>
  <c r="C136" i="15"/>
  <c r="B136" i="15"/>
  <c r="H135" i="15"/>
  <c r="G135" i="15"/>
  <c r="F135" i="15"/>
  <c r="E135" i="15"/>
  <c r="D135" i="15"/>
  <c r="C135" i="15"/>
  <c r="B135" i="15"/>
  <c r="H134" i="15"/>
  <c r="G134" i="15"/>
  <c r="F134" i="15"/>
  <c r="E134" i="15"/>
  <c r="D134" i="15"/>
  <c r="C134" i="15"/>
  <c r="B134" i="15"/>
  <c r="H133" i="15"/>
  <c r="I133" i="15" s="1"/>
  <c r="G133" i="15"/>
  <c r="F133" i="15"/>
  <c r="E133" i="15"/>
  <c r="D133" i="15"/>
  <c r="C133" i="15"/>
  <c r="B133" i="15"/>
  <c r="H132" i="15"/>
  <c r="G132" i="15"/>
  <c r="F132" i="15"/>
  <c r="E132" i="15"/>
  <c r="D132" i="15"/>
  <c r="C132" i="15"/>
  <c r="B132" i="15"/>
  <c r="H131" i="15"/>
  <c r="G131" i="15"/>
  <c r="F131" i="15"/>
  <c r="I131" i="15" s="1"/>
  <c r="J131" i="15" s="1"/>
  <c r="E131" i="15"/>
  <c r="D131" i="15"/>
  <c r="C131" i="15"/>
  <c r="B131" i="15"/>
  <c r="H130" i="15"/>
  <c r="G130" i="15"/>
  <c r="F130" i="15"/>
  <c r="E130" i="15"/>
  <c r="D130" i="15"/>
  <c r="C130" i="15"/>
  <c r="B130" i="15"/>
  <c r="H129" i="15"/>
  <c r="G129" i="15"/>
  <c r="F129" i="15"/>
  <c r="E129" i="15"/>
  <c r="D129" i="15"/>
  <c r="I129" i="15" s="1"/>
  <c r="C129" i="15"/>
  <c r="B129" i="15"/>
  <c r="H128" i="15"/>
  <c r="G128" i="15"/>
  <c r="F128" i="15"/>
  <c r="E128" i="15"/>
  <c r="D128" i="15"/>
  <c r="C128" i="15"/>
  <c r="B128" i="15"/>
  <c r="H127" i="15"/>
  <c r="G127" i="15"/>
  <c r="F127" i="15"/>
  <c r="E127" i="15"/>
  <c r="D127" i="15"/>
  <c r="C127" i="15"/>
  <c r="B127" i="15"/>
  <c r="H126" i="15"/>
  <c r="G126" i="15"/>
  <c r="F126" i="15"/>
  <c r="E126" i="15"/>
  <c r="D126" i="15"/>
  <c r="C126" i="15"/>
  <c r="B126" i="15"/>
  <c r="H125" i="15"/>
  <c r="G125" i="15"/>
  <c r="F125" i="15"/>
  <c r="E125" i="15"/>
  <c r="D125" i="15"/>
  <c r="C125" i="15"/>
  <c r="B125" i="15"/>
  <c r="H124" i="15"/>
  <c r="G124" i="15"/>
  <c r="I124" i="15" s="1"/>
  <c r="F124" i="15"/>
  <c r="E124" i="15"/>
  <c r="D124" i="15"/>
  <c r="C124" i="15"/>
  <c r="B124" i="15"/>
  <c r="H123" i="15"/>
  <c r="G123" i="15"/>
  <c r="F123" i="15"/>
  <c r="E123" i="15"/>
  <c r="D123" i="15"/>
  <c r="C123" i="15"/>
  <c r="B123" i="15"/>
  <c r="H122" i="15"/>
  <c r="G122" i="15"/>
  <c r="F122" i="15"/>
  <c r="E122" i="15"/>
  <c r="I122" i="15" s="1"/>
  <c r="J122" i="15" s="1"/>
  <c r="D122" i="15"/>
  <c r="C122" i="15"/>
  <c r="B122" i="15"/>
  <c r="H121" i="15"/>
  <c r="G121" i="15"/>
  <c r="F121" i="15"/>
  <c r="E121" i="15"/>
  <c r="D121" i="15"/>
  <c r="C121" i="15"/>
  <c r="B121" i="15"/>
  <c r="H120" i="15"/>
  <c r="G120" i="15"/>
  <c r="F120" i="15"/>
  <c r="E120" i="15"/>
  <c r="D120" i="15"/>
  <c r="C120" i="15"/>
  <c r="I120" i="15" s="1"/>
  <c r="B120" i="15"/>
  <c r="H119" i="15"/>
  <c r="G119" i="15"/>
  <c r="F119" i="15"/>
  <c r="E119" i="15"/>
  <c r="D119" i="15"/>
  <c r="C119" i="15"/>
  <c r="B119" i="15"/>
  <c r="H118" i="15"/>
  <c r="G118" i="15"/>
  <c r="F118" i="15"/>
  <c r="E118" i="15"/>
  <c r="D118" i="15"/>
  <c r="C118" i="15"/>
  <c r="B118" i="15"/>
  <c r="H117" i="15"/>
  <c r="I117" i="15" s="1"/>
  <c r="G117" i="15"/>
  <c r="F117" i="15"/>
  <c r="E117" i="15"/>
  <c r="D117" i="15"/>
  <c r="C117" i="15"/>
  <c r="B117" i="15"/>
  <c r="H116" i="15"/>
  <c r="G116" i="15"/>
  <c r="F116" i="15"/>
  <c r="E116" i="15"/>
  <c r="D116" i="15"/>
  <c r="C116" i="15"/>
  <c r="B116" i="15"/>
  <c r="H115" i="15"/>
  <c r="G115" i="15"/>
  <c r="F115" i="15"/>
  <c r="I115" i="15" s="1"/>
  <c r="E115" i="15"/>
  <c r="D115" i="15"/>
  <c r="C115" i="15"/>
  <c r="B115" i="15"/>
  <c r="H114" i="15"/>
  <c r="G114" i="15"/>
  <c r="F114" i="15"/>
  <c r="E114" i="15"/>
  <c r="D114" i="15"/>
  <c r="C114" i="15"/>
  <c r="B114" i="15"/>
  <c r="H113" i="15"/>
  <c r="G113" i="15"/>
  <c r="F113" i="15"/>
  <c r="E113" i="15"/>
  <c r="D113" i="15"/>
  <c r="I113" i="15" s="1"/>
  <c r="J113" i="15" s="1"/>
  <c r="C113" i="15"/>
  <c r="B113" i="15"/>
  <c r="H112" i="15"/>
  <c r="G112" i="15"/>
  <c r="F112" i="15"/>
  <c r="E112" i="15"/>
  <c r="D112" i="15"/>
  <c r="C112" i="15"/>
  <c r="B112" i="15"/>
  <c r="H111" i="15"/>
  <c r="G111" i="15"/>
  <c r="F111" i="15"/>
  <c r="E111" i="15"/>
  <c r="D111" i="15"/>
  <c r="C111" i="15"/>
  <c r="B111" i="15"/>
  <c r="H110" i="15"/>
  <c r="G110" i="15"/>
  <c r="F110" i="15"/>
  <c r="E110" i="15"/>
  <c r="D110" i="15"/>
  <c r="C110" i="15"/>
  <c r="B110" i="15"/>
  <c r="H109" i="15"/>
  <c r="G109" i="15"/>
  <c r="F109" i="15"/>
  <c r="E109" i="15"/>
  <c r="D109" i="15"/>
  <c r="C109" i="15"/>
  <c r="B109" i="15"/>
  <c r="H108" i="15"/>
  <c r="G108" i="15"/>
  <c r="I108" i="15" s="1"/>
  <c r="F108" i="15"/>
  <c r="E108" i="15"/>
  <c r="D108" i="15"/>
  <c r="C108" i="15"/>
  <c r="B108" i="15"/>
  <c r="H107" i="15"/>
  <c r="G107" i="15"/>
  <c r="F107" i="15"/>
  <c r="E107" i="15"/>
  <c r="D107" i="15"/>
  <c r="C107" i="15"/>
  <c r="B107" i="15"/>
  <c r="H106" i="15"/>
  <c r="G106" i="15"/>
  <c r="F106" i="15"/>
  <c r="E106" i="15"/>
  <c r="I106" i="15" s="1"/>
  <c r="D106" i="15"/>
  <c r="C106" i="15"/>
  <c r="B106" i="15"/>
  <c r="H105" i="15"/>
  <c r="G105" i="15"/>
  <c r="F105" i="15"/>
  <c r="E105" i="15"/>
  <c r="D105" i="15"/>
  <c r="C105" i="15"/>
  <c r="B105" i="15"/>
  <c r="H104" i="15"/>
  <c r="G104" i="15"/>
  <c r="F104" i="15"/>
  <c r="E104" i="15"/>
  <c r="D104" i="15"/>
  <c r="C104" i="15"/>
  <c r="I104" i="15" s="1"/>
  <c r="B104" i="15"/>
  <c r="H103" i="15"/>
  <c r="G103" i="15"/>
  <c r="F103" i="15"/>
  <c r="E103" i="15"/>
  <c r="D103" i="15"/>
  <c r="C103" i="15"/>
  <c r="B103" i="15"/>
  <c r="H102" i="15"/>
  <c r="G102" i="15"/>
  <c r="F102" i="15"/>
  <c r="E102" i="15"/>
  <c r="D102" i="15"/>
  <c r="C102" i="15"/>
  <c r="B102" i="15"/>
  <c r="H101" i="15"/>
  <c r="I101" i="15" s="1"/>
  <c r="G101" i="15"/>
  <c r="F101" i="15"/>
  <c r="E101" i="15"/>
  <c r="D101" i="15"/>
  <c r="C101" i="15"/>
  <c r="B101" i="15"/>
  <c r="H100" i="15"/>
  <c r="G100" i="15"/>
  <c r="F100" i="15"/>
  <c r="E100" i="15"/>
  <c r="D100" i="15"/>
  <c r="C100" i="15"/>
  <c r="B100" i="15"/>
  <c r="H99" i="15"/>
  <c r="G99" i="15"/>
  <c r="F99" i="15"/>
  <c r="I99" i="15" s="1"/>
  <c r="E99" i="15"/>
  <c r="D99" i="15"/>
  <c r="C99" i="15"/>
  <c r="B99" i="15"/>
  <c r="H98" i="15"/>
  <c r="G98" i="15"/>
  <c r="F98" i="15"/>
  <c r="E98" i="15"/>
  <c r="D98" i="15"/>
  <c r="C98" i="15"/>
  <c r="B98" i="15"/>
  <c r="H97" i="15"/>
  <c r="G97" i="15"/>
  <c r="F97" i="15"/>
  <c r="E97" i="15"/>
  <c r="D97" i="15"/>
  <c r="I97" i="15" s="1"/>
  <c r="C97" i="15"/>
  <c r="B97" i="15"/>
  <c r="H96" i="15"/>
  <c r="G96" i="15"/>
  <c r="F96" i="15"/>
  <c r="E96" i="15"/>
  <c r="D96" i="15"/>
  <c r="C96" i="15"/>
  <c r="B96" i="15"/>
  <c r="H95" i="15"/>
  <c r="G95" i="15"/>
  <c r="F95" i="15"/>
  <c r="E95" i="15"/>
  <c r="D95" i="15"/>
  <c r="C95" i="15"/>
  <c r="B95" i="15"/>
  <c r="H94" i="15"/>
  <c r="G94" i="15"/>
  <c r="F94" i="15"/>
  <c r="E94" i="15"/>
  <c r="D94" i="15"/>
  <c r="C94" i="15"/>
  <c r="B94" i="15"/>
  <c r="H93" i="15"/>
  <c r="G93" i="15"/>
  <c r="F93" i="15"/>
  <c r="E93" i="15"/>
  <c r="D93" i="15"/>
  <c r="C93" i="15"/>
  <c r="B93" i="15"/>
  <c r="H92" i="15"/>
  <c r="G92" i="15"/>
  <c r="I92" i="15" s="1"/>
  <c r="F92" i="15"/>
  <c r="E92" i="15"/>
  <c r="D92" i="15"/>
  <c r="C92" i="15"/>
  <c r="B92" i="15"/>
  <c r="H91" i="15"/>
  <c r="G91" i="15"/>
  <c r="F91" i="15"/>
  <c r="E91" i="15"/>
  <c r="D91" i="15"/>
  <c r="C91" i="15"/>
  <c r="B91" i="15"/>
  <c r="H90" i="15"/>
  <c r="G90" i="15"/>
  <c r="F90" i="15"/>
  <c r="E90" i="15"/>
  <c r="I90" i="15" s="1"/>
  <c r="D90" i="15"/>
  <c r="C90" i="15"/>
  <c r="B90" i="15"/>
  <c r="H89" i="15"/>
  <c r="G89" i="15"/>
  <c r="F89" i="15"/>
  <c r="E89" i="15"/>
  <c r="D89" i="15"/>
  <c r="C89" i="15"/>
  <c r="B89" i="15"/>
  <c r="H88" i="15"/>
  <c r="G88" i="15"/>
  <c r="F88" i="15"/>
  <c r="E88" i="15"/>
  <c r="D88" i="15"/>
  <c r="C88" i="15"/>
  <c r="I88" i="15" s="1"/>
  <c r="B88" i="15"/>
  <c r="H87" i="15"/>
  <c r="G87" i="15"/>
  <c r="F87" i="15"/>
  <c r="E87" i="15"/>
  <c r="D87" i="15"/>
  <c r="C87" i="15"/>
  <c r="B87" i="15"/>
  <c r="H86" i="15"/>
  <c r="G86" i="15"/>
  <c r="F86" i="15"/>
  <c r="E86" i="15"/>
  <c r="D86" i="15"/>
  <c r="C86" i="15"/>
  <c r="B86" i="15"/>
  <c r="H85" i="15"/>
  <c r="I85" i="15" s="1"/>
  <c r="G85" i="15"/>
  <c r="F85" i="15"/>
  <c r="E85" i="15"/>
  <c r="D85" i="15"/>
  <c r="C85" i="15"/>
  <c r="B85" i="15"/>
  <c r="H84" i="15"/>
  <c r="G84" i="15"/>
  <c r="F84" i="15"/>
  <c r="E84" i="15"/>
  <c r="D84" i="15"/>
  <c r="C84" i="15"/>
  <c r="B84" i="15"/>
  <c r="H83" i="15"/>
  <c r="G83" i="15"/>
  <c r="F83" i="15"/>
  <c r="I83" i="15" s="1"/>
  <c r="E83" i="15"/>
  <c r="D83" i="15"/>
  <c r="C83" i="15"/>
  <c r="B83" i="15"/>
  <c r="H82" i="15"/>
  <c r="G82" i="15"/>
  <c r="F82" i="15"/>
  <c r="E82" i="15"/>
  <c r="D82" i="15"/>
  <c r="C82" i="15"/>
  <c r="B82" i="15"/>
  <c r="H81" i="15"/>
  <c r="G81" i="15"/>
  <c r="F81" i="15"/>
  <c r="E81" i="15"/>
  <c r="D81" i="15"/>
  <c r="I81" i="15" s="1"/>
  <c r="C81" i="15"/>
  <c r="B81" i="15"/>
  <c r="H80" i="15"/>
  <c r="G80" i="15"/>
  <c r="F80" i="15"/>
  <c r="E80" i="15"/>
  <c r="D80" i="15"/>
  <c r="C80" i="15"/>
  <c r="B80" i="15"/>
  <c r="H79" i="15"/>
  <c r="G79" i="15"/>
  <c r="F79" i="15"/>
  <c r="E79" i="15"/>
  <c r="D79" i="15"/>
  <c r="C79" i="15"/>
  <c r="B79" i="15"/>
  <c r="H78" i="15"/>
  <c r="G78" i="15"/>
  <c r="F78" i="15"/>
  <c r="E78" i="15"/>
  <c r="D78" i="15"/>
  <c r="C78" i="15"/>
  <c r="B78" i="15"/>
  <c r="H77" i="15"/>
  <c r="G77" i="15"/>
  <c r="F77" i="15"/>
  <c r="E77" i="15"/>
  <c r="D77" i="15"/>
  <c r="C77" i="15"/>
  <c r="B77" i="15"/>
  <c r="H76" i="15"/>
  <c r="G76" i="15"/>
  <c r="I76" i="15" s="1"/>
  <c r="F76" i="15"/>
  <c r="E76" i="15"/>
  <c r="D76" i="15"/>
  <c r="C76" i="15"/>
  <c r="B76" i="15"/>
  <c r="H75" i="15"/>
  <c r="G75" i="15"/>
  <c r="F75" i="15"/>
  <c r="E75" i="15"/>
  <c r="D75" i="15"/>
  <c r="C75" i="15"/>
  <c r="B75" i="15"/>
  <c r="H74" i="15"/>
  <c r="G74" i="15"/>
  <c r="F74" i="15"/>
  <c r="E74" i="15"/>
  <c r="I74" i="15" s="1"/>
  <c r="D74" i="15"/>
  <c r="C74" i="15"/>
  <c r="B74" i="15"/>
  <c r="H73" i="15"/>
  <c r="G73" i="15"/>
  <c r="F73" i="15"/>
  <c r="I73" i="15" s="1"/>
  <c r="E73" i="15"/>
  <c r="D73" i="15"/>
  <c r="C73" i="15"/>
  <c r="B73" i="15"/>
  <c r="H72" i="15"/>
  <c r="G72" i="15"/>
  <c r="F72" i="15"/>
  <c r="E72" i="15"/>
  <c r="D72" i="15"/>
  <c r="C72" i="15"/>
  <c r="I72" i="15" s="1"/>
  <c r="B72" i="15"/>
  <c r="H71" i="15"/>
  <c r="G71" i="15"/>
  <c r="F71" i="15"/>
  <c r="E71" i="15"/>
  <c r="D71" i="15"/>
  <c r="C71" i="15"/>
  <c r="B71" i="15"/>
  <c r="H70" i="15"/>
  <c r="G70" i="15"/>
  <c r="F70" i="15"/>
  <c r="E70" i="15"/>
  <c r="D70" i="15"/>
  <c r="C70" i="15"/>
  <c r="B70" i="15"/>
  <c r="H69" i="15"/>
  <c r="I69" i="15" s="1"/>
  <c r="G69" i="15"/>
  <c r="F69" i="15"/>
  <c r="E69" i="15"/>
  <c r="D69" i="15"/>
  <c r="C69" i="15"/>
  <c r="B69" i="15"/>
  <c r="H68" i="15"/>
  <c r="G68" i="15"/>
  <c r="F68" i="15"/>
  <c r="E68" i="15"/>
  <c r="D68" i="15"/>
  <c r="C68" i="15"/>
  <c r="B68" i="15"/>
  <c r="H67" i="15"/>
  <c r="G67" i="15"/>
  <c r="F67" i="15"/>
  <c r="I67" i="15" s="1"/>
  <c r="E67" i="15"/>
  <c r="D67" i="15"/>
  <c r="C67" i="15"/>
  <c r="B67" i="15"/>
  <c r="H66" i="15"/>
  <c r="G66" i="15"/>
  <c r="F66" i="15"/>
  <c r="E66" i="15"/>
  <c r="D66" i="15"/>
  <c r="C66" i="15"/>
  <c r="B66" i="15"/>
  <c r="H65" i="15"/>
  <c r="G65" i="15"/>
  <c r="F65" i="15"/>
  <c r="E65" i="15"/>
  <c r="D65" i="15"/>
  <c r="I65" i="15" s="1"/>
  <c r="C65" i="15"/>
  <c r="B65" i="15"/>
  <c r="H64" i="15"/>
  <c r="G64" i="15"/>
  <c r="F64" i="15"/>
  <c r="E64" i="15"/>
  <c r="D64" i="15"/>
  <c r="C64" i="15"/>
  <c r="B64" i="15"/>
  <c r="H63" i="15"/>
  <c r="G63" i="15"/>
  <c r="F63" i="15"/>
  <c r="E63" i="15"/>
  <c r="D63" i="15"/>
  <c r="C63" i="15"/>
  <c r="B63" i="15"/>
  <c r="H62" i="15"/>
  <c r="G62" i="15"/>
  <c r="F62" i="15"/>
  <c r="E62" i="15"/>
  <c r="D62" i="15"/>
  <c r="C62" i="15"/>
  <c r="B62" i="15"/>
  <c r="H61" i="15"/>
  <c r="G61" i="15"/>
  <c r="F61" i="15"/>
  <c r="E61" i="15"/>
  <c r="D61" i="15"/>
  <c r="C61" i="15"/>
  <c r="B61" i="15"/>
  <c r="H60" i="15"/>
  <c r="G60" i="15"/>
  <c r="I60" i="15" s="1"/>
  <c r="F60" i="15"/>
  <c r="E60" i="15"/>
  <c r="D60" i="15"/>
  <c r="C60" i="15"/>
  <c r="B60" i="15"/>
  <c r="H59" i="15"/>
  <c r="G59" i="15"/>
  <c r="F59" i="15"/>
  <c r="E59" i="15"/>
  <c r="D59" i="15"/>
  <c r="C59" i="15"/>
  <c r="B59" i="15"/>
  <c r="H58" i="15"/>
  <c r="G58" i="15"/>
  <c r="F58" i="15"/>
  <c r="E58" i="15"/>
  <c r="I58" i="15" s="1"/>
  <c r="D58" i="15"/>
  <c r="C58" i="15"/>
  <c r="B58" i="15"/>
  <c r="H57" i="15"/>
  <c r="G57" i="15"/>
  <c r="F57" i="15"/>
  <c r="E57" i="15"/>
  <c r="D57" i="15"/>
  <c r="C57" i="15"/>
  <c r="B57" i="15"/>
  <c r="H56" i="15"/>
  <c r="G56" i="15"/>
  <c r="F56" i="15"/>
  <c r="E56" i="15"/>
  <c r="D56" i="15"/>
  <c r="C56" i="15"/>
  <c r="I56" i="15" s="1"/>
  <c r="B56" i="15"/>
  <c r="H55" i="15"/>
  <c r="G55" i="15"/>
  <c r="F55" i="15"/>
  <c r="E55" i="15"/>
  <c r="D55" i="15"/>
  <c r="C55" i="15"/>
  <c r="B55" i="15"/>
  <c r="H54" i="15"/>
  <c r="G54" i="15"/>
  <c r="F54" i="15"/>
  <c r="E54" i="15"/>
  <c r="D54" i="15"/>
  <c r="C54" i="15"/>
  <c r="B54" i="15"/>
  <c r="H53" i="15"/>
  <c r="I53" i="15" s="1"/>
  <c r="G53" i="15"/>
  <c r="F53" i="15"/>
  <c r="E53" i="15"/>
  <c r="D53" i="15"/>
  <c r="C53" i="15"/>
  <c r="B53" i="15"/>
  <c r="H52" i="15"/>
  <c r="G52" i="15"/>
  <c r="F52" i="15"/>
  <c r="E52" i="15"/>
  <c r="D52" i="15"/>
  <c r="C52" i="15"/>
  <c r="B52" i="15"/>
  <c r="H51" i="15"/>
  <c r="G51" i="15"/>
  <c r="F51" i="15"/>
  <c r="I51" i="15" s="1"/>
  <c r="E51" i="15"/>
  <c r="D51" i="15"/>
  <c r="C51" i="15"/>
  <c r="B51" i="15"/>
  <c r="H50" i="15"/>
  <c r="G50" i="15"/>
  <c r="F50" i="15"/>
  <c r="E50" i="15"/>
  <c r="D50" i="15"/>
  <c r="C50" i="15"/>
  <c r="B50" i="15"/>
  <c r="H49" i="15"/>
  <c r="G49" i="15"/>
  <c r="F49" i="15"/>
  <c r="E49" i="15"/>
  <c r="D49" i="15"/>
  <c r="I49" i="15" s="1"/>
  <c r="C49" i="15"/>
  <c r="B49" i="15"/>
  <c r="H48" i="15"/>
  <c r="G48" i="15"/>
  <c r="F48" i="15"/>
  <c r="E48" i="15"/>
  <c r="D48" i="15"/>
  <c r="C48" i="15"/>
  <c r="B48" i="15"/>
  <c r="H47" i="15"/>
  <c r="G47" i="15"/>
  <c r="F47" i="15"/>
  <c r="E47" i="15"/>
  <c r="D47" i="15"/>
  <c r="C47" i="15"/>
  <c r="B47" i="15"/>
  <c r="H46" i="15"/>
  <c r="G46" i="15"/>
  <c r="F46" i="15"/>
  <c r="E46" i="15"/>
  <c r="D46" i="15"/>
  <c r="C46" i="15"/>
  <c r="B46" i="15"/>
  <c r="H45" i="15"/>
  <c r="G45" i="15"/>
  <c r="F45" i="15"/>
  <c r="E45" i="15"/>
  <c r="D45" i="15"/>
  <c r="I45" i="15" s="1"/>
  <c r="C45" i="15"/>
  <c r="B45" i="15"/>
  <c r="H44" i="15"/>
  <c r="G44" i="15"/>
  <c r="F44" i="15"/>
  <c r="E44" i="15"/>
  <c r="D44" i="15"/>
  <c r="C44" i="15"/>
  <c r="B44" i="15"/>
  <c r="H43" i="15"/>
  <c r="G43" i="15"/>
  <c r="F43" i="15"/>
  <c r="E43" i="15"/>
  <c r="D43" i="15"/>
  <c r="C43" i="15"/>
  <c r="B43" i="15"/>
  <c r="H42" i="15"/>
  <c r="G42" i="15"/>
  <c r="F42" i="15"/>
  <c r="E42" i="15"/>
  <c r="I42" i="15" s="1"/>
  <c r="D42" i="15"/>
  <c r="C42" i="15"/>
  <c r="B42" i="15"/>
  <c r="H41" i="15"/>
  <c r="G41" i="15"/>
  <c r="F41" i="15"/>
  <c r="E41" i="15"/>
  <c r="D41" i="15"/>
  <c r="C41" i="15"/>
  <c r="B41" i="15"/>
  <c r="H40" i="15"/>
  <c r="G40" i="15"/>
  <c r="F40" i="15"/>
  <c r="E40" i="15"/>
  <c r="D40" i="15"/>
  <c r="C40" i="15"/>
  <c r="I40" i="15" s="1"/>
  <c r="B40" i="15"/>
  <c r="H39" i="15"/>
  <c r="G39" i="15"/>
  <c r="F39" i="15"/>
  <c r="E39" i="15"/>
  <c r="D39" i="15"/>
  <c r="I39" i="15" s="1"/>
  <c r="C39" i="15"/>
  <c r="B39" i="15"/>
  <c r="H38" i="15"/>
  <c r="G38" i="15"/>
  <c r="F38" i="15"/>
  <c r="E38" i="15"/>
  <c r="D38" i="15"/>
  <c r="C38" i="15"/>
  <c r="B38" i="15"/>
  <c r="H37" i="15"/>
  <c r="I37" i="15" s="1"/>
  <c r="G37" i="15"/>
  <c r="F37" i="15"/>
  <c r="E37" i="15"/>
  <c r="D37" i="15"/>
  <c r="C37" i="15"/>
  <c r="B37" i="15"/>
  <c r="H36" i="15"/>
  <c r="G36" i="15"/>
  <c r="F36" i="15"/>
  <c r="E36" i="15"/>
  <c r="D36" i="15"/>
  <c r="C36" i="15"/>
  <c r="B36" i="15"/>
  <c r="H35" i="15"/>
  <c r="G35" i="15"/>
  <c r="F35" i="15"/>
  <c r="I35" i="15" s="1"/>
  <c r="E35" i="15"/>
  <c r="D35" i="15"/>
  <c r="C35" i="15"/>
  <c r="B35" i="15"/>
  <c r="H34" i="15"/>
  <c r="G34" i="15"/>
  <c r="F34" i="15"/>
  <c r="E34" i="15"/>
  <c r="D34" i="15"/>
  <c r="C34" i="15"/>
  <c r="B34" i="15"/>
  <c r="H33" i="15"/>
  <c r="G33" i="15"/>
  <c r="F33" i="15"/>
  <c r="E33" i="15"/>
  <c r="D33" i="15"/>
  <c r="I33" i="15" s="1"/>
  <c r="C33" i="15"/>
  <c r="B33" i="15"/>
  <c r="H32" i="15"/>
  <c r="G32" i="15"/>
  <c r="F32" i="15"/>
  <c r="E32" i="15"/>
  <c r="D32" i="15"/>
  <c r="C32" i="15"/>
  <c r="B32" i="15"/>
  <c r="H31" i="15"/>
  <c r="G31" i="15"/>
  <c r="F31" i="15"/>
  <c r="E31" i="15"/>
  <c r="D31" i="15"/>
  <c r="C31" i="15"/>
  <c r="B31" i="15"/>
  <c r="H30" i="15"/>
  <c r="G30" i="15"/>
  <c r="F30" i="15"/>
  <c r="E30" i="15"/>
  <c r="D30" i="15"/>
  <c r="C30" i="15"/>
  <c r="B30" i="15"/>
  <c r="H29" i="15"/>
  <c r="G29" i="15"/>
  <c r="F29" i="15"/>
  <c r="E29" i="15"/>
  <c r="D29" i="15"/>
  <c r="C29" i="15"/>
  <c r="B29" i="15"/>
  <c r="H28" i="15"/>
  <c r="G28" i="15"/>
  <c r="I28" i="15" s="1"/>
  <c r="F28" i="15"/>
  <c r="E28" i="15"/>
  <c r="D28" i="15"/>
  <c r="C28" i="15"/>
  <c r="B28" i="15"/>
  <c r="H27" i="15"/>
  <c r="G27" i="15"/>
  <c r="F27" i="15"/>
  <c r="E27" i="15"/>
  <c r="D27" i="15"/>
  <c r="C27" i="15"/>
  <c r="B27" i="15"/>
  <c r="H26" i="15"/>
  <c r="G26" i="15"/>
  <c r="F26" i="15"/>
  <c r="E26" i="15"/>
  <c r="D26" i="15"/>
  <c r="C26" i="15"/>
  <c r="B26" i="15"/>
  <c r="H25" i="15"/>
  <c r="G25" i="15"/>
  <c r="F25" i="15"/>
  <c r="I25" i="15" s="1"/>
  <c r="E25" i="15"/>
  <c r="D25" i="15"/>
  <c r="C25" i="15"/>
  <c r="B25" i="15"/>
  <c r="H24" i="15"/>
  <c r="G24" i="15"/>
  <c r="F24" i="15"/>
  <c r="E24" i="15"/>
  <c r="D24" i="15"/>
  <c r="C24" i="15"/>
  <c r="B24" i="15"/>
  <c r="H23" i="15"/>
  <c r="G23" i="15"/>
  <c r="F23" i="15"/>
  <c r="E23" i="15"/>
  <c r="D23" i="15"/>
  <c r="C23" i="15"/>
  <c r="B23" i="15"/>
  <c r="H22" i="15"/>
  <c r="G22" i="15"/>
  <c r="F22" i="15"/>
  <c r="E22" i="15"/>
  <c r="D22" i="15"/>
  <c r="C22" i="15"/>
  <c r="B22" i="15"/>
  <c r="H21" i="15"/>
  <c r="I21" i="15" s="1"/>
  <c r="G21" i="15"/>
  <c r="F21" i="15"/>
  <c r="E21" i="15"/>
  <c r="D21" i="15"/>
  <c r="C21" i="15"/>
  <c r="B21" i="15"/>
  <c r="H20" i="15"/>
  <c r="G20" i="15"/>
  <c r="F20" i="15"/>
  <c r="E20" i="15"/>
  <c r="D20" i="15"/>
  <c r="C20" i="15"/>
  <c r="B20" i="15"/>
  <c r="H19" i="15"/>
  <c r="G19" i="15"/>
  <c r="F19" i="15"/>
  <c r="E19" i="15"/>
  <c r="D19" i="15"/>
  <c r="C19" i="15"/>
  <c r="B19" i="15"/>
  <c r="H18" i="15"/>
  <c r="G18" i="15"/>
  <c r="F18" i="15"/>
  <c r="E18" i="15"/>
  <c r="D18" i="15"/>
  <c r="C18" i="15"/>
  <c r="B18" i="15"/>
  <c r="H17" i="15"/>
  <c r="G17" i="15"/>
  <c r="F17" i="15"/>
  <c r="E17" i="15"/>
  <c r="D17" i="15"/>
  <c r="C17" i="15"/>
  <c r="B17" i="15"/>
  <c r="H16" i="15"/>
  <c r="G16" i="15"/>
  <c r="F16" i="15"/>
  <c r="E16" i="15"/>
  <c r="D16" i="15"/>
  <c r="C16" i="15"/>
  <c r="I16" i="15" s="1"/>
  <c r="B16" i="15"/>
  <c r="H15" i="15"/>
  <c r="G15" i="15"/>
  <c r="F15" i="15"/>
  <c r="E15" i="15"/>
  <c r="D15" i="15"/>
  <c r="C15" i="15"/>
  <c r="B15" i="15"/>
  <c r="H14" i="15"/>
  <c r="G14" i="15"/>
  <c r="F14" i="15"/>
  <c r="E14" i="15"/>
  <c r="D14" i="15"/>
  <c r="C14" i="15"/>
  <c r="B14" i="15"/>
  <c r="H13" i="15"/>
  <c r="G13" i="15"/>
  <c r="F13" i="15"/>
  <c r="E13" i="15"/>
  <c r="D13" i="15"/>
  <c r="C13" i="15"/>
  <c r="B13" i="15"/>
  <c r="H12" i="15"/>
  <c r="G12" i="15"/>
  <c r="I12" i="15" s="1"/>
  <c r="F12" i="15"/>
  <c r="E12" i="15"/>
  <c r="D12" i="15"/>
  <c r="C12" i="15"/>
  <c r="B12" i="15"/>
  <c r="H11" i="15"/>
  <c r="G11" i="15"/>
  <c r="F11" i="15"/>
  <c r="E11" i="15"/>
  <c r="D11" i="15"/>
  <c r="C11" i="15"/>
  <c r="B11" i="15"/>
  <c r="H10" i="15"/>
  <c r="G10" i="15"/>
  <c r="F10" i="15"/>
  <c r="E10" i="15"/>
  <c r="D10" i="15"/>
  <c r="C10" i="15"/>
  <c r="B10" i="15"/>
  <c r="H9" i="15"/>
  <c r="G9" i="15"/>
  <c r="F9" i="15"/>
  <c r="I9" i="15" s="1"/>
  <c r="E9" i="15"/>
  <c r="D9" i="15"/>
  <c r="C9" i="15"/>
  <c r="B9" i="15"/>
  <c r="H8" i="15"/>
  <c r="G8" i="15"/>
  <c r="F8" i="15"/>
  <c r="E8" i="15"/>
  <c r="D8" i="15"/>
  <c r="C8" i="15"/>
  <c r="B8" i="15"/>
  <c r="H7" i="15"/>
  <c r="G7" i="15"/>
  <c r="F7" i="15"/>
  <c r="I7" i="15" s="1"/>
  <c r="E7" i="15"/>
  <c r="D7" i="15"/>
  <c r="C7" i="15"/>
  <c r="B7" i="15"/>
  <c r="H6" i="15"/>
  <c r="G6" i="15"/>
  <c r="F6" i="15"/>
  <c r="E6" i="15"/>
  <c r="D6" i="15"/>
  <c r="C6" i="15"/>
  <c r="B6" i="15"/>
  <c r="H5" i="15"/>
  <c r="G5" i="15"/>
  <c r="F5" i="15"/>
  <c r="E5" i="15"/>
  <c r="D5" i="15"/>
  <c r="C5" i="15"/>
  <c r="B5" i="15"/>
  <c r="H4" i="15"/>
  <c r="G4" i="15"/>
  <c r="F4" i="15"/>
  <c r="E4" i="15"/>
  <c r="D4" i="15"/>
  <c r="C4" i="15"/>
  <c r="B4" i="15"/>
  <c r="H3" i="15"/>
  <c r="G3" i="15"/>
  <c r="F3" i="15"/>
  <c r="E3" i="15"/>
  <c r="D3" i="15"/>
  <c r="C3" i="15"/>
  <c r="B3" i="15"/>
  <c r="I263" i="15"/>
  <c r="I260" i="15"/>
  <c r="I258" i="15"/>
  <c r="I256" i="15"/>
  <c r="I254" i="15"/>
  <c r="I253" i="15"/>
  <c r="I251" i="15"/>
  <c r="I249" i="15"/>
  <c r="I247" i="15"/>
  <c r="I242" i="15"/>
  <c r="I240" i="15"/>
  <c r="I237" i="15"/>
  <c r="I233" i="15"/>
  <c r="I231" i="15"/>
  <c r="I226" i="15"/>
  <c r="I224" i="15"/>
  <c r="I222" i="15"/>
  <c r="I217" i="15"/>
  <c r="I215" i="15"/>
  <c r="I212" i="15"/>
  <c r="I208" i="15"/>
  <c r="I203" i="15"/>
  <c r="I201" i="15"/>
  <c r="I199" i="15"/>
  <c r="I192" i="15"/>
  <c r="I183" i="15"/>
  <c r="I176" i="15"/>
  <c r="I174" i="15"/>
  <c r="I173" i="15"/>
  <c r="I169" i="15"/>
  <c r="I167" i="15"/>
  <c r="I160" i="15"/>
  <c r="I153" i="15"/>
  <c r="I151" i="15"/>
  <c r="I135" i="15"/>
  <c r="I128" i="15"/>
  <c r="I121" i="15"/>
  <c r="I119" i="15"/>
  <c r="I112" i="15"/>
  <c r="I103" i="15"/>
  <c r="I94" i="15"/>
  <c r="I93" i="15"/>
  <c r="I87" i="15"/>
  <c r="I80" i="15"/>
  <c r="I71" i="15"/>
  <c r="I64" i="15"/>
  <c r="I57" i="15"/>
  <c r="I23" i="15"/>
  <c r="R5" i="14"/>
  <c r="Q5" i="14"/>
  <c r="P5" i="14"/>
  <c r="O5" i="14"/>
  <c r="N5" i="14"/>
  <c r="M5" i="14"/>
  <c r="L5" i="14"/>
  <c r="K5" i="14"/>
  <c r="R3" i="14"/>
  <c r="Q3" i="14"/>
  <c r="P3" i="14"/>
  <c r="O3" i="14"/>
  <c r="N3" i="14"/>
  <c r="M3" i="14"/>
  <c r="L3" i="14"/>
  <c r="K3" i="14"/>
  <c r="I136" i="15" l="1"/>
  <c r="I145" i="15"/>
  <c r="J145" i="15" s="1"/>
  <c r="I152" i="15"/>
  <c r="I161" i="15"/>
  <c r="J161" i="15" s="1"/>
  <c r="I168" i="15"/>
  <c r="J168" i="15" s="1"/>
  <c r="J170" i="15"/>
  <c r="I177" i="15"/>
  <c r="J179" i="15"/>
  <c r="I184" i="15"/>
  <c r="I193" i="15"/>
  <c r="J193" i="15" s="1"/>
  <c r="I200" i="15"/>
  <c r="J210" i="15" s="1"/>
  <c r="J202" i="15"/>
  <c r="I209" i="15"/>
  <c r="J209" i="15" s="1"/>
  <c r="I216" i="15"/>
  <c r="J216" i="15" s="1"/>
  <c r="I225" i="15"/>
  <c r="J225" i="15" s="1"/>
  <c r="I232" i="15"/>
  <c r="J232" i="15" s="1"/>
  <c r="I241" i="15"/>
  <c r="J243" i="15"/>
  <c r="I248" i="15"/>
  <c r="I257" i="15"/>
  <c r="J259" i="15"/>
  <c r="I13" i="15"/>
  <c r="J23" i="15" s="1"/>
  <c r="I29" i="15"/>
  <c r="I61" i="15"/>
  <c r="I77" i="15"/>
  <c r="I109" i="15"/>
  <c r="J119" i="15" s="1"/>
  <c r="I125" i="15"/>
  <c r="I141" i="15"/>
  <c r="J151" i="15" s="1"/>
  <c r="I157" i="15"/>
  <c r="J167" i="15" s="1"/>
  <c r="I189" i="15"/>
  <c r="J199" i="15" s="1"/>
  <c r="I205" i="15"/>
  <c r="J215" i="15" s="1"/>
  <c r="I221" i="15"/>
  <c r="J221" i="15" s="1"/>
  <c r="I132" i="15"/>
  <c r="I148" i="15"/>
  <c r="I164" i="15"/>
  <c r="I228" i="15"/>
  <c r="J228" i="15" s="1"/>
  <c r="I244" i="15"/>
  <c r="J244" i="15" s="1"/>
  <c r="I18" i="15"/>
  <c r="I34" i="15"/>
  <c r="I50" i="15"/>
  <c r="J60" i="15" s="1"/>
  <c r="I66" i="15"/>
  <c r="J76" i="15" s="1"/>
  <c r="I82" i="15"/>
  <c r="J92" i="15" s="1"/>
  <c r="I98" i="15"/>
  <c r="J108" i="15" s="1"/>
  <c r="I114" i="15"/>
  <c r="J124" i="15" s="1"/>
  <c r="I130" i="15"/>
  <c r="J130" i="15" s="1"/>
  <c r="I139" i="15"/>
  <c r="J149" i="15" s="1"/>
  <c r="I146" i="15"/>
  <c r="I155" i="15"/>
  <c r="I162" i="15"/>
  <c r="I171" i="15"/>
  <c r="I194" i="15"/>
  <c r="I210" i="15"/>
  <c r="I89" i="15"/>
  <c r="J89" i="15" s="1"/>
  <c r="I105" i="15"/>
  <c r="I137" i="15"/>
  <c r="J137" i="15" s="1"/>
  <c r="I185" i="15"/>
  <c r="J195" i="15" s="1"/>
  <c r="I41" i="15"/>
  <c r="I32" i="15"/>
  <c r="J42" i="15" s="1"/>
  <c r="I48" i="15"/>
  <c r="J58" i="15" s="1"/>
  <c r="I96" i="15"/>
  <c r="I144" i="15"/>
  <c r="I55" i="15"/>
  <c r="J55" i="15" s="1"/>
  <c r="I14" i="15"/>
  <c r="I30" i="15"/>
  <c r="I46" i="15"/>
  <c r="I62" i="15"/>
  <c r="I78" i="15"/>
  <c r="J88" i="15" s="1"/>
  <c r="I110" i="15"/>
  <c r="I126" i="15"/>
  <c r="J126" i="15" s="1"/>
  <c r="I142" i="15"/>
  <c r="J152" i="15" s="1"/>
  <c r="I158" i="15"/>
  <c r="J158" i="15" s="1"/>
  <c r="I190" i="15"/>
  <c r="I206" i="15"/>
  <c r="J206" i="15" s="1"/>
  <c r="I238" i="15"/>
  <c r="J238" i="15" s="1"/>
  <c r="I63" i="15"/>
  <c r="J73" i="15" s="1"/>
  <c r="J120" i="15"/>
  <c r="J129" i="15"/>
  <c r="I175" i="15"/>
  <c r="I59" i="15"/>
  <c r="I116" i="15"/>
  <c r="I180" i="15"/>
  <c r="J180" i="15" s="1"/>
  <c r="I187" i="15"/>
  <c r="I196" i="15"/>
  <c r="J196" i="15" s="1"/>
  <c r="I219" i="15"/>
  <c r="J229" i="15" s="1"/>
  <c r="I75" i="15"/>
  <c r="J85" i="15" s="1"/>
  <c r="I235" i="15"/>
  <c r="I43" i="15"/>
  <c r="J43" i="15" s="1"/>
  <c r="I84" i="15"/>
  <c r="J94" i="15" s="1"/>
  <c r="I20" i="15"/>
  <c r="J30" i="15" s="1"/>
  <c r="I52" i="15"/>
  <c r="J62" i="15" s="1"/>
  <c r="I11" i="15"/>
  <c r="J21" i="15" s="1"/>
  <c r="I36" i="15"/>
  <c r="J46" i="15" s="1"/>
  <c r="I100" i="15"/>
  <c r="I123" i="15"/>
  <c r="I27" i="15"/>
  <c r="J37" i="15" s="1"/>
  <c r="I68" i="15"/>
  <c r="I91" i="15"/>
  <c r="J91" i="15" s="1"/>
  <c r="I107" i="15"/>
  <c r="I159" i="15"/>
  <c r="J159" i="15" s="1"/>
  <c r="J186" i="15"/>
  <c r="J204" i="15"/>
  <c r="I207" i="15"/>
  <c r="J217" i="15" s="1"/>
  <c r="J220" i="15"/>
  <c r="I223" i="15"/>
  <c r="J223" i="15" s="1"/>
  <c r="J227" i="15"/>
  <c r="I239" i="15"/>
  <c r="J249" i="15" s="1"/>
  <c r="J252" i="15"/>
  <c r="I255" i="15"/>
  <c r="J255" i="15" s="1"/>
  <c r="I261" i="15"/>
  <c r="I79" i="15"/>
  <c r="J79" i="15" s="1"/>
  <c r="I95" i="15"/>
  <c r="I6" i="15"/>
  <c r="I54" i="15"/>
  <c r="J64" i="15" s="1"/>
  <c r="I102" i="15"/>
  <c r="J102" i="15" s="1"/>
  <c r="I150" i="15"/>
  <c r="J150" i="15" s="1"/>
  <c r="I214" i="15"/>
  <c r="J224" i="15" s="1"/>
  <c r="I230" i="15"/>
  <c r="J230" i="15" s="1"/>
  <c r="I262" i="15"/>
  <c r="J262" i="15" s="1"/>
  <c r="J163" i="15"/>
  <c r="J184" i="15"/>
  <c r="I86" i="15"/>
  <c r="J86" i="15" s="1"/>
  <c r="I15" i="15"/>
  <c r="I47" i="15"/>
  <c r="J47" i="15" s="1"/>
  <c r="I143" i="15"/>
  <c r="J153" i="15" s="1"/>
  <c r="J211" i="15"/>
  <c r="I38" i="15"/>
  <c r="I70" i="15"/>
  <c r="J80" i="15" s="1"/>
  <c r="I118" i="15"/>
  <c r="J128" i="15" s="1"/>
  <c r="I166" i="15"/>
  <c r="J166" i="15" s="1"/>
  <c r="I246" i="15"/>
  <c r="J256" i="15" s="1"/>
  <c r="I31" i="15"/>
  <c r="I111" i="15"/>
  <c r="J121" i="15" s="1"/>
  <c r="I127" i="15"/>
  <c r="J127" i="15" s="1"/>
  <c r="I191" i="15"/>
  <c r="J201" i="15" s="1"/>
  <c r="I22" i="15"/>
  <c r="J32" i="15" s="1"/>
  <c r="I134" i="15"/>
  <c r="J134" i="15" s="1"/>
  <c r="I182" i="15"/>
  <c r="J182" i="15" s="1"/>
  <c r="I198" i="15"/>
  <c r="J208" i="15" s="1"/>
  <c r="J154" i="15"/>
  <c r="I8" i="15"/>
  <c r="I44" i="15"/>
  <c r="J156" i="15"/>
  <c r="I178" i="15"/>
  <c r="J188" i="15" s="1"/>
  <c r="J172" i="15"/>
  <c r="J147" i="15"/>
  <c r="I236" i="15"/>
  <c r="J236" i="15" s="1"/>
  <c r="J117" i="15"/>
  <c r="J101" i="15"/>
  <c r="J140" i="15"/>
  <c r="J104" i="15"/>
  <c r="J136" i="15"/>
  <c r="J28" i="15"/>
  <c r="J177" i="15"/>
  <c r="I3" i="15"/>
  <c r="I5" i="15"/>
  <c r="I10" i="15"/>
  <c r="I17" i="15"/>
  <c r="J27" i="15" s="1"/>
  <c r="I19" i="15"/>
  <c r="J19" i="15" s="1"/>
  <c r="I24" i="15"/>
  <c r="J24" i="15" s="1"/>
  <c r="I26" i="15"/>
  <c r="J26" i="15" s="1"/>
  <c r="J70" i="15"/>
  <c r="J44" i="15"/>
  <c r="J118" i="15"/>
  <c r="J165" i="15"/>
  <c r="J54" i="15"/>
  <c r="J190" i="15"/>
  <c r="J133" i="15"/>
  <c r="I4" i="15"/>
  <c r="J14" i="15" s="1"/>
  <c r="J38" i="15"/>
  <c r="J35" i="15"/>
  <c r="J138" i="15"/>
  <c r="J59" i="15"/>
  <c r="J107" i="15"/>
  <c r="J171" i="15"/>
  <c r="J187" i="15"/>
  <c r="J203" i="15"/>
  <c r="J235" i="15"/>
  <c r="J251" i="15"/>
  <c r="J109" i="15"/>
  <c r="J93" i="15"/>
  <c r="J162" i="15"/>
  <c r="J178" i="15"/>
  <c r="J194" i="15"/>
  <c r="J258" i="15"/>
  <c r="J146" i="15"/>
  <c r="J77" i="15"/>
  <c r="J237" i="15"/>
  <c r="J100" i="15"/>
  <c r="J116" i="15"/>
  <c r="J212" i="15"/>
  <c r="J260" i="15"/>
  <c r="J253" i="15"/>
  <c r="J18" i="15"/>
  <c r="J68" i="15"/>
  <c r="J66" i="15"/>
  <c r="J39" i="15"/>
  <c r="J61" i="15"/>
  <c r="J16" i="15"/>
  <c r="J52" i="15"/>
  <c r="J125" i="15"/>
  <c r="J57" i="15"/>
  <c r="J181" i="15"/>
  <c r="J143" i="15"/>
  <c r="J213" i="15"/>
  <c r="J222" i="15"/>
  <c r="J71" i="15"/>
  <c r="J185" i="15"/>
  <c r="J175" i="15"/>
  <c r="J247" i="15"/>
  <c r="J87" i="15"/>
  <c r="J78" i="15"/>
  <c r="J112" i="15"/>
  <c r="J218" i="15"/>
  <c r="J245" i="15"/>
  <c r="J254" i="15"/>
  <c r="J263" i="15"/>
  <c r="J33" i="15"/>
  <c r="J40" i="15"/>
  <c r="J67" i="15"/>
  <c r="J74" i="15"/>
  <c r="J103" i="15"/>
  <c r="J157" i="15"/>
  <c r="J234" i="15"/>
  <c r="J261" i="15"/>
  <c r="J56" i="15"/>
  <c r="J132" i="15"/>
  <c r="J173" i="15"/>
  <c r="J241" i="15"/>
  <c r="J49" i="15"/>
  <c r="J123" i="15"/>
  <c r="J135" i="15"/>
  <c r="J142" i="15"/>
  <c r="J148" i="15"/>
  <c r="J250" i="15"/>
  <c r="J197" i="15"/>
  <c r="J83" i="15"/>
  <c r="J81" i="15"/>
  <c r="J90" i="15"/>
  <c r="J98" i="15"/>
  <c r="J25" i="15"/>
  <c r="J45" i="15"/>
  <c r="J69" i="15"/>
  <c r="J72" i="15"/>
  <c r="J164" i="15"/>
  <c r="J169" i="15"/>
  <c r="J257" i="15"/>
  <c r="J95" i="15"/>
  <c r="J51" i="15"/>
  <c r="J200" i="15"/>
  <c r="J97" i="15"/>
  <c r="J106" i="15"/>
  <c r="J115" i="15"/>
  <c r="J155" i="15"/>
  <c r="J174" i="15"/>
  <c r="J183" i="15"/>
  <c r="J65" i="15" l="1"/>
  <c r="J191" i="15"/>
  <c r="J242" i="15"/>
  <c r="J205" i="15"/>
  <c r="J231" i="15"/>
  <c r="J248" i="15"/>
  <c r="J239" i="15"/>
  <c r="J189" i="15"/>
  <c r="J53" i="15"/>
  <c r="J226" i="15"/>
  <c r="J20" i="15"/>
  <c r="J15" i="15"/>
  <c r="J160" i="15"/>
  <c r="J141" i="15"/>
  <c r="J82" i="15"/>
  <c r="J105" i="15"/>
  <c r="J22" i="15"/>
  <c r="J233" i="15"/>
  <c r="J41" i="15"/>
  <c r="J17" i="15"/>
  <c r="J139" i="15"/>
  <c r="J13" i="15"/>
  <c r="J176" i="15"/>
  <c r="J50" i="15"/>
  <c r="J48" i="15"/>
  <c r="J63" i="15"/>
  <c r="J198" i="15"/>
  <c r="J114" i="15"/>
  <c r="J99" i="15"/>
  <c r="J110" i="15"/>
  <c r="J192" i="15"/>
  <c r="J96" i="15"/>
  <c r="J214" i="15"/>
  <c r="J219" i="15"/>
  <c r="J207" i="15"/>
  <c r="J31" i="15"/>
  <c r="J111" i="15"/>
  <c r="J84" i="15"/>
  <c r="J240" i="15"/>
  <c r="J75" i="15"/>
  <c r="J144" i="15"/>
  <c r="J34" i="15"/>
  <c r="J36" i="15"/>
  <c r="K3" i="15" s="1"/>
  <c r="L3" i="15" s="1"/>
  <c r="O3" i="5" s="1"/>
  <c r="P3" i="5" s="1"/>
  <c r="Q3" i="5" s="1"/>
  <c r="J29" i="15"/>
  <c r="J246" i="15"/>
  <c r="H263" i="13" l="1"/>
  <c r="G263" i="13"/>
  <c r="F263" i="13"/>
  <c r="E263" i="13"/>
  <c r="D263" i="13"/>
  <c r="C263" i="13"/>
  <c r="B263" i="13"/>
  <c r="H262" i="13"/>
  <c r="G262" i="13"/>
  <c r="F262" i="13"/>
  <c r="E262" i="13"/>
  <c r="D262" i="13"/>
  <c r="C262" i="13"/>
  <c r="B262" i="13"/>
  <c r="H261" i="13"/>
  <c r="G261" i="13"/>
  <c r="F261" i="13"/>
  <c r="E261" i="13"/>
  <c r="D261" i="13"/>
  <c r="C261" i="13"/>
  <c r="B261" i="13"/>
  <c r="H260" i="13"/>
  <c r="G260" i="13"/>
  <c r="F260" i="13"/>
  <c r="E260" i="13"/>
  <c r="D260" i="13"/>
  <c r="C260" i="13"/>
  <c r="B260" i="13"/>
  <c r="H259" i="13"/>
  <c r="G259" i="13"/>
  <c r="F259" i="13"/>
  <c r="E259" i="13"/>
  <c r="D259" i="13"/>
  <c r="C259" i="13"/>
  <c r="B259" i="13"/>
  <c r="H258" i="13"/>
  <c r="G258" i="13"/>
  <c r="F258" i="13"/>
  <c r="E258" i="13"/>
  <c r="D258" i="13"/>
  <c r="C258" i="13"/>
  <c r="B258" i="13"/>
  <c r="H257" i="13"/>
  <c r="G257" i="13"/>
  <c r="F257" i="13"/>
  <c r="E257" i="13"/>
  <c r="D257" i="13"/>
  <c r="C257" i="13"/>
  <c r="B257" i="13"/>
  <c r="H256" i="13"/>
  <c r="G256" i="13"/>
  <c r="F256" i="13"/>
  <c r="E256" i="13"/>
  <c r="D256" i="13"/>
  <c r="C256" i="13"/>
  <c r="B256" i="13"/>
  <c r="H255" i="13"/>
  <c r="G255" i="13"/>
  <c r="F255" i="13"/>
  <c r="E255" i="13"/>
  <c r="D255" i="13"/>
  <c r="C255" i="13"/>
  <c r="B255" i="13"/>
  <c r="H254" i="13"/>
  <c r="G254" i="13"/>
  <c r="F254" i="13"/>
  <c r="E254" i="13"/>
  <c r="D254" i="13"/>
  <c r="C254" i="13"/>
  <c r="B254" i="13"/>
  <c r="H253" i="13"/>
  <c r="G253" i="13"/>
  <c r="F253" i="13"/>
  <c r="E253" i="13"/>
  <c r="D253" i="13"/>
  <c r="C253" i="13"/>
  <c r="B253" i="13"/>
  <c r="H252" i="13"/>
  <c r="G252" i="13"/>
  <c r="F252" i="13"/>
  <c r="E252" i="13"/>
  <c r="D252" i="13"/>
  <c r="C252" i="13"/>
  <c r="B252" i="13"/>
  <c r="H251" i="13"/>
  <c r="G251" i="13"/>
  <c r="F251" i="13"/>
  <c r="E251" i="13"/>
  <c r="D251" i="13"/>
  <c r="C251" i="13"/>
  <c r="B251" i="13"/>
  <c r="H250" i="13"/>
  <c r="G250" i="13"/>
  <c r="F250" i="13"/>
  <c r="E250" i="13"/>
  <c r="D250" i="13"/>
  <c r="C250" i="13"/>
  <c r="B250" i="13"/>
  <c r="H249" i="13"/>
  <c r="G249" i="13"/>
  <c r="F249" i="13"/>
  <c r="E249" i="13"/>
  <c r="D249" i="13"/>
  <c r="C249" i="13"/>
  <c r="B249" i="13"/>
  <c r="H248" i="13"/>
  <c r="G248" i="13"/>
  <c r="F248" i="13"/>
  <c r="E248" i="13"/>
  <c r="D248" i="13"/>
  <c r="C248" i="13"/>
  <c r="B248" i="13"/>
  <c r="H247" i="13"/>
  <c r="G247" i="13"/>
  <c r="F247" i="13"/>
  <c r="E247" i="13"/>
  <c r="D247" i="13"/>
  <c r="C247" i="13"/>
  <c r="B247" i="13"/>
  <c r="H246" i="13"/>
  <c r="G246" i="13"/>
  <c r="F246" i="13"/>
  <c r="E246" i="13"/>
  <c r="D246" i="13"/>
  <c r="C246" i="13"/>
  <c r="B246" i="13"/>
  <c r="H245" i="13"/>
  <c r="G245" i="13"/>
  <c r="F245" i="13"/>
  <c r="E245" i="13"/>
  <c r="D245" i="13"/>
  <c r="C245" i="13"/>
  <c r="B245" i="13"/>
  <c r="H244" i="13"/>
  <c r="G244" i="13"/>
  <c r="F244" i="13"/>
  <c r="E244" i="13"/>
  <c r="D244" i="13"/>
  <c r="C244" i="13"/>
  <c r="B244" i="13"/>
  <c r="H243" i="13"/>
  <c r="G243" i="13"/>
  <c r="F243" i="13"/>
  <c r="E243" i="13"/>
  <c r="D243" i="13"/>
  <c r="C243" i="13"/>
  <c r="B243" i="13"/>
  <c r="H242" i="13"/>
  <c r="G242" i="13"/>
  <c r="F242" i="13"/>
  <c r="E242" i="13"/>
  <c r="D242" i="13"/>
  <c r="C242" i="13"/>
  <c r="B242" i="13"/>
  <c r="H241" i="13"/>
  <c r="G241" i="13"/>
  <c r="F241" i="13"/>
  <c r="E241" i="13"/>
  <c r="D241" i="13"/>
  <c r="C241" i="13"/>
  <c r="B241" i="13"/>
  <c r="H240" i="13"/>
  <c r="G240" i="13"/>
  <c r="F240" i="13"/>
  <c r="E240" i="13"/>
  <c r="D240" i="13"/>
  <c r="C240" i="13"/>
  <c r="B240" i="13"/>
  <c r="H239" i="13"/>
  <c r="G239" i="13"/>
  <c r="F239" i="13"/>
  <c r="E239" i="13"/>
  <c r="D239" i="13"/>
  <c r="C239" i="13"/>
  <c r="B239" i="13"/>
  <c r="H238" i="13"/>
  <c r="G238" i="13"/>
  <c r="F238" i="13"/>
  <c r="E238" i="13"/>
  <c r="D238" i="13"/>
  <c r="C238" i="13"/>
  <c r="B238" i="13"/>
  <c r="H237" i="13"/>
  <c r="G237" i="13"/>
  <c r="F237" i="13"/>
  <c r="I237" i="13" s="1"/>
  <c r="E237" i="13"/>
  <c r="D237" i="13"/>
  <c r="C237" i="13"/>
  <c r="B237" i="13"/>
  <c r="H236" i="13"/>
  <c r="G236" i="13"/>
  <c r="F236" i="13"/>
  <c r="E236" i="13"/>
  <c r="D236" i="13"/>
  <c r="C236" i="13"/>
  <c r="B236" i="13"/>
  <c r="H235" i="13"/>
  <c r="G235" i="13"/>
  <c r="F235" i="13"/>
  <c r="E235" i="13"/>
  <c r="D235" i="13"/>
  <c r="C235" i="13"/>
  <c r="B235" i="13"/>
  <c r="H234" i="13"/>
  <c r="G234" i="13"/>
  <c r="F234" i="13"/>
  <c r="E234" i="13"/>
  <c r="D234" i="13"/>
  <c r="C234" i="13"/>
  <c r="B234" i="13"/>
  <c r="H233" i="13"/>
  <c r="G233" i="13"/>
  <c r="F233" i="13"/>
  <c r="E233" i="13"/>
  <c r="D233" i="13"/>
  <c r="C233" i="13"/>
  <c r="B233" i="13"/>
  <c r="H232" i="13"/>
  <c r="G232" i="13"/>
  <c r="F232" i="13"/>
  <c r="E232" i="13"/>
  <c r="D232" i="13"/>
  <c r="C232" i="13"/>
  <c r="B232" i="13"/>
  <c r="H231" i="13"/>
  <c r="G231" i="13"/>
  <c r="F231" i="13"/>
  <c r="E231" i="13"/>
  <c r="D231" i="13"/>
  <c r="C231" i="13"/>
  <c r="B231" i="13"/>
  <c r="H230" i="13"/>
  <c r="G230" i="13"/>
  <c r="F230" i="13"/>
  <c r="E230" i="13"/>
  <c r="D230" i="13"/>
  <c r="C230" i="13"/>
  <c r="B230" i="13"/>
  <c r="H229" i="13"/>
  <c r="G229" i="13"/>
  <c r="F229" i="13"/>
  <c r="E229" i="13"/>
  <c r="D229" i="13"/>
  <c r="C229" i="13"/>
  <c r="B229" i="13"/>
  <c r="H228" i="13"/>
  <c r="G228" i="13"/>
  <c r="F228" i="13"/>
  <c r="E228" i="13"/>
  <c r="D228" i="13"/>
  <c r="C228" i="13"/>
  <c r="B228" i="13"/>
  <c r="H227" i="13"/>
  <c r="G227" i="13"/>
  <c r="F227" i="13"/>
  <c r="E227" i="13"/>
  <c r="D227" i="13"/>
  <c r="C227" i="13"/>
  <c r="B227" i="13"/>
  <c r="H226" i="13"/>
  <c r="G226" i="13"/>
  <c r="F226" i="13"/>
  <c r="E226" i="13"/>
  <c r="D226" i="13"/>
  <c r="C226" i="13"/>
  <c r="B226" i="13"/>
  <c r="H225" i="13"/>
  <c r="G225" i="13"/>
  <c r="F225" i="13"/>
  <c r="E225" i="13"/>
  <c r="D225" i="13"/>
  <c r="C225" i="13"/>
  <c r="B225" i="13"/>
  <c r="H224" i="13"/>
  <c r="G224" i="13"/>
  <c r="F224" i="13"/>
  <c r="E224" i="13"/>
  <c r="D224" i="13"/>
  <c r="C224" i="13"/>
  <c r="B224" i="13"/>
  <c r="H223" i="13"/>
  <c r="G223" i="13"/>
  <c r="F223" i="13"/>
  <c r="E223" i="13"/>
  <c r="D223" i="13"/>
  <c r="C223" i="13"/>
  <c r="B223" i="13"/>
  <c r="H222" i="13"/>
  <c r="G222" i="13"/>
  <c r="F222" i="13"/>
  <c r="E222" i="13"/>
  <c r="D222" i="13"/>
  <c r="C222" i="13"/>
  <c r="B222" i="13"/>
  <c r="H221" i="13"/>
  <c r="G221" i="13"/>
  <c r="F221" i="13"/>
  <c r="I221" i="13" s="1"/>
  <c r="E221" i="13"/>
  <c r="D221" i="13"/>
  <c r="C221" i="13"/>
  <c r="B221" i="13"/>
  <c r="H220" i="13"/>
  <c r="G220" i="13"/>
  <c r="F220" i="13"/>
  <c r="E220" i="13"/>
  <c r="D220" i="13"/>
  <c r="C220" i="13"/>
  <c r="B220" i="13"/>
  <c r="H219" i="13"/>
  <c r="G219" i="13"/>
  <c r="F219" i="13"/>
  <c r="E219" i="13"/>
  <c r="D219" i="13"/>
  <c r="C219" i="13"/>
  <c r="B219" i="13"/>
  <c r="H218" i="13"/>
  <c r="G218" i="13"/>
  <c r="F218" i="13"/>
  <c r="E218" i="13"/>
  <c r="D218" i="13"/>
  <c r="C218" i="13"/>
  <c r="B218" i="13"/>
  <c r="H217" i="13"/>
  <c r="G217" i="13"/>
  <c r="F217" i="13"/>
  <c r="E217" i="13"/>
  <c r="D217" i="13"/>
  <c r="C217" i="13"/>
  <c r="B217" i="13"/>
  <c r="H216" i="13"/>
  <c r="G216" i="13"/>
  <c r="F216" i="13"/>
  <c r="E216" i="13"/>
  <c r="D216" i="13"/>
  <c r="C216" i="13"/>
  <c r="B216" i="13"/>
  <c r="H215" i="13"/>
  <c r="G215" i="13"/>
  <c r="F215" i="13"/>
  <c r="E215" i="13"/>
  <c r="D215" i="13"/>
  <c r="C215" i="13"/>
  <c r="B215" i="13"/>
  <c r="H214" i="13"/>
  <c r="G214" i="13"/>
  <c r="F214" i="13"/>
  <c r="E214" i="13"/>
  <c r="D214" i="13"/>
  <c r="C214" i="13"/>
  <c r="B214" i="13"/>
  <c r="H213" i="13"/>
  <c r="G213" i="13"/>
  <c r="F213" i="13"/>
  <c r="E213" i="13"/>
  <c r="D213" i="13"/>
  <c r="C213" i="13"/>
  <c r="B213" i="13"/>
  <c r="H212" i="13"/>
  <c r="G212" i="13"/>
  <c r="F212" i="13"/>
  <c r="E212" i="13"/>
  <c r="D212" i="13"/>
  <c r="C212" i="13"/>
  <c r="B212" i="13"/>
  <c r="H211" i="13"/>
  <c r="G211" i="13"/>
  <c r="F211" i="13"/>
  <c r="E211" i="13"/>
  <c r="D211" i="13"/>
  <c r="C211" i="13"/>
  <c r="B211" i="13"/>
  <c r="H210" i="13"/>
  <c r="G210" i="13"/>
  <c r="F210" i="13"/>
  <c r="E210" i="13"/>
  <c r="D210" i="13"/>
  <c r="C210" i="13"/>
  <c r="B210" i="13"/>
  <c r="H209" i="13"/>
  <c r="G209" i="13"/>
  <c r="F209" i="13"/>
  <c r="E209" i="13"/>
  <c r="D209" i="13"/>
  <c r="C209" i="13"/>
  <c r="B209" i="13"/>
  <c r="H208" i="13"/>
  <c r="G208" i="13"/>
  <c r="F208" i="13"/>
  <c r="E208" i="13"/>
  <c r="D208" i="13"/>
  <c r="C208" i="13"/>
  <c r="B208" i="13"/>
  <c r="H207" i="13"/>
  <c r="G207" i="13"/>
  <c r="F207" i="13"/>
  <c r="E207" i="13"/>
  <c r="D207" i="13"/>
  <c r="C207" i="13"/>
  <c r="B207" i="13"/>
  <c r="H206" i="13"/>
  <c r="G206" i="13"/>
  <c r="F206" i="13"/>
  <c r="E206" i="13"/>
  <c r="D206" i="13"/>
  <c r="C206" i="13"/>
  <c r="B206" i="13"/>
  <c r="H205" i="13"/>
  <c r="G205" i="13"/>
  <c r="F205" i="13"/>
  <c r="I205" i="13" s="1"/>
  <c r="E205" i="13"/>
  <c r="D205" i="13"/>
  <c r="C205" i="13"/>
  <c r="B205" i="13"/>
  <c r="H204" i="13"/>
  <c r="G204" i="13"/>
  <c r="F204" i="13"/>
  <c r="E204" i="13"/>
  <c r="D204" i="13"/>
  <c r="C204" i="13"/>
  <c r="B204" i="13"/>
  <c r="H203" i="13"/>
  <c r="G203" i="13"/>
  <c r="F203" i="13"/>
  <c r="E203" i="13"/>
  <c r="D203" i="13"/>
  <c r="C203" i="13"/>
  <c r="B203" i="13"/>
  <c r="H202" i="13"/>
  <c r="G202" i="13"/>
  <c r="F202" i="13"/>
  <c r="E202" i="13"/>
  <c r="D202" i="13"/>
  <c r="C202" i="13"/>
  <c r="B202" i="13"/>
  <c r="H201" i="13"/>
  <c r="G201" i="13"/>
  <c r="F201" i="13"/>
  <c r="E201" i="13"/>
  <c r="D201" i="13"/>
  <c r="C201" i="13"/>
  <c r="B201" i="13"/>
  <c r="H200" i="13"/>
  <c r="G200" i="13"/>
  <c r="F200" i="13"/>
  <c r="E200" i="13"/>
  <c r="D200" i="13"/>
  <c r="C200" i="13"/>
  <c r="B200" i="13"/>
  <c r="H199" i="13"/>
  <c r="G199" i="13"/>
  <c r="F199" i="13"/>
  <c r="E199" i="13"/>
  <c r="D199" i="13"/>
  <c r="C199" i="13"/>
  <c r="B199" i="13"/>
  <c r="H198" i="13"/>
  <c r="G198" i="13"/>
  <c r="F198" i="13"/>
  <c r="E198" i="13"/>
  <c r="D198" i="13"/>
  <c r="C198" i="13"/>
  <c r="B198" i="13"/>
  <c r="H197" i="13"/>
  <c r="G197" i="13"/>
  <c r="F197" i="13"/>
  <c r="E197" i="13"/>
  <c r="D197" i="13"/>
  <c r="C197" i="13"/>
  <c r="B197" i="13"/>
  <c r="H196" i="13"/>
  <c r="G196" i="13"/>
  <c r="F196" i="13"/>
  <c r="E196" i="13"/>
  <c r="D196" i="13"/>
  <c r="C196" i="13"/>
  <c r="B196" i="13"/>
  <c r="H195" i="13"/>
  <c r="G195" i="13"/>
  <c r="F195" i="13"/>
  <c r="E195" i="13"/>
  <c r="D195" i="13"/>
  <c r="C195" i="13"/>
  <c r="B195" i="13"/>
  <c r="H194" i="13"/>
  <c r="G194" i="13"/>
  <c r="F194" i="13"/>
  <c r="E194" i="13"/>
  <c r="D194" i="13"/>
  <c r="C194" i="13"/>
  <c r="B194" i="13"/>
  <c r="H193" i="13"/>
  <c r="G193" i="13"/>
  <c r="F193" i="13"/>
  <c r="E193" i="13"/>
  <c r="D193" i="13"/>
  <c r="C193" i="13"/>
  <c r="B193" i="13"/>
  <c r="H192" i="13"/>
  <c r="G192" i="13"/>
  <c r="F192" i="13"/>
  <c r="E192" i="13"/>
  <c r="D192" i="13"/>
  <c r="C192" i="13"/>
  <c r="B192" i="13"/>
  <c r="H191" i="13"/>
  <c r="G191" i="13"/>
  <c r="F191" i="13"/>
  <c r="E191" i="13"/>
  <c r="D191" i="13"/>
  <c r="C191" i="13"/>
  <c r="B191" i="13"/>
  <c r="H190" i="13"/>
  <c r="G190" i="13"/>
  <c r="F190" i="13"/>
  <c r="E190" i="13"/>
  <c r="D190" i="13"/>
  <c r="C190" i="13"/>
  <c r="B190" i="13"/>
  <c r="H189" i="13"/>
  <c r="G189" i="13"/>
  <c r="F189" i="13"/>
  <c r="I189" i="13" s="1"/>
  <c r="E189" i="13"/>
  <c r="D189" i="13"/>
  <c r="C189" i="13"/>
  <c r="B189" i="13"/>
  <c r="H188" i="13"/>
  <c r="G188" i="13"/>
  <c r="F188" i="13"/>
  <c r="E188" i="13"/>
  <c r="D188" i="13"/>
  <c r="C188" i="13"/>
  <c r="B188" i="13"/>
  <c r="H187" i="13"/>
  <c r="G187" i="13"/>
  <c r="F187" i="13"/>
  <c r="E187" i="13"/>
  <c r="D187" i="13"/>
  <c r="C187" i="13"/>
  <c r="B187" i="13"/>
  <c r="H186" i="13"/>
  <c r="G186" i="13"/>
  <c r="F186" i="13"/>
  <c r="E186" i="13"/>
  <c r="D186" i="13"/>
  <c r="C186" i="13"/>
  <c r="B186" i="13"/>
  <c r="H185" i="13"/>
  <c r="G185" i="13"/>
  <c r="F185" i="13"/>
  <c r="E185" i="13"/>
  <c r="D185" i="13"/>
  <c r="C185" i="13"/>
  <c r="B185" i="13"/>
  <c r="H184" i="13"/>
  <c r="G184" i="13"/>
  <c r="F184" i="13"/>
  <c r="E184" i="13"/>
  <c r="D184" i="13"/>
  <c r="C184" i="13"/>
  <c r="B184" i="13"/>
  <c r="H183" i="13"/>
  <c r="G183" i="13"/>
  <c r="F183" i="13"/>
  <c r="E183" i="13"/>
  <c r="D183" i="13"/>
  <c r="C183" i="13"/>
  <c r="B183" i="13"/>
  <c r="H182" i="13"/>
  <c r="G182" i="13"/>
  <c r="F182" i="13"/>
  <c r="E182" i="13"/>
  <c r="D182" i="13"/>
  <c r="C182" i="13"/>
  <c r="B182" i="13"/>
  <c r="H181" i="13"/>
  <c r="G181" i="13"/>
  <c r="F181" i="13"/>
  <c r="E181" i="13"/>
  <c r="D181" i="13"/>
  <c r="C181" i="13"/>
  <c r="B181" i="13"/>
  <c r="H180" i="13"/>
  <c r="G180" i="13"/>
  <c r="F180" i="13"/>
  <c r="E180" i="13"/>
  <c r="D180" i="13"/>
  <c r="C180" i="13"/>
  <c r="B180" i="13"/>
  <c r="H179" i="13"/>
  <c r="G179" i="13"/>
  <c r="F179" i="13"/>
  <c r="E179" i="13"/>
  <c r="D179" i="13"/>
  <c r="C179" i="13"/>
  <c r="B179" i="13"/>
  <c r="H178" i="13"/>
  <c r="G178" i="13"/>
  <c r="F178" i="13"/>
  <c r="E178" i="13"/>
  <c r="D178" i="13"/>
  <c r="C178" i="13"/>
  <c r="B178" i="13"/>
  <c r="H177" i="13"/>
  <c r="G177" i="13"/>
  <c r="F177" i="13"/>
  <c r="E177" i="13"/>
  <c r="D177" i="13"/>
  <c r="C177" i="13"/>
  <c r="B177" i="13"/>
  <c r="H176" i="13"/>
  <c r="G176" i="13"/>
  <c r="F176" i="13"/>
  <c r="E176" i="13"/>
  <c r="D176" i="13"/>
  <c r="C176" i="13"/>
  <c r="B176" i="13"/>
  <c r="H175" i="13"/>
  <c r="G175" i="13"/>
  <c r="F175" i="13"/>
  <c r="E175" i="13"/>
  <c r="D175" i="13"/>
  <c r="C175" i="13"/>
  <c r="B175" i="13"/>
  <c r="H174" i="13"/>
  <c r="I174" i="13" s="1"/>
  <c r="G174" i="13"/>
  <c r="F174" i="13"/>
  <c r="E174" i="13"/>
  <c r="D174" i="13"/>
  <c r="C174" i="13"/>
  <c r="B174" i="13"/>
  <c r="H173" i="13"/>
  <c r="G173" i="13"/>
  <c r="F173" i="13"/>
  <c r="I173" i="13" s="1"/>
  <c r="E173" i="13"/>
  <c r="D173" i="13"/>
  <c r="C173" i="13"/>
  <c r="B173" i="13"/>
  <c r="H172" i="13"/>
  <c r="G172" i="13"/>
  <c r="F172" i="13"/>
  <c r="E172" i="13"/>
  <c r="D172" i="13"/>
  <c r="C172" i="13"/>
  <c r="B172" i="13"/>
  <c r="H171" i="13"/>
  <c r="G171" i="13"/>
  <c r="F171" i="13"/>
  <c r="E171" i="13"/>
  <c r="D171" i="13"/>
  <c r="C171" i="13"/>
  <c r="B171" i="13"/>
  <c r="H170" i="13"/>
  <c r="G170" i="13"/>
  <c r="F170" i="13"/>
  <c r="E170" i="13"/>
  <c r="D170" i="13"/>
  <c r="C170" i="13"/>
  <c r="B170" i="13"/>
  <c r="H169" i="13"/>
  <c r="G169" i="13"/>
  <c r="F169" i="13"/>
  <c r="E169" i="13"/>
  <c r="D169" i="13"/>
  <c r="C169" i="13"/>
  <c r="B169" i="13"/>
  <c r="H168" i="13"/>
  <c r="G168" i="13"/>
  <c r="F168" i="13"/>
  <c r="E168" i="13"/>
  <c r="D168" i="13"/>
  <c r="C168" i="13"/>
  <c r="B168" i="13"/>
  <c r="H167" i="13"/>
  <c r="G167" i="13"/>
  <c r="F167" i="13"/>
  <c r="E167" i="13"/>
  <c r="D167" i="13"/>
  <c r="C167" i="13"/>
  <c r="B167" i="13"/>
  <c r="H166" i="13"/>
  <c r="G166" i="13"/>
  <c r="F166" i="13"/>
  <c r="E166" i="13"/>
  <c r="D166" i="13"/>
  <c r="C166" i="13"/>
  <c r="B166" i="13"/>
  <c r="H165" i="13"/>
  <c r="G165" i="13"/>
  <c r="F165" i="13"/>
  <c r="E165" i="13"/>
  <c r="D165" i="13"/>
  <c r="C165" i="13"/>
  <c r="B165" i="13"/>
  <c r="H164" i="13"/>
  <c r="G164" i="13"/>
  <c r="F164" i="13"/>
  <c r="E164" i="13"/>
  <c r="D164" i="13"/>
  <c r="C164" i="13"/>
  <c r="B164" i="13"/>
  <c r="H163" i="13"/>
  <c r="G163" i="13"/>
  <c r="F163" i="13"/>
  <c r="E163" i="13"/>
  <c r="D163" i="13"/>
  <c r="C163" i="13"/>
  <c r="B163" i="13"/>
  <c r="H162" i="13"/>
  <c r="G162" i="13"/>
  <c r="F162" i="13"/>
  <c r="E162" i="13"/>
  <c r="D162" i="13"/>
  <c r="C162" i="13"/>
  <c r="B162" i="13"/>
  <c r="H161" i="13"/>
  <c r="G161" i="13"/>
  <c r="F161" i="13"/>
  <c r="E161" i="13"/>
  <c r="D161" i="13"/>
  <c r="C161" i="13"/>
  <c r="B161" i="13"/>
  <c r="H160" i="13"/>
  <c r="G160" i="13"/>
  <c r="F160" i="13"/>
  <c r="E160" i="13"/>
  <c r="D160" i="13"/>
  <c r="C160" i="13"/>
  <c r="B160" i="13"/>
  <c r="H159" i="13"/>
  <c r="G159" i="13"/>
  <c r="F159" i="13"/>
  <c r="E159" i="13"/>
  <c r="D159" i="13"/>
  <c r="C159" i="13"/>
  <c r="B159" i="13"/>
  <c r="H158" i="13"/>
  <c r="I158" i="13" s="1"/>
  <c r="G158" i="13"/>
  <c r="F158" i="13"/>
  <c r="E158" i="13"/>
  <c r="D158" i="13"/>
  <c r="C158" i="13"/>
  <c r="B158" i="13"/>
  <c r="H157" i="13"/>
  <c r="G157" i="13"/>
  <c r="F157" i="13"/>
  <c r="I157" i="13" s="1"/>
  <c r="E157" i="13"/>
  <c r="D157" i="13"/>
  <c r="C157" i="13"/>
  <c r="B157" i="13"/>
  <c r="H156" i="13"/>
  <c r="G156" i="13"/>
  <c r="F156" i="13"/>
  <c r="E156" i="13"/>
  <c r="D156" i="13"/>
  <c r="C156" i="13"/>
  <c r="B156" i="13"/>
  <c r="H155" i="13"/>
  <c r="G155" i="13"/>
  <c r="F155" i="13"/>
  <c r="E155" i="13"/>
  <c r="D155" i="13"/>
  <c r="C155" i="13"/>
  <c r="B155" i="13"/>
  <c r="H154" i="13"/>
  <c r="G154" i="13"/>
  <c r="F154" i="13"/>
  <c r="E154" i="13"/>
  <c r="D154" i="13"/>
  <c r="C154" i="13"/>
  <c r="B154" i="13"/>
  <c r="H153" i="13"/>
  <c r="G153" i="13"/>
  <c r="F153" i="13"/>
  <c r="E153" i="13"/>
  <c r="D153" i="13"/>
  <c r="C153" i="13"/>
  <c r="B153" i="13"/>
  <c r="H152" i="13"/>
  <c r="G152" i="13"/>
  <c r="F152" i="13"/>
  <c r="E152" i="13"/>
  <c r="D152" i="13"/>
  <c r="C152" i="13"/>
  <c r="B152" i="13"/>
  <c r="H151" i="13"/>
  <c r="G151" i="13"/>
  <c r="F151" i="13"/>
  <c r="E151" i="13"/>
  <c r="D151" i="13"/>
  <c r="C151" i="13"/>
  <c r="B151" i="13"/>
  <c r="H150" i="13"/>
  <c r="G150" i="13"/>
  <c r="F150" i="13"/>
  <c r="E150" i="13"/>
  <c r="D150" i="13"/>
  <c r="C150" i="13"/>
  <c r="B150" i="13"/>
  <c r="H149" i="13"/>
  <c r="G149" i="13"/>
  <c r="F149" i="13"/>
  <c r="E149" i="13"/>
  <c r="D149" i="13"/>
  <c r="C149" i="13"/>
  <c r="B149" i="13"/>
  <c r="H148" i="13"/>
  <c r="G148" i="13"/>
  <c r="F148" i="13"/>
  <c r="E148" i="13"/>
  <c r="D148" i="13"/>
  <c r="C148" i="13"/>
  <c r="B148" i="13"/>
  <c r="H147" i="13"/>
  <c r="G147" i="13"/>
  <c r="F147" i="13"/>
  <c r="E147" i="13"/>
  <c r="D147" i="13"/>
  <c r="C147" i="13"/>
  <c r="B147" i="13"/>
  <c r="H146" i="13"/>
  <c r="G146" i="13"/>
  <c r="F146" i="13"/>
  <c r="E146" i="13"/>
  <c r="D146" i="13"/>
  <c r="C146" i="13"/>
  <c r="B146" i="13"/>
  <c r="H145" i="13"/>
  <c r="G145" i="13"/>
  <c r="F145" i="13"/>
  <c r="E145" i="13"/>
  <c r="D145" i="13"/>
  <c r="C145" i="13"/>
  <c r="B145" i="13"/>
  <c r="H144" i="13"/>
  <c r="G144" i="13"/>
  <c r="F144" i="13"/>
  <c r="E144" i="13"/>
  <c r="D144" i="13"/>
  <c r="C144" i="13"/>
  <c r="B144" i="13"/>
  <c r="H143" i="13"/>
  <c r="G143" i="13"/>
  <c r="F143" i="13"/>
  <c r="E143" i="13"/>
  <c r="D143" i="13"/>
  <c r="C143" i="13"/>
  <c r="B143" i="13"/>
  <c r="H142" i="13"/>
  <c r="G142" i="13"/>
  <c r="F142" i="13"/>
  <c r="E142" i="13"/>
  <c r="D142" i="13"/>
  <c r="C142" i="13"/>
  <c r="B142" i="13"/>
  <c r="H141" i="13"/>
  <c r="G141" i="13"/>
  <c r="F141" i="13"/>
  <c r="I141" i="13" s="1"/>
  <c r="E141" i="13"/>
  <c r="D141" i="13"/>
  <c r="C141" i="13"/>
  <c r="B141" i="13"/>
  <c r="H140" i="13"/>
  <c r="G140" i="13"/>
  <c r="F140" i="13"/>
  <c r="E140" i="13"/>
  <c r="D140" i="13"/>
  <c r="C140" i="13"/>
  <c r="B140" i="13"/>
  <c r="H139" i="13"/>
  <c r="G139" i="13"/>
  <c r="F139" i="13"/>
  <c r="E139" i="13"/>
  <c r="D139" i="13"/>
  <c r="C139" i="13"/>
  <c r="B139" i="13"/>
  <c r="H138" i="13"/>
  <c r="G138" i="13"/>
  <c r="F138" i="13"/>
  <c r="E138" i="13"/>
  <c r="D138" i="13"/>
  <c r="C138" i="13"/>
  <c r="B138" i="13"/>
  <c r="H137" i="13"/>
  <c r="G137" i="13"/>
  <c r="F137" i="13"/>
  <c r="E137" i="13"/>
  <c r="D137" i="13"/>
  <c r="C137" i="13"/>
  <c r="B137" i="13"/>
  <c r="H136" i="13"/>
  <c r="G136" i="13"/>
  <c r="F136" i="13"/>
  <c r="E136" i="13"/>
  <c r="D136" i="13"/>
  <c r="C136" i="13"/>
  <c r="B136" i="13"/>
  <c r="H135" i="13"/>
  <c r="G135" i="13"/>
  <c r="F135" i="13"/>
  <c r="E135" i="13"/>
  <c r="D135" i="13"/>
  <c r="C135" i="13"/>
  <c r="B135" i="13"/>
  <c r="H134" i="13"/>
  <c r="G134" i="13"/>
  <c r="F134" i="13"/>
  <c r="E134" i="13"/>
  <c r="D134" i="13"/>
  <c r="C134" i="13"/>
  <c r="B134" i="13"/>
  <c r="H133" i="13"/>
  <c r="G133" i="13"/>
  <c r="F133" i="13"/>
  <c r="E133" i="13"/>
  <c r="D133" i="13"/>
  <c r="C133" i="13"/>
  <c r="B133" i="13"/>
  <c r="H132" i="13"/>
  <c r="G132" i="13"/>
  <c r="F132" i="13"/>
  <c r="E132" i="13"/>
  <c r="D132" i="13"/>
  <c r="C132" i="13"/>
  <c r="B132" i="13"/>
  <c r="H131" i="13"/>
  <c r="G131" i="13"/>
  <c r="F131" i="13"/>
  <c r="E131" i="13"/>
  <c r="D131" i="13"/>
  <c r="C131" i="13"/>
  <c r="B131" i="13"/>
  <c r="H130" i="13"/>
  <c r="G130" i="13"/>
  <c r="F130" i="13"/>
  <c r="E130" i="13"/>
  <c r="D130" i="13"/>
  <c r="C130" i="13"/>
  <c r="B130" i="13"/>
  <c r="H129" i="13"/>
  <c r="G129" i="13"/>
  <c r="F129" i="13"/>
  <c r="E129" i="13"/>
  <c r="D129" i="13"/>
  <c r="C129" i="13"/>
  <c r="B129" i="13"/>
  <c r="H128" i="13"/>
  <c r="G128" i="13"/>
  <c r="F128" i="13"/>
  <c r="E128" i="13"/>
  <c r="D128" i="13"/>
  <c r="C128" i="13"/>
  <c r="B128" i="13"/>
  <c r="H127" i="13"/>
  <c r="G127" i="13"/>
  <c r="F127" i="13"/>
  <c r="E127" i="13"/>
  <c r="D127" i="13"/>
  <c r="C127" i="13"/>
  <c r="B127" i="13"/>
  <c r="H126" i="13"/>
  <c r="G126" i="13"/>
  <c r="F126" i="13"/>
  <c r="E126" i="13"/>
  <c r="D126" i="13"/>
  <c r="C126" i="13"/>
  <c r="B126" i="13"/>
  <c r="H125" i="13"/>
  <c r="G125" i="13"/>
  <c r="F125" i="13"/>
  <c r="I125" i="13" s="1"/>
  <c r="E125" i="13"/>
  <c r="D125" i="13"/>
  <c r="C125" i="13"/>
  <c r="B125" i="13"/>
  <c r="H124" i="13"/>
  <c r="G124" i="13"/>
  <c r="F124" i="13"/>
  <c r="E124" i="13"/>
  <c r="D124" i="13"/>
  <c r="C124" i="13"/>
  <c r="B124" i="13"/>
  <c r="H123" i="13"/>
  <c r="G123" i="13"/>
  <c r="F123" i="13"/>
  <c r="E123" i="13"/>
  <c r="D123" i="13"/>
  <c r="C123" i="13"/>
  <c r="B123" i="13"/>
  <c r="H122" i="13"/>
  <c r="G122" i="13"/>
  <c r="F122" i="13"/>
  <c r="E122" i="13"/>
  <c r="D122" i="13"/>
  <c r="C122" i="13"/>
  <c r="B122" i="13"/>
  <c r="H121" i="13"/>
  <c r="G121" i="13"/>
  <c r="F121" i="13"/>
  <c r="E121" i="13"/>
  <c r="D121" i="13"/>
  <c r="C121" i="13"/>
  <c r="B121" i="13"/>
  <c r="H120" i="13"/>
  <c r="G120" i="13"/>
  <c r="F120" i="13"/>
  <c r="E120" i="13"/>
  <c r="D120" i="13"/>
  <c r="C120" i="13"/>
  <c r="B120" i="13"/>
  <c r="H119" i="13"/>
  <c r="G119" i="13"/>
  <c r="F119" i="13"/>
  <c r="E119" i="13"/>
  <c r="D119" i="13"/>
  <c r="C119" i="13"/>
  <c r="B119" i="13"/>
  <c r="H118" i="13"/>
  <c r="G118" i="13"/>
  <c r="F118" i="13"/>
  <c r="E118" i="13"/>
  <c r="D118" i="13"/>
  <c r="C118" i="13"/>
  <c r="B118" i="13"/>
  <c r="H117" i="13"/>
  <c r="G117" i="13"/>
  <c r="F117" i="13"/>
  <c r="E117" i="13"/>
  <c r="D117" i="13"/>
  <c r="C117" i="13"/>
  <c r="B117" i="13"/>
  <c r="H116" i="13"/>
  <c r="G116" i="13"/>
  <c r="F116" i="13"/>
  <c r="E116" i="13"/>
  <c r="D116" i="13"/>
  <c r="C116" i="13"/>
  <c r="B116" i="13"/>
  <c r="H115" i="13"/>
  <c r="G115" i="13"/>
  <c r="F115" i="13"/>
  <c r="E115" i="13"/>
  <c r="D115" i="13"/>
  <c r="C115" i="13"/>
  <c r="B115" i="13"/>
  <c r="H114" i="13"/>
  <c r="G114" i="13"/>
  <c r="F114" i="13"/>
  <c r="E114" i="13"/>
  <c r="D114" i="13"/>
  <c r="C114" i="13"/>
  <c r="B114" i="13"/>
  <c r="H113" i="13"/>
  <c r="G113" i="13"/>
  <c r="F113" i="13"/>
  <c r="E113" i="13"/>
  <c r="D113" i="13"/>
  <c r="C113" i="13"/>
  <c r="B113" i="13"/>
  <c r="H112" i="13"/>
  <c r="G112" i="13"/>
  <c r="F112" i="13"/>
  <c r="E112" i="13"/>
  <c r="D112" i="13"/>
  <c r="C112" i="13"/>
  <c r="B112" i="13"/>
  <c r="H111" i="13"/>
  <c r="G111" i="13"/>
  <c r="F111" i="13"/>
  <c r="E111" i="13"/>
  <c r="D111" i="13"/>
  <c r="C111" i="13"/>
  <c r="B111" i="13"/>
  <c r="H110" i="13"/>
  <c r="G110" i="13"/>
  <c r="F110" i="13"/>
  <c r="E110" i="13"/>
  <c r="D110" i="13"/>
  <c r="C110" i="13"/>
  <c r="B110" i="13"/>
  <c r="H109" i="13"/>
  <c r="G109" i="13"/>
  <c r="F109" i="13"/>
  <c r="I109" i="13" s="1"/>
  <c r="E109" i="13"/>
  <c r="D109" i="13"/>
  <c r="C109" i="13"/>
  <c r="B109" i="13"/>
  <c r="H108" i="13"/>
  <c r="G108" i="13"/>
  <c r="F108" i="13"/>
  <c r="E108" i="13"/>
  <c r="D108" i="13"/>
  <c r="C108" i="13"/>
  <c r="B108" i="13"/>
  <c r="H107" i="13"/>
  <c r="G107" i="13"/>
  <c r="F107" i="13"/>
  <c r="E107" i="13"/>
  <c r="D107" i="13"/>
  <c r="C107" i="13"/>
  <c r="B107" i="13"/>
  <c r="H106" i="13"/>
  <c r="G106" i="13"/>
  <c r="F106" i="13"/>
  <c r="E106" i="13"/>
  <c r="D106" i="13"/>
  <c r="C106" i="13"/>
  <c r="B106" i="13"/>
  <c r="H105" i="13"/>
  <c r="G105" i="13"/>
  <c r="F105" i="13"/>
  <c r="E105" i="13"/>
  <c r="D105" i="13"/>
  <c r="C105" i="13"/>
  <c r="B105" i="13"/>
  <c r="H104" i="13"/>
  <c r="G104" i="13"/>
  <c r="F104" i="13"/>
  <c r="E104" i="13"/>
  <c r="D104" i="13"/>
  <c r="C104" i="13"/>
  <c r="B104" i="13"/>
  <c r="H103" i="13"/>
  <c r="G103" i="13"/>
  <c r="F103" i="13"/>
  <c r="E103" i="13"/>
  <c r="D103" i="13"/>
  <c r="C103" i="13"/>
  <c r="B103" i="13"/>
  <c r="H102" i="13"/>
  <c r="G102" i="13"/>
  <c r="F102" i="13"/>
  <c r="E102" i="13"/>
  <c r="D102" i="13"/>
  <c r="C102" i="13"/>
  <c r="B102" i="13"/>
  <c r="H101" i="13"/>
  <c r="G101" i="13"/>
  <c r="F101" i="13"/>
  <c r="E101" i="13"/>
  <c r="D101" i="13"/>
  <c r="C101" i="13"/>
  <c r="B101" i="13"/>
  <c r="H100" i="13"/>
  <c r="G100" i="13"/>
  <c r="F100" i="13"/>
  <c r="E100" i="13"/>
  <c r="D100" i="13"/>
  <c r="C100" i="13"/>
  <c r="B100" i="13"/>
  <c r="H99" i="13"/>
  <c r="G99" i="13"/>
  <c r="F99" i="13"/>
  <c r="E99" i="13"/>
  <c r="D99" i="13"/>
  <c r="C99" i="13"/>
  <c r="B99" i="13"/>
  <c r="H98" i="13"/>
  <c r="G98" i="13"/>
  <c r="F98" i="13"/>
  <c r="E98" i="13"/>
  <c r="D98" i="13"/>
  <c r="C98" i="13"/>
  <c r="B98" i="13"/>
  <c r="H97" i="13"/>
  <c r="G97" i="13"/>
  <c r="F97" i="13"/>
  <c r="E97" i="13"/>
  <c r="D97" i="13"/>
  <c r="C97" i="13"/>
  <c r="B97" i="13"/>
  <c r="H96" i="13"/>
  <c r="G96" i="13"/>
  <c r="F96" i="13"/>
  <c r="E96" i="13"/>
  <c r="D96" i="13"/>
  <c r="C96" i="13"/>
  <c r="B96" i="13"/>
  <c r="H95" i="13"/>
  <c r="G95" i="13"/>
  <c r="F95" i="13"/>
  <c r="E95" i="13"/>
  <c r="D95" i="13"/>
  <c r="C95" i="13"/>
  <c r="B95" i="13"/>
  <c r="H94" i="13"/>
  <c r="G94" i="13"/>
  <c r="F94" i="13"/>
  <c r="E94" i="13"/>
  <c r="D94" i="13"/>
  <c r="C94" i="13"/>
  <c r="B94" i="13"/>
  <c r="H93" i="13"/>
  <c r="G93" i="13"/>
  <c r="F93" i="13"/>
  <c r="I93" i="13" s="1"/>
  <c r="E93" i="13"/>
  <c r="D93" i="13"/>
  <c r="C93" i="13"/>
  <c r="B93" i="13"/>
  <c r="H92" i="13"/>
  <c r="G92" i="13"/>
  <c r="F92" i="13"/>
  <c r="E92" i="13"/>
  <c r="D92" i="13"/>
  <c r="C92" i="13"/>
  <c r="B92" i="13"/>
  <c r="H91" i="13"/>
  <c r="G91" i="13"/>
  <c r="F91" i="13"/>
  <c r="E91" i="13"/>
  <c r="D91" i="13"/>
  <c r="C91" i="13"/>
  <c r="B91" i="13"/>
  <c r="H90" i="13"/>
  <c r="G90" i="13"/>
  <c r="F90" i="13"/>
  <c r="E90" i="13"/>
  <c r="D90" i="13"/>
  <c r="C90" i="13"/>
  <c r="B90" i="13"/>
  <c r="H89" i="13"/>
  <c r="G89" i="13"/>
  <c r="F89" i="13"/>
  <c r="E89" i="13"/>
  <c r="D89" i="13"/>
  <c r="C89" i="13"/>
  <c r="B89" i="13"/>
  <c r="H88" i="13"/>
  <c r="G88" i="13"/>
  <c r="F88" i="13"/>
  <c r="E88" i="13"/>
  <c r="D88" i="13"/>
  <c r="C88" i="13"/>
  <c r="B88" i="13"/>
  <c r="H87" i="13"/>
  <c r="G87" i="13"/>
  <c r="F87" i="13"/>
  <c r="E87" i="13"/>
  <c r="D87" i="13"/>
  <c r="C87" i="13"/>
  <c r="B87" i="13"/>
  <c r="H86" i="13"/>
  <c r="G86" i="13"/>
  <c r="F86" i="13"/>
  <c r="E86" i="13"/>
  <c r="D86" i="13"/>
  <c r="C86" i="13"/>
  <c r="B86" i="13"/>
  <c r="H85" i="13"/>
  <c r="G85" i="13"/>
  <c r="F85" i="13"/>
  <c r="E85" i="13"/>
  <c r="D85" i="13"/>
  <c r="C85" i="13"/>
  <c r="B85" i="13"/>
  <c r="H84" i="13"/>
  <c r="G84" i="13"/>
  <c r="F84" i="13"/>
  <c r="E84" i="13"/>
  <c r="D84" i="13"/>
  <c r="C84" i="13"/>
  <c r="B84" i="13"/>
  <c r="H83" i="13"/>
  <c r="G83" i="13"/>
  <c r="F83" i="13"/>
  <c r="E83" i="13"/>
  <c r="D83" i="13"/>
  <c r="C83" i="13"/>
  <c r="B83" i="13"/>
  <c r="H82" i="13"/>
  <c r="G82" i="13"/>
  <c r="F82" i="13"/>
  <c r="E82" i="13"/>
  <c r="D82" i="13"/>
  <c r="C82" i="13"/>
  <c r="B82" i="13"/>
  <c r="H81" i="13"/>
  <c r="G81" i="13"/>
  <c r="F81" i="13"/>
  <c r="E81" i="13"/>
  <c r="D81" i="13"/>
  <c r="C81" i="13"/>
  <c r="B81" i="13"/>
  <c r="H80" i="13"/>
  <c r="G80" i="13"/>
  <c r="F80" i="13"/>
  <c r="E80" i="13"/>
  <c r="D80" i="13"/>
  <c r="C80" i="13"/>
  <c r="B80" i="13"/>
  <c r="H79" i="13"/>
  <c r="G79" i="13"/>
  <c r="F79" i="13"/>
  <c r="E79" i="13"/>
  <c r="D79" i="13"/>
  <c r="C79" i="13"/>
  <c r="B79" i="13"/>
  <c r="H78" i="13"/>
  <c r="G78" i="13"/>
  <c r="F78" i="13"/>
  <c r="E78" i="13"/>
  <c r="D78" i="13"/>
  <c r="C78" i="13"/>
  <c r="B78" i="13"/>
  <c r="H77" i="13"/>
  <c r="G77" i="13"/>
  <c r="F77" i="13"/>
  <c r="I77" i="13" s="1"/>
  <c r="E77" i="13"/>
  <c r="D77" i="13"/>
  <c r="C77" i="13"/>
  <c r="B77" i="13"/>
  <c r="H76" i="13"/>
  <c r="G76" i="13"/>
  <c r="F76" i="13"/>
  <c r="E76" i="13"/>
  <c r="D76" i="13"/>
  <c r="C76" i="13"/>
  <c r="B76" i="13"/>
  <c r="H75" i="13"/>
  <c r="G75" i="13"/>
  <c r="F75" i="13"/>
  <c r="E75" i="13"/>
  <c r="D75" i="13"/>
  <c r="C75" i="13"/>
  <c r="B75" i="13"/>
  <c r="H74" i="13"/>
  <c r="G74" i="13"/>
  <c r="F74" i="13"/>
  <c r="E74" i="13"/>
  <c r="D74" i="13"/>
  <c r="C74" i="13"/>
  <c r="B74" i="13"/>
  <c r="H73" i="13"/>
  <c r="G73" i="13"/>
  <c r="F73" i="13"/>
  <c r="E73" i="13"/>
  <c r="D73" i="13"/>
  <c r="C73" i="13"/>
  <c r="B73" i="13"/>
  <c r="H72" i="13"/>
  <c r="G72" i="13"/>
  <c r="F72" i="13"/>
  <c r="E72" i="13"/>
  <c r="D72" i="13"/>
  <c r="C72" i="13"/>
  <c r="B72" i="13"/>
  <c r="H71" i="13"/>
  <c r="G71" i="13"/>
  <c r="F71" i="13"/>
  <c r="E71" i="13"/>
  <c r="D71" i="13"/>
  <c r="C71" i="13"/>
  <c r="B71" i="13"/>
  <c r="H70" i="13"/>
  <c r="G70" i="13"/>
  <c r="F70" i="13"/>
  <c r="E70" i="13"/>
  <c r="D70" i="13"/>
  <c r="C70" i="13"/>
  <c r="B70" i="13"/>
  <c r="H69" i="13"/>
  <c r="G69" i="13"/>
  <c r="F69" i="13"/>
  <c r="E69" i="13"/>
  <c r="D69" i="13"/>
  <c r="C69" i="13"/>
  <c r="B69" i="13"/>
  <c r="H68" i="13"/>
  <c r="G68" i="13"/>
  <c r="F68" i="13"/>
  <c r="E68" i="13"/>
  <c r="D68" i="13"/>
  <c r="C68" i="13"/>
  <c r="B68" i="13"/>
  <c r="H67" i="13"/>
  <c r="G67" i="13"/>
  <c r="F67" i="13"/>
  <c r="E67" i="13"/>
  <c r="D67" i="13"/>
  <c r="C67" i="13"/>
  <c r="B67" i="13"/>
  <c r="H66" i="13"/>
  <c r="G66" i="13"/>
  <c r="F66" i="13"/>
  <c r="E66" i="13"/>
  <c r="D66" i="13"/>
  <c r="C66" i="13"/>
  <c r="B66" i="13"/>
  <c r="H65" i="13"/>
  <c r="G65" i="13"/>
  <c r="F65" i="13"/>
  <c r="E65" i="13"/>
  <c r="D65" i="13"/>
  <c r="C65" i="13"/>
  <c r="B65" i="13"/>
  <c r="H64" i="13"/>
  <c r="G64" i="13"/>
  <c r="F64" i="13"/>
  <c r="E64" i="13"/>
  <c r="D64" i="13"/>
  <c r="C64" i="13"/>
  <c r="B64" i="13"/>
  <c r="H63" i="13"/>
  <c r="G63" i="13"/>
  <c r="F63" i="13"/>
  <c r="E63" i="13"/>
  <c r="D63" i="13"/>
  <c r="C63" i="13"/>
  <c r="B63" i="13"/>
  <c r="H62" i="13"/>
  <c r="G62" i="13"/>
  <c r="F62" i="13"/>
  <c r="E62" i="13"/>
  <c r="D62" i="13"/>
  <c r="C62" i="13"/>
  <c r="B62" i="13"/>
  <c r="H61" i="13"/>
  <c r="G61" i="13"/>
  <c r="F61" i="13"/>
  <c r="I61" i="13" s="1"/>
  <c r="E61" i="13"/>
  <c r="D61" i="13"/>
  <c r="C61" i="13"/>
  <c r="B61" i="13"/>
  <c r="H60" i="13"/>
  <c r="G60" i="13"/>
  <c r="F60" i="13"/>
  <c r="E60" i="13"/>
  <c r="D60" i="13"/>
  <c r="C60" i="13"/>
  <c r="B60" i="13"/>
  <c r="H59" i="13"/>
  <c r="G59" i="13"/>
  <c r="F59" i="13"/>
  <c r="E59" i="13"/>
  <c r="D59" i="13"/>
  <c r="C59" i="13"/>
  <c r="B59" i="13"/>
  <c r="H58" i="13"/>
  <c r="G58" i="13"/>
  <c r="F58" i="13"/>
  <c r="E58" i="13"/>
  <c r="D58" i="13"/>
  <c r="C58" i="13"/>
  <c r="B58" i="13"/>
  <c r="H57" i="13"/>
  <c r="G57" i="13"/>
  <c r="F57" i="13"/>
  <c r="E57" i="13"/>
  <c r="D57" i="13"/>
  <c r="C57" i="13"/>
  <c r="B57" i="13"/>
  <c r="H56" i="13"/>
  <c r="G56" i="13"/>
  <c r="F56" i="13"/>
  <c r="E56" i="13"/>
  <c r="D56" i="13"/>
  <c r="C56" i="13"/>
  <c r="B56" i="13"/>
  <c r="H55" i="13"/>
  <c r="G55" i="13"/>
  <c r="F55" i="13"/>
  <c r="E55" i="13"/>
  <c r="D55" i="13"/>
  <c r="C55" i="13"/>
  <c r="B55" i="13"/>
  <c r="H54" i="13"/>
  <c r="G54" i="13"/>
  <c r="F54" i="13"/>
  <c r="E54" i="13"/>
  <c r="D54" i="13"/>
  <c r="C54" i="13"/>
  <c r="B54" i="13"/>
  <c r="H53" i="13"/>
  <c r="G53" i="13"/>
  <c r="F53" i="13"/>
  <c r="E53" i="13"/>
  <c r="D53" i="13"/>
  <c r="C53" i="13"/>
  <c r="B53" i="13"/>
  <c r="H52" i="13"/>
  <c r="G52" i="13"/>
  <c r="F52" i="13"/>
  <c r="E52" i="13"/>
  <c r="D52" i="13"/>
  <c r="C52" i="13"/>
  <c r="B52" i="13"/>
  <c r="H51" i="13"/>
  <c r="G51" i="13"/>
  <c r="F51" i="13"/>
  <c r="E51" i="13"/>
  <c r="D51" i="13"/>
  <c r="C51" i="13"/>
  <c r="B51" i="13"/>
  <c r="H50" i="13"/>
  <c r="G50" i="13"/>
  <c r="F50" i="13"/>
  <c r="E50" i="13"/>
  <c r="D50" i="13"/>
  <c r="C50" i="13"/>
  <c r="B50" i="13"/>
  <c r="H49" i="13"/>
  <c r="G49" i="13"/>
  <c r="F49" i="13"/>
  <c r="E49" i="13"/>
  <c r="D49" i="13"/>
  <c r="C49" i="13"/>
  <c r="B49" i="13"/>
  <c r="H48" i="13"/>
  <c r="G48" i="13"/>
  <c r="F48" i="13"/>
  <c r="E48" i="13"/>
  <c r="D48" i="13"/>
  <c r="C48" i="13"/>
  <c r="B48" i="13"/>
  <c r="H47" i="13"/>
  <c r="G47" i="13"/>
  <c r="F47" i="13"/>
  <c r="E47" i="13"/>
  <c r="D47" i="13"/>
  <c r="C47" i="13"/>
  <c r="B47" i="13"/>
  <c r="H46" i="13"/>
  <c r="G46" i="13"/>
  <c r="F46" i="13"/>
  <c r="E46" i="13"/>
  <c r="D46" i="13"/>
  <c r="C46" i="13"/>
  <c r="B46" i="13"/>
  <c r="H45" i="13"/>
  <c r="G45" i="13"/>
  <c r="F45" i="13"/>
  <c r="I45" i="13" s="1"/>
  <c r="E45" i="13"/>
  <c r="D45" i="13"/>
  <c r="C45" i="13"/>
  <c r="B45" i="13"/>
  <c r="H44" i="13"/>
  <c r="G44" i="13"/>
  <c r="F44" i="13"/>
  <c r="E44" i="13"/>
  <c r="D44" i="13"/>
  <c r="C44" i="13"/>
  <c r="B44" i="13"/>
  <c r="H43" i="13"/>
  <c r="G43" i="13"/>
  <c r="F43" i="13"/>
  <c r="E43" i="13"/>
  <c r="D43" i="13"/>
  <c r="C43" i="13"/>
  <c r="B43" i="13"/>
  <c r="H42" i="13"/>
  <c r="G42" i="13"/>
  <c r="F42" i="13"/>
  <c r="E42" i="13"/>
  <c r="D42" i="13"/>
  <c r="C42" i="13"/>
  <c r="B42" i="13"/>
  <c r="H41" i="13"/>
  <c r="G41" i="13"/>
  <c r="F41" i="13"/>
  <c r="E41" i="13"/>
  <c r="D41" i="13"/>
  <c r="C41" i="13"/>
  <c r="B41" i="13"/>
  <c r="H40" i="13"/>
  <c r="G40" i="13"/>
  <c r="F40" i="13"/>
  <c r="E40" i="13"/>
  <c r="D40" i="13"/>
  <c r="C40" i="13"/>
  <c r="B40" i="13"/>
  <c r="H39" i="13"/>
  <c r="G39" i="13"/>
  <c r="F39" i="13"/>
  <c r="E39" i="13"/>
  <c r="D39" i="13"/>
  <c r="C39" i="13"/>
  <c r="B39" i="13"/>
  <c r="H38" i="13"/>
  <c r="G38" i="13"/>
  <c r="F38" i="13"/>
  <c r="E38" i="13"/>
  <c r="D38" i="13"/>
  <c r="C38" i="13"/>
  <c r="B38" i="13"/>
  <c r="H37" i="13"/>
  <c r="G37" i="13"/>
  <c r="F37" i="13"/>
  <c r="E37" i="13"/>
  <c r="D37" i="13"/>
  <c r="C37" i="13"/>
  <c r="B37" i="13"/>
  <c r="H36" i="13"/>
  <c r="G36" i="13"/>
  <c r="F36" i="13"/>
  <c r="E36" i="13"/>
  <c r="D36" i="13"/>
  <c r="C36" i="13"/>
  <c r="B36" i="13"/>
  <c r="H35" i="13"/>
  <c r="G35" i="13"/>
  <c r="F35" i="13"/>
  <c r="E35" i="13"/>
  <c r="D35" i="13"/>
  <c r="C35" i="13"/>
  <c r="B35" i="13"/>
  <c r="H34" i="13"/>
  <c r="G34" i="13"/>
  <c r="F34" i="13"/>
  <c r="E34" i="13"/>
  <c r="D34" i="13"/>
  <c r="C34" i="13"/>
  <c r="B34" i="13"/>
  <c r="H33" i="13"/>
  <c r="G33" i="13"/>
  <c r="F33" i="13"/>
  <c r="E33" i="13"/>
  <c r="D33" i="13"/>
  <c r="C33" i="13"/>
  <c r="B33" i="13"/>
  <c r="H32" i="13"/>
  <c r="G32" i="13"/>
  <c r="F32" i="13"/>
  <c r="E32" i="13"/>
  <c r="D32" i="13"/>
  <c r="C32" i="13"/>
  <c r="B32" i="13"/>
  <c r="H31" i="13"/>
  <c r="G31" i="13"/>
  <c r="F31" i="13"/>
  <c r="E31" i="13"/>
  <c r="D31" i="13"/>
  <c r="C31" i="13"/>
  <c r="B31" i="13"/>
  <c r="H30" i="13"/>
  <c r="G30" i="13"/>
  <c r="F30" i="13"/>
  <c r="E30" i="13"/>
  <c r="D30" i="13"/>
  <c r="C30" i="13"/>
  <c r="B30" i="13"/>
  <c r="H29" i="13"/>
  <c r="G29" i="13"/>
  <c r="F29" i="13"/>
  <c r="I29" i="13" s="1"/>
  <c r="E29" i="13"/>
  <c r="D29" i="13"/>
  <c r="C29" i="13"/>
  <c r="B29" i="13"/>
  <c r="H28" i="13"/>
  <c r="G28" i="13"/>
  <c r="F28" i="13"/>
  <c r="E28" i="13"/>
  <c r="D28" i="13"/>
  <c r="C28" i="13"/>
  <c r="B28" i="13"/>
  <c r="H27" i="13"/>
  <c r="G27" i="13"/>
  <c r="F27" i="13"/>
  <c r="E27" i="13"/>
  <c r="D27" i="13"/>
  <c r="C27" i="13"/>
  <c r="B27" i="13"/>
  <c r="H26" i="13"/>
  <c r="G26" i="13"/>
  <c r="F26" i="13"/>
  <c r="E26" i="13"/>
  <c r="D26" i="13"/>
  <c r="C26" i="13"/>
  <c r="B26" i="13"/>
  <c r="H25" i="13"/>
  <c r="G25" i="13"/>
  <c r="F25" i="13"/>
  <c r="E25" i="13"/>
  <c r="D25" i="13"/>
  <c r="C25" i="13"/>
  <c r="B25" i="13"/>
  <c r="H24" i="13"/>
  <c r="G24" i="13"/>
  <c r="F24" i="13"/>
  <c r="E24" i="13"/>
  <c r="D24" i="13"/>
  <c r="C24" i="13"/>
  <c r="B24" i="13"/>
  <c r="H23" i="13"/>
  <c r="G23" i="13"/>
  <c r="F23" i="13"/>
  <c r="E23" i="13"/>
  <c r="D23" i="13"/>
  <c r="C23" i="13"/>
  <c r="B23" i="13"/>
  <c r="H22" i="13"/>
  <c r="G22" i="13"/>
  <c r="F22" i="13"/>
  <c r="E22" i="13"/>
  <c r="D22" i="13"/>
  <c r="C22" i="13"/>
  <c r="B22" i="13"/>
  <c r="H21" i="13"/>
  <c r="G21" i="13"/>
  <c r="F21" i="13"/>
  <c r="E21" i="13"/>
  <c r="D21" i="13"/>
  <c r="C21" i="13"/>
  <c r="B21" i="13"/>
  <c r="H20" i="13"/>
  <c r="G20" i="13"/>
  <c r="F20" i="13"/>
  <c r="E20" i="13"/>
  <c r="D20" i="13"/>
  <c r="C20" i="13"/>
  <c r="B20" i="13"/>
  <c r="H19" i="13"/>
  <c r="G19" i="13"/>
  <c r="F19" i="13"/>
  <c r="E19" i="13"/>
  <c r="D19" i="13"/>
  <c r="C19" i="13"/>
  <c r="B19" i="13"/>
  <c r="H18" i="13"/>
  <c r="G18" i="13"/>
  <c r="F18" i="13"/>
  <c r="E18" i="13"/>
  <c r="D18" i="13"/>
  <c r="C18" i="13"/>
  <c r="B18" i="13"/>
  <c r="H17" i="13"/>
  <c r="G17" i="13"/>
  <c r="F17" i="13"/>
  <c r="E17" i="13"/>
  <c r="D17" i="13"/>
  <c r="C17" i="13"/>
  <c r="B17" i="13"/>
  <c r="H16" i="13"/>
  <c r="G16" i="13"/>
  <c r="F16" i="13"/>
  <c r="E16" i="13"/>
  <c r="D16" i="13"/>
  <c r="C16" i="13"/>
  <c r="B16" i="13"/>
  <c r="H15" i="13"/>
  <c r="G15" i="13"/>
  <c r="F15" i="13"/>
  <c r="E15" i="13"/>
  <c r="D15" i="13"/>
  <c r="C15" i="13"/>
  <c r="B15" i="13"/>
  <c r="H14" i="13"/>
  <c r="G14" i="13"/>
  <c r="F14" i="13"/>
  <c r="E14" i="13"/>
  <c r="D14" i="13"/>
  <c r="C14" i="13"/>
  <c r="B14" i="13"/>
  <c r="H13" i="13"/>
  <c r="G13" i="13"/>
  <c r="F13" i="13"/>
  <c r="I13" i="13" s="1"/>
  <c r="E13" i="13"/>
  <c r="D13" i="13"/>
  <c r="C13" i="13"/>
  <c r="B13" i="13"/>
  <c r="H12" i="13"/>
  <c r="G12" i="13"/>
  <c r="F12" i="13"/>
  <c r="E12" i="13"/>
  <c r="D12" i="13"/>
  <c r="C12" i="13"/>
  <c r="B12" i="13"/>
  <c r="H11" i="13"/>
  <c r="G11" i="13"/>
  <c r="I11" i="13" s="1"/>
  <c r="F11" i="13"/>
  <c r="E11" i="13"/>
  <c r="D11" i="13"/>
  <c r="C11" i="13"/>
  <c r="B11" i="13"/>
  <c r="H10" i="13"/>
  <c r="G10" i="13"/>
  <c r="F10" i="13"/>
  <c r="E10" i="13"/>
  <c r="D10" i="13"/>
  <c r="C10" i="13"/>
  <c r="B10" i="13"/>
  <c r="H9" i="13"/>
  <c r="G9" i="13"/>
  <c r="F9" i="13"/>
  <c r="E9" i="13"/>
  <c r="D9" i="13"/>
  <c r="C9" i="13"/>
  <c r="B9" i="13"/>
  <c r="H8" i="13"/>
  <c r="G8" i="13"/>
  <c r="F8" i="13"/>
  <c r="E8" i="13"/>
  <c r="D8" i="13"/>
  <c r="C8" i="13"/>
  <c r="B8" i="13"/>
  <c r="H7" i="13"/>
  <c r="G7" i="13"/>
  <c r="F7" i="13"/>
  <c r="E7" i="13"/>
  <c r="D7" i="13"/>
  <c r="C7" i="13"/>
  <c r="B7" i="13"/>
  <c r="H6" i="13"/>
  <c r="G6" i="13"/>
  <c r="F6" i="13"/>
  <c r="E6" i="13"/>
  <c r="D6" i="13"/>
  <c r="C6" i="13"/>
  <c r="B6" i="13"/>
  <c r="H5" i="13"/>
  <c r="G5" i="13"/>
  <c r="F5" i="13"/>
  <c r="E5" i="13"/>
  <c r="D5" i="13"/>
  <c r="C5" i="13"/>
  <c r="B5" i="13"/>
  <c r="H4" i="13"/>
  <c r="G4" i="13"/>
  <c r="F4" i="13"/>
  <c r="E4" i="13"/>
  <c r="D4" i="13"/>
  <c r="C4" i="13"/>
  <c r="B4" i="13"/>
  <c r="H3" i="13"/>
  <c r="G3" i="13"/>
  <c r="F3" i="13"/>
  <c r="E3" i="13"/>
  <c r="D3" i="13"/>
  <c r="C3" i="13"/>
  <c r="B3" i="13"/>
  <c r="I263" i="13"/>
  <c r="I260" i="13"/>
  <c r="I258" i="13"/>
  <c r="I256" i="13"/>
  <c r="I253" i="13"/>
  <c r="I251" i="13"/>
  <c r="I249" i="13"/>
  <c r="I247" i="13"/>
  <c r="I244" i="13"/>
  <c r="I242" i="13"/>
  <c r="I240" i="13"/>
  <c r="I235" i="13"/>
  <c r="I233" i="13"/>
  <c r="I231" i="13"/>
  <c r="I228" i="13"/>
  <c r="I226" i="13"/>
  <c r="I224" i="13"/>
  <c r="I219" i="13"/>
  <c r="I217" i="13"/>
  <c r="I215" i="13"/>
  <c r="I212" i="13"/>
  <c r="I210" i="13"/>
  <c r="I208" i="13"/>
  <c r="I203" i="13"/>
  <c r="I201" i="13"/>
  <c r="I199" i="13"/>
  <c r="I196" i="13"/>
  <c r="I194" i="13"/>
  <c r="I192" i="13"/>
  <c r="I187" i="13"/>
  <c r="I185" i="13"/>
  <c r="I183" i="13"/>
  <c r="I180" i="13"/>
  <c r="I178" i="13"/>
  <c r="I176" i="13"/>
  <c r="I171" i="13"/>
  <c r="I169" i="13"/>
  <c r="I167" i="13"/>
  <c r="I164" i="13"/>
  <c r="I162" i="13"/>
  <c r="I160" i="13"/>
  <c r="I155" i="13"/>
  <c r="I153" i="13"/>
  <c r="I151" i="13"/>
  <c r="I148" i="13"/>
  <c r="I146" i="13"/>
  <c r="I144" i="13"/>
  <c r="I139" i="13"/>
  <c r="I137" i="13"/>
  <c r="I135" i="13"/>
  <c r="I132" i="13"/>
  <c r="I130" i="13"/>
  <c r="I128" i="13"/>
  <c r="I123" i="13"/>
  <c r="I121" i="13"/>
  <c r="I119" i="13"/>
  <c r="I116" i="13"/>
  <c r="I114" i="13"/>
  <c r="I112" i="13"/>
  <c r="I107" i="13"/>
  <c r="I105" i="13"/>
  <c r="I103" i="13"/>
  <c r="I100" i="13"/>
  <c r="I98" i="13"/>
  <c r="I96" i="13"/>
  <c r="I91" i="13"/>
  <c r="I89" i="13"/>
  <c r="I87" i="13"/>
  <c r="I84" i="13"/>
  <c r="I82" i="13"/>
  <c r="I80" i="13"/>
  <c r="I75" i="13"/>
  <c r="I73" i="13"/>
  <c r="I71" i="13"/>
  <c r="I68" i="13"/>
  <c r="I66" i="13"/>
  <c r="I64" i="13"/>
  <c r="I59" i="13"/>
  <c r="I57" i="13"/>
  <c r="I55" i="13"/>
  <c r="I52" i="13"/>
  <c r="I50" i="13"/>
  <c r="I48" i="13"/>
  <c r="I43" i="13"/>
  <c r="I41" i="13"/>
  <c r="I39" i="13"/>
  <c r="I36" i="13"/>
  <c r="I34" i="13"/>
  <c r="I32" i="13"/>
  <c r="I27" i="13"/>
  <c r="I25" i="13"/>
  <c r="I23" i="13"/>
  <c r="I18" i="13"/>
  <c r="I16" i="13"/>
  <c r="I9" i="13"/>
  <c r="I7" i="13"/>
  <c r="H263" i="12"/>
  <c r="G263" i="12"/>
  <c r="F263" i="12"/>
  <c r="E263" i="12"/>
  <c r="D263" i="12"/>
  <c r="C263" i="12"/>
  <c r="B263" i="12"/>
  <c r="H262" i="12"/>
  <c r="G262" i="12"/>
  <c r="F262" i="12"/>
  <c r="E262" i="12"/>
  <c r="D262" i="12"/>
  <c r="C262" i="12"/>
  <c r="B262" i="12"/>
  <c r="H261" i="12"/>
  <c r="G261" i="12"/>
  <c r="F261" i="12"/>
  <c r="E261" i="12"/>
  <c r="D261" i="12"/>
  <c r="C261" i="12"/>
  <c r="B261" i="12"/>
  <c r="H260" i="12"/>
  <c r="G260" i="12"/>
  <c r="F260" i="12"/>
  <c r="E260" i="12"/>
  <c r="D260" i="12"/>
  <c r="C260" i="12"/>
  <c r="B260" i="12"/>
  <c r="H259" i="12"/>
  <c r="G259" i="12"/>
  <c r="F259" i="12"/>
  <c r="E259" i="12"/>
  <c r="D259" i="12"/>
  <c r="C259" i="12"/>
  <c r="B259" i="12"/>
  <c r="H258" i="12"/>
  <c r="G258" i="12"/>
  <c r="F258" i="12"/>
  <c r="E258" i="12"/>
  <c r="D258" i="12"/>
  <c r="C258" i="12"/>
  <c r="B258" i="12"/>
  <c r="H257" i="12"/>
  <c r="G257" i="12"/>
  <c r="F257" i="12"/>
  <c r="E257" i="12"/>
  <c r="D257" i="12"/>
  <c r="C257" i="12"/>
  <c r="B257" i="12"/>
  <c r="H256" i="12"/>
  <c r="G256" i="12"/>
  <c r="F256" i="12"/>
  <c r="E256" i="12"/>
  <c r="D256" i="12"/>
  <c r="C256" i="12"/>
  <c r="B256" i="12"/>
  <c r="H255" i="12"/>
  <c r="G255" i="12"/>
  <c r="F255" i="12"/>
  <c r="E255" i="12"/>
  <c r="D255" i="12"/>
  <c r="C255" i="12"/>
  <c r="B255" i="12"/>
  <c r="H254" i="12"/>
  <c r="G254" i="12"/>
  <c r="F254" i="12"/>
  <c r="E254" i="12"/>
  <c r="D254" i="12"/>
  <c r="C254" i="12"/>
  <c r="B254" i="12"/>
  <c r="H253" i="12"/>
  <c r="G253" i="12"/>
  <c r="F253" i="12"/>
  <c r="E253" i="12"/>
  <c r="D253" i="12"/>
  <c r="C253" i="12"/>
  <c r="B253" i="12"/>
  <c r="H252" i="12"/>
  <c r="G252" i="12"/>
  <c r="F252" i="12"/>
  <c r="E252" i="12"/>
  <c r="D252" i="12"/>
  <c r="C252" i="12"/>
  <c r="B252" i="12"/>
  <c r="H251" i="12"/>
  <c r="G251" i="12"/>
  <c r="F251" i="12"/>
  <c r="E251" i="12"/>
  <c r="D251" i="12"/>
  <c r="C251" i="12"/>
  <c r="B251" i="12"/>
  <c r="H250" i="12"/>
  <c r="G250" i="12"/>
  <c r="F250" i="12"/>
  <c r="E250" i="12"/>
  <c r="D250" i="12"/>
  <c r="C250" i="12"/>
  <c r="B250" i="12"/>
  <c r="H249" i="12"/>
  <c r="G249" i="12"/>
  <c r="F249" i="12"/>
  <c r="E249" i="12"/>
  <c r="D249" i="12"/>
  <c r="C249" i="12"/>
  <c r="B249" i="12"/>
  <c r="H248" i="12"/>
  <c r="G248" i="12"/>
  <c r="F248" i="12"/>
  <c r="E248" i="12"/>
  <c r="D248" i="12"/>
  <c r="C248" i="12"/>
  <c r="B248" i="12"/>
  <c r="H247" i="12"/>
  <c r="G247" i="12"/>
  <c r="F247" i="12"/>
  <c r="E247" i="12"/>
  <c r="D247" i="12"/>
  <c r="C247" i="12"/>
  <c r="B247" i="12"/>
  <c r="H246" i="12"/>
  <c r="G246" i="12"/>
  <c r="F246" i="12"/>
  <c r="E246" i="12"/>
  <c r="D246" i="12"/>
  <c r="C246" i="12"/>
  <c r="B246" i="12"/>
  <c r="H245" i="12"/>
  <c r="G245" i="12"/>
  <c r="F245" i="12"/>
  <c r="E245" i="12"/>
  <c r="D245" i="12"/>
  <c r="C245" i="12"/>
  <c r="B245" i="12"/>
  <c r="H244" i="12"/>
  <c r="G244" i="12"/>
  <c r="F244" i="12"/>
  <c r="E244" i="12"/>
  <c r="D244" i="12"/>
  <c r="C244" i="12"/>
  <c r="B244" i="12"/>
  <c r="H243" i="12"/>
  <c r="G243" i="12"/>
  <c r="F243" i="12"/>
  <c r="E243" i="12"/>
  <c r="D243" i="12"/>
  <c r="C243" i="12"/>
  <c r="B243" i="12"/>
  <c r="H242" i="12"/>
  <c r="G242" i="12"/>
  <c r="F242" i="12"/>
  <c r="E242" i="12"/>
  <c r="D242" i="12"/>
  <c r="C242" i="12"/>
  <c r="B242" i="12"/>
  <c r="H241" i="12"/>
  <c r="G241" i="12"/>
  <c r="F241" i="12"/>
  <c r="E241" i="12"/>
  <c r="D241" i="12"/>
  <c r="C241" i="12"/>
  <c r="B241" i="12"/>
  <c r="H240" i="12"/>
  <c r="G240" i="12"/>
  <c r="F240" i="12"/>
  <c r="E240" i="12"/>
  <c r="D240" i="12"/>
  <c r="C240" i="12"/>
  <c r="B240" i="12"/>
  <c r="H239" i="12"/>
  <c r="G239" i="12"/>
  <c r="F239" i="12"/>
  <c r="E239" i="12"/>
  <c r="D239" i="12"/>
  <c r="C239" i="12"/>
  <c r="B239" i="12"/>
  <c r="H238" i="12"/>
  <c r="G238" i="12"/>
  <c r="F238" i="12"/>
  <c r="E238" i="12"/>
  <c r="D238" i="12"/>
  <c r="C238" i="12"/>
  <c r="B238" i="12"/>
  <c r="H237" i="12"/>
  <c r="G237" i="12"/>
  <c r="F237" i="12"/>
  <c r="E237" i="12"/>
  <c r="D237" i="12"/>
  <c r="C237" i="12"/>
  <c r="B237" i="12"/>
  <c r="H236" i="12"/>
  <c r="G236" i="12"/>
  <c r="F236" i="12"/>
  <c r="E236" i="12"/>
  <c r="D236" i="12"/>
  <c r="C236" i="12"/>
  <c r="B236" i="12"/>
  <c r="H235" i="12"/>
  <c r="G235" i="12"/>
  <c r="F235" i="12"/>
  <c r="E235" i="12"/>
  <c r="D235" i="12"/>
  <c r="C235" i="12"/>
  <c r="B235" i="12"/>
  <c r="H234" i="12"/>
  <c r="G234" i="12"/>
  <c r="F234" i="12"/>
  <c r="E234" i="12"/>
  <c r="D234" i="12"/>
  <c r="C234" i="12"/>
  <c r="B234" i="12"/>
  <c r="H233" i="12"/>
  <c r="G233" i="12"/>
  <c r="F233" i="12"/>
  <c r="E233" i="12"/>
  <c r="D233" i="12"/>
  <c r="C233" i="12"/>
  <c r="B233" i="12"/>
  <c r="H232" i="12"/>
  <c r="G232" i="12"/>
  <c r="F232" i="12"/>
  <c r="E232" i="12"/>
  <c r="D232" i="12"/>
  <c r="C232" i="12"/>
  <c r="B232" i="12"/>
  <c r="H231" i="12"/>
  <c r="G231" i="12"/>
  <c r="F231" i="12"/>
  <c r="E231" i="12"/>
  <c r="D231" i="12"/>
  <c r="C231" i="12"/>
  <c r="B231" i="12"/>
  <c r="H230" i="12"/>
  <c r="G230" i="12"/>
  <c r="F230" i="12"/>
  <c r="E230" i="12"/>
  <c r="D230" i="12"/>
  <c r="C230" i="12"/>
  <c r="B230" i="12"/>
  <c r="H229" i="12"/>
  <c r="G229" i="12"/>
  <c r="F229" i="12"/>
  <c r="E229" i="12"/>
  <c r="D229" i="12"/>
  <c r="C229" i="12"/>
  <c r="B229" i="12"/>
  <c r="H228" i="12"/>
  <c r="G228" i="12"/>
  <c r="F228" i="12"/>
  <c r="E228" i="12"/>
  <c r="D228" i="12"/>
  <c r="C228" i="12"/>
  <c r="B228" i="12"/>
  <c r="H227" i="12"/>
  <c r="G227" i="12"/>
  <c r="F227" i="12"/>
  <c r="E227" i="12"/>
  <c r="D227" i="12"/>
  <c r="C227" i="12"/>
  <c r="B227" i="12"/>
  <c r="H226" i="12"/>
  <c r="G226" i="12"/>
  <c r="F226" i="12"/>
  <c r="E226" i="12"/>
  <c r="D226" i="12"/>
  <c r="C226" i="12"/>
  <c r="B226" i="12"/>
  <c r="H225" i="12"/>
  <c r="G225" i="12"/>
  <c r="F225" i="12"/>
  <c r="E225" i="12"/>
  <c r="D225" i="12"/>
  <c r="C225" i="12"/>
  <c r="B225" i="12"/>
  <c r="H224" i="12"/>
  <c r="G224" i="12"/>
  <c r="F224" i="12"/>
  <c r="E224" i="12"/>
  <c r="D224" i="12"/>
  <c r="C224" i="12"/>
  <c r="B224" i="12"/>
  <c r="H223" i="12"/>
  <c r="G223" i="12"/>
  <c r="F223" i="12"/>
  <c r="E223" i="12"/>
  <c r="D223" i="12"/>
  <c r="C223" i="12"/>
  <c r="B223" i="12"/>
  <c r="H222" i="12"/>
  <c r="G222" i="12"/>
  <c r="F222" i="12"/>
  <c r="E222" i="12"/>
  <c r="D222" i="12"/>
  <c r="C222" i="12"/>
  <c r="B222" i="12"/>
  <c r="H221" i="12"/>
  <c r="G221" i="12"/>
  <c r="F221" i="12"/>
  <c r="E221" i="12"/>
  <c r="D221" i="12"/>
  <c r="C221" i="12"/>
  <c r="B221" i="12"/>
  <c r="H220" i="12"/>
  <c r="G220" i="12"/>
  <c r="F220" i="12"/>
  <c r="E220" i="12"/>
  <c r="D220" i="12"/>
  <c r="C220" i="12"/>
  <c r="B220" i="12"/>
  <c r="H219" i="12"/>
  <c r="G219" i="12"/>
  <c r="F219" i="12"/>
  <c r="E219" i="12"/>
  <c r="D219" i="12"/>
  <c r="C219" i="12"/>
  <c r="B219" i="12"/>
  <c r="H218" i="12"/>
  <c r="G218" i="12"/>
  <c r="F218" i="12"/>
  <c r="E218" i="12"/>
  <c r="D218" i="12"/>
  <c r="C218" i="12"/>
  <c r="B218" i="12"/>
  <c r="H217" i="12"/>
  <c r="G217" i="12"/>
  <c r="F217" i="12"/>
  <c r="E217" i="12"/>
  <c r="D217" i="12"/>
  <c r="C217" i="12"/>
  <c r="B217" i="12"/>
  <c r="H216" i="12"/>
  <c r="G216" i="12"/>
  <c r="F216" i="12"/>
  <c r="E216" i="12"/>
  <c r="D216" i="12"/>
  <c r="C216" i="12"/>
  <c r="B216" i="12"/>
  <c r="H215" i="12"/>
  <c r="G215" i="12"/>
  <c r="F215" i="12"/>
  <c r="E215" i="12"/>
  <c r="D215" i="12"/>
  <c r="C215" i="12"/>
  <c r="B215" i="12"/>
  <c r="H214" i="12"/>
  <c r="G214" i="12"/>
  <c r="F214" i="12"/>
  <c r="E214" i="12"/>
  <c r="D214" i="12"/>
  <c r="C214" i="12"/>
  <c r="B214" i="12"/>
  <c r="H213" i="12"/>
  <c r="G213" i="12"/>
  <c r="F213" i="12"/>
  <c r="E213" i="12"/>
  <c r="D213" i="12"/>
  <c r="C213" i="12"/>
  <c r="B213" i="12"/>
  <c r="H212" i="12"/>
  <c r="G212" i="12"/>
  <c r="F212" i="12"/>
  <c r="E212" i="12"/>
  <c r="D212" i="12"/>
  <c r="C212" i="12"/>
  <c r="B212" i="12"/>
  <c r="H211" i="12"/>
  <c r="G211" i="12"/>
  <c r="F211" i="12"/>
  <c r="E211" i="12"/>
  <c r="D211" i="12"/>
  <c r="C211" i="12"/>
  <c r="B211" i="12"/>
  <c r="H210" i="12"/>
  <c r="G210" i="12"/>
  <c r="F210" i="12"/>
  <c r="E210" i="12"/>
  <c r="D210" i="12"/>
  <c r="C210" i="12"/>
  <c r="B210" i="12"/>
  <c r="H209" i="12"/>
  <c r="G209" i="12"/>
  <c r="F209" i="12"/>
  <c r="E209" i="12"/>
  <c r="D209" i="12"/>
  <c r="C209" i="12"/>
  <c r="B209" i="12"/>
  <c r="H208" i="12"/>
  <c r="G208" i="12"/>
  <c r="F208" i="12"/>
  <c r="E208" i="12"/>
  <c r="D208" i="12"/>
  <c r="C208" i="12"/>
  <c r="B208" i="12"/>
  <c r="H207" i="12"/>
  <c r="G207" i="12"/>
  <c r="F207" i="12"/>
  <c r="E207" i="12"/>
  <c r="D207" i="12"/>
  <c r="C207" i="12"/>
  <c r="B207" i="12"/>
  <c r="H206" i="12"/>
  <c r="G206" i="12"/>
  <c r="F206" i="12"/>
  <c r="E206" i="12"/>
  <c r="D206" i="12"/>
  <c r="C206" i="12"/>
  <c r="B206" i="12"/>
  <c r="H205" i="12"/>
  <c r="G205" i="12"/>
  <c r="F205" i="12"/>
  <c r="I205" i="12" s="1"/>
  <c r="E205" i="12"/>
  <c r="D205" i="12"/>
  <c r="C205" i="12"/>
  <c r="B205" i="12"/>
  <c r="H204" i="12"/>
  <c r="G204" i="12"/>
  <c r="F204" i="12"/>
  <c r="E204" i="12"/>
  <c r="D204" i="12"/>
  <c r="C204" i="12"/>
  <c r="B204" i="12"/>
  <c r="H203" i="12"/>
  <c r="G203" i="12"/>
  <c r="F203" i="12"/>
  <c r="E203" i="12"/>
  <c r="D203" i="12"/>
  <c r="C203" i="12"/>
  <c r="B203" i="12"/>
  <c r="H202" i="12"/>
  <c r="G202" i="12"/>
  <c r="F202" i="12"/>
  <c r="E202" i="12"/>
  <c r="D202" i="12"/>
  <c r="C202" i="12"/>
  <c r="B202" i="12"/>
  <c r="H201" i="12"/>
  <c r="G201" i="12"/>
  <c r="F201" i="12"/>
  <c r="E201" i="12"/>
  <c r="D201" i="12"/>
  <c r="C201" i="12"/>
  <c r="B201" i="12"/>
  <c r="H200" i="12"/>
  <c r="G200" i="12"/>
  <c r="F200" i="12"/>
  <c r="E200" i="12"/>
  <c r="D200" i="12"/>
  <c r="C200" i="12"/>
  <c r="B200" i="12"/>
  <c r="H199" i="12"/>
  <c r="G199" i="12"/>
  <c r="F199" i="12"/>
  <c r="E199" i="12"/>
  <c r="D199" i="12"/>
  <c r="C199" i="12"/>
  <c r="B199" i="12"/>
  <c r="H198" i="12"/>
  <c r="G198" i="12"/>
  <c r="F198" i="12"/>
  <c r="E198" i="12"/>
  <c r="D198" i="12"/>
  <c r="C198" i="12"/>
  <c r="B198" i="12"/>
  <c r="H197" i="12"/>
  <c r="G197" i="12"/>
  <c r="F197" i="12"/>
  <c r="E197" i="12"/>
  <c r="D197" i="12"/>
  <c r="C197" i="12"/>
  <c r="B197" i="12"/>
  <c r="H196" i="12"/>
  <c r="G196" i="12"/>
  <c r="F196" i="12"/>
  <c r="E196" i="12"/>
  <c r="D196" i="12"/>
  <c r="C196" i="12"/>
  <c r="B196" i="12"/>
  <c r="H195" i="12"/>
  <c r="G195" i="12"/>
  <c r="F195" i="12"/>
  <c r="E195" i="12"/>
  <c r="D195" i="12"/>
  <c r="C195" i="12"/>
  <c r="B195" i="12"/>
  <c r="H194" i="12"/>
  <c r="G194" i="12"/>
  <c r="F194" i="12"/>
  <c r="E194" i="12"/>
  <c r="D194" i="12"/>
  <c r="C194" i="12"/>
  <c r="B194" i="12"/>
  <c r="H193" i="12"/>
  <c r="G193" i="12"/>
  <c r="F193" i="12"/>
  <c r="E193" i="12"/>
  <c r="D193" i="12"/>
  <c r="C193" i="12"/>
  <c r="B193" i="12"/>
  <c r="H192" i="12"/>
  <c r="G192" i="12"/>
  <c r="F192" i="12"/>
  <c r="E192" i="12"/>
  <c r="D192" i="12"/>
  <c r="C192" i="12"/>
  <c r="B192" i="12"/>
  <c r="H191" i="12"/>
  <c r="G191" i="12"/>
  <c r="F191" i="12"/>
  <c r="E191" i="12"/>
  <c r="D191" i="12"/>
  <c r="C191" i="12"/>
  <c r="B191" i="12"/>
  <c r="H190" i="12"/>
  <c r="G190" i="12"/>
  <c r="F190" i="12"/>
  <c r="E190" i="12"/>
  <c r="D190" i="12"/>
  <c r="C190" i="12"/>
  <c r="B190" i="12"/>
  <c r="H189" i="12"/>
  <c r="G189" i="12"/>
  <c r="F189" i="12"/>
  <c r="I189" i="12" s="1"/>
  <c r="E189" i="12"/>
  <c r="D189" i="12"/>
  <c r="C189" i="12"/>
  <c r="B189" i="12"/>
  <c r="H188" i="12"/>
  <c r="G188" i="12"/>
  <c r="F188" i="12"/>
  <c r="E188" i="12"/>
  <c r="D188" i="12"/>
  <c r="C188" i="12"/>
  <c r="B188" i="12"/>
  <c r="H187" i="12"/>
  <c r="G187" i="12"/>
  <c r="F187" i="12"/>
  <c r="E187" i="12"/>
  <c r="D187" i="12"/>
  <c r="C187" i="12"/>
  <c r="B187" i="12"/>
  <c r="H186" i="12"/>
  <c r="G186" i="12"/>
  <c r="F186" i="12"/>
  <c r="E186" i="12"/>
  <c r="D186" i="12"/>
  <c r="C186" i="12"/>
  <c r="B186" i="12"/>
  <c r="H185" i="12"/>
  <c r="G185" i="12"/>
  <c r="F185" i="12"/>
  <c r="E185" i="12"/>
  <c r="D185" i="12"/>
  <c r="C185" i="12"/>
  <c r="B185" i="12"/>
  <c r="H184" i="12"/>
  <c r="G184" i="12"/>
  <c r="F184" i="12"/>
  <c r="E184" i="12"/>
  <c r="D184" i="12"/>
  <c r="C184" i="12"/>
  <c r="B184" i="12"/>
  <c r="H183" i="12"/>
  <c r="G183" i="12"/>
  <c r="F183" i="12"/>
  <c r="E183" i="12"/>
  <c r="D183" i="12"/>
  <c r="C183" i="12"/>
  <c r="B183" i="12"/>
  <c r="H182" i="12"/>
  <c r="G182" i="12"/>
  <c r="F182" i="12"/>
  <c r="E182" i="12"/>
  <c r="D182" i="12"/>
  <c r="C182" i="12"/>
  <c r="B182" i="12"/>
  <c r="H181" i="12"/>
  <c r="G181" i="12"/>
  <c r="F181" i="12"/>
  <c r="E181" i="12"/>
  <c r="D181" i="12"/>
  <c r="C181" i="12"/>
  <c r="B181" i="12"/>
  <c r="H180" i="12"/>
  <c r="G180" i="12"/>
  <c r="F180" i="12"/>
  <c r="E180" i="12"/>
  <c r="D180" i="12"/>
  <c r="C180" i="12"/>
  <c r="B180" i="12"/>
  <c r="H179" i="12"/>
  <c r="G179" i="12"/>
  <c r="F179" i="12"/>
  <c r="E179" i="12"/>
  <c r="D179" i="12"/>
  <c r="C179" i="12"/>
  <c r="B179" i="12"/>
  <c r="H178" i="12"/>
  <c r="G178" i="12"/>
  <c r="F178" i="12"/>
  <c r="E178" i="12"/>
  <c r="D178" i="12"/>
  <c r="C178" i="12"/>
  <c r="B178" i="12"/>
  <c r="H177" i="12"/>
  <c r="G177" i="12"/>
  <c r="F177" i="12"/>
  <c r="E177" i="12"/>
  <c r="D177" i="12"/>
  <c r="C177" i="12"/>
  <c r="B177" i="12"/>
  <c r="H176" i="12"/>
  <c r="G176" i="12"/>
  <c r="F176" i="12"/>
  <c r="E176" i="12"/>
  <c r="D176" i="12"/>
  <c r="C176" i="12"/>
  <c r="B176" i="12"/>
  <c r="H175" i="12"/>
  <c r="G175" i="12"/>
  <c r="F175" i="12"/>
  <c r="E175" i="12"/>
  <c r="D175" i="12"/>
  <c r="C175" i="12"/>
  <c r="B175" i="12"/>
  <c r="H174" i="12"/>
  <c r="G174" i="12"/>
  <c r="F174" i="12"/>
  <c r="E174" i="12"/>
  <c r="D174" i="12"/>
  <c r="C174" i="12"/>
  <c r="B174" i="12"/>
  <c r="H173" i="12"/>
  <c r="G173" i="12"/>
  <c r="F173" i="12"/>
  <c r="I173" i="12" s="1"/>
  <c r="E173" i="12"/>
  <c r="D173" i="12"/>
  <c r="C173" i="12"/>
  <c r="B173" i="12"/>
  <c r="H172" i="12"/>
  <c r="G172" i="12"/>
  <c r="F172" i="12"/>
  <c r="E172" i="12"/>
  <c r="D172" i="12"/>
  <c r="C172" i="12"/>
  <c r="B172" i="12"/>
  <c r="H171" i="12"/>
  <c r="G171" i="12"/>
  <c r="F171" i="12"/>
  <c r="E171" i="12"/>
  <c r="D171" i="12"/>
  <c r="C171" i="12"/>
  <c r="B171" i="12"/>
  <c r="H170" i="12"/>
  <c r="G170" i="12"/>
  <c r="F170" i="12"/>
  <c r="E170" i="12"/>
  <c r="D170" i="12"/>
  <c r="C170" i="12"/>
  <c r="B170" i="12"/>
  <c r="H169" i="12"/>
  <c r="G169" i="12"/>
  <c r="F169" i="12"/>
  <c r="E169" i="12"/>
  <c r="D169" i="12"/>
  <c r="C169" i="12"/>
  <c r="B169" i="12"/>
  <c r="H168" i="12"/>
  <c r="G168" i="12"/>
  <c r="F168" i="12"/>
  <c r="E168" i="12"/>
  <c r="D168" i="12"/>
  <c r="C168" i="12"/>
  <c r="B168" i="12"/>
  <c r="H167" i="12"/>
  <c r="G167" i="12"/>
  <c r="F167" i="12"/>
  <c r="E167" i="12"/>
  <c r="D167" i="12"/>
  <c r="C167" i="12"/>
  <c r="B167" i="12"/>
  <c r="H166" i="12"/>
  <c r="G166" i="12"/>
  <c r="F166" i="12"/>
  <c r="E166" i="12"/>
  <c r="D166" i="12"/>
  <c r="C166" i="12"/>
  <c r="B166" i="12"/>
  <c r="H165" i="12"/>
  <c r="G165" i="12"/>
  <c r="F165" i="12"/>
  <c r="E165" i="12"/>
  <c r="D165" i="12"/>
  <c r="C165" i="12"/>
  <c r="B165" i="12"/>
  <c r="H164" i="12"/>
  <c r="G164" i="12"/>
  <c r="F164" i="12"/>
  <c r="E164" i="12"/>
  <c r="D164" i="12"/>
  <c r="C164" i="12"/>
  <c r="B164" i="12"/>
  <c r="H163" i="12"/>
  <c r="G163" i="12"/>
  <c r="F163" i="12"/>
  <c r="E163" i="12"/>
  <c r="D163" i="12"/>
  <c r="C163" i="12"/>
  <c r="B163" i="12"/>
  <c r="H162" i="12"/>
  <c r="G162" i="12"/>
  <c r="F162" i="12"/>
  <c r="E162" i="12"/>
  <c r="D162" i="12"/>
  <c r="C162" i="12"/>
  <c r="B162" i="12"/>
  <c r="H161" i="12"/>
  <c r="G161" i="12"/>
  <c r="F161" i="12"/>
  <c r="E161" i="12"/>
  <c r="D161" i="12"/>
  <c r="C161" i="12"/>
  <c r="B161" i="12"/>
  <c r="H160" i="12"/>
  <c r="G160" i="12"/>
  <c r="F160" i="12"/>
  <c r="E160" i="12"/>
  <c r="D160" i="12"/>
  <c r="C160" i="12"/>
  <c r="B160" i="12"/>
  <c r="H159" i="12"/>
  <c r="G159" i="12"/>
  <c r="F159" i="12"/>
  <c r="E159" i="12"/>
  <c r="D159" i="12"/>
  <c r="C159" i="12"/>
  <c r="B159" i="12"/>
  <c r="H158" i="12"/>
  <c r="G158" i="12"/>
  <c r="F158" i="12"/>
  <c r="E158" i="12"/>
  <c r="D158" i="12"/>
  <c r="C158" i="12"/>
  <c r="B158" i="12"/>
  <c r="H157" i="12"/>
  <c r="G157" i="12"/>
  <c r="F157" i="12"/>
  <c r="I157" i="12" s="1"/>
  <c r="E157" i="12"/>
  <c r="D157" i="12"/>
  <c r="C157" i="12"/>
  <c r="B157" i="12"/>
  <c r="H156" i="12"/>
  <c r="G156" i="12"/>
  <c r="F156" i="12"/>
  <c r="E156" i="12"/>
  <c r="D156" i="12"/>
  <c r="C156" i="12"/>
  <c r="B156" i="12"/>
  <c r="H155" i="12"/>
  <c r="G155" i="12"/>
  <c r="F155" i="12"/>
  <c r="E155" i="12"/>
  <c r="D155" i="12"/>
  <c r="C155" i="12"/>
  <c r="B155" i="12"/>
  <c r="H154" i="12"/>
  <c r="G154" i="12"/>
  <c r="F154" i="12"/>
  <c r="E154" i="12"/>
  <c r="D154" i="12"/>
  <c r="C154" i="12"/>
  <c r="B154" i="12"/>
  <c r="H153" i="12"/>
  <c r="G153" i="12"/>
  <c r="I153" i="12" s="1"/>
  <c r="F153" i="12"/>
  <c r="E153" i="12"/>
  <c r="D153" i="12"/>
  <c r="C153" i="12"/>
  <c r="B153" i="12"/>
  <c r="H152" i="12"/>
  <c r="G152" i="12"/>
  <c r="F152" i="12"/>
  <c r="E152" i="12"/>
  <c r="D152" i="12"/>
  <c r="C152" i="12"/>
  <c r="B152" i="12"/>
  <c r="H151" i="12"/>
  <c r="G151" i="12"/>
  <c r="F151" i="12"/>
  <c r="E151" i="12"/>
  <c r="D151" i="12"/>
  <c r="C151" i="12"/>
  <c r="B151" i="12"/>
  <c r="H150" i="12"/>
  <c r="G150" i="12"/>
  <c r="I150" i="12" s="1"/>
  <c r="F150" i="12"/>
  <c r="E150" i="12"/>
  <c r="D150" i="12"/>
  <c r="C150" i="12"/>
  <c r="B150" i="12"/>
  <c r="H149" i="12"/>
  <c r="G149" i="12"/>
  <c r="F149" i="12"/>
  <c r="E149" i="12"/>
  <c r="D149" i="12"/>
  <c r="C149" i="12"/>
  <c r="B149" i="12"/>
  <c r="H148" i="12"/>
  <c r="G148" i="12"/>
  <c r="F148" i="12"/>
  <c r="E148" i="12"/>
  <c r="D148" i="12"/>
  <c r="C148" i="12"/>
  <c r="B148" i="12"/>
  <c r="H147" i="12"/>
  <c r="G147" i="12"/>
  <c r="F147" i="12"/>
  <c r="E147" i="12"/>
  <c r="D147" i="12"/>
  <c r="C147" i="12"/>
  <c r="B147" i="12"/>
  <c r="H146" i="12"/>
  <c r="G146" i="12"/>
  <c r="F146" i="12"/>
  <c r="E146" i="12"/>
  <c r="D146" i="12"/>
  <c r="C146" i="12"/>
  <c r="B146" i="12"/>
  <c r="H145" i="12"/>
  <c r="G145" i="12"/>
  <c r="F145" i="12"/>
  <c r="E145" i="12"/>
  <c r="D145" i="12"/>
  <c r="C145" i="12"/>
  <c r="B145" i="12"/>
  <c r="H144" i="12"/>
  <c r="G144" i="12"/>
  <c r="F144" i="12"/>
  <c r="E144" i="12"/>
  <c r="D144" i="12"/>
  <c r="C144" i="12"/>
  <c r="B144" i="12"/>
  <c r="H143" i="12"/>
  <c r="G143" i="12"/>
  <c r="F143" i="12"/>
  <c r="E143" i="12"/>
  <c r="D143" i="12"/>
  <c r="C143" i="12"/>
  <c r="B143" i="12"/>
  <c r="H142" i="12"/>
  <c r="G142" i="12"/>
  <c r="F142" i="12"/>
  <c r="E142" i="12"/>
  <c r="D142" i="12"/>
  <c r="C142" i="12"/>
  <c r="B142" i="12"/>
  <c r="H141" i="12"/>
  <c r="G141" i="12"/>
  <c r="F141" i="12"/>
  <c r="I141" i="12" s="1"/>
  <c r="E141" i="12"/>
  <c r="D141" i="12"/>
  <c r="C141" i="12"/>
  <c r="B141" i="12"/>
  <c r="H140" i="12"/>
  <c r="G140" i="12"/>
  <c r="F140" i="12"/>
  <c r="E140" i="12"/>
  <c r="D140" i="12"/>
  <c r="C140" i="12"/>
  <c r="B140" i="12"/>
  <c r="H139" i="12"/>
  <c r="G139" i="12"/>
  <c r="F139" i="12"/>
  <c r="E139" i="12"/>
  <c r="D139" i="12"/>
  <c r="C139" i="12"/>
  <c r="B139" i="12"/>
  <c r="H138" i="12"/>
  <c r="G138" i="12"/>
  <c r="F138" i="12"/>
  <c r="E138" i="12"/>
  <c r="D138" i="12"/>
  <c r="C138" i="12"/>
  <c r="B138" i="12"/>
  <c r="H137" i="12"/>
  <c r="G137" i="12"/>
  <c r="I137" i="12" s="1"/>
  <c r="F137" i="12"/>
  <c r="E137" i="12"/>
  <c r="D137" i="12"/>
  <c r="C137" i="12"/>
  <c r="B137" i="12"/>
  <c r="H136" i="12"/>
  <c r="G136" i="12"/>
  <c r="F136" i="12"/>
  <c r="E136" i="12"/>
  <c r="D136" i="12"/>
  <c r="C136" i="12"/>
  <c r="B136" i="12"/>
  <c r="H135" i="12"/>
  <c r="G135" i="12"/>
  <c r="F135" i="12"/>
  <c r="E135" i="12"/>
  <c r="D135" i="12"/>
  <c r="C135" i="12"/>
  <c r="B135" i="12"/>
  <c r="H134" i="12"/>
  <c r="G134" i="12"/>
  <c r="F134" i="12"/>
  <c r="E134" i="12"/>
  <c r="D134" i="12"/>
  <c r="C134" i="12"/>
  <c r="B134" i="12"/>
  <c r="H133" i="12"/>
  <c r="G133" i="12"/>
  <c r="F133" i="12"/>
  <c r="E133" i="12"/>
  <c r="D133" i="12"/>
  <c r="C133" i="12"/>
  <c r="B133" i="12"/>
  <c r="H132" i="12"/>
  <c r="G132" i="12"/>
  <c r="F132" i="12"/>
  <c r="E132" i="12"/>
  <c r="D132" i="12"/>
  <c r="C132" i="12"/>
  <c r="B132" i="12"/>
  <c r="H131" i="12"/>
  <c r="G131" i="12"/>
  <c r="F131" i="12"/>
  <c r="E131" i="12"/>
  <c r="D131" i="12"/>
  <c r="C131" i="12"/>
  <c r="B131" i="12"/>
  <c r="H130" i="12"/>
  <c r="G130" i="12"/>
  <c r="F130" i="12"/>
  <c r="E130" i="12"/>
  <c r="D130" i="12"/>
  <c r="C130" i="12"/>
  <c r="B130" i="12"/>
  <c r="H129" i="12"/>
  <c r="G129" i="12"/>
  <c r="F129" i="12"/>
  <c r="E129" i="12"/>
  <c r="D129" i="12"/>
  <c r="C129" i="12"/>
  <c r="B129" i="12"/>
  <c r="H128" i="12"/>
  <c r="G128" i="12"/>
  <c r="F128" i="12"/>
  <c r="E128" i="12"/>
  <c r="D128" i="12"/>
  <c r="C128" i="12"/>
  <c r="B128" i="12"/>
  <c r="H127" i="12"/>
  <c r="G127" i="12"/>
  <c r="F127" i="12"/>
  <c r="E127" i="12"/>
  <c r="D127" i="12"/>
  <c r="C127" i="12"/>
  <c r="B127" i="12"/>
  <c r="H126" i="12"/>
  <c r="G126" i="12"/>
  <c r="F126" i="12"/>
  <c r="E126" i="12"/>
  <c r="D126" i="12"/>
  <c r="C126" i="12"/>
  <c r="B126" i="12"/>
  <c r="H125" i="12"/>
  <c r="G125" i="12"/>
  <c r="F125" i="12"/>
  <c r="I125" i="12" s="1"/>
  <c r="E125" i="12"/>
  <c r="D125" i="12"/>
  <c r="C125" i="12"/>
  <c r="B125" i="12"/>
  <c r="H124" i="12"/>
  <c r="G124" i="12"/>
  <c r="F124" i="12"/>
  <c r="E124" i="12"/>
  <c r="D124" i="12"/>
  <c r="C124" i="12"/>
  <c r="B124" i="12"/>
  <c r="H123" i="12"/>
  <c r="G123" i="12"/>
  <c r="F123" i="12"/>
  <c r="E123" i="12"/>
  <c r="D123" i="12"/>
  <c r="C123" i="12"/>
  <c r="B123" i="12"/>
  <c r="H122" i="12"/>
  <c r="G122" i="12"/>
  <c r="F122" i="12"/>
  <c r="E122" i="12"/>
  <c r="D122" i="12"/>
  <c r="C122" i="12"/>
  <c r="B122" i="12"/>
  <c r="H121" i="12"/>
  <c r="G121" i="12"/>
  <c r="I121" i="12" s="1"/>
  <c r="F121" i="12"/>
  <c r="E121" i="12"/>
  <c r="D121" i="12"/>
  <c r="C121" i="12"/>
  <c r="B121" i="12"/>
  <c r="H120" i="12"/>
  <c r="G120" i="12"/>
  <c r="F120" i="12"/>
  <c r="E120" i="12"/>
  <c r="D120" i="12"/>
  <c r="C120" i="12"/>
  <c r="B120" i="12"/>
  <c r="H119" i="12"/>
  <c r="G119" i="12"/>
  <c r="F119" i="12"/>
  <c r="E119" i="12"/>
  <c r="D119" i="12"/>
  <c r="C119" i="12"/>
  <c r="B119" i="12"/>
  <c r="H118" i="12"/>
  <c r="G118" i="12"/>
  <c r="F118" i="12"/>
  <c r="E118" i="12"/>
  <c r="D118" i="12"/>
  <c r="C118" i="12"/>
  <c r="B118" i="12"/>
  <c r="H117" i="12"/>
  <c r="G117" i="12"/>
  <c r="F117" i="12"/>
  <c r="E117" i="12"/>
  <c r="D117" i="12"/>
  <c r="C117" i="12"/>
  <c r="B117" i="12"/>
  <c r="H116" i="12"/>
  <c r="G116" i="12"/>
  <c r="F116" i="12"/>
  <c r="E116" i="12"/>
  <c r="D116" i="12"/>
  <c r="C116" i="12"/>
  <c r="B116" i="12"/>
  <c r="H115" i="12"/>
  <c r="G115" i="12"/>
  <c r="F115" i="12"/>
  <c r="E115" i="12"/>
  <c r="D115" i="12"/>
  <c r="C115" i="12"/>
  <c r="B115" i="12"/>
  <c r="H114" i="12"/>
  <c r="G114" i="12"/>
  <c r="F114" i="12"/>
  <c r="E114" i="12"/>
  <c r="D114" i="12"/>
  <c r="C114" i="12"/>
  <c r="B114" i="12"/>
  <c r="H113" i="12"/>
  <c r="G113" i="12"/>
  <c r="F113" i="12"/>
  <c r="E113" i="12"/>
  <c r="D113" i="12"/>
  <c r="C113" i="12"/>
  <c r="B113" i="12"/>
  <c r="H112" i="12"/>
  <c r="G112" i="12"/>
  <c r="F112" i="12"/>
  <c r="E112" i="12"/>
  <c r="D112" i="12"/>
  <c r="C112" i="12"/>
  <c r="B112" i="12"/>
  <c r="H111" i="12"/>
  <c r="G111" i="12"/>
  <c r="F111" i="12"/>
  <c r="E111" i="12"/>
  <c r="D111" i="12"/>
  <c r="C111" i="12"/>
  <c r="B111" i="12"/>
  <c r="H110" i="12"/>
  <c r="G110" i="12"/>
  <c r="F110" i="12"/>
  <c r="E110" i="12"/>
  <c r="D110" i="12"/>
  <c r="C110" i="12"/>
  <c r="B110" i="12"/>
  <c r="H109" i="12"/>
  <c r="G109" i="12"/>
  <c r="F109" i="12"/>
  <c r="I109" i="12" s="1"/>
  <c r="E109" i="12"/>
  <c r="D109" i="12"/>
  <c r="C109" i="12"/>
  <c r="B109" i="12"/>
  <c r="H108" i="12"/>
  <c r="G108" i="12"/>
  <c r="F108" i="12"/>
  <c r="E108" i="12"/>
  <c r="D108" i="12"/>
  <c r="C108" i="12"/>
  <c r="B108" i="12"/>
  <c r="H107" i="12"/>
  <c r="G107" i="12"/>
  <c r="F107" i="12"/>
  <c r="E107" i="12"/>
  <c r="D107" i="12"/>
  <c r="C107" i="12"/>
  <c r="B107" i="12"/>
  <c r="H106" i="12"/>
  <c r="G106" i="12"/>
  <c r="F106" i="12"/>
  <c r="E106" i="12"/>
  <c r="D106" i="12"/>
  <c r="C106" i="12"/>
  <c r="B106" i="12"/>
  <c r="H105" i="12"/>
  <c r="G105" i="12"/>
  <c r="I105" i="12" s="1"/>
  <c r="F105" i="12"/>
  <c r="E105" i="12"/>
  <c r="D105" i="12"/>
  <c r="C105" i="12"/>
  <c r="B105" i="12"/>
  <c r="H104" i="12"/>
  <c r="G104" i="12"/>
  <c r="F104" i="12"/>
  <c r="E104" i="12"/>
  <c r="D104" i="12"/>
  <c r="C104" i="12"/>
  <c r="B104" i="12"/>
  <c r="H103" i="12"/>
  <c r="G103" i="12"/>
  <c r="F103" i="12"/>
  <c r="E103" i="12"/>
  <c r="D103" i="12"/>
  <c r="C103" i="12"/>
  <c r="B103" i="12"/>
  <c r="H102" i="12"/>
  <c r="G102" i="12"/>
  <c r="F102" i="12"/>
  <c r="E102" i="12"/>
  <c r="D102" i="12"/>
  <c r="C102" i="12"/>
  <c r="B102" i="12"/>
  <c r="H101" i="12"/>
  <c r="G101" i="12"/>
  <c r="F101" i="12"/>
  <c r="E101" i="12"/>
  <c r="D101" i="12"/>
  <c r="C101" i="12"/>
  <c r="B101" i="12"/>
  <c r="H100" i="12"/>
  <c r="G100" i="12"/>
  <c r="F100" i="12"/>
  <c r="E100" i="12"/>
  <c r="D100" i="12"/>
  <c r="C100" i="12"/>
  <c r="B100" i="12"/>
  <c r="H99" i="12"/>
  <c r="G99" i="12"/>
  <c r="F99" i="12"/>
  <c r="E99" i="12"/>
  <c r="D99" i="12"/>
  <c r="C99" i="12"/>
  <c r="B99" i="12"/>
  <c r="H98" i="12"/>
  <c r="G98" i="12"/>
  <c r="F98" i="12"/>
  <c r="E98" i="12"/>
  <c r="D98" i="12"/>
  <c r="C98" i="12"/>
  <c r="B98" i="12"/>
  <c r="H97" i="12"/>
  <c r="G97" i="12"/>
  <c r="F97" i="12"/>
  <c r="E97" i="12"/>
  <c r="D97" i="12"/>
  <c r="C97" i="12"/>
  <c r="B97" i="12"/>
  <c r="H96" i="12"/>
  <c r="G96" i="12"/>
  <c r="F96" i="12"/>
  <c r="I96" i="12" s="1"/>
  <c r="E96" i="12"/>
  <c r="D96" i="12"/>
  <c r="C96" i="12"/>
  <c r="B96" i="12"/>
  <c r="H95" i="12"/>
  <c r="G95" i="12"/>
  <c r="F95" i="12"/>
  <c r="E95" i="12"/>
  <c r="D95" i="12"/>
  <c r="C95" i="12"/>
  <c r="B95" i="12"/>
  <c r="H94" i="12"/>
  <c r="G94" i="12"/>
  <c r="F94" i="12"/>
  <c r="E94" i="12"/>
  <c r="D94" i="12"/>
  <c r="C94" i="12"/>
  <c r="B94" i="12"/>
  <c r="H93" i="12"/>
  <c r="G93" i="12"/>
  <c r="F93" i="12"/>
  <c r="I93" i="12" s="1"/>
  <c r="E93" i="12"/>
  <c r="D93" i="12"/>
  <c r="C93" i="12"/>
  <c r="B93" i="12"/>
  <c r="H92" i="12"/>
  <c r="G92" i="12"/>
  <c r="F92" i="12"/>
  <c r="E92" i="12"/>
  <c r="D92" i="12"/>
  <c r="C92" i="12"/>
  <c r="B92" i="12"/>
  <c r="H91" i="12"/>
  <c r="G91" i="12"/>
  <c r="F91" i="12"/>
  <c r="E91" i="12"/>
  <c r="D91" i="12"/>
  <c r="C91" i="12"/>
  <c r="B91" i="12"/>
  <c r="H90" i="12"/>
  <c r="G90" i="12"/>
  <c r="F90" i="12"/>
  <c r="E90" i="12"/>
  <c r="D90" i="12"/>
  <c r="C90" i="12"/>
  <c r="B90" i="12"/>
  <c r="H89" i="12"/>
  <c r="G89" i="12"/>
  <c r="F89" i="12"/>
  <c r="E89" i="12"/>
  <c r="D89" i="12"/>
  <c r="C89" i="12"/>
  <c r="B89" i="12"/>
  <c r="H88" i="12"/>
  <c r="G88" i="12"/>
  <c r="F88" i="12"/>
  <c r="E88" i="12"/>
  <c r="D88" i="12"/>
  <c r="C88" i="12"/>
  <c r="B88" i="12"/>
  <c r="H87" i="12"/>
  <c r="G87" i="12"/>
  <c r="F87" i="12"/>
  <c r="E87" i="12"/>
  <c r="D87" i="12"/>
  <c r="C87" i="12"/>
  <c r="B87" i="12"/>
  <c r="H86" i="12"/>
  <c r="G86" i="12"/>
  <c r="F86" i="12"/>
  <c r="E86" i="12"/>
  <c r="D86" i="12"/>
  <c r="C86" i="12"/>
  <c r="B86" i="12"/>
  <c r="H85" i="12"/>
  <c r="G85" i="12"/>
  <c r="F85" i="12"/>
  <c r="E85" i="12"/>
  <c r="D85" i="12"/>
  <c r="C85" i="12"/>
  <c r="B85" i="12"/>
  <c r="H84" i="12"/>
  <c r="G84" i="12"/>
  <c r="F84" i="12"/>
  <c r="E84" i="12"/>
  <c r="D84" i="12"/>
  <c r="C84" i="12"/>
  <c r="B84" i="12"/>
  <c r="H83" i="12"/>
  <c r="G83" i="12"/>
  <c r="F83" i="12"/>
  <c r="E83" i="12"/>
  <c r="D83" i="12"/>
  <c r="C83" i="12"/>
  <c r="B83" i="12"/>
  <c r="H82" i="12"/>
  <c r="G82" i="12"/>
  <c r="F82" i="12"/>
  <c r="E82" i="12"/>
  <c r="D82" i="12"/>
  <c r="C82" i="12"/>
  <c r="B82" i="12"/>
  <c r="H81" i="12"/>
  <c r="G81" i="12"/>
  <c r="F81" i="12"/>
  <c r="E81" i="12"/>
  <c r="D81" i="12"/>
  <c r="C81" i="12"/>
  <c r="B81" i="12"/>
  <c r="H80" i="12"/>
  <c r="G80" i="12"/>
  <c r="F80" i="12"/>
  <c r="I80" i="12" s="1"/>
  <c r="E80" i="12"/>
  <c r="D80" i="12"/>
  <c r="C80" i="12"/>
  <c r="B80" i="12"/>
  <c r="H79" i="12"/>
  <c r="G79" i="12"/>
  <c r="F79" i="12"/>
  <c r="E79" i="12"/>
  <c r="D79" i="12"/>
  <c r="C79" i="12"/>
  <c r="B79" i="12"/>
  <c r="H78" i="12"/>
  <c r="G78" i="12"/>
  <c r="F78" i="12"/>
  <c r="E78" i="12"/>
  <c r="D78" i="12"/>
  <c r="C78" i="12"/>
  <c r="B78" i="12"/>
  <c r="H77" i="12"/>
  <c r="G77" i="12"/>
  <c r="F77" i="12"/>
  <c r="E77" i="12"/>
  <c r="D77" i="12"/>
  <c r="C77" i="12"/>
  <c r="B77" i="12"/>
  <c r="H76" i="12"/>
  <c r="G76" i="12"/>
  <c r="F76" i="12"/>
  <c r="E76" i="12"/>
  <c r="D76" i="12"/>
  <c r="C76" i="12"/>
  <c r="B76" i="12"/>
  <c r="H75" i="12"/>
  <c r="G75" i="12"/>
  <c r="F75" i="12"/>
  <c r="E75" i="12"/>
  <c r="D75" i="12"/>
  <c r="C75" i="12"/>
  <c r="B75" i="12"/>
  <c r="H74" i="12"/>
  <c r="G74" i="12"/>
  <c r="F74" i="12"/>
  <c r="E74" i="12"/>
  <c r="D74" i="12"/>
  <c r="C74" i="12"/>
  <c r="B74" i="12"/>
  <c r="H73" i="12"/>
  <c r="G73" i="12"/>
  <c r="F73" i="12"/>
  <c r="E73" i="12"/>
  <c r="D73" i="12"/>
  <c r="C73" i="12"/>
  <c r="B73" i="12"/>
  <c r="H72" i="12"/>
  <c r="G72" i="12"/>
  <c r="F72" i="12"/>
  <c r="E72" i="12"/>
  <c r="D72" i="12"/>
  <c r="C72" i="12"/>
  <c r="B72" i="12"/>
  <c r="H71" i="12"/>
  <c r="I71" i="12" s="1"/>
  <c r="G71" i="12"/>
  <c r="F71" i="12"/>
  <c r="E71" i="12"/>
  <c r="D71" i="12"/>
  <c r="C71" i="12"/>
  <c r="B71" i="12"/>
  <c r="H70" i="12"/>
  <c r="G70" i="12"/>
  <c r="F70" i="12"/>
  <c r="E70" i="12"/>
  <c r="D70" i="12"/>
  <c r="C70" i="12"/>
  <c r="B70" i="12"/>
  <c r="H69" i="12"/>
  <c r="G69" i="12"/>
  <c r="F69" i="12"/>
  <c r="E69" i="12"/>
  <c r="D69" i="12"/>
  <c r="C69" i="12"/>
  <c r="B69" i="12"/>
  <c r="H68" i="12"/>
  <c r="G68" i="12"/>
  <c r="F68" i="12"/>
  <c r="E68" i="12"/>
  <c r="D68" i="12"/>
  <c r="C68" i="12"/>
  <c r="B68" i="12"/>
  <c r="H67" i="12"/>
  <c r="G67" i="12"/>
  <c r="F67" i="12"/>
  <c r="E67" i="12"/>
  <c r="D67" i="12"/>
  <c r="C67" i="12"/>
  <c r="B67" i="12"/>
  <c r="H66" i="12"/>
  <c r="G66" i="12"/>
  <c r="F66" i="12"/>
  <c r="E66" i="12"/>
  <c r="D66" i="12"/>
  <c r="C66" i="12"/>
  <c r="B66" i="12"/>
  <c r="H65" i="12"/>
  <c r="G65" i="12"/>
  <c r="F65" i="12"/>
  <c r="E65" i="12"/>
  <c r="D65" i="12"/>
  <c r="C65" i="12"/>
  <c r="B65" i="12"/>
  <c r="H64" i="12"/>
  <c r="G64" i="12"/>
  <c r="F64" i="12"/>
  <c r="E64" i="12"/>
  <c r="D64" i="12"/>
  <c r="C64" i="12"/>
  <c r="B64" i="12"/>
  <c r="H63" i="12"/>
  <c r="G63" i="12"/>
  <c r="F63" i="12"/>
  <c r="E63" i="12"/>
  <c r="D63" i="12"/>
  <c r="C63" i="12"/>
  <c r="B63" i="12"/>
  <c r="H62" i="12"/>
  <c r="G62" i="12"/>
  <c r="I62" i="12" s="1"/>
  <c r="F62" i="12"/>
  <c r="E62" i="12"/>
  <c r="D62" i="12"/>
  <c r="C62" i="12"/>
  <c r="B62" i="12"/>
  <c r="H61" i="12"/>
  <c r="G61" i="12"/>
  <c r="F61" i="12"/>
  <c r="E61" i="12"/>
  <c r="D61" i="12"/>
  <c r="C61" i="12"/>
  <c r="B61" i="12"/>
  <c r="H60" i="12"/>
  <c r="G60" i="12"/>
  <c r="F60" i="12"/>
  <c r="E60" i="12"/>
  <c r="D60" i="12"/>
  <c r="C60" i="12"/>
  <c r="B60" i="12"/>
  <c r="H59" i="12"/>
  <c r="G59" i="12"/>
  <c r="F59" i="12"/>
  <c r="E59" i="12"/>
  <c r="D59" i="12"/>
  <c r="C59" i="12"/>
  <c r="B59" i="12"/>
  <c r="H58" i="12"/>
  <c r="G58" i="12"/>
  <c r="F58" i="12"/>
  <c r="E58" i="12"/>
  <c r="D58" i="12"/>
  <c r="C58" i="12"/>
  <c r="B58" i="12"/>
  <c r="H57" i="12"/>
  <c r="G57" i="12"/>
  <c r="F57" i="12"/>
  <c r="E57" i="12"/>
  <c r="D57" i="12"/>
  <c r="C57" i="12"/>
  <c r="B57" i="12"/>
  <c r="H56" i="12"/>
  <c r="G56" i="12"/>
  <c r="F56" i="12"/>
  <c r="E56" i="12"/>
  <c r="D56" i="12"/>
  <c r="C56" i="12"/>
  <c r="B56" i="12"/>
  <c r="H55" i="12"/>
  <c r="I55" i="12" s="1"/>
  <c r="G55" i="12"/>
  <c r="F55" i="12"/>
  <c r="E55" i="12"/>
  <c r="D55" i="12"/>
  <c r="C55" i="12"/>
  <c r="B55" i="12"/>
  <c r="H54" i="12"/>
  <c r="G54" i="12"/>
  <c r="F54" i="12"/>
  <c r="E54" i="12"/>
  <c r="D54" i="12"/>
  <c r="C54" i="12"/>
  <c r="B54" i="12"/>
  <c r="H53" i="12"/>
  <c r="G53" i="12"/>
  <c r="F53" i="12"/>
  <c r="E53" i="12"/>
  <c r="D53" i="12"/>
  <c r="C53" i="12"/>
  <c r="B53" i="12"/>
  <c r="H52" i="12"/>
  <c r="G52" i="12"/>
  <c r="F52" i="12"/>
  <c r="E52" i="12"/>
  <c r="D52" i="12"/>
  <c r="C52" i="12"/>
  <c r="B52" i="12"/>
  <c r="H51" i="12"/>
  <c r="G51" i="12"/>
  <c r="F51" i="12"/>
  <c r="E51" i="12"/>
  <c r="D51" i="12"/>
  <c r="C51" i="12"/>
  <c r="B51" i="12"/>
  <c r="H50" i="12"/>
  <c r="G50" i="12"/>
  <c r="F50" i="12"/>
  <c r="E50" i="12"/>
  <c r="D50" i="12"/>
  <c r="C50" i="12"/>
  <c r="B50" i="12"/>
  <c r="H49" i="12"/>
  <c r="G49" i="12"/>
  <c r="F49" i="12"/>
  <c r="E49" i="12"/>
  <c r="D49" i="12"/>
  <c r="C49" i="12"/>
  <c r="B49" i="12"/>
  <c r="H48" i="12"/>
  <c r="G48" i="12"/>
  <c r="F48" i="12"/>
  <c r="I48" i="12" s="1"/>
  <c r="E48" i="12"/>
  <c r="D48" i="12"/>
  <c r="C48" i="12"/>
  <c r="B48" i="12"/>
  <c r="H47" i="12"/>
  <c r="G47" i="12"/>
  <c r="F47" i="12"/>
  <c r="E47" i="12"/>
  <c r="D47" i="12"/>
  <c r="C47" i="12"/>
  <c r="B47" i="12"/>
  <c r="H46" i="12"/>
  <c r="G46" i="12"/>
  <c r="F46" i="12"/>
  <c r="E46" i="12"/>
  <c r="D46" i="12"/>
  <c r="C46" i="12"/>
  <c r="B46" i="12"/>
  <c r="H45" i="12"/>
  <c r="G45" i="12"/>
  <c r="F45" i="12"/>
  <c r="E45" i="12"/>
  <c r="D45" i="12"/>
  <c r="C45" i="12"/>
  <c r="B45" i="12"/>
  <c r="H44" i="12"/>
  <c r="G44" i="12"/>
  <c r="F44" i="12"/>
  <c r="E44" i="12"/>
  <c r="D44" i="12"/>
  <c r="C44" i="12"/>
  <c r="B44" i="12"/>
  <c r="H43" i="12"/>
  <c r="G43" i="12"/>
  <c r="F43" i="12"/>
  <c r="E43" i="12"/>
  <c r="D43" i="12"/>
  <c r="C43" i="12"/>
  <c r="B43" i="12"/>
  <c r="H42" i="12"/>
  <c r="G42" i="12"/>
  <c r="F42" i="12"/>
  <c r="E42" i="12"/>
  <c r="D42" i="12"/>
  <c r="C42" i="12"/>
  <c r="B42" i="12"/>
  <c r="H41" i="12"/>
  <c r="G41" i="12"/>
  <c r="F41" i="12"/>
  <c r="E41" i="12"/>
  <c r="D41" i="12"/>
  <c r="C41" i="12"/>
  <c r="B41" i="12"/>
  <c r="H40" i="12"/>
  <c r="G40" i="12"/>
  <c r="F40" i="12"/>
  <c r="E40" i="12"/>
  <c r="D40" i="12"/>
  <c r="C40" i="12"/>
  <c r="B40" i="12"/>
  <c r="H39" i="12"/>
  <c r="G39" i="12"/>
  <c r="F39" i="12"/>
  <c r="E39" i="12"/>
  <c r="D39" i="12"/>
  <c r="C39" i="12"/>
  <c r="B39" i="12"/>
  <c r="H38" i="12"/>
  <c r="G38" i="12"/>
  <c r="F38" i="12"/>
  <c r="E38" i="12"/>
  <c r="D38" i="12"/>
  <c r="C38" i="12"/>
  <c r="B38" i="12"/>
  <c r="H37" i="12"/>
  <c r="G37" i="12"/>
  <c r="F37" i="12"/>
  <c r="E37" i="12"/>
  <c r="D37" i="12"/>
  <c r="C37" i="12"/>
  <c r="B37" i="12"/>
  <c r="H36" i="12"/>
  <c r="G36" i="12"/>
  <c r="F36" i="12"/>
  <c r="E36" i="12"/>
  <c r="D36" i="12"/>
  <c r="C36" i="12"/>
  <c r="B36" i="12"/>
  <c r="H35" i="12"/>
  <c r="G35" i="12"/>
  <c r="F35" i="12"/>
  <c r="E35" i="12"/>
  <c r="D35" i="12"/>
  <c r="C35" i="12"/>
  <c r="B35" i="12"/>
  <c r="H34" i="12"/>
  <c r="G34" i="12"/>
  <c r="F34" i="12"/>
  <c r="E34" i="12"/>
  <c r="D34" i="12"/>
  <c r="C34" i="12"/>
  <c r="B34" i="12"/>
  <c r="H33" i="12"/>
  <c r="G33" i="12"/>
  <c r="F33" i="12"/>
  <c r="E33" i="12"/>
  <c r="D33" i="12"/>
  <c r="C33" i="12"/>
  <c r="B33" i="12"/>
  <c r="H32" i="12"/>
  <c r="G32" i="12"/>
  <c r="F32" i="12"/>
  <c r="E32" i="12"/>
  <c r="D32" i="12"/>
  <c r="C32" i="12"/>
  <c r="B32" i="12"/>
  <c r="H31" i="12"/>
  <c r="G31" i="12"/>
  <c r="F31" i="12"/>
  <c r="E31" i="12"/>
  <c r="D31" i="12"/>
  <c r="C31" i="12"/>
  <c r="B31" i="12"/>
  <c r="H30" i="12"/>
  <c r="G30" i="12"/>
  <c r="F30" i="12"/>
  <c r="E30" i="12"/>
  <c r="D30" i="12"/>
  <c r="C30" i="12"/>
  <c r="B30" i="12"/>
  <c r="H29" i="12"/>
  <c r="G29" i="12"/>
  <c r="F29" i="12"/>
  <c r="E29" i="12"/>
  <c r="D29" i="12"/>
  <c r="C29" i="12"/>
  <c r="B29" i="12"/>
  <c r="H28" i="12"/>
  <c r="G28" i="12"/>
  <c r="F28" i="12"/>
  <c r="E28" i="12"/>
  <c r="I28" i="12" s="1"/>
  <c r="D28" i="12"/>
  <c r="C28" i="12"/>
  <c r="B28" i="12"/>
  <c r="H27" i="12"/>
  <c r="G27" i="12"/>
  <c r="F27" i="12"/>
  <c r="E27" i="12"/>
  <c r="D27" i="12"/>
  <c r="C27" i="12"/>
  <c r="B27" i="12"/>
  <c r="H26" i="12"/>
  <c r="G26" i="12"/>
  <c r="F26" i="12"/>
  <c r="E26" i="12"/>
  <c r="D26" i="12"/>
  <c r="C26" i="12"/>
  <c r="B26" i="12"/>
  <c r="H25" i="12"/>
  <c r="G25" i="12"/>
  <c r="F25" i="12"/>
  <c r="E25" i="12"/>
  <c r="D25" i="12"/>
  <c r="C25" i="12"/>
  <c r="B25" i="12"/>
  <c r="H24" i="12"/>
  <c r="G24" i="12"/>
  <c r="F24" i="12"/>
  <c r="E24" i="12"/>
  <c r="D24" i="12"/>
  <c r="C24" i="12"/>
  <c r="B24" i="12"/>
  <c r="H23" i="12"/>
  <c r="G23" i="12"/>
  <c r="F23" i="12"/>
  <c r="E23" i="12"/>
  <c r="D23" i="12"/>
  <c r="C23" i="12"/>
  <c r="B23" i="12"/>
  <c r="H22" i="12"/>
  <c r="G22" i="12"/>
  <c r="F22" i="12"/>
  <c r="E22" i="12"/>
  <c r="D22" i="12"/>
  <c r="C22" i="12"/>
  <c r="B22" i="12"/>
  <c r="H21" i="12"/>
  <c r="G21" i="12"/>
  <c r="F21" i="12"/>
  <c r="E21" i="12"/>
  <c r="D21" i="12"/>
  <c r="C21" i="12"/>
  <c r="B21" i="12"/>
  <c r="H20" i="12"/>
  <c r="G20" i="12"/>
  <c r="F20" i="12"/>
  <c r="E20" i="12"/>
  <c r="D20" i="12"/>
  <c r="C20" i="12"/>
  <c r="B20" i="12"/>
  <c r="H19" i="12"/>
  <c r="G19" i="12"/>
  <c r="F19" i="12"/>
  <c r="E19" i="12"/>
  <c r="D19" i="12"/>
  <c r="C19" i="12"/>
  <c r="B19" i="12"/>
  <c r="H18" i="12"/>
  <c r="G18" i="12"/>
  <c r="F18" i="12"/>
  <c r="E18" i="12"/>
  <c r="D18" i="12"/>
  <c r="C18" i="12"/>
  <c r="B18" i="12"/>
  <c r="H17" i="12"/>
  <c r="G17" i="12"/>
  <c r="F17" i="12"/>
  <c r="E17" i="12"/>
  <c r="D17" i="12"/>
  <c r="C17" i="12"/>
  <c r="B17" i="12"/>
  <c r="H16" i="12"/>
  <c r="G16" i="12"/>
  <c r="F16" i="12"/>
  <c r="E16" i="12"/>
  <c r="D16" i="12"/>
  <c r="C16" i="12"/>
  <c r="B16" i="12"/>
  <c r="H15" i="12"/>
  <c r="G15" i="12"/>
  <c r="F15" i="12"/>
  <c r="E15" i="12"/>
  <c r="D15" i="12"/>
  <c r="C15" i="12"/>
  <c r="B15" i="12"/>
  <c r="H14" i="12"/>
  <c r="G14" i="12"/>
  <c r="F14" i="12"/>
  <c r="E14" i="12"/>
  <c r="D14" i="12"/>
  <c r="C14" i="12"/>
  <c r="B14" i="12"/>
  <c r="H13" i="12"/>
  <c r="G13" i="12"/>
  <c r="F13" i="12"/>
  <c r="E13" i="12"/>
  <c r="D13" i="12"/>
  <c r="C13" i="12"/>
  <c r="B13" i="12"/>
  <c r="H12" i="12"/>
  <c r="G12" i="12"/>
  <c r="F12" i="12"/>
  <c r="E12" i="12"/>
  <c r="D12" i="12"/>
  <c r="C12" i="12"/>
  <c r="B12" i="12"/>
  <c r="H11" i="12"/>
  <c r="G11" i="12"/>
  <c r="F11" i="12"/>
  <c r="E11" i="12"/>
  <c r="D11" i="12"/>
  <c r="C11" i="12"/>
  <c r="B11" i="12"/>
  <c r="H10" i="12"/>
  <c r="G10" i="12"/>
  <c r="F10" i="12"/>
  <c r="E10" i="12"/>
  <c r="D10" i="12"/>
  <c r="C10" i="12"/>
  <c r="B10" i="12"/>
  <c r="H9" i="12"/>
  <c r="G9" i="12"/>
  <c r="F9" i="12"/>
  <c r="E9" i="12"/>
  <c r="D9" i="12"/>
  <c r="C9" i="12"/>
  <c r="B9" i="12"/>
  <c r="H8" i="12"/>
  <c r="G8" i="12"/>
  <c r="F8" i="12"/>
  <c r="E8" i="12"/>
  <c r="D8" i="12"/>
  <c r="C8" i="12"/>
  <c r="B8" i="12"/>
  <c r="H7" i="12"/>
  <c r="G7" i="12"/>
  <c r="F7" i="12"/>
  <c r="E7" i="12"/>
  <c r="D7" i="12"/>
  <c r="C7" i="12"/>
  <c r="B7" i="12"/>
  <c r="H6" i="12"/>
  <c r="G6" i="12"/>
  <c r="F6" i="12"/>
  <c r="E6" i="12"/>
  <c r="D6" i="12"/>
  <c r="C6" i="12"/>
  <c r="B6" i="12"/>
  <c r="H5" i="12"/>
  <c r="G5" i="12"/>
  <c r="F5" i="12"/>
  <c r="E5" i="12"/>
  <c r="D5" i="12"/>
  <c r="C5" i="12"/>
  <c r="B5" i="12"/>
  <c r="H4" i="12"/>
  <c r="G4" i="12"/>
  <c r="F4" i="12"/>
  <c r="E4" i="12"/>
  <c r="D4" i="12"/>
  <c r="C4" i="12"/>
  <c r="B4" i="12"/>
  <c r="H3" i="12"/>
  <c r="G3" i="12"/>
  <c r="F3" i="12"/>
  <c r="E3" i="12"/>
  <c r="D3" i="12"/>
  <c r="C3" i="12"/>
  <c r="B3" i="12"/>
  <c r="I263" i="12"/>
  <c r="I254" i="12"/>
  <c r="I252" i="12"/>
  <c r="I251" i="12"/>
  <c r="I247" i="12"/>
  <c r="I238" i="12"/>
  <c r="I236" i="12"/>
  <c r="I231" i="12"/>
  <c r="I222" i="12"/>
  <c r="I220" i="12"/>
  <c r="I215" i="12"/>
  <c r="I206" i="12"/>
  <c r="I204" i="12"/>
  <c r="I199" i="12"/>
  <c r="I190" i="12"/>
  <c r="I188" i="12"/>
  <c r="I183" i="12"/>
  <c r="I174" i="12"/>
  <c r="I171" i="12"/>
  <c r="I167" i="12"/>
  <c r="I164" i="12"/>
  <c r="I158" i="12"/>
  <c r="I151" i="12"/>
  <c r="I142" i="12"/>
  <c r="I135" i="12"/>
  <c r="I126" i="12"/>
  <c r="I124" i="12"/>
  <c r="I119" i="12"/>
  <c r="I110" i="12"/>
  <c r="I103" i="12"/>
  <c r="I94" i="12"/>
  <c r="I92" i="12"/>
  <c r="I87" i="12"/>
  <c r="I78" i="12"/>
  <c r="I75" i="12"/>
  <c r="I60" i="12"/>
  <c r="I44" i="12"/>
  <c r="H263" i="11"/>
  <c r="G263" i="11"/>
  <c r="F263" i="11"/>
  <c r="E263" i="11"/>
  <c r="D263" i="11"/>
  <c r="C263" i="11"/>
  <c r="B263" i="11"/>
  <c r="H262" i="11"/>
  <c r="G262" i="11"/>
  <c r="F262" i="11"/>
  <c r="E262" i="11"/>
  <c r="D262" i="11"/>
  <c r="C262" i="11"/>
  <c r="B262" i="11"/>
  <c r="H261" i="11"/>
  <c r="G261" i="11"/>
  <c r="F261" i="11"/>
  <c r="E261" i="11"/>
  <c r="D261" i="11"/>
  <c r="C261" i="11"/>
  <c r="B261" i="11"/>
  <c r="H260" i="11"/>
  <c r="G260" i="11"/>
  <c r="F260" i="11"/>
  <c r="E260" i="11"/>
  <c r="D260" i="11"/>
  <c r="C260" i="11"/>
  <c r="B260" i="11"/>
  <c r="H259" i="11"/>
  <c r="G259" i="11"/>
  <c r="F259" i="11"/>
  <c r="E259" i="11"/>
  <c r="D259" i="11"/>
  <c r="C259" i="11"/>
  <c r="B259" i="11"/>
  <c r="H258" i="11"/>
  <c r="G258" i="11"/>
  <c r="F258" i="11"/>
  <c r="E258" i="11"/>
  <c r="D258" i="11"/>
  <c r="C258" i="11"/>
  <c r="B258" i="11"/>
  <c r="H257" i="11"/>
  <c r="G257" i="11"/>
  <c r="F257" i="11"/>
  <c r="E257" i="11"/>
  <c r="D257" i="11"/>
  <c r="C257" i="11"/>
  <c r="B257" i="11"/>
  <c r="H256" i="11"/>
  <c r="G256" i="11"/>
  <c r="F256" i="11"/>
  <c r="E256" i="11"/>
  <c r="D256" i="11"/>
  <c r="C256" i="11"/>
  <c r="B256" i="11"/>
  <c r="H255" i="11"/>
  <c r="I255" i="11" s="1"/>
  <c r="G255" i="11"/>
  <c r="F255" i="11"/>
  <c r="E255" i="11"/>
  <c r="D255" i="11"/>
  <c r="C255" i="11"/>
  <c r="B255" i="11"/>
  <c r="H254" i="11"/>
  <c r="G254" i="11"/>
  <c r="F254" i="11"/>
  <c r="E254" i="11"/>
  <c r="D254" i="11"/>
  <c r="C254" i="11"/>
  <c r="B254" i="11"/>
  <c r="H253" i="11"/>
  <c r="G253" i="11"/>
  <c r="F253" i="11"/>
  <c r="E253" i="11"/>
  <c r="D253" i="11"/>
  <c r="C253" i="11"/>
  <c r="B253" i="11"/>
  <c r="H252" i="11"/>
  <c r="G252" i="11"/>
  <c r="F252" i="11"/>
  <c r="E252" i="11"/>
  <c r="D252" i="11"/>
  <c r="C252" i="11"/>
  <c r="B252" i="11"/>
  <c r="H251" i="11"/>
  <c r="G251" i="11"/>
  <c r="F251" i="11"/>
  <c r="E251" i="11"/>
  <c r="D251" i="11"/>
  <c r="C251" i="11"/>
  <c r="B251" i="11"/>
  <c r="H250" i="11"/>
  <c r="G250" i="11"/>
  <c r="F250" i="11"/>
  <c r="E250" i="11"/>
  <c r="D250" i="11"/>
  <c r="C250" i="11"/>
  <c r="B250" i="11"/>
  <c r="H249" i="11"/>
  <c r="G249" i="11"/>
  <c r="F249" i="11"/>
  <c r="E249" i="11"/>
  <c r="D249" i="11"/>
  <c r="C249" i="11"/>
  <c r="B249" i="11"/>
  <c r="H248" i="11"/>
  <c r="G248" i="11"/>
  <c r="F248" i="11"/>
  <c r="E248" i="11"/>
  <c r="D248" i="11"/>
  <c r="C248" i="11"/>
  <c r="B248" i="11"/>
  <c r="H247" i="11"/>
  <c r="G247" i="11"/>
  <c r="F247" i="11"/>
  <c r="E247" i="11"/>
  <c r="D247" i="11"/>
  <c r="C247" i="11"/>
  <c r="B247" i="11"/>
  <c r="H246" i="11"/>
  <c r="G246" i="11"/>
  <c r="F246" i="11"/>
  <c r="E246" i="11"/>
  <c r="D246" i="11"/>
  <c r="C246" i="11"/>
  <c r="B246" i="11"/>
  <c r="H245" i="11"/>
  <c r="G245" i="11"/>
  <c r="F245" i="11"/>
  <c r="E245" i="11"/>
  <c r="D245" i="11"/>
  <c r="C245" i="11"/>
  <c r="B245" i="11"/>
  <c r="H244" i="11"/>
  <c r="G244" i="11"/>
  <c r="F244" i="11"/>
  <c r="E244" i="11"/>
  <c r="D244" i="11"/>
  <c r="C244" i="11"/>
  <c r="B244" i="11"/>
  <c r="H243" i="11"/>
  <c r="G243" i="11"/>
  <c r="F243" i="11"/>
  <c r="E243" i="11"/>
  <c r="D243" i="11"/>
  <c r="C243" i="11"/>
  <c r="B243" i="11"/>
  <c r="H242" i="11"/>
  <c r="G242" i="11"/>
  <c r="F242" i="11"/>
  <c r="E242" i="11"/>
  <c r="D242" i="11"/>
  <c r="C242" i="11"/>
  <c r="B242" i="11"/>
  <c r="H241" i="11"/>
  <c r="G241" i="11"/>
  <c r="F241" i="11"/>
  <c r="E241" i="11"/>
  <c r="D241" i="11"/>
  <c r="C241" i="11"/>
  <c r="B241" i="11"/>
  <c r="H240" i="11"/>
  <c r="G240" i="11"/>
  <c r="F240" i="11"/>
  <c r="E240" i="11"/>
  <c r="D240" i="11"/>
  <c r="C240" i="11"/>
  <c r="B240" i="11"/>
  <c r="H239" i="11"/>
  <c r="I239" i="11" s="1"/>
  <c r="G239" i="11"/>
  <c r="F239" i="11"/>
  <c r="E239" i="11"/>
  <c r="D239" i="11"/>
  <c r="C239" i="11"/>
  <c r="B239" i="11"/>
  <c r="H238" i="11"/>
  <c r="G238" i="11"/>
  <c r="F238" i="11"/>
  <c r="E238" i="11"/>
  <c r="D238" i="11"/>
  <c r="C238" i="11"/>
  <c r="B238" i="11"/>
  <c r="H237" i="11"/>
  <c r="G237" i="11"/>
  <c r="F237" i="11"/>
  <c r="E237" i="11"/>
  <c r="D237" i="11"/>
  <c r="C237" i="11"/>
  <c r="B237" i="11"/>
  <c r="H236" i="11"/>
  <c r="G236" i="11"/>
  <c r="F236" i="11"/>
  <c r="E236" i="11"/>
  <c r="D236" i="11"/>
  <c r="C236" i="11"/>
  <c r="B236" i="11"/>
  <c r="H235" i="11"/>
  <c r="G235" i="11"/>
  <c r="F235" i="11"/>
  <c r="E235" i="11"/>
  <c r="D235" i="11"/>
  <c r="C235" i="11"/>
  <c r="B235" i="11"/>
  <c r="H234" i="11"/>
  <c r="G234" i="11"/>
  <c r="F234" i="11"/>
  <c r="E234" i="11"/>
  <c r="D234" i="11"/>
  <c r="C234" i="11"/>
  <c r="B234" i="11"/>
  <c r="H233" i="11"/>
  <c r="G233" i="11"/>
  <c r="F233" i="11"/>
  <c r="E233" i="11"/>
  <c r="D233" i="11"/>
  <c r="C233" i="11"/>
  <c r="B233" i="11"/>
  <c r="H232" i="11"/>
  <c r="G232" i="11"/>
  <c r="F232" i="11"/>
  <c r="E232" i="11"/>
  <c r="D232" i="11"/>
  <c r="C232" i="11"/>
  <c r="B232" i="11"/>
  <c r="H231" i="11"/>
  <c r="G231" i="11"/>
  <c r="F231" i="11"/>
  <c r="E231" i="11"/>
  <c r="D231" i="11"/>
  <c r="C231" i="11"/>
  <c r="B231" i="11"/>
  <c r="H230" i="11"/>
  <c r="G230" i="11"/>
  <c r="F230" i="11"/>
  <c r="E230" i="11"/>
  <c r="D230" i="11"/>
  <c r="C230" i="11"/>
  <c r="B230" i="11"/>
  <c r="H229" i="11"/>
  <c r="G229" i="11"/>
  <c r="F229" i="11"/>
  <c r="E229" i="11"/>
  <c r="D229" i="11"/>
  <c r="C229" i="11"/>
  <c r="B229" i="11"/>
  <c r="H228" i="11"/>
  <c r="G228" i="11"/>
  <c r="F228" i="11"/>
  <c r="E228" i="11"/>
  <c r="D228" i="11"/>
  <c r="C228" i="11"/>
  <c r="B228" i="11"/>
  <c r="H227" i="11"/>
  <c r="G227" i="11"/>
  <c r="F227" i="11"/>
  <c r="E227" i="11"/>
  <c r="D227" i="11"/>
  <c r="C227" i="11"/>
  <c r="B227" i="11"/>
  <c r="H226" i="11"/>
  <c r="G226" i="11"/>
  <c r="F226" i="11"/>
  <c r="E226" i="11"/>
  <c r="D226" i="11"/>
  <c r="C226" i="11"/>
  <c r="B226" i="11"/>
  <c r="H225" i="11"/>
  <c r="G225" i="11"/>
  <c r="F225" i="11"/>
  <c r="E225" i="11"/>
  <c r="D225" i="11"/>
  <c r="C225" i="11"/>
  <c r="B225" i="11"/>
  <c r="H224" i="11"/>
  <c r="G224" i="11"/>
  <c r="F224" i="11"/>
  <c r="E224" i="11"/>
  <c r="D224" i="11"/>
  <c r="C224" i="11"/>
  <c r="B224" i="11"/>
  <c r="H223" i="11"/>
  <c r="I223" i="11" s="1"/>
  <c r="G223" i="11"/>
  <c r="F223" i="11"/>
  <c r="E223" i="11"/>
  <c r="D223" i="11"/>
  <c r="C223" i="11"/>
  <c r="B223" i="11"/>
  <c r="H222" i="11"/>
  <c r="G222" i="11"/>
  <c r="F222" i="11"/>
  <c r="E222" i="11"/>
  <c r="D222" i="11"/>
  <c r="C222" i="11"/>
  <c r="B222" i="11"/>
  <c r="H221" i="11"/>
  <c r="G221" i="11"/>
  <c r="F221" i="11"/>
  <c r="E221" i="11"/>
  <c r="D221" i="11"/>
  <c r="C221" i="11"/>
  <c r="B221" i="11"/>
  <c r="H220" i="11"/>
  <c r="G220" i="11"/>
  <c r="F220" i="11"/>
  <c r="E220" i="11"/>
  <c r="D220" i="11"/>
  <c r="C220" i="11"/>
  <c r="B220" i="11"/>
  <c r="H219" i="11"/>
  <c r="G219" i="11"/>
  <c r="F219" i="11"/>
  <c r="E219" i="11"/>
  <c r="D219" i="11"/>
  <c r="C219" i="11"/>
  <c r="B219" i="11"/>
  <c r="H218" i="11"/>
  <c r="G218" i="11"/>
  <c r="F218" i="11"/>
  <c r="E218" i="11"/>
  <c r="D218" i="11"/>
  <c r="C218" i="11"/>
  <c r="B218" i="11"/>
  <c r="H217" i="11"/>
  <c r="G217" i="11"/>
  <c r="F217" i="11"/>
  <c r="E217" i="11"/>
  <c r="D217" i="11"/>
  <c r="C217" i="11"/>
  <c r="B217" i="11"/>
  <c r="H216" i="11"/>
  <c r="G216" i="11"/>
  <c r="F216" i="11"/>
  <c r="E216" i="11"/>
  <c r="D216" i="11"/>
  <c r="C216" i="11"/>
  <c r="B216" i="11"/>
  <c r="H215" i="11"/>
  <c r="G215" i="11"/>
  <c r="F215" i="11"/>
  <c r="E215" i="11"/>
  <c r="D215" i="11"/>
  <c r="C215" i="11"/>
  <c r="B215" i="11"/>
  <c r="H214" i="11"/>
  <c r="G214" i="11"/>
  <c r="F214" i="11"/>
  <c r="E214" i="11"/>
  <c r="D214" i="11"/>
  <c r="C214" i="11"/>
  <c r="B214" i="11"/>
  <c r="H213" i="11"/>
  <c r="G213" i="11"/>
  <c r="F213" i="11"/>
  <c r="E213" i="11"/>
  <c r="D213" i="11"/>
  <c r="C213" i="11"/>
  <c r="B213" i="11"/>
  <c r="H212" i="11"/>
  <c r="G212" i="11"/>
  <c r="F212" i="11"/>
  <c r="E212" i="11"/>
  <c r="D212" i="11"/>
  <c r="C212" i="11"/>
  <c r="B212" i="11"/>
  <c r="H211" i="11"/>
  <c r="G211" i="11"/>
  <c r="F211" i="11"/>
  <c r="E211" i="11"/>
  <c r="D211" i="11"/>
  <c r="C211" i="11"/>
  <c r="B211" i="11"/>
  <c r="H210" i="11"/>
  <c r="G210" i="11"/>
  <c r="F210" i="11"/>
  <c r="E210" i="11"/>
  <c r="D210" i="11"/>
  <c r="C210" i="11"/>
  <c r="B210" i="11"/>
  <c r="H209" i="11"/>
  <c r="G209" i="11"/>
  <c r="F209" i="11"/>
  <c r="E209" i="11"/>
  <c r="D209" i="11"/>
  <c r="C209" i="11"/>
  <c r="B209" i="11"/>
  <c r="H208" i="11"/>
  <c r="G208" i="11"/>
  <c r="F208" i="11"/>
  <c r="E208" i="11"/>
  <c r="D208" i="11"/>
  <c r="C208" i="11"/>
  <c r="B208" i="11"/>
  <c r="H207" i="11"/>
  <c r="I207" i="11" s="1"/>
  <c r="G207" i="11"/>
  <c r="F207" i="11"/>
  <c r="E207" i="11"/>
  <c r="D207" i="11"/>
  <c r="C207" i="11"/>
  <c r="B207" i="11"/>
  <c r="H206" i="11"/>
  <c r="G206" i="11"/>
  <c r="F206" i="11"/>
  <c r="E206" i="11"/>
  <c r="D206" i="11"/>
  <c r="C206" i="11"/>
  <c r="B206" i="11"/>
  <c r="H205" i="11"/>
  <c r="G205" i="11"/>
  <c r="F205" i="11"/>
  <c r="E205" i="11"/>
  <c r="D205" i="11"/>
  <c r="C205" i="11"/>
  <c r="B205" i="11"/>
  <c r="H204" i="11"/>
  <c r="G204" i="11"/>
  <c r="F204" i="11"/>
  <c r="E204" i="11"/>
  <c r="D204" i="11"/>
  <c r="C204" i="11"/>
  <c r="B204" i="11"/>
  <c r="H203" i="11"/>
  <c r="G203" i="11"/>
  <c r="F203" i="11"/>
  <c r="E203" i="11"/>
  <c r="D203" i="11"/>
  <c r="C203" i="11"/>
  <c r="B203" i="11"/>
  <c r="H202" i="11"/>
  <c r="G202" i="11"/>
  <c r="F202" i="11"/>
  <c r="E202" i="11"/>
  <c r="D202" i="11"/>
  <c r="C202" i="11"/>
  <c r="B202" i="11"/>
  <c r="H201" i="11"/>
  <c r="G201" i="11"/>
  <c r="F201" i="11"/>
  <c r="E201" i="11"/>
  <c r="D201" i="11"/>
  <c r="C201" i="11"/>
  <c r="B201" i="11"/>
  <c r="H200" i="11"/>
  <c r="G200" i="11"/>
  <c r="F200" i="11"/>
  <c r="E200" i="11"/>
  <c r="D200" i="11"/>
  <c r="C200" i="11"/>
  <c r="B200" i="11"/>
  <c r="H199" i="11"/>
  <c r="G199" i="11"/>
  <c r="F199" i="11"/>
  <c r="E199" i="11"/>
  <c r="D199" i="11"/>
  <c r="C199" i="11"/>
  <c r="B199" i="11"/>
  <c r="H198" i="11"/>
  <c r="G198" i="11"/>
  <c r="F198" i="11"/>
  <c r="E198" i="11"/>
  <c r="D198" i="11"/>
  <c r="C198" i="11"/>
  <c r="B198" i="11"/>
  <c r="H197" i="11"/>
  <c r="G197" i="11"/>
  <c r="F197" i="11"/>
  <c r="E197" i="11"/>
  <c r="D197" i="11"/>
  <c r="C197" i="11"/>
  <c r="B197" i="11"/>
  <c r="H196" i="11"/>
  <c r="G196" i="11"/>
  <c r="F196" i="11"/>
  <c r="E196" i="11"/>
  <c r="D196" i="11"/>
  <c r="C196" i="11"/>
  <c r="B196" i="11"/>
  <c r="H195" i="11"/>
  <c r="G195" i="11"/>
  <c r="F195" i="11"/>
  <c r="E195" i="11"/>
  <c r="D195" i="11"/>
  <c r="C195" i="11"/>
  <c r="B195" i="11"/>
  <c r="H194" i="11"/>
  <c r="G194" i="11"/>
  <c r="F194" i="11"/>
  <c r="E194" i="11"/>
  <c r="D194" i="11"/>
  <c r="C194" i="11"/>
  <c r="B194" i="11"/>
  <c r="H193" i="11"/>
  <c r="G193" i="11"/>
  <c r="F193" i="11"/>
  <c r="E193" i="11"/>
  <c r="D193" i="11"/>
  <c r="C193" i="11"/>
  <c r="B193" i="11"/>
  <c r="H192" i="11"/>
  <c r="G192" i="11"/>
  <c r="F192" i="11"/>
  <c r="E192" i="11"/>
  <c r="D192" i="11"/>
  <c r="C192" i="11"/>
  <c r="B192" i="11"/>
  <c r="H191" i="11"/>
  <c r="I191" i="11" s="1"/>
  <c r="G191" i="11"/>
  <c r="F191" i="11"/>
  <c r="E191" i="11"/>
  <c r="D191" i="11"/>
  <c r="C191" i="11"/>
  <c r="B191" i="11"/>
  <c r="H190" i="11"/>
  <c r="G190" i="11"/>
  <c r="F190" i="11"/>
  <c r="E190" i="11"/>
  <c r="D190" i="11"/>
  <c r="C190" i="11"/>
  <c r="B190" i="11"/>
  <c r="H189" i="11"/>
  <c r="G189" i="11"/>
  <c r="F189" i="11"/>
  <c r="E189" i="11"/>
  <c r="D189" i="11"/>
  <c r="C189" i="11"/>
  <c r="B189" i="11"/>
  <c r="H188" i="11"/>
  <c r="G188" i="11"/>
  <c r="F188" i="11"/>
  <c r="E188" i="11"/>
  <c r="D188" i="11"/>
  <c r="C188" i="11"/>
  <c r="B188" i="11"/>
  <c r="H187" i="11"/>
  <c r="G187" i="11"/>
  <c r="F187" i="11"/>
  <c r="E187" i="11"/>
  <c r="D187" i="11"/>
  <c r="C187" i="11"/>
  <c r="B187" i="11"/>
  <c r="H186" i="11"/>
  <c r="G186" i="11"/>
  <c r="F186" i="11"/>
  <c r="E186" i="11"/>
  <c r="D186" i="11"/>
  <c r="C186" i="11"/>
  <c r="B186" i="11"/>
  <c r="H185" i="11"/>
  <c r="G185" i="11"/>
  <c r="F185" i="11"/>
  <c r="E185" i="11"/>
  <c r="D185" i="11"/>
  <c r="C185" i="11"/>
  <c r="B185" i="11"/>
  <c r="H184" i="11"/>
  <c r="G184" i="11"/>
  <c r="F184" i="11"/>
  <c r="E184" i="11"/>
  <c r="D184" i="11"/>
  <c r="C184" i="11"/>
  <c r="B184" i="11"/>
  <c r="H183" i="11"/>
  <c r="G183" i="11"/>
  <c r="F183" i="11"/>
  <c r="E183" i="11"/>
  <c r="D183" i="11"/>
  <c r="C183" i="11"/>
  <c r="B183" i="11"/>
  <c r="H182" i="11"/>
  <c r="G182" i="11"/>
  <c r="F182" i="11"/>
  <c r="E182" i="11"/>
  <c r="D182" i="11"/>
  <c r="C182" i="11"/>
  <c r="B182" i="11"/>
  <c r="H181" i="11"/>
  <c r="G181" i="11"/>
  <c r="F181" i="11"/>
  <c r="E181" i="11"/>
  <c r="D181" i="11"/>
  <c r="C181" i="11"/>
  <c r="B181" i="11"/>
  <c r="H180" i="11"/>
  <c r="G180" i="11"/>
  <c r="F180" i="11"/>
  <c r="E180" i="11"/>
  <c r="D180" i="11"/>
  <c r="C180" i="11"/>
  <c r="B180" i="11"/>
  <c r="H179" i="11"/>
  <c r="G179" i="11"/>
  <c r="F179" i="11"/>
  <c r="E179" i="11"/>
  <c r="D179" i="11"/>
  <c r="C179" i="11"/>
  <c r="B179" i="11"/>
  <c r="H178" i="11"/>
  <c r="G178" i="11"/>
  <c r="F178" i="11"/>
  <c r="E178" i="11"/>
  <c r="D178" i="11"/>
  <c r="C178" i="11"/>
  <c r="B178" i="11"/>
  <c r="H177" i="11"/>
  <c r="G177" i="11"/>
  <c r="F177" i="11"/>
  <c r="E177" i="11"/>
  <c r="D177" i="11"/>
  <c r="C177" i="11"/>
  <c r="B177" i="11"/>
  <c r="H176" i="11"/>
  <c r="G176" i="11"/>
  <c r="F176" i="11"/>
  <c r="E176" i="11"/>
  <c r="D176" i="11"/>
  <c r="C176" i="11"/>
  <c r="B176" i="11"/>
  <c r="H175" i="11"/>
  <c r="G175" i="11"/>
  <c r="F175" i="11"/>
  <c r="E175" i="11"/>
  <c r="D175" i="11"/>
  <c r="C175" i="11"/>
  <c r="B175" i="11"/>
  <c r="H174" i="11"/>
  <c r="G174" i="11"/>
  <c r="F174" i="11"/>
  <c r="E174" i="11"/>
  <c r="D174" i="11"/>
  <c r="C174" i="11"/>
  <c r="B174" i="11"/>
  <c r="H173" i="11"/>
  <c r="G173" i="11"/>
  <c r="F173" i="11"/>
  <c r="E173" i="11"/>
  <c r="D173" i="11"/>
  <c r="C173" i="11"/>
  <c r="B173" i="11"/>
  <c r="H172" i="11"/>
  <c r="G172" i="11"/>
  <c r="F172" i="11"/>
  <c r="E172" i="11"/>
  <c r="D172" i="11"/>
  <c r="C172" i="11"/>
  <c r="B172" i="11"/>
  <c r="H171" i="11"/>
  <c r="G171" i="11"/>
  <c r="F171" i="11"/>
  <c r="E171" i="11"/>
  <c r="D171" i="11"/>
  <c r="C171" i="11"/>
  <c r="B171" i="11"/>
  <c r="H170" i="11"/>
  <c r="G170" i="11"/>
  <c r="F170" i="11"/>
  <c r="E170" i="11"/>
  <c r="D170" i="11"/>
  <c r="C170" i="11"/>
  <c r="B170" i="11"/>
  <c r="H169" i="11"/>
  <c r="G169" i="11"/>
  <c r="F169" i="11"/>
  <c r="E169" i="11"/>
  <c r="D169" i="11"/>
  <c r="C169" i="11"/>
  <c r="B169" i="11"/>
  <c r="H168" i="11"/>
  <c r="G168" i="11"/>
  <c r="F168" i="11"/>
  <c r="E168" i="11"/>
  <c r="D168" i="11"/>
  <c r="C168" i="11"/>
  <c r="B168" i="11"/>
  <c r="H167" i="11"/>
  <c r="G167" i="11"/>
  <c r="F167" i="11"/>
  <c r="E167" i="11"/>
  <c r="D167" i="11"/>
  <c r="C167" i="11"/>
  <c r="B167" i="11"/>
  <c r="H166" i="11"/>
  <c r="G166" i="11"/>
  <c r="F166" i="11"/>
  <c r="E166" i="11"/>
  <c r="D166" i="11"/>
  <c r="C166" i="11"/>
  <c r="B166" i="11"/>
  <c r="H165" i="11"/>
  <c r="G165" i="11"/>
  <c r="F165" i="11"/>
  <c r="E165" i="11"/>
  <c r="D165" i="11"/>
  <c r="C165" i="11"/>
  <c r="B165" i="11"/>
  <c r="H164" i="11"/>
  <c r="G164" i="11"/>
  <c r="F164" i="11"/>
  <c r="E164" i="11"/>
  <c r="D164" i="11"/>
  <c r="I164" i="11" s="1"/>
  <c r="C164" i="11"/>
  <c r="B164" i="11"/>
  <c r="H163" i="11"/>
  <c r="G163" i="11"/>
  <c r="F163" i="11"/>
  <c r="E163" i="11"/>
  <c r="D163" i="11"/>
  <c r="C163" i="11"/>
  <c r="B163" i="11"/>
  <c r="H162" i="11"/>
  <c r="G162" i="11"/>
  <c r="F162" i="11"/>
  <c r="E162" i="11"/>
  <c r="D162" i="11"/>
  <c r="C162" i="11"/>
  <c r="B162" i="11"/>
  <c r="H161" i="11"/>
  <c r="G161" i="11"/>
  <c r="F161" i="11"/>
  <c r="E161" i="11"/>
  <c r="D161" i="11"/>
  <c r="C161" i="11"/>
  <c r="B161" i="11"/>
  <c r="H160" i="11"/>
  <c r="G160" i="11"/>
  <c r="F160" i="11"/>
  <c r="E160" i="11"/>
  <c r="D160" i="11"/>
  <c r="C160" i="11"/>
  <c r="B160" i="11"/>
  <c r="H159" i="11"/>
  <c r="G159" i="11"/>
  <c r="F159" i="11"/>
  <c r="E159" i="11"/>
  <c r="D159" i="11"/>
  <c r="C159" i="11"/>
  <c r="B159" i="11"/>
  <c r="H158" i="11"/>
  <c r="G158" i="11"/>
  <c r="F158" i="11"/>
  <c r="E158" i="11"/>
  <c r="D158" i="11"/>
  <c r="C158" i="11"/>
  <c r="B158" i="11"/>
  <c r="H157" i="11"/>
  <c r="G157" i="11"/>
  <c r="F157" i="11"/>
  <c r="E157" i="11"/>
  <c r="D157" i="11"/>
  <c r="C157" i="11"/>
  <c r="B157" i="11"/>
  <c r="H156" i="11"/>
  <c r="G156" i="11"/>
  <c r="F156" i="11"/>
  <c r="E156" i="11"/>
  <c r="D156" i="11"/>
  <c r="C156" i="11"/>
  <c r="B156" i="11"/>
  <c r="H155" i="11"/>
  <c r="G155" i="11"/>
  <c r="F155" i="11"/>
  <c r="E155" i="11"/>
  <c r="D155" i="11"/>
  <c r="C155" i="11"/>
  <c r="B155" i="11"/>
  <c r="H154" i="11"/>
  <c r="G154" i="11"/>
  <c r="F154" i="11"/>
  <c r="E154" i="11"/>
  <c r="D154" i="11"/>
  <c r="C154" i="11"/>
  <c r="B154" i="11"/>
  <c r="H153" i="11"/>
  <c r="G153" i="11"/>
  <c r="F153" i="11"/>
  <c r="E153" i="11"/>
  <c r="D153" i="11"/>
  <c r="C153" i="11"/>
  <c r="B153" i="11"/>
  <c r="H152" i="11"/>
  <c r="G152" i="11"/>
  <c r="F152" i="11"/>
  <c r="E152" i="11"/>
  <c r="D152" i="11"/>
  <c r="C152" i="11"/>
  <c r="B152" i="11"/>
  <c r="H151" i="11"/>
  <c r="G151" i="11"/>
  <c r="F151" i="11"/>
  <c r="E151" i="11"/>
  <c r="D151" i="11"/>
  <c r="C151" i="11"/>
  <c r="B151" i="11"/>
  <c r="H150" i="11"/>
  <c r="G150" i="11"/>
  <c r="I150" i="11" s="1"/>
  <c r="F150" i="11"/>
  <c r="E150" i="11"/>
  <c r="D150" i="11"/>
  <c r="C150" i="11"/>
  <c r="B150" i="11"/>
  <c r="H149" i="11"/>
  <c r="G149" i="11"/>
  <c r="F149" i="11"/>
  <c r="E149" i="11"/>
  <c r="D149" i="11"/>
  <c r="C149" i="11"/>
  <c r="B149" i="11"/>
  <c r="H148" i="11"/>
  <c r="G148" i="11"/>
  <c r="F148" i="11"/>
  <c r="E148" i="11"/>
  <c r="D148" i="11"/>
  <c r="C148" i="11"/>
  <c r="B148" i="11"/>
  <c r="H147" i="11"/>
  <c r="G147" i="11"/>
  <c r="F147" i="11"/>
  <c r="E147" i="11"/>
  <c r="D147" i="11"/>
  <c r="C147" i="11"/>
  <c r="B147" i="11"/>
  <c r="H146" i="11"/>
  <c r="G146" i="11"/>
  <c r="F146" i="11"/>
  <c r="E146" i="11"/>
  <c r="D146" i="11"/>
  <c r="C146" i="11"/>
  <c r="B146" i="11"/>
  <c r="H145" i="11"/>
  <c r="G145" i="11"/>
  <c r="F145" i="11"/>
  <c r="E145" i="11"/>
  <c r="D145" i="11"/>
  <c r="C145" i="11"/>
  <c r="B145" i="11"/>
  <c r="H144" i="11"/>
  <c r="G144" i="11"/>
  <c r="F144" i="11"/>
  <c r="E144" i="11"/>
  <c r="D144" i="11"/>
  <c r="C144" i="11"/>
  <c r="B144" i="11"/>
  <c r="H143" i="11"/>
  <c r="G143" i="11"/>
  <c r="F143" i="11"/>
  <c r="E143" i="11"/>
  <c r="D143" i="11"/>
  <c r="C143" i="11"/>
  <c r="B143" i="11"/>
  <c r="H142" i="11"/>
  <c r="G142" i="11"/>
  <c r="F142" i="11"/>
  <c r="E142" i="11"/>
  <c r="D142" i="11"/>
  <c r="C142" i="11"/>
  <c r="B142" i="11"/>
  <c r="H141" i="11"/>
  <c r="G141" i="11"/>
  <c r="F141" i="11"/>
  <c r="E141" i="11"/>
  <c r="D141" i="11"/>
  <c r="C141" i="11"/>
  <c r="B141" i="11"/>
  <c r="H140" i="11"/>
  <c r="G140" i="11"/>
  <c r="F140" i="11"/>
  <c r="E140" i="11"/>
  <c r="D140" i="11"/>
  <c r="C140" i="11"/>
  <c r="B140" i="11"/>
  <c r="H139" i="11"/>
  <c r="G139" i="11"/>
  <c r="F139" i="11"/>
  <c r="E139" i="11"/>
  <c r="D139" i="11"/>
  <c r="C139" i="11"/>
  <c r="B139" i="11"/>
  <c r="H138" i="11"/>
  <c r="G138" i="11"/>
  <c r="F138" i="11"/>
  <c r="E138" i="11"/>
  <c r="D138" i="11"/>
  <c r="C138" i="11"/>
  <c r="B138" i="11"/>
  <c r="H137" i="11"/>
  <c r="G137" i="11"/>
  <c r="F137" i="11"/>
  <c r="E137" i="11"/>
  <c r="D137" i="11"/>
  <c r="C137" i="11"/>
  <c r="B137" i="11"/>
  <c r="H136" i="11"/>
  <c r="G136" i="11"/>
  <c r="F136" i="11"/>
  <c r="E136" i="11"/>
  <c r="D136" i="11"/>
  <c r="C136" i="11"/>
  <c r="B136" i="11"/>
  <c r="H135" i="11"/>
  <c r="G135" i="11"/>
  <c r="F135" i="11"/>
  <c r="E135" i="11"/>
  <c r="D135" i="11"/>
  <c r="C135" i="11"/>
  <c r="B135" i="11"/>
  <c r="H134" i="11"/>
  <c r="G134" i="11"/>
  <c r="I134" i="11" s="1"/>
  <c r="F134" i="11"/>
  <c r="E134" i="11"/>
  <c r="D134" i="11"/>
  <c r="C134" i="11"/>
  <c r="B134" i="11"/>
  <c r="H133" i="11"/>
  <c r="G133" i="11"/>
  <c r="F133" i="11"/>
  <c r="E133" i="11"/>
  <c r="D133" i="11"/>
  <c r="C133" i="11"/>
  <c r="B133" i="11"/>
  <c r="H132" i="11"/>
  <c r="G132" i="11"/>
  <c r="F132" i="11"/>
  <c r="E132" i="11"/>
  <c r="D132" i="11"/>
  <c r="C132" i="11"/>
  <c r="B132" i="11"/>
  <c r="H131" i="11"/>
  <c r="G131" i="11"/>
  <c r="F131" i="11"/>
  <c r="E131" i="11"/>
  <c r="D131" i="11"/>
  <c r="C131" i="11"/>
  <c r="B131" i="11"/>
  <c r="H130" i="11"/>
  <c r="G130" i="11"/>
  <c r="F130" i="11"/>
  <c r="E130" i="11"/>
  <c r="D130" i="11"/>
  <c r="C130" i="11"/>
  <c r="B130" i="11"/>
  <c r="H129" i="11"/>
  <c r="G129" i="11"/>
  <c r="F129" i="11"/>
  <c r="E129" i="11"/>
  <c r="D129" i="11"/>
  <c r="C129" i="11"/>
  <c r="B129" i="11"/>
  <c r="H128" i="11"/>
  <c r="G128" i="11"/>
  <c r="F128" i="11"/>
  <c r="E128" i="11"/>
  <c r="D128" i="11"/>
  <c r="C128" i="11"/>
  <c r="B128" i="11"/>
  <c r="H127" i="11"/>
  <c r="G127" i="11"/>
  <c r="F127" i="11"/>
  <c r="E127" i="11"/>
  <c r="D127" i="11"/>
  <c r="C127" i="11"/>
  <c r="B127" i="11"/>
  <c r="H126" i="11"/>
  <c r="G126" i="11"/>
  <c r="F126" i="11"/>
  <c r="E126" i="11"/>
  <c r="D126" i="11"/>
  <c r="C126" i="11"/>
  <c r="B126" i="11"/>
  <c r="H125" i="11"/>
  <c r="G125" i="11"/>
  <c r="F125" i="11"/>
  <c r="E125" i="11"/>
  <c r="D125" i="11"/>
  <c r="C125" i="11"/>
  <c r="B125" i="11"/>
  <c r="H124" i="11"/>
  <c r="G124" i="11"/>
  <c r="F124" i="11"/>
  <c r="E124" i="11"/>
  <c r="D124" i="11"/>
  <c r="C124" i="11"/>
  <c r="B124" i="11"/>
  <c r="H123" i="11"/>
  <c r="G123" i="11"/>
  <c r="F123" i="11"/>
  <c r="E123" i="11"/>
  <c r="D123" i="11"/>
  <c r="C123" i="11"/>
  <c r="B123" i="11"/>
  <c r="H122" i="11"/>
  <c r="G122" i="11"/>
  <c r="F122" i="11"/>
  <c r="E122" i="11"/>
  <c r="D122" i="11"/>
  <c r="C122" i="11"/>
  <c r="B122" i="11"/>
  <c r="H121" i="11"/>
  <c r="G121" i="11"/>
  <c r="F121" i="11"/>
  <c r="E121" i="11"/>
  <c r="D121" i="11"/>
  <c r="C121" i="11"/>
  <c r="B121" i="11"/>
  <c r="H120" i="11"/>
  <c r="G120" i="11"/>
  <c r="F120" i="11"/>
  <c r="E120" i="11"/>
  <c r="D120" i="11"/>
  <c r="C120" i="11"/>
  <c r="B120" i="11"/>
  <c r="H119" i="11"/>
  <c r="G119" i="11"/>
  <c r="F119" i="11"/>
  <c r="E119" i="11"/>
  <c r="D119" i="11"/>
  <c r="C119" i="11"/>
  <c r="B119" i="11"/>
  <c r="H118" i="11"/>
  <c r="G118" i="11"/>
  <c r="I118" i="11" s="1"/>
  <c r="F118" i="11"/>
  <c r="E118" i="11"/>
  <c r="D118" i="11"/>
  <c r="C118" i="11"/>
  <c r="B118" i="11"/>
  <c r="H117" i="11"/>
  <c r="G117" i="11"/>
  <c r="F117" i="11"/>
  <c r="E117" i="11"/>
  <c r="D117" i="11"/>
  <c r="C117" i="11"/>
  <c r="B117" i="11"/>
  <c r="H116" i="11"/>
  <c r="G116" i="11"/>
  <c r="F116" i="11"/>
  <c r="E116" i="11"/>
  <c r="D116" i="11"/>
  <c r="C116" i="11"/>
  <c r="B116" i="11"/>
  <c r="H115" i="11"/>
  <c r="G115" i="11"/>
  <c r="F115" i="11"/>
  <c r="E115" i="11"/>
  <c r="D115" i="11"/>
  <c r="C115" i="11"/>
  <c r="B115" i="11"/>
  <c r="H114" i="11"/>
  <c r="G114" i="11"/>
  <c r="F114" i="11"/>
  <c r="E114" i="11"/>
  <c r="D114" i="11"/>
  <c r="C114" i="11"/>
  <c r="B114" i="11"/>
  <c r="H113" i="11"/>
  <c r="G113" i="11"/>
  <c r="F113" i="11"/>
  <c r="E113" i="11"/>
  <c r="D113" i="11"/>
  <c r="C113" i="11"/>
  <c r="B113" i="11"/>
  <c r="H112" i="11"/>
  <c r="G112" i="11"/>
  <c r="F112" i="11"/>
  <c r="E112" i="11"/>
  <c r="D112" i="11"/>
  <c r="C112" i="11"/>
  <c r="B112" i="11"/>
  <c r="H111" i="11"/>
  <c r="G111" i="11"/>
  <c r="F111" i="11"/>
  <c r="E111" i="11"/>
  <c r="D111" i="11"/>
  <c r="C111" i="11"/>
  <c r="B111" i="11"/>
  <c r="H110" i="11"/>
  <c r="G110" i="11"/>
  <c r="F110" i="11"/>
  <c r="E110" i="11"/>
  <c r="D110" i="11"/>
  <c r="C110" i="11"/>
  <c r="B110" i="11"/>
  <c r="H109" i="11"/>
  <c r="G109" i="11"/>
  <c r="F109" i="11"/>
  <c r="E109" i="11"/>
  <c r="D109" i="11"/>
  <c r="C109" i="11"/>
  <c r="B109" i="11"/>
  <c r="H108" i="11"/>
  <c r="G108" i="11"/>
  <c r="F108" i="11"/>
  <c r="E108" i="11"/>
  <c r="D108" i="11"/>
  <c r="C108" i="11"/>
  <c r="B108" i="11"/>
  <c r="H107" i="11"/>
  <c r="G107" i="11"/>
  <c r="F107" i="11"/>
  <c r="E107" i="11"/>
  <c r="D107" i="11"/>
  <c r="C107" i="11"/>
  <c r="B107" i="11"/>
  <c r="H106" i="11"/>
  <c r="G106" i="11"/>
  <c r="F106" i="11"/>
  <c r="E106" i="11"/>
  <c r="D106" i="11"/>
  <c r="C106" i="11"/>
  <c r="B106" i="11"/>
  <c r="H105" i="11"/>
  <c r="G105" i="11"/>
  <c r="F105" i="11"/>
  <c r="E105" i="11"/>
  <c r="D105" i="11"/>
  <c r="C105" i="11"/>
  <c r="B105" i="11"/>
  <c r="H104" i="11"/>
  <c r="G104" i="11"/>
  <c r="I104" i="11" s="1"/>
  <c r="F104" i="11"/>
  <c r="E104" i="11"/>
  <c r="D104" i="11"/>
  <c r="C104" i="11"/>
  <c r="B104" i="11"/>
  <c r="H103" i="11"/>
  <c r="G103" i="11"/>
  <c r="F103" i="11"/>
  <c r="E103" i="11"/>
  <c r="D103" i="11"/>
  <c r="C103" i="11"/>
  <c r="B103" i="11"/>
  <c r="H102" i="11"/>
  <c r="G102" i="11"/>
  <c r="F102" i="11"/>
  <c r="E102" i="11"/>
  <c r="D102" i="11"/>
  <c r="C102" i="11"/>
  <c r="B102" i="11"/>
  <c r="H101" i="11"/>
  <c r="G101" i="11"/>
  <c r="F101" i="11"/>
  <c r="E101" i="11"/>
  <c r="D101" i="11"/>
  <c r="C101" i="11"/>
  <c r="B101" i="11"/>
  <c r="H100" i="11"/>
  <c r="G100" i="11"/>
  <c r="F100" i="11"/>
  <c r="E100" i="11"/>
  <c r="D100" i="11"/>
  <c r="C100" i="11"/>
  <c r="B100" i="11"/>
  <c r="H99" i="11"/>
  <c r="G99" i="11"/>
  <c r="F99" i="11"/>
  <c r="E99" i="11"/>
  <c r="D99" i="11"/>
  <c r="C99" i="11"/>
  <c r="B99" i="11"/>
  <c r="H98" i="11"/>
  <c r="G98" i="11"/>
  <c r="F98" i="11"/>
  <c r="E98" i="11"/>
  <c r="D98" i="11"/>
  <c r="C98" i="11"/>
  <c r="B98" i="11"/>
  <c r="H97" i="11"/>
  <c r="G97" i="11"/>
  <c r="F97" i="11"/>
  <c r="E97" i="11"/>
  <c r="D97" i="11"/>
  <c r="C97" i="11"/>
  <c r="B97" i="11"/>
  <c r="H96" i="11"/>
  <c r="G96" i="11"/>
  <c r="F96" i="11"/>
  <c r="E96" i="11"/>
  <c r="D96" i="11"/>
  <c r="C96" i="11"/>
  <c r="B96" i="11"/>
  <c r="H95" i="11"/>
  <c r="G95" i="11"/>
  <c r="F95" i="11"/>
  <c r="E95" i="11"/>
  <c r="D95" i="11"/>
  <c r="C95" i="11"/>
  <c r="B95" i="11"/>
  <c r="H94" i="11"/>
  <c r="G94" i="11"/>
  <c r="F94" i="11"/>
  <c r="E94" i="11"/>
  <c r="D94" i="11"/>
  <c r="C94" i="11"/>
  <c r="B94" i="11"/>
  <c r="H93" i="11"/>
  <c r="G93" i="11"/>
  <c r="F93" i="11"/>
  <c r="E93" i="11"/>
  <c r="D93" i="11"/>
  <c r="C93" i="11"/>
  <c r="B93" i="11"/>
  <c r="H92" i="11"/>
  <c r="G92" i="11"/>
  <c r="F92" i="11"/>
  <c r="E92" i="11"/>
  <c r="D92" i="11"/>
  <c r="C92" i="11"/>
  <c r="B92" i="11"/>
  <c r="H91" i="11"/>
  <c r="G91" i="11"/>
  <c r="F91" i="11"/>
  <c r="E91" i="11"/>
  <c r="D91" i="11"/>
  <c r="C91" i="11"/>
  <c r="B91" i="11"/>
  <c r="H90" i="11"/>
  <c r="G90" i="11"/>
  <c r="F90" i="11"/>
  <c r="E90" i="11"/>
  <c r="D90" i="11"/>
  <c r="C90" i="11"/>
  <c r="B90" i="11"/>
  <c r="H89" i="11"/>
  <c r="G89" i="11"/>
  <c r="F89" i="11"/>
  <c r="E89" i="11"/>
  <c r="D89" i="11"/>
  <c r="C89" i="11"/>
  <c r="B89" i="11"/>
  <c r="H88" i="11"/>
  <c r="G88" i="11"/>
  <c r="F88" i="11"/>
  <c r="E88" i="11"/>
  <c r="D88" i="11"/>
  <c r="C88" i="11"/>
  <c r="B88" i="11"/>
  <c r="H87" i="11"/>
  <c r="G87" i="11"/>
  <c r="F87" i="11"/>
  <c r="E87" i="11"/>
  <c r="D87" i="11"/>
  <c r="C87" i="11"/>
  <c r="B87" i="11"/>
  <c r="H86" i="11"/>
  <c r="G86" i="11"/>
  <c r="F86" i="11"/>
  <c r="E86" i="11"/>
  <c r="D86" i="11"/>
  <c r="C86" i="11"/>
  <c r="B86" i="11"/>
  <c r="H85" i="11"/>
  <c r="G85" i="11"/>
  <c r="F85" i="11"/>
  <c r="E85" i="11"/>
  <c r="D85" i="11"/>
  <c r="C85" i="11"/>
  <c r="B85" i="11"/>
  <c r="H84" i="11"/>
  <c r="G84" i="11"/>
  <c r="F84" i="11"/>
  <c r="E84" i="11"/>
  <c r="D84" i="11"/>
  <c r="C84" i="11"/>
  <c r="B84" i="11"/>
  <c r="H83" i="11"/>
  <c r="G83" i="11"/>
  <c r="F83" i="11"/>
  <c r="E83" i="11"/>
  <c r="D83" i="11"/>
  <c r="C83" i="11"/>
  <c r="B83" i="11"/>
  <c r="H82" i="11"/>
  <c r="G82" i="11"/>
  <c r="F82" i="11"/>
  <c r="E82" i="11"/>
  <c r="D82" i="11"/>
  <c r="C82" i="11"/>
  <c r="B82" i="11"/>
  <c r="H81" i="11"/>
  <c r="G81" i="11"/>
  <c r="F81" i="11"/>
  <c r="E81" i="11"/>
  <c r="D81" i="11"/>
  <c r="C81" i="11"/>
  <c r="B81" i="11"/>
  <c r="H80" i="11"/>
  <c r="G80" i="11"/>
  <c r="F80" i="11"/>
  <c r="E80" i="11"/>
  <c r="D80" i="11"/>
  <c r="C80" i="11"/>
  <c r="B80" i="11"/>
  <c r="H79" i="11"/>
  <c r="G79" i="11"/>
  <c r="F79" i="11"/>
  <c r="E79" i="11"/>
  <c r="D79" i="11"/>
  <c r="C79" i="11"/>
  <c r="B79" i="11"/>
  <c r="H78" i="11"/>
  <c r="G78" i="11"/>
  <c r="F78" i="11"/>
  <c r="E78" i="11"/>
  <c r="D78" i="11"/>
  <c r="C78" i="11"/>
  <c r="B78" i="11"/>
  <c r="H77" i="11"/>
  <c r="G77" i="11"/>
  <c r="F77" i="11"/>
  <c r="E77" i="11"/>
  <c r="D77" i="11"/>
  <c r="C77" i="11"/>
  <c r="B77" i="11"/>
  <c r="H76" i="11"/>
  <c r="G76" i="11"/>
  <c r="F76" i="11"/>
  <c r="E76" i="11"/>
  <c r="D76" i="11"/>
  <c r="C76" i="11"/>
  <c r="B76" i="11"/>
  <c r="H75" i="11"/>
  <c r="G75" i="11"/>
  <c r="F75" i="11"/>
  <c r="E75" i="11"/>
  <c r="D75" i="11"/>
  <c r="C75" i="11"/>
  <c r="B75" i="11"/>
  <c r="H74" i="11"/>
  <c r="G74" i="11"/>
  <c r="F74" i="11"/>
  <c r="E74" i="11"/>
  <c r="D74" i="11"/>
  <c r="C74" i="11"/>
  <c r="B74" i="11"/>
  <c r="H73" i="11"/>
  <c r="G73" i="11"/>
  <c r="F73" i="11"/>
  <c r="E73" i="11"/>
  <c r="D73" i="11"/>
  <c r="C73" i="11"/>
  <c r="B73" i="11"/>
  <c r="H72" i="11"/>
  <c r="G72" i="11"/>
  <c r="I72" i="11" s="1"/>
  <c r="F72" i="11"/>
  <c r="E72" i="11"/>
  <c r="D72" i="11"/>
  <c r="C72" i="11"/>
  <c r="B72" i="11"/>
  <c r="H71" i="11"/>
  <c r="G71" i="11"/>
  <c r="F71" i="11"/>
  <c r="E71" i="11"/>
  <c r="D71" i="11"/>
  <c r="C71" i="11"/>
  <c r="B71" i="11"/>
  <c r="H70" i="11"/>
  <c r="G70" i="11"/>
  <c r="F70" i="11"/>
  <c r="E70" i="11"/>
  <c r="D70" i="11"/>
  <c r="C70" i="11"/>
  <c r="B70" i="11"/>
  <c r="H69" i="11"/>
  <c r="G69" i="11"/>
  <c r="F69" i="11"/>
  <c r="E69" i="11"/>
  <c r="D69" i="11"/>
  <c r="C69" i="11"/>
  <c r="B69" i="11"/>
  <c r="H68" i="11"/>
  <c r="G68" i="11"/>
  <c r="F68" i="11"/>
  <c r="E68" i="11"/>
  <c r="D68" i="11"/>
  <c r="C68" i="11"/>
  <c r="B68" i="11"/>
  <c r="H67" i="11"/>
  <c r="G67" i="11"/>
  <c r="F67" i="11"/>
  <c r="I67" i="11" s="1"/>
  <c r="E67" i="11"/>
  <c r="D67" i="11"/>
  <c r="C67" i="11"/>
  <c r="B67" i="11"/>
  <c r="H66" i="11"/>
  <c r="G66" i="11"/>
  <c r="F66" i="11"/>
  <c r="E66" i="11"/>
  <c r="D66" i="11"/>
  <c r="C66" i="11"/>
  <c r="B66" i="11"/>
  <c r="H65" i="11"/>
  <c r="G65" i="11"/>
  <c r="F65" i="11"/>
  <c r="E65" i="11"/>
  <c r="D65" i="11"/>
  <c r="C65" i="11"/>
  <c r="B65" i="11"/>
  <c r="H64" i="11"/>
  <c r="G64" i="11"/>
  <c r="F64" i="11"/>
  <c r="E64" i="11"/>
  <c r="D64" i="11"/>
  <c r="C64" i="11"/>
  <c r="B64" i="11"/>
  <c r="H63" i="11"/>
  <c r="G63" i="11"/>
  <c r="F63" i="11"/>
  <c r="E63" i="11"/>
  <c r="D63" i="11"/>
  <c r="C63" i="11"/>
  <c r="B63" i="11"/>
  <c r="H62" i="11"/>
  <c r="G62" i="11"/>
  <c r="F62" i="11"/>
  <c r="E62" i="11"/>
  <c r="D62" i="11"/>
  <c r="C62" i="11"/>
  <c r="B62" i="11"/>
  <c r="H61" i="11"/>
  <c r="G61" i="11"/>
  <c r="F61" i="11"/>
  <c r="E61" i="11"/>
  <c r="D61" i="11"/>
  <c r="C61" i="11"/>
  <c r="B61" i="11"/>
  <c r="H60" i="11"/>
  <c r="G60" i="11"/>
  <c r="F60" i="11"/>
  <c r="E60" i="11"/>
  <c r="D60" i="11"/>
  <c r="C60" i="11"/>
  <c r="B60" i="11"/>
  <c r="H59" i="11"/>
  <c r="G59" i="11"/>
  <c r="F59" i="11"/>
  <c r="E59" i="11"/>
  <c r="D59" i="11"/>
  <c r="C59" i="11"/>
  <c r="B59" i="11"/>
  <c r="H58" i="11"/>
  <c r="G58" i="11"/>
  <c r="F58" i="11"/>
  <c r="E58" i="11"/>
  <c r="D58" i="11"/>
  <c r="C58" i="11"/>
  <c r="B58" i="11"/>
  <c r="H57" i="11"/>
  <c r="G57" i="11"/>
  <c r="F57" i="11"/>
  <c r="E57" i="11"/>
  <c r="D57" i="11"/>
  <c r="C57" i="11"/>
  <c r="B57" i="11"/>
  <c r="H56" i="11"/>
  <c r="G56" i="11"/>
  <c r="I56" i="11" s="1"/>
  <c r="F56" i="11"/>
  <c r="E56" i="11"/>
  <c r="D56" i="11"/>
  <c r="C56" i="11"/>
  <c r="B56" i="11"/>
  <c r="H55" i="11"/>
  <c r="G55" i="11"/>
  <c r="F55" i="11"/>
  <c r="E55" i="11"/>
  <c r="D55" i="11"/>
  <c r="C55" i="11"/>
  <c r="B55" i="11"/>
  <c r="H54" i="11"/>
  <c r="G54" i="11"/>
  <c r="F54" i="11"/>
  <c r="E54" i="11"/>
  <c r="D54" i="11"/>
  <c r="C54" i="11"/>
  <c r="B54" i="11"/>
  <c r="H53" i="11"/>
  <c r="G53" i="11"/>
  <c r="F53" i="11"/>
  <c r="E53" i="11"/>
  <c r="D53" i="11"/>
  <c r="C53" i="11"/>
  <c r="B53" i="11"/>
  <c r="H52" i="11"/>
  <c r="G52" i="11"/>
  <c r="F52" i="11"/>
  <c r="E52" i="11"/>
  <c r="D52" i="11"/>
  <c r="C52" i="11"/>
  <c r="B52" i="11"/>
  <c r="H51" i="11"/>
  <c r="G51" i="11"/>
  <c r="F51" i="11"/>
  <c r="E51" i="11"/>
  <c r="D51" i="11"/>
  <c r="C51" i="11"/>
  <c r="B51" i="11"/>
  <c r="H50" i="11"/>
  <c r="G50" i="11"/>
  <c r="F50" i="11"/>
  <c r="E50" i="11"/>
  <c r="D50" i="11"/>
  <c r="C50" i="11"/>
  <c r="B50" i="11"/>
  <c r="H49" i="11"/>
  <c r="G49" i="11"/>
  <c r="F49" i="11"/>
  <c r="E49" i="11"/>
  <c r="D49" i="11"/>
  <c r="C49" i="11"/>
  <c r="B49" i="11"/>
  <c r="H48" i="11"/>
  <c r="G48" i="11"/>
  <c r="F48" i="11"/>
  <c r="E48" i="11"/>
  <c r="D48" i="11"/>
  <c r="C48" i="11"/>
  <c r="B48" i="11"/>
  <c r="H47" i="11"/>
  <c r="G47" i="11"/>
  <c r="F47" i="11"/>
  <c r="E47" i="11"/>
  <c r="D47" i="11"/>
  <c r="C47" i="11"/>
  <c r="B47" i="11"/>
  <c r="H46" i="11"/>
  <c r="G46" i="11"/>
  <c r="F46" i="11"/>
  <c r="E46" i="11"/>
  <c r="D46" i="11"/>
  <c r="C46" i="11"/>
  <c r="B46" i="11"/>
  <c r="H45" i="11"/>
  <c r="G45" i="11"/>
  <c r="F45" i="11"/>
  <c r="E45" i="11"/>
  <c r="D45" i="11"/>
  <c r="C45" i="11"/>
  <c r="B45" i="11"/>
  <c r="H44" i="11"/>
  <c r="G44" i="11"/>
  <c r="F44" i="11"/>
  <c r="E44" i="11"/>
  <c r="D44" i="11"/>
  <c r="C44" i="11"/>
  <c r="B44" i="11"/>
  <c r="H43" i="11"/>
  <c r="G43" i="11"/>
  <c r="F43" i="11"/>
  <c r="E43" i="11"/>
  <c r="D43" i="11"/>
  <c r="C43" i="11"/>
  <c r="B43" i="11"/>
  <c r="H42" i="11"/>
  <c r="G42" i="11"/>
  <c r="F42" i="11"/>
  <c r="E42" i="11"/>
  <c r="D42" i="11"/>
  <c r="C42" i="11"/>
  <c r="B42" i="11"/>
  <c r="H41" i="11"/>
  <c r="G41" i="11"/>
  <c r="F41" i="11"/>
  <c r="E41" i="11"/>
  <c r="D41" i="11"/>
  <c r="C41" i="11"/>
  <c r="B41" i="11"/>
  <c r="H40" i="11"/>
  <c r="G40" i="11"/>
  <c r="F40" i="11"/>
  <c r="E40" i="11"/>
  <c r="D40" i="11"/>
  <c r="C40" i="11"/>
  <c r="B40" i="11"/>
  <c r="H39" i="11"/>
  <c r="G39" i="11"/>
  <c r="F39" i="11"/>
  <c r="E39" i="11"/>
  <c r="D39" i="11"/>
  <c r="C39" i="11"/>
  <c r="B39" i="11"/>
  <c r="H38" i="11"/>
  <c r="G38" i="11"/>
  <c r="F38" i="11"/>
  <c r="E38" i="11"/>
  <c r="D38" i="11"/>
  <c r="C38" i="11"/>
  <c r="B38" i="11"/>
  <c r="H37" i="11"/>
  <c r="G37" i="11"/>
  <c r="F37" i="11"/>
  <c r="E37" i="11"/>
  <c r="D37" i="11"/>
  <c r="C37" i="11"/>
  <c r="B37" i="11"/>
  <c r="H36" i="11"/>
  <c r="G36" i="11"/>
  <c r="F36" i="11"/>
  <c r="E36" i="11"/>
  <c r="D36" i="11"/>
  <c r="C36" i="11"/>
  <c r="B36" i="11"/>
  <c r="H35" i="11"/>
  <c r="G35" i="11"/>
  <c r="F35" i="11"/>
  <c r="I35" i="11" s="1"/>
  <c r="E35" i="11"/>
  <c r="D35" i="11"/>
  <c r="C35" i="11"/>
  <c r="B35" i="11"/>
  <c r="H34" i="11"/>
  <c r="G34" i="11"/>
  <c r="F34" i="11"/>
  <c r="E34" i="11"/>
  <c r="D34" i="11"/>
  <c r="C34" i="11"/>
  <c r="B34" i="11"/>
  <c r="H33" i="11"/>
  <c r="G33" i="11"/>
  <c r="F33" i="11"/>
  <c r="E33" i="11"/>
  <c r="D33" i="11"/>
  <c r="C33" i="11"/>
  <c r="B33" i="11"/>
  <c r="H32" i="11"/>
  <c r="G32" i="11"/>
  <c r="F32" i="11"/>
  <c r="E32" i="11"/>
  <c r="D32" i="11"/>
  <c r="C32" i="11"/>
  <c r="B32" i="11"/>
  <c r="H31" i="11"/>
  <c r="G31" i="11"/>
  <c r="F31" i="11"/>
  <c r="E31" i="11"/>
  <c r="D31" i="11"/>
  <c r="C31" i="11"/>
  <c r="B31" i="11"/>
  <c r="H30" i="11"/>
  <c r="G30" i="11"/>
  <c r="F30" i="11"/>
  <c r="E30" i="11"/>
  <c r="D30" i="11"/>
  <c r="C30" i="11"/>
  <c r="B30" i="11"/>
  <c r="H29" i="11"/>
  <c r="G29" i="11"/>
  <c r="F29" i="11"/>
  <c r="E29" i="11"/>
  <c r="D29" i="11"/>
  <c r="C29" i="11"/>
  <c r="B29" i="11"/>
  <c r="H28" i="11"/>
  <c r="G28" i="11"/>
  <c r="F28" i="11"/>
  <c r="E28" i="11"/>
  <c r="D28" i="11"/>
  <c r="C28" i="11"/>
  <c r="B28" i="11"/>
  <c r="H27" i="11"/>
  <c r="G27" i="11"/>
  <c r="F27" i="11"/>
  <c r="E27" i="11"/>
  <c r="D27" i="11"/>
  <c r="C27" i="11"/>
  <c r="B27" i="11"/>
  <c r="H26" i="11"/>
  <c r="G26" i="11"/>
  <c r="F26" i="11"/>
  <c r="E26" i="11"/>
  <c r="D26" i="11"/>
  <c r="C26" i="11"/>
  <c r="B26" i="11"/>
  <c r="H25" i="11"/>
  <c r="G25" i="11"/>
  <c r="F25" i="11"/>
  <c r="E25" i="11"/>
  <c r="D25" i="11"/>
  <c r="C25" i="11"/>
  <c r="B25" i="11"/>
  <c r="H24" i="11"/>
  <c r="G24" i="11"/>
  <c r="F24" i="11"/>
  <c r="E24" i="11"/>
  <c r="D24" i="11"/>
  <c r="C24" i="11"/>
  <c r="B24" i="11"/>
  <c r="H23" i="11"/>
  <c r="G23" i="11"/>
  <c r="F23" i="11"/>
  <c r="E23" i="11"/>
  <c r="D23" i="11"/>
  <c r="C23" i="11"/>
  <c r="B23" i="11"/>
  <c r="H22" i="11"/>
  <c r="G22" i="11"/>
  <c r="F22" i="11"/>
  <c r="E22" i="11"/>
  <c r="D22" i="11"/>
  <c r="C22" i="11"/>
  <c r="B22" i="11"/>
  <c r="H21" i="11"/>
  <c r="G21" i="11"/>
  <c r="F21" i="11"/>
  <c r="E21" i="11"/>
  <c r="D21" i="11"/>
  <c r="C21" i="11"/>
  <c r="B21" i="11"/>
  <c r="H20" i="11"/>
  <c r="G20" i="11"/>
  <c r="F20" i="11"/>
  <c r="E20" i="11"/>
  <c r="D20" i="11"/>
  <c r="C20" i="11"/>
  <c r="B20" i="11"/>
  <c r="H19" i="11"/>
  <c r="G19" i="11"/>
  <c r="F19" i="11"/>
  <c r="I19" i="11" s="1"/>
  <c r="E19" i="11"/>
  <c r="D19" i="11"/>
  <c r="C19" i="11"/>
  <c r="B19" i="11"/>
  <c r="H18" i="11"/>
  <c r="G18" i="11"/>
  <c r="F18" i="11"/>
  <c r="E18" i="11"/>
  <c r="D18" i="11"/>
  <c r="C18" i="11"/>
  <c r="B18" i="11"/>
  <c r="H17" i="11"/>
  <c r="G17" i="11"/>
  <c r="F17" i="11"/>
  <c r="E17" i="11"/>
  <c r="D17" i="11"/>
  <c r="C17" i="11"/>
  <c r="B17" i="11"/>
  <c r="H16" i="11"/>
  <c r="G16" i="11"/>
  <c r="F16" i="11"/>
  <c r="E16" i="11"/>
  <c r="D16" i="11"/>
  <c r="C16" i="11"/>
  <c r="B16" i="11"/>
  <c r="H15" i="11"/>
  <c r="G15" i="11"/>
  <c r="F15" i="11"/>
  <c r="E15" i="11"/>
  <c r="D15" i="11"/>
  <c r="C15" i="11"/>
  <c r="B15" i="11"/>
  <c r="H14" i="11"/>
  <c r="G14" i="11"/>
  <c r="F14" i="11"/>
  <c r="E14" i="11"/>
  <c r="D14" i="11"/>
  <c r="C14" i="11"/>
  <c r="B14" i="11"/>
  <c r="H13" i="11"/>
  <c r="G13" i="11"/>
  <c r="F13" i="11"/>
  <c r="E13" i="11"/>
  <c r="D13" i="11"/>
  <c r="C13" i="11"/>
  <c r="B13" i="11"/>
  <c r="H12" i="11"/>
  <c r="G12" i="11"/>
  <c r="F12" i="11"/>
  <c r="E12" i="11"/>
  <c r="D12" i="11"/>
  <c r="C12" i="11"/>
  <c r="B12" i="11"/>
  <c r="H11" i="11"/>
  <c r="G11" i="11"/>
  <c r="F11" i="11"/>
  <c r="E11" i="11"/>
  <c r="D11" i="11"/>
  <c r="C11" i="11"/>
  <c r="B11" i="11"/>
  <c r="H10" i="11"/>
  <c r="G10" i="11"/>
  <c r="F10" i="11"/>
  <c r="E10" i="11"/>
  <c r="D10" i="11"/>
  <c r="C10" i="11"/>
  <c r="B10" i="11"/>
  <c r="H9" i="11"/>
  <c r="G9" i="11"/>
  <c r="F9" i="11"/>
  <c r="E9" i="11"/>
  <c r="D9" i="11"/>
  <c r="C9" i="11"/>
  <c r="B9" i="11"/>
  <c r="H8" i="11"/>
  <c r="G8" i="11"/>
  <c r="F8" i="11"/>
  <c r="E8" i="11"/>
  <c r="D8" i="11"/>
  <c r="C8" i="11"/>
  <c r="B8" i="11"/>
  <c r="H7" i="11"/>
  <c r="G7" i="11"/>
  <c r="F7" i="11"/>
  <c r="E7" i="11"/>
  <c r="D7" i="11"/>
  <c r="C7" i="11"/>
  <c r="B7" i="11"/>
  <c r="H6" i="11"/>
  <c r="G6" i="11"/>
  <c r="F6" i="11"/>
  <c r="E6" i="11"/>
  <c r="D6" i="11"/>
  <c r="C6" i="11"/>
  <c r="B6" i="11"/>
  <c r="H5" i="11"/>
  <c r="G5" i="11"/>
  <c r="F5" i="11"/>
  <c r="E5" i="11"/>
  <c r="D5" i="11"/>
  <c r="C5" i="11"/>
  <c r="B5" i="11"/>
  <c r="H4" i="11"/>
  <c r="G4" i="11"/>
  <c r="F4" i="11"/>
  <c r="E4" i="11"/>
  <c r="D4" i="11"/>
  <c r="C4" i="11"/>
  <c r="B4" i="11"/>
  <c r="H3" i="11"/>
  <c r="G3" i="11"/>
  <c r="F3" i="11"/>
  <c r="I3" i="11" s="1"/>
  <c r="E3" i="11"/>
  <c r="D3" i="11"/>
  <c r="C3" i="11"/>
  <c r="B3" i="11"/>
  <c r="I257" i="11"/>
  <c r="I248" i="11"/>
  <c r="I241" i="11"/>
  <c r="I232" i="11"/>
  <c r="I225" i="11"/>
  <c r="I216" i="11"/>
  <c r="I209" i="11"/>
  <c r="I200" i="11"/>
  <c r="I193" i="11"/>
  <c r="I184" i="11"/>
  <c r="I177" i="11"/>
  <c r="I168" i="11"/>
  <c r="I163" i="11"/>
  <c r="I152" i="11"/>
  <c r="I131" i="11"/>
  <c r="I83" i="11"/>
  <c r="I51" i="11"/>
  <c r="R5" i="10"/>
  <c r="Q5" i="10"/>
  <c r="P5" i="10"/>
  <c r="O5" i="10"/>
  <c r="N5" i="10"/>
  <c r="M5" i="10"/>
  <c r="L5" i="10"/>
  <c r="K5" i="10"/>
  <c r="R3" i="10"/>
  <c r="Q3" i="10"/>
  <c r="P3" i="10"/>
  <c r="O3" i="10"/>
  <c r="N3" i="10"/>
  <c r="M3" i="10"/>
  <c r="L3" i="10"/>
  <c r="K3" i="10"/>
  <c r="R5" i="9"/>
  <c r="Q5" i="9"/>
  <c r="P5" i="9"/>
  <c r="O5" i="9"/>
  <c r="N5" i="9"/>
  <c r="M5" i="9"/>
  <c r="L5" i="9"/>
  <c r="K5" i="9"/>
  <c r="R3" i="9"/>
  <c r="Q3" i="9"/>
  <c r="P3" i="9"/>
  <c r="O3" i="9"/>
  <c r="N3" i="9"/>
  <c r="M3" i="9"/>
  <c r="L3" i="9"/>
  <c r="K3" i="9"/>
  <c r="R5" i="8"/>
  <c r="Q5" i="8"/>
  <c r="P5" i="8"/>
  <c r="O5" i="8"/>
  <c r="N5" i="8"/>
  <c r="M5" i="8"/>
  <c r="L5" i="8"/>
  <c r="K5" i="8"/>
  <c r="R3" i="8"/>
  <c r="Q3" i="8"/>
  <c r="P3" i="8"/>
  <c r="O3" i="8"/>
  <c r="N3" i="8"/>
  <c r="M3" i="8"/>
  <c r="L3" i="8"/>
  <c r="K3" i="8"/>
  <c r="H190" i="7"/>
  <c r="H193" i="7"/>
  <c r="H194" i="7"/>
  <c r="H195" i="7"/>
  <c r="H206" i="7"/>
  <c r="H209" i="7"/>
  <c r="H210" i="7"/>
  <c r="H211" i="7"/>
  <c r="H222" i="7"/>
  <c r="H225" i="7"/>
  <c r="H226" i="7"/>
  <c r="H227" i="7"/>
  <c r="H238" i="7"/>
  <c r="H240" i="7"/>
  <c r="H241" i="7"/>
  <c r="H242" i="7"/>
  <c r="H254" i="7"/>
  <c r="H256" i="7"/>
  <c r="H257" i="7"/>
  <c r="H258" i="7"/>
  <c r="H259" i="7"/>
  <c r="L5" i="4"/>
  <c r="M5" i="4"/>
  <c r="N5" i="4"/>
  <c r="O5" i="4"/>
  <c r="P5" i="4"/>
  <c r="Q5" i="4"/>
  <c r="K5" i="4"/>
  <c r="L3" i="4"/>
  <c r="M3" i="4"/>
  <c r="N3" i="4"/>
  <c r="O3" i="4"/>
  <c r="P3" i="4"/>
  <c r="Q3" i="4"/>
  <c r="K3" i="4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F191" i="7"/>
  <c r="G191" i="7"/>
  <c r="H191" i="7"/>
  <c r="F192" i="7"/>
  <c r="G192" i="7"/>
  <c r="H192" i="7"/>
  <c r="F193" i="7"/>
  <c r="G193" i="7"/>
  <c r="F194" i="7"/>
  <c r="G194" i="7"/>
  <c r="F195" i="7"/>
  <c r="G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F205" i="7"/>
  <c r="G205" i="7"/>
  <c r="H205" i="7"/>
  <c r="F206" i="7"/>
  <c r="G206" i="7"/>
  <c r="F207" i="7"/>
  <c r="G207" i="7"/>
  <c r="H207" i="7"/>
  <c r="F208" i="7"/>
  <c r="G208" i="7"/>
  <c r="H208" i="7"/>
  <c r="F209" i="7"/>
  <c r="G209" i="7"/>
  <c r="F210" i="7"/>
  <c r="G210" i="7"/>
  <c r="F211" i="7"/>
  <c r="G211" i="7"/>
  <c r="F212" i="7"/>
  <c r="G212" i="7"/>
  <c r="H212" i="7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F223" i="7"/>
  <c r="G223" i="7"/>
  <c r="H223" i="7"/>
  <c r="F224" i="7"/>
  <c r="G224" i="7"/>
  <c r="H224" i="7"/>
  <c r="F225" i="7"/>
  <c r="G225" i="7"/>
  <c r="F226" i="7"/>
  <c r="G226" i="7"/>
  <c r="F227" i="7"/>
  <c r="G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F237" i="7"/>
  <c r="G237" i="7"/>
  <c r="H237" i="7"/>
  <c r="F238" i="7"/>
  <c r="G238" i="7"/>
  <c r="F239" i="7"/>
  <c r="G239" i="7"/>
  <c r="H239" i="7"/>
  <c r="F240" i="7"/>
  <c r="G240" i="7"/>
  <c r="F241" i="7"/>
  <c r="G241" i="7"/>
  <c r="F242" i="7"/>
  <c r="G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F253" i="7"/>
  <c r="G253" i="7"/>
  <c r="H253" i="7"/>
  <c r="F254" i="7"/>
  <c r="G254" i="7"/>
  <c r="F255" i="7"/>
  <c r="G255" i="7"/>
  <c r="H255" i="7"/>
  <c r="F256" i="7"/>
  <c r="G256" i="7"/>
  <c r="F257" i="7"/>
  <c r="G257" i="7"/>
  <c r="F258" i="7"/>
  <c r="G258" i="7"/>
  <c r="F259" i="7"/>
  <c r="G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I221" i="12" l="1"/>
  <c r="I16" i="12"/>
  <c r="I32" i="12"/>
  <c r="I64" i="12"/>
  <c r="I112" i="12"/>
  <c r="I128" i="12"/>
  <c r="I144" i="12"/>
  <c r="I160" i="12"/>
  <c r="I176" i="12"/>
  <c r="I20" i="11"/>
  <c r="I52" i="11"/>
  <c r="I100" i="11"/>
  <c r="I180" i="11"/>
  <c r="I84" i="11"/>
  <c r="I68" i="11"/>
  <c r="I116" i="11"/>
  <c r="I36" i="11"/>
  <c r="I33" i="11"/>
  <c r="I86" i="11"/>
  <c r="I102" i="11"/>
  <c r="J102" i="11" s="1"/>
  <c r="I166" i="11"/>
  <c r="I132" i="11"/>
  <c r="I148" i="11"/>
  <c r="I4" i="11"/>
  <c r="I237" i="12"/>
  <c r="I196" i="11"/>
  <c r="I212" i="11"/>
  <c r="I228" i="11"/>
  <c r="I135" i="11"/>
  <c r="I151" i="11"/>
  <c r="I253" i="12"/>
  <c r="J253" i="12" s="1"/>
  <c r="I49" i="11"/>
  <c r="I65" i="11"/>
  <c r="I81" i="11"/>
  <c r="I169" i="12"/>
  <c r="I185" i="12"/>
  <c r="I226" i="12"/>
  <c r="I20" i="13"/>
  <c r="I6" i="11"/>
  <c r="I22" i="11"/>
  <c r="I54" i="11"/>
  <c r="J64" i="11" s="1"/>
  <c r="I182" i="11"/>
  <c r="I167" i="11"/>
  <c r="I190" i="13"/>
  <c r="I206" i="13"/>
  <c r="I222" i="13"/>
  <c r="I3" i="13"/>
  <c r="I10" i="13"/>
  <c r="I17" i="13"/>
  <c r="I19" i="13"/>
  <c r="J19" i="13" s="1"/>
  <c r="I26" i="13"/>
  <c r="I33" i="13"/>
  <c r="I35" i="13"/>
  <c r="I42" i="13"/>
  <c r="I49" i="13"/>
  <c r="J59" i="13" s="1"/>
  <c r="I51" i="13"/>
  <c r="I58" i="13"/>
  <c r="I65" i="13"/>
  <c r="I67" i="13"/>
  <c r="I81" i="13"/>
  <c r="I8" i="11"/>
  <c r="I17" i="11"/>
  <c r="I88" i="11"/>
  <c r="I97" i="11"/>
  <c r="J97" i="11" s="1"/>
  <c r="I113" i="11"/>
  <c r="I27" i="12"/>
  <c r="I43" i="12"/>
  <c r="I91" i="12"/>
  <c r="I107" i="12"/>
  <c r="I123" i="12"/>
  <c r="I139" i="12"/>
  <c r="I155" i="12"/>
  <c r="I187" i="12"/>
  <c r="I203" i="12"/>
  <c r="I219" i="12"/>
  <c r="I235" i="12"/>
  <c r="I198" i="11"/>
  <c r="I214" i="11"/>
  <c r="I230" i="11"/>
  <c r="I246" i="11"/>
  <c r="I7" i="12"/>
  <c r="I23" i="12"/>
  <c r="I39" i="12"/>
  <c r="I4" i="13"/>
  <c r="I71" i="11"/>
  <c r="I87" i="11"/>
  <c r="I103" i="11"/>
  <c r="J113" i="11" s="1"/>
  <c r="I119" i="11"/>
  <c r="J119" i="11" s="1"/>
  <c r="I99" i="11"/>
  <c r="I115" i="11"/>
  <c r="I14" i="13"/>
  <c r="I30" i="13"/>
  <c r="I46" i="13"/>
  <c r="I62" i="13"/>
  <c r="I78" i="13"/>
  <c r="I94" i="13"/>
  <c r="I110" i="13"/>
  <c r="I126" i="13"/>
  <c r="I142" i="13"/>
  <c r="I74" i="13"/>
  <c r="I83" i="13"/>
  <c r="J93" i="13" s="1"/>
  <c r="I90" i="13"/>
  <c r="I97" i="13"/>
  <c r="J97" i="13" s="1"/>
  <c r="I99" i="13"/>
  <c r="J99" i="13" s="1"/>
  <c r="I106" i="13"/>
  <c r="J106" i="13" s="1"/>
  <c r="I113" i="13"/>
  <c r="J113" i="13" s="1"/>
  <c r="I115" i="13"/>
  <c r="I122" i="13"/>
  <c r="J122" i="13" s="1"/>
  <c r="I129" i="13"/>
  <c r="J129" i="13" s="1"/>
  <c r="I131" i="13"/>
  <c r="J131" i="13" s="1"/>
  <c r="I138" i="13"/>
  <c r="I145" i="13"/>
  <c r="J145" i="13" s="1"/>
  <c r="I147" i="13"/>
  <c r="J147" i="13" s="1"/>
  <c r="I154" i="13"/>
  <c r="J154" i="13" s="1"/>
  <c r="I161" i="13"/>
  <c r="I163" i="13"/>
  <c r="J163" i="13" s="1"/>
  <c r="I170" i="13"/>
  <c r="J170" i="13" s="1"/>
  <c r="I177" i="13"/>
  <c r="J177" i="13" s="1"/>
  <c r="I179" i="13"/>
  <c r="J179" i="13" s="1"/>
  <c r="I186" i="13"/>
  <c r="J186" i="13" s="1"/>
  <c r="I193" i="13"/>
  <c r="I195" i="13"/>
  <c r="I202" i="13"/>
  <c r="J202" i="13" s="1"/>
  <c r="I209" i="13"/>
  <c r="I211" i="13"/>
  <c r="J211" i="13" s="1"/>
  <c r="I218" i="13"/>
  <c r="I225" i="13"/>
  <c r="I227" i="13"/>
  <c r="I234" i="13"/>
  <c r="I241" i="13"/>
  <c r="I243" i="13"/>
  <c r="J243" i="13" s="1"/>
  <c r="I250" i="13"/>
  <c r="I259" i="13"/>
  <c r="J259" i="13" s="1"/>
  <c r="I64" i="11"/>
  <c r="I80" i="11"/>
  <c r="I96" i="11"/>
  <c r="J96" i="11" s="1"/>
  <c r="I112" i="11"/>
  <c r="J112" i="11" s="1"/>
  <c r="I128" i="11"/>
  <c r="I144" i="11"/>
  <c r="I160" i="11"/>
  <c r="J160" i="11" s="1"/>
  <c r="I176" i="11"/>
  <c r="I183" i="11"/>
  <c r="I192" i="11"/>
  <c r="I199" i="11"/>
  <c r="I201" i="11"/>
  <c r="J201" i="11" s="1"/>
  <c r="I208" i="11"/>
  <c r="J208" i="11" s="1"/>
  <c r="I215" i="11"/>
  <c r="J225" i="11" s="1"/>
  <c r="I231" i="11"/>
  <c r="J241" i="11" s="1"/>
  <c r="I247" i="11"/>
  <c r="J257" i="11" s="1"/>
  <c r="I263" i="11"/>
  <c r="I30" i="12"/>
  <c r="I46" i="12"/>
  <c r="I243" i="11"/>
  <c r="I76" i="12"/>
  <c r="I181" i="12"/>
  <c r="I197" i="12"/>
  <c r="I213" i="12"/>
  <c r="I229" i="12"/>
  <c r="J229" i="12" s="1"/>
  <c r="I245" i="12"/>
  <c r="J245" i="12" s="1"/>
  <c r="I261" i="12"/>
  <c r="J46" i="13"/>
  <c r="J174" i="13"/>
  <c r="I238" i="13"/>
  <c r="I254" i="13"/>
  <c r="I8" i="13"/>
  <c r="J18" i="13" s="1"/>
  <c r="I24" i="13"/>
  <c r="I40" i="13"/>
  <c r="J40" i="13" s="1"/>
  <c r="I56" i="13"/>
  <c r="J66" i="13" s="1"/>
  <c r="I72" i="13"/>
  <c r="I88" i="13"/>
  <c r="I104" i="13"/>
  <c r="I120" i="13"/>
  <c r="I136" i="13"/>
  <c r="I152" i="13"/>
  <c r="I168" i="13"/>
  <c r="I184" i="13"/>
  <c r="I200" i="13"/>
  <c r="J200" i="13" s="1"/>
  <c r="I216" i="13"/>
  <c r="J227" i="13"/>
  <c r="I232" i="13"/>
  <c r="I248" i="13"/>
  <c r="J248" i="13" s="1"/>
  <c r="I257" i="13"/>
  <c r="I244" i="11"/>
  <c r="I260" i="11"/>
  <c r="I11" i="12"/>
  <c r="I59" i="12"/>
  <c r="I84" i="12"/>
  <c r="J94" i="12" s="1"/>
  <c r="I100" i="12"/>
  <c r="I116" i="12"/>
  <c r="J116" i="12" s="1"/>
  <c r="I132" i="12"/>
  <c r="J132" i="12" s="1"/>
  <c r="I148" i="12"/>
  <c r="J148" i="12" s="1"/>
  <c r="I180" i="12"/>
  <c r="J190" i="12" s="1"/>
  <c r="I196" i="12"/>
  <c r="I212" i="12"/>
  <c r="I228" i="12"/>
  <c r="I244" i="12"/>
  <c r="I260" i="12"/>
  <c r="I217" i="11"/>
  <c r="J217" i="11" s="1"/>
  <c r="I224" i="11"/>
  <c r="I233" i="11"/>
  <c r="I98" i="12"/>
  <c r="I114" i="12"/>
  <c r="I130" i="12"/>
  <c r="I146" i="12"/>
  <c r="I162" i="12"/>
  <c r="I178" i="12"/>
  <c r="I194" i="12"/>
  <c r="J204" i="12" s="1"/>
  <c r="I210" i="12"/>
  <c r="J220" i="12" s="1"/>
  <c r="I242" i="12"/>
  <c r="I258" i="12"/>
  <c r="I170" i="11"/>
  <c r="J180" i="11" s="1"/>
  <c r="I186" i="11"/>
  <c r="I202" i="11"/>
  <c r="J202" i="11" s="1"/>
  <c r="I218" i="11"/>
  <c r="J228" i="11" s="1"/>
  <c r="I234" i="11"/>
  <c r="J234" i="11" s="1"/>
  <c r="I250" i="11"/>
  <c r="I14" i="12"/>
  <c r="I15" i="11"/>
  <c r="I31" i="11"/>
  <c r="I147" i="11"/>
  <c r="I179" i="11"/>
  <c r="I195" i="11"/>
  <c r="I211" i="11"/>
  <c r="I227" i="11"/>
  <c r="I259" i="11"/>
  <c r="J30" i="13"/>
  <c r="J115" i="13"/>
  <c r="I12" i="13"/>
  <c r="I28" i="13"/>
  <c r="J28" i="13" s="1"/>
  <c r="I44" i="13"/>
  <c r="J44" i="13" s="1"/>
  <c r="I60" i="13"/>
  <c r="J60" i="13" s="1"/>
  <c r="I76" i="13"/>
  <c r="J76" i="13" s="1"/>
  <c r="J78" i="13"/>
  <c r="I92" i="13"/>
  <c r="J92" i="13" s="1"/>
  <c r="I108" i="13"/>
  <c r="J108" i="13" s="1"/>
  <c r="I124" i="13"/>
  <c r="J124" i="13" s="1"/>
  <c r="I140" i="13"/>
  <c r="J140" i="13" s="1"/>
  <c r="I156" i="13"/>
  <c r="J156" i="13" s="1"/>
  <c r="J158" i="13"/>
  <c r="I172" i="13"/>
  <c r="J172" i="13" s="1"/>
  <c r="I188" i="13"/>
  <c r="J188" i="13" s="1"/>
  <c r="I204" i="13"/>
  <c r="J204" i="13" s="1"/>
  <c r="I220" i="13"/>
  <c r="J220" i="13" s="1"/>
  <c r="I236" i="13"/>
  <c r="J236" i="13" s="1"/>
  <c r="I252" i="13"/>
  <c r="J252" i="13" s="1"/>
  <c r="J161" i="13"/>
  <c r="I192" i="12"/>
  <c r="I201" i="12"/>
  <c r="I208" i="12"/>
  <c r="J208" i="12" s="1"/>
  <c r="I217" i="12"/>
  <c r="I224" i="12"/>
  <c r="J224" i="12" s="1"/>
  <c r="I233" i="12"/>
  <c r="I240" i="12"/>
  <c r="J240" i="12" s="1"/>
  <c r="I249" i="12"/>
  <c r="I256" i="12"/>
  <c r="I47" i="11"/>
  <c r="I10" i="12"/>
  <c r="I12" i="12"/>
  <c r="I26" i="12"/>
  <c r="J26" i="12" s="1"/>
  <c r="I42" i="12"/>
  <c r="J42" i="12" s="1"/>
  <c r="I58" i="12"/>
  <c r="I74" i="12"/>
  <c r="I90" i="12"/>
  <c r="J90" i="12" s="1"/>
  <c r="I106" i="12"/>
  <c r="I122" i="12"/>
  <c r="J122" i="12" s="1"/>
  <c r="I138" i="12"/>
  <c r="I154" i="12"/>
  <c r="J154" i="12" s="1"/>
  <c r="I24" i="11"/>
  <c r="I40" i="11"/>
  <c r="I120" i="11"/>
  <c r="I129" i="11"/>
  <c r="I136" i="11"/>
  <c r="I145" i="11"/>
  <c r="J145" i="11" s="1"/>
  <c r="I161" i="11"/>
  <c r="J161" i="11" s="1"/>
  <c r="I108" i="12"/>
  <c r="I140" i="12"/>
  <c r="I156" i="12"/>
  <c r="I163" i="12"/>
  <c r="I170" i="12"/>
  <c r="I172" i="12"/>
  <c r="I179" i="12"/>
  <c r="J189" i="12" s="1"/>
  <c r="I186" i="12"/>
  <c r="J196" i="12" s="1"/>
  <c r="I195" i="12"/>
  <c r="J195" i="12" s="1"/>
  <c r="I202" i="12"/>
  <c r="J212" i="12" s="1"/>
  <c r="I211" i="12"/>
  <c r="J211" i="12" s="1"/>
  <c r="I218" i="12"/>
  <c r="I227" i="12"/>
  <c r="I234" i="12"/>
  <c r="J244" i="12" s="1"/>
  <c r="I243" i="12"/>
  <c r="I250" i="12"/>
  <c r="I259" i="12"/>
  <c r="I38" i="11"/>
  <c r="I70" i="11"/>
  <c r="I262" i="11"/>
  <c r="I13" i="12"/>
  <c r="I29" i="12"/>
  <c r="I45" i="12"/>
  <c r="I61" i="12"/>
  <c r="J71" i="12" s="1"/>
  <c r="I77" i="12"/>
  <c r="J87" i="12" s="1"/>
  <c r="I4" i="12"/>
  <c r="I20" i="12"/>
  <c r="J20" i="12" s="1"/>
  <c r="I36" i="12"/>
  <c r="I52" i="12"/>
  <c r="I68" i="12"/>
  <c r="J78" i="12" s="1"/>
  <c r="I7" i="11"/>
  <c r="J17" i="11" s="1"/>
  <c r="I23" i="11"/>
  <c r="J33" i="11" s="1"/>
  <c r="I39" i="11"/>
  <c r="I55" i="11"/>
  <c r="J65" i="11" s="1"/>
  <c r="I102" i="12"/>
  <c r="J102" i="12" s="1"/>
  <c r="I118" i="12"/>
  <c r="I134" i="12"/>
  <c r="J144" i="12" s="1"/>
  <c r="I166" i="12"/>
  <c r="J176" i="12" s="1"/>
  <c r="I182" i="12"/>
  <c r="J182" i="12" s="1"/>
  <c r="I198" i="12"/>
  <c r="I214" i="12"/>
  <c r="J214" i="12" s="1"/>
  <c r="I230" i="12"/>
  <c r="J230" i="12" s="1"/>
  <c r="I246" i="12"/>
  <c r="I262" i="12"/>
  <c r="J262" i="12" s="1"/>
  <c r="J252" i="12"/>
  <c r="I18" i="12"/>
  <c r="J28" i="12" s="1"/>
  <c r="I34" i="12"/>
  <c r="J44" i="12" s="1"/>
  <c r="I50" i="12"/>
  <c r="J60" i="12" s="1"/>
  <c r="I66" i="12"/>
  <c r="I5" i="13"/>
  <c r="J15" i="13" s="1"/>
  <c r="I15" i="13"/>
  <c r="I21" i="13"/>
  <c r="J21" i="13" s="1"/>
  <c r="I31" i="13"/>
  <c r="J41" i="13" s="1"/>
  <c r="I37" i="13"/>
  <c r="J37" i="13" s="1"/>
  <c r="I47" i="13"/>
  <c r="J57" i="13" s="1"/>
  <c r="I53" i="13"/>
  <c r="J53" i="13" s="1"/>
  <c r="I63" i="13"/>
  <c r="I69" i="13"/>
  <c r="J72" i="13"/>
  <c r="I79" i="13"/>
  <c r="J89" i="13" s="1"/>
  <c r="J81" i="13"/>
  <c r="I85" i="13"/>
  <c r="J85" i="13" s="1"/>
  <c r="J88" i="13"/>
  <c r="I95" i="13"/>
  <c r="I101" i="13"/>
  <c r="J101" i="13" s="1"/>
  <c r="J104" i="13"/>
  <c r="I111" i="13"/>
  <c r="I117" i="13"/>
  <c r="J117" i="13" s="1"/>
  <c r="I127" i="13"/>
  <c r="I133" i="13"/>
  <c r="J133" i="13" s="1"/>
  <c r="J138" i="13"/>
  <c r="I143" i="13"/>
  <c r="I149" i="13"/>
  <c r="J149" i="13" s="1"/>
  <c r="J152" i="13"/>
  <c r="I159" i="13"/>
  <c r="J169" i="13" s="1"/>
  <c r="I165" i="13"/>
  <c r="J165" i="13" s="1"/>
  <c r="J168" i="13"/>
  <c r="I175" i="13"/>
  <c r="J185" i="13" s="1"/>
  <c r="I181" i="13"/>
  <c r="I191" i="13"/>
  <c r="J201" i="13" s="1"/>
  <c r="J195" i="13"/>
  <c r="I197" i="13"/>
  <c r="J197" i="13" s="1"/>
  <c r="I207" i="13"/>
  <c r="J217" i="13" s="1"/>
  <c r="I213" i="13"/>
  <c r="J213" i="13" s="1"/>
  <c r="I223" i="13"/>
  <c r="J233" i="13" s="1"/>
  <c r="I229" i="13"/>
  <c r="I239" i="13"/>
  <c r="I245" i="13"/>
  <c r="I255" i="13"/>
  <c r="J255" i="13" s="1"/>
  <c r="I261" i="13"/>
  <c r="J261" i="13" s="1"/>
  <c r="I63" i="11"/>
  <c r="I79" i="11"/>
  <c r="I6" i="13"/>
  <c r="J16" i="13" s="1"/>
  <c r="I22" i="13"/>
  <c r="J32" i="13" s="1"/>
  <c r="I38" i="13"/>
  <c r="I54" i="13"/>
  <c r="I70" i="13"/>
  <c r="I86" i="13"/>
  <c r="I102" i="13"/>
  <c r="I118" i="13"/>
  <c r="I134" i="13"/>
  <c r="I150" i="13"/>
  <c r="J150" i="13" s="1"/>
  <c r="I166" i="13"/>
  <c r="I182" i="13"/>
  <c r="I198" i="13"/>
  <c r="J208" i="13" s="1"/>
  <c r="I214" i="13"/>
  <c r="J224" i="13" s="1"/>
  <c r="I230" i="13"/>
  <c r="J240" i="13" s="1"/>
  <c r="I246" i="13"/>
  <c r="J246" i="13" s="1"/>
  <c r="I262" i="13"/>
  <c r="I13" i="11"/>
  <c r="I29" i="11"/>
  <c r="J29" i="11" s="1"/>
  <c r="I45" i="11"/>
  <c r="J45" i="11" s="1"/>
  <c r="I61" i="11"/>
  <c r="J61" i="11" s="1"/>
  <c r="I77" i="11"/>
  <c r="J77" i="11" s="1"/>
  <c r="I93" i="11"/>
  <c r="J93" i="11" s="1"/>
  <c r="I95" i="11"/>
  <c r="I109" i="11"/>
  <c r="I111" i="11"/>
  <c r="I125" i="11"/>
  <c r="I127" i="11"/>
  <c r="I141" i="11"/>
  <c r="J141" i="11" s="1"/>
  <c r="I143" i="11"/>
  <c r="I157" i="11"/>
  <c r="I159" i="11"/>
  <c r="I9" i="12"/>
  <c r="I25" i="12"/>
  <c r="I41" i="12"/>
  <c r="I57" i="12"/>
  <c r="I11" i="11"/>
  <c r="I27" i="11"/>
  <c r="I43" i="11"/>
  <c r="I59" i="11"/>
  <c r="J59" i="11" s="1"/>
  <c r="I75" i="11"/>
  <c r="J75" i="11" s="1"/>
  <c r="I91" i="11"/>
  <c r="J91" i="11" s="1"/>
  <c r="I107" i="11"/>
  <c r="I123" i="11"/>
  <c r="I139" i="11"/>
  <c r="I155" i="11"/>
  <c r="I171" i="11"/>
  <c r="I18" i="11"/>
  <c r="J18" i="11" s="1"/>
  <c r="I34" i="11"/>
  <c r="I50" i="11"/>
  <c r="I66" i="11"/>
  <c r="J66" i="11" s="1"/>
  <c r="I82" i="11"/>
  <c r="J82" i="11" s="1"/>
  <c r="I175" i="11"/>
  <c r="J175" i="11" s="1"/>
  <c r="J236" i="12"/>
  <c r="I5" i="12"/>
  <c r="I73" i="12"/>
  <c r="I82" i="12"/>
  <c r="J92" i="12" s="1"/>
  <c r="I89" i="12"/>
  <c r="I9" i="11"/>
  <c r="J19" i="11" s="1"/>
  <c r="I98" i="11"/>
  <c r="J98" i="11" s="1"/>
  <c r="I114" i="11"/>
  <c r="J188" i="12"/>
  <c r="I16" i="11"/>
  <c r="I25" i="11"/>
  <c r="J35" i="11" s="1"/>
  <c r="I32" i="11"/>
  <c r="I41" i="11"/>
  <c r="I48" i="11"/>
  <c r="I57" i="11"/>
  <c r="J67" i="11" s="1"/>
  <c r="I73" i="11"/>
  <c r="J83" i="11" s="1"/>
  <c r="I89" i="11"/>
  <c r="I105" i="11"/>
  <c r="J115" i="11" s="1"/>
  <c r="I121" i="11"/>
  <c r="J131" i="11" s="1"/>
  <c r="I130" i="11"/>
  <c r="I137" i="11"/>
  <c r="J137" i="11" s="1"/>
  <c r="I146" i="11"/>
  <c r="I153" i="11"/>
  <c r="I162" i="11"/>
  <c r="J162" i="11" s="1"/>
  <c r="I169" i="11"/>
  <c r="J179" i="11" s="1"/>
  <c r="I173" i="11"/>
  <c r="J173" i="11" s="1"/>
  <c r="I178" i="11"/>
  <c r="J178" i="11" s="1"/>
  <c r="I185" i="11"/>
  <c r="J195" i="11" s="1"/>
  <c r="I187" i="11"/>
  <c r="J187" i="11" s="1"/>
  <c r="I189" i="11"/>
  <c r="I194" i="11"/>
  <c r="J194" i="11" s="1"/>
  <c r="I203" i="11"/>
  <c r="J203" i="11" s="1"/>
  <c r="I205" i="11"/>
  <c r="I210" i="11"/>
  <c r="J210" i="11" s="1"/>
  <c r="I219" i="11"/>
  <c r="J219" i="11" s="1"/>
  <c r="I221" i="11"/>
  <c r="I226" i="11"/>
  <c r="J226" i="11" s="1"/>
  <c r="I235" i="11"/>
  <c r="J235" i="11" s="1"/>
  <c r="I237" i="11"/>
  <c r="I242" i="11"/>
  <c r="J242" i="11" s="1"/>
  <c r="I251" i="11"/>
  <c r="J251" i="11" s="1"/>
  <c r="I253" i="11"/>
  <c r="I258" i="11"/>
  <c r="J258" i="11" s="1"/>
  <c r="I14" i="11"/>
  <c r="I21" i="11"/>
  <c r="I30" i="11"/>
  <c r="I37" i="11"/>
  <c r="I46" i="11"/>
  <c r="J56" i="11" s="1"/>
  <c r="I53" i="11"/>
  <c r="I69" i="11"/>
  <c r="I78" i="11"/>
  <c r="J88" i="11" s="1"/>
  <c r="I85" i="11"/>
  <c r="I94" i="11"/>
  <c r="J94" i="11" s="1"/>
  <c r="I101" i="11"/>
  <c r="I110" i="11"/>
  <c r="I117" i="11"/>
  <c r="I126" i="11"/>
  <c r="I133" i="11"/>
  <c r="I142" i="11"/>
  <c r="I149" i="11"/>
  <c r="I158" i="11"/>
  <c r="J158" i="11" s="1"/>
  <c r="I165" i="11"/>
  <c r="I174" i="11"/>
  <c r="J184" i="11" s="1"/>
  <c r="J176" i="11"/>
  <c r="I181" i="11"/>
  <c r="J191" i="11" s="1"/>
  <c r="I190" i="11"/>
  <c r="J200" i="11" s="1"/>
  <c r="J192" i="11"/>
  <c r="I197" i="11"/>
  <c r="J207" i="11" s="1"/>
  <c r="I206" i="11"/>
  <c r="J206" i="11" s="1"/>
  <c r="I213" i="11"/>
  <c r="I222" i="11"/>
  <c r="J222" i="11" s="1"/>
  <c r="I229" i="11"/>
  <c r="J239" i="11" s="1"/>
  <c r="I238" i="11"/>
  <c r="J238" i="11" s="1"/>
  <c r="I240" i="11"/>
  <c r="J240" i="11" s="1"/>
  <c r="I245" i="11"/>
  <c r="J255" i="11" s="1"/>
  <c r="I249" i="11"/>
  <c r="J249" i="11" s="1"/>
  <c r="I254" i="11"/>
  <c r="J254" i="11" s="1"/>
  <c r="I256" i="11"/>
  <c r="J256" i="11" s="1"/>
  <c r="I261" i="11"/>
  <c r="I3" i="12"/>
  <c r="I8" i="12"/>
  <c r="I17" i="12"/>
  <c r="J17" i="12" s="1"/>
  <c r="I19" i="12"/>
  <c r="J29" i="12" s="1"/>
  <c r="I21" i="12"/>
  <c r="I24" i="12"/>
  <c r="I33" i="12"/>
  <c r="J43" i="12" s="1"/>
  <c r="I35" i="12"/>
  <c r="J45" i="12" s="1"/>
  <c r="I37" i="12"/>
  <c r="J37" i="12" s="1"/>
  <c r="I40" i="12"/>
  <c r="I49" i="12"/>
  <c r="J49" i="12" s="1"/>
  <c r="I51" i="12"/>
  <c r="J61" i="12" s="1"/>
  <c r="I53" i="12"/>
  <c r="J53" i="12" s="1"/>
  <c r="I56" i="12"/>
  <c r="I65" i="12"/>
  <c r="J75" i="12" s="1"/>
  <c r="I67" i="12"/>
  <c r="I69" i="12"/>
  <c r="I72" i="12"/>
  <c r="J72" i="12" s="1"/>
  <c r="I81" i="12"/>
  <c r="J91" i="12" s="1"/>
  <c r="I83" i="12"/>
  <c r="J83" i="12" s="1"/>
  <c r="I85" i="12"/>
  <c r="I88" i="12"/>
  <c r="I97" i="12"/>
  <c r="J97" i="12" s="1"/>
  <c r="I99" i="12"/>
  <c r="I101" i="12"/>
  <c r="J101" i="12" s="1"/>
  <c r="I104" i="12"/>
  <c r="J104" i="12" s="1"/>
  <c r="I113" i="12"/>
  <c r="J113" i="12" s="1"/>
  <c r="I115" i="12"/>
  <c r="J115" i="12" s="1"/>
  <c r="I117" i="12"/>
  <c r="J117" i="12" s="1"/>
  <c r="I120" i="12"/>
  <c r="J120" i="12" s="1"/>
  <c r="I129" i="12"/>
  <c r="I131" i="12"/>
  <c r="J131" i="12" s="1"/>
  <c r="I133" i="12"/>
  <c r="I147" i="12"/>
  <c r="J147" i="12" s="1"/>
  <c r="I149" i="12"/>
  <c r="I165" i="12"/>
  <c r="J165" i="12" s="1"/>
  <c r="I12" i="11"/>
  <c r="I28" i="11"/>
  <c r="I44" i="11"/>
  <c r="I60" i="11"/>
  <c r="I76" i="11"/>
  <c r="I92" i="11"/>
  <c r="J92" i="11" s="1"/>
  <c r="I108" i="11"/>
  <c r="J118" i="11" s="1"/>
  <c r="I124" i="11"/>
  <c r="J134" i="11" s="1"/>
  <c r="I140" i="11"/>
  <c r="I156" i="11"/>
  <c r="I172" i="11"/>
  <c r="I188" i="11"/>
  <c r="I204" i="11"/>
  <c r="J214" i="11" s="1"/>
  <c r="I220" i="11"/>
  <c r="I236" i="11"/>
  <c r="I252" i="11"/>
  <c r="I15" i="12"/>
  <c r="I31" i="12"/>
  <c r="I47" i="12"/>
  <c r="J47" i="12" s="1"/>
  <c r="I63" i="12"/>
  <c r="I79" i="12"/>
  <c r="I95" i="12"/>
  <c r="J105" i="12" s="1"/>
  <c r="I111" i="12"/>
  <c r="J121" i="12" s="1"/>
  <c r="I127" i="12"/>
  <c r="J137" i="12" s="1"/>
  <c r="I136" i="12"/>
  <c r="J136" i="12" s="1"/>
  <c r="I143" i="12"/>
  <c r="J153" i="12" s="1"/>
  <c r="I145" i="12"/>
  <c r="J145" i="12" s="1"/>
  <c r="I152" i="12"/>
  <c r="J152" i="12" s="1"/>
  <c r="I159" i="12"/>
  <c r="I161" i="12"/>
  <c r="J161" i="12" s="1"/>
  <c r="J163" i="12"/>
  <c r="I168" i="12"/>
  <c r="J168" i="12" s="1"/>
  <c r="J170" i="12"/>
  <c r="I175" i="12"/>
  <c r="J185" i="12" s="1"/>
  <c r="I177" i="12"/>
  <c r="J177" i="12" s="1"/>
  <c r="J179" i="12"/>
  <c r="J181" i="12"/>
  <c r="I184" i="12"/>
  <c r="J184" i="12" s="1"/>
  <c r="J186" i="12"/>
  <c r="I191" i="12"/>
  <c r="J191" i="12" s="1"/>
  <c r="I193" i="12"/>
  <c r="J193" i="12" s="1"/>
  <c r="I200" i="12"/>
  <c r="J200" i="12" s="1"/>
  <c r="I207" i="12"/>
  <c r="I209" i="12"/>
  <c r="I216" i="12"/>
  <c r="J226" i="12" s="1"/>
  <c r="I223" i="12"/>
  <c r="I225" i="12"/>
  <c r="I232" i="12"/>
  <c r="J242" i="12" s="1"/>
  <c r="I239" i="12"/>
  <c r="I241" i="12"/>
  <c r="J251" i="12" s="1"/>
  <c r="I248" i="12"/>
  <c r="J258" i="12" s="1"/>
  <c r="I255" i="12"/>
  <c r="J255" i="12" s="1"/>
  <c r="I257" i="12"/>
  <c r="J257" i="12" s="1"/>
  <c r="J261" i="12"/>
  <c r="I62" i="11"/>
  <c r="J72" i="11" s="1"/>
  <c r="I5" i="11"/>
  <c r="I10" i="11"/>
  <c r="J20" i="11" s="1"/>
  <c r="I26" i="11"/>
  <c r="J36" i="11" s="1"/>
  <c r="I42" i="11"/>
  <c r="J52" i="11" s="1"/>
  <c r="I58" i="11"/>
  <c r="J68" i="11" s="1"/>
  <c r="I74" i="11"/>
  <c r="J84" i="11" s="1"/>
  <c r="I90" i="11"/>
  <c r="I106" i="11"/>
  <c r="J116" i="11" s="1"/>
  <c r="I122" i="11"/>
  <c r="I138" i="11"/>
  <c r="J138" i="11" s="1"/>
  <c r="I154" i="11"/>
  <c r="J164" i="11" s="1"/>
  <c r="I6" i="12"/>
  <c r="J16" i="12" s="1"/>
  <c r="I22" i="12"/>
  <c r="J32" i="12" s="1"/>
  <c r="I38" i="12"/>
  <c r="J38" i="12" s="1"/>
  <c r="I54" i="12"/>
  <c r="J54" i="12" s="1"/>
  <c r="I70" i="12"/>
  <c r="J80" i="12" s="1"/>
  <c r="I86" i="12"/>
  <c r="J27" i="13"/>
  <c r="J43" i="13"/>
  <c r="J75" i="13"/>
  <c r="J155" i="13"/>
  <c r="J171" i="13"/>
  <c r="J187" i="13"/>
  <c r="J203" i="13"/>
  <c r="J235" i="13"/>
  <c r="J251" i="13"/>
  <c r="J13" i="13"/>
  <c r="J61" i="13"/>
  <c r="J205" i="13"/>
  <c r="J77" i="13"/>
  <c r="J34" i="13"/>
  <c r="J146" i="13"/>
  <c r="J162" i="13"/>
  <c r="J178" i="13"/>
  <c r="J194" i="13"/>
  <c r="J226" i="13"/>
  <c r="J242" i="13"/>
  <c r="J29" i="13"/>
  <c r="J253" i="13"/>
  <c r="J36" i="13"/>
  <c r="J52" i="13"/>
  <c r="J68" i="13"/>
  <c r="J84" i="13"/>
  <c r="J196" i="13"/>
  <c r="J212" i="13"/>
  <c r="J228" i="13"/>
  <c r="J244" i="13"/>
  <c r="J260" i="13"/>
  <c r="J237" i="13"/>
  <c r="J167" i="13"/>
  <c r="J183" i="13"/>
  <c r="J199" i="13"/>
  <c r="J45" i="13"/>
  <c r="J221" i="13"/>
  <c r="J25" i="13"/>
  <c r="J190" i="13"/>
  <c r="J181" i="13"/>
  <c r="J222" i="13"/>
  <c r="J231" i="13"/>
  <c r="J206" i="13"/>
  <c r="J20" i="13"/>
  <c r="J23" i="13"/>
  <c r="J193" i="13"/>
  <c r="J219" i="13"/>
  <c r="J215" i="13"/>
  <c r="J39" i="13"/>
  <c r="J64" i="13"/>
  <c r="J73" i="13"/>
  <c r="J184" i="13"/>
  <c r="J229" i="13"/>
  <c r="J238" i="13"/>
  <c r="J247" i="13"/>
  <c r="J55" i="13"/>
  <c r="J209" i="13"/>
  <c r="J62" i="13"/>
  <c r="J71" i="13"/>
  <c r="J109" i="13"/>
  <c r="J218" i="13"/>
  <c r="J245" i="13"/>
  <c r="J254" i="13"/>
  <c r="J263" i="13"/>
  <c r="J87" i="13"/>
  <c r="J112" i="13"/>
  <c r="J125" i="13"/>
  <c r="J216" i="13"/>
  <c r="J225" i="13"/>
  <c r="J17" i="13"/>
  <c r="J26" i="13"/>
  <c r="J35" i="13"/>
  <c r="J94" i="13"/>
  <c r="J100" i="13"/>
  <c r="J103" i="13"/>
  <c r="J121" i="13"/>
  <c r="J141" i="13"/>
  <c r="J198" i="13"/>
  <c r="J234" i="13"/>
  <c r="J33" i="13"/>
  <c r="J42" i="13"/>
  <c r="J51" i="13"/>
  <c r="J91" i="13"/>
  <c r="J110" i="13"/>
  <c r="J116" i="13"/>
  <c r="J119" i="13"/>
  <c r="J144" i="13"/>
  <c r="J157" i="13"/>
  <c r="J232" i="13"/>
  <c r="J241" i="13"/>
  <c r="J24" i="13"/>
  <c r="J58" i="13"/>
  <c r="J67" i="13"/>
  <c r="J82" i="13"/>
  <c r="J126" i="13"/>
  <c r="J132" i="13"/>
  <c r="J135" i="13"/>
  <c r="J153" i="13"/>
  <c r="J160" i="13"/>
  <c r="J173" i="13"/>
  <c r="J250" i="13"/>
  <c r="J65" i="13"/>
  <c r="J74" i="13"/>
  <c r="J98" i="13"/>
  <c r="J123" i="13"/>
  <c r="J142" i="13"/>
  <c r="J148" i="13"/>
  <c r="J151" i="13"/>
  <c r="J176" i="13"/>
  <c r="J249" i="13"/>
  <c r="J239" i="13"/>
  <c r="J257" i="13"/>
  <c r="J22" i="13"/>
  <c r="J56" i="13"/>
  <c r="J90" i="13"/>
  <c r="J114" i="13"/>
  <c r="J139" i="13"/>
  <c r="J164" i="13"/>
  <c r="J123" i="12"/>
  <c r="J93" i="12"/>
  <c r="J109" i="12"/>
  <c r="J205" i="12"/>
  <c r="J199" i="12"/>
  <c r="J215" i="12"/>
  <c r="J197" i="12"/>
  <c r="J206" i="12"/>
  <c r="J39" i="12"/>
  <c r="J55" i="12"/>
  <c r="J213" i="12"/>
  <c r="J222" i="12"/>
  <c r="J231" i="12"/>
  <c r="J238" i="12"/>
  <c r="J247" i="12"/>
  <c r="J103" i="12"/>
  <c r="J128" i="12"/>
  <c r="J119" i="12"/>
  <c r="J254" i="12"/>
  <c r="J135" i="12"/>
  <c r="J74" i="12"/>
  <c r="J151" i="12"/>
  <c r="J160" i="12"/>
  <c r="J173" i="12"/>
  <c r="J198" i="12"/>
  <c r="J106" i="12"/>
  <c r="J164" i="12"/>
  <c r="J167" i="12"/>
  <c r="J138" i="12"/>
  <c r="J174" i="12"/>
  <c r="J183" i="12"/>
  <c r="J171" i="11"/>
  <c r="J135" i="11"/>
  <c r="J100" i="11"/>
  <c r="J86" i="11"/>
  <c r="J163" i="11"/>
  <c r="J211" i="11"/>
  <c r="J196" i="11"/>
  <c r="J244" i="11"/>
  <c r="J246" i="11"/>
  <c r="J30" i="11"/>
  <c r="J174" i="11"/>
  <c r="J215" i="11"/>
  <c r="J78" i="11"/>
  <c r="J177" i="11"/>
  <c r="J186" i="11"/>
  <c r="J245" i="11"/>
  <c r="J193" i="11"/>
  <c r="J209" i="11"/>
  <c r="J218" i="11"/>
  <c r="J128" i="11"/>
  <c r="J13" i="11"/>
  <c r="J81" i="11"/>
  <c r="J125" i="11"/>
  <c r="J248" i="11"/>
  <c r="J144" i="11"/>
  <c r="I233" i="7"/>
  <c r="I236" i="7"/>
  <c r="I204" i="7"/>
  <c r="I231" i="7"/>
  <c r="I199" i="7"/>
  <c r="I252" i="7"/>
  <c r="I212" i="7"/>
  <c r="I217" i="7"/>
  <c r="I207" i="7"/>
  <c r="I253" i="7"/>
  <c r="I201" i="7"/>
  <c r="I215" i="7"/>
  <c r="I237" i="7"/>
  <c r="I263" i="7"/>
  <c r="I247" i="7"/>
  <c r="I196" i="7"/>
  <c r="I227" i="7"/>
  <c r="I211" i="7"/>
  <c r="I262" i="7"/>
  <c r="I223" i="7"/>
  <c r="I251" i="7"/>
  <c r="I219" i="7"/>
  <c r="I190" i="7"/>
  <c r="I234" i="7"/>
  <c r="I250" i="7"/>
  <c r="I218" i="7"/>
  <c r="I260" i="7"/>
  <c r="I249" i="7"/>
  <c r="I222" i="7"/>
  <c r="R5" i="4"/>
  <c r="R3" i="4"/>
  <c r="I230" i="7"/>
  <c r="I244" i="7"/>
  <c r="I261" i="7"/>
  <c r="I257" i="7"/>
  <c r="I241" i="7"/>
  <c r="I225" i="7"/>
  <c r="I209" i="7"/>
  <c r="I193" i="7"/>
  <c r="I255" i="7"/>
  <c r="I239" i="7"/>
  <c r="I254" i="7"/>
  <c r="I238" i="7"/>
  <c r="I206" i="7"/>
  <c r="I229" i="7"/>
  <c r="I228" i="7"/>
  <c r="I235" i="7"/>
  <c r="I203" i="7"/>
  <c r="I202" i="7"/>
  <c r="I192" i="7"/>
  <c r="I248" i="7"/>
  <c r="I205" i="7"/>
  <c r="I226" i="7"/>
  <c r="I213" i="7"/>
  <c r="I256" i="7"/>
  <c r="I243" i="7"/>
  <c r="I200" i="7"/>
  <c r="I191" i="7"/>
  <c r="I208" i="7"/>
  <c r="I195" i="7"/>
  <c r="I246" i="7"/>
  <c r="I242" i="7"/>
  <c r="I221" i="7"/>
  <c r="I220" i="7"/>
  <c r="I259" i="7"/>
  <c r="I216" i="7"/>
  <c r="I198" i="7"/>
  <c r="I194" i="7"/>
  <c r="I224" i="7"/>
  <c r="I258" i="7"/>
  <c r="I245" i="7"/>
  <c r="I189" i="7"/>
  <c r="I232" i="7"/>
  <c r="I188" i="7"/>
  <c r="I214" i="7"/>
  <c r="I210" i="7"/>
  <c r="I197" i="7"/>
  <c r="I240" i="7"/>
  <c r="J263" i="12" l="1"/>
  <c r="J158" i="12"/>
  <c r="J125" i="12"/>
  <c r="J256" i="12"/>
  <c r="J234" i="12"/>
  <c r="J59" i="12"/>
  <c r="J21" i="12"/>
  <c r="J223" i="12"/>
  <c r="J40" i="12"/>
  <c r="J248" i="12"/>
  <c r="J84" i="12"/>
  <c r="J219" i="12"/>
  <c r="J159" i="12"/>
  <c r="J18" i="12"/>
  <c r="J260" i="12"/>
  <c r="J207" i="12"/>
  <c r="J126" i="12"/>
  <c r="J77" i="12"/>
  <c r="J86" i="12"/>
  <c r="J56" i="12"/>
  <c r="J243" i="12"/>
  <c r="J106" i="11"/>
  <c r="J99" i="11"/>
  <c r="J121" i="11"/>
  <c r="J14" i="11"/>
  <c r="J32" i="11"/>
  <c r="J108" i="11"/>
  <c r="J54" i="11"/>
  <c r="J23" i="11"/>
  <c r="J227" i="11"/>
  <c r="J109" i="11"/>
  <c r="J122" i="11"/>
  <c r="J22" i="11"/>
  <c r="J213" i="11"/>
  <c r="J159" i="11"/>
  <c r="J260" i="11"/>
  <c r="J142" i="11"/>
  <c r="J89" i="11"/>
  <c r="J262" i="11"/>
  <c r="J170" i="11"/>
  <c r="J101" i="11"/>
  <c r="J149" i="11"/>
  <c r="J63" i="11"/>
  <c r="J40" i="11"/>
  <c r="J253" i="11"/>
  <c r="J220" i="11"/>
  <c r="J123" i="11"/>
  <c r="J168" i="11"/>
  <c r="J85" i="11"/>
  <c r="J107" i="11"/>
  <c r="J46" i="11"/>
  <c r="J221" i="11"/>
  <c r="J57" i="12"/>
  <c r="J189" i="13"/>
  <c r="J16" i="11"/>
  <c r="J35" i="12"/>
  <c r="J250" i="12"/>
  <c r="J187" i="12"/>
  <c r="J107" i="13"/>
  <c r="J258" i="13"/>
  <c r="J154" i="11"/>
  <c r="J262" i="13"/>
  <c r="J132" i="11"/>
  <c r="J246" i="12"/>
  <c r="J142" i="12"/>
  <c r="J212" i="11"/>
  <c r="J90" i="11"/>
  <c r="J153" i="11"/>
  <c r="J149" i="12"/>
  <c r="J49" i="13"/>
  <c r="J99" i="12"/>
  <c r="J182" i="13"/>
  <c r="J79" i="13"/>
  <c r="J259" i="12"/>
  <c r="J241" i="12"/>
  <c r="J50" i="13"/>
  <c r="J156" i="11"/>
  <c r="J139" i="12"/>
  <c r="J100" i="12"/>
  <c r="J205" i="11"/>
  <c r="J140" i="11"/>
  <c r="J259" i="11"/>
  <c r="J172" i="12"/>
  <c r="J120" i="13"/>
  <c r="J111" i="12"/>
  <c r="J14" i="13"/>
  <c r="J232" i="12"/>
  <c r="J81" i="12"/>
  <c r="J33" i="12"/>
  <c r="J31" i="11"/>
  <c r="J41" i="11"/>
  <c r="J224" i="11"/>
  <c r="J148" i="11"/>
  <c r="J30" i="12"/>
  <c r="J252" i="7"/>
  <c r="J190" i="11"/>
  <c r="J130" i="13"/>
  <c r="J235" i="12"/>
  <c r="J15" i="12"/>
  <c r="J68" i="12"/>
  <c r="J243" i="11"/>
  <c r="J34" i="11"/>
  <c r="J221" i="12"/>
  <c r="J180" i="13"/>
  <c r="J136" i="11"/>
  <c r="J191" i="13"/>
  <c r="J249" i="12"/>
  <c r="J83" i="13"/>
  <c r="J19" i="12"/>
  <c r="J117" i="11"/>
  <c r="J129" i="11"/>
  <c r="J237" i="11"/>
  <c r="J146" i="11"/>
  <c r="J73" i="11"/>
  <c r="J46" i="12"/>
  <c r="J236" i="11"/>
  <c r="J217" i="12"/>
  <c r="J69" i="13"/>
  <c r="J166" i="13"/>
  <c r="J209" i="12"/>
  <c r="J159" i="13"/>
  <c r="J210" i="13"/>
  <c r="J44" i="11"/>
  <c r="J230" i="11"/>
  <c r="J28" i="11"/>
  <c r="J151" i="11"/>
  <c r="J239" i="12"/>
  <c r="J229" i="11"/>
  <c r="J23" i="12"/>
  <c r="J127" i="12"/>
  <c r="J192" i="13"/>
  <c r="J150" i="11"/>
  <c r="J141" i="12"/>
  <c r="J147" i="11"/>
  <c r="J233" i="12"/>
  <c r="J96" i="12"/>
  <c r="J189" i="11"/>
  <c r="J180" i="12"/>
  <c r="J202" i="12"/>
  <c r="J114" i="12"/>
  <c r="J70" i="11"/>
  <c r="J14" i="12"/>
  <c r="J76" i="12"/>
  <c r="J155" i="11"/>
  <c r="J95" i="13"/>
  <c r="J136" i="13"/>
  <c r="J124" i="11"/>
  <c r="J74" i="11"/>
  <c r="J107" i="12"/>
  <c r="J110" i="12"/>
  <c r="J231" i="11"/>
  <c r="J225" i="12"/>
  <c r="J156" i="12"/>
  <c r="J25" i="11"/>
  <c r="J223" i="11"/>
  <c r="J38" i="11"/>
  <c r="J140" i="12"/>
  <c r="J134" i="12"/>
  <c r="J39" i="11"/>
  <c r="J118" i="12"/>
  <c r="J188" i="11"/>
  <c r="J13" i="12"/>
  <c r="J157" i="11"/>
  <c r="J260" i="7"/>
  <c r="J42" i="11"/>
  <c r="J169" i="12"/>
  <c r="J172" i="11"/>
  <c r="J227" i="12"/>
  <c r="J218" i="12"/>
  <c r="J126" i="11"/>
  <c r="J182" i="11"/>
  <c r="J252" i="11"/>
  <c r="J201" i="12"/>
  <c r="J51" i="12"/>
  <c r="J62" i="11"/>
  <c r="J70" i="12"/>
  <c r="J171" i="12"/>
  <c r="J27" i="12"/>
  <c r="J63" i="12"/>
  <c r="J105" i="13"/>
  <c r="J118" i="13"/>
  <c r="J102" i="13"/>
  <c r="J49" i="11"/>
  <c r="J67" i="12"/>
  <c r="J66" i="12"/>
  <c r="J80" i="11"/>
  <c r="J256" i="13"/>
  <c r="J15" i="11"/>
  <c r="J129" i="12"/>
  <c r="J58" i="12"/>
  <c r="J124" i="12"/>
  <c r="J55" i="11"/>
  <c r="J108" i="12"/>
  <c r="J52" i="12"/>
  <c r="J250" i="11"/>
  <c r="J175" i="13"/>
  <c r="J130" i="11"/>
  <c r="J57" i="11"/>
  <c r="J166" i="12"/>
  <c r="J194" i="12"/>
  <c r="J233" i="11"/>
  <c r="J198" i="11"/>
  <c r="J150" i="12"/>
  <c r="J105" i="11"/>
  <c r="J247" i="11"/>
  <c r="J165" i="11"/>
  <c r="J114" i="11"/>
  <c r="J53" i="11"/>
  <c r="J65" i="12"/>
  <c r="J112" i="12"/>
  <c r="J98" i="12"/>
  <c r="J34" i="12"/>
  <c r="J48" i="11"/>
  <c r="J37" i="11"/>
  <c r="J86" i="13"/>
  <c r="J127" i="13"/>
  <c r="J50" i="12"/>
  <c r="J146" i="12"/>
  <c r="J95" i="12"/>
  <c r="J143" i="11"/>
  <c r="J60" i="11"/>
  <c r="J70" i="13"/>
  <c r="J167" i="11"/>
  <c r="J185" i="11"/>
  <c r="J54" i="13"/>
  <c r="J38" i="13"/>
  <c r="J111" i="13"/>
  <c r="J210" i="12"/>
  <c r="J192" i="12"/>
  <c r="J47" i="11"/>
  <c r="J50" i="11"/>
  <c r="J24" i="12"/>
  <c r="J175" i="12"/>
  <c r="J223" i="13"/>
  <c r="J51" i="11"/>
  <c r="J178" i="12"/>
  <c r="J214" i="13"/>
  <c r="J128" i="13"/>
  <c r="J21" i="11"/>
  <c r="J120" i="11"/>
  <c r="J181" i="11"/>
  <c r="J76" i="11"/>
  <c r="J43" i="11"/>
  <c r="J232" i="11"/>
  <c r="J69" i="11"/>
  <c r="J62" i="12"/>
  <c r="J228" i="12"/>
  <c r="J143" i="12"/>
  <c r="J79" i="12"/>
  <c r="J41" i="12"/>
  <c r="J237" i="12"/>
  <c r="J25" i="12"/>
  <c r="J197" i="11"/>
  <c r="J133" i="11"/>
  <c r="J31" i="12"/>
  <c r="J139" i="11"/>
  <c r="J88" i="12"/>
  <c r="J230" i="13"/>
  <c r="J24" i="11"/>
  <c r="J216" i="12"/>
  <c r="J36" i="12"/>
  <c r="J73" i="12"/>
  <c r="J199" i="11"/>
  <c r="J58" i="11"/>
  <c r="J85" i="12"/>
  <c r="J63" i="13"/>
  <c r="J103" i="11"/>
  <c r="J152" i="11"/>
  <c r="J143" i="13"/>
  <c r="J134" i="13"/>
  <c r="J71" i="11"/>
  <c r="J47" i="13"/>
  <c r="J169" i="11"/>
  <c r="J133" i="12"/>
  <c r="J162" i="12"/>
  <c r="J31" i="13"/>
  <c r="J207" i="13"/>
  <c r="J69" i="12"/>
  <c r="J82" i="12"/>
  <c r="J155" i="12"/>
  <c r="J89" i="12"/>
  <c r="J87" i="11"/>
  <c r="J246" i="7"/>
  <c r="J204" i="11"/>
  <c r="J110" i="11"/>
  <c r="J183" i="11"/>
  <c r="J130" i="12"/>
  <c r="J79" i="11"/>
  <c r="J261" i="11"/>
  <c r="J27" i="11"/>
  <c r="J166" i="11"/>
  <c r="J263" i="11"/>
  <c r="J22" i="12"/>
  <c r="J64" i="12"/>
  <c r="J137" i="13"/>
  <c r="J80" i="13"/>
  <c r="J48" i="13"/>
  <c r="J214" i="7"/>
  <c r="J48" i="12"/>
  <c r="J157" i="12"/>
  <c r="J243" i="7"/>
  <c r="J203" i="12"/>
  <c r="J104" i="11"/>
  <c r="J127" i="11"/>
  <c r="J199" i="7"/>
  <c r="J216" i="11"/>
  <c r="J26" i="11"/>
  <c r="J111" i="11"/>
  <c r="J233" i="7"/>
  <c r="J96" i="13"/>
  <c r="J95" i="11"/>
  <c r="J227" i="7"/>
  <c r="J201" i="7"/>
  <c r="J217" i="7"/>
  <c r="J263" i="7"/>
  <c r="J222" i="7"/>
  <c r="J207" i="7"/>
  <c r="J212" i="7"/>
  <c r="J262" i="7"/>
  <c r="J211" i="7"/>
  <c r="J247" i="7"/>
  <c r="J237" i="7"/>
  <c r="J250" i="7"/>
  <c r="J219" i="7"/>
  <c r="J225" i="7"/>
  <c r="J198" i="7"/>
  <c r="J205" i="7"/>
  <c r="J257" i="7"/>
  <c r="J253" i="7"/>
  <c r="J221" i="7"/>
  <c r="J251" i="7"/>
  <c r="J249" i="7"/>
  <c r="J209" i="7"/>
  <c r="J208" i="7"/>
  <c r="J203" i="7"/>
  <c r="J235" i="7"/>
  <c r="J200" i="7"/>
  <c r="J228" i="7"/>
  <c r="J244" i="7"/>
  <c r="J229" i="7"/>
  <c r="J206" i="7"/>
  <c r="J240" i="7"/>
  <c r="J248" i="7"/>
  <c r="J238" i="7"/>
  <c r="J202" i="7"/>
  <c r="J254" i="7"/>
  <c r="J216" i="7"/>
  <c r="J259" i="7"/>
  <c r="J210" i="7"/>
  <c r="J230" i="7"/>
  <c r="J213" i="7"/>
  <c r="J218" i="7"/>
  <c r="J232" i="7"/>
  <c r="J261" i="7"/>
  <c r="J239" i="7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K3" i="13" l="1"/>
  <c r="L3" i="13" s="1"/>
  <c r="K3" i="11"/>
  <c r="L3" i="11" s="1"/>
  <c r="K3" i="12"/>
  <c r="L3" i="12" s="1"/>
  <c r="F8" i="5"/>
  <c r="F6" i="5"/>
  <c r="F7" i="5"/>
  <c r="F5" i="5"/>
  <c r="F3" i="5"/>
  <c r="F4" i="5"/>
  <c r="F2" i="5"/>
  <c r="F9" i="5" s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O5" i="5" l="1"/>
  <c r="P5" i="5" s="1"/>
  <c r="Q5" i="5" s="1"/>
  <c r="O4" i="5"/>
  <c r="P4" i="5" s="1"/>
  <c r="Q4" i="5" s="1"/>
  <c r="I115" i="7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I127" i="7"/>
  <c r="I111" i="7"/>
  <c r="I95" i="7"/>
  <c r="I79" i="7"/>
  <c r="I63" i="7"/>
  <c r="I47" i="7"/>
  <c r="I31" i="7"/>
  <c r="I15" i="7"/>
  <c r="J143" i="7" l="1"/>
  <c r="J47" i="7"/>
  <c r="J183" i="7"/>
  <c r="J182" i="7"/>
  <c r="J113" i="7"/>
  <c r="J116" i="7"/>
  <c r="J31" i="7"/>
  <c r="J66" i="7"/>
  <c r="J104" i="7"/>
  <c r="J125" i="7"/>
  <c r="J83" i="7"/>
  <c r="J59" i="7"/>
  <c r="J159" i="7"/>
  <c r="J55" i="7"/>
  <c r="J115" i="7"/>
  <c r="J163" i="7"/>
  <c r="J179" i="7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K3" i="7" l="1"/>
  <c r="L3" i="7" s="1"/>
  <c r="O2" i="5" s="1"/>
  <c r="P2" i="5" s="1"/>
  <c r="Q2" i="5" s="1"/>
  <c r="Q6" i="5" l="1"/>
</calcChain>
</file>

<file path=xl/sharedStrings.xml><?xml version="1.0" encoding="utf-8"?>
<sst xmlns="http://schemas.openxmlformats.org/spreadsheetml/2006/main" count="261" uniqueCount="78">
  <si>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</si>
  <si>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</si>
  <si>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</si>
  <si>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</si>
  <si>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</si>
  <si>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</si>
  <si>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</si>
  <si>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</si>
  <si>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</si>
  <si>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</si>
  <si>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</si>
  <si>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</si>
  <si>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</si>
  <si>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</si>
  <si>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</si>
  <si>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</si>
  <si>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</si>
  <si>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</si>
  <si>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</si>
  <si>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</si>
  <si>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</si>
  <si>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</si>
  <si>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</si>
  <si>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</si>
  <si>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</si>
  <si>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</si>
  <si>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</si>
  <si>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</si>
  <si>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</si>
  <si>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</si>
  <si>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</si>
  <si>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</si>
  <si>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</si>
  <si>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</si>
  <si>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</si>
  <si>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</si>
  <si>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</si>
  <si>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</si>
  <si>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</si>
  <si>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</si>
  <si>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</si>
  <si>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</si>
  <si>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</si>
  <si>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</si>
  <si>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</si>
  <si>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</si>
  <si>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</si>
  <si>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</si>
  <si>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</si>
  <si>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</si>
  <si>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</si>
  <si>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</si>
  <si>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</si>
  <si>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</si>
  <si>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</si>
  <si>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</si>
  <si>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Q(pi,1)</t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</si>
  <si>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</si>
  <si>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</si>
  <si>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</si>
  <si>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</si>
  <si>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</si>
  <si>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</si>
  <si>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</si>
  <si>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</si>
  <si>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</si>
  <si>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</si>
  <si>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</si>
  <si>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</si>
  <si>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</si>
  <si>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</si>
  <si>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</si>
  <si>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</si>
  <si>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</si>
  <si>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</si>
  <si>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(P,2)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</si>
  <si>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(P,3)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</si>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</sst>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5" fontId="0" fillId="0" borderId="0" xfId="43" applyNumberFormat="1" applyFon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286125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topLeftCell="A245" workbookViewId="0">
      <selection activeCell="G3" sqref="G3:I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7" t="s">
        <v>57</v>
      </c>
      <c r="D1" s="17"/>
      <c r="E1" s="17"/>
      <c r="F1" s="17"/>
      <c r="G1" t="s">
        <v>58</v>
      </c>
      <c r="H1" t="s">
        <v>59</v>
      </c>
      <c r="I1" t="s">
        <v>60</v>
      </c>
      <c r="J1" t="s">
        <v>58</v>
      </c>
      <c r="K1" s="17" t="s">
        <v>73</v>
      </c>
      <c r="L1" s="17"/>
      <c r="M1" s="17"/>
      <c r="N1" s="17"/>
      <c r="O1" s="17"/>
      <c r="P1" s="17"/>
      <c r="Q1" s="17"/>
      <c r="R1" s="17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0.54698983977569471</v>
      </c>
      <c r="H3">
        <v>0.54598364674256294</v>
      </c>
      <c r="I3">
        <v>0.73149659209099549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4.9079514989244358E-2</v>
      </c>
      <c r="P3">
        <f t="shared" si="0"/>
        <v>5.5858630157792029E-2</v>
      </c>
      <c r="Q3">
        <f t="shared" si="0"/>
        <v>6.4712525116416258E-2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0.47683079655407573</v>
      </c>
      <c r="H4">
        <v>0.69977849035198381</v>
      </c>
      <c r="I4">
        <v>0.54770033707044519</v>
      </c>
      <c r="J4">
        <v>21.480998964419861</v>
      </c>
      <c r="K4" s="17" t="s">
        <v>74</v>
      </c>
      <c r="L4" s="17"/>
      <c r="M4" s="17"/>
      <c r="N4" s="17"/>
      <c r="O4" s="17"/>
      <c r="P4" s="17"/>
      <c r="Q4" s="17"/>
      <c r="R4" s="17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0.5067878342967328</v>
      </c>
      <c r="H5">
        <v>0.58631369988237547</v>
      </c>
      <c r="I5">
        <v>0.75066501533346264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9.5723833570560427E-2</v>
      </c>
      <c r="P5" s="16">
        <f t="shared" si="1"/>
        <v>9.3483597109659922E-2</v>
      </c>
      <c r="Q5" s="16">
        <f t="shared" si="1"/>
        <v>9.4829286828235645E-2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0.47000133714948222</v>
      </c>
      <c r="H6">
        <v>0.61756550978057045</v>
      </c>
      <c r="I6">
        <v>0.74260380194140441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0.53750178640694368</v>
      </c>
      <c r="H7">
        <v>0.58417944445984404</v>
      </c>
      <c r="I7">
        <v>0.59754414220504348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0.46807659538602198</v>
      </c>
      <c r="H8">
        <v>0.63677567920417444</v>
      </c>
      <c r="I8">
        <v>0.68369645333897555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0.51467052207071373</v>
      </c>
      <c r="H9">
        <v>0.56761298665810267</v>
      </c>
      <c r="I9">
        <v>0.67972678014595111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0.49766367415763646</v>
      </c>
      <c r="H10">
        <v>0.52563262889806317</v>
      </c>
      <c r="I10">
        <v>0.69548422492498785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0.46665380740818757</v>
      </c>
      <c r="H11">
        <v>0.64183150436734115</v>
      </c>
      <c r="I11">
        <v>0.68681552800507095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0.51901745503467211</v>
      </c>
      <c r="H12">
        <v>0.57409270111085708</v>
      </c>
      <c r="I12">
        <v>0.75370084920670277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0.54636882281571864</v>
      </c>
      <c r="H13">
        <v>0.57967180810424068</v>
      </c>
      <c r="I13">
        <v>0.67532012189222457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0.55817954271211356</v>
      </c>
      <c r="H14">
        <v>0.66068467873274395</v>
      </c>
      <c r="I14">
        <v>0.65013774963590876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0.48930551252755639</v>
      </c>
      <c r="H15">
        <v>0.56434785415684419</v>
      </c>
      <c r="I15">
        <v>0.66690285973796892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0.50552517886042037</v>
      </c>
      <c r="H16">
        <v>0.63391768740724896</v>
      </c>
      <c r="I16">
        <v>0.6848501289237412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0.52817032607602066</v>
      </c>
      <c r="H17">
        <v>0.48578218134880302</v>
      </c>
      <c r="I17">
        <v>0.73972006337713569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0.51398651268848805</v>
      </c>
      <c r="H18">
        <v>0.64757993110156831</v>
      </c>
      <c r="I18">
        <v>0.8435251105522783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0.46979985813202219</v>
      </c>
      <c r="H19">
        <v>0.52044295775949978</v>
      </c>
      <c r="I19">
        <v>0.7222312753557304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0.43653932044898858</v>
      </c>
      <c r="H20">
        <v>0.59624253163722862</v>
      </c>
      <c r="I20">
        <v>0.6575675962809775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0.50996736728862191</v>
      </c>
      <c r="H21">
        <v>0.68430075834240034</v>
      </c>
      <c r="I21">
        <v>0.72367212688938176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0.57225256010683656</v>
      </c>
      <c r="H22">
        <v>0.56941574656872151</v>
      </c>
      <c r="I22">
        <v>0.72755380191515351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0.57104713189018463</v>
      </c>
      <c r="H23">
        <v>0.6722674878961542</v>
      </c>
      <c r="I23">
        <v>0.56037346041327574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0.49477581514586882</v>
      </c>
      <c r="H24">
        <v>0.66133433612700554</v>
      </c>
      <c r="I24">
        <v>0.7582021859695478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0.53815180899585036</v>
      </c>
      <c r="H25">
        <v>0.66532120498391112</v>
      </c>
      <c r="I25">
        <v>0.67537614777302413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0.52543613050131655</v>
      </c>
      <c r="H26">
        <v>0.60098135034932065</v>
      </c>
      <c r="I26">
        <v>0.63909848521108659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0.44893155871825946</v>
      </c>
      <c r="H27">
        <v>0.57168056366647702</v>
      </c>
      <c r="I27">
        <v>0.72024526616119189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0.53537410933431362</v>
      </c>
      <c r="H28">
        <v>0.59707946153516578</v>
      </c>
      <c r="I28">
        <v>0.63189521247543401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0.53289512324612376</v>
      </c>
      <c r="H29">
        <v>0.638305133425348</v>
      </c>
      <c r="I29">
        <v>0.67909341920472122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0.47745770777336516</v>
      </c>
      <c r="H30">
        <v>0.61389533958662978</v>
      </c>
      <c r="I30">
        <v>0.7188250216182398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0.61050054682564137</v>
      </c>
      <c r="H31">
        <v>0.59679930386082691</v>
      </c>
      <c r="I31">
        <v>0.80961823061565719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0.50729281783906133</v>
      </c>
      <c r="H32">
        <v>0.63441892576789283</v>
      </c>
      <c r="I32">
        <v>0.69969681854820887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0.46530023420573791</v>
      </c>
      <c r="H33">
        <v>0.51892509526296915</v>
      </c>
      <c r="I33">
        <v>0.7313658109126554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0.4692441794230387</v>
      </c>
      <c r="H34">
        <v>0.59326351028124014</v>
      </c>
      <c r="I34">
        <v>0.68042961211617381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0.4980164539372392</v>
      </c>
      <c r="H35">
        <v>0.49620788316934222</v>
      </c>
      <c r="I35">
        <v>0.65384139913205075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0.42540147632486613</v>
      </c>
      <c r="H36">
        <v>0.55734144316778123</v>
      </c>
      <c r="I36">
        <v>0.71302922357715193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0.48206175741007506</v>
      </c>
      <c r="H37">
        <v>0.58288958846437677</v>
      </c>
      <c r="I37">
        <v>0.7920542621479062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0.52468408978253811</v>
      </c>
      <c r="H38">
        <v>0.63398097919272978</v>
      </c>
      <c r="I38">
        <v>0.74340185091925293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0.48483895896254492</v>
      </c>
      <c r="H39">
        <v>0.45343534058474511</v>
      </c>
      <c r="I39">
        <v>0.68981281828438645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0.476670790503604</v>
      </c>
      <c r="H40">
        <v>0.59169073389311466</v>
      </c>
      <c r="I40">
        <v>0.7376034950047623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0.47808421741533375</v>
      </c>
      <c r="H41">
        <v>0.66842715722996426</v>
      </c>
      <c r="I41">
        <v>0.65664138730402499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0.55861146722105093</v>
      </c>
      <c r="H42">
        <v>0.58836104983474202</v>
      </c>
      <c r="I42">
        <v>0.68819775232340918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0.46965378289248155</v>
      </c>
      <c r="H43">
        <v>0.57630820267798821</v>
      </c>
      <c r="I43">
        <v>0.63670461434587855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0.49384664448149784</v>
      </c>
      <c r="H44">
        <v>0.59203502309516121</v>
      </c>
      <c r="I44">
        <v>0.73375879653746745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0.54014015335847521</v>
      </c>
      <c r="H45">
        <v>0.63677447860114089</v>
      </c>
      <c r="I45">
        <v>0.75127331818434728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0.47799425099976622</v>
      </c>
      <c r="H46">
        <v>0.67741656109109827</v>
      </c>
      <c r="I46">
        <v>0.64965765066270842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0.57487206932199664</v>
      </c>
      <c r="H47">
        <v>0.55178657919453455</v>
      </c>
      <c r="I47">
        <v>0.76293628431830562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0.48272620030288999</v>
      </c>
      <c r="H48">
        <v>0.66706862830374791</v>
      </c>
      <c r="I48">
        <v>0.64708481459046041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0.47593626637299496</v>
      </c>
      <c r="H49">
        <v>0.59678045177972883</v>
      </c>
      <c r="I49">
        <v>0.64685650466047073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0.4610206933433208</v>
      </c>
      <c r="H50">
        <v>0.64720278842520529</v>
      </c>
      <c r="I50">
        <v>0.75916402149117657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0.56919927626584554</v>
      </c>
      <c r="H51">
        <v>0.54655769070720328</v>
      </c>
      <c r="I51">
        <v>0.68672917275723022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0.46439805422688907</v>
      </c>
      <c r="H52">
        <v>0.56831510465515189</v>
      </c>
      <c r="I52">
        <v>0.66898387397137793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0.47904438378148612</v>
      </c>
      <c r="H53">
        <v>0.64347887958347805</v>
      </c>
      <c r="I53">
        <v>0.68751237801401466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0.42221982647514178</v>
      </c>
      <c r="H54">
        <v>0.5753467087929317</v>
      </c>
      <c r="I54">
        <v>0.77878866985369566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0.58918858733996171</v>
      </c>
      <c r="H55">
        <v>0.7018462223741071</v>
      </c>
      <c r="I55">
        <v>0.57515777206399288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0.53753867662815613</v>
      </c>
      <c r="H56">
        <v>0.60355927557141154</v>
      </c>
      <c r="I56">
        <v>0.60685343318349783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0.4886827575696151</v>
      </c>
      <c r="H57">
        <v>0.57599669931294384</v>
      </c>
      <c r="I57">
        <v>0.59982893567373674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0.46429630750982553</v>
      </c>
      <c r="H58">
        <v>0.56424301915139452</v>
      </c>
      <c r="I58">
        <v>0.81890522174116109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0.49452231822240816</v>
      </c>
      <c r="H59">
        <v>0.60249500981746507</v>
      </c>
      <c r="I59">
        <v>0.69060048738517699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0.53758143800964386</v>
      </c>
      <c r="H60">
        <v>0.54543378783019314</v>
      </c>
      <c r="I60">
        <v>0.78022510288140168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0.5653835669817372</v>
      </c>
      <c r="H61">
        <v>0.60494545867513305</v>
      </c>
      <c r="I61">
        <v>0.63335733696949081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0.52541313767245257</v>
      </c>
      <c r="H62">
        <v>0.5422103356763841</v>
      </c>
      <c r="I62">
        <v>0.64398592540327226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0.54155953923364086</v>
      </c>
      <c r="H63">
        <v>0.55058611178677686</v>
      </c>
      <c r="I63">
        <v>0.61750733460637075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0.61257268360451944</v>
      </c>
      <c r="H64">
        <v>0.55719079453715437</v>
      </c>
      <c r="I64">
        <v>0.71409805707964735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0.46048755883888071</v>
      </c>
      <c r="H65">
        <v>0.58687949965596709</v>
      </c>
      <c r="I65">
        <v>0.73650832844945335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0.53601630988292837</v>
      </c>
      <c r="H66">
        <v>0.56532309674091952</v>
      </c>
      <c r="I66">
        <v>0.80981555684560003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0.43339345131826801</v>
      </c>
      <c r="H67">
        <v>0.65782252432206634</v>
      </c>
      <c r="I67">
        <v>0.68466695192110194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0.52354175768596134</v>
      </c>
      <c r="H68">
        <v>0.56534802117900673</v>
      </c>
      <c r="I68">
        <v>0.72900820533228095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0.47360359616146075</v>
      </c>
      <c r="H69">
        <v>0.62810873451989513</v>
      </c>
      <c r="I69">
        <v>0.76846972205511921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0.45280076501080052</v>
      </c>
      <c r="H70">
        <v>0.65766067986430043</v>
      </c>
      <c r="I70">
        <v>0.70148590797407973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0.50042235143310265</v>
      </c>
      <c r="H71">
        <v>0.68595047903469331</v>
      </c>
      <c r="I71">
        <v>0.69626816088693089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0.4812158278845563</v>
      </c>
      <c r="H72">
        <v>0.57158768316299025</v>
      </c>
      <c r="I72">
        <v>0.72549463103949474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0.41105979201801812</v>
      </c>
      <c r="H73">
        <v>0.59945172990912432</v>
      </c>
      <c r="I73">
        <v>0.56826593914917256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0.54648502772859364</v>
      </c>
      <c r="H74">
        <v>0.47132626438601866</v>
      </c>
      <c r="I74">
        <v>0.65913819648823047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0.49351730054096865</v>
      </c>
      <c r="H75">
        <v>0.6325812341784145</v>
      </c>
      <c r="I75">
        <v>0.73116634996798513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0.54148947725840102</v>
      </c>
      <c r="H76">
        <v>0.49642438650671039</v>
      </c>
      <c r="I76">
        <v>0.59347036973559941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0.53739258739611517</v>
      </c>
      <c r="H77">
        <v>0.6064975769900075</v>
      </c>
      <c r="I77">
        <v>0.71750896420076149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0.48869026390274189</v>
      </c>
      <c r="H78">
        <v>0.63272301957380717</v>
      </c>
      <c r="I78">
        <v>0.54555720923679207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0.55262634621137363</v>
      </c>
      <c r="H79">
        <v>0.51738778817202491</v>
      </c>
      <c r="I79">
        <v>0.53232433497335641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0.46055956210172755</v>
      </c>
      <c r="H80">
        <v>0.63890390752735648</v>
      </c>
      <c r="I80">
        <v>0.68274182564445085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0.48699640491058449</v>
      </c>
      <c r="H81">
        <v>0.5511139951109234</v>
      </c>
      <c r="I81">
        <v>0.60051872613142165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0.48732366332106164</v>
      </c>
      <c r="H82">
        <v>0.66699020643804552</v>
      </c>
      <c r="I82">
        <v>0.74041091915695234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0.58246873381903086</v>
      </c>
      <c r="H83">
        <v>0.61436330879180101</v>
      </c>
      <c r="I83">
        <v>0.62701596403688442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0.43107375768569034</v>
      </c>
      <c r="H84">
        <v>0.522912383185408</v>
      </c>
      <c r="I84">
        <v>0.65260568774952032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0.44877718396981386</v>
      </c>
      <c r="H85">
        <v>0.54372581186973046</v>
      </c>
      <c r="I85">
        <v>0.59582593998037536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0.41760107111561773</v>
      </c>
      <c r="H86">
        <v>0.57723581900392362</v>
      </c>
      <c r="I86">
        <v>0.75029604059785882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0.43728514150129938</v>
      </c>
      <c r="H87">
        <v>0.55109184175576587</v>
      </c>
      <c r="I87">
        <v>0.57912259004585454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0.52893557971654837</v>
      </c>
      <c r="H88">
        <v>0.65749177925733093</v>
      </c>
      <c r="I88">
        <v>0.63583528497203179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0.49879232137084739</v>
      </c>
      <c r="H89">
        <v>0.57543469644504175</v>
      </c>
      <c r="I89">
        <v>0.69393454346709726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0.55728436068582865</v>
      </c>
      <c r="H90">
        <v>0.63893086086202922</v>
      </c>
      <c r="I90">
        <v>0.67036342483830857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0.4467918008264401</v>
      </c>
      <c r="H91">
        <v>0.64087224474624904</v>
      </c>
      <c r="I91">
        <v>0.59582398201859343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0.5765355600803429</v>
      </c>
      <c r="H92">
        <v>0.53436205376436152</v>
      </c>
      <c r="I92">
        <v>0.70505359024678715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0.47165549398532824</v>
      </c>
      <c r="H93">
        <v>0.70703453794568316</v>
      </c>
      <c r="I93">
        <v>0.71655958720032342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0.5426997128534865</v>
      </c>
      <c r="H94">
        <v>0.62929018313920182</v>
      </c>
      <c r="I94">
        <v>0.56452031339318087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0.45267059056818698</v>
      </c>
      <c r="H95">
        <v>0.64123321672756495</v>
      </c>
      <c r="I95">
        <v>0.62064469010959655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0.52976539916717813</v>
      </c>
      <c r="H96">
        <v>0.63109158054966186</v>
      </c>
      <c r="I96">
        <v>0.6579399015138323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0.50552381092223198</v>
      </c>
      <c r="H97">
        <v>0.53323021734181519</v>
      </c>
      <c r="I97">
        <v>0.80712761906711039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0.54813192089750151</v>
      </c>
      <c r="H98">
        <v>0.5363936102118122</v>
      </c>
      <c r="I98">
        <v>0.66501997702848936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0.5038924633315125</v>
      </c>
      <c r="H99">
        <v>0.51220810879034684</v>
      </c>
      <c r="I99">
        <v>0.67404198932063919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0.45184890619608475</v>
      </c>
      <c r="H100">
        <v>0.56936149385563128</v>
      </c>
      <c r="I100">
        <v>0.64958644984708769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0.55633156480804613</v>
      </c>
      <c r="H101">
        <v>0.65132669508241647</v>
      </c>
      <c r="I101">
        <v>0.67080640234993105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0.63438902295291277</v>
      </c>
      <c r="H102">
        <v>0.66778202621940075</v>
      </c>
      <c r="I102">
        <v>0.73289001896383854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0.53579149864691877</v>
      </c>
      <c r="H103">
        <v>0.61872146215752188</v>
      </c>
      <c r="I103">
        <v>0.64881385215964948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0.45512629667343241</v>
      </c>
      <c r="H104">
        <v>0.70593990364224579</v>
      </c>
      <c r="I104">
        <v>0.66536025510945895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0.50407840293025885</v>
      </c>
      <c r="H105">
        <v>0.57676980713442083</v>
      </c>
      <c r="I105">
        <v>0.68673858651997677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0.46567078415265445</v>
      </c>
      <c r="H106">
        <v>0.50087733504885934</v>
      </c>
      <c r="I106">
        <v>0.76482467988137282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0.49969892579227515</v>
      </c>
      <c r="H107">
        <v>0.54939126171922403</v>
      </c>
      <c r="I107">
        <v>0.72246547800817718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0.53990910610529641</v>
      </c>
      <c r="H108">
        <v>0.71985999945926404</v>
      </c>
      <c r="I108">
        <v>0.74778493295752946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0.49027229852333698</v>
      </c>
      <c r="H109">
        <v>0.49434446184695158</v>
      </c>
      <c r="I109">
        <v>0.66518214364205486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0.51186271152594409</v>
      </c>
      <c r="H110">
        <v>0.65486747507266208</v>
      </c>
      <c r="I110">
        <v>0.60359836405522571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0.50340845469171425</v>
      </c>
      <c r="H111">
        <v>0.60543488385712907</v>
      </c>
      <c r="I111">
        <v>0.58096988922440918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0.4629029417241225</v>
      </c>
      <c r="H112">
        <v>0.58287111981401518</v>
      </c>
      <c r="I112">
        <v>0.63536634099880474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0.48644859706803023</v>
      </c>
      <c r="H113">
        <v>0.51337963803682096</v>
      </c>
      <c r="I113">
        <v>0.73622311949302732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0.60767864191424137</v>
      </c>
      <c r="H114">
        <v>0.53445104670572219</v>
      </c>
      <c r="I114">
        <v>0.6525511443263563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0.50991244064570618</v>
      </c>
      <c r="H115">
        <v>0.63346558495352079</v>
      </c>
      <c r="I115">
        <v>0.66157556702897391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0.48403040756216886</v>
      </c>
      <c r="H116">
        <v>0.51163794660306505</v>
      </c>
      <c r="I116">
        <v>0.65040003628845389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0.52079387489238793</v>
      </c>
      <c r="H117">
        <v>0.63982067653000496</v>
      </c>
      <c r="I117">
        <v>0.61054196090433077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0.61065272907727075</v>
      </c>
      <c r="H118">
        <v>0.58285667193747948</v>
      </c>
      <c r="I118">
        <v>0.74354928339029713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0.46097244129855902</v>
      </c>
      <c r="H119">
        <v>0.69344387399850449</v>
      </c>
      <c r="I119">
        <v>0.68993234402109405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0.56565567810165585</v>
      </c>
      <c r="H120">
        <v>0.54349375295927849</v>
      </c>
      <c r="I120">
        <v>0.67422444177685348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0.58672825239362925</v>
      </c>
      <c r="H121">
        <v>0.60287984989184118</v>
      </c>
      <c r="I121">
        <v>0.6013626952336929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0.59600093160124001</v>
      </c>
      <c r="H122">
        <v>0.59468139723296831</v>
      </c>
      <c r="I122">
        <v>0.67255543633237169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0.52072030947473247</v>
      </c>
      <c r="H123">
        <v>0.65500189628059446</v>
      </c>
      <c r="I123">
        <v>0.76681783371521284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0.51239205782484598</v>
      </c>
      <c r="H124">
        <v>0.638440732820859</v>
      </c>
      <c r="I124">
        <v>0.62947322542180872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0.48787972360392173</v>
      </c>
      <c r="H125">
        <v>0.60420494964497518</v>
      </c>
      <c r="I125">
        <v>0.76040421240261946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0.55148269819278017</v>
      </c>
      <c r="H126">
        <v>0.55120222929245322</v>
      </c>
      <c r="I126">
        <v>0.68472279797761437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0.55354162357783432</v>
      </c>
      <c r="H127">
        <v>0.60937351254757688</v>
      </c>
      <c r="I127">
        <v>0.60986117130389617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0.4172859077751031</v>
      </c>
      <c r="H128">
        <v>0.63637250526925282</v>
      </c>
      <c r="I128">
        <v>0.6859090567041497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0.52289731559039765</v>
      </c>
      <c r="H129">
        <v>0.558736393453519</v>
      </c>
      <c r="I129">
        <v>0.75417701102379286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0.52762953591356154</v>
      </c>
      <c r="H130">
        <v>0.50580568618605837</v>
      </c>
      <c r="I130">
        <v>0.73110990645190865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0.43181799211551058</v>
      </c>
      <c r="H131">
        <v>0.53751927286276713</v>
      </c>
      <c r="I131">
        <v>0.7071198435497188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0.53331547183105699</v>
      </c>
      <c r="H132">
        <v>0.49887102069361294</v>
      </c>
      <c r="I132">
        <v>0.81802234452430411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0.50026965220996067</v>
      </c>
      <c r="H133">
        <v>0.50443421373899555</v>
      </c>
      <c r="I133">
        <v>0.73296695020981728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0.43171424899991634</v>
      </c>
      <c r="H134">
        <v>0.55431172329288059</v>
      </c>
      <c r="I134">
        <v>0.77055663811765307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0.55856701005709197</v>
      </c>
      <c r="H135">
        <v>0.68577546619340635</v>
      </c>
      <c r="I135">
        <v>0.72429047786893697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0.5205631568936</v>
      </c>
      <c r="H136">
        <v>0.63768826312248561</v>
      </c>
      <c r="I136">
        <v>0.73358672081726151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0.45231290355822229</v>
      </c>
      <c r="H137">
        <v>0.59587306749244962</v>
      </c>
      <c r="I137">
        <v>0.69335364971501479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0.50481079687535135</v>
      </c>
      <c r="H138">
        <v>0.59277653839984001</v>
      </c>
      <c r="I138">
        <v>0.68195266408568145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0.41217026531708589</v>
      </c>
      <c r="H139">
        <v>0.62085727220535103</v>
      </c>
      <c r="I139">
        <v>0.62198048791394844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0.60511865337956749</v>
      </c>
      <c r="H140">
        <v>0.53606066722957746</v>
      </c>
      <c r="I140">
        <v>0.62071839012225594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0.53967253341389443</v>
      </c>
      <c r="H141">
        <v>0.58779609743762851</v>
      </c>
      <c r="I141">
        <v>0.69195529807529221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0.47973964462070323</v>
      </c>
      <c r="H142">
        <v>0.70014845935651426</v>
      </c>
      <c r="I142">
        <v>0.71799340724220895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0.5037677923099162</v>
      </c>
      <c r="H143">
        <v>0.63134286070910162</v>
      </c>
      <c r="I143">
        <v>0.60128469984854349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0.56146093266646835</v>
      </c>
      <c r="H144">
        <v>0.59728504221016898</v>
      </c>
      <c r="I144">
        <v>0.60272769883610422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0.63771413102708441</v>
      </c>
      <c r="H145">
        <v>0.71647659156783683</v>
      </c>
      <c r="I145">
        <v>0.60276179199133462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0.57285891236665498</v>
      </c>
      <c r="H146">
        <v>0.60387572613371665</v>
      </c>
      <c r="I146">
        <v>0.69180559503953176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0.41121669475300238</v>
      </c>
      <c r="H147">
        <v>0.5144424714322493</v>
      </c>
      <c r="I147">
        <v>0.73928035054998775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0.45899107898087171</v>
      </c>
      <c r="H148">
        <v>0.53177803004667279</v>
      </c>
      <c r="I148">
        <v>0.68629721785126785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0.59427279885213202</v>
      </c>
      <c r="H149">
        <v>0.55344931458865765</v>
      </c>
      <c r="I149">
        <v>0.80571189556155842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0.61075133924141833</v>
      </c>
      <c r="H150">
        <v>0.61905417460074164</v>
      </c>
      <c r="I150">
        <v>0.56645045599334676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0.45548986288789184</v>
      </c>
      <c r="H151">
        <v>0.64754459870038283</v>
      </c>
      <c r="I151">
        <v>0.62829674371120081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0.55117982246133301</v>
      </c>
      <c r="H152">
        <v>0.62979619374418405</v>
      </c>
      <c r="I152">
        <v>0.67658174547315586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0.47874469362233601</v>
      </c>
      <c r="H153">
        <v>0.60149185893377888</v>
      </c>
      <c r="I153">
        <v>0.58266839301394158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0.44123372929555793</v>
      </c>
      <c r="H154">
        <v>0.6696716814793372</v>
      </c>
      <c r="I154">
        <v>0.73194565496381647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0.59862709579148576</v>
      </c>
      <c r="H155">
        <v>0.54372516145721728</v>
      </c>
      <c r="I155">
        <v>0.70881557247435023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0.47909457390458343</v>
      </c>
      <c r="H156">
        <v>0.55483362888671883</v>
      </c>
      <c r="I156">
        <v>0.6582903993135496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0.59975080845052664</v>
      </c>
      <c r="H157">
        <v>0.56996496485006742</v>
      </c>
      <c r="I157">
        <v>0.73340603895846856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0.55165781263006275</v>
      </c>
      <c r="H158">
        <v>0.73263916398567763</v>
      </c>
      <c r="I158">
        <v>0.71183724125369596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0.57851166301242662</v>
      </c>
      <c r="H159">
        <v>0.53222987483319439</v>
      </c>
      <c r="I159">
        <v>0.71366697259234302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0.52640765267890077</v>
      </c>
      <c r="H160">
        <v>0.65807288233866157</v>
      </c>
      <c r="I160">
        <v>0.72197800580177907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0.47899665458218388</v>
      </c>
      <c r="H161">
        <v>0.61097138956604646</v>
      </c>
      <c r="I161">
        <v>0.71422292773265816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0.45008417214480712</v>
      </c>
      <c r="H162">
        <v>0.62660206199407043</v>
      </c>
      <c r="I162">
        <v>0.60579400135164818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0.47710995706666831</v>
      </c>
      <c r="H163">
        <v>0.51356684684843212</v>
      </c>
      <c r="I163">
        <v>0.55374992864239692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0.50271924245105437</v>
      </c>
      <c r="H164">
        <v>0.60273008264668504</v>
      </c>
      <c r="I164">
        <v>0.64326133414654763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0.53457527209382705</v>
      </c>
      <c r="H165">
        <v>0.63410277279316518</v>
      </c>
      <c r="I165">
        <v>0.65814531076262561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0.50256303184339746</v>
      </c>
      <c r="H166">
        <v>0.52481895126961886</v>
      </c>
      <c r="I166">
        <v>0.69006227811680232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0.53168873530608385</v>
      </c>
      <c r="H167">
        <v>0.6193064836082639</v>
      </c>
      <c r="I167">
        <v>0.62039095489828999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0.5383362791822619</v>
      </c>
      <c r="H168">
        <v>0.47933414662645479</v>
      </c>
      <c r="I168">
        <v>0.7779583281340825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0.59255520656469751</v>
      </c>
      <c r="H169">
        <v>0.59451653103568203</v>
      </c>
      <c r="I169">
        <v>0.72226541375514064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0.57915718959406304</v>
      </c>
      <c r="H170">
        <v>0.60417373565914134</v>
      </c>
      <c r="I170">
        <v>0.75092715073255245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0.49164397799896437</v>
      </c>
      <c r="H171">
        <v>0.6754520853113325</v>
      </c>
      <c r="I171">
        <v>0.71383785850357884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0.44260339703059731</v>
      </c>
      <c r="H172">
        <v>0.49951226743268462</v>
      </c>
      <c r="I172">
        <v>0.7269946496955515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0.49802072353265731</v>
      </c>
      <c r="H173">
        <v>0.61205525624846779</v>
      </c>
      <c r="I173">
        <v>0.62528558097474485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0.5678855872366021</v>
      </c>
      <c r="H174">
        <v>0.61734386226653892</v>
      </c>
      <c r="I174">
        <v>0.6319306185939525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0.51196353032390907</v>
      </c>
      <c r="H175">
        <v>0.56754901065702368</v>
      </c>
      <c r="I175">
        <v>0.67436060256753405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0.45737679449693713</v>
      </c>
      <c r="H176">
        <v>0.59192151263719583</v>
      </c>
      <c r="I176">
        <v>0.73041513411267622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0.50789301173414847</v>
      </c>
      <c r="H177">
        <v>0.58558892538599794</v>
      </c>
      <c r="I177">
        <v>0.62428390038165493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0.61329906993080552</v>
      </c>
      <c r="H178">
        <v>0.72479082725757671</v>
      </c>
      <c r="I178">
        <v>0.67457586174546236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0.51526733780166634</v>
      </c>
      <c r="H179">
        <v>0.59459846733330046</v>
      </c>
      <c r="I179">
        <v>0.7024833762829652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0.51183363634648893</v>
      </c>
      <c r="H180">
        <v>0.59356103062814458</v>
      </c>
      <c r="I180">
        <v>0.65285517023111828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0.60991388588976136</v>
      </c>
      <c r="H181">
        <v>0.61761899809959919</v>
      </c>
      <c r="I181">
        <v>0.72113084161549157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0.46111712382750614</v>
      </c>
      <c r="H182">
        <v>0.54717341661337537</v>
      </c>
      <c r="I182">
        <v>0.65522112402746391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0.55869101183400549</v>
      </c>
      <c r="H183">
        <v>0.60841304187134104</v>
      </c>
      <c r="I183">
        <v>0.57485191784790324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0.52559938474925627</v>
      </c>
      <c r="H184">
        <v>0.52194182306001324</v>
      </c>
      <c r="I184">
        <v>0.59143629334447312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0.53367110538687301</v>
      </c>
      <c r="H185">
        <v>0.60890436659498093</v>
      </c>
      <c r="I185">
        <v>0.77202797182498162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0.50769646688684988</v>
      </c>
      <c r="H186">
        <v>0.5825861813915969</v>
      </c>
      <c r="I186">
        <v>0.63566269804872166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0.53492883027695992</v>
      </c>
      <c r="H187">
        <v>0.60637655480520847</v>
      </c>
      <c r="I187">
        <v>0.83529329839843514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0.50548983348060461</v>
      </c>
      <c r="H188">
        <v>0.64774525075268641</v>
      </c>
      <c r="I188">
        <v>0.65288877805237533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0.47706563778694638</v>
      </c>
      <c r="H189">
        <v>0.54868843599346206</v>
      </c>
      <c r="I189">
        <v>0.60642847224372887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0.42533340023346311</v>
      </c>
      <c r="H190">
        <v>0.47284196019475011</v>
      </c>
      <c r="I190">
        <v>0.60514873414934534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0.47050707404628028</v>
      </c>
      <c r="H191">
        <v>0.66575565379214041</v>
      </c>
      <c r="I191">
        <v>0.70687396456756224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0.56600742420638261</v>
      </c>
      <c r="H192">
        <v>0.62240921990807807</v>
      </c>
      <c r="I192">
        <v>0.69923744306780822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0.49044387490867725</v>
      </c>
      <c r="H193">
        <v>0.59834345999328808</v>
      </c>
      <c r="I193">
        <v>0.77718672755033547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0.48956300778434703</v>
      </c>
      <c r="H194">
        <v>0.64649922466628884</v>
      </c>
      <c r="I194">
        <v>0.62033229575719684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0.50061145427383413</v>
      </c>
      <c r="H195">
        <v>0.6291318876201587</v>
      </c>
      <c r="I195">
        <v>0.60489426337578112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0.49169846841012499</v>
      </c>
      <c r="H196">
        <v>0.55208571114558413</v>
      </c>
      <c r="I196">
        <v>0.62920455708976308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0.56234951354719509</v>
      </c>
      <c r="H197">
        <v>0.62491675212968656</v>
      </c>
      <c r="I197">
        <v>0.56075076514962841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0.57690162573510306</v>
      </c>
      <c r="H198">
        <v>0.56297778968223322</v>
      </c>
      <c r="I198">
        <v>0.73662889122801101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0.49081442848399248</v>
      </c>
      <c r="H199">
        <v>0.59065167883620873</v>
      </c>
      <c r="I199">
        <v>0.56905645087673062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0.55257328781006665</v>
      </c>
      <c r="H200">
        <v>0.64144738603546037</v>
      </c>
      <c r="I200">
        <v>0.68207418600262726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0.52665553492518957</v>
      </c>
      <c r="H201">
        <v>0.58239670631388285</v>
      </c>
      <c r="I201">
        <v>0.6137893724610628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0.52374411677689059</v>
      </c>
      <c r="H202">
        <v>0.62504999273077733</v>
      </c>
      <c r="I202">
        <v>0.78099381143079993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0.39921751066076783</v>
      </c>
      <c r="H203">
        <v>0.49666846010990612</v>
      </c>
      <c r="I203">
        <v>0.68597470033611252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0.55281767098807433</v>
      </c>
      <c r="H204">
        <v>0.67491428589611691</v>
      </c>
      <c r="I204">
        <v>0.65225884680896962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0.47718383212133347</v>
      </c>
      <c r="H205">
        <v>0.59481119391157644</v>
      </c>
      <c r="I205">
        <v>0.62345745338550107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0.54534941583378238</v>
      </c>
      <c r="H206">
        <v>0.5749466972092131</v>
      </c>
      <c r="I206">
        <v>0.73592190501249333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0.59387222742596935</v>
      </c>
      <c r="H207">
        <v>0.57707021945637815</v>
      </c>
      <c r="I207">
        <v>0.69976593961818112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0.42193063301713857</v>
      </c>
      <c r="H208">
        <v>0.60250234733206831</v>
      </c>
      <c r="I208">
        <v>0.81574058432733776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0.52310858887665557</v>
      </c>
      <c r="H209">
        <v>0.58487709290802048</v>
      </c>
      <c r="I209">
        <v>0.70309943509346295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0.4978998233309071</v>
      </c>
      <c r="H210">
        <v>0.623854760560969</v>
      </c>
      <c r="I210">
        <v>0.69022858528749176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0.57851915930715303</v>
      </c>
      <c r="H211">
        <v>0.5499950518697384</v>
      </c>
      <c r="I211">
        <v>0.65844487787736949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0.57134798467881298</v>
      </c>
      <c r="H212">
        <v>0.59383330299871107</v>
      </c>
      <c r="I212">
        <v>0.6545718113424579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0.52278521612375595</v>
      </c>
      <c r="H213">
        <v>0.63560421322725191</v>
      </c>
      <c r="I213">
        <v>0.60192508903439323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0.58425058325099566</v>
      </c>
      <c r="H214">
        <v>0.61250777908296505</v>
      </c>
      <c r="I214">
        <v>0.73795665063723304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0.49124828723300773</v>
      </c>
      <c r="H215">
        <v>0.59269848144513104</v>
      </c>
      <c r="I215">
        <v>0.71105941654736526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0.47502224872280085</v>
      </c>
      <c r="H216">
        <v>0.73310454447823792</v>
      </c>
      <c r="I216">
        <v>0.75282618198776952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0.49924722309739406</v>
      </c>
      <c r="H217">
        <v>0.54305090260430855</v>
      </c>
      <c r="I217">
        <v>0.78826073293085219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0.50689132338782594</v>
      </c>
      <c r="H218">
        <v>0.66452581349752138</v>
      </c>
      <c r="I218">
        <v>0.76945479651204596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0.49243732876279989</v>
      </c>
      <c r="H219">
        <v>0.52424690207351932</v>
      </c>
      <c r="I219">
        <v>0.68733019191506328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0.4950845673538401</v>
      </c>
      <c r="H220">
        <v>0.48860980769793716</v>
      </c>
      <c r="I220">
        <v>0.65401686365330913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0.5596835673410826</v>
      </c>
      <c r="H221">
        <v>0.58413262860381232</v>
      </c>
      <c r="I221">
        <v>0.58101895430576878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0.56335895797687963</v>
      </c>
      <c r="H222">
        <v>0.57499380755116869</v>
      </c>
      <c r="I222">
        <v>0.70466658523141179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0.49484039448890105</v>
      </c>
      <c r="H223">
        <v>0.63250098095748841</v>
      </c>
      <c r="I223">
        <v>0.70373511938304967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0.53247965997572477</v>
      </c>
      <c r="H224">
        <v>0.59448415690155454</v>
      </c>
      <c r="I224">
        <v>0.72841151445814101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0.47109218367012301</v>
      </c>
      <c r="H225">
        <v>0.59216002044991989</v>
      </c>
      <c r="I225">
        <v>0.66665199566071198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0.54005437558644065</v>
      </c>
      <c r="H226">
        <v>0.60532088662288097</v>
      </c>
      <c r="I226">
        <v>0.65391422008088596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0.59041990773274855</v>
      </c>
      <c r="H227">
        <v>0.54242083692050591</v>
      </c>
      <c r="I227">
        <v>0.63442442952542455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0.50039775918459373</v>
      </c>
      <c r="H228">
        <v>0.52115058530752068</v>
      </c>
      <c r="I228">
        <v>0.54790741495179196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0.5187927378811138</v>
      </c>
      <c r="H229">
        <v>0.63485386280584888</v>
      </c>
      <c r="I229">
        <v>0.56871081597272122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0.5358153017593793</v>
      </c>
      <c r="H230">
        <v>0.71505430170664053</v>
      </c>
      <c r="I230">
        <v>0.70611139824594238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0.54150727631569773</v>
      </c>
      <c r="H231">
        <v>0.61894773953493465</v>
      </c>
      <c r="I231">
        <v>0.58573972653998441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0.49816301465476648</v>
      </c>
      <c r="H232">
        <v>0.53963215158154565</v>
      </c>
      <c r="I232">
        <v>0.69350582426194274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0.53484880123537415</v>
      </c>
      <c r="H233">
        <v>0.64587683882648117</v>
      </c>
      <c r="I233">
        <v>0.76462341243880994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0.47559105827187492</v>
      </c>
      <c r="H234">
        <v>0.60444672718333003</v>
      </c>
      <c r="I234">
        <v>0.69652965507099462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0.53361099568046622</v>
      </c>
      <c r="H235">
        <v>0.63694129844906366</v>
      </c>
      <c r="I235">
        <v>0.61757091284844612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0.45952470362573322</v>
      </c>
      <c r="H236">
        <v>0.61783305198375937</v>
      </c>
      <c r="I236">
        <v>0.70616022877117879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0.45485044886748643</v>
      </c>
      <c r="H237">
        <v>0.73969722277879346</v>
      </c>
      <c r="I237">
        <v>0.75501868809194683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0.59628712759836611</v>
      </c>
      <c r="H238">
        <v>0.55629413169753028</v>
      </c>
      <c r="I238">
        <v>0.74075845407815299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0.53662763207515485</v>
      </c>
      <c r="H239">
        <v>0.55607386510849488</v>
      </c>
      <c r="I239">
        <v>0.91629789345813872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0.48766955956982316</v>
      </c>
      <c r="H240">
        <v>0.66149778128264147</v>
      </c>
      <c r="I240">
        <v>0.6579238464092646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0.51590189146354015</v>
      </c>
      <c r="H241">
        <v>0.60208579039004895</v>
      </c>
      <c r="I241">
        <v>0.6385407409046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0.45209237486702075</v>
      </c>
      <c r="H242">
        <v>0.59794583810732505</v>
      </c>
      <c r="I242">
        <v>0.65548612466584844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0.5232242606957147</v>
      </c>
      <c r="H243">
        <v>0.5655320468149132</v>
      </c>
      <c r="I243">
        <v>0.75965719269968313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0.53315059943785681</v>
      </c>
      <c r="H244">
        <v>0.52873375585565519</v>
      </c>
      <c r="I244">
        <v>0.74574042416933495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0.49204959208697568</v>
      </c>
      <c r="H245">
        <v>0.60094980297850265</v>
      </c>
      <c r="I245">
        <v>0.64558354909330129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0.52456407690637241</v>
      </c>
      <c r="H246">
        <v>0.65085491564215758</v>
      </c>
      <c r="I246">
        <v>0.63980762857907492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0.49834275200790951</v>
      </c>
      <c r="H247">
        <v>0.55875267602928969</v>
      </c>
      <c r="I247">
        <v>0.64085603959994164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0.58974958120859688</v>
      </c>
      <c r="H248">
        <v>0.59089435433582482</v>
      </c>
      <c r="I248">
        <v>0.64946431822852502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0.50741349807190084</v>
      </c>
      <c r="H249">
        <v>0.63622532334431614</v>
      </c>
      <c r="I249">
        <v>0.58084259268424898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0.48460223733612695</v>
      </c>
      <c r="H250">
        <v>0.64043888982225128</v>
      </c>
      <c r="I250">
        <v>0.72627941877650659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0.46110173660744369</v>
      </c>
      <c r="H251">
        <v>0.57899493613189612</v>
      </c>
      <c r="I251">
        <v>0.6156454572509823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0.53404379306119565</v>
      </c>
      <c r="H252">
        <v>0.52933297211828245</v>
      </c>
      <c r="I252">
        <v>0.67758587018820371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0.50467233877761652</v>
      </c>
      <c r="H253">
        <v>0.54012500643934536</v>
      </c>
      <c r="I253">
        <v>0.67169907129561623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0.46363133892464731</v>
      </c>
      <c r="H254">
        <v>0.56954736382415971</v>
      </c>
      <c r="I254">
        <v>0.65672148042116907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0.56940753311672654</v>
      </c>
      <c r="H255">
        <v>0.65764818721600182</v>
      </c>
      <c r="I255">
        <v>0.5966888190070434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0.41494349054197921</v>
      </c>
      <c r="H256">
        <v>0.57409068100669958</v>
      </c>
      <c r="I256">
        <v>0.73220220614702869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0.46812391663632991</v>
      </c>
      <c r="H257">
        <v>0.65524431423341301</v>
      </c>
      <c r="I257">
        <v>0.65724165522941969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0.64689106310319322</v>
      </c>
      <c r="H258">
        <v>0.55349022209912402</v>
      </c>
      <c r="I258">
        <v>0.7790144357160419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0.54623608208482466</v>
      </c>
      <c r="H259">
        <v>0.60270693453026281</v>
      </c>
      <c r="I259">
        <v>0.77345502710757141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0.47776233711918875</v>
      </c>
      <c r="H260">
        <v>0.62958068471110695</v>
      </c>
      <c r="I260">
        <v>0.72598543429776852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0.5575508406695423</v>
      </c>
      <c r="H261">
        <v>0.64993833105661469</v>
      </c>
      <c r="I261">
        <v>0.60552694876039026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0.54984737574287113</v>
      </c>
      <c r="H262">
        <v>0.74771543293647225</v>
      </c>
      <c r="I262">
        <v>0.69798298284155447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0.59365408416136078</v>
      </c>
      <c r="H263">
        <v>0.64227219391795154</v>
      </c>
      <c r="I263">
        <v>0.62799142644401018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7D99-069D-491B-80E1-CFC38D903F9C}">
  <dimension ref="A1:R263"/>
  <sheetViews>
    <sheetView topLeftCell="A245" workbookViewId="0">
      <selection activeCell="H3" sqref="H3:I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7" t="s">
        <v>57</v>
      </c>
      <c r="D1" s="17"/>
      <c r="E1" s="17"/>
      <c r="F1" s="17"/>
      <c r="G1" t="s">
        <v>58</v>
      </c>
      <c r="H1" t="s">
        <v>59</v>
      </c>
      <c r="I1" t="s">
        <v>60</v>
      </c>
      <c r="J1" t="s">
        <v>58</v>
      </c>
      <c r="K1" s="17" t="s">
        <v>73</v>
      </c>
      <c r="L1" s="17"/>
      <c r="M1" s="17"/>
      <c r="N1" s="17"/>
      <c r="O1" s="17"/>
      <c r="P1" s="17"/>
      <c r="Q1" s="17"/>
      <c r="R1" s="17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0.54698983977569471</v>
      </c>
      <c r="H3">
        <v>0.54598364674256294</v>
      </c>
      <c r="I3">
        <v>0.73149659209099549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4.9079514989244358E-2</v>
      </c>
      <c r="P3">
        <f t="shared" si="0"/>
        <v>5.5858630157792029E-2</v>
      </c>
      <c r="Q3">
        <f t="shared" si="0"/>
        <v>6.4712525116416258E-2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0.47683079655407573</v>
      </c>
      <c r="H4">
        <v>0.69977849035198381</v>
      </c>
      <c r="I4">
        <v>0.54770033707044519</v>
      </c>
      <c r="J4">
        <v>21.480998964419861</v>
      </c>
      <c r="K4" s="17" t="s">
        <v>74</v>
      </c>
      <c r="L4" s="17"/>
      <c r="M4" s="17"/>
      <c r="N4" s="17"/>
      <c r="O4" s="17"/>
      <c r="P4" s="17"/>
      <c r="Q4" s="17"/>
      <c r="R4" s="17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0.5067878342967328</v>
      </c>
      <c r="H5">
        <v>0.58631369988237547</v>
      </c>
      <c r="I5">
        <v>0.75066501533346264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9.5723833570560427E-2</v>
      </c>
      <c r="P5" s="16">
        <f t="shared" si="1"/>
        <v>9.3483597109659922E-2</v>
      </c>
      <c r="Q5" s="16">
        <f t="shared" si="1"/>
        <v>9.4829286828235645E-2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0.47000133714948222</v>
      </c>
      <c r="H6">
        <v>0.61756550978057045</v>
      </c>
      <c r="I6">
        <v>0.74260380194140441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0.53750178640694368</v>
      </c>
      <c r="H7">
        <v>0.58417944445984404</v>
      </c>
      <c r="I7">
        <v>0.59754414220504348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0.46807659538602198</v>
      </c>
      <c r="H8">
        <v>0.63677567920417444</v>
      </c>
      <c r="I8">
        <v>0.68369645333897555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0.51467052207071373</v>
      </c>
      <c r="H9">
        <v>0.56761298665810267</v>
      </c>
      <c r="I9">
        <v>0.67972678014595111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0.49766367415763646</v>
      </c>
      <c r="H10">
        <v>0.52563262889806317</v>
      </c>
      <c r="I10">
        <v>0.69548422492498785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0.46665380740818757</v>
      </c>
      <c r="H11">
        <v>0.64183150436734115</v>
      </c>
      <c r="I11">
        <v>0.68681552800507095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0.51901745503467211</v>
      </c>
      <c r="H12">
        <v>0.57409270111085708</v>
      </c>
      <c r="I12">
        <v>0.75370084920670277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0.54636882281571864</v>
      </c>
      <c r="H13">
        <v>0.57967180810424068</v>
      </c>
      <c r="I13">
        <v>0.67532012189222457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0.55817954271211356</v>
      </c>
      <c r="H14">
        <v>0.66068467873274395</v>
      </c>
      <c r="I14">
        <v>0.65013774963590876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0.48930551252755639</v>
      </c>
      <c r="H15">
        <v>0.56434785415684419</v>
      </c>
      <c r="I15">
        <v>0.66690285973796892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0.50552517886042037</v>
      </c>
      <c r="H16">
        <v>0.63391768740724896</v>
      </c>
      <c r="I16">
        <v>0.6848501289237412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0.52817032607602066</v>
      </c>
      <c r="H17">
        <v>0.48578218134880302</v>
      </c>
      <c r="I17">
        <v>0.73972006337713569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0.51398651268848805</v>
      </c>
      <c r="H18">
        <v>0.64757993110156831</v>
      </c>
      <c r="I18">
        <v>0.8435251105522783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0.46979985813202219</v>
      </c>
      <c r="H19">
        <v>0.52044295775949978</v>
      </c>
      <c r="I19">
        <v>0.7222312753557304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0.43653932044898858</v>
      </c>
      <c r="H20">
        <v>0.59624253163722862</v>
      </c>
      <c r="I20">
        <v>0.6575675962809775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0.50996736728862191</v>
      </c>
      <c r="H21">
        <v>0.68430075834240034</v>
      </c>
      <c r="I21">
        <v>0.72367212688938176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0.57225256010683656</v>
      </c>
      <c r="H22">
        <v>0.56941574656872151</v>
      </c>
      <c r="I22">
        <v>0.72755380191515351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0.57104713189018463</v>
      </c>
      <c r="H23">
        <v>0.6722674878961542</v>
      </c>
      <c r="I23">
        <v>0.56037346041327574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0.49477581514586882</v>
      </c>
      <c r="H24">
        <v>0.66133433612700554</v>
      </c>
      <c r="I24">
        <v>0.7582021859695478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0.53815180899585036</v>
      </c>
      <c r="H25">
        <v>0.66532120498391112</v>
      </c>
      <c r="I25">
        <v>0.67537614777302413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0.52543613050131655</v>
      </c>
      <c r="H26">
        <v>0.60098135034932065</v>
      </c>
      <c r="I26">
        <v>0.63909848521108659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0.44893155871825946</v>
      </c>
      <c r="H27">
        <v>0.57168056366647702</v>
      </c>
      <c r="I27">
        <v>0.72024526616119189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0.53537410933431362</v>
      </c>
      <c r="H28">
        <v>0.59707946153516578</v>
      </c>
      <c r="I28">
        <v>0.63189521247543401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0.53289512324612376</v>
      </c>
      <c r="H29">
        <v>0.638305133425348</v>
      </c>
      <c r="I29">
        <v>0.67909341920472122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0.47745770777336516</v>
      </c>
      <c r="H30">
        <v>0.61389533958662978</v>
      </c>
      <c r="I30">
        <v>0.7188250216182398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0.61050054682564137</v>
      </c>
      <c r="H31">
        <v>0.59679930386082691</v>
      </c>
      <c r="I31">
        <v>0.80961823061565719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0.50729281783906133</v>
      </c>
      <c r="H32">
        <v>0.63441892576789283</v>
      </c>
      <c r="I32">
        <v>0.69969681854820887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0.46530023420573791</v>
      </c>
      <c r="H33">
        <v>0.51892509526296915</v>
      </c>
      <c r="I33">
        <v>0.7313658109126554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0.4692441794230387</v>
      </c>
      <c r="H34">
        <v>0.59326351028124014</v>
      </c>
      <c r="I34">
        <v>0.68042961211617381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0.4980164539372392</v>
      </c>
      <c r="H35">
        <v>0.49620788316934222</v>
      </c>
      <c r="I35">
        <v>0.65384139913205075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0.42540147632486613</v>
      </c>
      <c r="H36">
        <v>0.55734144316778123</v>
      </c>
      <c r="I36">
        <v>0.71302922357715193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0.48206175741007506</v>
      </c>
      <c r="H37">
        <v>0.58288958846437677</v>
      </c>
      <c r="I37">
        <v>0.7920542621479062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0.52468408978253811</v>
      </c>
      <c r="H38">
        <v>0.63398097919272978</v>
      </c>
      <c r="I38">
        <v>0.74340185091925293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0.48483895896254492</v>
      </c>
      <c r="H39">
        <v>0.45343534058474511</v>
      </c>
      <c r="I39">
        <v>0.68981281828438645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0.476670790503604</v>
      </c>
      <c r="H40">
        <v>0.59169073389311466</v>
      </c>
      <c r="I40">
        <v>0.7376034950047623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0.47808421741533375</v>
      </c>
      <c r="H41">
        <v>0.66842715722996426</v>
      </c>
      <c r="I41">
        <v>0.65664138730402499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0.55861146722105093</v>
      </c>
      <c r="H42">
        <v>0.58836104983474202</v>
      </c>
      <c r="I42">
        <v>0.68819775232340918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0.46965378289248155</v>
      </c>
      <c r="H43">
        <v>0.57630820267798821</v>
      </c>
      <c r="I43">
        <v>0.63670461434587855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0.49384664448149784</v>
      </c>
      <c r="H44">
        <v>0.59203502309516121</v>
      </c>
      <c r="I44">
        <v>0.73375879653746745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0.54014015335847521</v>
      </c>
      <c r="H45">
        <v>0.63677447860114089</v>
      </c>
      <c r="I45">
        <v>0.75127331818434728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0.47799425099976622</v>
      </c>
      <c r="H46">
        <v>0.67741656109109827</v>
      </c>
      <c r="I46">
        <v>0.64965765066270842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0.57487206932199664</v>
      </c>
      <c r="H47">
        <v>0.55178657919453455</v>
      </c>
      <c r="I47">
        <v>0.76293628431830562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0.48272620030288999</v>
      </c>
      <c r="H48">
        <v>0.66706862830374791</v>
      </c>
      <c r="I48">
        <v>0.64708481459046041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0.47593626637299496</v>
      </c>
      <c r="H49">
        <v>0.59678045177972883</v>
      </c>
      <c r="I49">
        <v>0.64685650466047073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0.4610206933433208</v>
      </c>
      <c r="H50">
        <v>0.64720278842520529</v>
      </c>
      <c r="I50">
        <v>0.75916402149117657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0.56919927626584554</v>
      </c>
      <c r="H51">
        <v>0.54655769070720328</v>
      </c>
      <c r="I51">
        <v>0.68672917275723022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0.46439805422688907</v>
      </c>
      <c r="H52">
        <v>0.56831510465515189</v>
      </c>
      <c r="I52">
        <v>0.66898387397137793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0.47904438378148612</v>
      </c>
      <c r="H53">
        <v>0.64347887958347805</v>
      </c>
      <c r="I53">
        <v>0.68751237801401466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0.42221982647514178</v>
      </c>
      <c r="H54">
        <v>0.5753467087929317</v>
      </c>
      <c r="I54">
        <v>0.77878866985369566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0.58918858733996171</v>
      </c>
      <c r="H55">
        <v>0.7018462223741071</v>
      </c>
      <c r="I55">
        <v>0.57515777206399288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0.53753867662815613</v>
      </c>
      <c r="H56">
        <v>0.60355927557141154</v>
      </c>
      <c r="I56">
        <v>0.60685343318349783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0.4886827575696151</v>
      </c>
      <c r="H57">
        <v>0.57599669931294384</v>
      </c>
      <c r="I57">
        <v>0.59982893567373674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0.46429630750982553</v>
      </c>
      <c r="H58">
        <v>0.56424301915139452</v>
      </c>
      <c r="I58">
        <v>0.81890522174116109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0.49452231822240816</v>
      </c>
      <c r="H59">
        <v>0.60249500981746507</v>
      </c>
      <c r="I59">
        <v>0.69060048738517699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0.53758143800964386</v>
      </c>
      <c r="H60">
        <v>0.54543378783019314</v>
      </c>
      <c r="I60">
        <v>0.78022510288140168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0.5653835669817372</v>
      </c>
      <c r="H61">
        <v>0.60494545867513305</v>
      </c>
      <c r="I61">
        <v>0.63335733696949081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0.52541313767245257</v>
      </c>
      <c r="H62">
        <v>0.5422103356763841</v>
      </c>
      <c r="I62">
        <v>0.64398592540327226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0.54155953923364086</v>
      </c>
      <c r="H63">
        <v>0.55058611178677686</v>
      </c>
      <c r="I63">
        <v>0.61750733460637075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0.61257268360451944</v>
      </c>
      <c r="H64">
        <v>0.55719079453715437</v>
      </c>
      <c r="I64">
        <v>0.71409805707964735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0.46048755883888071</v>
      </c>
      <c r="H65">
        <v>0.58687949965596709</v>
      </c>
      <c r="I65">
        <v>0.73650832844945335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0.53601630988292837</v>
      </c>
      <c r="H66">
        <v>0.56532309674091952</v>
      </c>
      <c r="I66">
        <v>0.80981555684560003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0.43339345131826801</v>
      </c>
      <c r="H67">
        <v>0.65782252432206634</v>
      </c>
      <c r="I67">
        <v>0.68466695192110194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0.52354175768596134</v>
      </c>
      <c r="H68">
        <v>0.56534802117900673</v>
      </c>
      <c r="I68">
        <v>0.72900820533228095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0.47360359616146075</v>
      </c>
      <c r="H69">
        <v>0.62810873451989513</v>
      </c>
      <c r="I69">
        <v>0.76846972205511921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0.45280076501080052</v>
      </c>
      <c r="H70">
        <v>0.65766067986430043</v>
      </c>
      <c r="I70">
        <v>0.70148590797407973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0.50042235143310265</v>
      </c>
      <c r="H71">
        <v>0.68595047903469331</v>
      </c>
      <c r="I71">
        <v>0.69626816088693089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0.4812158278845563</v>
      </c>
      <c r="H72">
        <v>0.57158768316299025</v>
      </c>
      <c r="I72">
        <v>0.72549463103949474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0.41105979201801812</v>
      </c>
      <c r="H73">
        <v>0.59945172990912432</v>
      </c>
      <c r="I73">
        <v>0.56826593914917256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0.54648502772859364</v>
      </c>
      <c r="H74">
        <v>0.47132626438601866</v>
      </c>
      <c r="I74">
        <v>0.65913819648823047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0.49351730054096865</v>
      </c>
      <c r="H75">
        <v>0.6325812341784145</v>
      </c>
      <c r="I75">
        <v>0.73116634996798513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0.54148947725840102</v>
      </c>
      <c r="H76">
        <v>0.49642438650671039</v>
      </c>
      <c r="I76">
        <v>0.59347036973559941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0.53739258739611517</v>
      </c>
      <c r="H77">
        <v>0.6064975769900075</v>
      </c>
      <c r="I77">
        <v>0.71750896420076149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0.48869026390274189</v>
      </c>
      <c r="H78">
        <v>0.63272301957380717</v>
      </c>
      <c r="I78">
        <v>0.54555720923679207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0.55262634621137363</v>
      </c>
      <c r="H79">
        <v>0.51738778817202491</v>
      </c>
      <c r="I79">
        <v>0.53232433497335641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0.46055956210172755</v>
      </c>
      <c r="H80">
        <v>0.63890390752735648</v>
      </c>
      <c r="I80">
        <v>0.68274182564445085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0.48699640491058449</v>
      </c>
      <c r="H81">
        <v>0.5511139951109234</v>
      </c>
      <c r="I81">
        <v>0.60051872613142165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0.48732366332106164</v>
      </c>
      <c r="H82">
        <v>0.66699020643804552</v>
      </c>
      <c r="I82">
        <v>0.74041091915695234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0.58246873381903086</v>
      </c>
      <c r="H83">
        <v>0.61436330879180101</v>
      </c>
      <c r="I83">
        <v>0.62701596403688442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0.43107375768569034</v>
      </c>
      <c r="H84">
        <v>0.522912383185408</v>
      </c>
      <c r="I84">
        <v>0.65260568774952032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0.44877718396981386</v>
      </c>
      <c r="H85">
        <v>0.54372581186973046</v>
      </c>
      <c r="I85">
        <v>0.59582593998037536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0.41760107111561773</v>
      </c>
      <c r="H86">
        <v>0.57723581900392362</v>
      </c>
      <c r="I86">
        <v>0.75029604059785882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0.43728514150129938</v>
      </c>
      <c r="H87">
        <v>0.55109184175576587</v>
      </c>
      <c r="I87">
        <v>0.57912259004585454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0.52893557971654837</v>
      </c>
      <c r="H88">
        <v>0.65749177925733093</v>
      </c>
      <c r="I88">
        <v>0.63583528497203179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0.49879232137084739</v>
      </c>
      <c r="H89">
        <v>0.57543469644504175</v>
      </c>
      <c r="I89">
        <v>0.69393454346709726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0.55728436068582865</v>
      </c>
      <c r="H90">
        <v>0.63893086086202922</v>
      </c>
      <c r="I90">
        <v>0.67036342483830857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0.4467918008264401</v>
      </c>
      <c r="H91">
        <v>0.64087224474624904</v>
      </c>
      <c r="I91">
        <v>0.59582398201859343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0.5765355600803429</v>
      </c>
      <c r="H92">
        <v>0.53436205376436152</v>
      </c>
      <c r="I92">
        <v>0.70505359024678715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0.47165549398532824</v>
      </c>
      <c r="H93">
        <v>0.70703453794568316</v>
      </c>
      <c r="I93">
        <v>0.71655958720032342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0.5426997128534865</v>
      </c>
      <c r="H94">
        <v>0.62929018313920182</v>
      </c>
      <c r="I94">
        <v>0.56452031339318087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0.45267059056818698</v>
      </c>
      <c r="H95">
        <v>0.64123321672756495</v>
      </c>
      <c r="I95">
        <v>0.62064469010959655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0.52976539916717813</v>
      </c>
      <c r="H96">
        <v>0.63109158054966186</v>
      </c>
      <c r="I96">
        <v>0.6579399015138323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0.50552381092223198</v>
      </c>
      <c r="H97">
        <v>0.53323021734181519</v>
      </c>
      <c r="I97">
        <v>0.80712761906711039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0.54813192089750151</v>
      </c>
      <c r="H98">
        <v>0.5363936102118122</v>
      </c>
      <c r="I98">
        <v>0.66501997702848936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0.5038924633315125</v>
      </c>
      <c r="H99">
        <v>0.51220810879034684</v>
      </c>
      <c r="I99">
        <v>0.67404198932063919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0.45184890619608475</v>
      </c>
      <c r="H100">
        <v>0.56936149385563128</v>
      </c>
      <c r="I100">
        <v>0.64958644984708769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0.55633156480804613</v>
      </c>
      <c r="H101">
        <v>0.65132669508241647</v>
      </c>
      <c r="I101">
        <v>0.67080640234993105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0.63438902295291277</v>
      </c>
      <c r="H102">
        <v>0.66778202621940075</v>
      </c>
      <c r="I102">
        <v>0.73289001896383854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0.53579149864691877</v>
      </c>
      <c r="H103">
        <v>0.61872146215752188</v>
      </c>
      <c r="I103">
        <v>0.64881385215964948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0.45512629667343241</v>
      </c>
      <c r="H104">
        <v>0.70593990364224579</v>
      </c>
      <c r="I104">
        <v>0.66536025510945895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0.50407840293025885</v>
      </c>
      <c r="H105">
        <v>0.57676980713442083</v>
      </c>
      <c r="I105">
        <v>0.68673858651997677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0.46567078415265445</v>
      </c>
      <c r="H106">
        <v>0.50087733504885934</v>
      </c>
      <c r="I106">
        <v>0.76482467988137282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0.49969892579227515</v>
      </c>
      <c r="H107">
        <v>0.54939126171922403</v>
      </c>
      <c r="I107">
        <v>0.72246547800817718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0.53990910610529641</v>
      </c>
      <c r="H108">
        <v>0.71985999945926404</v>
      </c>
      <c r="I108">
        <v>0.74778493295752946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0.49027229852333698</v>
      </c>
      <c r="H109">
        <v>0.49434446184695158</v>
      </c>
      <c r="I109">
        <v>0.66518214364205486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0.51186271152594409</v>
      </c>
      <c r="H110">
        <v>0.65486747507266208</v>
      </c>
      <c r="I110">
        <v>0.60359836405522571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0.50340845469171425</v>
      </c>
      <c r="H111">
        <v>0.60543488385712907</v>
      </c>
      <c r="I111">
        <v>0.58096988922440918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0.4629029417241225</v>
      </c>
      <c r="H112">
        <v>0.58287111981401518</v>
      </c>
      <c r="I112">
        <v>0.63536634099880474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0.48644859706803023</v>
      </c>
      <c r="H113">
        <v>0.51337963803682096</v>
      </c>
      <c r="I113">
        <v>0.73622311949302732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0.60767864191424137</v>
      </c>
      <c r="H114">
        <v>0.53445104670572219</v>
      </c>
      <c r="I114">
        <v>0.6525511443263563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0.50991244064570618</v>
      </c>
      <c r="H115">
        <v>0.63346558495352079</v>
      </c>
      <c r="I115">
        <v>0.66157556702897391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0.48403040756216886</v>
      </c>
      <c r="H116">
        <v>0.51163794660306505</v>
      </c>
      <c r="I116">
        <v>0.65040003628845389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0.52079387489238793</v>
      </c>
      <c r="H117">
        <v>0.63982067653000496</v>
      </c>
      <c r="I117">
        <v>0.61054196090433077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0.61065272907727075</v>
      </c>
      <c r="H118">
        <v>0.58285667193747948</v>
      </c>
      <c r="I118">
        <v>0.74354928339029713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0.46097244129855902</v>
      </c>
      <c r="H119">
        <v>0.69344387399850449</v>
      </c>
      <c r="I119">
        <v>0.68993234402109405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0.56565567810165585</v>
      </c>
      <c r="H120">
        <v>0.54349375295927849</v>
      </c>
      <c r="I120">
        <v>0.67422444177685348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0.58672825239362925</v>
      </c>
      <c r="H121">
        <v>0.60287984989184118</v>
      </c>
      <c r="I121">
        <v>0.6013626952336929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0.59600093160124001</v>
      </c>
      <c r="H122">
        <v>0.59468139723296831</v>
      </c>
      <c r="I122">
        <v>0.67255543633237169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0.52072030947473247</v>
      </c>
      <c r="H123">
        <v>0.65500189628059446</v>
      </c>
      <c r="I123">
        <v>0.76681783371521284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0.51239205782484598</v>
      </c>
      <c r="H124">
        <v>0.638440732820859</v>
      </c>
      <c r="I124">
        <v>0.62947322542180872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0.48787972360392173</v>
      </c>
      <c r="H125">
        <v>0.60420494964497518</v>
      </c>
      <c r="I125">
        <v>0.76040421240261946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0.55148269819278017</v>
      </c>
      <c r="H126">
        <v>0.55120222929245322</v>
      </c>
      <c r="I126">
        <v>0.68472279797761437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0.55354162357783432</v>
      </c>
      <c r="H127">
        <v>0.60937351254757688</v>
      </c>
      <c r="I127">
        <v>0.60986117130389617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0.4172859077751031</v>
      </c>
      <c r="H128">
        <v>0.63637250526925282</v>
      </c>
      <c r="I128">
        <v>0.6859090567041497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0.52289731559039765</v>
      </c>
      <c r="H129">
        <v>0.558736393453519</v>
      </c>
      <c r="I129">
        <v>0.75417701102379286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0.52762953591356154</v>
      </c>
      <c r="H130">
        <v>0.50580568618605837</v>
      </c>
      <c r="I130">
        <v>0.73110990645190865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0.43181799211551058</v>
      </c>
      <c r="H131">
        <v>0.53751927286276713</v>
      </c>
      <c r="I131">
        <v>0.7071198435497188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0.53331547183105699</v>
      </c>
      <c r="H132">
        <v>0.49887102069361294</v>
      </c>
      <c r="I132">
        <v>0.81802234452430411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0.50026965220996067</v>
      </c>
      <c r="H133">
        <v>0.50443421373899555</v>
      </c>
      <c r="I133">
        <v>0.73296695020981728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0.43171424899991634</v>
      </c>
      <c r="H134">
        <v>0.55431172329288059</v>
      </c>
      <c r="I134">
        <v>0.77055663811765307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0.55856701005709197</v>
      </c>
      <c r="H135">
        <v>0.68577546619340635</v>
      </c>
      <c r="I135">
        <v>0.72429047786893697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0.5205631568936</v>
      </c>
      <c r="H136">
        <v>0.63768826312248561</v>
      </c>
      <c r="I136">
        <v>0.73358672081726151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0.45231290355822229</v>
      </c>
      <c r="H137">
        <v>0.59587306749244962</v>
      </c>
      <c r="I137">
        <v>0.69335364971501479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0.50481079687535135</v>
      </c>
      <c r="H138">
        <v>0.59277653839984001</v>
      </c>
      <c r="I138">
        <v>0.68195266408568145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0.41217026531708589</v>
      </c>
      <c r="H139">
        <v>0.62085727220535103</v>
      </c>
      <c r="I139">
        <v>0.62198048791394844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0.60511865337956749</v>
      </c>
      <c r="H140">
        <v>0.53606066722957746</v>
      </c>
      <c r="I140">
        <v>0.62071839012225594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0.53967253341389443</v>
      </c>
      <c r="H141">
        <v>0.58779609743762851</v>
      </c>
      <c r="I141">
        <v>0.69195529807529221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0.47973964462070323</v>
      </c>
      <c r="H142">
        <v>0.70014845935651426</v>
      </c>
      <c r="I142">
        <v>0.71799340724220895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0.5037677923099162</v>
      </c>
      <c r="H143">
        <v>0.63134286070910162</v>
      </c>
      <c r="I143">
        <v>0.60128469984854349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0.56146093266646835</v>
      </c>
      <c r="H144">
        <v>0.59728504221016898</v>
      </c>
      <c r="I144">
        <v>0.60272769883610422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0.63771413102708441</v>
      </c>
      <c r="H145">
        <v>0.71647659156783683</v>
      </c>
      <c r="I145">
        <v>0.60276179199133462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0.57285891236665498</v>
      </c>
      <c r="H146">
        <v>0.60387572613371665</v>
      </c>
      <c r="I146">
        <v>0.69180559503953176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0.41121669475300238</v>
      </c>
      <c r="H147">
        <v>0.5144424714322493</v>
      </c>
      <c r="I147">
        <v>0.73928035054998775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0.45899107898087171</v>
      </c>
      <c r="H148">
        <v>0.53177803004667279</v>
      </c>
      <c r="I148">
        <v>0.68629721785126785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0.59427279885213202</v>
      </c>
      <c r="H149">
        <v>0.55344931458865765</v>
      </c>
      <c r="I149">
        <v>0.80571189556155842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0.61075133924141833</v>
      </c>
      <c r="H150">
        <v>0.61905417460074164</v>
      </c>
      <c r="I150">
        <v>0.56645045599334676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0.45548986288789184</v>
      </c>
      <c r="H151">
        <v>0.64754459870038283</v>
      </c>
      <c r="I151">
        <v>0.62829674371120081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0.55117982246133301</v>
      </c>
      <c r="H152">
        <v>0.62979619374418405</v>
      </c>
      <c r="I152">
        <v>0.67658174547315586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0.47874469362233601</v>
      </c>
      <c r="H153">
        <v>0.60149185893377888</v>
      </c>
      <c r="I153">
        <v>0.58266839301394158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0.44123372929555793</v>
      </c>
      <c r="H154">
        <v>0.6696716814793372</v>
      </c>
      <c r="I154">
        <v>0.73194565496381647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0.59862709579148576</v>
      </c>
      <c r="H155">
        <v>0.54372516145721728</v>
      </c>
      <c r="I155">
        <v>0.70881557247435023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0.47909457390458343</v>
      </c>
      <c r="H156">
        <v>0.55483362888671883</v>
      </c>
      <c r="I156">
        <v>0.6582903993135496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0.59975080845052664</v>
      </c>
      <c r="H157">
        <v>0.56996496485006742</v>
      </c>
      <c r="I157">
        <v>0.73340603895846856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0.55165781263006275</v>
      </c>
      <c r="H158">
        <v>0.73263916398567763</v>
      </c>
      <c r="I158">
        <v>0.71183724125369596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0.57851166301242662</v>
      </c>
      <c r="H159">
        <v>0.53222987483319439</v>
      </c>
      <c r="I159">
        <v>0.71366697259234302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0.52640765267890077</v>
      </c>
      <c r="H160">
        <v>0.65807288233866157</v>
      </c>
      <c r="I160">
        <v>0.72197800580177907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0.47899665458218388</v>
      </c>
      <c r="H161">
        <v>0.61097138956604646</v>
      </c>
      <c r="I161">
        <v>0.71422292773265816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0.45008417214480712</v>
      </c>
      <c r="H162">
        <v>0.62660206199407043</v>
      </c>
      <c r="I162">
        <v>0.60579400135164818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0.47710995706666831</v>
      </c>
      <c r="H163">
        <v>0.51356684684843212</v>
      </c>
      <c r="I163">
        <v>0.55374992864239692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0.50271924245105437</v>
      </c>
      <c r="H164">
        <v>0.60273008264668504</v>
      </c>
      <c r="I164">
        <v>0.64326133414654763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0.53457527209382705</v>
      </c>
      <c r="H165">
        <v>0.63410277279316518</v>
      </c>
      <c r="I165">
        <v>0.65814531076262561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0.50256303184339746</v>
      </c>
      <c r="H166">
        <v>0.52481895126961886</v>
      </c>
      <c r="I166">
        <v>0.69006227811680232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0.53168873530608385</v>
      </c>
      <c r="H167">
        <v>0.6193064836082639</v>
      </c>
      <c r="I167">
        <v>0.62039095489828999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0.5383362791822619</v>
      </c>
      <c r="H168">
        <v>0.47933414662645479</v>
      </c>
      <c r="I168">
        <v>0.7779583281340825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0.59255520656469751</v>
      </c>
      <c r="H169">
        <v>0.59451653103568203</v>
      </c>
      <c r="I169">
        <v>0.72226541375514064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0.57915718959406304</v>
      </c>
      <c r="H170">
        <v>0.60417373565914134</v>
      </c>
      <c r="I170">
        <v>0.75092715073255245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0.49164397799896437</v>
      </c>
      <c r="H171">
        <v>0.6754520853113325</v>
      </c>
      <c r="I171">
        <v>0.71383785850357884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0.44260339703059731</v>
      </c>
      <c r="H172">
        <v>0.49951226743268462</v>
      </c>
      <c r="I172">
        <v>0.7269946496955515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0.49802072353265731</v>
      </c>
      <c r="H173">
        <v>0.61205525624846779</v>
      </c>
      <c r="I173">
        <v>0.62528558097474485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0.5678855872366021</v>
      </c>
      <c r="H174">
        <v>0.61734386226653892</v>
      </c>
      <c r="I174">
        <v>0.6319306185939525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0.51196353032390907</v>
      </c>
      <c r="H175">
        <v>0.56754901065702368</v>
      </c>
      <c r="I175">
        <v>0.67436060256753405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0.45737679449693713</v>
      </c>
      <c r="H176">
        <v>0.59192151263719583</v>
      </c>
      <c r="I176">
        <v>0.73041513411267622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0.50789301173414847</v>
      </c>
      <c r="H177">
        <v>0.58558892538599794</v>
      </c>
      <c r="I177">
        <v>0.62428390038165493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0.61329906993080552</v>
      </c>
      <c r="H178">
        <v>0.72479082725757671</v>
      </c>
      <c r="I178">
        <v>0.67457586174546236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0.51526733780166634</v>
      </c>
      <c r="H179">
        <v>0.59459846733330046</v>
      </c>
      <c r="I179">
        <v>0.7024833762829652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0.51183363634648893</v>
      </c>
      <c r="H180">
        <v>0.59356103062814458</v>
      </c>
      <c r="I180">
        <v>0.65285517023111828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0.60991388588976136</v>
      </c>
      <c r="H181">
        <v>0.61761899809959919</v>
      </c>
      <c r="I181">
        <v>0.72113084161549157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0.46111712382750614</v>
      </c>
      <c r="H182">
        <v>0.54717341661337537</v>
      </c>
      <c r="I182">
        <v>0.65522112402746391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0.55869101183400549</v>
      </c>
      <c r="H183">
        <v>0.60841304187134104</v>
      </c>
      <c r="I183">
        <v>0.57485191784790324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0.52559938474925627</v>
      </c>
      <c r="H184">
        <v>0.52194182306001324</v>
      </c>
      <c r="I184">
        <v>0.59143629334447312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0.53367110538687301</v>
      </c>
      <c r="H185">
        <v>0.60890436659498093</v>
      </c>
      <c r="I185">
        <v>0.77202797182498162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0.50769646688684988</v>
      </c>
      <c r="H186">
        <v>0.5825861813915969</v>
      </c>
      <c r="I186">
        <v>0.63566269804872166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0.53492883027695992</v>
      </c>
      <c r="H187">
        <v>0.60637655480520847</v>
      </c>
      <c r="I187">
        <v>0.83529329839843514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0.50548983348060461</v>
      </c>
      <c r="H188">
        <v>0.64774525075268641</v>
      </c>
      <c r="I188">
        <v>0.65288877805237533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0.47706563778694638</v>
      </c>
      <c r="H189">
        <v>0.54868843599346206</v>
      </c>
      <c r="I189">
        <v>0.60642847224372887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0.42533340023346311</v>
      </c>
      <c r="H190">
        <v>0.47284196019475011</v>
      </c>
      <c r="I190">
        <v>0.60514873414934534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0.47050707404628028</v>
      </c>
      <c r="H191">
        <v>0.66575565379214041</v>
      </c>
      <c r="I191">
        <v>0.70687396456756224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0.56600742420638261</v>
      </c>
      <c r="H192">
        <v>0.62240921990807807</v>
      </c>
      <c r="I192">
        <v>0.69923744306780822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0.49044387490867725</v>
      </c>
      <c r="H193">
        <v>0.59834345999328808</v>
      </c>
      <c r="I193">
        <v>0.77718672755033547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0.48956300778434703</v>
      </c>
      <c r="H194">
        <v>0.64649922466628884</v>
      </c>
      <c r="I194">
        <v>0.62033229575719684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0.50061145427383413</v>
      </c>
      <c r="H195">
        <v>0.6291318876201587</v>
      </c>
      <c r="I195">
        <v>0.60489426337578112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0.49169846841012499</v>
      </c>
      <c r="H196">
        <v>0.55208571114558413</v>
      </c>
      <c r="I196">
        <v>0.62920455708976308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0.56234951354719509</v>
      </c>
      <c r="H197">
        <v>0.62491675212968656</v>
      </c>
      <c r="I197">
        <v>0.56075076514962841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0.57690162573510306</v>
      </c>
      <c r="H198">
        <v>0.56297778968223322</v>
      </c>
      <c r="I198">
        <v>0.73662889122801101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0.49081442848399248</v>
      </c>
      <c r="H199">
        <v>0.59065167883620873</v>
      </c>
      <c r="I199">
        <v>0.56905645087673062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0.55257328781006665</v>
      </c>
      <c r="H200">
        <v>0.64144738603546037</v>
      </c>
      <c r="I200">
        <v>0.68207418600262726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0.52665553492518957</v>
      </c>
      <c r="H201">
        <v>0.58239670631388285</v>
      </c>
      <c r="I201">
        <v>0.6137893724610628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0.52374411677689059</v>
      </c>
      <c r="H202">
        <v>0.62504999273077733</v>
      </c>
      <c r="I202">
        <v>0.78099381143079993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0.39921751066076783</v>
      </c>
      <c r="H203">
        <v>0.49666846010990612</v>
      </c>
      <c r="I203">
        <v>0.68597470033611252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0.55281767098807433</v>
      </c>
      <c r="H204">
        <v>0.67491428589611691</v>
      </c>
      <c r="I204">
        <v>0.65225884680896962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0.47718383212133347</v>
      </c>
      <c r="H205">
        <v>0.59481119391157644</v>
      </c>
      <c r="I205">
        <v>0.62345745338550107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0.54534941583378238</v>
      </c>
      <c r="H206">
        <v>0.5749466972092131</v>
      </c>
      <c r="I206">
        <v>0.73592190501249333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0.59387222742596935</v>
      </c>
      <c r="H207">
        <v>0.57707021945637815</v>
      </c>
      <c r="I207">
        <v>0.69976593961818112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0.42193063301713857</v>
      </c>
      <c r="H208">
        <v>0.60250234733206831</v>
      </c>
      <c r="I208">
        <v>0.81574058432733776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0.52310858887665557</v>
      </c>
      <c r="H209">
        <v>0.58487709290802048</v>
      </c>
      <c r="I209">
        <v>0.70309943509346295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0.4978998233309071</v>
      </c>
      <c r="H210">
        <v>0.623854760560969</v>
      </c>
      <c r="I210">
        <v>0.69022858528749176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0.57851915930715303</v>
      </c>
      <c r="H211">
        <v>0.5499950518697384</v>
      </c>
      <c r="I211">
        <v>0.65844487787736949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0.57134798467881298</v>
      </c>
      <c r="H212">
        <v>0.59383330299871107</v>
      </c>
      <c r="I212">
        <v>0.6545718113424579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0.52278521612375595</v>
      </c>
      <c r="H213">
        <v>0.63560421322725191</v>
      </c>
      <c r="I213">
        <v>0.60192508903439323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0.58425058325099566</v>
      </c>
      <c r="H214">
        <v>0.61250777908296505</v>
      </c>
      <c r="I214">
        <v>0.73795665063723304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0.49124828723300773</v>
      </c>
      <c r="H215">
        <v>0.59269848144513104</v>
      </c>
      <c r="I215">
        <v>0.71105941654736526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0.47502224872280085</v>
      </c>
      <c r="H216">
        <v>0.73310454447823792</v>
      </c>
      <c r="I216">
        <v>0.75282618198776952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0.49924722309739406</v>
      </c>
      <c r="H217">
        <v>0.54305090260430855</v>
      </c>
      <c r="I217">
        <v>0.78826073293085219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0.50689132338782594</v>
      </c>
      <c r="H218">
        <v>0.66452581349752138</v>
      </c>
      <c r="I218">
        <v>0.76945479651204596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0.49243732876279989</v>
      </c>
      <c r="H219">
        <v>0.52424690207351932</v>
      </c>
      <c r="I219">
        <v>0.68733019191506328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0.4950845673538401</v>
      </c>
      <c r="H220">
        <v>0.48860980769793716</v>
      </c>
      <c r="I220">
        <v>0.65401686365330913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0.5596835673410826</v>
      </c>
      <c r="H221">
        <v>0.58413262860381232</v>
      </c>
      <c r="I221">
        <v>0.58101895430576878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0.56335895797687963</v>
      </c>
      <c r="H222">
        <v>0.57499380755116869</v>
      </c>
      <c r="I222">
        <v>0.70466658523141179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0.49484039448890105</v>
      </c>
      <c r="H223">
        <v>0.63250098095748841</v>
      </c>
      <c r="I223">
        <v>0.70373511938304967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0.53247965997572477</v>
      </c>
      <c r="H224">
        <v>0.59448415690155454</v>
      </c>
      <c r="I224">
        <v>0.72841151445814101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0.47109218367012301</v>
      </c>
      <c r="H225">
        <v>0.59216002044991989</v>
      </c>
      <c r="I225">
        <v>0.66665199566071198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0.54005437558644065</v>
      </c>
      <c r="H226">
        <v>0.60532088662288097</v>
      </c>
      <c r="I226">
        <v>0.65391422008088596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0.59041990773274855</v>
      </c>
      <c r="H227">
        <v>0.54242083692050591</v>
      </c>
      <c r="I227">
        <v>0.63442442952542455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0.50039775918459373</v>
      </c>
      <c r="H228">
        <v>0.52115058530752068</v>
      </c>
      <c r="I228">
        <v>0.54790741495179196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0.5187927378811138</v>
      </c>
      <c r="H229">
        <v>0.63485386280584888</v>
      </c>
      <c r="I229">
        <v>0.56871081597272122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0.5358153017593793</v>
      </c>
      <c r="H230">
        <v>0.71505430170664053</v>
      </c>
      <c r="I230">
        <v>0.70611139824594238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0.54150727631569773</v>
      </c>
      <c r="H231">
        <v>0.61894773953493465</v>
      </c>
      <c r="I231">
        <v>0.58573972653998441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0.49816301465476648</v>
      </c>
      <c r="H232">
        <v>0.53963215158154565</v>
      </c>
      <c r="I232">
        <v>0.69350582426194274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0.53484880123537415</v>
      </c>
      <c r="H233">
        <v>0.64587683882648117</v>
      </c>
      <c r="I233">
        <v>0.76462341243880994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0.47559105827187492</v>
      </c>
      <c r="H234">
        <v>0.60444672718333003</v>
      </c>
      <c r="I234">
        <v>0.69652965507099462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0.53361099568046622</v>
      </c>
      <c r="H235">
        <v>0.63694129844906366</v>
      </c>
      <c r="I235">
        <v>0.61757091284844612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0.45952470362573322</v>
      </c>
      <c r="H236">
        <v>0.61783305198375937</v>
      </c>
      <c r="I236">
        <v>0.70616022877117879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0.45485044886748643</v>
      </c>
      <c r="H237">
        <v>0.73969722277879346</v>
      </c>
      <c r="I237">
        <v>0.75501868809194683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0.59628712759836611</v>
      </c>
      <c r="H238">
        <v>0.55629413169753028</v>
      </c>
      <c r="I238">
        <v>0.74075845407815299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0.53662763207515485</v>
      </c>
      <c r="H239">
        <v>0.55607386510849488</v>
      </c>
      <c r="I239">
        <v>0.91629789345813872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0.48766955956982316</v>
      </c>
      <c r="H240">
        <v>0.66149778128264147</v>
      </c>
      <c r="I240">
        <v>0.6579238464092646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0.51590189146354015</v>
      </c>
      <c r="H241">
        <v>0.60208579039004895</v>
      </c>
      <c r="I241">
        <v>0.6385407409046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0.45209237486702075</v>
      </c>
      <c r="H242">
        <v>0.59794583810732505</v>
      </c>
      <c r="I242">
        <v>0.65548612466584844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0.5232242606957147</v>
      </c>
      <c r="H243">
        <v>0.5655320468149132</v>
      </c>
      <c r="I243">
        <v>0.75965719269968313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0.53315059943785681</v>
      </c>
      <c r="H244">
        <v>0.52873375585565519</v>
      </c>
      <c r="I244">
        <v>0.74574042416933495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0.49204959208697568</v>
      </c>
      <c r="H245">
        <v>0.60094980297850265</v>
      </c>
      <c r="I245">
        <v>0.64558354909330129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0.52456407690637241</v>
      </c>
      <c r="H246">
        <v>0.65085491564215758</v>
      </c>
      <c r="I246">
        <v>0.63980762857907492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0.49834275200790951</v>
      </c>
      <c r="H247">
        <v>0.55875267602928969</v>
      </c>
      <c r="I247">
        <v>0.64085603959994164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0.58974958120859688</v>
      </c>
      <c r="H248">
        <v>0.59089435433582482</v>
      </c>
      <c r="I248">
        <v>0.64946431822852502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0.50741349807190084</v>
      </c>
      <c r="H249">
        <v>0.63622532334431614</v>
      </c>
      <c r="I249">
        <v>0.58084259268424898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0.48460223733612695</v>
      </c>
      <c r="H250">
        <v>0.64043888982225128</v>
      </c>
      <c r="I250">
        <v>0.72627941877650659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0.46110173660744369</v>
      </c>
      <c r="H251">
        <v>0.57899493613189612</v>
      </c>
      <c r="I251">
        <v>0.6156454572509823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0.53404379306119565</v>
      </c>
      <c r="H252">
        <v>0.52933297211828245</v>
      </c>
      <c r="I252">
        <v>0.67758587018820371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0.50467233877761652</v>
      </c>
      <c r="H253">
        <v>0.54012500643934536</v>
      </c>
      <c r="I253">
        <v>0.67169907129561623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0.46363133892464731</v>
      </c>
      <c r="H254">
        <v>0.56954736382415971</v>
      </c>
      <c r="I254">
        <v>0.65672148042116907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0.56940753311672654</v>
      </c>
      <c r="H255">
        <v>0.65764818721600182</v>
      </c>
      <c r="I255">
        <v>0.5966888190070434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0.41494349054197921</v>
      </c>
      <c r="H256">
        <v>0.57409068100669958</v>
      </c>
      <c r="I256">
        <v>0.73220220614702869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0.46812391663632991</v>
      </c>
      <c r="H257">
        <v>0.65524431423341301</v>
      </c>
      <c r="I257">
        <v>0.65724165522941969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0.64689106310319322</v>
      </c>
      <c r="H258">
        <v>0.55349022209912402</v>
      </c>
      <c r="I258">
        <v>0.7790144357160419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0.54623608208482466</v>
      </c>
      <c r="H259">
        <v>0.60270693453026281</v>
      </c>
      <c r="I259">
        <v>0.77345502710757141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0.47776233711918875</v>
      </c>
      <c r="H260">
        <v>0.62958068471110695</v>
      </c>
      <c r="I260">
        <v>0.72598543429776852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0.5575508406695423</v>
      </c>
      <c r="H261">
        <v>0.64993833105661469</v>
      </c>
      <c r="I261">
        <v>0.60552694876039026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0.54984737574287113</v>
      </c>
      <c r="H262">
        <v>0.74771543293647225</v>
      </c>
      <c r="I262">
        <v>0.69798298284155447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0.59365408416136078</v>
      </c>
      <c r="H263">
        <v>0.64227219391795154</v>
      </c>
      <c r="I263">
        <v>0.62799142644401018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FDDC-15A1-4F9F-A334-5E936436B60B}">
  <dimension ref="A1:R263"/>
  <sheetViews>
    <sheetView workbookViewId="0">
      <selection activeCell="I3" sqref="I3:I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7" t="s">
        <v>57</v>
      </c>
      <c r="D1" s="17"/>
      <c r="E1" s="17"/>
      <c r="F1" s="17"/>
      <c r="G1" t="s">
        <v>58</v>
      </c>
      <c r="H1" t="s">
        <v>59</v>
      </c>
      <c r="I1" t="s">
        <v>60</v>
      </c>
      <c r="J1" t="s">
        <v>58</v>
      </c>
      <c r="K1" s="17" t="s">
        <v>73</v>
      </c>
      <c r="L1" s="17"/>
      <c r="M1" s="17"/>
      <c r="N1" s="17"/>
      <c r="O1" s="17"/>
      <c r="P1" s="17"/>
      <c r="Q1" s="17"/>
      <c r="R1" s="17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0.54598364674256294</v>
      </c>
      <c r="I3">
        <v>0.73149659209099549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5.5858630157792029E-2</v>
      </c>
      <c r="Q3">
        <f t="shared" si="0"/>
        <v>6.4712525116416258E-2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0.69977849035198381</v>
      </c>
      <c r="I4">
        <v>0.54770033707044519</v>
      </c>
      <c r="J4">
        <v>21.480998964419861</v>
      </c>
      <c r="K4" s="17" t="s">
        <v>74</v>
      </c>
      <c r="L4" s="17"/>
      <c r="M4" s="17"/>
      <c r="N4" s="17"/>
      <c r="O4" s="17"/>
      <c r="P4" s="17"/>
      <c r="Q4" s="17"/>
      <c r="R4" s="17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0.58631369988237547</v>
      </c>
      <c r="I5">
        <v>0.75066501533346264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9.3483597109659922E-2</v>
      </c>
      <c r="Q5" s="16">
        <f t="shared" si="1"/>
        <v>9.4829286828235645E-2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0.61756550978057045</v>
      </c>
      <c r="I6">
        <v>0.74260380194140441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0.58417944445984404</v>
      </c>
      <c r="I7">
        <v>0.59754414220504348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0.63677567920417444</v>
      </c>
      <c r="I8">
        <v>0.68369645333897555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0.56761298665810267</v>
      </c>
      <c r="I9">
        <v>0.67972678014595111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0.52563262889806317</v>
      </c>
      <c r="I10">
        <v>0.69548422492498785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0.64183150436734115</v>
      </c>
      <c r="I11">
        <v>0.68681552800507095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0.57409270111085708</v>
      </c>
      <c r="I12">
        <v>0.75370084920670277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0.57967180810424068</v>
      </c>
      <c r="I13">
        <v>0.67532012189222457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0.66068467873274395</v>
      </c>
      <c r="I14">
        <v>0.65013774963590876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0.56434785415684419</v>
      </c>
      <c r="I15">
        <v>0.66690285973796892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0.63391768740724896</v>
      </c>
      <c r="I16">
        <v>0.6848501289237412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0.48578218134880302</v>
      </c>
      <c r="I17">
        <v>0.73972006337713569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0.64757993110156831</v>
      </c>
      <c r="I18">
        <v>0.8435251105522783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0.52044295775949978</v>
      </c>
      <c r="I19">
        <v>0.7222312753557304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0.59624253163722862</v>
      </c>
      <c r="I20">
        <v>0.6575675962809775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0.68430075834240034</v>
      </c>
      <c r="I21">
        <v>0.72367212688938176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0.56941574656872151</v>
      </c>
      <c r="I22">
        <v>0.72755380191515351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0.6722674878961542</v>
      </c>
      <c r="I23">
        <v>0.56037346041327574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0.66133433612700554</v>
      </c>
      <c r="I24">
        <v>0.7582021859695478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0.66532120498391112</v>
      </c>
      <c r="I25">
        <v>0.67537614777302413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0.60098135034932065</v>
      </c>
      <c r="I26">
        <v>0.63909848521108659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0.57168056366647702</v>
      </c>
      <c r="I27">
        <v>0.72024526616119189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0.59707946153516578</v>
      </c>
      <c r="I28">
        <v>0.63189521247543401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0.638305133425348</v>
      </c>
      <c r="I29">
        <v>0.67909341920472122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0.61389533958662978</v>
      </c>
      <c r="I30">
        <v>0.7188250216182398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0.59679930386082691</v>
      </c>
      <c r="I31">
        <v>0.80961823061565719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0.63441892576789283</v>
      </c>
      <c r="I32">
        <v>0.69969681854820887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0.51892509526296915</v>
      </c>
      <c r="I33">
        <v>0.7313658109126554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0.59326351028124014</v>
      </c>
      <c r="I34">
        <v>0.68042961211617381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0.49620788316934222</v>
      </c>
      <c r="I35">
        <v>0.65384139913205075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0.55734144316778123</v>
      </c>
      <c r="I36">
        <v>0.71302922357715193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0.58288958846437677</v>
      </c>
      <c r="I37">
        <v>0.7920542621479062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0.63398097919272978</v>
      </c>
      <c r="I38">
        <v>0.74340185091925293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0.45343534058474511</v>
      </c>
      <c r="I39">
        <v>0.68981281828438645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0.59169073389311466</v>
      </c>
      <c r="I40">
        <v>0.7376034950047623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0.66842715722996426</v>
      </c>
      <c r="I41">
        <v>0.65664138730402499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0.58836104983474202</v>
      </c>
      <c r="I42">
        <v>0.68819775232340918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0.57630820267798821</v>
      </c>
      <c r="I43">
        <v>0.63670461434587855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0.59203502309516121</v>
      </c>
      <c r="I44">
        <v>0.73375879653746745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0.63677447860114089</v>
      </c>
      <c r="I45">
        <v>0.75127331818434728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0.67741656109109827</v>
      </c>
      <c r="I46">
        <v>0.64965765066270842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0.55178657919453455</v>
      </c>
      <c r="I47">
        <v>0.76293628431830562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0.66706862830374791</v>
      </c>
      <c r="I48">
        <v>0.64708481459046041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0.59678045177972883</v>
      </c>
      <c r="I49">
        <v>0.64685650466047073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0.64720278842520529</v>
      </c>
      <c r="I50">
        <v>0.75916402149117657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0.54655769070720328</v>
      </c>
      <c r="I51">
        <v>0.68672917275723022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0.56831510465515189</v>
      </c>
      <c r="I52">
        <v>0.66898387397137793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0.64347887958347805</v>
      </c>
      <c r="I53">
        <v>0.68751237801401466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0.5753467087929317</v>
      </c>
      <c r="I54">
        <v>0.77878866985369566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0.7018462223741071</v>
      </c>
      <c r="I55">
        <v>0.57515777206399288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0.60355927557141154</v>
      </c>
      <c r="I56">
        <v>0.60685343318349783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0.57599669931294384</v>
      </c>
      <c r="I57">
        <v>0.59982893567373674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0.56424301915139452</v>
      </c>
      <c r="I58">
        <v>0.81890522174116109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0.60249500981746507</v>
      </c>
      <c r="I59">
        <v>0.69060048738517699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0.54543378783019314</v>
      </c>
      <c r="I60">
        <v>0.78022510288140168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0.60494545867513305</v>
      </c>
      <c r="I61">
        <v>0.63335733696949081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0.5422103356763841</v>
      </c>
      <c r="I62">
        <v>0.64398592540327226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0.55058611178677686</v>
      </c>
      <c r="I63">
        <v>0.61750733460637075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0.55719079453715437</v>
      </c>
      <c r="I64">
        <v>0.71409805707964735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0.58687949965596709</v>
      </c>
      <c r="I65">
        <v>0.73650832844945335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0.56532309674091952</v>
      </c>
      <c r="I66">
        <v>0.80981555684560003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0.65782252432206634</v>
      </c>
      <c r="I67">
        <v>0.68466695192110194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0.56534802117900673</v>
      </c>
      <c r="I68">
        <v>0.72900820533228095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0.62810873451989513</v>
      </c>
      <c r="I69">
        <v>0.76846972205511921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0.65766067986430043</v>
      </c>
      <c r="I70">
        <v>0.70148590797407973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0.68595047903469331</v>
      </c>
      <c r="I71">
        <v>0.69626816088693089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0.57158768316299025</v>
      </c>
      <c r="I72">
        <v>0.72549463103949474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0.59945172990912432</v>
      </c>
      <c r="I73">
        <v>0.56826593914917256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0.47132626438601866</v>
      </c>
      <c r="I74">
        <v>0.65913819648823047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0.6325812341784145</v>
      </c>
      <c r="I75">
        <v>0.73116634996798513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0.49642438650671039</v>
      </c>
      <c r="I76">
        <v>0.59347036973559941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0.6064975769900075</v>
      </c>
      <c r="I77">
        <v>0.71750896420076149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0.63272301957380717</v>
      </c>
      <c r="I78">
        <v>0.54555720923679207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0.51738778817202491</v>
      </c>
      <c r="I79">
        <v>0.53232433497335641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0.63890390752735648</v>
      </c>
      <c r="I80">
        <v>0.68274182564445085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0.5511139951109234</v>
      </c>
      <c r="I81">
        <v>0.60051872613142165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0.66699020643804552</v>
      </c>
      <c r="I82">
        <v>0.74041091915695234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0.61436330879180101</v>
      </c>
      <c r="I83">
        <v>0.62701596403688442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0.522912383185408</v>
      </c>
      <c r="I84">
        <v>0.65260568774952032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0.54372581186973046</v>
      </c>
      <c r="I85">
        <v>0.59582593998037536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0.57723581900392362</v>
      </c>
      <c r="I86">
        <v>0.75029604059785882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0.55109184175576587</v>
      </c>
      <c r="I87">
        <v>0.57912259004585454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0.65749177925733093</v>
      </c>
      <c r="I88">
        <v>0.63583528497203179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0.57543469644504175</v>
      </c>
      <c r="I89">
        <v>0.69393454346709726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0.63893086086202922</v>
      </c>
      <c r="I90">
        <v>0.67036342483830857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0.64087224474624904</v>
      </c>
      <c r="I91">
        <v>0.59582398201859343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0.53436205376436152</v>
      </c>
      <c r="I92">
        <v>0.70505359024678715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0.70703453794568316</v>
      </c>
      <c r="I93">
        <v>0.71655958720032342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0.62929018313920182</v>
      </c>
      <c r="I94">
        <v>0.56452031339318087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0.64123321672756495</v>
      </c>
      <c r="I95">
        <v>0.62064469010959655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0.63109158054966186</v>
      </c>
      <c r="I96">
        <v>0.6579399015138323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0.53323021734181519</v>
      </c>
      <c r="I97">
        <v>0.80712761906711039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0.5363936102118122</v>
      </c>
      <c r="I98">
        <v>0.66501997702848936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0.51220810879034684</v>
      </c>
      <c r="I99">
        <v>0.67404198932063919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0.56936149385563128</v>
      </c>
      <c r="I100">
        <v>0.64958644984708769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0.65132669508241647</v>
      </c>
      <c r="I101">
        <v>0.67080640234993105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0.66778202621940075</v>
      </c>
      <c r="I102">
        <v>0.73289001896383854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0.61872146215752188</v>
      </c>
      <c r="I103">
        <v>0.64881385215964948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0.70593990364224579</v>
      </c>
      <c r="I104">
        <v>0.66536025510945895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0.57676980713442083</v>
      </c>
      <c r="I105">
        <v>0.68673858651997677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0.50087733504885934</v>
      </c>
      <c r="I106">
        <v>0.76482467988137282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0.54939126171922403</v>
      </c>
      <c r="I107">
        <v>0.72246547800817718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0.71985999945926404</v>
      </c>
      <c r="I108">
        <v>0.74778493295752946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0.49434446184695158</v>
      </c>
      <c r="I109">
        <v>0.66518214364205486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0.65486747507266208</v>
      </c>
      <c r="I110">
        <v>0.60359836405522571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0.60543488385712907</v>
      </c>
      <c r="I111">
        <v>0.58096988922440918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0.58287111981401518</v>
      </c>
      <c r="I112">
        <v>0.63536634099880474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0.51337963803682096</v>
      </c>
      <c r="I113">
        <v>0.73622311949302732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0.53445104670572219</v>
      </c>
      <c r="I114">
        <v>0.6525511443263563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0.63346558495352079</v>
      </c>
      <c r="I115">
        <v>0.66157556702897391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0.51163794660306505</v>
      </c>
      <c r="I116">
        <v>0.65040003628845389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0.63982067653000496</v>
      </c>
      <c r="I117">
        <v>0.61054196090433077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0.58285667193747948</v>
      </c>
      <c r="I118">
        <v>0.74354928339029713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0.69344387399850449</v>
      </c>
      <c r="I119">
        <v>0.68993234402109405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0.54349375295927849</v>
      </c>
      <c r="I120">
        <v>0.67422444177685348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0.60287984989184118</v>
      </c>
      <c r="I121">
        <v>0.6013626952336929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0.59468139723296831</v>
      </c>
      <c r="I122">
        <v>0.67255543633237169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0.65500189628059446</v>
      </c>
      <c r="I123">
        <v>0.76681783371521284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0.638440732820859</v>
      </c>
      <c r="I124">
        <v>0.62947322542180872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0.60420494964497518</v>
      </c>
      <c r="I125">
        <v>0.76040421240261946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0.55120222929245322</v>
      </c>
      <c r="I126">
        <v>0.68472279797761437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0.60937351254757688</v>
      </c>
      <c r="I127">
        <v>0.60986117130389617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0.63637250526925282</v>
      </c>
      <c r="I128">
        <v>0.6859090567041497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0.558736393453519</v>
      </c>
      <c r="I129">
        <v>0.75417701102379286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0.50580568618605837</v>
      </c>
      <c r="I130">
        <v>0.73110990645190865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0.53751927286276713</v>
      </c>
      <c r="I131">
        <v>0.7071198435497188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0.49887102069361294</v>
      </c>
      <c r="I132">
        <v>0.81802234452430411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0.50443421373899555</v>
      </c>
      <c r="I133">
        <v>0.73296695020981728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0.55431172329288059</v>
      </c>
      <c r="I134">
        <v>0.77055663811765307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0.68577546619340635</v>
      </c>
      <c r="I135">
        <v>0.72429047786893697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0.63768826312248561</v>
      </c>
      <c r="I136">
        <v>0.73358672081726151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0.59587306749244962</v>
      </c>
      <c r="I137">
        <v>0.69335364971501479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0.59277653839984001</v>
      </c>
      <c r="I138">
        <v>0.68195266408568145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0.62085727220535103</v>
      </c>
      <c r="I139">
        <v>0.62198048791394844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0.53606066722957746</v>
      </c>
      <c r="I140">
        <v>0.62071839012225594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0.58779609743762851</v>
      </c>
      <c r="I141">
        <v>0.69195529807529221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0.70014845935651426</v>
      </c>
      <c r="I142">
        <v>0.71799340724220895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0.63134286070910162</v>
      </c>
      <c r="I143">
        <v>0.60128469984854349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0.59728504221016898</v>
      </c>
      <c r="I144">
        <v>0.60272769883610422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0.71647659156783683</v>
      </c>
      <c r="I145">
        <v>0.60276179199133462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0.60387572613371665</v>
      </c>
      <c r="I146">
        <v>0.69180559503953176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0.5144424714322493</v>
      </c>
      <c r="I147">
        <v>0.73928035054998775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0.53177803004667279</v>
      </c>
      <c r="I148">
        <v>0.68629721785126785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0.55344931458865765</v>
      </c>
      <c r="I149">
        <v>0.80571189556155842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0.61905417460074164</v>
      </c>
      <c r="I150">
        <v>0.56645045599334676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0.64754459870038283</v>
      </c>
      <c r="I151">
        <v>0.62829674371120081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0.62979619374418405</v>
      </c>
      <c r="I152">
        <v>0.67658174547315586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0.60149185893377888</v>
      </c>
      <c r="I153">
        <v>0.58266839301394158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0.6696716814793372</v>
      </c>
      <c r="I154">
        <v>0.73194565496381647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0.54372516145721728</v>
      </c>
      <c r="I155">
        <v>0.70881557247435023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0.55483362888671883</v>
      </c>
      <c r="I156">
        <v>0.6582903993135496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0.56996496485006742</v>
      </c>
      <c r="I157">
        <v>0.73340603895846856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0.73263916398567763</v>
      </c>
      <c r="I158">
        <v>0.71183724125369596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0.53222987483319439</v>
      </c>
      <c r="I159">
        <v>0.71366697259234302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0.65807288233866157</v>
      </c>
      <c r="I160">
        <v>0.72197800580177907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0.61097138956604646</v>
      </c>
      <c r="I161">
        <v>0.71422292773265816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0.62660206199407043</v>
      </c>
      <c r="I162">
        <v>0.60579400135164818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0.51356684684843212</v>
      </c>
      <c r="I163">
        <v>0.55374992864239692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0.60273008264668504</v>
      </c>
      <c r="I164">
        <v>0.64326133414654763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0.63410277279316518</v>
      </c>
      <c r="I165">
        <v>0.65814531076262561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0.52481895126961886</v>
      </c>
      <c r="I166">
        <v>0.69006227811680232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0.6193064836082639</v>
      </c>
      <c r="I167">
        <v>0.62039095489828999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0.47933414662645479</v>
      </c>
      <c r="I168">
        <v>0.7779583281340825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0.59451653103568203</v>
      </c>
      <c r="I169">
        <v>0.72226541375514064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0.60417373565914134</v>
      </c>
      <c r="I170">
        <v>0.75092715073255245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0.6754520853113325</v>
      </c>
      <c r="I171">
        <v>0.71383785850357884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0.49951226743268462</v>
      </c>
      <c r="I172">
        <v>0.7269946496955515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0.61205525624846779</v>
      </c>
      <c r="I173">
        <v>0.62528558097474485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0.61734386226653892</v>
      </c>
      <c r="I174">
        <v>0.6319306185939525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0.56754901065702368</v>
      </c>
      <c r="I175">
        <v>0.67436060256753405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0.59192151263719583</v>
      </c>
      <c r="I176">
        <v>0.73041513411267622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0.58558892538599794</v>
      </c>
      <c r="I177">
        <v>0.62428390038165493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0.72479082725757671</v>
      </c>
      <c r="I178">
        <v>0.67457586174546236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0.59459846733330046</v>
      </c>
      <c r="I179">
        <v>0.7024833762829652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0.59356103062814458</v>
      </c>
      <c r="I180">
        <v>0.65285517023111828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0.61761899809959919</v>
      </c>
      <c r="I181">
        <v>0.72113084161549157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0.54717341661337537</v>
      </c>
      <c r="I182">
        <v>0.65522112402746391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0.60841304187134104</v>
      </c>
      <c r="I183">
        <v>0.57485191784790324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0.52194182306001324</v>
      </c>
      <c r="I184">
        <v>0.59143629334447312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0.60890436659498093</v>
      </c>
      <c r="I185">
        <v>0.77202797182498162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0.5825861813915969</v>
      </c>
      <c r="I186">
        <v>0.63566269804872166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0.60637655480520847</v>
      </c>
      <c r="I187">
        <v>0.83529329839843514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0.64774525075268641</v>
      </c>
      <c r="I188">
        <v>0.65288877805237533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0.54868843599346206</v>
      </c>
      <c r="I189">
        <v>0.60642847224372887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0.47284196019475011</v>
      </c>
      <c r="I190">
        <v>0.60514873414934534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0.66575565379214041</v>
      </c>
      <c r="I191">
        <v>0.70687396456756224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0.62240921990807807</v>
      </c>
      <c r="I192">
        <v>0.69923744306780822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0.59834345999328808</v>
      </c>
      <c r="I193">
        <v>0.77718672755033547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0.64649922466628884</v>
      </c>
      <c r="I194">
        <v>0.62033229575719684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0.6291318876201587</v>
      </c>
      <c r="I195">
        <v>0.60489426337578112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0.55208571114558413</v>
      </c>
      <c r="I196">
        <v>0.62920455708976308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0.62491675212968656</v>
      </c>
      <c r="I197">
        <v>0.56075076514962841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0.56297778968223322</v>
      </c>
      <c r="I198">
        <v>0.73662889122801101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0.59065167883620873</v>
      </c>
      <c r="I199">
        <v>0.56905645087673062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0.64144738603546037</v>
      </c>
      <c r="I200">
        <v>0.68207418600262726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0.58239670631388285</v>
      </c>
      <c r="I201">
        <v>0.6137893724610628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0.62504999273077733</v>
      </c>
      <c r="I202">
        <v>0.78099381143079993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0.49666846010990612</v>
      </c>
      <c r="I203">
        <v>0.68597470033611252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0.67491428589611691</v>
      </c>
      <c r="I204">
        <v>0.65225884680896962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0.59481119391157644</v>
      </c>
      <c r="I205">
        <v>0.62345745338550107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0.5749466972092131</v>
      </c>
      <c r="I206">
        <v>0.73592190501249333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0.57707021945637815</v>
      </c>
      <c r="I207">
        <v>0.69976593961818112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0.60250234733206831</v>
      </c>
      <c r="I208">
        <v>0.81574058432733776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0.58487709290802048</v>
      </c>
      <c r="I209">
        <v>0.70309943509346295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0.623854760560969</v>
      </c>
      <c r="I210">
        <v>0.69022858528749176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0.5499950518697384</v>
      </c>
      <c r="I211">
        <v>0.65844487787736949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0.59383330299871107</v>
      </c>
      <c r="I212">
        <v>0.6545718113424579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0.63560421322725191</v>
      </c>
      <c r="I213">
        <v>0.60192508903439323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0.61250777908296505</v>
      </c>
      <c r="I214">
        <v>0.73795665063723304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0.59269848144513104</v>
      </c>
      <c r="I215">
        <v>0.71105941654736526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0.73310454447823792</v>
      </c>
      <c r="I216">
        <v>0.75282618198776952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0.54305090260430855</v>
      </c>
      <c r="I217">
        <v>0.78826073293085219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0.66452581349752138</v>
      </c>
      <c r="I218">
        <v>0.76945479651204596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0.52424690207351932</v>
      </c>
      <c r="I219">
        <v>0.68733019191506328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0.48860980769793716</v>
      </c>
      <c r="I220">
        <v>0.65401686365330913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0.58413262860381232</v>
      </c>
      <c r="I221">
        <v>0.58101895430576878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0.57499380755116869</v>
      </c>
      <c r="I222">
        <v>0.70466658523141179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0.63250098095748841</v>
      </c>
      <c r="I223">
        <v>0.70373511938304967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0.59448415690155454</v>
      </c>
      <c r="I224">
        <v>0.72841151445814101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0.59216002044991989</v>
      </c>
      <c r="I225">
        <v>0.66665199566071198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0.60532088662288097</v>
      </c>
      <c r="I226">
        <v>0.65391422008088596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0.54242083692050591</v>
      </c>
      <c r="I227">
        <v>0.63442442952542455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0.52115058530752068</v>
      </c>
      <c r="I228">
        <v>0.54790741495179196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0.63485386280584888</v>
      </c>
      <c r="I229">
        <v>0.56871081597272122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0.71505430170664053</v>
      </c>
      <c r="I230">
        <v>0.70611139824594238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0.61894773953493465</v>
      </c>
      <c r="I231">
        <v>0.58573972653998441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0.53963215158154565</v>
      </c>
      <c r="I232">
        <v>0.69350582426194274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0.64587683882648117</v>
      </c>
      <c r="I233">
        <v>0.76462341243880994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0.60444672718333003</v>
      </c>
      <c r="I234">
        <v>0.69652965507099462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0.63694129844906366</v>
      </c>
      <c r="I235">
        <v>0.61757091284844612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0.61783305198375937</v>
      </c>
      <c r="I236">
        <v>0.70616022877117879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0.73969722277879346</v>
      </c>
      <c r="I237">
        <v>0.75501868809194683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0.55629413169753028</v>
      </c>
      <c r="I238">
        <v>0.74075845407815299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0.55607386510849488</v>
      </c>
      <c r="I239">
        <v>0.91629789345813872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0.66149778128264147</v>
      </c>
      <c r="I240">
        <v>0.6579238464092646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0.60208579039004895</v>
      </c>
      <c r="I241">
        <v>0.6385407409046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0.59794583810732505</v>
      </c>
      <c r="I242">
        <v>0.65548612466584844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0.5655320468149132</v>
      </c>
      <c r="I243">
        <v>0.75965719269968313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0.52873375585565519</v>
      </c>
      <c r="I244">
        <v>0.74574042416933495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0.60094980297850265</v>
      </c>
      <c r="I245">
        <v>0.64558354909330129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0.65085491564215758</v>
      </c>
      <c r="I246">
        <v>0.63980762857907492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0.55875267602928969</v>
      </c>
      <c r="I247">
        <v>0.64085603959994164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0.59089435433582482</v>
      </c>
      <c r="I248">
        <v>0.64946431822852502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0.63622532334431614</v>
      </c>
      <c r="I249">
        <v>0.58084259268424898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0.64043888982225128</v>
      </c>
      <c r="I250">
        <v>0.72627941877650659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0.57899493613189612</v>
      </c>
      <c r="I251">
        <v>0.6156454572509823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0.52933297211828245</v>
      </c>
      <c r="I252">
        <v>0.67758587018820371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0.54012500643934536</v>
      </c>
      <c r="I253">
        <v>0.67169907129561623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0.56954736382415971</v>
      </c>
      <c r="I254">
        <v>0.65672148042116907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0.65764818721600182</v>
      </c>
      <c r="I255">
        <v>0.5966888190070434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0.57409068100669958</v>
      </c>
      <c r="I256">
        <v>0.73220220614702869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0.65524431423341301</v>
      </c>
      <c r="I257">
        <v>0.65724165522941969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0.55349022209912402</v>
      </c>
      <c r="I258">
        <v>0.7790144357160419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0.60270693453026281</v>
      </c>
      <c r="I259">
        <v>0.77345502710757141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0.62958068471110695</v>
      </c>
      <c r="I260">
        <v>0.72598543429776852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0.64993833105661469</v>
      </c>
      <c r="I261">
        <v>0.60552694876039026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0.74771543293647225</v>
      </c>
      <c r="I262">
        <v>0.69798298284155447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0.64227219391795154</v>
      </c>
      <c r="I263">
        <v>0.62799142644401018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D78B-06CA-4DED-A06C-39B41ACBB839}">
  <dimension ref="A1:R263"/>
  <sheetViews>
    <sheetView topLeftCell="K1" workbookViewId="0">
      <selection activeCell="I6" sqref="I6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7" t="s">
        <v>57</v>
      </c>
      <c r="D1" s="17"/>
      <c r="E1" s="17"/>
      <c r="F1" s="17"/>
      <c r="G1" t="s">
        <v>58</v>
      </c>
      <c r="H1" t="s">
        <v>59</v>
      </c>
      <c r="I1" t="s">
        <v>60</v>
      </c>
      <c r="J1" t="s">
        <v>58</v>
      </c>
      <c r="K1" s="17" t="s">
        <v>73</v>
      </c>
      <c r="L1" s="17"/>
      <c r="M1" s="17"/>
      <c r="N1" s="17"/>
      <c r="O1" s="17"/>
      <c r="P1" s="17"/>
      <c r="Q1" s="17"/>
      <c r="R1" s="17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0.73149659209099549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1.8873791418627661E-15</v>
      </c>
      <c r="Q3">
        <f t="shared" si="0"/>
        <v>6.4712525116416258E-2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0.54770033707044519</v>
      </c>
      <c r="J4">
        <v>21.480998964419861</v>
      </c>
      <c r="K4" s="17" t="s">
        <v>74</v>
      </c>
      <c r="L4" s="17"/>
      <c r="M4" s="17"/>
      <c r="N4" s="17"/>
      <c r="O4" s="17"/>
      <c r="P4" s="17"/>
      <c r="Q4" s="17"/>
      <c r="R4" s="17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0.75066501533346264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9.4829286828235645E-2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0.74260380194140441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0.59754414220504348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0.68369645333897555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0.67972678014595111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0.69548422492498785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0.68681552800507095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0.75370084920670277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0.67532012189222457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0.65013774963590876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0.66690285973796892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0.6848501289237412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0.73972006337713569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0.8435251105522783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0.7222312753557304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0.6575675962809775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0.72367212688938176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0.72755380191515351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0.56037346041327574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0.7582021859695478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0.67537614777302413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0.63909848521108659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0.72024526616119189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0.63189521247543401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0.67909341920472122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0.7188250216182398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0.80961823061565719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0.69969681854820887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0.7313658109126554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0.68042961211617381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0.65384139913205075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0.71302922357715193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0.7920542621479062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0.74340185091925293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0.68981281828438645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0.7376034950047623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0.65664138730402499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0.68819775232340918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0.63670461434587855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0.73375879653746745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0.75127331818434728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0.64965765066270842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0.76293628431830562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0.64708481459046041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0.64685650466047073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0.75916402149117657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0.68672917275723022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0.66898387397137793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0.68751237801401466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0.77878866985369566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0.57515777206399288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0.60685343318349783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0.59982893567373674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0.81890522174116109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0.69060048738517699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0.78022510288140168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0.63335733696949081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0.64398592540327226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0.61750733460637075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0.71409805707964735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0.73650832844945335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0.80981555684560003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0.68466695192110194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0.72900820533228095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0.76846972205511921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0.70148590797407973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0.69626816088693089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0.72549463103949474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0.56826593914917256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0.65913819648823047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0.73116634996798513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0.59347036973559941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0.71750896420076149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0.54555720923679207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0.53232433497335641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0.68274182564445085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0.60051872613142165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0.74041091915695234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0.62701596403688442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0.65260568774952032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0.59582593998037536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0.75029604059785882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0.57912259004585454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0.63583528497203179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0.69393454346709726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0.67036342483830857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0.59582398201859343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0.70505359024678715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0.71655958720032342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0.56452031339318087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0.62064469010959655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0.6579399015138323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0.80712761906711039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0.66501997702848936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0.67404198932063919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0.64958644984708769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0.67080640234993105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0.73289001896383854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0.64881385215964948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0.66536025510945895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0.68673858651997677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0.76482467988137282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0.72246547800817718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0.74778493295752946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0.66518214364205486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0.60359836405522571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0.58096988922440918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0.63536634099880474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0.73622311949302732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0.6525511443263563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0.66157556702897391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0.65040003628845389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0.61054196090433077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0.74354928339029713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0.68993234402109405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0.67422444177685348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0.6013626952336929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0.67255543633237169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0.76681783371521284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0.62947322542180872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0.76040421240261946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0.68472279797761437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0.60986117130389617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0.6859090567041497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0.75417701102379286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0.73110990645190865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0.7071198435497188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0.81802234452430411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0.73296695020981728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0.77055663811765307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0.72429047786893697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0.73358672081726151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0.69335364971501479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0.68195266408568145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0.62198048791394844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0.62071839012225594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0.69195529807529221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0.71799340724220895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0.60128469984854349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0.60272769883610422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0.60276179199133462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0.69180559503953176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0.73928035054998775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0.68629721785126785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0.80571189556155842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0.56645045599334676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0.62829674371120081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0.67658174547315586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0.58266839301394158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0.73194565496381647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0.70881557247435023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0.6582903993135496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0.73340603895846856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0.71183724125369596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0.71366697259234302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0.72197800580177907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0.71422292773265816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0.60579400135164818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0.55374992864239692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0.64326133414654763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0.65814531076262561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0.69006227811680232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0.62039095489828999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0.7779583281340825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0.72226541375514064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0.75092715073255245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0.71383785850357884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0.7269946496955515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0.62528558097474485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0.6319306185939525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0.67436060256753405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0.73041513411267622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0.62428390038165493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0.67457586174546236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0.7024833762829652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0.65285517023111828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0.72113084161549157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0.65522112402746391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0.57485191784790324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0.59143629334447312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0.77202797182498162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0.63566269804872166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0.83529329839843514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0.65288877805237533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0.60642847224372887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0.60514873414934534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0.70687396456756224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0.69923744306780822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0.77718672755033547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0.62033229575719684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0.60489426337578112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0.62920455708976308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0.56075076514962841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0.73662889122801101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0.56905645087673062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0.68207418600262726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0.6137893724610628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0.78099381143079993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0.68597470033611252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0.65225884680896962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0.62345745338550107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0.73592190501249333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0.69976593961818112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0.81574058432733776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0.70309943509346295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0.69022858528749176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0.65844487787736949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0.6545718113424579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0.60192508903439323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0.73795665063723304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0.71105941654736526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0.75282618198776952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0.78826073293085219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0.76945479651204596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0.68733019191506328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0.65401686365330913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0.58101895430576878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0.70466658523141179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0.70373511938304967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0.72841151445814101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0.66665199566071198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0.65391422008088596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0.63442442952542455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0.54790741495179196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0.56871081597272122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0.70611139824594238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0.58573972653998441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0.69350582426194274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0.76462341243880994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0.69652965507099462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0.61757091284844612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0.70616022877117879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0.75501868809194683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0.74075845407815299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0.91629789345813872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0.6579238464092646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0.6385407409046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0.65548612466584844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0.75965719269968313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0.74574042416933495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0.64558354909330129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0.63980762857907492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0.64085603959994164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0.64946431822852502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0.58084259268424898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0.72627941877650659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0.6156454572509823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0.67758587018820371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0.67169907129561623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0.65672148042116907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0.5966888190070434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0.73220220614702869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0.65724165522941969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0.7790144357160419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0.77345502710757141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0.72598543429776852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0.60552694876039026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0.69798298284155447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0.62799142644401018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A046-A144-4765-95EE-87E19163C7C3}">
  <dimension ref="A1:R263"/>
  <sheetViews>
    <sheetView tabSelected="1" workbookViewId="0">
      <selection activeCell="E10" sqref="E10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7" t="s">
        <v>57</v>
      </c>
      <c r="D1" s="17"/>
      <c r="E1" s="17"/>
      <c r="F1" s="17"/>
      <c r="G1" t="s">
        <v>58</v>
      </c>
      <c r="H1" t="s">
        <v>59</v>
      </c>
      <c r="I1" t="s">
        <v>60</v>
      </c>
      <c r="J1" t="s">
        <v>58</v>
      </c>
      <c r="K1" s="17" t="s">
        <v>73</v>
      </c>
      <c r="L1" s="17"/>
      <c r="M1" s="17"/>
      <c r="N1" s="17"/>
      <c r="O1" s="17"/>
      <c r="P1" s="17"/>
      <c r="Q1" s="17"/>
      <c r="R1" s="17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1.8873791418627661E-15</v>
      </c>
      <c r="Q3">
        <f t="shared" si="0"/>
        <v>3.6637359812630166E-15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0.69637380533808979</v>
      </c>
      <c r="J4">
        <v>21.480998964419861</v>
      </c>
      <c r="K4" s="17" t="s">
        <v>74</v>
      </c>
      <c r="L4" s="17"/>
      <c r="M4" s="17"/>
      <c r="N4" s="17"/>
      <c r="O4" s="17"/>
      <c r="P4" s="17"/>
      <c r="Q4" s="17"/>
      <c r="R4" s="17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0.69637380533808979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5.2611628311956544E-15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0.69637380533808979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0.69637380533808979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0.69637380533808979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0.69637380533808979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0.69637380533808979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0.69637380533808979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0.69637380533808979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0.69637380533808979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0.69637380533808979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0.69637380533808979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0.69637380533808979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0.69637380533808979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0.69637380533808979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0.69637380533808979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0.69637380533808979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0.69637380533808979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0.69637380533808979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0.69637380533808979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0.69637380533808979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0.69637380533808979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0.69637380533808979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0.69637380533808979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0.69637380533808979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0.69637380533808979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0.69637380533808979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0.69637380533808979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0.69637380533808979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0.69637380533808979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0.69637380533808979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0.69637380533808979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0.69637380533808979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0.69637380533808979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0.69637380533808979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0.69637380533808979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0.69637380533808979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0.69637380533808979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0.69637380533808979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0.69637380533808979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0.69637380533808979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0.69637380533808979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0.69637380533808979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0.69637380533808979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0.69637380533808979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0.69637380533808979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0.69637380533808979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0.69637380533808979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0.69637380533808979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0.69637380533808979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0.69637380533808979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0.69637380533808979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0.69637380533808979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0.69637380533808979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0.69637380533808979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0.69637380533808979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0.69637380533808979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0.69637380533808979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0.69637380533808979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0.69637380533808979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0.69637380533808979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0.69637380533808979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0.69637380533808979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0.69637380533808979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0.69637380533808979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0.69637380533808979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0.69637380533808979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0.69637380533808979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0.69637380533808979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0.69637380533808979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0.69637380533808979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0.69637380533808979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0.69637380533808979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0.69637380533808979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0.69637380533808979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0.69637380533808979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0.69637380533808979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0.69637380533808979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0.69637380533808979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0.69637380533808979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0.69637380533808979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0.69637380533808979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0.69637380533808979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0.69637380533808979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0.69637380533808979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0.69637380533808979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0.69637380533808979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0.69637380533808979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0.69637380533808979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0.69637380533808979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0.69637380533808979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0.69637380533808979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0.69637380533808979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0.69637380533808979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0.69637380533808979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0.69637380533808979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0.69637380533808979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0.69637380533808979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0.69637380533808979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0.69637380533808979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0.69637380533808979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0.69637380533808979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0.69637380533808979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0.69637380533808979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0.69637380533808979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0.69637380533808979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0.69637380533808979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0.69637380533808979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0.69637380533808979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0.69637380533808979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0.69637380533808979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0.69637380533808979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0.69637380533808979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0.69637380533808979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0.69637380533808979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0.69637380533808979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0.69637380533808979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0.69637380533808979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0.69637380533808979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0.69637380533808979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0.69637380533808979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0.69637380533808979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0.69637380533808979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0.69637380533808979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0.69637380533808979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0.69637380533808979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0.69637380533808979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0.69637380533808979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0.69637380533808979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0.69637380533808979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0.69637380533808979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0.69637380533808979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0.69637380533808979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0.69637380533808979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0.69637380533808979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0.69637380533808979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0.69637380533808979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0.69637380533808979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0.69637380533808979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0.69637380533808979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0.69637380533808979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0.69637380533808979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0.69637380533808979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0.69637380533808979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0.69637380533808979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0.69637380533808979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0.69637380533808979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0.69637380533808979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0.69637380533808979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0.69637380533808979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0.69637380533808979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0.69637380533808979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0.69637380533808979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0.69637380533808979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0.69637380533808979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0.69637380533808979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0.69637380533808979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0.69637380533808979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0.69637380533808979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0.69637380533808979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0.69637380533808979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0.69637380533808979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0.69637380533808979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0.69637380533808979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0.69637380533808979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0.69637380533808979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0.69637380533808979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0.69637380533808979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0.69637380533808979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0.69637380533808979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0.69637380533808979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0.69637380533808979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0.69637380533808979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0.69637380533808979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0.69637380533808979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0.69637380533808979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0.69637380533808979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0.69637380533808979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0.69637380533808979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0.69637380533808979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0.69637380533808979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0.69637380533808979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0.69637380533808979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0.69637380533808979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0.69637380533808979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0.69637380533808979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0.69637380533808979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0.69637380533808979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0.69637380533808979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0.69637380533808979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0.69637380533808979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0.69637380533808979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0.69637380533808979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0.69637380533808979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0.69637380533808979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0.69637380533808979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0.69637380533808979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0.69637380533808979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0.69637380533808979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0.69637380533808979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0.69637380533808979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0.69637380533808979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0.69637380533808979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0.69637380533808979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0.69637380533808979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0.69637380533808979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0.69637380533808979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0.69637380533808979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0.69637380533808979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0.69637380533808979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0.69637380533808979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0.69637380533808979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0.69637380533808979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0.69637380533808979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0.69637380533808979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0.69637380533808979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0.69637380533808979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0.69637380533808979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0.69637380533808979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0.69637380533808979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0.69637380533808979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0.69637380533808979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0.69637380533808979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0.69637380533808979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0.69637380533808979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0.69637380533808979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0.69637380533808979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0.69637380533808979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0.69637380533808979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0.69637380533808979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0.69637380533808979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0.69637380533808979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0.69637380533808979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0.69637380533808979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0.69637380533808979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0.69637380533808979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0.69637380533808979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0.69637380533808979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0.69637380533808979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0.69637380533808979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0.69637380533808979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0.69637380533808979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0.69637380533808979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0.69637380533808979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0.69637380533808979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0.69637380533808979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0.69637380533808979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0.69637380533808979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0.69637380533808979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0.69637380533808979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0.69637380533808979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0.69637380533808979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0.69637380533808979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0.69637380533808979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0.69637380533808979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0.69637380533808979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0.69637380533808979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0.69637380533808979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0.69637380533808979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0.69637380533808979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workbookViewId="0">
      <selection activeCell="Q6" sqref="Q6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65</v>
      </c>
      <c r="J1" t="s">
        <v>66</v>
      </c>
      <c r="N1" t="s">
        <v>63</v>
      </c>
      <c r="O1" t="s">
        <v>52</v>
      </c>
      <c r="P1" t="s">
        <v>61</v>
      </c>
      <c r="Q1" t="s">
        <v>62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67</v>
      </c>
      <c r="O2">
        <f>'ES, Equity factor movement'!L3</f>
        <v>-56.494317639978753</v>
      </c>
      <c r="P2">
        <f>ABS(O2)</f>
        <v>56.494317639978753</v>
      </c>
      <c r="Q2" s="10">
        <f>P2*P2</f>
        <v>3191.6079256068147</v>
      </c>
    </row>
    <row r="3" spans="1:17" ht="16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M3" t="s">
        <v>75</v>
      </c>
      <c r="N3">
        <v>20</v>
      </c>
      <c r="O3">
        <f>'ES, Credit LH=10Unchanged'!L3</f>
        <v>-56.494317639978753</v>
      </c>
      <c r="P3">
        <f>ABS(O3)</f>
        <v>56.494317639978753</v>
      </c>
      <c r="Q3" s="10">
        <f>POWER(P3*SQRT(10/10),2)</f>
        <v>3191.6079256068147</v>
      </c>
    </row>
    <row r="4" spans="1:17" ht="16.5">
      <c r="A4" t="s">
        <v>40</v>
      </c>
      <c r="B4">
        <v>100</v>
      </c>
      <c r="C4">
        <v>3</v>
      </c>
      <c r="D4">
        <v>100</v>
      </c>
      <c r="F4">
        <f t="shared" si="0"/>
        <v>10000</v>
      </c>
      <c r="M4" t="s">
        <v>76</v>
      </c>
      <c r="N4">
        <v>40</v>
      </c>
      <c r="O4">
        <f>'ES, Credit LH=20Unchanged'!L3</f>
        <v>-47.550712730086943</v>
      </c>
      <c r="P4">
        <f t="shared" ref="P4:P5" si="1">ABS(O4)</f>
        <v>47.550712730086943</v>
      </c>
      <c r="Q4" s="10">
        <f>POWER(P4*SQRT(20/10),2)</f>
        <v>4522.140562278506</v>
      </c>
    </row>
    <row r="5" spans="1:17" ht="16.5">
      <c r="A5" t="s">
        <v>43</v>
      </c>
      <c r="B5">
        <v>100</v>
      </c>
      <c r="E5">
        <v>500</v>
      </c>
      <c r="F5">
        <f>B5*E5</f>
        <v>50000</v>
      </c>
      <c r="M5" t="s">
        <v>77</v>
      </c>
      <c r="N5">
        <v>60</v>
      </c>
      <c r="O5">
        <f>'ES, Credit LH=40Unchanged'!L3</f>
        <v>-40.406924823978834</v>
      </c>
      <c r="P5">
        <f t="shared" si="1"/>
        <v>40.406924823978834</v>
      </c>
      <c r="Q5" s="10">
        <f>POWER(P5*SQRT(20/10),2)</f>
        <v>3265.4391474613544</v>
      </c>
    </row>
    <row r="6" spans="1:17" ht="20.5">
      <c r="A6" t="s">
        <v>44</v>
      </c>
      <c r="B6">
        <v>100</v>
      </c>
      <c r="E6">
        <v>36</v>
      </c>
      <c r="F6">
        <f t="shared" ref="F6:F7" si="2">B6*E6</f>
        <v>3600</v>
      </c>
      <c r="P6" s="11" t="s">
        <v>64</v>
      </c>
      <c r="Q6" s="12">
        <f>SQRT(SUM(Q2:Q2))</f>
        <v>56.494317639978753</v>
      </c>
    </row>
    <row r="7" spans="1:17">
      <c r="A7" t="s">
        <v>25</v>
      </c>
      <c r="B7">
        <v>100</v>
      </c>
      <c r="E7">
        <v>20</v>
      </c>
      <c r="F7">
        <f t="shared" si="2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opLeftCell="C1" workbookViewId="0">
      <selection activeCell="D12" sqref="D12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(3/(1+('CurrentPor-Equ Factor Movements'!C3)/100)+103/POWER(1+('CurrentPor-Equ Factor Movements'!D3)/100,2))*100</f>
        <v>9707.5857774288397</v>
      </c>
      <c r="C3">
        <f>(3/(1+('CurrentPor-Equ Factor Movements'!C3+'CurrentPor-Equ Factor Movements'!G3)/100)+103/POWER(1+('CurrentPor-Equ Factor Movements'!D3+'CurrentPor-Equ Factor Movements'!G3)/100,2))*100</f>
        <v>9608.3019517962894</v>
      </c>
      <c r="D3">
        <f>(3/(1+('CurrentPor-Equ Factor Movements'!C3+'CurrentPor-Equ Factor Movements'!H3)/100)+103/POWER(1+('CurrentPor-Equ Factor Movements'!D3+'CurrentPor-Equ Factor Movements'!H3)/100,2))*100</f>
        <v>9608.4831707255853</v>
      </c>
      <c r="E3">
        <f>(3/(1+('CurrentPor-Equ Factor Movements'!C3+'CurrentPor-Equ Factor Movements'!I3)/100)+103/POWER(1+('CurrentPor-Equ Factor Movements'!D3+'CurrentPor-Equ Factor Movements'!I3)/100,2))*100</f>
        <v>9575.1589567325373</v>
      </c>
      <c r="F3">
        <f>Portfolio!B$5*'CurrentPor-Equ Factor Movements'!E3</f>
        <v>52143.895533915893</v>
      </c>
      <c r="G3">
        <f>Portfolio!B$6*'CurrentPor-Equ Factor Movements'!F3</f>
        <v>3696.2945087936532</v>
      </c>
      <c r="H3">
        <f>Portfolio!B$7*'CurrentPor-Equ Factor Movements'!J3</f>
        <v>2148.0998964419859</v>
      </c>
      <c r="I3">
        <f>SUM(B3:H3)</f>
        <v>96487.819795834788</v>
      </c>
      <c r="K3" s="8">
        <f>_xlfn.PERCENTILE.INC(J13:J263, 0.025)</f>
        <v>-50.272022871366062</v>
      </c>
      <c r="L3">
        <f>AVERAGEIF(J13:J263, "&lt;="&amp;K3,J13:J263)</f>
        <v>-56.494317639978753</v>
      </c>
    </row>
    <row r="4" spans="1:12">
      <c r="A4" s="1">
        <v>45475</v>
      </c>
      <c r="B4">
        <f>(3/(1+('CurrentPor-Equ Factor Movements'!C4)/100)+103/POWER(1+('CurrentPor-Equ Factor Movements'!D4)/100,2))*100</f>
        <v>9707.5857774288397</v>
      </c>
      <c r="C4">
        <f>(3/(1+('CurrentPor-Equ Factor Movements'!C4+'CurrentPor-Equ Factor Movements'!G4)/100)+103/POWER(1+('CurrentPor-Equ Factor Movements'!D4+'CurrentPor-Equ Factor Movements'!G4)/100,2))*100</f>
        <v>9620.9502617200469</v>
      </c>
      <c r="D4">
        <f>(3/(1+('CurrentPor-Equ Factor Movements'!C4+'CurrentPor-Equ Factor Movements'!H4)/100)+103/POWER(1+('CurrentPor-Equ Factor Movements'!D4+'CurrentPor-Equ Factor Movements'!H4)/100,2))*100</f>
        <v>9580.8441477768902</v>
      </c>
      <c r="E4">
        <f>(3/(1+('CurrentPor-Equ Factor Movements'!C4+'CurrentPor-Equ Factor Movements'!I4)/100)+103/POWER(1+('CurrentPor-Equ Factor Movements'!D4+'CurrentPor-Equ Factor Movements'!I4)/100,2))*100</f>
        <v>9608.173991835838</v>
      </c>
      <c r="F4">
        <f>Portfolio!B$5*'CurrentPor-Equ Factor Movements'!E4</f>
        <v>52143.895533915893</v>
      </c>
      <c r="G4">
        <f>Portfolio!B$6*'CurrentPor-Equ Factor Movements'!F4</f>
        <v>3696.2945087936532</v>
      </c>
      <c r="H4">
        <f>Portfolio!B$7*'CurrentPor-Equ Factor Movements'!J4</f>
        <v>2148.0998964419859</v>
      </c>
      <c r="I4">
        <f t="shared" ref="I4:I67" si="0">SUM(B4:H4)</f>
        <v>96505.844117913148</v>
      </c>
    </row>
    <row r="5" spans="1:12">
      <c r="A5" s="1">
        <v>45476</v>
      </c>
      <c r="B5">
        <f>(3/(1+('CurrentPor-Equ Factor Movements'!C5)/100)+103/POWER(1+('CurrentPor-Equ Factor Movements'!D5)/100,2))*100</f>
        <v>9707.5857774288397</v>
      </c>
      <c r="C5">
        <f>(3/(1+('CurrentPor-Equ Factor Movements'!C5+'CurrentPor-Equ Factor Movements'!G5)/100)+103/POWER(1+('CurrentPor-Equ Factor Movements'!D5+'CurrentPor-Equ Factor Movements'!G5)/100,2))*100</f>
        <v>9615.5465069238653</v>
      </c>
      <c r="D5">
        <f>(3/(1+('CurrentPor-Equ Factor Movements'!C5+'CurrentPor-Equ Factor Movements'!H5)/100)+103/POWER(1+('CurrentPor-Equ Factor Movements'!D5+'CurrentPor-Equ Factor Movements'!H5)/100,2))*100</f>
        <v>9601.22363881622</v>
      </c>
      <c r="E5">
        <f>(3/(1+('CurrentPor-Equ Factor Movements'!C5+'CurrentPor-Equ Factor Movements'!I5)/100)+103/POWER(1+('CurrentPor-Equ Factor Movements'!D5+'CurrentPor-Equ Factor Movements'!I5)/100,2))*100</f>
        <v>9571.7256625780628</v>
      </c>
      <c r="F5">
        <f>Portfolio!B$5*'CurrentPor-Equ Factor Movements'!E5</f>
        <v>52143.895533915893</v>
      </c>
      <c r="G5">
        <f>Portfolio!B$6*'CurrentPor-Equ Factor Movements'!F5</f>
        <v>3696.2945087936532</v>
      </c>
      <c r="H5">
        <f>Portfolio!B$7*'CurrentPor-Equ Factor Movements'!J5</f>
        <v>2148.0998964419859</v>
      </c>
      <c r="I5">
        <f t="shared" si="0"/>
        <v>96484.371524898525</v>
      </c>
    </row>
    <row r="6" spans="1:12">
      <c r="A6" s="1">
        <v>45477</v>
      </c>
      <c r="B6">
        <f>(3/(1+('CurrentPor-Equ Factor Movements'!C6)/100)+103/POWER(1+('CurrentPor-Equ Factor Movements'!D6)/100,2))*100</f>
        <v>9707.5857774288397</v>
      </c>
      <c r="C6">
        <f>(3/(1+('CurrentPor-Equ Factor Movements'!C6+'CurrentPor-Equ Factor Movements'!G6)/100)+103/POWER(1+('CurrentPor-Equ Factor Movements'!D6+'CurrentPor-Equ Factor Movements'!G6)/100,2))*100</f>
        <v>9622.1828273560186</v>
      </c>
      <c r="D6">
        <f>(3/(1+('CurrentPor-Equ Factor Movements'!C6+'CurrentPor-Equ Factor Movements'!H6)/100)+103/POWER(1+('CurrentPor-Equ Factor Movements'!D6+'CurrentPor-Equ Factor Movements'!H6)/100,2))*100</f>
        <v>9595.6039308750369</v>
      </c>
      <c r="E6">
        <f>(3/(1+('CurrentPor-Equ Factor Movements'!C6+'CurrentPor-Equ Factor Movements'!I6)/100)+103/POWER(1+('CurrentPor-Equ Factor Movements'!D6+'CurrentPor-Equ Factor Movements'!I6)/100,2))*100</f>
        <v>9573.1692951556051</v>
      </c>
      <c r="F6">
        <f>Portfolio!B$5*'CurrentPor-Equ Factor Movements'!E6</f>
        <v>52143.895533915893</v>
      </c>
      <c r="G6">
        <f>Portfolio!B$6*'CurrentPor-Equ Factor Movements'!F6</f>
        <v>3696.2945087936532</v>
      </c>
      <c r="H6">
        <f>Portfolio!B$7*'CurrentPor-Equ Factor Movements'!J6</f>
        <v>2148.0998964419859</v>
      </c>
      <c r="I6">
        <f t="shared" si="0"/>
        <v>96486.83176996703</v>
      </c>
    </row>
    <row r="7" spans="1:12">
      <c r="A7" s="1">
        <v>45478</v>
      </c>
      <c r="B7">
        <f>(3/(1+('CurrentPor-Equ Factor Movements'!C7)/100)+103/POWER(1+('CurrentPor-Equ Factor Movements'!D7)/100,2))*100</f>
        <v>9707.5857774288397</v>
      </c>
      <c r="C7">
        <f>(3/(1+('CurrentPor-Equ Factor Movements'!C7+'CurrentPor-Equ Factor Movements'!G7)/100)+103/POWER(1+('CurrentPor-Equ Factor Movements'!D7+'CurrentPor-Equ Factor Movements'!G7)/100,2))*100</f>
        <v>9610.0109896335052</v>
      </c>
      <c r="D7">
        <f>(3/(1+('CurrentPor-Equ Factor Movements'!C7+'CurrentPor-Equ Factor Movements'!H7)/100)+103/POWER(1+('CurrentPor-Equ Factor Movements'!D7+'CurrentPor-Equ Factor Movements'!H7)/100,2))*100</f>
        <v>9601.6076030073982</v>
      </c>
      <c r="E7">
        <f>(3/(1+('CurrentPor-Equ Factor Movements'!C7+'CurrentPor-Equ Factor Movements'!I7)/100)+103/POWER(1+('CurrentPor-Equ Factor Movements'!D7+'CurrentPor-Equ Factor Movements'!I7)/100,2))*100</f>
        <v>9599.2036041801457</v>
      </c>
      <c r="F7">
        <f>Portfolio!B$5*'CurrentPor-Equ Factor Movements'!E7</f>
        <v>52143.895533915893</v>
      </c>
      <c r="G7">
        <f>Portfolio!B$6*'CurrentPor-Equ Factor Movements'!F7</f>
        <v>3696.2945087936532</v>
      </c>
      <c r="H7">
        <f>Portfolio!B$7*'CurrentPor-Equ Factor Movements'!J7</f>
        <v>2148.0998964419859</v>
      </c>
      <c r="I7">
        <f t="shared" si="0"/>
        <v>96506.697913401425</v>
      </c>
    </row>
    <row r="8" spans="1:12">
      <c r="A8" s="1">
        <v>45481</v>
      </c>
      <c r="B8">
        <f>(3/(1+('CurrentPor-Equ Factor Movements'!C8)/100)+103/POWER(1+('CurrentPor-Equ Factor Movements'!D8)/100,2))*100</f>
        <v>9707.5857774288397</v>
      </c>
      <c r="C8">
        <f>(3/(1+('CurrentPor-Equ Factor Movements'!C8+'CurrentPor-Equ Factor Movements'!G8)/100)+103/POWER(1+('CurrentPor-Equ Factor Movements'!D8+'CurrentPor-Equ Factor Movements'!G8)/100,2))*100</f>
        <v>9622.5302436768834</v>
      </c>
      <c r="D8">
        <f>(3/(1+('CurrentPor-Equ Factor Movements'!C8+'CurrentPor-Equ Factor Movements'!H8)/100)+103/POWER(1+('CurrentPor-Equ Factor Movements'!D8+'CurrentPor-Equ Factor Movements'!H8)/100,2))*100</f>
        <v>9592.1520262195118</v>
      </c>
      <c r="E8">
        <f>(3/(1+('CurrentPor-Equ Factor Movements'!C8+'CurrentPor-Equ Factor Movements'!I8)/100)+103/POWER(1+('CurrentPor-Equ Factor Movements'!D8+'CurrentPor-Equ Factor Movements'!I8)/100,2))*100</f>
        <v>9583.7286656073411</v>
      </c>
      <c r="F8">
        <f>Portfolio!B$5*'CurrentPor-Equ Factor Movements'!E8</f>
        <v>52143.895533915893</v>
      </c>
      <c r="G8">
        <f>Portfolio!B$6*'CurrentPor-Equ Factor Movements'!F8</f>
        <v>3696.2945087936532</v>
      </c>
      <c r="H8">
        <f>Portfolio!B$7*'CurrentPor-Equ Factor Movements'!J8</f>
        <v>2148.0998964419859</v>
      </c>
      <c r="I8">
        <f t="shared" si="0"/>
        <v>96494.286652084105</v>
      </c>
    </row>
    <row r="9" spans="1:12">
      <c r="A9" s="1">
        <v>45482</v>
      </c>
      <c r="B9">
        <f>(3/(1+('CurrentPor-Equ Factor Movements'!C9)/100)+103/POWER(1+('CurrentPor-Equ Factor Movements'!D9)/100,2))*100</f>
        <v>9707.5857774288397</v>
      </c>
      <c r="C9">
        <f>(3/(1+('CurrentPor-Equ Factor Movements'!C9+'CurrentPor-Equ Factor Movements'!G9)/100)+103/POWER(1+('CurrentPor-Equ Factor Movements'!D9+'CurrentPor-Equ Factor Movements'!G9)/100,2))*100</f>
        <v>9614.1253643748933</v>
      </c>
      <c r="D9">
        <f>(3/(1+('CurrentPor-Equ Factor Movements'!C9+'CurrentPor-Equ Factor Movements'!H9)/100)+103/POWER(1+('CurrentPor-Equ Factor Movements'!D9+'CurrentPor-Equ Factor Movements'!H9)/100,2))*100</f>
        <v>9604.5887903685471</v>
      </c>
      <c r="E9">
        <f>(3/(1+('CurrentPor-Equ Factor Movements'!C9+'CurrentPor-Equ Factor Movements'!I9)/100)+103/POWER(1+('CurrentPor-Equ Factor Movements'!D9+'CurrentPor-Equ Factor Movements'!I9)/100,2))*100</f>
        <v>9584.4408794337596</v>
      </c>
      <c r="F9">
        <f>Portfolio!B$5*'CurrentPor-Equ Factor Movements'!E9</f>
        <v>52143.895533915893</v>
      </c>
      <c r="G9">
        <f>Portfolio!B$6*'CurrentPor-Equ Factor Movements'!F9</f>
        <v>3696.2945087936532</v>
      </c>
      <c r="H9">
        <f>Portfolio!B$7*'CurrentPor-Equ Factor Movements'!J9</f>
        <v>2148.0998964419859</v>
      </c>
      <c r="I9">
        <f t="shared" si="0"/>
        <v>96499.030750757564</v>
      </c>
    </row>
    <row r="10" spans="1:12">
      <c r="A10" s="1">
        <v>45483</v>
      </c>
      <c r="B10">
        <f>(3/(1+('CurrentPor-Equ Factor Movements'!C10)/100)+103/POWER(1+('CurrentPor-Equ Factor Movements'!D10)/100,2))*100</f>
        <v>9707.5857774288397</v>
      </c>
      <c r="C10">
        <f>(3/(1+('CurrentPor-Equ Factor Movements'!C10+'CurrentPor-Equ Factor Movements'!G10)/100)+103/POWER(1+('CurrentPor-Equ Factor Movements'!D10+'CurrentPor-Equ Factor Movements'!G10)/100,2))*100</f>
        <v>9617.1918676514779</v>
      </c>
      <c r="D10">
        <f>(3/(1+('CurrentPor-Equ Factor Movements'!C10+'CurrentPor-Equ Factor Movements'!H10)/100)+103/POWER(1+('CurrentPor-Equ Factor Movements'!D10+'CurrentPor-Equ Factor Movements'!H10)/100,2))*100</f>
        <v>9612.1495728840819</v>
      </c>
      <c r="E10">
        <f>(3/(1+('CurrentPor-Equ Factor Movements'!C10+'CurrentPor-Equ Factor Movements'!I10)/100)+103/POWER(1+('CurrentPor-Equ Factor Movements'!D10+'CurrentPor-Equ Factor Movements'!I10)/100,2))*100</f>
        <v>9581.614250157294</v>
      </c>
      <c r="F10">
        <f>Portfolio!B$5*'CurrentPor-Equ Factor Movements'!E10</f>
        <v>52143.895533915893</v>
      </c>
      <c r="G10">
        <f>Portfolio!B$6*'CurrentPor-Equ Factor Movements'!F10</f>
        <v>3696.2945087936532</v>
      </c>
      <c r="H10">
        <f>Portfolio!B$7*'CurrentPor-Equ Factor Movements'!J10</f>
        <v>2148.0998964419859</v>
      </c>
      <c r="I10">
        <f t="shared" si="0"/>
        <v>96506.831407273232</v>
      </c>
    </row>
    <row r="11" spans="1:12">
      <c r="A11" s="1">
        <v>45484</v>
      </c>
      <c r="B11">
        <f>(3/(1+('CurrentPor-Equ Factor Movements'!C11)/100)+103/POWER(1+('CurrentPor-Equ Factor Movements'!D11)/100,2))*100</f>
        <v>9707.5857774288397</v>
      </c>
      <c r="C11">
        <f>(3/(1+('CurrentPor-Equ Factor Movements'!C11+'CurrentPor-Equ Factor Movements'!G11)/100)+103/POWER(1+('CurrentPor-Equ Factor Movements'!D11+'CurrentPor-Equ Factor Movements'!G11)/100,2))*100</f>
        <v>9622.7870694423946</v>
      </c>
      <c r="D11">
        <f>(3/(1+('CurrentPor-Equ Factor Movements'!C11+'CurrentPor-Equ Factor Movements'!H11)/100)+103/POWER(1+('CurrentPor-Equ Factor Movements'!D11+'CurrentPor-Equ Factor Movements'!H11)/100,2))*100</f>
        <v>9591.2438499943146</v>
      </c>
      <c r="E11">
        <f>(3/(1+('CurrentPor-Equ Factor Movements'!C11+'CurrentPor-Equ Factor Movements'!I11)/100)+103/POWER(1+('CurrentPor-Equ Factor Movements'!D11+'CurrentPor-Equ Factor Movements'!I11)/100,2))*100</f>
        <v>9583.1691170728209</v>
      </c>
      <c r="F11">
        <f>Portfolio!B$5*'CurrentPor-Equ Factor Movements'!E11</f>
        <v>52143.895533915893</v>
      </c>
      <c r="G11">
        <f>Portfolio!B$6*'CurrentPor-Equ Factor Movements'!F11</f>
        <v>3696.2945087936532</v>
      </c>
      <c r="H11">
        <f>Portfolio!B$7*'CurrentPor-Equ Factor Movements'!J11</f>
        <v>2148.0998964419859</v>
      </c>
      <c r="I11">
        <f t="shared" si="0"/>
        <v>96493.075753089899</v>
      </c>
    </row>
    <row r="12" spans="1:12">
      <c r="A12" s="1">
        <v>45485</v>
      </c>
      <c r="B12">
        <f>(3/(1+('CurrentPor-Equ Factor Movements'!C12)/100)+103/POWER(1+('CurrentPor-Equ Factor Movements'!D12)/100,2))*100</f>
        <v>9707.5857774288397</v>
      </c>
      <c r="C12">
        <f>(3/(1+('CurrentPor-Equ Factor Movements'!C12+'CurrentPor-Equ Factor Movements'!G12)/100)+103/POWER(1+('CurrentPor-Equ Factor Movements'!D12+'CurrentPor-Equ Factor Movements'!G12)/100,2))*100</f>
        <v>9613.34180696162</v>
      </c>
      <c r="D12">
        <f>(3/(1+('CurrentPor-Equ Factor Movements'!C12+'CurrentPor-Equ Factor Movements'!H12)/100)+103/POWER(1+('CurrentPor-Equ Factor Movements'!D12+'CurrentPor-Equ Factor Movements'!H12)/100,2))*100</f>
        <v>9603.4225779589524</v>
      </c>
      <c r="E12">
        <f>(3/(1+('CurrentPor-Equ Factor Movements'!C12+'CurrentPor-Equ Factor Movements'!I12)/100)+103/POWER(1+('CurrentPor-Equ Factor Movements'!D12+'CurrentPor-Equ Factor Movements'!I12)/100,2))*100</f>
        <v>9571.1820794582345</v>
      </c>
      <c r="F12">
        <f>Portfolio!B$5*'CurrentPor-Equ Factor Movements'!E12</f>
        <v>52143.895533915893</v>
      </c>
      <c r="G12">
        <f>Portfolio!B$6*'CurrentPor-Equ Factor Movements'!F12</f>
        <v>3696.2945087936532</v>
      </c>
      <c r="H12">
        <f>Portfolio!B$7*'CurrentPor-Equ Factor Movements'!J12</f>
        <v>2148.0998964419859</v>
      </c>
      <c r="I12">
        <f t="shared" si="0"/>
        <v>96483.822180959178</v>
      </c>
    </row>
    <row r="13" spans="1:12">
      <c r="A13" s="1">
        <v>45488</v>
      </c>
      <c r="B13">
        <f>(3/(1+('CurrentPor-Equ Factor Movements'!C13)/100)+103/POWER(1+('CurrentPor-Equ Factor Movements'!D13)/100,2))*100</f>
        <v>9707.5857774288397</v>
      </c>
      <c r="C13">
        <f>(3/(1+('CurrentPor-Equ Factor Movements'!C13+'CurrentPor-Equ Factor Movements'!G13)/100)+103/POWER(1+('CurrentPor-Equ Factor Movements'!D13+'CurrentPor-Equ Factor Movements'!G13)/100,2))*100</f>
        <v>9608.4137985387933</v>
      </c>
      <c r="D13">
        <f>(3/(1+('CurrentPor-Equ Factor Movements'!C13+'CurrentPor-Equ Factor Movements'!H13)/100)+103/POWER(1+('CurrentPor-Equ Factor Movements'!D13+'CurrentPor-Equ Factor Movements'!H13)/100,2))*100</f>
        <v>9602.4186278269481</v>
      </c>
      <c r="E13">
        <f>(3/(1+('CurrentPor-Equ Factor Movements'!C13+'CurrentPor-Equ Factor Movements'!I13)/100)+103/POWER(1+('CurrentPor-Equ Factor Movements'!D13+'CurrentPor-Equ Factor Movements'!I13)/100,2))*100</f>
        <v>9585.2315882898347</v>
      </c>
      <c r="F13">
        <f>Portfolio!B$5*'CurrentPor-Equ Factor Movements'!E13</f>
        <v>52143.895533915893</v>
      </c>
      <c r="G13">
        <f>Portfolio!B$6*'CurrentPor-Equ Factor Movements'!F13</f>
        <v>3696.2945087936532</v>
      </c>
      <c r="H13">
        <f>Portfolio!B$7*'CurrentPor-Equ Factor Movements'!J13</f>
        <v>2148.0998964419859</v>
      </c>
      <c r="I13">
        <f t="shared" si="0"/>
        <v>96491.939731235951</v>
      </c>
      <c r="J13">
        <f>I13-I3</f>
        <v>4.1199354011623655</v>
      </c>
    </row>
    <row r="14" spans="1:12">
      <c r="A14" s="1">
        <v>45489</v>
      </c>
      <c r="B14">
        <f>(3/(1+('CurrentPor-Equ Factor Movements'!C14)/100)+103/POWER(1+('CurrentPor-Equ Factor Movements'!D14)/100,2))*100</f>
        <v>9707.5857774288397</v>
      </c>
      <c r="C14">
        <f>(3/(1+('CurrentPor-Equ Factor Movements'!C14+'CurrentPor-Equ Factor Movements'!G14)/100)+103/POWER(1+('CurrentPor-Equ Factor Movements'!D14+'CurrentPor-Equ Factor Movements'!G14)/100,2))*100</f>
        <v>9606.2869955886181</v>
      </c>
      <c r="D14">
        <f>(3/(1+('CurrentPor-Equ Factor Movements'!C14+'CurrentPor-Equ Factor Movements'!H14)/100)+103/POWER(1+('CurrentPor-Equ Factor Movements'!D14+'CurrentPor-Equ Factor Movements'!H14)/100,2))*100</f>
        <v>9587.8584087562595</v>
      </c>
      <c r="E14">
        <f>(3/(1+('CurrentPor-Equ Factor Movements'!C14+'CurrentPor-Equ Factor Movements'!I14)/100)+103/POWER(1+('CurrentPor-Equ Factor Movements'!D14+'CurrentPor-Equ Factor Movements'!I14)/100,2))*100</f>
        <v>9589.7520846498719</v>
      </c>
      <c r="F14">
        <f>Portfolio!B$5*'CurrentPor-Equ Factor Movements'!E14</f>
        <v>52143.895533915893</v>
      </c>
      <c r="G14">
        <f>Portfolio!B$6*'CurrentPor-Equ Factor Movements'!F14</f>
        <v>3696.2945087936532</v>
      </c>
      <c r="H14">
        <f>Portfolio!B$7*'CurrentPor-Equ Factor Movements'!J14</f>
        <v>2148.0998964419859</v>
      </c>
      <c r="I14">
        <f t="shared" si="0"/>
        <v>96479.773205575111</v>
      </c>
      <c r="J14">
        <f t="shared" ref="J14:J77" si="1">I14-I4</f>
        <v>-26.070912338036578</v>
      </c>
    </row>
    <row r="15" spans="1:12">
      <c r="A15" s="1">
        <v>45490</v>
      </c>
      <c r="B15">
        <f>(3/(1+('CurrentPor-Equ Factor Movements'!C15)/100)+103/POWER(1+('CurrentPor-Equ Factor Movements'!D15)/100,2))*100</f>
        <v>9707.5857774288397</v>
      </c>
      <c r="C15">
        <f>(3/(1+('CurrentPor-Equ Factor Movements'!C15+'CurrentPor-Equ Factor Movements'!G15)/100)+103/POWER(1+('CurrentPor-Equ Factor Movements'!D15+'CurrentPor-Equ Factor Movements'!G15)/100,2))*100</f>
        <v>9618.6994701385338</v>
      </c>
      <c r="D15">
        <f>(3/(1+('CurrentPor-Equ Factor Movements'!C15+'CurrentPor-Equ Factor Movements'!H15)/100)+103/POWER(1+('CurrentPor-Equ Factor Movements'!D15+'CurrentPor-Equ Factor Movements'!H15)/100,2))*100</f>
        <v>9605.176526888763</v>
      </c>
      <c r="E15">
        <f>(3/(1+('CurrentPor-Equ Factor Movements'!C15+'CurrentPor-Equ Factor Movements'!I15)/100)+103/POWER(1+('CurrentPor-Equ Factor Movements'!D15+'CurrentPor-Equ Factor Movements'!I15)/100,2))*100</f>
        <v>9586.7422146760127</v>
      </c>
      <c r="F15">
        <f>Portfolio!B$5*'CurrentPor-Equ Factor Movements'!E15</f>
        <v>52143.895533915893</v>
      </c>
      <c r="G15">
        <f>Portfolio!B$6*'CurrentPor-Equ Factor Movements'!F15</f>
        <v>3696.2945087936532</v>
      </c>
      <c r="H15">
        <f>Portfolio!B$7*'CurrentPor-Equ Factor Movements'!J15</f>
        <v>2148.0998964419859</v>
      </c>
      <c r="I15">
        <f t="shared" si="0"/>
        <v>96506.493928283671</v>
      </c>
      <c r="J15">
        <f t="shared" si="1"/>
        <v>22.122403385146754</v>
      </c>
    </row>
    <row r="16" spans="1:12">
      <c r="A16" s="1">
        <v>45491</v>
      </c>
      <c r="B16">
        <f>(3/(1+('CurrentPor-Equ Factor Movements'!C16)/100)+103/POWER(1+('CurrentPor-Equ Factor Movements'!D16)/100,2))*100</f>
        <v>9707.5857774288397</v>
      </c>
      <c r="C16">
        <f>(3/(1+('CurrentPor-Equ Factor Movements'!C16+'CurrentPor-Equ Factor Movements'!G16)/100)+103/POWER(1+('CurrentPor-Equ Factor Movements'!D16+'CurrentPor-Equ Factor Movements'!G16)/100,2))*100</f>
        <v>9615.7741762819587</v>
      </c>
      <c r="D16">
        <f>(3/(1+('CurrentPor-Equ Factor Movements'!C16+'CurrentPor-Equ Factor Movements'!H16)/100)+103/POWER(1+('CurrentPor-Equ Factor Movements'!D16+'CurrentPor-Equ Factor Movements'!H16)/100,2))*100</f>
        <v>9592.6654639924182</v>
      </c>
      <c r="E16">
        <f>(3/(1+('CurrentPor-Equ Factor Movements'!C16+'CurrentPor-Equ Factor Movements'!I16)/100)+103/POWER(1+('CurrentPor-Equ Factor Movements'!D16+'CurrentPor-Equ Factor Movements'!I16)/100,2))*100</f>
        <v>9583.5216954183179</v>
      </c>
      <c r="F16">
        <f>Portfolio!B$5*'CurrentPor-Equ Factor Movements'!E16</f>
        <v>52143.895533915893</v>
      </c>
      <c r="G16">
        <f>Portfolio!B$6*'CurrentPor-Equ Factor Movements'!F16</f>
        <v>3696.2945087936532</v>
      </c>
      <c r="H16">
        <f>Portfolio!B$7*'CurrentPor-Equ Factor Movements'!J16</f>
        <v>2148.0998964419859</v>
      </c>
      <c r="I16">
        <f t="shared" si="0"/>
        <v>96487.837052273069</v>
      </c>
      <c r="J16">
        <f t="shared" si="1"/>
        <v>1.0052823060395895</v>
      </c>
    </row>
    <row r="17" spans="1:10">
      <c r="A17" s="1">
        <v>45492</v>
      </c>
      <c r="B17">
        <f>(3/(1+('CurrentPor-Equ Factor Movements'!C17)/100)+103/POWER(1+('CurrentPor-Equ Factor Movements'!D17)/100,2))*100</f>
        <v>9707.5857774288397</v>
      </c>
      <c r="C17">
        <f>(3/(1+('CurrentPor-Equ Factor Movements'!C17+'CurrentPor-Equ Factor Movements'!G17)/100)+103/POWER(1+('CurrentPor-Equ Factor Movements'!D17+'CurrentPor-Equ Factor Movements'!G17)/100,2))*100</f>
        <v>9611.6922703452237</v>
      </c>
      <c r="D17">
        <f>(3/(1+('CurrentPor-Equ Factor Movements'!C17+'CurrentPor-Equ Factor Movements'!H17)/100)+103/POWER(1+('CurrentPor-Equ Factor Movements'!D17+'CurrentPor-Equ Factor Movements'!H17)/100,2))*100</f>
        <v>9619.3350978902836</v>
      </c>
      <c r="E17">
        <f>(3/(1+('CurrentPor-Equ Factor Movements'!C17+'CurrentPor-Equ Factor Movements'!I17)/100)+103/POWER(1+('CurrentPor-Equ Factor Movements'!D17+'CurrentPor-Equ Factor Movements'!I17)/100,2))*100</f>
        <v>9573.6858060706818</v>
      </c>
      <c r="F17">
        <f>Portfolio!B$5*'CurrentPor-Equ Factor Movements'!E17</f>
        <v>52143.895533915893</v>
      </c>
      <c r="G17">
        <f>Portfolio!B$6*'CurrentPor-Equ Factor Movements'!F17</f>
        <v>3696.2945087936532</v>
      </c>
      <c r="H17">
        <f>Portfolio!B$7*'CurrentPor-Equ Factor Movements'!J17</f>
        <v>2148.0998964419859</v>
      </c>
      <c r="I17">
        <f t="shared" si="0"/>
        <v>96500.58889088656</v>
      </c>
      <c r="J17">
        <f t="shared" si="1"/>
        <v>-6.1090225148655009</v>
      </c>
    </row>
    <row r="18" spans="1:10">
      <c r="A18" s="1">
        <v>45495</v>
      </c>
      <c r="B18">
        <f>(3/(1+('CurrentPor-Equ Factor Movements'!C18)/100)+103/POWER(1+('CurrentPor-Equ Factor Movements'!D18)/100,2))*100</f>
        <v>9707.5857774288397</v>
      </c>
      <c r="C18">
        <f>(3/(1+('CurrentPor-Equ Factor Movements'!C18+'CurrentPor-Equ Factor Movements'!G18)/100)+103/POWER(1+('CurrentPor-Equ Factor Movements'!D18+'CurrentPor-Equ Factor Movements'!G18)/100,2))*100</f>
        <v>9614.2486694554173</v>
      </c>
      <c r="D18">
        <f>(3/(1+('CurrentPor-Equ Factor Movements'!C18+'CurrentPor-Equ Factor Movements'!H18)/100)+103/POWER(1+('CurrentPor-Equ Factor Movements'!D18+'CurrentPor-Equ Factor Movements'!H18)/100,2))*100</f>
        <v>9590.2114202214016</v>
      </c>
      <c r="E18">
        <f>(3/(1+('CurrentPor-Equ Factor Movements'!C18+'CurrentPor-Equ Factor Movements'!I18)/100)+103/POWER(1+('CurrentPor-Equ Factor Movements'!D18+'CurrentPor-Equ Factor Movements'!I18)/100,2))*100</f>
        <v>9555.1196803116018</v>
      </c>
      <c r="F18">
        <f>Portfolio!B$5*'CurrentPor-Equ Factor Movements'!E18</f>
        <v>52143.895533915893</v>
      </c>
      <c r="G18">
        <f>Portfolio!B$6*'CurrentPor-Equ Factor Movements'!F18</f>
        <v>3696.2945087936532</v>
      </c>
      <c r="H18">
        <f>Portfolio!B$7*'CurrentPor-Equ Factor Movements'!J18</f>
        <v>2148.0998964419859</v>
      </c>
      <c r="I18">
        <f t="shared" si="0"/>
        <v>96455.455486568782</v>
      </c>
      <c r="J18">
        <f t="shared" si="1"/>
        <v>-38.831165515322937</v>
      </c>
    </row>
    <row r="19" spans="1:10">
      <c r="A19" s="1">
        <v>45496</v>
      </c>
      <c r="B19">
        <f>(3/(1+('CurrentPor-Equ Factor Movements'!C19)/100)+103/POWER(1+('CurrentPor-Equ Factor Movements'!D19)/100,2))*100</f>
        <v>9707.5857774288397</v>
      </c>
      <c r="C19">
        <f>(3/(1+('CurrentPor-Equ Factor Movements'!C19+'CurrentPor-Equ Factor Movements'!G19)/100)+103/POWER(1+('CurrentPor-Equ Factor Movements'!D19+'CurrentPor-Equ Factor Movements'!G19)/100,2))*100</f>
        <v>9622.2191934734765</v>
      </c>
      <c r="D19">
        <f>(3/(1+('CurrentPor-Equ Factor Movements'!C19+'CurrentPor-Equ Factor Movements'!H19)/100)+103/POWER(1+('CurrentPor-Equ Factor Movements'!D19+'CurrentPor-Equ Factor Movements'!H19)/100,2))*100</f>
        <v>9613.0848737011438</v>
      </c>
      <c r="E19">
        <f>(3/(1+('CurrentPor-Equ Factor Movements'!C19+'CurrentPor-Equ Factor Movements'!I19)/100)+103/POWER(1+('CurrentPor-Equ Factor Movements'!D19+'CurrentPor-Equ Factor Movements'!I19)/100,2))*100</f>
        <v>9576.8191548123305</v>
      </c>
      <c r="F19">
        <f>Portfolio!B$5*'CurrentPor-Equ Factor Movements'!E19</f>
        <v>52143.895533915893</v>
      </c>
      <c r="G19">
        <f>Portfolio!B$6*'CurrentPor-Equ Factor Movements'!F19</f>
        <v>3696.2945087936532</v>
      </c>
      <c r="H19">
        <f>Portfolio!B$7*'CurrentPor-Equ Factor Movements'!J19</f>
        <v>2148.0998964419859</v>
      </c>
      <c r="I19">
        <f t="shared" si="0"/>
        <v>96507.998938567325</v>
      </c>
      <c r="J19">
        <f t="shared" si="1"/>
        <v>8.96818780976173</v>
      </c>
    </row>
    <row r="20" spans="1:10">
      <c r="A20" s="1">
        <v>45497</v>
      </c>
      <c r="B20">
        <f>(3/(1+('CurrentPor-Equ Factor Movements'!C20)/100)+103/POWER(1+('CurrentPor-Equ Factor Movements'!D20)/100,2))*100</f>
        <v>9707.5857774288397</v>
      </c>
      <c r="C20">
        <f>(3/(1+('CurrentPor-Equ Factor Movements'!C20+'CurrentPor-Equ Factor Movements'!G20)/100)+103/POWER(1+('CurrentPor-Equ Factor Movements'!D20+'CurrentPor-Equ Factor Movements'!G20)/100,2))*100</f>
        <v>9628.2254365732388</v>
      </c>
      <c r="D20">
        <f>(3/(1+('CurrentPor-Equ Factor Movements'!C20+'CurrentPor-Equ Factor Movements'!H20)/100)+103/POWER(1+('CurrentPor-Equ Factor Movements'!D20+'CurrentPor-Equ Factor Movements'!H20)/100,2))*100</f>
        <v>9599.4376936194167</v>
      </c>
      <c r="E20">
        <f>(3/(1+('CurrentPor-Equ Factor Movements'!C20+'CurrentPor-Equ Factor Movements'!I20)/100)+103/POWER(1+('CurrentPor-Equ Factor Movements'!D20+'CurrentPor-Equ Factor Movements'!I20)/100,2))*100</f>
        <v>9588.418014477551</v>
      </c>
      <c r="F20">
        <f>Portfolio!B$5*'CurrentPor-Equ Factor Movements'!E20</f>
        <v>52143.895533915893</v>
      </c>
      <c r="G20">
        <f>Portfolio!B$6*'CurrentPor-Equ Factor Movements'!F20</f>
        <v>3696.2945087936532</v>
      </c>
      <c r="H20">
        <f>Portfolio!B$7*'CurrentPor-Equ Factor Movements'!J20</f>
        <v>2148.0998964419859</v>
      </c>
      <c r="I20">
        <f t="shared" si="0"/>
        <v>96511.956861250583</v>
      </c>
      <c r="J20">
        <f t="shared" si="1"/>
        <v>5.1254539773508441</v>
      </c>
    </row>
    <row r="21" spans="1:10">
      <c r="A21" s="1">
        <v>45498</v>
      </c>
      <c r="B21">
        <f>(3/(1+('CurrentPor-Equ Factor Movements'!C21)/100)+103/POWER(1+('CurrentPor-Equ Factor Movements'!D21)/100,2))*100</f>
        <v>9707.5857774288397</v>
      </c>
      <c r="C21">
        <f>(3/(1+('CurrentPor-Equ Factor Movements'!C21+'CurrentPor-Equ Factor Movements'!G21)/100)+103/POWER(1+('CurrentPor-Equ Factor Movements'!D21+'CurrentPor-Equ Factor Movements'!G21)/100,2))*100</f>
        <v>9614.9732416117295</v>
      </c>
      <c r="D21">
        <f>(3/(1+('CurrentPor-Equ Factor Movements'!C21+'CurrentPor-Equ Factor Movements'!H21)/100)+103/POWER(1+('CurrentPor-Equ Factor Movements'!D21+'CurrentPor-Equ Factor Movements'!H21)/100,2))*100</f>
        <v>9583.6202520318457</v>
      </c>
      <c r="E21">
        <f>(3/(1+('CurrentPor-Equ Factor Movements'!C21+'CurrentPor-Equ Factor Movements'!I21)/100)+103/POWER(1+('CurrentPor-Equ Factor Movements'!D21+'CurrentPor-Equ Factor Movements'!I21)/100,2))*100</f>
        <v>9576.5609483933495</v>
      </c>
      <c r="F21">
        <f>Portfolio!B$5*'CurrentPor-Equ Factor Movements'!E21</f>
        <v>52143.895533915893</v>
      </c>
      <c r="G21">
        <f>Portfolio!B$6*'CurrentPor-Equ Factor Movements'!F21</f>
        <v>3696.2945087936532</v>
      </c>
      <c r="H21">
        <f>Portfolio!B$7*'CurrentPor-Equ Factor Movements'!J21</f>
        <v>2148.0998964419859</v>
      </c>
      <c r="I21">
        <f t="shared" si="0"/>
        <v>96471.030158617301</v>
      </c>
      <c r="J21">
        <f t="shared" si="1"/>
        <v>-22.045594472598168</v>
      </c>
    </row>
    <row r="22" spans="1:10">
      <c r="A22" s="1">
        <v>45499</v>
      </c>
      <c r="B22">
        <f>(3/(1+('CurrentPor-Equ Factor Movements'!C22)/100)+103/POWER(1+('CurrentPor-Equ Factor Movements'!D22)/100,2))*100</f>
        <v>9707.5857774288397</v>
      </c>
      <c r="C22">
        <f>(3/(1+('CurrentPor-Equ Factor Movements'!C22+'CurrentPor-Equ Factor Movements'!G22)/100)+103/POWER(1+('CurrentPor-Equ Factor Movements'!D22+'CurrentPor-Equ Factor Movements'!G22)/100,2))*100</f>
        <v>9603.7537428517426</v>
      </c>
      <c r="D22">
        <f>(3/(1+('CurrentPor-Equ Factor Movements'!C22+'CurrentPor-Equ Factor Movements'!H22)/100)+103/POWER(1+('CurrentPor-Equ Factor Movements'!D22+'CurrentPor-Equ Factor Movements'!H22)/100,2))*100</f>
        <v>9604.2643099340457</v>
      </c>
      <c r="E22">
        <f>(3/(1+('CurrentPor-Equ Factor Movements'!C22+'CurrentPor-Equ Factor Movements'!I22)/100)+103/POWER(1+('CurrentPor-Equ Factor Movements'!D22+'CurrentPor-Equ Factor Movements'!I22)/100,2))*100</f>
        <v>9575.8653890155892</v>
      </c>
      <c r="F22">
        <f>Portfolio!B$5*'CurrentPor-Equ Factor Movements'!E22</f>
        <v>52143.895533915893</v>
      </c>
      <c r="G22">
        <f>Portfolio!B$6*'CurrentPor-Equ Factor Movements'!F22</f>
        <v>3696.2945087936532</v>
      </c>
      <c r="H22">
        <f>Portfolio!B$7*'CurrentPor-Equ Factor Movements'!J22</f>
        <v>2148.0998964419859</v>
      </c>
      <c r="I22">
        <f t="shared" si="0"/>
        <v>96479.759158381741</v>
      </c>
      <c r="J22">
        <f t="shared" si="1"/>
        <v>-4.0630225774366409</v>
      </c>
    </row>
    <row r="23" spans="1:10">
      <c r="A23" s="1">
        <v>45502</v>
      </c>
      <c r="B23">
        <f>(3/(1+('CurrentPor-Equ Factor Movements'!C23)/100)+103/POWER(1+('CurrentPor-Equ Factor Movements'!D23)/100,2))*100</f>
        <v>9707.5857774288397</v>
      </c>
      <c r="C23">
        <f>(3/(1+('CurrentPor-Equ Factor Movements'!C23+'CurrentPor-Equ Factor Movements'!G23)/100)+103/POWER(1+('CurrentPor-Equ Factor Movements'!D23+'CurrentPor-Equ Factor Movements'!G23)/100,2))*100</f>
        <v>9603.970689685475</v>
      </c>
      <c r="D23">
        <f>(3/(1+('CurrentPor-Equ Factor Movements'!C23+'CurrentPor-Equ Factor Movements'!H23)/100)+103/POWER(1+('CurrentPor-Equ Factor Movements'!D23+'CurrentPor-Equ Factor Movements'!H23)/100,2))*100</f>
        <v>9585.7793957065187</v>
      </c>
      <c r="E23">
        <f>(3/(1+('CurrentPor-Equ Factor Movements'!C23+'CurrentPor-Equ Factor Movements'!I23)/100)+103/POWER(1+('CurrentPor-Equ Factor Movements'!D23+'CurrentPor-Equ Factor Movements'!I23)/100,2))*100</f>
        <v>9605.8920067133713</v>
      </c>
      <c r="F23">
        <f>Portfolio!B$5*'CurrentPor-Equ Factor Movements'!E23</f>
        <v>52143.895533915893</v>
      </c>
      <c r="G23">
        <f>Portfolio!B$6*'CurrentPor-Equ Factor Movements'!F23</f>
        <v>3696.2945087936532</v>
      </c>
      <c r="H23">
        <f>Portfolio!B$7*'CurrentPor-Equ Factor Movements'!J23</f>
        <v>2148.0998964419859</v>
      </c>
      <c r="I23">
        <f t="shared" si="0"/>
        <v>96491.517808685734</v>
      </c>
      <c r="J23">
        <f t="shared" si="1"/>
        <v>-0.42192255021655001</v>
      </c>
    </row>
    <row r="24" spans="1:10">
      <c r="A24" s="1">
        <v>45503</v>
      </c>
      <c r="B24">
        <f>(3/(1+('CurrentPor-Equ Factor Movements'!C24)/100)+103/POWER(1+('CurrentPor-Equ Factor Movements'!D24)/100,2))*100</f>
        <v>9707.5857774288397</v>
      </c>
      <c r="C24">
        <f>(3/(1+('CurrentPor-Equ Factor Movements'!C24+'CurrentPor-Equ Factor Movements'!G24)/100)+103/POWER(1+('CurrentPor-Equ Factor Movements'!D24+'CurrentPor-Equ Factor Movements'!G24)/100,2))*100</f>
        <v>9617.7127244258372</v>
      </c>
      <c r="D24">
        <f>(3/(1+('CurrentPor-Equ Factor Movements'!C24+'CurrentPor-Equ Factor Movements'!H24)/100)+103/POWER(1+('CurrentPor-Equ Factor Movements'!D24+'CurrentPor-Equ Factor Movements'!H24)/100,2))*100</f>
        <v>9587.741782847821</v>
      </c>
      <c r="E24">
        <f>(3/(1+('CurrentPor-Equ Factor Movements'!C24+'CurrentPor-Equ Factor Movements'!I24)/100)+103/POWER(1+('CurrentPor-Equ Factor Movements'!D24+'CurrentPor-Equ Factor Movements'!I24)/100,2))*100</f>
        <v>9570.3761758867622</v>
      </c>
      <c r="F24">
        <f>Portfolio!B$5*'CurrentPor-Equ Factor Movements'!E24</f>
        <v>52143.895533915893</v>
      </c>
      <c r="G24">
        <f>Portfolio!B$6*'CurrentPor-Equ Factor Movements'!F24</f>
        <v>3696.2945087936532</v>
      </c>
      <c r="H24">
        <f>Portfolio!B$7*'CurrentPor-Equ Factor Movements'!J24</f>
        <v>2148.0998964419859</v>
      </c>
      <c r="I24">
        <f t="shared" si="0"/>
        <v>96471.706399740782</v>
      </c>
      <c r="J24">
        <f t="shared" si="1"/>
        <v>-8.0668058343289886</v>
      </c>
    </row>
    <row r="25" spans="1:10">
      <c r="A25" s="1">
        <v>45504</v>
      </c>
      <c r="B25">
        <f>(3/(1+('CurrentPor-Equ Factor Movements'!C25)/100)+103/POWER(1+('CurrentPor-Equ Factor Movements'!D25)/100,2))*100</f>
        <v>9707.5857774288397</v>
      </c>
      <c r="C25">
        <f>(3/(1+('CurrentPor-Equ Factor Movements'!C25+'CurrentPor-Equ Factor Movements'!G25)/100)+103/POWER(1+('CurrentPor-Equ Factor Movements'!D25+'CurrentPor-Equ Factor Movements'!G25)/100,2))*100</f>
        <v>9609.893889468236</v>
      </c>
      <c r="D25">
        <f>(3/(1+('CurrentPor-Equ Factor Movements'!C25+'CurrentPor-Equ Factor Movements'!H25)/100)+103/POWER(1+('CurrentPor-Equ Factor Movements'!D25+'CurrentPor-Equ Factor Movements'!H25)/100,2))*100</f>
        <v>9587.0261108158466</v>
      </c>
      <c r="E25">
        <f>(3/(1+('CurrentPor-Equ Factor Movements'!C25+'CurrentPor-Equ Factor Movements'!I25)/100)+103/POWER(1+('CurrentPor-Equ Factor Movements'!D25+'CurrentPor-Equ Factor Movements'!I25)/100,2))*100</f>
        <v>9585.2215346639932</v>
      </c>
      <c r="F25">
        <f>Portfolio!B$5*'CurrentPor-Equ Factor Movements'!E25</f>
        <v>52143.895533915893</v>
      </c>
      <c r="G25">
        <f>Portfolio!B$6*'CurrentPor-Equ Factor Movements'!F25</f>
        <v>3696.2945087936532</v>
      </c>
      <c r="H25">
        <f>Portfolio!B$7*'CurrentPor-Equ Factor Movements'!J25</f>
        <v>2148.0998964419859</v>
      </c>
      <c r="I25">
        <f t="shared" si="0"/>
        <v>96478.017251528436</v>
      </c>
      <c r="J25">
        <f t="shared" si="1"/>
        <v>-28.47667675523553</v>
      </c>
    </row>
    <row r="26" spans="1:10">
      <c r="A26" s="1">
        <v>45505</v>
      </c>
      <c r="B26">
        <f>(3/(1+('CurrentPor-Equ Factor Movements'!C26)/100)+103/POWER(1+('CurrentPor-Equ Factor Movements'!D26)/100,2))*100</f>
        <v>9707.5857774288397</v>
      </c>
      <c r="C26">
        <f>(3/(1+('CurrentPor-Equ Factor Movements'!C26+'CurrentPor-Equ Factor Movements'!G26)/100)+103/POWER(1+('CurrentPor-Equ Factor Movements'!D26+'CurrentPor-Equ Factor Movements'!G26)/100,2))*100</f>
        <v>9612.1849840062932</v>
      </c>
      <c r="D26">
        <f>(3/(1+('CurrentPor-Equ Factor Movements'!C26+'CurrentPor-Equ Factor Movements'!H26)/100)+103/POWER(1+('CurrentPor-Equ Factor Movements'!D26+'CurrentPor-Equ Factor Movements'!H26)/100,2))*100</f>
        <v>9598.5854776543893</v>
      </c>
      <c r="E26">
        <f>(3/(1+('CurrentPor-Equ Factor Movements'!C26+'CurrentPor-Equ Factor Movements'!I26)/100)+103/POWER(1+('CurrentPor-Equ Factor Movements'!D26+'CurrentPor-Equ Factor Movements'!I26)/100,2))*100</f>
        <v>9591.7347651572181</v>
      </c>
      <c r="F26">
        <f>Portfolio!B$5*'CurrentPor-Equ Factor Movements'!E26</f>
        <v>52143.895533915893</v>
      </c>
      <c r="G26">
        <f>Portfolio!B$6*'CurrentPor-Equ Factor Movements'!F26</f>
        <v>3696.2945087936532</v>
      </c>
      <c r="H26">
        <f>Portfolio!B$7*'CurrentPor-Equ Factor Movements'!J26</f>
        <v>2148.0998964419859</v>
      </c>
      <c r="I26">
        <f t="shared" si="0"/>
        <v>96498.380943398268</v>
      </c>
      <c r="J26">
        <f t="shared" si="1"/>
        <v>10.54389112519857</v>
      </c>
    </row>
    <row r="27" spans="1:10">
      <c r="A27" s="1">
        <v>45506</v>
      </c>
      <c r="B27">
        <f>(3/(1+('CurrentPor-Equ Factor Movements'!C27)/100)+103/POWER(1+('CurrentPor-Equ Factor Movements'!D27)/100,2))*100</f>
        <v>9707.5857774288397</v>
      </c>
      <c r="C27">
        <f>(3/(1+('CurrentPor-Equ Factor Movements'!C27+'CurrentPor-Equ Factor Movements'!G27)/100)+103/POWER(1+('CurrentPor-Equ Factor Movements'!D27+'CurrentPor-Equ Factor Movements'!G27)/100,2))*100</f>
        <v>9625.9869619291494</v>
      </c>
      <c r="D27">
        <f>(3/(1+('CurrentPor-Equ Factor Movements'!C27+'CurrentPor-Equ Factor Movements'!H27)/100)+103/POWER(1+('CurrentPor-Equ Factor Movements'!D27+'CurrentPor-Equ Factor Movements'!H27)/100,2))*100</f>
        <v>9603.8566869334627</v>
      </c>
      <c r="E27">
        <f>(3/(1+('CurrentPor-Equ Factor Movements'!C27+'CurrentPor-Equ Factor Movements'!I27)/100)+103/POWER(1+('CurrentPor-Equ Factor Movements'!D27+'CurrentPor-Equ Factor Movements'!I27)/100,2))*100</f>
        <v>9577.1750729760297</v>
      </c>
      <c r="F27">
        <f>Portfolio!B$5*'CurrentPor-Equ Factor Movements'!E27</f>
        <v>52143.895533915893</v>
      </c>
      <c r="G27">
        <f>Portfolio!B$6*'CurrentPor-Equ Factor Movements'!F27</f>
        <v>3696.2945087936532</v>
      </c>
      <c r="H27">
        <f>Portfolio!B$7*'CurrentPor-Equ Factor Movements'!J27</f>
        <v>2148.0998964419859</v>
      </c>
      <c r="I27">
        <f t="shared" si="0"/>
        <v>96502.894438419011</v>
      </c>
      <c r="J27">
        <f t="shared" si="1"/>
        <v>2.3055475324508734</v>
      </c>
    </row>
    <row r="28" spans="1:10">
      <c r="A28" s="1">
        <v>45509</v>
      </c>
      <c r="B28">
        <f>(3/(1+('CurrentPor-Equ Factor Movements'!C28)/100)+103/POWER(1+('CurrentPor-Equ Factor Movements'!D28)/100,2))*100</f>
        <v>9707.5857774288397</v>
      </c>
      <c r="C28">
        <f>(3/(1+('CurrentPor-Equ Factor Movements'!C28+'CurrentPor-Equ Factor Movements'!G28)/100)+103/POWER(1+('CurrentPor-Equ Factor Movements'!D28+'CurrentPor-Equ Factor Movements'!G28)/100,2))*100</f>
        <v>9610.3943011807551</v>
      </c>
      <c r="D28">
        <f>(3/(1+('CurrentPor-Equ Factor Movements'!C28+'CurrentPor-Equ Factor Movements'!H28)/100)+103/POWER(1+('CurrentPor-Equ Factor Movements'!D28+'CurrentPor-Equ Factor Movements'!H28)/100,2))*100</f>
        <v>9599.2871741419713</v>
      </c>
      <c r="E28">
        <f>(3/(1+('CurrentPor-Equ Factor Movements'!C28+'CurrentPor-Equ Factor Movements'!I28)/100)+103/POWER(1+('CurrentPor-Equ Factor Movements'!D28+'CurrentPor-Equ Factor Movements'!I28)/100,2))*100</f>
        <v>9593.0288264503997</v>
      </c>
      <c r="F28">
        <f>Portfolio!B$5*'CurrentPor-Equ Factor Movements'!E28</f>
        <v>52143.895533915893</v>
      </c>
      <c r="G28">
        <f>Portfolio!B$6*'CurrentPor-Equ Factor Movements'!F28</f>
        <v>3696.2945087936532</v>
      </c>
      <c r="H28">
        <f>Portfolio!B$7*'CurrentPor-Equ Factor Movements'!J28</f>
        <v>2148.0998964419859</v>
      </c>
      <c r="I28">
        <f t="shared" si="0"/>
        <v>96498.586018353497</v>
      </c>
      <c r="J28">
        <f t="shared" si="1"/>
        <v>43.130531784714549</v>
      </c>
    </row>
    <row r="29" spans="1:10">
      <c r="A29" s="1">
        <v>45510</v>
      </c>
      <c r="B29">
        <f>(3/(1+('CurrentPor-Equ Factor Movements'!C29)/100)+103/POWER(1+('CurrentPor-Equ Factor Movements'!D29)/100,2))*100</f>
        <v>9707.5857774288397</v>
      </c>
      <c r="C29">
        <f>(3/(1+('CurrentPor-Equ Factor Movements'!C29+'CurrentPor-Equ Factor Movements'!G29)/100)+103/POWER(1+('CurrentPor-Equ Factor Movements'!D29+'CurrentPor-Equ Factor Movements'!G29)/100,2))*100</f>
        <v>9610.8409319999428</v>
      </c>
      <c r="D29">
        <f>(3/(1+('CurrentPor-Equ Factor Movements'!C29+'CurrentPor-Equ Factor Movements'!H29)/100)+103/POWER(1+('CurrentPor-Equ Factor Movements'!D29+'CurrentPor-Equ Factor Movements'!H29)/100,2))*100</f>
        <v>9591.877277112786</v>
      </c>
      <c r="E29">
        <f>(3/(1+('CurrentPor-Equ Factor Movements'!C29+'CurrentPor-Equ Factor Movements'!I29)/100)+103/POWER(1+('CurrentPor-Equ Factor Movements'!D29+'CurrentPor-Equ Factor Movements'!I29)/100,2))*100</f>
        <v>9584.5545204923292</v>
      </c>
      <c r="F29">
        <f>Portfolio!B$5*'CurrentPor-Equ Factor Movements'!E29</f>
        <v>52143.895533915893</v>
      </c>
      <c r="G29">
        <f>Portfolio!B$6*'CurrentPor-Equ Factor Movements'!F29</f>
        <v>3696.2945087936532</v>
      </c>
      <c r="H29">
        <f>Portfolio!B$7*'CurrentPor-Equ Factor Movements'!J29</f>
        <v>2148.0998964419859</v>
      </c>
      <c r="I29">
        <f t="shared" si="0"/>
        <v>96483.148446185442</v>
      </c>
      <c r="J29">
        <f t="shared" si="1"/>
        <v>-24.850492381883669</v>
      </c>
    </row>
    <row r="30" spans="1:10">
      <c r="A30" s="1">
        <v>45511</v>
      </c>
      <c r="B30">
        <f>(3/(1+('CurrentPor-Equ Factor Movements'!C30)/100)+103/POWER(1+('CurrentPor-Equ Factor Movements'!D30)/100,2))*100</f>
        <v>9707.5857774288397</v>
      </c>
      <c r="C30">
        <f>(3/(1+('CurrentPor-Equ Factor Movements'!C30+'CurrentPor-Equ Factor Movements'!G30)/100)+103/POWER(1+('CurrentPor-Equ Factor Movements'!D30+'CurrentPor-Equ Factor Movements'!G30)/100,2))*100</f>
        <v>9620.837130164442</v>
      </c>
      <c r="D30">
        <f>(3/(1+('CurrentPor-Equ Factor Movements'!C30+'CurrentPor-Equ Factor Movements'!H30)/100)+103/POWER(1+('CurrentPor-Equ Factor Movements'!D30+'CurrentPor-Equ Factor Movements'!H30)/100,2))*100</f>
        <v>9596.2636434774704</v>
      </c>
      <c r="E30">
        <f>(3/(1+('CurrentPor-Equ Factor Movements'!C30+'CurrentPor-Equ Factor Movements'!I30)/100)+103/POWER(1+('CurrentPor-Equ Factor Movements'!D30+'CurrentPor-Equ Factor Movements'!I30)/100,2))*100</f>
        <v>9577.4296111919321</v>
      </c>
      <c r="F30">
        <f>Portfolio!B$5*'CurrentPor-Equ Factor Movements'!E30</f>
        <v>52143.895533915893</v>
      </c>
      <c r="G30">
        <f>Portfolio!B$6*'CurrentPor-Equ Factor Movements'!F30</f>
        <v>3696.2945087936532</v>
      </c>
      <c r="H30">
        <f>Portfolio!B$7*'CurrentPor-Equ Factor Movements'!J30</f>
        <v>2148.0998964419859</v>
      </c>
      <c r="I30">
        <f t="shared" si="0"/>
        <v>96490.406101414221</v>
      </c>
      <c r="J30">
        <f t="shared" si="1"/>
        <v>-21.550759836361976</v>
      </c>
    </row>
    <row r="31" spans="1:10">
      <c r="A31" s="1">
        <v>45512</v>
      </c>
      <c r="B31">
        <f>(3/(1+('CurrentPor-Equ Factor Movements'!C31)/100)+103/POWER(1+('CurrentPor-Equ Factor Movements'!D31)/100,2))*100</f>
        <v>9707.5857774288397</v>
      </c>
      <c r="C31">
        <f>(3/(1+('CurrentPor-Equ Factor Movements'!C31+'CurrentPor-Equ Factor Movements'!G31)/100)+103/POWER(1+('CurrentPor-Equ Factor Movements'!D31+'CurrentPor-Equ Factor Movements'!G31)/100,2))*100</f>
        <v>9596.8739181984201</v>
      </c>
      <c r="D31">
        <f>(3/(1+('CurrentPor-Equ Factor Movements'!C31+'CurrentPor-Equ Factor Movements'!H31)/100)+103/POWER(1+('CurrentPor-Equ Factor Movements'!D31+'CurrentPor-Equ Factor Movements'!H31)/100,2))*100</f>
        <v>9599.3375593100063</v>
      </c>
      <c r="E31">
        <f>(3/(1+('CurrentPor-Equ Factor Movements'!C31+'CurrentPor-Equ Factor Movements'!I31)/100)+103/POWER(1+('CurrentPor-Equ Factor Movements'!D31+'CurrentPor-Equ Factor Movements'!I31)/100,2))*100</f>
        <v>9561.1781162876941</v>
      </c>
      <c r="F31">
        <f>Portfolio!B$5*'CurrentPor-Equ Factor Movements'!E31</f>
        <v>52143.895533915893</v>
      </c>
      <c r="G31">
        <f>Portfolio!B$6*'CurrentPor-Equ Factor Movements'!F31</f>
        <v>3696.2945087936532</v>
      </c>
      <c r="H31">
        <f>Portfolio!B$7*'CurrentPor-Equ Factor Movements'!J31</f>
        <v>2148.0998964419859</v>
      </c>
      <c r="I31">
        <f t="shared" si="0"/>
        <v>96453.26531037649</v>
      </c>
      <c r="J31">
        <f t="shared" si="1"/>
        <v>-17.764848240811261</v>
      </c>
    </row>
    <row r="32" spans="1:10">
      <c r="A32" s="1">
        <v>45513</v>
      </c>
      <c r="B32">
        <f>(3/(1+('CurrentPor-Equ Factor Movements'!C32)/100)+103/POWER(1+('CurrentPor-Equ Factor Movements'!D32)/100,2))*100</f>
        <v>9707.5857774288397</v>
      </c>
      <c r="C32">
        <f>(3/(1+('CurrentPor-Equ Factor Movements'!C32+'CurrentPor-Equ Factor Movements'!G32)/100)+103/POWER(1+('CurrentPor-Equ Factor Movements'!D32+'CurrentPor-Equ Factor Movements'!G32)/100,2))*100</f>
        <v>9615.4554556448911</v>
      </c>
      <c r="D32">
        <f>(3/(1+('CurrentPor-Equ Factor Movements'!C32+'CurrentPor-Equ Factor Movements'!H32)/100)+103/POWER(1+('CurrentPor-Equ Factor Movements'!D32+'CurrentPor-Equ Factor Movements'!H32)/100,2))*100</f>
        <v>9592.5754135897623</v>
      </c>
      <c r="E32">
        <f>(3/(1+('CurrentPor-Equ Factor Movements'!C32+'CurrentPor-Equ Factor Movements'!I32)/100)+103/POWER(1+('CurrentPor-Equ Factor Movements'!D32+'CurrentPor-Equ Factor Movements'!I32)/100,2))*100</f>
        <v>9580.8587933303934</v>
      </c>
      <c r="F32">
        <f>Portfolio!B$5*'CurrentPor-Equ Factor Movements'!E32</f>
        <v>52143.895533915893</v>
      </c>
      <c r="G32">
        <f>Portfolio!B$6*'CurrentPor-Equ Factor Movements'!F32</f>
        <v>3696.2945087936532</v>
      </c>
      <c r="H32">
        <f>Portfolio!B$7*'CurrentPor-Equ Factor Movements'!J32</f>
        <v>2148.0998964419859</v>
      </c>
      <c r="I32">
        <f t="shared" si="0"/>
        <v>96484.765379145407</v>
      </c>
      <c r="J32">
        <f t="shared" si="1"/>
        <v>5.006220763665624</v>
      </c>
    </row>
    <row r="33" spans="1:10">
      <c r="A33" s="1">
        <v>45516</v>
      </c>
      <c r="B33">
        <f>(3/(1+('CurrentPor-Equ Factor Movements'!C33)/100)+103/POWER(1+('CurrentPor-Equ Factor Movements'!D33)/100,2))*100</f>
        <v>9707.5857774288397</v>
      </c>
      <c r="C33">
        <f>(3/(1+('CurrentPor-Equ Factor Movements'!C33+'CurrentPor-Equ Factor Movements'!G33)/100)+103/POWER(1+('CurrentPor-Equ Factor Movements'!D33+'CurrentPor-Equ Factor Movements'!G33)/100,2))*100</f>
        <v>9623.0314109702977</v>
      </c>
      <c r="D33">
        <f>(3/(1+('CurrentPor-Equ Factor Movements'!C33+'CurrentPor-Equ Factor Movements'!H33)/100)+103/POWER(1+('CurrentPor-Equ Factor Movements'!D33+'CurrentPor-Equ Factor Movements'!H33)/100,2))*100</f>
        <v>9613.3584542878034</v>
      </c>
      <c r="E33">
        <f>(3/(1+('CurrentPor-Equ Factor Movements'!C33+'CurrentPor-Equ Factor Movements'!I33)/100)+103/POWER(1+('CurrentPor-Equ Factor Movements'!D33+'CurrentPor-Equ Factor Movements'!I33)/100,2))*100</f>
        <v>9575.1823876153994</v>
      </c>
      <c r="F33">
        <f>Portfolio!B$5*'CurrentPor-Equ Factor Movements'!E33</f>
        <v>52143.895533915893</v>
      </c>
      <c r="G33">
        <f>Portfolio!B$6*'CurrentPor-Equ Factor Movements'!F33</f>
        <v>3696.2945087936532</v>
      </c>
      <c r="H33">
        <f>Portfolio!B$7*'CurrentPor-Equ Factor Movements'!J33</f>
        <v>2148.0998964419859</v>
      </c>
      <c r="I33">
        <f t="shared" si="0"/>
        <v>96507.447969453875</v>
      </c>
      <c r="J33">
        <f t="shared" si="1"/>
        <v>15.930160768140922</v>
      </c>
    </row>
    <row r="34" spans="1:10">
      <c r="A34" s="1">
        <v>45517</v>
      </c>
      <c r="B34">
        <f>(3/(1+('CurrentPor-Equ Factor Movements'!C34)/100)+103/POWER(1+('CurrentPor-Equ Factor Movements'!D34)/100,2))*100</f>
        <v>9707.5857774288397</v>
      </c>
      <c r="C34">
        <f>(3/(1+('CurrentPor-Equ Factor Movements'!C34+'CurrentPor-Equ Factor Movements'!G34)/100)+103/POWER(1+('CurrentPor-Equ Factor Movements'!D34+'CurrentPor-Equ Factor Movements'!G34)/100,2))*100</f>
        <v>9622.319492228462</v>
      </c>
      <c r="D34">
        <f>(3/(1+('CurrentPor-Equ Factor Movements'!C34+'CurrentPor-Equ Factor Movements'!H34)/100)+103/POWER(1+('CurrentPor-Equ Factor Movements'!D34+'CurrentPor-Equ Factor Movements'!H34)/100,2))*100</f>
        <v>9599.9734912089752</v>
      </c>
      <c r="E34">
        <f>(3/(1+('CurrentPor-Equ Factor Movements'!C34+'CurrentPor-Equ Factor Movements'!I34)/100)+103/POWER(1+('CurrentPor-Equ Factor Movements'!D34+'CurrentPor-Equ Factor Movements'!I34)/100,2))*100</f>
        <v>9584.3147758954219</v>
      </c>
      <c r="F34">
        <f>Portfolio!B$5*'CurrentPor-Equ Factor Movements'!E34</f>
        <v>52143.895533915893</v>
      </c>
      <c r="G34">
        <f>Portfolio!B$6*'CurrentPor-Equ Factor Movements'!F34</f>
        <v>3696.2945087936532</v>
      </c>
      <c r="H34">
        <f>Portfolio!B$7*'CurrentPor-Equ Factor Movements'!J34</f>
        <v>2148.0998964419859</v>
      </c>
      <c r="I34">
        <f t="shared" si="0"/>
        <v>96502.483475913221</v>
      </c>
      <c r="J34">
        <f t="shared" si="1"/>
        <v>30.777076172438683</v>
      </c>
    </row>
    <row r="35" spans="1:10">
      <c r="A35" s="1">
        <v>45518</v>
      </c>
      <c r="B35">
        <f>(3/(1+('CurrentPor-Equ Factor Movements'!C35)/100)+103/POWER(1+('CurrentPor-Equ Factor Movements'!D35)/100,2))*100</f>
        <v>9707.5857774288397</v>
      </c>
      <c r="C35">
        <f>(3/(1+('CurrentPor-Equ Factor Movements'!C35+'CurrentPor-Equ Factor Movements'!G35)/100)+103/POWER(1+('CurrentPor-Equ Factor Movements'!D35+'CurrentPor-Equ Factor Movements'!G35)/100,2))*100</f>
        <v>9617.1282429112161</v>
      </c>
      <c r="D35">
        <f>(3/(1+('CurrentPor-Equ Factor Movements'!C35+'CurrentPor-Equ Factor Movements'!H35)/100)+103/POWER(1+('CurrentPor-Equ Factor Movements'!D35+'CurrentPor-Equ Factor Movements'!H35)/100,2))*100</f>
        <v>9617.4544300445614</v>
      </c>
      <c r="E35">
        <f>(3/(1+('CurrentPor-Equ Factor Movements'!C35+'CurrentPor-Equ Factor Movements'!I35)/100)+103/POWER(1+('CurrentPor-Equ Factor Movements'!D35+'CurrentPor-Equ Factor Movements'!I35)/100,2))*100</f>
        <v>9589.0870386944407</v>
      </c>
      <c r="F35">
        <f>Portfolio!B$5*'CurrentPor-Equ Factor Movements'!E35</f>
        <v>52143.895533915893</v>
      </c>
      <c r="G35">
        <f>Portfolio!B$6*'CurrentPor-Equ Factor Movements'!F35</f>
        <v>3696.2945087936532</v>
      </c>
      <c r="H35">
        <f>Portfolio!B$7*'CurrentPor-Equ Factor Movements'!J35</f>
        <v>2148.0998964419859</v>
      </c>
      <c r="I35">
        <f t="shared" si="0"/>
        <v>96519.545428230587</v>
      </c>
      <c r="J35">
        <f t="shared" si="1"/>
        <v>41.528176702151541</v>
      </c>
    </row>
    <row r="36" spans="1:10">
      <c r="A36" s="1">
        <v>45519</v>
      </c>
      <c r="B36">
        <f>(3/(1+('CurrentPor-Equ Factor Movements'!C36)/100)+103/POWER(1+('CurrentPor-Equ Factor Movements'!D36)/100,2))*100</f>
        <v>9707.5857774288397</v>
      </c>
      <c r="C36">
        <f>(3/(1+('CurrentPor-Equ Factor Movements'!C36+'CurrentPor-Equ Factor Movements'!G36)/100)+103/POWER(1+('CurrentPor-Equ Factor Movements'!D36+'CurrentPor-Equ Factor Movements'!G36)/100,2))*100</f>
        <v>9630.2379964306856</v>
      </c>
      <c r="D36">
        <f>(3/(1+('CurrentPor-Equ Factor Movements'!C36+'CurrentPor-Equ Factor Movements'!H36)/100)+103/POWER(1+('CurrentPor-Equ Factor Movements'!D36+'CurrentPor-Equ Factor Movements'!H36)/100,2))*100</f>
        <v>9606.4378919718929</v>
      </c>
      <c r="E36">
        <f>(3/(1+('CurrentPor-Equ Factor Movements'!C36+'CurrentPor-Equ Factor Movements'!I36)/100)+103/POWER(1+('CurrentPor-Equ Factor Movements'!D36+'CurrentPor-Equ Factor Movements'!I36)/100,2))*100</f>
        <v>9578.468448491707</v>
      </c>
      <c r="F36">
        <f>Portfolio!B$5*'CurrentPor-Equ Factor Movements'!E36</f>
        <v>52143.895533915893</v>
      </c>
      <c r="G36">
        <f>Portfolio!B$6*'CurrentPor-Equ Factor Movements'!F36</f>
        <v>3696.2945087936532</v>
      </c>
      <c r="H36">
        <f>Portfolio!B$7*'CurrentPor-Equ Factor Movements'!J36</f>
        <v>2148.0998964419859</v>
      </c>
      <c r="I36">
        <f t="shared" si="0"/>
        <v>96511.020053474655</v>
      </c>
      <c r="J36">
        <f t="shared" si="1"/>
        <v>12.639110076386714</v>
      </c>
    </row>
    <row r="37" spans="1:10">
      <c r="A37" s="1">
        <v>45520</v>
      </c>
      <c r="B37">
        <f>(3/(1+('CurrentPor-Equ Factor Movements'!C37)/100)+103/POWER(1+('CurrentPor-Equ Factor Movements'!D37)/100,2))*100</f>
        <v>9707.5857774288397</v>
      </c>
      <c r="C37">
        <f>(3/(1+('CurrentPor-Equ Factor Movements'!C37+'CurrentPor-Equ Factor Movements'!G37)/100)+103/POWER(1+('CurrentPor-Equ Factor Movements'!D37+'CurrentPor-Equ Factor Movements'!G37)/100,2))*100</f>
        <v>9620.0063513034584</v>
      </c>
      <c r="D37">
        <f>(3/(1+('CurrentPor-Equ Factor Movements'!C37+'CurrentPor-Equ Factor Movements'!H37)/100)+103/POWER(1+('CurrentPor-Equ Factor Movements'!D37+'CurrentPor-Equ Factor Movements'!H37)/100,2))*100</f>
        <v>9601.8396664140328</v>
      </c>
      <c r="E37">
        <f>(3/(1+('CurrentPor-Equ Factor Movements'!C37+'CurrentPor-Equ Factor Movements'!I37)/100)+103/POWER(1+('CurrentPor-Equ Factor Movements'!D37+'CurrentPor-Equ Factor Movements'!I37)/100,2))*100</f>
        <v>9564.3187110696017</v>
      </c>
      <c r="F37">
        <f>Portfolio!B$5*'CurrentPor-Equ Factor Movements'!E37</f>
        <v>52143.895533915893</v>
      </c>
      <c r="G37">
        <f>Portfolio!B$6*'CurrentPor-Equ Factor Movements'!F37</f>
        <v>3696.2945087936532</v>
      </c>
      <c r="H37">
        <f>Portfolio!B$7*'CurrentPor-Equ Factor Movements'!J37</f>
        <v>2148.0998964419859</v>
      </c>
      <c r="I37">
        <f t="shared" si="0"/>
        <v>96482.040445367471</v>
      </c>
      <c r="J37">
        <f t="shared" si="1"/>
        <v>-20.853993051539874</v>
      </c>
    </row>
    <row r="38" spans="1:10">
      <c r="A38" s="1">
        <v>45523</v>
      </c>
      <c r="B38">
        <f>(3/(1+('CurrentPor-Equ Factor Movements'!C38)/100)+103/POWER(1+('CurrentPor-Equ Factor Movements'!D38)/100,2))*100</f>
        <v>9707.5857774288397</v>
      </c>
      <c r="C38">
        <f>(3/(1+('CurrentPor-Equ Factor Movements'!C38+'CurrentPor-Equ Factor Movements'!G38)/100)+103/POWER(1+('CurrentPor-Equ Factor Movements'!D38+'CurrentPor-Equ Factor Movements'!G38)/100,2))*100</f>
        <v>9612.3205116491426</v>
      </c>
      <c r="D38">
        <f>(3/(1+('CurrentPor-Equ Factor Movements'!C38+'CurrentPor-Equ Factor Movements'!H38)/100)+103/POWER(1+('CurrentPor-Equ Factor Movements'!D38+'CurrentPor-Equ Factor Movements'!H38)/100,2))*100</f>
        <v>9592.6540931823893</v>
      </c>
      <c r="E38">
        <f>(3/(1+('CurrentPor-Equ Factor Movements'!C38+'CurrentPor-Equ Factor Movements'!I38)/100)+103/POWER(1+('CurrentPor-Equ Factor Movements'!D38+'CurrentPor-Equ Factor Movements'!I38)/100,2))*100</f>
        <v>9573.0263628158391</v>
      </c>
      <c r="F38">
        <f>Portfolio!B$5*'CurrentPor-Equ Factor Movements'!E38</f>
        <v>52143.895533915893</v>
      </c>
      <c r="G38">
        <f>Portfolio!B$6*'CurrentPor-Equ Factor Movements'!F38</f>
        <v>3696.2945087936532</v>
      </c>
      <c r="H38">
        <f>Portfolio!B$7*'CurrentPor-Equ Factor Movements'!J38</f>
        <v>2148.0998964419859</v>
      </c>
      <c r="I38">
        <f t="shared" si="0"/>
        <v>96473.87668422774</v>
      </c>
      <c r="J38">
        <f t="shared" si="1"/>
        <v>-24.709334125756868</v>
      </c>
    </row>
    <row r="39" spans="1:10">
      <c r="A39" s="1">
        <v>45524</v>
      </c>
      <c r="B39">
        <f>(3/(1+('CurrentPor-Equ Factor Movements'!C39)/100)+103/POWER(1+('CurrentPor-Equ Factor Movements'!D39)/100,2))*100</f>
        <v>9707.5857774288397</v>
      </c>
      <c r="C39">
        <f>(3/(1+('CurrentPor-Equ Factor Movements'!C39+'CurrentPor-Equ Factor Movements'!G39)/100)+103/POWER(1+('CurrentPor-Equ Factor Movements'!D39+'CurrentPor-Equ Factor Movements'!G39)/100,2))*100</f>
        <v>9619.505271041462</v>
      </c>
      <c r="D39">
        <f>(3/(1+('CurrentPor-Equ Factor Movements'!C39+'CurrentPor-Equ Factor Movements'!H39)/100)+103/POWER(1+('CurrentPor-Equ Factor Movements'!D39+'CurrentPor-Equ Factor Movements'!H39)/100,2))*100</f>
        <v>9625.1736156509251</v>
      </c>
      <c r="E39">
        <f>(3/(1+('CurrentPor-Equ Factor Movements'!C39+'CurrentPor-Equ Factor Movements'!I39)/100)+103/POWER(1+('CurrentPor-Equ Factor Movements'!D39+'CurrentPor-Equ Factor Movements'!I39)/100,2))*100</f>
        <v>9582.6314627629308</v>
      </c>
      <c r="F39">
        <f>Portfolio!B$5*'CurrentPor-Equ Factor Movements'!E39</f>
        <v>52143.895533915893</v>
      </c>
      <c r="G39">
        <f>Portfolio!B$6*'CurrentPor-Equ Factor Movements'!F39</f>
        <v>3696.2945087936532</v>
      </c>
      <c r="H39">
        <f>Portfolio!B$7*'CurrentPor-Equ Factor Movements'!J39</f>
        <v>2148.0998964419859</v>
      </c>
      <c r="I39">
        <f t="shared" si="0"/>
        <v>96523.186066035691</v>
      </c>
      <c r="J39">
        <f t="shared" si="1"/>
        <v>40.03761985024903</v>
      </c>
    </row>
    <row r="40" spans="1:10">
      <c r="A40" s="1">
        <v>45525</v>
      </c>
      <c r="B40">
        <f>(3/(1+('CurrentPor-Equ Factor Movements'!C40)/100)+103/POWER(1+('CurrentPor-Equ Factor Movements'!D40)/100,2))*100</f>
        <v>9707.5857774288397</v>
      </c>
      <c r="C40">
        <f>(3/(1+('CurrentPor-Equ Factor Movements'!C40+'CurrentPor-Equ Factor Movements'!G40)/100)+103/POWER(1+('CurrentPor-Equ Factor Movements'!D40+'CurrentPor-Equ Factor Movements'!G40)/100,2))*100</f>
        <v>9620.9791365195815</v>
      </c>
      <c r="D40">
        <f>(3/(1+('CurrentPor-Equ Factor Movements'!C40+'CurrentPor-Equ Factor Movements'!H40)/100)+103/POWER(1+('CurrentPor-Equ Factor Movements'!D40+'CurrentPor-Equ Factor Movements'!H40)/100,2))*100</f>
        <v>9600.2563841916035</v>
      </c>
      <c r="E40">
        <f>(3/(1+('CurrentPor-Equ Factor Movements'!C40+'CurrentPor-Equ Factor Movements'!I40)/100)+103/POWER(1+('CurrentPor-Equ Factor Movements'!D40+'CurrentPor-Equ Factor Movements'!I40)/100,2))*100</f>
        <v>9574.0649348016141</v>
      </c>
      <c r="F40">
        <f>Portfolio!B$5*'CurrentPor-Equ Factor Movements'!E40</f>
        <v>52143.895533915893</v>
      </c>
      <c r="G40">
        <f>Portfolio!B$6*'CurrentPor-Equ Factor Movements'!F40</f>
        <v>3696.2945087936532</v>
      </c>
      <c r="H40">
        <f>Portfolio!B$7*'CurrentPor-Equ Factor Movements'!J40</f>
        <v>2148.0998964419859</v>
      </c>
      <c r="I40">
        <f t="shared" si="0"/>
        <v>96491.176172093183</v>
      </c>
      <c r="J40">
        <f t="shared" si="1"/>
        <v>0.77007067896192893</v>
      </c>
    </row>
    <row r="41" spans="1:10">
      <c r="A41" s="1">
        <v>45526</v>
      </c>
      <c r="B41">
        <f>(3/(1+('CurrentPor-Equ Factor Movements'!C41)/100)+103/POWER(1+('CurrentPor-Equ Factor Movements'!D41)/100,2))*100</f>
        <v>9707.5857774288397</v>
      </c>
      <c r="C41">
        <f>(3/(1+('CurrentPor-Equ Factor Movements'!C41+'CurrentPor-Equ Factor Movements'!G41)/100)+103/POWER(1+('CurrentPor-Equ Factor Movements'!D41+'CurrentPor-Equ Factor Movements'!G41)/100,2))*100</f>
        <v>9620.7240730903341</v>
      </c>
      <c r="D41">
        <f>(3/(1+('CurrentPor-Equ Factor Movements'!C41+'CurrentPor-Equ Factor Movements'!H41)/100)+103/POWER(1+('CurrentPor-Equ Factor Movements'!D41+'CurrentPor-Equ Factor Movements'!H41)/100,2))*100</f>
        <v>9586.4686258215042</v>
      </c>
      <c r="E41">
        <f>(3/(1+('CurrentPor-Equ Factor Movements'!C41+'CurrentPor-Equ Factor Movements'!I41)/100)+103/POWER(1+('CurrentPor-Equ Factor Movements'!D41+'CurrentPor-Equ Factor Movements'!I41)/100,2))*100</f>
        <v>9588.58430509553</v>
      </c>
      <c r="F41">
        <f>Portfolio!B$5*'CurrentPor-Equ Factor Movements'!E41</f>
        <v>52143.895533915893</v>
      </c>
      <c r="G41">
        <f>Portfolio!B$6*'CurrentPor-Equ Factor Movements'!F41</f>
        <v>3696.2945087936532</v>
      </c>
      <c r="H41">
        <f>Portfolio!B$7*'CurrentPor-Equ Factor Movements'!J41</f>
        <v>2148.0998964419859</v>
      </c>
      <c r="I41">
        <f t="shared" si="0"/>
        <v>96491.65272058775</v>
      </c>
      <c r="J41">
        <f t="shared" si="1"/>
        <v>38.387410211260431</v>
      </c>
    </row>
    <row r="42" spans="1:10">
      <c r="A42" s="1">
        <v>45527</v>
      </c>
      <c r="B42">
        <f>(3/(1+('CurrentPor-Equ Factor Movements'!C42)/100)+103/POWER(1+('CurrentPor-Equ Factor Movements'!D42)/100,2))*100</f>
        <v>9707.5857774288397</v>
      </c>
      <c r="C42">
        <f>(3/(1+('CurrentPor-Equ Factor Movements'!C42+'CurrentPor-Equ Factor Movements'!G42)/100)+103/POWER(1+('CurrentPor-Equ Factor Movements'!D42+'CurrentPor-Equ Factor Movements'!G42)/100,2))*100</f>
        <v>9606.2092307556177</v>
      </c>
      <c r="D42">
        <f>(3/(1+('CurrentPor-Equ Factor Movements'!C42+'CurrentPor-Equ Factor Movements'!H42)/100)+103/POWER(1+('CurrentPor-Equ Factor Movements'!D42+'CurrentPor-Equ Factor Movements'!H42)/100,2))*100</f>
        <v>9600.8553312528566</v>
      </c>
      <c r="E42">
        <f>(3/(1+('CurrentPor-Equ Factor Movements'!C42+'CurrentPor-Equ Factor Movements'!I42)/100)+103/POWER(1+('CurrentPor-Equ Factor Movements'!D42+'CurrentPor-Equ Factor Movements'!I42)/100,2))*100</f>
        <v>9582.9211678215052</v>
      </c>
      <c r="F42">
        <f>Portfolio!B$5*'CurrentPor-Equ Factor Movements'!E42</f>
        <v>52143.895533915893</v>
      </c>
      <c r="G42">
        <f>Portfolio!B$6*'CurrentPor-Equ Factor Movements'!F42</f>
        <v>3696.2945087936532</v>
      </c>
      <c r="H42">
        <f>Portfolio!B$7*'CurrentPor-Equ Factor Movements'!J42</f>
        <v>2148.0998964419859</v>
      </c>
      <c r="I42">
        <f t="shared" si="0"/>
        <v>96485.861446410345</v>
      </c>
      <c r="J42">
        <f t="shared" si="1"/>
        <v>1.0960672649380285</v>
      </c>
    </row>
    <row r="43" spans="1:10">
      <c r="A43" s="1">
        <v>45530</v>
      </c>
      <c r="B43">
        <f>(3/(1+('CurrentPor-Equ Factor Movements'!C43)/100)+103/POWER(1+('CurrentPor-Equ Factor Movements'!D43)/100,2))*100</f>
        <v>9707.5857774288397</v>
      </c>
      <c r="C43">
        <f>(3/(1+('CurrentPor-Equ Factor Movements'!C43+'CurrentPor-Equ Factor Movements'!G43)/100)+103/POWER(1+('CurrentPor-Equ Factor Movements'!D43+'CurrentPor-Equ Factor Movements'!G43)/100,2))*100</f>
        <v>9622.2455595716456</v>
      </c>
      <c r="D43">
        <f>(3/(1+('CurrentPor-Equ Factor Movements'!C43+'CurrentPor-Equ Factor Movements'!H43)/100)+103/POWER(1+('CurrentPor-Equ Factor Movements'!D43+'CurrentPor-Equ Factor Movements'!H43)/100,2))*100</f>
        <v>9603.023883456457</v>
      </c>
      <c r="E43">
        <f>(3/(1+('CurrentPor-Equ Factor Movements'!C43+'CurrentPor-Equ Factor Movements'!I43)/100)+103/POWER(1+('CurrentPor-Equ Factor Movements'!D43+'CurrentPor-Equ Factor Movements'!I43)/100,2))*100</f>
        <v>9592.1647925052803</v>
      </c>
      <c r="F43">
        <f>Portfolio!B$5*'CurrentPor-Equ Factor Movements'!E43</f>
        <v>52143.895533915893</v>
      </c>
      <c r="G43">
        <f>Portfolio!B$6*'CurrentPor-Equ Factor Movements'!F43</f>
        <v>3696.2945087936532</v>
      </c>
      <c r="H43">
        <f>Portfolio!B$7*'CurrentPor-Equ Factor Movements'!J43</f>
        <v>2148.0998964419859</v>
      </c>
      <c r="I43">
        <f t="shared" si="0"/>
        <v>96513.309952113763</v>
      </c>
      <c r="J43">
        <f t="shared" si="1"/>
        <v>5.8619826598878717</v>
      </c>
    </row>
    <row r="44" spans="1:10">
      <c r="A44" s="1">
        <v>45531</v>
      </c>
      <c r="B44">
        <f>(3/(1+('CurrentPor-Equ Factor Movements'!C44)/100)+103/POWER(1+('CurrentPor-Equ Factor Movements'!D44)/100,2))*100</f>
        <v>9707.5857774288397</v>
      </c>
      <c r="C44">
        <f>(3/(1+('CurrentPor-Equ Factor Movements'!C44+'CurrentPor-Equ Factor Movements'!G44)/100)+103/POWER(1+('CurrentPor-Equ Factor Movements'!D44+'CurrentPor-Equ Factor Movements'!G44)/100,2))*100</f>
        <v>9617.8803195458022</v>
      </c>
      <c r="D44">
        <f>(3/(1+('CurrentPor-Equ Factor Movements'!C44+'CurrentPor-Equ Factor Movements'!H44)/100)+103/POWER(1+('CurrentPor-Equ Factor Movements'!D44+'CurrentPor-Equ Factor Movements'!H44)/100,2))*100</f>
        <v>9600.1944563179932</v>
      </c>
      <c r="E44">
        <f>(3/(1+('CurrentPor-Equ Factor Movements'!C44+'CurrentPor-Equ Factor Movements'!I44)/100)+103/POWER(1+('CurrentPor-Equ Factor Movements'!D44+'CurrentPor-Equ Factor Movements'!I44)/100,2))*100</f>
        <v>9574.7536717340699</v>
      </c>
      <c r="F44">
        <f>Portfolio!B$5*'CurrentPor-Equ Factor Movements'!E44</f>
        <v>52143.895533915893</v>
      </c>
      <c r="G44">
        <f>Portfolio!B$6*'CurrentPor-Equ Factor Movements'!F44</f>
        <v>3696.2945087936532</v>
      </c>
      <c r="H44">
        <f>Portfolio!B$7*'CurrentPor-Equ Factor Movements'!J44</f>
        <v>2148.0998964419859</v>
      </c>
      <c r="I44">
        <f t="shared" si="0"/>
        <v>96488.704164178242</v>
      </c>
      <c r="J44">
        <f t="shared" si="1"/>
        <v>-13.779311734979274</v>
      </c>
    </row>
    <row r="45" spans="1:10">
      <c r="A45" s="1">
        <v>45532</v>
      </c>
      <c r="B45">
        <f>(3/(1+('CurrentPor-Equ Factor Movements'!C45)/100)+103/POWER(1+('CurrentPor-Equ Factor Movements'!D45)/100,2))*100</f>
        <v>9707.5857774288397</v>
      </c>
      <c r="C45">
        <f>(3/(1+('CurrentPor-Equ Factor Movements'!C45+'CurrentPor-Equ Factor Movements'!G45)/100)+103/POWER(1+('CurrentPor-Equ Factor Movements'!D45+'CurrentPor-Equ Factor Movements'!G45)/100,2))*100</f>
        <v>9609.535706945433</v>
      </c>
      <c r="D45">
        <f>(3/(1+('CurrentPor-Equ Factor Movements'!C45+'CurrentPor-Equ Factor Movements'!H45)/100)+103/POWER(1+('CurrentPor-Equ Factor Movements'!D45+'CurrentPor-Equ Factor Movements'!H45)/100,2))*100</f>
        <v>9592.1522418989152</v>
      </c>
      <c r="E45">
        <f>(3/(1+('CurrentPor-Equ Factor Movements'!C45+'CurrentPor-Equ Factor Movements'!I45)/100)+103/POWER(1+('CurrentPor-Equ Factor Movements'!D45+'CurrentPor-Equ Factor Movements'!I45)/100,2))*100</f>
        <v>9571.6167387863989</v>
      </c>
      <c r="F45">
        <f>Portfolio!B$5*'CurrentPor-Equ Factor Movements'!E45</f>
        <v>52143.895533915893</v>
      </c>
      <c r="G45">
        <f>Portfolio!B$6*'CurrentPor-Equ Factor Movements'!F45</f>
        <v>3696.2945087936532</v>
      </c>
      <c r="H45">
        <f>Portfolio!B$7*'CurrentPor-Equ Factor Movements'!J45</f>
        <v>2148.0998964419859</v>
      </c>
      <c r="I45">
        <f t="shared" si="0"/>
        <v>96469.180404211118</v>
      </c>
      <c r="J45">
        <f t="shared" si="1"/>
        <v>-50.365024019469274</v>
      </c>
    </row>
    <row r="46" spans="1:10">
      <c r="A46" s="1">
        <v>45533</v>
      </c>
      <c r="B46">
        <f>(3/(1+('CurrentPor-Equ Factor Movements'!C46)/100)+103/POWER(1+('CurrentPor-Equ Factor Movements'!D46)/100,2))*100</f>
        <v>9707.5857774288397</v>
      </c>
      <c r="C46">
        <f>(3/(1+('CurrentPor-Equ Factor Movements'!C46+'CurrentPor-Equ Factor Movements'!G46)/100)+103/POWER(1+('CurrentPor-Equ Factor Movements'!D46+'CurrentPor-Equ Factor Movements'!G46)/100,2))*100</f>
        <v>9620.7403078958214</v>
      </c>
      <c r="D46">
        <f>(3/(1+('CurrentPor-Equ Factor Movements'!C46+'CurrentPor-Equ Factor Movements'!H46)/100)+103/POWER(1+('CurrentPor-Equ Factor Movements'!D46+'CurrentPor-Equ Factor Movements'!H46)/100,2))*100</f>
        <v>9584.8554013354878</v>
      </c>
      <c r="E46">
        <f>(3/(1+('CurrentPor-Equ Factor Movements'!C46+'CurrentPor-Equ Factor Movements'!I46)/100)+103/POWER(1+('CurrentPor-Equ Factor Movements'!D46+'CurrentPor-Equ Factor Movements'!I46)/100,2))*100</f>
        <v>9589.8382987553941</v>
      </c>
      <c r="F46">
        <f>Portfolio!B$5*'CurrentPor-Equ Factor Movements'!E46</f>
        <v>52143.895533915893</v>
      </c>
      <c r="G46">
        <f>Portfolio!B$6*'CurrentPor-Equ Factor Movements'!F46</f>
        <v>3696.2945087936532</v>
      </c>
      <c r="H46">
        <f>Portfolio!B$7*'CurrentPor-Equ Factor Movements'!J46</f>
        <v>2148.0998964419859</v>
      </c>
      <c r="I46">
        <f t="shared" si="0"/>
        <v>96491.309724567065</v>
      </c>
      <c r="J46">
        <f t="shared" si="1"/>
        <v>-19.710328907589428</v>
      </c>
    </row>
    <row r="47" spans="1:10">
      <c r="A47" s="1">
        <v>45534</v>
      </c>
      <c r="B47">
        <f>(3/(1+('CurrentPor-Equ Factor Movements'!C47)/100)+103/POWER(1+('CurrentPor-Equ Factor Movements'!D47)/100,2))*100</f>
        <v>9707.5857774288397</v>
      </c>
      <c r="C47">
        <f>(3/(1+('CurrentPor-Equ Factor Movements'!C47+'CurrentPor-Equ Factor Movements'!G47)/100)+103/POWER(1+('CurrentPor-Equ Factor Movements'!D47+'CurrentPor-Equ Factor Movements'!G47)/100,2))*100</f>
        <v>9603.2823225151369</v>
      </c>
      <c r="D47">
        <f>(3/(1+('CurrentPor-Equ Factor Movements'!C47+'CurrentPor-Equ Factor Movements'!H47)/100)+103/POWER(1+('CurrentPor-Equ Factor Movements'!D47+'CurrentPor-Equ Factor Movements'!H47)/100,2))*100</f>
        <v>9607.4381132118651</v>
      </c>
      <c r="E47">
        <f>(3/(1+('CurrentPor-Equ Factor Movements'!C47+'CurrentPor-Equ Factor Movements'!I47)/100)+103/POWER(1+('CurrentPor-Equ Factor Movements'!D47+'CurrentPor-Equ Factor Movements'!I47)/100,2))*100</f>
        <v>9569.5287104064355</v>
      </c>
      <c r="F47">
        <f>Portfolio!B$5*'CurrentPor-Equ Factor Movements'!E47</f>
        <v>52143.895533915893</v>
      </c>
      <c r="G47">
        <f>Portfolio!B$6*'CurrentPor-Equ Factor Movements'!F47</f>
        <v>3696.2945087936532</v>
      </c>
      <c r="H47">
        <f>Portfolio!B$7*'CurrentPor-Equ Factor Movements'!J47</f>
        <v>2148.0998964419859</v>
      </c>
      <c r="I47">
        <f t="shared" si="0"/>
        <v>96476.124862713812</v>
      </c>
      <c r="J47">
        <f t="shared" si="1"/>
        <v>-5.9155826536589302</v>
      </c>
    </row>
    <row r="48" spans="1:10">
      <c r="A48" s="1">
        <v>45537</v>
      </c>
      <c r="B48">
        <f>(3/(1+('CurrentPor-Equ Factor Movements'!C48)/100)+103/POWER(1+('CurrentPor-Equ Factor Movements'!D48)/100,2))*100</f>
        <v>9707.5857774288397</v>
      </c>
      <c r="C48">
        <f>(3/(1+('CurrentPor-Equ Factor Movements'!C48+'CurrentPor-Equ Factor Movements'!G48)/100)+103/POWER(1+('CurrentPor-Equ Factor Movements'!D48+'CurrentPor-Equ Factor Movements'!G48)/100,2))*100</f>
        <v>9619.8864647175669</v>
      </c>
      <c r="D48">
        <f>(3/(1+('CurrentPor-Equ Factor Movements'!C48+'CurrentPor-Equ Factor Movements'!H48)/100)+103/POWER(1+('CurrentPor-Equ Factor Movements'!D48+'CurrentPor-Equ Factor Movements'!H48)/100,2))*100</f>
        <v>9586.7124610970259</v>
      </c>
      <c r="E48">
        <f>(3/(1+('CurrentPor-Equ Factor Movements'!C48+'CurrentPor-Equ Factor Movements'!I48)/100)+103/POWER(1+('CurrentPor-Equ Factor Movements'!D48+'CurrentPor-Equ Factor Movements'!I48)/100,2))*100</f>
        <v>9590.3003375825592</v>
      </c>
      <c r="F48">
        <f>Portfolio!B$5*'CurrentPor-Equ Factor Movements'!E48</f>
        <v>52143.895533915893</v>
      </c>
      <c r="G48">
        <f>Portfolio!B$6*'CurrentPor-Equ Factor Movements'!F48</f>
        <v>3696.2945087936532</v>
      </c>
      <c r="H48">
        <f>Portfolio!B$7*'CurrentPor-Equ Factor Movements'!J48</f>
        <v>2148.0998964419859</v>
      </c>
      <c r="I48">
        <f t="shared" si="0"/>
        <v>96492.774979977519</v>
      </c>
      <c r="J48">
        <f t="shared" si="1"/>
        <v>18.898295749779209</v>
      </c>
    </row>
    <row r="49" spans="1:10">
      <c r="A49" s="1">
        <v>45538</v>
      </c>
      <c r="B49">
        <f>(3/(1+('CurrentPor-Equ Factor Movements'!C49)/100)+103/POWER(1+('CurrentPor-Equ Factor Movements'!D49)/100,2))*100</f>
        <v>9707.5857774288397</v>
      </c>
      <c r="C49">
        <f>(3/(1+('CurrentPor-Equ Factor Movements'!C49+'CurrentPor-Equ Factor Movements'!G49)/100)+103/POWER(1+('CurrentPor-Equ Factor Movements'!D49+'CurrentPor-Equ Factor Movements'!G49)/100,2))*100</f>
        <v>9621.1116909231405</v>
      </c>
      <c r="D49">
        <f>(3/(1+('CurrentPor-Equ Factor Movements'!C49+'CurrentPor-Equ Factor Movements'!H49)/100)+103/POWER(1+('CurrentPor-Equ Factor Movements'!D49+'CurrentPor-Equ Factor Movements'!H49)/100,2))*100</f>
        <v>9599.3409497911216</v>
      </c>
      <c r="E49">
        <f>(3/(1+('CurrentPor-Equ Factor Movements'!C49+'CurrentPor-Equ Factor Movements'!I49)/100)+103/POWER(1+('CurrentPor-Equ Factor Movements'!D49+'CurrentPor-Equ Factor Movements'!I49)/100,2))*100</f>
        <v>9590.3413399009332</v>
      </c>
      <c r="F49">
        <f>Portfolio!B$5*'CurrentPor-Equ Factor Movements'!E49</f>
        <v>52143.895533915893</v>
      </c>
      <c r="G49">
        <f>Portfolio!B$6*'CurrentPor-Equ Factor Movements'!F49</f>
        <v>3696.2945087936532</v>
      </c>
      <c r="H49">
        <f>Portfolio!B$7*'CurrentPor-Equ Factor Movements'!J49</f>
        <v>2148.0998964419859</v>
      </c>
      <c r="I49">
        <f t="shared" si="0"/>
        <v>96506.669697195568</v>
      </c>
      <c r="J49">
        <f t="shared" si="1"/>
        <v>-16.516368840122595</v>
      </c>
    </row>
    <row r="50" spans="1:10">
      <c r="A50" s="1">
        <v>45539</v>
      </c>
      <c r="B50">
        <f>(3/(1+('CurrentPor-Equ Factor Movements'!C50)/100)+103/POWER(1+('CurrentPor-Equ Factor Movements'!D50)/100,2))*100</f>
        <v>9707.5857774288397</v>
      </c>
      <c r="C50">
        <f>(3/(1+('CurrentPor-Equ Factor Movements'!C50+'CurrentPor-Equ Factor Movements'!G50)/100)+103/POWER(1+('CurrentPor-Equ Factor Movements'!D50+'CurrentPor-Equ Factor Movements'!G50)/100,2))*100</f>
        <v>9623.8039981162929</v>
      </c>
      <c r="D50">
        <f>(3/(1+('CurrentPor-Equ Factor Movements'!C50+'CurrentPor-Equ Factor Movements'!H50)/100)+103/POWER(1+('CurrentPor-Equ Factor Movements'!D50+'CurrentPor-Equ Factor Movements'!H50)/100,2))*100</f>
        <v>9590.2791506943104</v>
      </c>
      <c r="E50">
        <f>(3/(1+('CurrentPor-Equ Factor Movements'!C50+'CurrentPor-Equ Factor Movements'!I50)/100)+103/POWER(1+('CurrentPor-Equ Factor Movements'!D50+'CurrentPor-Equ Factor Movements'!I50)/100,2))*100</f>
        <v>9570.203985553504</v>
      </c>
      <c r="F50">
        <f>Portfolio!B$5*'CurrentPor-Equ Factor Movements'!E50</f>
        <v>52143.895533915893</v>
      </c>
      <c r="G50">
        <f>Portfolio!B$6*'CurrentPor-Equ Factor Movements'!F50</f>
        <v>3696.2945087936532</v>
      </c>
      <c r="H50">
        <f>Portfolio!B$7*'CurrentPor-Equ Factor Movements'!J50</f>
        <v>2148.0998964419859</v>
      </c>
      <c r="I50">
        <f t="shared" si="0"/>
        <v>96480.162850944485</v>
      </c>
      <c r="J50">
        <f t="shared" si="1"/>
        <v>-11.013321148697287</v>
      </c>
    </row>
    <row r="51" spans="1:10">
      <c r="A51" s="1">
        <v>45540</v>
      </c>
      <c r="B51">
        <f>(3/(1+('CurrentPor-Equ Factor Movements'!C51)/100)+103/POWER(1+('CurrentPor-Equ Factor Movements'!D51)/100,2))*100</f>
        <v>9707.5857774288397</v>
      </c>
      <c r="C51">
        <f>(3/(1+('CurrentPor-Equ Factor Movements'!C51+'CurrentPor-Equ Factor Movements'!G51)/100)+103/POWER(1+('CurrentPor-Equ Factor Movements'!D51+'CurrentPor-Equ Factor Movements'!G51)/100,2))*100</f>
        <v>9604.3032717480128</v>
      </c>
      <c r="D51">
        <f>(3/(1+('CurrentPor-Equ Factor Movements'!C51+'CurrentPor-Equ Factor Movements'!H51)/100)+103/POWER(1+('CurrentPor-Equ Factor Movements'!D51+'CurrentPor-Equ Factor Movements'!H51)/100,2))*100</f>
        <v>9608.3797827398648</v>
      </c>
      <c r="E51">
        <f>(3/(1+('CurrentPor-Equ Factor Movements'!C51+'CurrentPor-Equ Factor Movements'!I51)/100)+103/POWER(1+('CurrentPor-Equ Factor Movements'!D51+'CurrentPor-Equ Factor Movements'!I51)/100,2))*100</f>
        <v>9583.1846081654312</v>
      </c>
      <c r="F51">
        <f>Portfolio!B$5*'CurrentPor-Equ Factor Movements'!E51</f>
        <v>52143.895533915893</v>
      </c>
      <c r="G51">
        <f>Portfolio!B$6*'CurrentPor-Equ Factor Movements'!F51</f>
        <v>3696.2945087936532</v>
      </c>
      <c r="H51">
        <f>Portfolio!B$7*'CurrentPor-Equ Factor Movements'!J51</f>
        <v>2148.0998964419859</v>
      </c>
      <c r="I51">
        <f t="shared" si="0"/>
        <v>96491.743379233681</v>
      </c>
      <c r="J51">
        <f t="shared" si="1"/>
        <v>9.0658645931398496E-2</v>
      </c>
    </row>
    <row r="52" spans="1:10">
      <c r="A52" s="1">
        <v>45541</v>
      </c>
      <c r="B52">
        <f>(3/(1+('CurrentPor-Equ Factor Movements'!C52)/100)+103/POWER(1+('CurrentPor-Equ Factor Movements'!D52)/100,2))*100</f>
        <v>9707.5857774288397</v>
      </c>
      <c r="C52">
        <f>(3/(1+('CurrentPor-Equ Factor Movements'!C52+'CurrentPor-Equ Factor Movements'!G52)/100)+103/POWER(1+('CurrentPor-Equ Factor Movements'!D52+'CurrentPor-Equ Factor Movements'!G52)/100,2))*100</f>
        <v>9623.1942740500217</v>
      </c>
      <c r="D52">
        <f>(3/(1+('CurrentPor-Equ Factor Movements'!C52+'CurrentPor-Equ Factor Movements'!H52)/100)+103/POWER(1+('CurrentPor-Equ Factor Movements'!D52+'CurrentPor-Equ Factor Movements'!H52)/100,2))*100</f>
        <v>9604.4624135221475</v>
      </c>
      <c r="E52">
        <f>(3/(1+('CurrentPor-Equ Factor Movements'!C52+'CurrentPor-Equ Factor Movements'!I52)/100)+103/POWER(1+('CurrentPor-Equ Factor Movements'!D52+'CurrentPor-Equ Factor Movements'!I52)/100,2))*100</f>
        <v>9586.3687063495854</v>
      </c>
      <c r="F52">
        <f>Portfolio!B$5*'CurrentPor-Equ Factor Movements'!E52</f>
        <v>52143.895533915893</v>
      </c>
      <c r="G52">
        <f>Portfolio!B$6*'CurrentPor-Equ Factor Movements'!F52</f>
        <v>3696.2945087936532</v>
      </c>
      <c r="H52">
        <f>Portfolio!B$7*'CurrentPor-Equ Factor Movements'!J52</f>
        <v>2148.0998964419859</v>
      </c>
      <c r="I52">
        <f t="shared" si="0"/>
        <v>96509.90111050212</v>
      </c>
      <c r="J52">
        <f t="shared" si="1"/>
        <v>24.039664091775194</v>
      </c>
    </row>
    <row r="53" spans="1:10">
      <c r="A53" s="1">
        <v>45544</v>
      </c>
      <c r="B53">
        <f>(3/(1+('CurrentPor-Equ Factor Movements'!C53)/100)+103/POWER(1+('CurrentPor-Equ Factor Movements'!D53)/100,2))*100</f>
        <v>9707.5857774288397</v>
      </c>
      <c r="C53">
        <f>(3/(1+('CurrentPor-Equ Factor Movements'!C53+'CurrentPor-Equ Factor Movements'!G53)/100)+103/POWER(1+('CurrentPor-Equ Factor Movements'!D53+'CurrentPor-Equ Factor Movements'!G53)/100,2))*100</f>
        <v>9620.5508097506718</v>
      </c>
      <c r="D53">
        <f>(3/(1+('CurrentPor-Equ Factor Movements'!C53+'CurrentPor-Equ Factor Movements'!H53)/100)+103/POWER(1+('CurrentPor-Equ Factor Movements'!D53+'CurrentPor-Equ Factor Movements'!H53)/100,2))*100</f>
        <v>9590.9479606591613</v>
      </c>
      <c r="E53">
        <f>(3/(1+('CurrentPor-Equ Factor Movements'!C53+'CurrentPor-Equ Factor Movements'!I53)/100)+103/POWER(1+('CurrentPor-Equ Factor Movements'!D53+'CurrentPor-Equ Factor Movements'!I53)/100,2))*100</f>
        <v>9583.0441119525622</v>
      </c>
      <c r="F53">
        <f>Portfolio!B$5*'CurrentPor-Equ Factor Movements'!E53</f>
        <v>52143.895533915893</v>
      </c>
      <c r="G53">
        <f>Portfolio!B$6*'CurrentPor-Equ Factor Movements'!F53</f>
        <v>3696.2945087936532</v>
      </c>
      <c r="H53">
        <f>Portfolio!B$7*'CurrentPor-Equ Factor Movements'!J53</f>
        <v>2148.0998964419859</v>
      </c>
      <c r="I53">
        <f t="shared" si="0"/>
        <v>96490.418598942764</v>
      </c>
      <c r="J53">
        <f t="shared" si="1"/>
        <v>-22.891353170998627</v>
      </c>
    </row>
    <row r="54" spans="1:10">
      <c r="A54" s="1">
        <v>45545</v>
      </c>
      <c r="B54">
        <f>(3/(1+('CurrentPor-Equ Factor Movements'!C54)/100)+103/POWER(1+('CurrentPor-Equ Factor Movements'!D54)/100,2))*100</f>
        <v>9707.5857774288397</v>
      </c>
      <c r="C54">
        <f>(3/(1+('CurrentPor-Equ Factor Movements'!C54+'CurrentPor-Equ Factor Movements'!G54)/100)+103/POWER(1+('CurrentPor-Equ Factor Movements'!D54+'CurrentPor-Equ Factor Movements'!G54)/100,2))*100</f>
        <v>9630.8130237128153</v>
      </c>
      <c r="D54">
        <f>(3/(1+('CurrentPor-Equ Factor Movements'!C54+'CurrentPor-Equ Factor Movements'!H54)/100)+103/POWER(1+('CurrentPor-Equ Factor Movements'!D54+'CurrentPor-Equ Factor Movements'!H54)/100,2))*100</f>
        <v>9603.1969077089743</v>
      </c>
      <c r="E54">
        <f>(3/(1+('CurrentPor-Equ Factor Movements'!C54+'CurrentPor-Equ Factor Movements'!I54)/100)+103/POWER(1+('CurrentPor-Equ Factor Movements'!D54+'CurrentPor-Equ Factor Movements'!I54)/100,2))*100</f>
        <v>9566.6917537939989</v>
      </c>
      <c r="F54">
        <f>Portfolio!B$5*'CurrentPor-Equ Factor Movements'!E54</f>
        <v>52143.895533915893</v>
      </c>
      <c r="G54">
        <f>Portfolio!B$6*'CurrentPor-Equ Factor Movements'!F54</f>
        <v>3696.2945087936532</v>
      </c>
      <c r="H54">
        <f>Portfolio!B$7*'CurrentPor-Equ Factor Movements'!J54</f>
        <v>2148.0998964419859</v>
      </c>
      <c r="I54">
        <f t="shared" si="0"/>
        <v>96496.577401796167</v>
      </c>
      <c r="J54">
        <f t="shared" si="1"/>
        <v>7.8732376179250423</v>
      </c>
    </row>
    <row r="55" spans="1:10">
      <c r="A55" s="1">
        <v>45546</v>
      </c>
      <c r="B55">
        <f>(3/(1+('CurrentPor-Equ Factor Movements'!C55)/100)+103/POWER(1+('CurrentPor-Equ Factor Movements'!D55)/100,2))*100</f>
        <v>9707.5857774288397</v>
      </c>
      <c r="C55">
        <f>(3/(1+('CurrentPor-Equ Factor Movements'!C55+'CurrentPor-Equ Factor Movements'!G55)/100)+103/POWER(1+('CurrentPor-Equ Factor Movements'!D55+'CurrentPor-Equ Factor Movements'!G55)/100,2))*100</f>
        <v>9600.7064676520167</v>
      </c>
      <c r="D55">
        <f>(3/(1+('CurrentPor-Equ Factor Movements'!C55+'CurrentPor-Equ Factor Movements'!H55)/100)+103/POWER(1+('CurrentPor-Equ Factor Movements'!D55+'CurrentPor-Equ Factor Movements'!H55)/100,2))*100</f>
        <v>9580.4733691758465</v>
      </c>
      <c r="E55">
        <f>(3/(1+('CurrentPor-Equ Factor Movements'!C55+'CurrentPor-Equ Factor Movements'!I55)/100)+103/POWER(1+('CurrentPor-Equ Factor Movements'!D55+'CurrentPor-Equ Factor Movements'!I55)/100,2))*100</f>
        <v>9603.2309081021631</v>
      </c>
      <c r="F55">
        <f>Portfolio!B$5*'CurrentPor-Equ Factor Movements'!E55</f>
        <v>52143.895533915893</v>
      </c>
      <c r="G55">
        <f>Portfolio!B$6*'CurrentPor-Equ Factor Movements'!F55</f>
        <v>3696.2945087936532</v>
      </c>
      <c r="H55">
        <f>Portfolio!B$7*'CurrentPor-Equ Factor Movements'!J55</f>
        <v>2148.0998964419859</v>
      </c>
      <c r="I55">
        <f t="shared" si="0"/>
        <v>96480.28646151039</v>
      </c>
      <c r="J55">
        <f t="shared" si="1"/>
        <v>11.106057299271924</v>
      </c>
    </row>
    <row r="56" spans="1:10">
      <c r="A56" s="1">
        <v>45547</v>
      </c>
      <c r="B56">
        <f>(3/(1+('CurrentPor-Equ Factor Movements'!C56)/100)+103/POWER(1+('CurrentPor-Equ Factor Movements'!D56)/100,2))*100</f>
        <v>9707.5857774288397</v>
      </c>
      <c r="C56">
        <f>(3/(1+('CurrentPor-Equ Factor Movements'!C56+'CurrentPor-Equ Factor Movements'!G56)/100)+103/POWER(1+('CurrentPor-Equ Factor Movements'!D56+'CurrentPor-Equ Factor Movements'!G56)/100,2))*100</f>
        <v>9610.0043438819812</v>
      </c>
      <c r="D56">
        <f>(3/(1+('CurrentPor-Equ Factor Movements'!C56+'CurrentPor-Equ Factor Movements'!H56)/100)+103/POWER(1+('CurrentPor-Equ Factor Movements'!D56+'CurrentPor-Equ Factor Movements'!H56)/100,2))*100</f>
        <v>9598.1219188947234</v>
      </c>
      <c r="E56">
        <f>(3/(1+('CurrentPor-Equ Factor Movements'!C56+'CurrentPor-Equ Factor Movements'!I56)/100)+103/POWER(1+('CurrentPor-Equ Factor Movements'!D56+'CurrentPor-Equ Factor Movements'!I56)/100,2))*100</f>
        <v>9597.5296176276133</v>
      </c>
      <c r="F56">
        <f>Portfolio!B$5*'CurrentPor-Equ Factor Movements'!E56</f>
        <v>52143.895533915893</v>
      </c>
      <c r="G56">
        <f>Portfolio!B$6*'CurrentPor-Equ Factor Movements'!F56</f>
        <v>3696.2945087936532</v>
      </c>
      <c r="H56">
        <f>Portfolio!B$7*'CurrentPor-Equ Factor Movements'!J56</f>
        <v>2148.0998964419859</v>
      </c>
      <c r="I56">
        <f t="shared" si="0"/>
        <v>96501.5315969847</v>
      </c>
      <c r="J56">
        <f t="shared" si="1"/>
        <v>10.221872417634586</v>
      </c>
    </row>
    <row r="57" spans="1:10">
      <c r="A57" s="1">
        <v>45548</v>
      </c>
      <c r="B57">
        <f>(3/(1+('CurrentPor-Equ Factor Movements'!C57)/100)+103/POWER(1+('CurrentPor-Equ Factor Movements'!D57)/100,2))*100</f>
        <v>9707.5857774288397</v>
      </c>
      <c r="C57">
        <f>(3/(1+('CurrentPor-Equ Factor Movements'!C57+'CurrentPor-Equ Factor Movements'!G57)/100)+103/POWER(1+('CurrentPor-Equ Factor Movements'!D57+'CurrentPor-Equ Factor Movements'!G57)/100,2))*100</f>
        <v>9618.8118138276495</v>
      </c>
      <c r="D57">
        <f>(3/(1+('CurrentPor-Equ Factor Movements'!C57+'CurrentPor-Equ Factor Movements'!H57)/100)+103/POWER(1+('CurrentPor-Equ Factor Movements'!D57+'CurrentPor-Equ Factor Movements'!H57)/100,2))*100</f>
        <v>9603.0799390803713</v>
      </c>
      <c r="E57">
        <f>(3/(1+('CurrentPor-Equ Factor Movements'!C57+'CurrentPor-Equ Factor Movements'!I57)/100)+103/POWER(1+('CurrentPor-Equ Factor Movements'!D57+'CurrentPor-Equ Factor Movements'!I57)/100,2))*100</f>
        <v>9598.7927141535511</v>
      </c>
      <c r="F57">
        <f>Portfolio!B$5*'CurrentPor-Equ Factor Movements'!E57</f>
        <v>52143.895533915893</v>
      </c>
      <c r="G57">
        <f>Portfolio!B$6*'CurrentPor-Equ Factor Movements'!F57</f>
        <v>3696.2945087936532</v>
      </c>
      <c r="H57">
        <f>Portfolio!B$7*'CurrentPor-Equ Factor Movements'!J57</f>
        <v>2148.0998964419859</v>
      </c>
      <c r="I57">
        <f t="shared" si="0"/>
        <v>96516.560183641952</v>
      </c>
      <c r="J57">
        <f t="shared" si="1"/>
        <v>40.435320928139845</v>
      </c>
    </row>
    <row r="58" spans="1:10">
      <c r="A58" s="1">
        <v>45551</v>
      </c>
      <c r="B58">
        <f>(3/(1+('CurrentPor-Equ Factor Movements'!C58)/100)+103/POWER(1+('CurrentPor-Equ Factor Movements'!D58)/100,2))*100</f>
        <v>9707.5857774288397</v>
      </c>
      <c r="C58">
        <f>(3/(1+('CurrentPor-Equ Factor Movements'!C58+'CurrentPor-Equ Factor Movements'!G58)/100)+103/POWER(1+('CurrentPor-Equ Factor Movements'!D58+'CurrentPor-Equ Factor Movements'!G58)/100,2))*100</f>
        <v>9623.2126418042099</v>
      </c>
      <c r="D58">
        <f>(3/(1+('CurrentPor-Equ Factor Movements'!C58+'CurrentPor-Equ Factor Movements'!H58)/100)+103/POWER(1+('CurrentPor-Equ Factor Movements'!D58+'CurrentPor-Equ Factor Movements'!H58)/100,2))*100</f>
        <v>9605.1953984993343</v>
      </c>
      <c r="E58">
        <f>(3/(1+('CurrentPor-Equ Factor Movements'!C58+'CurrentPor-Equ Factor Movements'!I58)/100)+103/POWER(1+('CurrentPor-Equ Factor Movements'!D58+'CurrentPor-Equ Factor Movements'!I58)/100,2))*100</f>
        <v>9559.5181505570472</v>
      </c>
      <c r="F58">
        <f>Portfolio!B$5*'CurrentPor-Equ Factor Movements'!E58</f>
        <v>52143.895533915893</v>
      </c>
      <c r="G58">
        <f>Portfolio!B$6*'CurrentPor-Equ Factor Movements'!F58</f>
        <v>3696.2945087936532</v>
      </c>
      <c r="H58">
        <f>Portfolio!B$7*'CurrentPor-Equ Factor Movements'!J58</f>
        <v>2148.0998964419859</v>
      </c>
      <c r="I58">
        <f t="shared" si="0"/>
        <v>96483.801907440953</v>
      </c>
      <c r="J58">
        <f t="shared" si="1"/>
        <v>-8.9730725365661783</v>
      </c>
    </row>
    <row r="59" spans="1:10">
      <c r="A59" s="1">
        <v>45552</v>
      </c>
      <c r="B59">
        <f>(3/(1+('CurrentPor-Equ Factor Movements'!C59)/100)+103/POWER(1+('CurrentPor-Equ Factor Movements'!D59)/100,2))*100</f>
        <v>9707.5857774288397</v>
      </c>
      <c r="C59">
        <f>(3/(1+('CurrentPor-Equ Factor Movements'!C59+'CurrentPor-Equ Factor Movements'!G59)/100)+103/POWER(1+('CurrentPor-Equ Factor Movements'!D59+'CurrentPor-Equ Factor Movements'!G59)/100,2))*100</f>
        <v>9617.7584473927163</v>
      </c>
      <c r="D59">
        <f>(3/(1+('CurrentPor-Equ Factor Movements'!C59+'CurrentPor-Equ Factor Movements'!H59)/100)+103/POWER(1+('CurrentPor-Equ Factor Movements'!D59+'CurrentPor-Equ Factor Movements'!H59)/100,2))*100</f>
        <v>9598.3132895021263</v>
      </c>
      <c r="E59">
        <f>(3/(1+('CurrentPor-Equ Factor Movements'!C59+'CurrentPor-Equ Factor Movements'!I59)/100)+103/POWER(1+('CurrentPor-Equ Factor Movements'!D59+'CurrentPor-Equ Factor Movements'!I59)/100,2))*100</f>
        <v>9582.4901781625395</v>
      </c>
      <c r="F59">
        <f>Portfolio!B$5*'CurrentPor-Equ Factor Movements'!E59</f>
        <v>52143.895533915893</v>
      </c>
      <c r="G59">
        <f>Portfolio!B$6*'CurrentPor-Equ Factor Movements'!F59</f>
        <v>3696.2945087936532</v>
      </c>
      <c r="H59">
        <f>Portfolio!B$7*'CurrentPor-Equ Factor Movements'!J59</f>
        <v>2148.0998964419859</v>
      </c>
      <c r="I59">
        <f t="shared" si="0"/>
        <v>96494.437631637746</v>
      </c>
      <c r="J59">
        <f t="shared" si="1"/>
        <v>-12.232065557822352</v>
      </c>
    </row>
    <row r="60" spans="1:10">
      <c r="A60" s="1">
        <v>45553</v>
      </c>
      <c r="B60">
        <f>(3/(1+('CurrentPor-Equ Factor Movements'!C60)/100)+103/POWER(1+('CurrentPor-Equ Factor Movements'!D60)/100,2))*100</f>
        <v>9707.5857774288397</v>
      </c>
      <c r="C60">
        <f>(3/(1+('CurrentPor-Equ Factor Movements'!C60+'CurrentPor-Equ Factor Movements'!G60)/100)+103/POWER(1+('CurrentPor-Equ Factor Movements'!D60+'CurrentPor-Equ Factor Movements'!G60)/100,2))*100</f>
        <v>9609.9966404531206</v>
      </c>
      <c r="D60">
        <f>(3/(1+('CurrentPor-Equ Factor Movements'!C60+'CurrentPor-Equ Factor Movements'!H60)/100)+103/POWER(1+('CurrentPor-Equ Factor Movements'!D60+'CurrentPor-Equ Factor Movements'!H60)/100,2))*100</f>
        <v>9608.5822044513552</v>
      </c>
      <c r="E60">
        <f>(3/(1+('CurrentPor-Equ Factor Movements'!C60+'CurrentPor-Equ Factor Movements'!I60)/100)+103/POWER(1+('CurrentPor-Equ Factor Movements'!D60+'CurrentPor-Equ Factor Movements'!I60)/100,2))*100</f>
        <v>9566.4347514590008</v>
      </c>
      <c r="F60">
        <f>Portfolio!B$5*'CurrentPor-Equ Factor Movements'!E60</f>
        <v>52143.895533915893</v>
      </c>
      <c r="G60">
        <f>Portfolio!B$6*'CurrentPor-Equ Factor Movements'!F60</f>
        <v>3696.2945087936532</v>
      </c>
      <c r="H60">
        <f>Portfolio!B$7*'CurrentPor-Equ Factor Movements'!J60</f>
        <v>2148.0998964419859</v>
      </c>
      <c r="I60">
        <f t="shared" si="0"/>
        <v>96480.889312943837</v>
      </c>
      <c r="J60">
        <f t="shared" si="1"/>
        <v>0.72646199935115874</v>
      </c>
    </row>
    <row r="61" spans="1:10">
      <c r="A61" s="1">
        <v>45554</v>
      </c>
      <c r="B61">
        <f>(3/(1+('CurrentPor-Equ Factor Movements'!C61)/100)+103/POWER(1+('CurrentPor-Equ Factor Movements'!D61)/100,2))*100</f>
        <v>9707.5857774288397</v>
      </c>
      <c r="C61">
        <f>(3/(1+('CurrentPor-Equ Factor Movements'!C61+'CurrentPor-Equ Factor Movements'!G61)/100)+103/POWER(1+('CurrentPor-Equ Factor Movements'!D61+'CurrentPor-Equ Factor Movements'!G61)/100,2))*100</f>
        <v>9604.9900886609539</v>
      </c>
      <c r="D61">
        <f>(3/(1+('CurrentPor-Equ Factor Movements'!C61+'CurrentPor-Equ Factor Movements'!H61)/100)+103/POWER(1+('CurrentPor-Equ Factor Movements'!D61+'CurrentPor-Equ Factor Movements'!H61)/100,2))*100</f>
        <v>9597.8726714890636</v>
      </c>
      <c r="E61">
        <f>(3/(1+('CurrentPor-Equ Factor Movements'!C61+'CurrentPor-Equ Factor Movements'!I61)/100)+103/POWER(1+('CurrentPor-Equ Factor Movements'!D61+'CurrentPor-Equ Factor Movements'!I61)/100,2))*100</f>
        <v>9592.7661357415473</v>
      </c>
      <c r="F61">
        <f>Portfolio!B$5*'CurrentPor-Equ Factor Movements'!E61</f>
        <v>52143.895533915893</v>
      </c>
      <c r="G61">
        <f>Portfolio!B$6*'CurrentPor-Equ Factor Movements'!F61</f>
        <v>3696.2945087936532</v>
      </c>
      <c r="H61">
        <f>Portfolio!B$7*'CurrentPor-Equ Factor Movements'!J61</f>
        <v>2148.0998964419859</v>
      </c>
      <c r="I61">
        <f t="shared" si="0"/>
        <v>96491.504612471937</v>
      </c>
      <c r="J61">
        <f t="shared" si="1"/>
        <v>-0.23876676174404565</v>
      </c>
    </row>
    <row r="62" spans="1:10">
      <c r="A62" s="1">
        <v>45555</v>
      </c>
      <c r="B62">
        <f>(3/(1+('CurrentPor-Equ Factor Movements'!C62)/100)+103/POWER(1+('CurrentPor-Equ Factor Movements'!D62)/100,2))*100</f>
        <v>9707.5857774288397</v>
      </c>
      <c r="C62">
        <f>(3/(1+('CurrentPor-Equ Factor Movements'!C62+'CurrentPor-Equ Factor Movements'!G62)/100)+103/POWER(1+('CurrentPor-Equ Factor Movements'!D62+'CurrentPor-Equ Factor Movements'!G62)/100,2))*100</f>
        <v>9612.1891275739981</v>
      </c>
      <c r="D62">
        <f>(3/(1+('CurrentPor-Equ Factor Movements'!C62+'CurrentPor-Equ Factor Movements'!H62)/100)+103/POWER(1+('CurrentPor-Equ Factor Movements'!D62+'CurrentPor-Equ Factor Movements'!H62)/100,2))*100</f>
        <v>9609.1628035345875</v>
      </c>
      <c r="E62">
        <f>(3/(1+('CurrentPor-Equ Factor Movements'!C62+'CurrentPor-Equ Factor Movements'!I62)/100)+103/POWER(1+('CurrentPor-Equ Factor Movements'!D62+'CurrentPor-Equ Factor Movements'!I62)/100,2))*100</f>
        <v>9590.8568916276527</v>
      </c>
      <c r="F62">
        <f>Portfolio!B$5*'CurrentPor-Equ Factor Movements'!E62</f>
        <v>52143.895533915893</v>
      </c>
      <c r="G62">
        <f>Portfolio!B$6*'CurrentPor-Equ Factor Movements'!F62</f>
        <v>3696.2945087936532</v>
      </c>
      <c r="H62">
        <f>Portfolio!B$7*'CurrentPor-Equ Factor Movements'!J62</f>
        <v>2148.0998964419859</v>
      </c>
      <c r="I62">
        <f t="shared" si="0"/>
        <v>96508.084539316609</v>
      </c>
      <c r="J62">
        <f t="shared" si="1"/>
        <v>-1.8165711855108384</v>
      </c>
    </row>
    <row r="63" spans="1:10">
      <c r="A63" s="1">
        <v>45558</v>
      </c>
      <c r="B63">
        <f>(3/(1+('CurrentPor-Equ Factor Movements'!C63)/100)+103/POWER(1+('CurrentPor-Equ Factor Movements'!D63)/100,2))*100</f>
        <v>9707.5857774288397</v>
      </c>
      <c r="C63">
        <f>(3/(1+('CurrentPor-Equ Factor Movements'!C63+'CurrentPor-Equ Factor Movements'!G63)/100)+103/POWER(1+('CurrentPor-Equ Factor Movements'!D63+'CurrentPor-Equ Factor Movements'!G63)/100,2))*100</f>
        <v>9609.2800295972811</v>
      </c>
      <c r="D63">
        <f>(3/(1+('CurrentPor-Equ Factor Movements'!C63+'CurrentPor-Equ Factor Movements'!H63)/100)+103/POWER(1+('CurrentPor-Equ Factor Movements'!D63+'CurrentPor-Equ Factor Movements'!H63)/100,2))*100</f>
        <v>9607.6542927926839</v>
      </c>
      <c r="E63">
        <f>(3/(1+('CurrentPor-Equ Factor Movements'!C63+'CurrentPor-Equ Factor Movements'!I63)/100)+103/POWER(1+('CurrentPor-Equ Factor Movements'!D63+'CurrentPor-Equ Factor Movements'!I63)/100,2))*100</f>
        <v>9595.6143873189121</v>
      </c>
      <c r="F63">
        <f>Portfolio!B$5*'CurrentPor-Equ Factor Movements'!E63</f>
        <v>52143.895533915893</v>
      </c>
      <c r="G63">
        <f>Portfolio!B$6*'CurrentPor-Equ Factor Movements'!F63</f>
        <v>3696.2945087936532</v>
      </c>
      <c r="H63">
        <f>Portfolio!B$7*'CurrentPor-Equ Factor Movements'!J63</f>
        <v>2148.0998964419859</v>
      </c>
      <c r="I63">
        <f t="shared" si="0"/>
        <v>96508.424426289261</v>
      </c>
      <c r="J63">
        <f t="shared" si="1"/>
        <v>18.005827346496517</v>
      </c>
    </row>
    <row r="64" spans="1:10">
      <c r="A64" s="1">
        <v>45559</v>
      </c>
      <c r="B64">
        <f>(3/(1+('CurrentPor-Equ Factor Movements'!C64)/100)+103/POWER(1+('CurrentPor-Equ Factor Movements'!D64)/100,2))*100</f>
        <v>9707.5857774288397</v>
      </c>
      <c r="C64">
        <f>(3/(1+('CurrentPor-Equ Factor Movements'!C64+'CurrentPor-Equ Factor Movements'!G64)/100)+103/POWER(1+('CurrentPor-Equ Factor Movements'!D64+'CurrentPor-Equ Factor Movements'!G64)/100,2))*100</f>
        <v>9596.5014075573017</v>
      </c>
      <c r="D64">
        <f>(3/(1+('CurrentPor-Equ Factor Movements'!C64+'CurrentPor-Equ Factor Movements'!H64)/100)+103/POWER(1+('CurrentPor-Equ Factor Movements'!D64+'CurrentPor-Equ Factor Movements'!H64)/100,2))*100</f>
        <v>9606.4650160202946</v>
      </c>
      <c r="E64">
        <f>(3/(1+('CurrentPor-Equ Factor Movements'!C64+'CurrentPor-Equ Factor Movements'!I64)/100)+103/POWER(1+('CurrentPor-Equ Factor Movements'!D64+'CurrentPor-Equ Factor Movements'!I64)/100,2))*100</f>
        <v>9578.2768582215249</v>
      </c>
      <c r="F64">
        <f>Portfolio!B$5*'CurrentPor-Equ Factor Movements'!E64</f>
        <v>52143.895533915893</v>
      </c>
      <c r="G64">
        <f>Portfolio!B$6*'CurrentPor-Equ Factor Movements'!F64</f>
        <v>3696.2945087936532</v>
      </c>
      <c r="H64">
        <f>Portfolio!B$7*'CurrentPor-Equ Factor Movements'!J64</f>
        <v>2148.0998964419859</v>
      </c>
      <c r="I64">
        <f t="shared" si="0"/>
        <v>96477.11899837949</v>
      </c>
      <c r="J64">
        <f t="shared" si="1"/>
        <v>-19.458403416676447</v>
      </c>
    </row>
    <row r="65" spans="1:10">
      <c r="A65" s="1">
        <v>45560</v>
      </c>
      <c r="B65">
        <f>(3/(1+('CurrentPor-Equ Factor Movements'!C65)/100)+103/POWER(1+('CurrentPor-Equ Factor Movements'!D65)/100,2))*100</f>
        <v>9707.5857774288397</v>
      </c>
      <c r="C65">
        <f>(3/(1+('CurrentPor-Equ Factor Movements'!C65+'CurrentPor-Equ Factor Movements'!G65)/100)+103/POWER(1+('CurrentPor-Equ Factor Movements'!D65+'CurrentPor-Equ Factor Movements'!G65)/100,2))*100</f>
        <v>9623.9002516742512</v>
      </c>
      <c r="D65">
        <f>(3/(1+('CurrentPor-Equ Factor Movements'!C65+'CurrentPor-Equ Factor Movements'!H65)/100)+103/POWER(1+('CurrentPor-Equ Factor Movements'!D65+'CurrentPor-Equ Factor Movements'!H65)/100,2))*100</f>
        <v>9601.1218522517593</v>
      </c>
      <c r="E65">
        <f>(3/(1+('CurrentPor-Equ Factor Movements'!C65+'CurrentPor-Equ Factor Movements'!I65)/100)+103/POWER(1+('CurrentPor-Equ Factor Movements'!D65+'CurrentPor-Equ Factor Movements'!I65)/100,2))*100</f>
        <v>9574.2611146235413</v>
      </c>
      <c r="F65">
        <f>Portfolio!B$5*'CurrentPor-Equ Factor Movements'!E65</f>
        <v>52143.895533915893</v>
      </c>
      <c r="G65">
        <f>Portfolio!B$6*'CurrentPor-Equ Factor Movements'!F65</f>
        <v>3696.2945087936532</v>
      </c>
      <c r="H65">
        <f>Portfolio!B$7*'CurrentPor-Equ Factor Movements'!J65</f>
        <v>2148.0998964419859</v>
      </c>
      <c r="I65">
        <f t="shared" si="0"/>
        <v>96495.158935129919</v>
      </c>
      <c r="J65">
        <f t="shared" si="1"/>
        <v>14.872473619529046</v>
      </c>
    </row>
    <row r="66" spans="1:10">
      <c r="A66" s="1">
        <v>45561</v>
      </c>
      <c r="B66">
        <f>(3/(1+('CurrentPor-Equ Factor Movements'!C66)/100)+103/POWER(1+('CurrentPor-Equ Factor Movements'!D66)/100,2))*100</f>
        <v>9707.5857774288397</v>
      </c>
      <c r="C66">
        <f>(3/(1+('CurrentPor-Equ Factor Movements'!C66+'CurrentPor-Equ Factor Movements'!G66)/100)+103/POWER(1+('CurrentPor-Equ Factor Movements'!D66+'CurrentPor-Equ Factor Movements'!G66)/100,2))*100</f>
        <v>9610.2786031354117</v>
      </c>
      <c r="D66">
        <f>(3/(1+('CurrentPor-Equ Factor Movements'!C66+'CurrentPor-Equ Factor Movements'!H66)/100)+103/POWER(1+('CurrentPor-Equ Factor Movements'!D66+'CurrentPor-Equ Factor Movements'!H66)/100,2))*100</f>
        <v>9605.0009737327418</v>
      </c>
      <c r="E66">
        <f>(3/(1+('CurrentPor-Equ Factor Movements'!C66+'CurrentPor-Equ Factor Movements'!I66)/100)+103/POWER(1+('CurrentPor-Equ Factor Movements'!D66+'CurrentPor-Equ Factor Movements'!I66)/100,2))*100</f>
        <v>9561.1428414668553</v>
      </c>
      <c r="F66">
        <f>Portfolio!B$5*'CurrentPor-Equ Factor Movements'!E66</f>
        <v>52143.895533915893</v>
      </c>
      <c r="G66">
        <f>Portfolio!B$6*'CurrentPor-Equ Factor Movements'!F66</f>
        <v>3696.2945087936532</v>
      </c>
      <c r="H66">
        <f>Portfolio!B$7*'CurrentPor-Equ Factor Movements'!J66</f>
        <v>2148.0998964419859</v>
      </c>
      <c r="I66">
        <f t="shared" si="0"/>
        <v>96472.298134915371</v>
      </c>
      <c r="J66">
        <f t="shared" si="1"/>
        <v>-29.233462069329107</v>
      </c>
    </row>
    <row r="67" spans="1:10">
      <c r="A67" s="1">
        <v>45562</v>
      </c>
      <c r="B67">
        <f>(3/(1+('CurrentPor-Equ Factor Movements'!C67)/100)+103/POWER(1+('CurrentPor-Equ Factor Movements'!D67)/100,2))*100</f>
        <v>9707.5857774288397</v>
      </c>
      <c r="C67">
        <f>(3/(1+('CurrentPor-Equ Factor Movements'!C67+'CurrentPor-Equ Factor Movements'!G67)/100)+103/POWER(1+('CurrentPor-Equ Factor Movements'!D67+'CurrentPor-Equ Factor Movements'!G67)/100,2))*100</f>
        <v>9628.7938168317978</v>
      </c>
      <c r="D67">
        <f>(3/(1+('CurrentPor-Equ Factor Movements'!C67+'CurrentPor-Equ Factor Movements'!H67)/100)+103/POWER(1+('CurrentPor-Equ Factor Movements'!D67+'CurrentPor-Equ Factor Movements'!H67)/100,2))*100</f>
        <v>9588.3722457230124</v>
      </c>
      <c r="E67">
        <f>(3/(1+('CurrentPor-Equ Factor Movements'!C67+'CurrentPor-Equ Factor Movements'!I67)/100)+103/POWER(1+('CurrentPor-Equ Factor Movements'!D67+'CurrentPor-Equ Factor Movements'!I67)/100,2))*100</f>
        <v>9583.5545570456579</v>
      </c>
      <c r="F67">
        <f>Portfolio!B$5*'CurrentPor-Equ Factor Movements'!E67</f>
        <v>52143.895533915893</v>
      </c>
      <c r="G67">
        <f>Portfolio!B$6*'CurrentPor-Equ Factor Movements'!F67</f>
        <v>3696.2945087936532</v>
      </c>
      <c r="H67">
        <f>Portfolio!B$7*'CurrentPor-Equ Factor Movements'!J67</f>
        <v>2148.0998964419859</v>
      </c>
      <c r="I67">
        <f t="shared" si="0"/>
        <v>96496.596336180839</v>
      </c>
      <c r="J67">
        <f t="shared" si="1"/>
        <v>-19.963847461112891</v>
      </c>
    </row>
    <row r="68" spans="1:10">
      <c r="A68" s="1">
        <v>45565</v>
      </c>
      <c r="B68">
        <f>(3/(1+('CurrentPor-Equ Factor Movements'!C68)/100)+103/POWER(1+('CurrentPor-Equ Factor Movements'!D68)/100,2))*100</f>
        <v>9707.5857774288397</v>
      </c>
      <c r="C68">
        <f>(3/(1+('CurrentPor-Equ Factor Movements'!C68+'CurrentPor-Equ Factor Movements'!G68)/100)+103/POWER(1+('CurrentPor-Equ Factor Movements'!D68+'CurrentPor-Equ Factor Movements'!G68)/100,2))*100</f>
        <v>9612.5263804773022</v>
      </c>
      <c r="D68">
        <f>(3/(1+('CurrentPor-Equ Factor Movements'!C68+'CurrentPor-Equ Factor Movements'!H68)/100)+103/POWER(1+('CurrentPor-Equ Factor Movements'!D68+'CurrentPor-Equ Factor Movements'!H68)/100,2))*100</f>
        <v>9604.9964871550255</v>
      </c>
      <c r="E68">
        <f>(3/(1+('CurrentPor-Equ Factor Movements'!C68+'CurrentPor-Equ Factor Movements'!I68)/100)+103/POWER(1+('CurrentPor-Equ Factor Movements'!D68+'CurrentPor-Equ Factor Movements'!I68)/100,2))*100</f>
        <v>9575.6047934174803</v>
      </c>
      <c r="F68">
        <f>Portfolio!B$5*'CurrentPor-Equ Factor Movements'!E68</f>
        <v>52143.895533915893</v>
      </c>
      <c r="G68">
        <f>Portfolio!B$6*'CurrentPor-Equ Factor Movements'!F68</f>
        <v>3696.2945087936532</v>
      </c>
      <c r="H68">
        <f>Portfolio!B$7*'CurrentPor-Equ Factor Movements'!J68</f>
        <v>2148.0998964419859</v>
      </c>
      <c r="I68">
        <f t="shared" ref="I68:I131" si="2">SUM(B68:H68)</f>
        <v>96489.003377630186</v>
      </c>
      <c r="J68">
        <f t="shared" si="1"/>
        <v>5.2014701892330777</v>
      </c>
    </row>
    <row r="69" spans="1:10">
      <c r="A69" s="1">
        <v>45566</v>
      </c>
      <c r="B69">
        <f>(3/(1+('CurrentPor-Equ Factor Movements'!C69)/100)+103/POWER(1+('CurrentPor-Equ Factor Movements'!D69)/100,2))*100</f>
        <v>9707.5857774288397</v>
      </c>
      <c r="C69">
        <f>(3/(1+('CurrentPor-Equ Factor Movements'!C69+'CurrentPor-Equ Factor Movements'!G69)/100)+103/POWER(1+('CurrentPor-Equ Factor Movements'!D69+'CurrentPor-Equ Factor Movements'!G69)/100,2))*100</f>
        <v>9621.532669854947</v>
      </c>
      <c r="D69">
        <f>(3/(1+('CurrentPor-Equ Factor Movements'!C69+'CurrentPor-Equ Factor Movements'!H69)/100)+103/POWER(1+('CurrentPor-Equ Factor Movements'!D69+'CurrentPor-Equ Factor Movements'!H69)/100,2))*100</f>
        <v>9593.7091697801825</v>
      </c>
      <c r="E69">
        <f>(3/(1+('CurrentPor-Equ Factor Movements'!C69+'CurrentPor-Equ Factor Movements'!I69)/100)+103/POWER(1+('CurrentPor-Equ Factor Movements'!D69+'CurrentPor-Equ Factor Movements'!I69)/100,2))*100</f>
        <v>9568.5382968260747</v>
      </c>
      <c r="F69">
        <f>Portfolio!B$5*'CurrentPor-Equ Factor Movements'!E69</f>
        <v>52143.895533915893</v>
      </c>
      <c r="G69">
        <f>Portfolio!B$6*'CurrentPor-Equ Factor Movements'!F69</f>
        <v>3696.2945087936532</v>
      </c>
      <c r="H69">
        <f>Portfolio!B$7*'CurrentPor-Equ Factor Movements'!J69</f>
        <v>2148.0998964419859</v>
      </c>
      <c r="I69">
        <f t="shared" si="2"/>
        <v>96479.655853041579</v>
      </c>
      <c r="J69">
        <f t="shared" si="1"/>
        <v>-14.781778596166987</v>
      </c>
    </row>
    <row r="70" spans="1:10">
      <c r="A70" s="1">
        <v>45567</v>
      </c>
      <c r="B70">
        <f>(3/(1+('CurrentPor-Equ Factor Movements'!C70)/100)+103/POWER(1+('CurrentPor-Equ Factor Movements'!D70)/100,2))*100</f>
        <v>9707.5857774288397</v>
      </c>
      <c r="C70">
        <f>(3/(1+('CurrentPor-Equ Factor Movements'!C70+'CurrentPor-Equ Factor Movements'!G70)/100)+103/POWER(1+('CurrentPor-Equ Factor Movements'!D70+'CurrentPor-Equ Factor Movements'!G70)/100,2))*100</f>
        <v>9625.2882085234742</v>
      </c>
      <c r="D70">
        <f>(3/(1+('CurrentPor-Equ Factor Movements'!C70+'CurrentPor-Equ Factor Movements'!H70)/100)+103/POWER(1+('CurrentPor-Equ Factor Movements'!D70+'CurrentPor-Equ Factor Movements'!H70)/100,2))*100</f>
        <v>9588.4013025872537</v>
      </c>
      <c r="E70">
        <f>(3/(1+('CurrentPor-Equ Factor Movements'!C70+'CurrentPor-Equ Factor Movements'!I70)/100)+103/POWER(1+('CurrentPor-Equ Factor Movements'!D70+'CurrentPor-Equ Factor Movements'!I70)/100,2))*100</f>
        <v>9580.5379779519262</v>
      </c>
      <c r="F70">
        <f>Portfolio!B$5*'CurrentPor-Equ Factor Movements'!E70</f>
        <v>52143.895533915893</v>
      </c>
      <c r="G70">
        <f>Portfolio!B$6*'CurrentPor-Equ Factor Movements'!F70</f>
        <v>3696.2945087936532</v>
      </c>
      <c r="H70">
        <f>Portfolio!B$7*'CurrentPor-Equ Factor Movements'!J70</f>
        <v>2148.0998964419859</v>
      </c>
      <c r="I70">
        <f t="shared" si="2"/>
        <v>96490.103205643027</v>
      </c>
      <c r="J70">
        <f t="shared" si="1"/>
        <v>9.2138926991901826</v>
      </c>
    </row>
    <row r="71" spans="1:10">
      <c r="A71" s="1">
        <v>45568</v>
      </c>
      <c r="B71">
        <f>(3/(1+('CurrentPor-Equ Factor Movements'!C71)/100)+103/POWER(1+('CurrentPor-Equ Factor Movements'!D71)/100,2))*100</f>
        <v>9707.5857774288397</v>
      </c>
      <c r="C71">
        <f>(3/(1+('CurrentPor-Equ Factor Movements'!C71+'CurrentPor-Equ Factor Movements'!G71)/100)+103/POWER(1+('CurrentPor-Equ Factor Movements'!D71+'CurrentPor-Equ Factor Movements'!G71)/100,2))*100</f>
        <v>9616.6943501154183</v>
      </c>
      <c r="D71">
        <f>(3/(1+('CurrentPor-Equ Factor Movements'!C71+'CurrentPor-Equ Factor Movements'!H71)/100)+103/POWER(1+('CurrentPor-Equ Factor Movements'!D71+'CurrentPor-Equ Factor Movements'!H71)/100,2))*100</f>
        <v>9583.3242981650037</v>
      </c>
      <c r="E71">
        <f>(3/(1+('CurrentPor-Equ Factor Movements'!C71+'CurrentPor-Equ Factor Movements'!I71)/100)+103/POWER(1+('CurrentPor-Equ Factor Movements'!D71+'CurrentPor-Equ Factor Movements'!I71)/100,2))*100</f>
        <v>9581.4736577771528</v>
      </c>
      <c r="F71">
        <f>Portfolio!B$5*'CurrentPor-Equ Factor Movements'!E71</f>
        <v>52143.895533915893</v>
      </c>
      <c r="G71">
        <f>Portfolio!B$6*'CurrentPor-Equ Factor Movements'!F71</f>
        <v>3696.2945087936532</v>
      </c>
      <c r="H71">
        <f>Portfolio!B$7*'CurrentPor-Equ Factor Movements'!J71</f>
        <v>2148.0998964419859</v>
      </c>
      <c r="I71">
        <f t="shared" si="2"/>
        <v>96477.368022637951</v>
      </c>
      <c r="J71">
        <f t="shared" si="1"/>
        <v>-14.136589833986363</v>
      </c>
    </row>
    <row r="72" spans="1:10">
      <c r="A72" s="1">
        <v>45569</v>
      </c>
      <c r="B72">
        <f>(3/(1+('CurrentPor-Equ Factor Movements'!C72)/100)+103/POWER(1+('CurrentPor-Equ Factor Movements'!D72)/100,2))*100</f>
        <v>9707.5857774288397</v>
      </c>
      <c r="C72">
        <f>(3/(1+('CurrentPor-Equ Factor Movements'!C72+'CurrentPor-Equ Factor Movements'!G72)/100)+103/POWER(1+('CurrentPor-Equ Factor Movements'!D72+'CurrentPor-Equ Factor Movements'!G72)/100,2))*100</f>
        <v>9620.1589871131655</v>
      </c>
      <c r="D72">
        <f>(3/(1+('CurrentPor-Equ Factor Movements'!C72+'CurrentPor-Equ Factor Movements'!H72)/100)+103/POWER(1+('CurrentPor-Equ Factor Movements'!D72+'CurrentPor-Equ Factor Movements'!H72)/100,2))*100</f>
        <v>9603.8734031010972</v>
      </c>
      <c r="E72">
        <f>(3/(1+('CurrentPor-Equ Factor Movements'!C72+'CurrentPor-Equ Factor Movements'!I72)/100)+103/POWER(1+('CurrentPor-Equ Factor Movements'!D72+'CurrentPor-Equ Factor Movements'!I72)/100,2))*100</f>
        <v>9576.2343633897872</v>
      </c>
      <c r="F72">
        <f>Portfolio!B$5*'CurrentPor-Equ Factor Movements'!E72</f>
        <v>52143.895533915893</v>
      </c>
      <c r="G72">
        <f>Portfolio!B$6*'CurrentPor-Equ Factor Movements'!F72</f>
        <v>3696.2945087936532</v>
      </c>
      <c r="H72">
        <f>Portfolio!B$7*'CurrentPor-Equ Factor Movements'!J72</f>
        <v>2148.0998964419859</v>
      </c>
      <c r="I72">
        <f t="shared" si="2"/>
        <v>96496.142470184408</v>
      </c>
      <c r="J72">
        <f t="shared" si="1"/>
        <v>-11.942069132201141</v>
      </c>
    </row>
    <row r="73" spans="1:10">
      <c r="A73" s="1">
        <v>45572</v>
      </c>
      <c r="B73">
        <f>(3/(1+('CurrentPor-Equ Factor Movements'!C73)/100)+103/POWER(1+('CurrentPor-Equ Factor Movements'!D73)/100,2))*100</f>
        <v>9707.5857774288397</v>
      </c>
      <c r="C73">
        <f>(3/(1+('CurrentPor-Equ Factor Movements'!C73+'CurrentPor-Equ Factor Movements'!G73)/100)+103/POWER(1+('CurrentPor-Equ Factor Movements'!D73+'CurrentPor-Equ Factor Movements'!G73)/100,2))*100</f>
        <v>9632.8304150337244</v>
      </c>
      <c r="D73">
        <f>(3/(1+('CurrentPor-Equ Factor Movements'!C73+'CurrentPor-Equ Factor Movements'!H73)/100)+103/POWER(1+('CurrentPor-Equ Factor Movements'!D73+'CurrentPor-Equ Factor Movements'!H73)/100,2))*100</f>
        <v>9598.8605478081117</v>
      </c>
      <c r="E73">
        <f>(3/(1+('CurrentPor-Equ Factor Movements'!C73+'CurrentPor-Equ Factor Movements'!I73)/100)+103/POWER(1+('CurrentPor-Equ Factor Movements'!D73+'CurrentPor-Equ Factor Movements'!I73)/100,2))*100</f>
        <v>9604.4712629235764</v>
      </c>
      <c r="F73">
        <f>Portfolio!B$5*'CurrentPor-Equ Factor Movements'!E73</f>
        <v>52143.895533915893</v>
      </c>
      <c r="G73">
        <f>Portfolio!B$6*'CurrentPor-Equ Factor Movements'!F73</f>
        <v>3696.2945087936532</v>
      </c>
      <c r="H73">
        <f>Portfolio!B$7*'CurrentPor-Equ Factor Movements'!J73</f>
        <v>2148.0998964419859</v>
      </c>
      <c r="I73">
        <f t="shared" si="2"/>
        <v>96532.037942345793</v>
      </c>
      <c r="J73">
        <f t="shared" si="1"/>
        <v>23.613516056531807</v>
      </c>
    </row>
    <row r="74" spans="1:10">
      <c r="A74" s="1">
        <v>45573</v>
      </c>
      <c r="B74">
        <f>(3/(1+('CurrentPor-Equ Factor Movements'!C74)/100)+103/POWER(1+('CurrentPor-Equ Factor Movements'!D74)/100,2))*100</f>
        <v>9707.5857774288397</v>
      </c>
      <c r="C74">
        <f>(3/(1+('CurrentPor-Equ Factor Movements'!C74+'CurrentPor-Equ Factor Movements'!G74)/100)+103/POWER(1+('CurrentPor-Equ Factor Movements'!D74+'CurrentPor-Equ Factor Movements'!G74)/100,2))*100</f>
        <v>9608.3928695868271</v>
      </c>
      <c r="D74">
        <f>(3/(1+('CurrentPor-Equ Factor Movements'!C74+'CurrentPor-Equ Factor Movements'!H74)/100)+103/POWER(1+('CurrentPor-Equ Factor Movements'!D74+'CurrentPor-Equ Factor Movements'!H74)/100,2))*100</f>
        <v>9621.9436887344073</v>
      </c>
      <c r="E74">
        <f>(3/(1+('CurrentPor-Equ Factor Movements'!C74+'CurrentPor-Equ Factor Movements'!I74)/100)+103/POWER(1+('CurrentPor-Equ Factor Movements'!D74+'CurrentPor-Equ Factor Movements'!I74)/100,2))*100</f>
        <v>9588.1360404990864</v>
      </c>
      <c r="F74">
        <f>Portfolio!B$5*'CurrentPor-Equ Factor Movements'!E74</f>
        <v>52143.895533915893</v>
      </c>
      <c r="G74">
        <f>Portfolio!B$6*'CurrentPor-Equ Factor Movements'!F74</f>
        <v>3696.2945087936532</v>
      </c>
      <c r="H74">
        <f>Portfolio!B$7*'CurrentPor-Equ Factor Movements'!J74</f>
        <v>2148.0998964419859</v>
      </c>
      <c r="I74">
        <f t="shared" si="2"/>
        <v>96514.348315400697</v>
      </c>
      <c r="J74">
        <f t="shared" si="1"/>
        <v>37.229317021206953</v>
      </c>
    </row>
    <row r="75" spans="1:10">
      <c r="A75" s="1">
        <v>45574</v>
      </c>
      <c r="B75">
        <f>(3/(1+('CurrentPor-Equ Factor Movements'!C75)/100)+103/POWER(1+('CurrentPor-Equ Factor Movements'!D75)/100,2))*100</f>
        <v>9707.5857774288397</v>
      </c>
      <c r="C75">
        <f>(3/(1+('CurrentPor-Equ Factor Movements'!C75+'CurrentPor-Equ Factor Movements'!G75)/100)+103/POWER(1+('CurrentPor-Equ Factor Movements'!D75+'CurrentPor-Equ Factor Movements'!G75)/100,2))*100</f>
        <v>9617.9397245896234</v>
      </c>
      <c r="D75">
        <f>(3/(1+('CurrentPor-Equ Factor Movements'!C75+'CurrentPor-Equ Factor Movements'!H75)/100)+103/POWER(1+('CurrentPor-Equ Factor Movements'!D75+'CurrentPor-Equ Factor Movements'!H75)/100,2))*100</f>
        <v>9592.9055718900709</v>
      </c>
      <c r="E75">
        <f>(3/(1+('CurrentPor-Equ Factor Movements'!C75+'CurrentPor-Equ Factor Movements'!I75)/100)+103/POWER(1+('CurrentPor-Equ Factor Movements'!D75+'CurrentPor-Equ Factor Movements'!I75)/100,2))*100</f>
        <v>9575.2181233991287</v>
      </c>
      <c r="F75">
        <f>Portfolio!B$5*'CurrentPor-Equ Factor Movements'!E75</f>
        <v>52143.895533915893</v>
      </c>
      <c r="G75">
        <f>Portfolio!B$6*'CurrentPor-Equ Factor Movements'!F75</f>
        <v>3696.2945087936532</v>
      </c>
      <c r="H75">
        <f>Portfolio!B$7*'CurrentPor-Equ Factor Movements'!J75</f>
        <v>2148.0998964419859</v>
      </c>
      <c r="I75">
        <f t="shared" si="2"/>
        <v>96481.939136459187</v>
      </c>
      <c r="J75">
        <f t="shared" si="1"/>
        <v>-13.219798670732416</v>
      </c>
    </row>
    <row r="76" spans="1:10">
      <c r="A76" s="1">
        <v>45575</v>
      </c>
      <c r="B76">
        <f>(3/(1+('CurrentPor-Equ Factor Movements'!C76)/100)+103/POWER(1+('CurrentPor-Equ Factor Movements'!D76)/100,2))*100</f>
        <v>9707.5857774288397</v>
      </c>
      <c r="C76">
        <f>(3/(1+('CurrentPor-Equ Factor Movements'!C76+'CurrentPor-Equ Factor Movements'!G76)/100)+103/POWER(1+('CurrentPor-Equ Factor Movements'!D76+'CurrentPor-Equ Factor Movements'!G76)/100,2))*100</f>
        <v>9609.2926497854478</v>
      </c>
      <c r="D76">
        <f>(3/(1+('CurrentPor-Equ Factor Movements'!C76+'CurrentPor-Equ Factor Movements'!H76)/100)+103/POWER(1+('CurrentPor-Equ Factor Movements'!D76+'CurrentPor-Equ Factor Movements'!H76)/100,2))*100</f>
        <v>9617.4153814204346</v>
      </c>
      <c r="E76">
        <f>(3/(1+('CurrentPor-Equ Factor Movements'!C76+'CurrentPor-Equ Factor Movements'!I76)/100)+103/POWER(1+('CurrentPor-Equ Factor Movements'!D76+'CurrentPor-Equ Factor Movements'!I76)/100,2))*100</f>
        <v>9599.9362846419954</v>
      </c>
      <c r="F76">
        <f>Portfolio!B$5*'CurrentPor-Equ Factor Movements'!E76</f>
        <v>52143.895533915893</v>
      </c>
      <c r="G76">
        <f>Portfolio!B$6*'CurrentPor-Equ Factor Movements'!F76</f>
        <v>3696.2945087936532</v>
      </c>
      <c r="H76">
        <f>Portfolio!B$7*'CurrentPor-Equ Factor Movements'!J76</f>
        <v>2148.0998964419859</v>
      </c>
      <c r="I76">
        <f t="shared" si="2"/>
        <v>96522.520032428249</v>
      </c>
      <c r="J76">
        <f t="shared" si="1"/>
        <v>50.221897512878058</v>
      </c>
    </row>
    <row r="77" spans="1:10">
      <c r="A77" s="1">
        <v>45576</v>
      </c>
      <c r="B77">
        <f>(3/(1+('CurrentPor-Equ Factor Movements'!C77)/100)+103/POWER(1+('CurrentPor-Equ Factor Movements'!D77)/100,2))*100</f>
        <v>9707.5857774288397</v>
      </c>
      <c r="C77">
        <f>(3/(1+('CurrentPor-Equ Factor Movements'!C77+'CurrentPor-Equ Factor Movements'!G77)/100)+103/POWER(1+('CurrentPor-Equ Factor Movements'!D77+'CurrentPor-Equ Factor Movements'!G77)/100,2))*100</f>
        <v>9610.0306618115028</v>
      </c>
      <c r="D77">
        <f>(3/(1+('CurrentPor-Equ Factor Movements'!C77+'CurrentPor-Equ Factor Movements'!H77)/100)+103/POWER(1+('CurrentPor-Equ Factor Movements'!D77+'CurrentPor-Equ Factor Movements'!H77)/100,2))*100</f>
        <v>9597.5935991703373</v>
      </c>
      <c r="E77">
        <f>(3/(1+('CurrentPor-Equ Factor Movements'!C77+'CurrentPor-Equ Factor Movements'!I77)/100)+103/POWER(1+('CurrentPor-Equ Factor Movements'!D77+'CurrentPor-Equ Factor Movements'!I77)/100,2))*100</f>
        <v>9577.6654859941282</v>
      </c>
      <c r="F77">
        <f>Portfolio!B$5*'CurrentPor-Equ Factor Movements'!E77</f>
        <v>52143.895533915893</v>
      </c>
      <c r="G77">
        <f>Portfolio!B$6*'CurrentPor-Equ Factor Movements'!F77</f>
        <v>3696.2945087936532</v>
      </c>
      <c r="H77">
        <f>Portfolio!B$7*'CurrentPor-Equ Factor Movements'!J77</f>
        <v>2148.0998964419859</v>
      </c>
      <c r="I77">
        <f t="shared" si="2"/>
        <v>96481.165463556346</v>
      </c>
      <c r="J77">
        <f t="shared" si="1"/>
        <v>-15.430872624492622</v>
      </c>
    </row>
    <row r="78" spans="1:10">
      <c r="A78" s="1">
        <v>45579</v>
      </c>
      <c r="B78">
        <f>(3/(1+('CurrentPor-Equ Factor Movements'!C78)/100)+103/POWER(1+('CurrentPor-Equ Factor Movements'!D78)/100,2))*100</f>
        <v>9707.5857774288397</v>
      </c>
      <c r="C78">
        <f>(3/(1+('CurrentPor-Equ Factor Movements'!C78+'CurrentPor-Equ Factor Movements'!G78)/100)+103/POWER(1+('CurrentPor-Equ Factor Movements'!D78+'CurrentPor-Equ Factor Movements'!G78)/100,2))*100</f>
        <v>9618.8104596890516</v>
      </c>
      <c r="D78">
        <f>(3/(1+('CurrentPor-Equ Factor Movements'!C78+'CurrentPor-Equ Factor Movements'!H78)/100)+103/POWER(1+('CurrentPor-Equ Factor Movements'!D78+'CurrentPor-Equ Factor Movements'!H78)/100,2))*100</f>
        <v>9592.8800982188186</v>
      </c>
      <c r="E78">
        <f>(3/(1+('CurrentPor-Equ Factor Movements'!C78+'CurrentPor-Equ Factor Movements'!I78)/100)+103/POWER(1+('CurrentPor-Equ Factor Movements'!D78+'CurrentPor-Equ Factor Movements'!I78)/100,2))*100</f>
        <v>9608.5599751931422</v>
      </c>
      <c r="F78">
        <f>Portfolio!B$5*'CurrentPor-Equ Factor Movements'!E78</f>
        <v>52143.895533915893</v>
      </c>
      <c r="G78">
        <f>Portfolio!B$6*'CurrentPor-Equ Factor Movements'!F78</f>
        <v>3696.2945087936532</v>
      </c>
      <c r="H78">
        <f>Portfolio!B$7*'CurrentPor-Equ Factor Movements'!J78</f>
        <v>2148.0998964419859</v>
      </c>
      <c r="I78">
        <f t="shared" si="2"/>
        <v>96516.126249681387</v>
      </c>
      <c r="J78">
        <f t="shared" ref="J78:J141" si="3">I78-I68</f>
        <v>27.122872051200829</v>
      </c>
    </row>
    <row r="79" spans="1:10">
      <c r="A79" s="1">
        <v>45580</v>
      </c>
      <c r="B79">
        <f>(3/(1+('CurrentPor-Equ Factor Movements'!C79)/100)+103/POWER(1+('CurrentPor-Equ Factor Movements'!D79)/100,2))*100</f>
        <v>9707.5857774288397</v>
      </c>
      <c r="C79">
        <f>(3/(1+('CurrentPor-Equ Factor Movements'!C79+'CurrentPor-Equ Factor Movements'!G79)/100)+103/POWER(1+('CurrentPor-Equ Factor Movements'!D79+'CurrentPor-Equ Factor Movements'!G79)/100,2))*100</f>
        <v>9607.2868927606287</v>
      </c>
      <c r="D79">
        <f>(3/(1+('CurrentPor-Equ Factor Movements'!C79+'CurrentPor-Equ Factor Movements'!H79)/100)+103/POWER(1+('CurrentPor-Equ Factor Movements'!D79+'CurrentPor-Equ Factor Movements'!H79)/100,2))*100</f>
        <v>9613.6355516047024</v>
      </c>
      <c r="E79">
        <f>(3/(1+('CurrentPor-Equ Factor Movements'!C79+'CurrentPor-Equ Factor Movements'!I79)/100)+103/POWER(1+('CurrentPor-Equ Factor Movements'!D79+'CurrentPor-Equ Factor Movements'!I79)/100,2))*100</f>
        <v>9610.9437735107349</v>
      </c>
      <c r="F79">
        <f>Portfolio!B$5*'CurrentPor-Equ Factor Movements'!E79</f>
        <v>52143.895533915893</v>
      </c>
      <c r="G79">
        <f>Portfolio!B$6*'CurrentPor-Equ Factor Movements'!F79</f>
        <v>3696.2945087936532</v>
      </c>
      <c r="H79">
        <f>Portfolio!B$7*'CurrentPor-Equ Factor Movements'!J79</f>
        <v>2148.0998964419859</v>
      </c>
      <c r="I79">
        <f t="shared" si="2"/>
        <v>96527.741934456441</v>
      </c>
      <c r="J79">
        <f t="shared" si="3"/>
        <v>48.086081414861837</v>
      </c>
    </row>
    <row r="80" spans="1:10">
      <c r="A80" s="1">
        <v>45581</v>
      </c>
      <c r="B80">
        <f>(3/(1+('CurrentPor-Equ Factor Movements'!C80)/100)+103/POWER(1+('CurrentPor-Equ Factor Movements'!D80)/100,2))*100</f>
        <v>9707.5857774288397</v>
      </c>
      <c r="C80">
        <f>(3/(1+('CurrentPor-Equ Factor Movements'!C80+'CurrentPor-Equ Factor Movements'!G80)/100)+103/POWER(1+('CurrentPor-Equ Factor Movements'!D80+'CurrentPor-Equ Factor Movements'!G80)/100,2))*100</f>
        <v>9623.887251923552</v>
      </c>
      <c r="D80">
        <f>(3/(1+('CurrentPor-Equ Factor Movements'!C80+'CurrentPor-Equ Factor Movements'!H80)/100)+103/POWER(1+('CurrentPor-Equ Factor Movements'!D80+'CurrentPor-Equ Factor Movements'!H80)/100,2))*100</f>
        <v>9591.7697173829238</v>
      </c>
      <c r="E80">
        <f>(3/(1+('CurrentPor-Equ Factor Movements'!C80+'CurrentPor-Equ Factor Movements'!I80)/100)+103/POWER(1+('CurrentPor-Equ Factor Movements'!D80+'CurrentPor-Equ Factor Movements'!I80)/100,2))*100</f>
        <v>9583.899931588714</v>
      </c>
      <c r="F80">
        <f>Portfolio!B$5*'CurrentPor-Equ Factor Movements'!E80</f>
        <v>52143.895533915893</v>
      </c>
      <c r="G80">
        <f>Portfolio!B$6*'CurrentPor-Equ Factor Movements'!F80</f>
        <v>3696.2945087936532</v>
      </c>
      <c r="H80">
        <f>Portfolio!B$7*'CurrentPor-Equ Factor Movements'!J80</f>
        <v>2148.0998964419859</v>
      </c>
      <c r="I80">
        <f t="shared" si="2"/>
        <v>96495.432617475555</v>
      </c>
      <c r="J80">
        <f t="shared" si="3"/>
        <v>5.3294118325284217</v>
      </c>
    </row>
    <row r="81" spans="1:10">
      <c r="A81" s="1">
        <v>45582</v>
      </c>
      <c r="B81">
        <f>(3/(1+('CurrentPor-Equ Factor Movements'!C81)/100)+103/POWER(1+('CurrentPor-Equ Factor Movements'!D81)/100,2))*100</f>
        <v>9707.5857774288397</v>
      </c>
      <c r="C81">
        <f>(3/(1+('CurrentPor-Equ Factor Movements'!C81+'CurrentPor-Equ Factor Movements'!G81)/100)+103/POWER(1+('CurrentPor-Equ Factor Movements'!D81+'CurrentPor-Equ Factor Movements'!G81)/100,2))*100</f>
        <v>9619.1160382924299</v>
      </c>
      <c r="D81">
        <f>(3/(1+('CurrentPor-Equ Factor Movements'!C81+'CurrentPor-Equ Factor Movements'!H81)/100)+103/POWER(1+('CurrentPor-Equ Factor Movements'!D81+'CurrentPor-Equ Factor Movements'!H81)/100,2))*100</f>
        <v>9607.5592309153362</v>
      </c>
      <c r="E81">
        <f>(3/(1+('CurrentPor-Equ Factor Movements'!C81+'CurrentPor-Equ Factor Movements'!I81)/100)+103/POWER(1+('CurrentPor-Equ Factor Movements'!D81+'CurrentPor-Equ Factor Movements'!I81)/100,2))*100</f>
        <v>9598.6686696571305</v>
      </c>
      <c r="F81">
        <f>Portfolio!B$5*'CurrentPor-Equ Factor Movements'!E81</f>
        <v>52143.895533915893</v>
      </c>
      <c r="G81">
        <f>Portfolio!B$6*'CurrentPor-Equ Factor Movements'!F81</f>
        <v>3696.2945087936532</v>
      </c>
      <c r="H81">
        <f>Portfolio!B$7*'CurrentPor-Equ Factor Movements'!J81</f>
        <v>2148.0998964419859</v>
      </c>
      <c r="I81">
        <f t="shared" si="2"/>
        <v>96521.219655445268</v>
      </c>
      <c r="J81">
        <f t="shared" si="3"/>
        <v>43.851632807316491</v>
      </c>
    </row>
    <row r="82" spans="1:10">
      <c r="A82" s="1">
        <v>45583</v>
      </c>
      <c r="B82">
        <f>(3/(1+('CurrentPor-Equ Factor Movements'!C82)/100)+103/POWER(1+('CurrentPor-Equ Factor Movements'!D82)/100,2))*100</f>
        <v>9707.5857774288397</v>
      </c>
      <c r="C82">
        <f>(3/(1+('CurrentPor-Equ Factor Movements'!C82+'CurrentPor-Equ Factor Movements'!G82)/100)+103/POWER(1+('CurrentPor-Equ Factor Movements'!D82+'CurrentPor-Equ Factor Movements'!G82)/100,2))*100</f>
        <v>9619.056998484506</v>
      </c>
      <c r="D82">
        <f>(3/(1+('CurrentPor-Equ Factor Movements'!C82+'CurrentPor-Equ Factor Movements'!H82)/100)+103/POWER(1+('CurrentPor-Equ Factor Movements'!D82+'CurrentPor-Equ Factor Movements'!H82)/100,2))*100</f>
        <v>9586.7265369157685</v>
      </c>
      <c r="E82">
        <f>(3/(1+('CurrentPor-Equ Factor Movements'!C82+'CurrentPor-Equ Factor Movements'!I82)/100)+103/POWER(1+('CurrentPor-Equ Factor Movements'!D82+'CurrentPor-Equ Factor Movements'!I82)/100,2))*100</f>
        <v>9573.5620619680776</v>
      </c>
      <c r="F82">
        <f>Portfolio!B$5*'CurrentPor-Equ Factor Movements'!E82</f>
        <v>52143.895533915893</v>
      </c>
      <c r="G82">
        <f>Portfolio!B$6*'CurrentPor-Equ Factor Movements'!F82</f>
        <v>3696.2945087936532</v>
      </c>
      <c r="H82">
        <f>Portfolio!B$7*'CurrentPor-Equ Factor Movements'!J82</f>
        <v>2148.0998964419859</v>
      </c>
      <c r="I82">
        <f t="shared" si="2"/>
        <v>96475.221313948728</v>
      </c>
      <c r="J82">
        <f t="shared" si="3"/>
        <v>-20.921156235679518</v>
      </c>
    </row>
    <row r="83" spans="1:10">
      <c r="A83" s="1">
        <v>45586</v>
      </c>
      <c r="B83">
        <f>(3/(1+('CurrentPor-Equ Factor Movements'!C83)/100)+103/POWER(1+('CurrentPor-Equ Factor Movements'!D83)/100,2))*100</f>
        <v>9707.5857774288397</v>
      </c>
      <c r="C83">
        <f>(3/(1+('CurrentPor-Equ Factor Movements'!C83+'CurrentPor-Equ Factor Movements'!G83)/100)+103/POWER(1+('CurrentPor-Equ Factor Movements'!D83+'CurrentPor-Equ Factor Movements'!G83)/100,2))*100</f>
        <v>9601.9153859784456</v>
      </c>
      <c r="D83">
        <f>(3/(1+('CurrentPor-Equ Factor Movements'!C83+'CurrentPor-Equ Factor Movements'!H83)/100)+103/POWER(1+('CurrentPor-Equ Factor Movements'!D83+'CurrentPor-Equ Factor Movements'!H83)/100,2))*100</f>
        <v>9596.1795222532473</v>
      </c>
      <c r="E83">
        <f>(3/(1+('CurrentPor-Equ Factor Movements'!C83+'CurrentPor-Equ Factor Movements'!I83)/100)+103/POWER(1+('CurrentPor-Equ Factor Movements'!D83+'CurrentPor-Equ Factor Movements'!I83)/100,2))*100</f>
        <v>9593.9055291896784</v>
      </c>
      <c r="F83">
        <f>Portfolio!B$5*'CurrentPor-Equ Factor Movements'!E83</f>
        <v>52143.895533915893</v>
      </c>
      <c r="G83">
        <f>Portfolio!B$6*'CurrentPor-Equ Factor Movements'!F83</f>
        <v>3696.2945087936532</v>
      </c>
      <c r="H83">
        <f>Portfolio!B$7*'CurrentPor-Equ Factor Movements'!J83</f>
        <v>2148.0998964419859</v>
      </c>
      <c r="I83">
        <f t="shared" si="2"/>
        <v>96487.876154001744</v>
      </c>
      <c r="J83">
        <f t="shared" si="3"/>
        <v>-44.161788344048546</v>
      </c>
    </row>
    <row r="84" spans="1:10">
      <c r="A84" s="1">
        <v>45587</v>
      </c>
      <c r="B84">
        <f>(3/(1+('CurrentPor-Equ Factor Movements'!C84)/100)+103/POWER(1+('CurrentPor-Equ Factor Movements'!D84)/100,2))*100</f>
        <v>9707.5857774288397</v>
      </c>
      <c r="C84">
        <f>(3/(1+('CurrentPor-Equ Factor Movements'!C84+'CurrentPor-Equ Factor Movements'!G84)/100)+103/POWER(1+('CurrentPor-Equ Factor Movements'!D84+'CurrentPor-Equ Factor Movements'!G84)/100,2))*100</f>
        <v>9629.2129602999812</v>
      </c>
      <c r="D84">
        <f>(3/(1+('CurrentPor-Equ Factor Movements'!C84+'CurrentPor-Equ Factor Movements'!H84)/100)+103/POWER(1+('CurrentPor-Equ Factor Movements'!D84+'CurrentPor-Equ Factor Movements'!H84)/100,2))*100</f>
        <v>9612.6398079572955</v>
      </c>
      <c r="E84">
        <f>(3/(1+('CurrentPor-Equ Factor Movements'!C84+'CurrentPor-Equ Factor Movements'!I84)/100)+103/POWER(1+('CurrentPor-Equ Factor Movements'!D84+'CurrentPor-Equ Factor Movements'!I84)/100,2))*100</f>
        <v>9589.3089214860483</v>
      </c>
      <c r="F84">
        <f>Portfolio!B$5*'CurrentPor-Equ Factor Movements'!E84</f>
        <v>52143.895533915893</v>
      </c>
      <c r="G84">
        <f>Portfolio!B$6*'CurrentPor-Equ Factor Movements'!F84</f>
        <v>3696.2945087936532</v>
      </c>
      <c r="H84">
        <f>Portfolio!B$7*'CurrentPor-Equ Factor Movements'!J84</f>
        <v>2148.0998964419859</v>
      </c>
      <c r="I84">
        <f t="shared" si="2"/>
        <v>96527.037406323696</v>
      </c>
      <c r="J84">
        <f t="shared" si="3"/>
        <v>12.68909092299873</v>
      </c>
    </row>
    <row r="85" spans="1:10">
      <c r="A85" s="1">
        <v>45588</v>
      </c>
      <c r="B85">
        <f>(3/(1+('CurrentPor-Equ Factor Movements'!C85)/100)+103/POWER(1+('CurrentPor-Equ Factor Movements'!D85)/100,2))*100</f>
        <v>9707.5857774288397</v>
      </c>
      <c r="C85">
        <f>(3/(1+('CurrentPor-Equ Factor Movements'!C85+'CurrentPor-Equ Factor Movements'!G85)/100)+103/POWER(1+('CurrentPor-Equ Factor Movements'!D85+'CurrentPor-Equ Factor Movements'!G85)/100,2))*100</f>
        <v>9626.0148425954576</v>
      </c>
      <c r="D85">
        <f>(3/(1+('CurrentPor-Equ Factor Movements'!C85+'CurrentPor-Equ Factor Movements'!H85)/100)+103/POWER(1+('CurrentPor-Equ Factor Movements'!D85+'CurrentPor-Equ Factor Movements'!H85)/100,2))*100</f>
        <v>9608.8898336299826</v>
      </c>
      <c r="E85">
        <f>(3/(1+('CurrentPor-Equ Factor Movements'!C85+'CurrentPor-Equ Factor Movements'!I85)/100)+103/POWER(1+('CurrentPor-Equ Factor Movements'!D85+'CurrentPor-Equ Factor Movements'!I85)/100,2))*100</f>
        <v>9599.5126177847051</v>
      </c>
      <c r="F85">
        <f>Portfolio!B$5*'CurrentPor-Equ Factor Movements'!E85</f>
        <v>52143.895533915893</v>
      </c>
      <c r="G85">
        <f>Portfolio!B$6*'CurrentPor-Equ Factor Movements'!F85</f>
        <v>3696.2945087936532</v>
      </c>
      <c r="H85">
        <f>Portfolio!B$7*'CurrentPor-Equ Factor Movements'!J85</f>
        <v>2148.0998964419859</v>
      </c>
      <c r="I85">
        <f t="shared" si="2"/>
        <v>96530.293010590525</v>
      </c>
      <c r="J85">
        <f t="shared" si="3"/>
        <v>48.353874131338671</v>
      </c>
    </row>
    <row r="86" spans="1:10">
      <c r="A86" s="1">
        <v>45589</v>
      </c>
      <c r="B86">
        <f>(3/(1+('CurrentPor-Equ Factor Movements'!C86)/100)+103/POWER(1+('CurrentPor-Equ Factor Movements'!D86)/100,2))*100</f>
        <v>9707.5857774288397</v>
      </c>
      <c r="C86">
        <f>(3/(1+('CurrentPor-Equ Factor Movements'!C86+'CurrentPor-Equ Factor Movements'!G86)/100)+103/POWER(1+('CurrentPor-Equ Factor Movements'!D86+'CurrentPor-Equ Factor Movements'!G86)/100,2))*100</f>
        <v>9631.6478751228206</v>
      </c>
      <c r="D86">
        <f>(3/(1+('CurrentPor-Equ Factor Movements'!C86+'CurrentPor-Equ Factor Movements'!H86)/100)+103/POWER(1+('CurrentPor-Equ Factor Movements'!D86+'CurrentPor-Equ Factor Movements'!H86)/100,2))*100</f>
        <v>9602.8569600675783</v>
      </c>
      <c r="E86">
        <f>(3/(1+('CurrentPor-Equ Factor Movements'!C86+'CurrentPor-Equ Factor Movements'!I86)/100)+103/POWER(1+('CurrentPor-Equ Factor Movements'!D86+'CurrentPor-Equ Factor Movements'!I86)/100,2))*100</f>
        <v>9571.7917327662271</v>
      </c>
      <c r="F86">
        <f>Portfolio!B$5*'CurrentPor-Equ Factor Movements'!E86</f>
        <v>52143.895533915893</v>
      </c>
      <c r="G86">
        <f>Portfolio!B$6*'CurrentPor-Equ Factor Movements'!F86</f>
        <v>3696.2945087936532</v>
      </c>
      <c r="H86">
        <f>Portfolio!B$7*'CurrentPor-Equ Factor Movements'!J86</f>
        <v>2148.0998964419859</v>
      </c>
      <c r="I86">
        <f t="shared" si="2"/>
        <v>96502.172284536995</v>
      </c>
      <c r="J86">
        <f t="shared" si="3"/>
        <v>-20.347747891253675</v>
      </c>
    </row>
    <row r="87" spans="1:10">
      <c r="A87" s="1">
        <v>45590</v>
      </c>
      <c r="B87">
        <f>(3/(1+('CurrentPor-Equ Factor Movements'!C87)/100)+103/POWER(1+('CurrentPor-Equ Factor Movements'!D87)/100,2))*100</f>
        <v>9707.5857774288397</v>
      </c>
      <c r="C87">
        <f>(3/(1+('CurrentPor-Equ Factor Movements'!C87+'CurrentPor-Equ Factor Movements'!G87)/100)+103/POWER(1+('CurrentPor-Equ Factor Movements'!D87+'CurrentPor-Equ Factor Movements'!G87)/100,2))*100</f>
        <v>9628.0906927244196</v>
      </c>
      <c r="D87">
        <f>(3/(1+('CurrentPor-Equ Factor Movements'!C87+'CurrentPor-Equ Factor Movements'!H87)/100)+103/POWER(1+('CurrentPor-Equ Factor Movements'!D87+'CurrentPor-Equ Factor Movements'!H87)/100,2))*100</f>
        <v>9607.5632202900943</v>
      </c>
      <c r="E87">
        <f>(3/(1+('CurrentPor-Equ Factor Movements'!C87+'CurrentPor-Equ Factor Movements'!I87)/100)+103/POWER(1+('CurrentPor-Equ Factor Movements'!D87+'CurrentPor-Equ Factor Movements'!I87)/100,2))*100</f>
        <v>9602.517451559308</v>
      </c>
      <c r="F87">
        <f>Portfolio!B$5*'CurrentPor-Equ Factor Movements'!E87</f>
        <v>52143.895533915893</v>
      </c>
      <c r="G87">
        <f>Portfolio!B$6*'CurrentPor-Equ Factor Movements'!F87</f>
        <v>3696.2945087936532</v>
      </c>
      <c r="H87">
        <f>Portfolio!B$7*'CurrentPor-Equ Factor Movements'!J87</f>
        <v>2148.0998964419859</v>
      </c>
      <c r="I87">
        <f t="shared" si="2"/>
        <v>96534.047081154204</v>
      </c>
      <c r="J87">
        <f t="shared" si="3"/>
        <v>52.881617597857257</v>
      </c>
    </row>
    <row r="88" spans="1:10">
      <c r="A88" s="1">
        <v>45593</v>
      </c>
      <c r="B88">
        <f>(3/(1+('CurrentPor-Equ Factor Movements'!C88)/100)+103/POWER(1+('CurrentPor-Equ Factor Movements'!D88)/100,2))*100</f>
        <v>9707.5857774288397</v>
      </c>
      <c r="C88">
        <f>(3/(1+('CurrentPor-Equ Factor Movements'!C88+'CurrentPor-Equ Factor Movements'!G88)/100)+103/POWER(1+('CurrentPor-Equ Factor Movements'!D88+'CurrentPor-Equ Factor Movements'!G88)/100,2))*100</f>
        <v>9611.5543752404246</v>
      </c>
      <c r="D88">
        <f>(3/(1+('CurrentPor-Equ Factor Movements'!C88+'CurrentPor-Equ Factor Movements'!H88)/100)+103/POWER(1+('CurrentPor-Equ Factor Movements'!D88+'CurrentPor-Equ Factor Movements'!H88)/100,2))*100</f>
        <v>9588.4316264247045</v>
      </c>
      <c r="E88">
        <f>(3/(1+('CurrentPor-Equ Factor Movements'!C88+'CurrentPor-Equ Factor Movements'!I88)/100)+103/POWER(1+('CurrentPor-Equ Factor Movements'!D88+'CurrentPor-Equ Factor Movements'!I88)/100,2))*100</f>
        <v>9592.3209632982744</v>
      </c>
      <c r="F88">
        <f>Portfolio!B$5*'CurrentPor-Equ Factor Movements'!E88</f>
        <v>52143.895533915893</v>
      </c>
      <c r="G88">
        <f>Portfolio!B$6*'CurrentPor-Equ Factor Movements'!F88</f>
        <v>3696.2945087936532</v>
      </c>
      <c r="H88">
        <f>Portfolio!B$7*'CurrentPor-Equ Factor Movements'!J88</f>
        <v>2148.0998964419859</v>
      </c>
      <c r="I88">
        <f t="shared" si="2"/>
        <v>96488.182681543767</v>
      </c>
      <c r="J88">
        <f t="shared" si="3"/>
        <v>-27.943568137619877</v>
      </c>
    </row>
    <row r="89" spans="1:10">
      <c r="A89" s="1">
        <v>45594</v>
      </c>
      <c r="B89">
        <f>(3/(1+('CurrentPor-Equ Factor Movements'!C89)/100)+103/POWER(1+('CurrentPor-Equ Factor Movements'!D89)/100,2))*100</f>
        <v>9707.5857774288397</v>
      </c>
      <c r="C89">
        <f>(3/(1+('CurrentPor-Equ Factor Movements'!C89+'CurrentPor-Equ Factor Movements'!G89)/100)+103/POWER(1+('CurrentPor-Equ Factor Movements'!D89+'CurrentPor-Equ Factor Movements'!G89)/100,2))*100</f>
        <v>9616.9883154681902</v>
      </c>
      <c r="D89">
        <f>(3/(1+('CurrentPor-Equ Factor Movements'!C89+'CurrentPor-Equ Factor Movements'!H89)/100)+103/POWER(1+('CurrentPor-Equ Factor Movements'!D89+'CurrentPor-Equ Factor Movements'!H89)/100,2))*100</f>
        <v>9603.1810738209624</v>
      </c>
      <c r="E89">
        <f>(3/(1+('CurrentPor-Equ Factor Movements'!C89+'CurrentPor-Equ Factor Movements'!I89)/100)+103/POWER(1+('CurrentPor-Equ Factor Movements'!D89+'CurrentPor-Equ Factor Movements'!I89)/100,2))*100</f>
        <v>9581.8921818048839</v>
      </c>
      <c r="F89">
        <f>Portfolio!B$5*'CurrentPor-Equ Factor Movements'!E89</f>
        <v>52143.895533915893</v>
      </c>
      <c r="G89">
        <f>Portfolio!B$6*'CurrentPor-Equ Factor Movements'!F89</f>
        <v>3696.2945087936532</v>
      </c>
      <c r="H89">
        <f>Portfolio!B$7*'CurrentPor-Equ Factor Movements'!J89</f>
        <v>2148.0998964419859</v>
      </c>
      <c r="I89">
        <f t="shared" si="2"/>
        <v>96497.937287674416</v>
      </c>
      <c r="J89">
        <f t="shared" si="3"/>
        <v>-29.804646782024065</v>
      </c>
    </row>
    <row r="90" spans="1:10">
      <c r="A90" s="1">
        <v>45595</v>
      </c>
      <c r="B90">
        <f>(3/(1+('CurrentPor-Equ Factor Movements'!C90)/100)+103/POWER(1+('CurrentPor-Equ Factor Movements'!D90)/100,2))*100</f>
        <v>9707.5857774288397</v>
      </c>
      <c r="C90">
        <f>(3/(1+('CurrentPor-Equ Factor Movements'!C90+'CurrentPor-Equ Factor Movements'!G90)/100)+103/POWER(1+('CurrentPor-Equ Factor Movements'!D90+'CurrentPor-Equ Factor Movements'!G90)/100,2))*100</f>
        <v>9606.4481695691065</v>
      </c>
      <c r="D90">
        <f>(3/(1+('CurrentPor-Equ Factor Movements'!C90+'CurrentPor-Equ Factor Movements'!H90)/100)+103/POWER(1+('CurrentPor-Equ Factor Movements'!D90+'CurrentPor-Equ Factor Movements'!H90)/100,2))*100</f>
        <v>9591.7648757111601</v>
      </c>
      <c r="E90">
        <f>(3/(1+('CurrentPor-Equ Factor Movements'!C90+'CurrentPor-Equ Factor Movements'!I90)/100)+103/POWER(1+('CurrentPor-Equ Factor Movements'!D90+'CurrentPor-Equ Factor Movements'!I90)/100,2))*100</f>
        <v>9586.1211114799935</v>
      </c>
      <c r="F90">
        <f>Portfolio!B$5*'CurrentPor-Equ Factor Movements'!E90</f>
        <v>52143.895533915893</v>
      </c>
      <c r="G90">
        <f>Portfolio!B$6*'CurrentPor-Equ Factor Movements'!F90</f>
        <v>3696.2945087936532</v>
      </c>
      <c r="H90">
        <f>Portfolio!B$7*'CurrentPor-Equ Factor Movements'!J90</f>
        <v>2148.0998964419859</v>
      </c>
      <c r="I90">
        <f t="shared" si="2"/>
        <v>96480.209873340631</v>
      </c>
      <c r="J90">
        <f t="shared" si="3"/>
        <v>-15.222744134924142</v>
      </c>
    </row>
    <row r="91" spans="1:10">
      <c r="A91" s="1">
        <v>45596</v>
      </c>
      <c r="B91">
        <f>(3/(1+('CurrentPor-Equ Factor Movements'!C91)/100)+103/POWER(1+('CurrentPor-Equ Factor Movements'!D91)/100,2))*100</f>
        <v>9707.5857774288397</v>
      </c>
      <c r="C91">
        <f>(3/(1+('CurrentPor-Equ Factor Movements'!C91+'CurrentPor-Equ Factor Movements'!G91)/100)+103/POWER(1+('CurrentPor-Equ Factor Movements'!D91+'CurrentPor-Equ Factor Movements'!G91)/100,2))*100</f>
        <v>9626.3734212413383</v>
      </c>
      <c r="D91">
        <f>(3/(1+('CurrentPor-Equ Factor Movements'!C91+'CurrentPor-Equ Factor Movements'!H91)/100)+103/POWER(1+('CurrentPor-Equ Factor Movements'!D91+'CurrentPor-Equ Factor Movements'!H91)/100,2))*100</f>
        <v>9591.4161514737589</v>
      </c>
      <c r="E91">
        <f>(3/(1+('CurrentPor-Equ Factor Movements'!C91+'CurrentPor-Equ Factor Movements'!I91)/100)+103/POWER(1+('CurrentPor-Equ Factor Movements'!D91+'CurrentPor-Equ Factor Movements'!I91)/100,2))*100</f>
        <v>9599.5129699269582</v>
      </c>
      <c r="F91">
        <f>Portfolio!B$5*'CurrentPor-Equ Factor Movements'!E91</f>
        <v>52143.895533915893</v>
      </c>
      <c r="G91">
        <f>Portfolio!B$6*'CurrentPor-Equ Factor Movements'!F91</f>
        <v>3696.2945087936532</v>
      </c>
      <c r="H91">
        <f>Portfolio!B$7*'CurrentPor-Equ Factor Movements'!J91</f>
        <v>2148.0998964419859</v>
      </c>
      <c r="I91">
        <f t="shared" si="2"/>
        <v>96513.178259222434</v>
      </c>
      <c r="J91">
        <f t="shared" si="3"/>
        <v>-8.0413962228340097</v>
      </c>
    </row>
    <row r="92" spans="1:10">
      <c r="A92" s="1">
        <v>45597</v>
      </c>
      <c r="B92">
        <f>(3/(1+('CurrentPor-Equ Factor Movements'!C92)/100)+103/POWER(1+('CurrentPor-Equ Factor Movements'!D92)/100,2))*100</f>
        <v>9707.5857774288397</v>
      </c>
      <c r="C92">
        <f>(3/(1+('CurrentPor-Equ Factor Movements'!C92+'CurrentPor-Equ Factor Movements'!G92)/100)+103/POWER(1+('CurrentPor-Equ Factor Movements'!D92+'CurrentPor-Equ Factor Movements'!G92)/100,2))*100</f>
        <v>9602.9829703717533</v>
      </c>
      <c r="D92">
        <f>(3/(1+('CurrentPor-Equ Factor Movements'!C92+'CurrentPor-Equ Factor Movements'!H92)/100)+103/POWER(1+('CurrentPor-Equ Factor Movements'!D92+'CurrentPor-Equ Factor Movements'!H92)/100,2))*100</f>
        <v>9610.5766361259375</v>
      </c>
      <c r="E92">
        <f>(3/(1+('CurrentPor-Equ Factor Movements'!C92+'CurrentPor-Equ Factor Movements'!I92)/100)+103/POWER(1+('CurrentPor-Equ Factor Movements'!D92+'CurrentPor-Equ Factor Movements'!I92)/100,2))*100</f>
        <v>9579.8982780011102</v>
      </c>
      <c r="F92">
        <f>Portfolio!B$5*'CurrentPor-Equ Factor Movements'!E92</f>
        <v>52143.895533915893</v>
      </c>
      <c r="G92">
        <f>Portfolio!B$6*'CurrentPor-Equ Factor Movements'!F92</f>
        <v>3696.2945087936532</v>
      </c>
      <c r="H92">
        <f>Portfolio!B$7*'CurrentPor-Equ Factor Movements'!J92</f>
        <v>2148.0998964419859</v>
      </c>
      <c r="I92">
        <f t="shared" si="2"/>
        <v>96489.333601079168</v>
      </c>
      <c r="J92">
        <f t="shared" si="3"/>
        <v>14.112287130439654</v>
      </c>
    </row>
    <row r="93" spans="1:10">
      <c r="A93" s="1">
        <v>45600</v>
      </c>
      <c r="B93">
        <f>(3/(1+('CurrentPor-Equ Factor Movements'!C93)/100)+103/POWER(1+('CurrentPor-Equ Factor Movements'!D93)/100,2))*100</f>
        <v>9707.5857774288397</v>
      </c>
      <c r="C93">
        <f>(3/(1+('CurrentPor-Equ Factor Movements'!C93+'CurrentPor-Equ Factor Movements'!G93)/100)+103/POWER(1+('CurrentPor-Equ Factor Movements'!D93+'CurrentPor-Equ Factor Movements'!G93)/100,2))*100</f>
        <v>9621.8842668582856</v>
      </c>
      <c r="D93">
        <f>(3/(1+('CurrentPor-Equ Factor Movements'!C93+'CurrentPor-Equ Factor Movements'!H93)/100)+103/POWER(1+('CurrentPor-Equ Factor Movements'!D93+'CurrentPor-Equ Factor Movements'!H93)/100,2))*100</f>
        <v>9579.5431139565317</v>
      </c>
      <c r="E93">
        <f>(3/(1+('CurrentPor-Equ Factor Movements'!C93+'CurrentPor-Equ Factor Movements'!I93)/100)+103/POWER(1+('CurrentPor-Equ Factor Movements'!D93+'CurrentPor-Equ Factor Movements'!I93)/100,2))*100</f>
        <v>9577.8356467337617</v>
      </c>
      <c r="F93">
        <f>Portfolio!B$5*'CurrentPor-Equ Factor Movements'!E93</f>
        <v>52143.895533915893</v>
      </c>
      <c r="G93">
        <f>Portfolio!B$6*'CurrentPor-Equ Factor Movements'!F93</f>
        <v>3696.2945087936532</v>
      </c>
      <c r="H93">
        <f>Portfolio!B$7*'CurrentPor-Equ Factor Movements'!J93</f>
        <v>2148.0998964419859</v>
      </c>
      <c r="I93">
        <f t="shared" si="2"/>
        <v>96475.138744128941</v>
      </c>
      <c r="J93">
        <f t="shared" si="3"/>
        <v>-12.737409872803255</v>
      </c>
    </row>
    <row r="94" spans="1:10">
      <c r="A94" s="1">
        <v>45601</v>
      </c>
      <c r="B94">
        <f>(3/(1+('CurrentPor-Equ Factor Movements'!C94)/100)+103/POWER(1+('CurrentPor-Equ Factor Movements'!D94)/100,2))*100</f>
        <v>9707.5857774288397</v>
      </c>
      <c r="C94">
        <f>(3/(1+('CurrentPor-Equ Factor Movements'!C94+'CurrentPor-Equ Factor Movements'!G94)/100)+103/POWER(1+('CurrentPor-Equ Factor Movements'!D94+'CurrentPor-Equ Factor Movements'!G94)/100,2))*100</f>
        <v>9609.0746548799125</v>
      </c>
      <c r="D94">
        <f>(3/(1+('CurrentPor-Equ Factor Movements'!C94+'CurrentPor-Equ Factor Movements'!H94)/100)+103/POWER(1+('CurrentPor-Equ Factor Movements'!D94+'CurrentPor-Equ Factor Movements'!H94)/100,2))*100</f>
        <v>9593.4968826880904</v>
      </c>
      <c r="E94">
        <f>(3/(1+('CurrentPor-Equ Factor Movements'!C94+'CurrentPor-Equ Factor Movements'!I94)/100)+103/POWER(1+('CurrentPor-Equ Factor Movements'!D94+'CurrentPor-Equ Factor Movements'!I94)/100,2))*100</f>
        <v>9605.1454821940897</v>
      </c>
      <c r="F94">
        <f>Portfolio!B$5*'CurrentPor-Equ Factor Movements'!E94</f>
        <v>52143.895533915893</v>
      </c>
      <c r="G94">
        <f>Portfolio!B$6*'CurrentPor-Equ Factor Movements'!F94</f>
        <v>3696.2945087936532</v>
      </c>
      <c r="H94">
        <f>Portfolio!B$7*'CurrentPor-Equ Factor Movements'!J94</f>
        <v>2148.0998964419859</v>
      </c>
      <c r="I94">
        <f t="shared" si="2"/>
        <v>96503.592736342471</v>
      </c>
      <c r="J94">
        <f t="shared" si="3"/>
        <v>-23.444669981225161</v>
      </c>
    </row>
    <row r="95" spans="1:10">
      <c r="A95" s="1">
        <v>45602</v>
      </c>
      <c r="B95">
        <f>(3/(1+('CurrentPor-Equ Factor Movements'!C95)/100)+103/POWER(1+('CurrentPor-Equ Factor Movements'!D95)/100,2))*100</f>
        <v>9707.5857774288397</v>
      </c>
      <c r="C95">
        <f>(3/(1+('CurrentPor-Equ Factor Movements'!C95+'CurrentPor-Equ Factor Movements'!G95)/100)+103/POWER(1+('CurrentPor-Equ Factor Movements'!D95+'CurrentPor-Equ Factor Movements'!G95)/100,2))*100</f>
        <v>9625.3117159291251</v>
      </c>
      <c r="D95">
        <f>(3/(1+('CurrentPor-Equ Factor Movements'!C95+'CurrentPor-Equ Factor Movements'!H95)/100)+103/POWER(1+('CurrentPor-Equ Factor Movements'!D95+'CurrentPor-Equ Factor Movements'!H95)/100,2))*100</f>
        <v>9591.3513134122859</v>
      </c>
      <c r="E95">
        <f>(3/(1+('CurrentPor-Equ Factor Movements'!C95+'CurrentPor-Equ Factor Movements'!I95)/100)+103/POWER(1+('CurrentPor-Equ Factor Movements'!D95+'CurrentPor-Equ Factor Movements'!I95)/100,2))*100</f>
        <v>9595.0505016242132</v>
      </c>
      <c r="F95">
        <f>Portfolio!B$5*'CurrentPor-Equ Factor Movements'!E95</f>
        <v>52143.895533915893</v>
      </c>
      <c r="G95">
        <f>Portfolio!B$6*'CurrentPor-Equ Factor Movements'!F95</f>
        <v>3696.2945087936532</v>
      </c>
      <c r="H95">
        <f>Portfolio!B$7*'CurrentPor-Equ Factor Movements'!J95</f>
        <v>2148.0998964419859</v>
      </c>
      <c r="I95">
        <f t="shared" si="2"/>
        <v>96507.589247545999</v>
      </c>
      <c r="J95">
        <f t="shared" si="3"/>
        <v>-22.703763044526568</v>
      </c>
    </row>
    <row r="96" spans="1:10">
      <c r="A96" s="1">
        <v>45603</v>
      </c>
      <c r="B96">
        <f>(3/(1+('CurrentPor-Equ Factor Movements'!C96)/100)+103/POWER(1+('CurrentPor-Equ Factor Movements'!D96)/100,2))*100</f>
        <v>9707.5857774288397</v>
      </c>
      <c r="C96">
        <f>(3/(1+('CurrentPor-Equ Factor Movements'!C96+'CurrentPor-Equ Factor Movements'!G96)/100)+103/POWER(1+('CurrentPor-Equ Factor Movements'!D96+'CurrentPor-Equ Factor Movements'!G96)/100,2))*100</f>
        <v>9611.4048490675123</v>
      </c>
      <c r="D96">
        <f>(3/(1+('CurrentPor-Equ Factor Movements'!C96+'CurrentPor-Equ Factor Movements'!H96)/100)+103/POWER(1+('CurrentPor-Equ Factor Movements'!D96+'CurrentPor-Equ Factor Movements'!H96)/100,2))*100</f>
        <v>9593.1732145835758</v>
      </c>
      <c r="E96">
        <f>(3/(1+('CurrentPor-Equ Factor Movements'!C96+'CurrentPor-Equ Factor Movements'!I96)/100)+103/POWER(1+('CurrentPor-Equ Factor Movements'!D96+'CurrentPor-Equ Factor Movements'!I96)/100,2))*100</f>
        <v>9588.3511724056661</v>
      </c>
      <c r="F96">
        <f>Portfolio!B$5*'CurrentPor-Equ Factor Movements'!E96</f>
        <v>52143.895533915893</v>
      </c>
      <c r="G96">
        <f>Portfolio!B$6*'CurrentPor-Equ Factor Movements'!F96</f>
        <v>3696.2945087936532</v>
      </c>
      <c r="H96">
        <f>Portfolio!B$7*'CurrentPor-Equ Factor Movements'!J96</f>
        <v>2148.0998964419859</v>
      </c>
      <c r="I96">
        <f t="shared" si="2"/>
        <v>96488.804952637132</v>
      </c>
      <c r="J96">
        <f t="shared" si="3"/>
        <v>-13.36733189986262</v>
      </c>
    </row>
    <row r="97" spans="1:10">
      <c r="A97" s="1">
        <v>45604</v>
      </c>
      <c r="B97">
        <f>(3/(1+('CurrentPor-Equ Factor Movements'!C97)/100)+103/POWER(1+('CurrentPor-Equ Factor Movements'!D97)/100,2))*100</f>
        <v>9707.5857774288397</v>
      </c>
      <c r="C97">
        <f>(3/(1+('CurrentPor-Equ Factor Movements'!C97+'CurrentPor-Equ Factor Movements'!G97)/100)+103/POWER(1+('CurrentPor-Equ Factor Movements'!D97+'CurrentPor-Equ Factor Movements'!G97)/100,2))*100</f>
        <v>9615.774422939272</v>
      </c>
      <c r="D97">
        <f>(3/(1+('CurrentPor-Equ Factor Movements'!C97+'CurrentPor-Equ Factor Movements'!H97)/100)+103/POWER(1+('CurrentPor-Equ Factor Movements'!D97+'CurrentPor-Equ Factor Movements'!H97)/100,2))*100</f>
        <v>9610.7805573542209</v>
      </c>
      <c r="E97">
        <f>(3/(1+('CurrentPor-Equ Factor Movements'!C97+'CurrentPor-Equ Factor Movements'!I97)/100)+103/POWER(1+('CurrentPor-Equ Factor Movements'!D97+'CurrentPor-Equ Factor Movements'!I97)/100,2))*100</f>
        <v>9561.623364853278</v>
      </c>
      <c r="F97">
        <f>Portfolio!B$5*'CurrentPor-Equ Factor Movements'!E97</f>
        <v>52143.895533915893</v>
      </c>
      <c r="G97">
        <f>Portfolio!B$6*'CurrentPor-Equ Factor Movements'!F97</f>
        <v>3696.2945087936532</v>
      </c>
      <c r="H97">
        <f>Portfolio!B$7*'CurrentPor-Equ Factor Movements'!J97</f>
        <v>2148.0998964419859</v>
      </c>
      <c r="I97">
        <f t="shared" si="2"/>
        <v>96484.054061727147</v>
      </c>
      <c r="J97">
        <f t="shared" si="3"/>
        <v>-49.993019427056424</v>
      </c>
    </row>
    <row r="98" spans="1:10">
      <c r="A98" s="1">
        <v>45607</v>
      </c>
      <c r="B98">
        <f>(3/(1+('CurrentPor-Equ Factor Movements'!C98)/100)+103/POWER(1+('CurrentPor-Equ Factor Movements'!D98)/100,2))*100</f>
        <v>9707.5857774288397</v>
      </c>
      <c r="C98">
        <f>(3/(1+('CurrentPor-Equ Factor Movements'!C98+'CurrentPor-Equ Factor Movements'!G98)/100)+103/POWER(1+('CurrentPor-Equ Factor Movements'!D98+'CurrentPor-Equ Factor Movements'!G98)/100,2))*100</f>
        <v>9608.0962652148701</v>
      </c>
      <c r="D98">
        <f>(3/(1+('CurrentPor-Equ Factor Movements'!C98+'CurrentPor-Equ Factor Movements'!H98)/100)+103/POWER(1+('CurrentPor-Equ Factor Movements'!D98+'CurrentPor-Equ Factor Movements'!H98)/100,2))*100</f>
        <v>9610.2106301654421</v>
      </c>
      <c r="E98">
        <f>(3/(1+('CurrentPor-Equ Factor Movements'!C98+'CurrentPor-Equ Factor Movements'!I98)/100)+103/POWER(1+('CurrentPor-Equ Factor Movements'!D98+'CurrentPor-Equ Factor Movements'!I98)/100,2))*100</f>
        <v>9587.0801806039544</v>
      </c>
      <c r="F98">
        <f>Portfolio!B$5*'CurrentPor-Equ Factor Movements'!E98</f>
        <v>52143.895533915893</v>
      </c>
      <c r="G98">
        <f>Portfolio!B$6*'CurrentPor-Equ Factor Movements'!F98</f>
        <v>3696.2945087936532</v>
      </c>
      <c r="H98">
        <f>Portfolio!B$7*'CurrentPor-Equ Factor Movements'!J98</f>
        <v>2148.0998964419859</v>
      </c>
      <c r="I98">
        <f t="shared" si="2"/>
        <v>96501.262792564637</v>
      </c>
      <c r="J98">
        <f t="shared" si="3"/>
        <v>13.08011102087039</v>
      </c>
    </row>
    <row r="99" spans="1:10">
      <c r="A99" s="1">
        <v>45608</v>
      </c>
      <c r="B99">
        <f>(3/(1+('CurrentPor-Equ Factor Movements'!C99)/100)+103/POWER(1+('CurrentPor-Equ Factor Movements'!D99)/100,2))*100</f>
        <v>9707.5857774288397</v>
      </c>
      <c r="C99">
        <f>(3/(1+('CurrentPor-Equ Factor Movements'!C99+'CurrentPor-Equ Factor Movements'!G99)/100)+103/POWER(1+('CurrentPor-Equ Factor Movements'!D99+'CurrentPor-Equ Factor Movements'!G99)/100,2))*100</f>
        <v>9616.0685832701529</v>
      </c>
      <c r="D99">
        <f>(3/(1+('CurrentPor-Equ Factor Movements'!C99+'CurrentPor-Equ Factor Movements'!H99)/100)+103/POWER(1+('CurrentPor-Equ Factor Movements'!D99+'CurrentPor-Equ Factor Movements'!H99)/100,2))*100</f>
        <v>9614.5692701824719</v>
      </c>
      <c r="E99">
        <f>(3/(1+('CurrentPor-Equ Factor Movements'!C99+'CurrentPor-Equ Factor Movements'!I99)/100)+103/POWER(1+('CurrentPor-Equ Factor Movements'!D99+'CurrentPor-Equ Factor Movements'!I99)/100,2))*100</f>
        <v>9585.4609485353194</v>
      </c>
      <c r="F99">
        <f>Portfolio!B$5*'CurrentPor-Equ Factor Movements'!E99</f>
        <v>52143.895533915893</v>
      </c>
      <c r="G99">
        <f>Portfolio!B$6*'CurrentPor-Equ Factor Movements'!F99</f>
        <v>3696.2945087936532</v>
      </c>
      <c r="H99">
        <f>Portfolio!B$7*'CurrentPor-Equ Factor Movements'!J99</f>
        <v>2148.0998964419859</v>
      </c>
      <c r="I99">
        <f t="shared" si="2"/>
        <v>96511.974518568328</v>
      </c>
      <c r="J99">
        <f t="shared" si="3"/>
        <v>14.037230893911328</v>
      </c>
    </row>
    <row r="100" spans="1:10">
      <c r="A100" s="1">
        <v>45609</v>
      </c>
      <c r="B100">
        <f>(3/(1+('CurrentPor-Equ Factor Movements'!C100)/100)+103/POWER(1+('CurrentPor-Equ Factor Movements'!D100)/100,2))*100</f>
        <v>9707.5857774288397</v>
      </c>
      <c r="C100">
        <f>(3/(1+('CurrentPor-Equ Factor Movements'!C100+'CurrentPor-Equ Factor Movements'!G100)/100)+103/POWER(1+('CurrentPor-Equ Factor Movements'!D100+'CurrentPor-Equ Factor Movements'!G100)/100,2))*100</f>
        <v>9625.4601008866521</v>
      </c>
      <c r="D100">
        <f>(3/(1+('CurrentPor-Equ Factor Movements'!C100+'CurrentPor-Equ Factor Movements'!H100)/100)+103/POWER(1+('CurrentPor-Equ Factor Movements'!D100+'CurrentPor-Equ Factor Movements'!H100)/100,2))*100</f>
        <v>9604.2740746880081</v>
      </c>
      <c r="E100">
        <f>(3/(1+('CurrentPor-Equ Factor Movements'!C100+'CurrentPor-Equ Factor Movements'!I100)/100)+103/POWER(1+('CurrentPor-Equ Factor Movements'!D100+'CurrentPor-Equ Factor Movements'!I100)/100,2))*100</f>
        <v>9589.8510847911421</v>
      </c>
      <c r="F100">
        <f>Portfolio!B$5*'CurrentPor-Equ Factor Movements'!E100</f>
        <v>52143.895533915893</v>
      </c>
      <c r="G100">
        <f>Portfolio!B$6*'CurrentPor-Equ Factor Movements'!F100</f>
        <v>3696.2945087936532</v>
      </c>
      <c r="H100">
        <f>Portfolio!B$7*'CurrentPor-Equ Factor Movements'!J100</f>
        <v>2148.0998964419859</v>
      </c>
      <c r="I100">
        <f t="shared" si="2"/>
        <v>96515.460976946182</v>
      </c>
      <c r="J100">
        <f t="shared" si="3"/>
        <v>35.251103605551179</v>
      </c>
    </row>
    <row r="101" spans="1:10">
      <c r="A101" s="1">
        <v>45610</v>
      </c>
      <c r="B101">
        <f>(3/(1+('CurrentPor-Equ Factor Movements'!C101)/100)+103/POWER(1+('CurrentPor-Equ Factor Movements'!D101)/100,2))*100</f>
        <v>9707.5857774288397</v>
      </c>
      <c r="C101">
        <f>(3/(1+('CurrentPor-Equ Factor Movements'!C101+'CurrentPor-Equ Factor Movements'!G101)/100)+103/POWER(1+('CurrentPor-Equ Factor Movements'!D101+'CurrentPor-Equ Factor Movements'!G101)/100,2))*100</f>
        <v>9606.6197211962553</v>
      </c>
      <c r="D101">
        <f>(3/(1+('CurrentPor-Equ Factor Movements'!C101+'CurrentPor-Equ Factor Movements'!H101)/100)+103/POWER(1+('CurrentPor-Equ Factor Movements'!D101+'CurrentPor-Equ Factor Movements'!H101)/100,2))*100</f>
        <v>9589.5385840026956</v>
      </c>
      <c r="E101">
        <f>(3/(1+('CurrentPor-Equ Factor Movements'!C101+'CurrentPor-Equ Factor Movements'!I101)/100)+103/POWER(1+('CurrentPor-Equ Factor Movements'!D101+'CurrentPor-Equ Factor Movements'!I101)/100,2))*100</f>
        <v>9586.0416101531191</v>
      </c>
      <c r="F101">
        <f>Portfolio!B$5*'CurrentPor-Equ Factor Movements'!E101</f>
        <v>52143.895533915893</v>
      </c>
      <c r="G101">
        <f>Portfolio!B$6*'CurrentPor-Equ Factor Movements'!F101</f>
        <v>3696.2945087936532</v>
      </c>
      <c r="H101">
        <f>Portfolio!B$7*'CurrentPor-Equ Factor Movements'!J101</f>
        <v>2148.0998964419859</v>
      </c>
      <c r="I101">
        <f t="shared" si="2"/>
        <v>96478.075631932428</v>
      </c>
      <c r="J101">
        <f t="shared" si="3"/>
        <v>-35.10262729000533</v>
      </c>
    </row>
    <row r="102" spans="1:10">
      <c r="A102" s="1">
        <v>45611</v>
      </c>
      <c r="B102">
        <f>(3/(1+('CurrentPor-Equ Factor Movements'!C102)/100)+103/POWER(1+('CurrentPor-Equ Factor Movements'!D102)/100,2))*100</f>
        <v>9707.5857774288397</v>
      </c>
      <c r="C102">
        <f>(3/(1+('CurrentPor-Equ Factor Movements'!C102+'CurrentPor-Equ Factor Movements'!G102)/100)+103/POWER(1+('CurrentPor-Equ Factor Movements'!D102+'CurrentPor-Equ Factor Movements'!G102)/100,2))*100</f>
        <v>9592.5807857694181</v>
      </c>
      <c r="D102">
        <f>(3/(1+('CurrentPor-Equ Factor Movements'!C102+'CurrentPor-Equ Factor Movements'!H102)/100)+103/POWER(1+('CurrentPor-Equ Factor Movements'!D102+'CurrentPor-Equ Factor Movements'!H102)/100,2))*100</f>
        <v>9586.5844158522777</v>
      </c>
      <c r="E102">
        <f>(3/(1+('CurrentPor-Equ Factor Movements'!C102+'CurrentPor-Equ Factor Movements'!I102)/100)+103/POWER(1+('CurrentPor-Equ Factor Movements'!D102+'CurrentPor-Equ Factor Movements'!I102)/100,2))*100</f>
        <v>9574.9093144145227</v>
      </c>
      <c r="F102">
        <f>Portfolio!B$5*'CurrentPor-Equ Factor Movements'!E102</f>
        <v>52143.895533915893</v>
      </c>
      <c r="G102">
        <f>Portfolio!B$6*'CurrentPor-Equ Factor Movements'!F102</f>
        <v>3696.2945087936532</v>
      </c>
      <c r="H102">
        <f>Portfolio!B$7*'CurrentPor-Equ Factor Movements'!J102</f>
        <v>2148.0998964419859</v>
      </c>
      <c r="I102">
        <f t="shared" si="2"/>
        <v>96449.950232616582</v>
      </c>
      <c r="J102">
        <f t="shared" si="3"/>
        <v>-39.383368462586077</v>
      </c>
    </row>
    <row r="103" spans="1:10">
      <c r="A103" s="1">
        <v>45614</v>
      </c>
      <c r="B103">
        <f>(3/(1+('CurrentPor-Equ Factor Movements'!C103)/100)+103/POWER(1+('CurrentPor-Equ Factor Movements'!D103)/100,2))*100</f>
        <v>9707.5857774288397</v>
      </c>
      <c r="C103">
        <f>(3/(1+('CurrentPor-Equ Factor Movements'!C103+'CurrentPor-Equ Factor Movements'!G103)/100)+103/POWER(1+('CurrentPor-Equ Factor Movements'!D103+'CurrentPor-Equ Factor Movements'!G103)/100,2))*100</f>
        <v>9610.3191046056672</v>
      </c>
      <c r="D103">
        <f>(3/(1+('CurrentPor-Equ Factor Movements'!C103+'CurrentPor-Equ Factor Movements'!H103)/100)+103/POWER(1+('CurrentPor-Equ Factor Movements'!D103+'CurrentPor-Equ Factor Movements'!H103)/100,2))*100</f>
        <v>9595.3961628176676</v>
      </c>
      <c r="E103">
        <f>(3/(1+('CurrentPor-Equ Factor Movements'!C103+'CurrentPor-Equ Factor Movements'!I103)/100)+103/POWER(1+('CurrentPor-Equ Factor Movements'!D103+'CurrentPor-Equ Factor Movements'!I103)/100,2))*100</f>
        <v>9589.9898273013114</v>
      </c>
      <c r="F103">
        <f>Portfolio!B$5*'CurrentPor-Equ Factor Movements'!E103</f>
        <v>52143.895533915893</v>
      </c>
      <c r="G103">
        <f>Portfolio!B$6*'CurrentPor-Equ Factor Movements'!F103</f>
        <v>3696.2945087936532</v>
      </c>
      <c r="H103">
        <f>Portfolio!B$7*'CurrentPor-Equ Factor Movements'!J103</f>
        <v>2148.0998964419859</v>
      </c>
      <c r="I103">
        <f t="shared" si="2"/>
        <v>96491.580811305015</v>
      </c>
      <c r="J103">
        <f t="shared" si="3"/>
        <v>16.442067176074488</v>
      </c>
    </row>
    <row r="104" spans="1:10">
      <c r="A104" s="1">
        <v>45615</v>
      </c>
      <c r="B104">
        <f>(3/(1+('CurrentPor-Equ Factor Movements'!C104)/100)+103/POWER(1+('CurrentPor-Equ Factor Movements'!D104)/100,2))*100</f>
        <v>9707.5857774288397</v>
      </c>
      <c r="C104">
        <f>(3/(1+('CurrentPor-Equ Factor Movements'!C104+'CurrentPor-Equ Factor Movements'!G104)/100)+103/POWER(1+('CurrentPor-Equ Factor Movements'!D104+'CurrentPor-Equ Factor Movements'!G104)/100,2))*100</f>
        <v>9624.8682696530796</v>
      </c>
      <c r="D104">
        <f>(3/(1+('CurrentPor-Equ Factor Movements'!C104+'CurrentPor-Equ Factor Movements'!H104)/100)+103/POWER(1+('CurrentPor-Equ Factor Movements'!D104+'CurrentPor-Equ Factor Movements'!H104)/100,2))*100</f>
        <v>9579.7393684370145</v>
      </c>
      <c r="E104">
        <f>(3/(1+('CurrentPor-Equ Factor Movements'!C104+'CurrentPor-Equ Factor Movements'!I104)/100)+103/POWER(1+('CurrentPor-Equ Factor Movements'!D104+'CurrentPor-Equ Factor Movements'!I104)/100,2))*100</f>
        <v>9587.0191014337943</v>
      </c>
      <c r="F104">
        <f>Portfolio!B$5*'CurrentPor-Equ Factor Movements'!E104</f>
        <v>52143.895533915893</v>
      </c>
      <c r="G104">
        <f>Portfolio!B$6*'CurrentPor-Equ Factor Movements'!F104</f>
        <v>3696.2945087936532</v>
      </c>
      <c r="H104">
        <f>Portfolio!B$7*'CurrentPor-Equ Factor Movements'!J104</f>
        <v>2148.0998964419859</v>
      </c>
      <c r="I104">
        <f t="shared" si="2"/>
        <v>96487.502456104252</v>
      </c>
      <c r="J104">
        <f t="shared" si="3"/>
        <v>-16.090280238218838</v>
      </c>
    </row>
    <row r="105" spans="1:10">
      <c r="A105" s="1">
        <v>45616</v>
      </c>
      <c r="B105">
        <f>(3/(1+('CurrentPor-Equ Factor Movements'!C105)/100)+103/POWER(1+('CurrentPor-Equ Factor Movements'!D105)/100,2))*100</f>
        <v>9707.5857774288397</v>
      </c>
      <c r="C105">
        <f>(3/(1+('CurrentPor-Equ Factor Movements'!C105+'CurrentPor-Equ Factor Movements'!G105)/100)+103/POWER(1+('CurrentPor-Equ Factor Movements'!D105+'CurrentPor-Equ Factor Movements'!G105)/100,2))*100</f>
        <v>9616.0350544396533</v>
      </c>
      <c r="D105">
        <f>(3/(1+('CurrentPor-Equ Factor Movements'!C105+'CurrentPor-Equ Factor Movements'!H105)/100)+103/POWER(1+('CurrentPor-Equ Factor Movements'!D105+'CurrentPor-Equ Factor Movements'!H105)/100,2))*100</f>
        <v>9602.9408177667756</v>
      </c>
      <c r="E105">
        <f>(3/(1+('CurrentPor-Equ Factor Movements'!C105+'CurrentPor-Equ Factor Movements'!I105)/100)+103/POWER(1+('CurrentPor-Equ Factor Movements'!D105+'CurrentPor-Equ Factor Movements'!I105)/100,2))*100</f>
        <v>9583.1829194477978</v>
      </c>
      <c r="F105">
        <f>Portfolio!B$5*'CurrentPor-Equ Factor Movements'!E105</f>
        <v>52143.895533915893</v>
      </c>
      <c r="G105">
        <f>Portfolio!B$6*'CurrentPor-Equ Factor Movements'!F105</f>
        <v>3696.2945087936532</v>
      </c>
      <c r="H105">
        <f>Portfolio!B$7*'CurrentPor-Equ Factor Movements'!J105</f>
        <v>2148.0998964419859</v>
      </c>
      <c r="I105">
        <f t="shared" si="2"/>
        <v>96498.034508234603</v>
      </c>
      <c r="J105">
        <f t="shared" si="3"/>
        <v>-9.5547393113956787</v>
      </c>
    </row>
    <row r="106" spans="1:10">
      <c r="A106" s="1">
        <v>45617</v>
      </c>
      <c r="B106">
        <f>(3/(1+('CurrentPor-Equ Factor Movements'!C106)/100)+103/POWER(1+('CurrentPor-Equ Factor Movements'!D106)/100,2))*100</f>
        <v>9707.5857774288397</v>
      </c>
      <c r="C106">
        <f>(3/(1+('CurrentPor-Equ Factor Movements'!C106+'CurrentPor-Equ Factor Movements'!G106)/100)+103/POWER(1+('CurrentPor-Equ Factor Movements'!D106+'CurrentPor-Equ Factor Movements'!G106)/100,2))*100</f>
        <v>9622.9645198670078</v>
      </c>
      <c r="D106">
        <f>(3/(1+('CurrentPor-Equ Factor Movements'!C106+'CurrentPor-Equ Factor Movements'!H106)/100)+103/POWER(1+('CurrentPor-Equ Factor Movements'!D106+'CurrentPor-Equ Factor Movements'!H106)/100,2))*100</f>
        <v>9616.6122992005567</v>
      </c>
      <c r="E106">
        <f>(3/(1+('CurrentPor-Equ Factor Movements'!C106+'CurrentPor-Equ Factor Movements'!I106)/100)+103/POWER(1+('CurrentPor-Equ Factor Movements'!D106+'CurrentPor-Equ Factor Movements'!I106)/100,2))*100</f>
        <v>9569.1906946386789</v>
      </c>
      <c r="F106">
        <f>Portfolio!B$5*'CurrentPor-Equ Factor Movements'!E106</f>
        <v>52143.895533915893</v>
      </c>
      <c r="G106">
        <f>Portfolio!B$6*'CurrentPor-Equ Factor Movements'!F106</f>
        <v>3696.2945087936532</v>
      </c>
      <c r="H106">
        <f>Portfolio!B$7*'CurrentPor-Equ Factor Movements'!J106</f>
        <v>2148.0998964419859</v>
      </c>
      <c r="I106">
        <f t="shared" si="2"/>
        <v>96504.643230286616</v>
      </c>
      <c r="J106">
        <f t="shared" si="3"/>
        <v>15.838277649483643</v>
      </c>
    </row>
    <row r="107" spans="1:10">
      <c r="A107" s="1">
        <v>45618</v>
      </c>
      <c r="B107">
        <f>(3/(1+('CurrentPor-Equ Factor Movements'!C107)/100)+103/POWER(1+('CurrentPor-Equ Factor Movements'!D107)/100,2))*100</f>
        <v>9707.5857774288397</v>
      </c>
      <c r="C107">
        <f>(3/(1+('CurrentPor-Equ Factor Movements'!C107+'CurrentPor-Equ Factor Movements'!G107)/100)+103/POWER(1+('CurrentPor-Equ Factor Movements'!D107+'CurrentPor-Equ Factor Movements'!G107)/100,2))*100</f>
        <v>9616.8248135589638</v>
      </c>
      <c r="D107">
        <f>(3/(1+('CurrentPor-Equ Factor Movements'!C107+'CurrentPor-Equ Factor Movements'!H107)/100)+103/POWER(1+('CurrentPor-Equ Factor Movements'!D107+'CurrentPor-Equ Factor Movements'!H107)/100,2))*100</f>
        <v>9607.8694681233392</v>
      </c>
      <c r="E107">
        <f>(3/(1+('CurrentPor-Equ Factor Movements'!C107+'CurrentPor-Equ Factor Movements'!I107)/100)+103/POWER(1+('CurrentPor-Equ Factor Movements'!D107+'CurrentPor-Equ Factor Movements'!I107)/100,2))*100</f>
        <v>9576.7771840324767</v>
      </c>
      <c r="F107">
        <f>Portfolio!B$5*'CurrentPor-Equ Factor Movements'!E107</f>
        <v>52143.895533915893</v>
      </c>
      <c r="G107">
        <f>Portfolio!B$6*'CurrentPor-Equ Factor Movements'!F107</f>
        <v>3696.2945087936532</v>
      </c>
      <c r="H107">
        <f>Portfolio!B$7*'CurrentPor-Equ Factor Movements'!J107</f>
        <v>2148.0998964419859</v>
      </c>
      <c r="I107">
        <f t="shared" si="2"/>
        <v>96497.347182295154</v>
      </c>
      <c r="J107">
        <f t="shared" si="3"/>
        <v>13.293120568006998</v>
      </c>
    </row>
    <row r="108" spans="1:10">
      <c r="A108" s="1">
        <v>45621</v>
      </c>
      <c r="B108">
        <f>(3/(1+('CurrentPor-Equ Factor Movements'!C108)/100)+103/POWER(1+('CurrentPor-Equ Factor Movements'!D108)/100,2))*100</f>
        <v>9707.5857774288397</v>
      </c>
      <c r="C108">
        <f>(3/(1+('CurrentPor-Equ Factor Movements'!C108+'CurrentPor-Equ Factor Movements'!G108)/100)+103/POWER(1+('CurrentPor-Equ Factor Movements'!D108+'CurrentPor-Equ Factor Movements'!G108)/100,2))*100</f>
        <v>9609.5773270111476</v>
      </c>
      <c r="D108">
        <f>(3/(1+('CurrentPor-Equ Factor Movements'!C108+'CurrentPor-Equ Factor Movements'!H108)/100)+103/POWER(1+('CurrentPor-Equ Factor Movements'!D108+'CurrentPor-Equ Factor Movements'!H108)/100,2))*100</f>
        <v>9577.2441200008889</v>
      </c>
      <c r="E108">
        <f>(3/(1+('CurrentPor-Equ Factor Movements'!C108+'CurrentPor-Equ Factor Movements'!I108)/100)+103/POWER(1+('CurrentPor-Equ Factor Movements'!D108+'CurrentPor-Equ Factor Movements'!I108)/100,2))*100</f>
        <v>9572.2414007511579</v>
      </c>
      <c r="F108">
        <f>Portfolio!B$5*'CurrentPor-Equ Factor Movements'!E108</f>
        <v>52143.895533915893</v>
      </c>
      <c r="G108">
        <f>Portfolio!B$6*'CurrentPor-Equ Factor Movements'!F108</f>
        <v>3696.2945087936532</v>
      </c>
      <c r="H108">
        <f>Portfolio!B$7*'CurrentPor-Equ Factor Movements'!J108</f>
        <v>2148.0998964419859</v>
      </c>
      <c r="I108">
        <f t="shared" si="2"/>
        <v>96454.938564343567</v>
      </c>
      <c r="J108">
        <f t="shared" si="3"/>
        <v>-46.324228221070371</v>
      </c>
    </row>
    <row r="109" spans="1:10">
      <c r="A109" s="1">
        <v>45622</v>
      </c>
      <c r="B109">
        <f>(3/(1+('CurrentPor-Equ Factor Movements'!C109)/100)+103/POWER(1+('CurrentPor-Equ Factor Movements'!D109)/100,2))*100</f>
        <v>9707.5857774288397</v>
      </c>
      <c r="C109">
        <f>(3/(1+('CurrentPor-Equ Factor Movements'!C109+'CurrentPor-Equ Factor Movements'!G109)/100)+103/POWER(1+('CurrentPor-Equ Factor Movements'!D109+'CurrentPor-Equ Factor Movements'!G109)/100,2))*100</f>
        <v>9618.525067909577</v>
      </c>
      <c r="D109">
        <f>(3/(1+('CurrentPor-Equ Factor Movements'!C109+'CurrentPor-Equ Factor Movements'!H109)/100)+103/POWER(1+('CurrentPor-Equ Factor Movements'!D109+'CurrentPor-Equ Factor Movements'!H109)/100,2))*100</f>
        <v>9617.7905273520482</v>
      </c>
      <c r="E109">
        <f>(3/(1+('CurrentPor-Equ Factor Movements'!C109+'CurrentPor-Equ Factor Movements'!I109)/100)+103/POWER(1+('CurrentPor-Equ Factor Movements'!D109+'CurrentPor-Equ Factor Movements'!I109)/100,2))*100</f>
        <v>9587.0510719785125</v>
      </c>
      <c r="F109">
        <f>Portfolio!B$5*'CurrentPor-Equ Factor Movements'!E109</f>
        <v>52143.895533915893</v>
      </c>
      <c r="G109">
        <f>Portfolio!B$6*'CurrentPor-Equ Factor Movements'!F109</f>
        <v>3696.2945087936532</v>
      </c>
      <c r="H109">
        <f>Portfolio!B$7*'CurrentPor-Equ Factor Movements'!J109</f>
        <v>2148.0998964419859</v>
      </c>
      <c r="I109">
        <f t="shared" si="2"/>
        <v>96519.242383820514</v>
      </c>
      <c r="J109">
        <f t="shared" si="3"/>
        <v>7.2678652521863114</v>
      </c>
    </row>
    <row r="110" spans="1:10">
      <c r="A110" s="1">
        <v>45623</v>
      </c>
      <c r="B110">
        <f>(3/(1+('CurrentPor-Equ Factor Movements'!C110)/100)+103/POWER(1+('CurrentPor-Equ Factor Movements'!D110)/100,2))*100</f>
        <v>9707.5857774288397</v>
      </c>
      <c r="C110">
        <f>(3/(1+('CurrentPor-Equ Factor Movements'!C110+'CurrentPor-Equ Factor Movements'!G110)/100)+103/POWER(1+('CurrentPor-Equ Factor Movements'!D110+'CurrentPor-Equ Factor Movements'!G110)/100,2))*100</f>
        <v>9614.6315383514211</v>
      </c>
      <c r="D110">
        <f>(3/(1+('CurrentPor-Equ Factor Movements'!C110+'CurrentPor-Equ Factor Movements'!H110)/100)+103/POWER(1+('CurrentPor-Equ Factor Movements'!D110+'CurrentPor-Equ Factor Movements'!H110)/100,2))*100</f>
        <v>9588.9028036913733</v>
      </c>
      <c r="E110">
        <f>(3/(1+('CurrentPor-Equ Factor Movements'!C110+'CurrentPor-Equ Factor Movements'!I110)/100)+103/POWER(1+('CurrentPor-Equ Factor Movements'!D110+'CurrentPor-Equ Factor Movements'!I110)/100,2))*100</f>
        <v>9598.1148903215144</v>
      </c>
      <c r="F110">
        <f>Portfolio!B$5*'CurrentPor-Equ Factor Movements'!E110</f>
        <v>52143.895533915893</v>
      </c>
      <c r="G110">
        <f>Portfolio!B$6*'CurrentPor-Equ Factor Movements'!F110</f>
        <v>3696.2945087936532</v>
      </c>
      <c r="H110">
        <f>Portfolio!B$7*'CurrentPor-Equ Factor Movements'!J110</f>
        <v>2148.0998964419859</v>
      </c>
      <c r="I110">
        <f t="shared" si="2"/>
        <v>96497.524948944672</v>
      </c>
      <c r="J110">
        <f t="shared" si="3"/>
        <v>-17.93602800150984</v>
      </c>
    </row>
    <row r="111" spans="1:10">
      <c r="A111" s="1">
        <v>45624</v>
      </c>
      <c r="B111">
        <f>(3/(1+('CurrentPor-Equ Factor Movements'!C111)/100)+103/POWER(1+('CurrentPor-Equ Factor Movements'!D111)/100,2))*100</f>
        <v>9707.5857774288397</v>
      </c>
      <c r="C111">
        <f>(3/(1+('CurrentPor-Equ Factor Movements'!C111+'CurrentPor-Equ Factor Movements'!G111)/100)+103/POWER(1+('CurrentPor-Equ Factor Movements'!D111+'CurrentPor-Equ Factor Movements'!G111)/100,2))*100</f>
        <v>9616.1558610645861</v>
      </c>
      <c r="D111">
        <f>(3/(1+('CurrentPor-Equ Factor Movements'!C111+'CurrentPor-Equ Factor Movements'!H111)/100)+103/POWER(1+('CurrentPor-Equ Factor Movements'!D111+'CurrentPor-Equ Factor Movements'!H111)/100,2))*100</f>
        <v>9597.7846710584272</v>
      </c>
      <c r="E111">
        <f>(3/(1+('CurrentPor-Equ Factor Movements'!C111+'CurrentPor-Equ Factor Movements'!I111)/100)+103/POWER(1+('CurrentPor-Equ Factor Movements'!D111+'CurrentPor-Equ Factor Movements'!I111)/100,2))*100</f>
        <v>9602.1850632969981</v>
      </c>
      <c r="F111">
        <f>Portfolio!B$5*'CurrentPor-Equ Factor Movements'!E111</f>
        <v>52143.895533915893</v>
      </c>
      <c r="G111">
        <f>Portfolio!B$6*'CurrentPor-Equ Factor Movements'!F111</f>
        <v>3696.2945087936532</v>
      </c>
      <c r="H111">
        <f>Portfolio!B$7*'CurrentPor-Equ Factor Movements'!J111</f>
        <v>2148.0998964419859</v>
      </c>
      <c r="I111">
        <f t="shared" si="2"/>
        <v>96512.001312000371</v>
      </c>
      <c r="J111">
        <f t="shared" si="3"/>
        <v>33.925680067943176</v>
      </c>
    </row>
    <row r="112" spans="1:10">
      <c r="A112" s="1">
        <v>45625</v>
      </c>
      <c r="B112">
        <f>(3/(1+('CurrentPor-Equ Factor Movements'!C112)/100)+103/POWER(1+('CurrentPor-Equ Factor Movements'!D112)/100,2))*100</f>
        <v>9707.5857774288397</v>
      </c>
      <c r="C112">
        <f>(3/(1+('CurrentPor-Equ Factor Movements'!C112+'CurrentPor-Equ Factor Movements'!G112)/100)+103/POWER(1+('CurrentPor-Equ Factor Movements'!D112+'CurrentPor-Equ Factor Movements'!G112)/100,2))*100</f>
        <v>9623.4641835219045</v>
      </c>
      <c r="D112">
        <f>(3/(1+('CurrentPor-Equ Factor Movements'!C112+'CurrentPor-Equ Factor Movements'!H112)/100)+103/POWER(1+('CurrentPor-Equ Factor Movements'!D112+'CurrentPor-Equ Factor Movements'!H112)/100,2))*100</f>
        <v>9601.8429892481527</v>
      </c>
      <c r="E112">
        <f>(3/(1+('CurrentPor-Equ Factor Movements'!C112+'CurrentPor-Equ Factor Movements'!I112)/100)+103/POWER(1+('CurrentPor-Equ Factor Movements'!D112+'CurrentPor-Equ Factor Movements'!I112)/100,2))*100</f>
        <v>9592.4052084011928</v>
      </c>
      <c r="F112">
        <f>Portfolio!B$5*'CurrentPor-Equ Factor Movements'!E112</f>
        <v>52143.895533915893</v>
      </c>
      <c r="G112">
        <f>Portfolio!B$6*'CurrentPor-Equ Factor Movements'!F112</f>
        <v>3696.2945087936532</v>
      </c>
      <c r="H112">
        <f>Portfolio!B$7*'CurrentPor-Equ Factor Movements'!J112</f>
        <v>2148.0998964419859</v>
      </c>
      <c r="I112">
        <f t="shared" si="2"/>
        <v>96513.588097751621</v>
      </c>
      <c r="J112">
        <f t="shared" si="3"/>
        <v>63.637865135038737</v>
      </c>
    </row>
    <row r="113" spans="1:10">
      <c r="A113" s="1">
        <v>45628</v>
      </c>
      <c r="B113">
        <f>(3/(1+('CurrentPor-Equ Factor Movements'!C113)/100)+103/POWER(1+('CurrentPor-Equ Factor Movements'!D113)/100,2))*100</f>
        <v>9707.5857774288397</v>
      </c>
      <c r="C113">
        <f>(3/(1+('CurrentPor-Equ Factor Movements'!C113+'CurrentPor-Equ Factor Movements'!G113)/100)+103/POWER(1+('CurrentPor-Equ Factor Movements'!D113+'CurrentPor-Equ Factor Movements'!G113)/100,2))*100</f>
        <v>9619.2148680576702</v>
      </c>
      <c r="D113">
        <f>(3/(1+('CurrentPor-Equ Factor Movements'!C113+'CurrentPor-Equ Factor Movements'!H113)/100)+103/POWER(1+('CurrentPor-Equ Factor Movements'!D113+'CurrentPor-Equ Factor Movements'!H113)/100,2))*100</f>
        <v>9614.358071609422</v>
      </c>
      <c r="E113">
        <f>(3/(1+('CurrentPor-Equ Factor Movements'!C113+'CurrentPor-Equ Factor Movements'!I113)/100)+103/POWER(1+('CurrentPor-Equ Factor Movements'!D113+'CurrentPor-Equ Factor Movements'!I113)/100,2))*100</f>
        <v>9574.3122057901346</v>
      </c>
      <c r="F113">
        <f>Portfolio!B$5*'CurrentPor-Equ Factor Movements'!E113</f>
        <v>52143.895533915893</v>
      </c>
      <c r="G113">
        <f>Portfolio!B$6*'CurrentPor-Equ Factor Movements'!F113</f>
        <v>3696.2945087936532</v>
      </c>
      <c r="H113">
        <f>Portfolio!B$7*'CurrentPor-Equ Factor Movements'!J113</f>
        <v>2148.0998964419859</v>
      </c>
      <c r="I113">
        <f t="shared" si="2"/>
        <v>96503.760862037598</v>
      </c>
      <c r="J113">
        <f t="shared" si="3"/>
        <v>12.180050732582458</v>
      </c>
    </row>
    <row r="114" spans="1:10">
      <c r="A114" s="1">
        <v>45629</v>
      </c>
      <c r="B114">
        <f>(3/(1+('CurrentPor-Equ Factor Movements'!C114)/100)+103/POWER(1+('CurrentPor-Equ Factor Movements'!D114)/100,2))*100</f>
        <v>9707.5857774288397</v>
      </c>
      <c r="C114">
        <f>(3/(1+('CurrentPor-Equ Factor Movements'!C114+'CurrentPor-Equ Factor Movements'!G114)/100)+103/POWER(1+('CurrentPor-Equ Factor Movements'!D114+'CurrentPor-Equ Factor Movements'!G114)/100,2))*100</f>
        <v>9597.381250832952</v>
      </c>
      <c r="D114">
        <f>(3/(1+('CurrentPor-Equ Factor Movements'!C114+'CurrentPor-Equ Factor Movements'!H114)/100)+103/POWER(1+('CurrentPor-Equ Factor Movements'!D114+'CurrentPor-Equ Factor Movements'!H114)/100,2))*100</f>
        <v>9610.5606026824626</v>
      </c>
      <c r="E114">
        <f>(3/(1+('CurrentPor-Equ Factor Movements'!C114+'CurrentPor-Equ Factor Movements'!I114)/100)+103/POWER(1+('CurrentPor-Equ Factor Movements'!D114+'CurrentPor-Equ Factor Movements'!I114)/100,2))*100</f>
        <v>9589.3187154141906</v>
      </c>
      <c r="F114">
        <f>Portfolio!B$5*'CurrentPor-Equ Factor Movements'!E114</f>
        <v>52143.895533915893</v>
      </c>
      <c r="G114">
        <f>Portfolio!B$6*'CurrentPor-Equ Factor Movements'!F114</f>
        <v>3696.2945087936532</v>
      </c>
      <c r="H114">
        <f>Portfolio!B$7*'CurrentPor-Equ Factor Movements'!J114</f>
        <v>2148.0998964419859</v>
      </c>
      <c r="I114">
        <f t="shared" si="2"/>
        <v>96493.136285509987</v>
      </c>
      <c r="J114">
        <f t="shared" si="3"/>
        <v>5.633829405735014</v>
      </c>
    </row>
    <row r="115" spans="1:10">
      <c r="A115" s="1">
        <v>45630</v>
      </c>
      <c r="B115">
        <f>(3/(1+('CurrentPor-Equ Factor Movements'!C115)/100)+103/POWER(1+('CurrentPor-Equ Factor Movements'!D115)/100,2))*100</f>
        <v>9707.5857774288397</v>
      </c>
      <c r="C115">
        <f>(3/(1+('CurrentPor-Equ Factor Movements'!C115+'CurrentPor-Equ Factor Movements'!G115)/100)+103/POWER(1+('CurrentPor-Equ Factor Movements'!D115+'CurrentPor-Equ Factor Movements'!G115)/100,2))*100</f>
        <v>9614.9831443684398</v>
      </c>
      <c r="D115">
        <f>(3/(1+('CurrentPor-Equ Factor Movements'!C115+'CurrentPor-Equ Factor Movements'!H115)/100)+103/POWER(1+('CurrentPor-Equ Factor Movements'!D115+'CurrentPor-Equ Factor Movements'!H115)/100,2))*100</f>
        <v>9592.7466879405765</v>
      </c>
      <c r="E115">
        <f>(3/(1+('CurrentPor-Equ Factor Movements'!C115+'CurrentPor-Equ Factor Movements'!I115)/100)+103/POWER(1+('CurrentPor-Equ Factor Movements'!D115+'CurrentPor-Equ Factor Movements'!I115)/100,2))*100</f>
        <v>9587.6984778414371</v>
      </c>
      <c r="F115">
        <f>Portfolio!B$5*'CurrentPor-Equ Factor Movements'!E115</f>
        <v>52143.895533915893</v>
      </c>
      <c r="G115">
        <f>Portfolio!B$6*'CurrentPor-Equ Factor Movements'!F115</f>
        <v>3696.2945087936532</v>
      </c>
      <c r="H115">
        <f>Portfolio!B$7*'CurrentPor-Equ Factor Movements'!J115</f>
        <v>2148.0998964419859</v>
      </c>
      <c r="I115">
        <f t="shared" si="2"/>
        <v>96491.304026730824</v>
      </c>
      <c r="J115">
        <f t="shared" si="3"/>
        <v>-6.7304815037787193</v>
      </c>
    </row>
    <row r="116" spans="1:10">
      <c r="A116" s="1">
        <v>45631</v>
      </c>
      <c r="B116">
        <f>(3/(1+('CurrentPor-Equ Factor Movements'!C116)/100)+103/POWER(1+('CurrentPor-Equ Factor Movements'!D116)/100,2))*100</f>
        <v>9707.5857774288397</v>
      </c>
      <c r="C116">
        <f>(3/(1+('CurrentPor-Equ Factor Movements'!C116+'CurrentPor-Equ Factor Movements'!G116)/100)+103/POWER(1+('CurrentPor-Equ Factor Movements'!D116+'CurrentPor-Equ Factor Movements'!G116)/100,2))*100</f>
        <v>9619.6511509167394</v>
      </c>
      <c r="D116">
        <f>(3/(1+('CurrentPor-Equ Factor Movements'!C116+'CurrentPor-Equ Factor Movements'!H116)/100)+103/POWER(1+('CurrentPor-Equ Factor Movements'!D116+'CurrentPor-Equ Factor Movements'!H116)/100,2))*100</f>
        <v>9614.6720592674083</v>
      </c>
      <c r="E116">
        <f>(3/(1+('CurrentPor-Equ Factor Movements'!C116+'CurrentPor-Equ Factor Movements'!I116)/100)+103/POWER(1+('CurrentPor-Equ Factor Movements'!D116+'CurrentPor-Equ Factor Movements'!I116)/100,2))*100</f>
        <v>9589.7049848386268</v>
      </c>
      <c r="F116">
        <f>Portfolio!B$5*'CurrentPor-Equ Factor Movements'!E116</f>
        <v>52143.895533915893</v>
      </c>
      <c r="G116">
        <f>Portfolio!B$6*'CurrentPor-Equ Factor Movements'!F116</f>
        <v>3696.2945087936532</v>
      </c>
      <c r="H116">
        <f>Portfolio!B$7*'CurrentPor-Equ Factor Movements'!J116</f>
        <v>2148.0998964419859</v>
      </c>
      <c r="I116">
        <f t="shared" si="2"/>
        <v>96519.903911603134</v>
      </c>
      <c r="J116">
        <f t="shared" si="3"/>
        <v>15.260681316518458</v>
      </c>
    </row>
    <row r="117" spans="1:10">
      <c r="A117" s="1">
        <v>45632</v>
      </c>
      <c r="B117">
        <f>(3/(1+('CurrentPor-Equ Factor Movements'!C117)/100)+103/POWER(1+('CurrentPor-Equ Factor Movements'!D117)/100,2))*100</f>
        <v>9707.5857774288397</v>
      </c>
      <c r="C117">
        <f>(3/(1+('CurrentPor-Equ Factor Movements'!C117+'CurrentPor-Equ Factor Movements'!G117)/100)+103/POWER(1+('CurrentPor-Equ Factor Movements'!D117+'CurrentPor-Equ Factor Movements'!G117)/100,2))*100</f>
        <v>9613.0216258329601</v>
      </c>
      <c r="D117">
        <f>(3/(1+('CurrentPor-Equ Factor Movements'!C117+'CurrentPor-Equ Factor Movements'!H117)/100)+103/POWER(1+('CurrentPor-Equ Factor Movements'!D117+'CurrentPor-Equ Factor Movements'!H117)/100,2))*100</f>
        <v>9591.6050387404121</v>
      </c>
      <c r="E117">
        <f>(3/(1+('CurrentPor-Equ Factor Movements'!C117+'CurrentPor-Equ Factor Movements'!I117)/100)+103/POWER(1+('CurrentPor-Equ Factor Movements'!D117+'CurrentPor-Equ Factor Movements'!I117)/100,2))*100</f>
        <v>9596.8664729227476</v>
      </c>
      <c r="F117">
        <f>Portfolio!B$5*'CurrentPor-Equ Factor Movements'!E117</f>
        <v>52143.895533915893</v>
      </c>
      <c r="G117">
        <f>Portfolio!B$6*'CurrentPor-Equ Factor Movements'!F117</f>
        <v>3696.2945087936532</v>
      </c>
      <c r="H117">
        <f>Portfolio!B$7*'CurrentPor-Equ Factor Movements'!J117</f>
        <v>2148.0998964419859</v>
      </c>
      <c r="I117">
        <f t="shared" si="2"/>
        <v>96497.368854076485</v>
      </c>
      <c r="J117">
        <f t="shared" si="3"/>
        <v>2.167178133095149E-2</v>
      </c>
    </row>
    <row r="118" spans="1:10">
      <c r="A118" s="1">
        <v>45635</v>
      </c>
      <c r="B118">
        <f>(3/(1+('CurrentPor-Equ Factor Movements'!C118)/100)+103/POWER(1+('CurrentPor-Equ Factor Movements'!D118)/100,2))*100</f>
        <v>9707.5857774288397</v>
      </c>
      <c r="C118">
        <f>(3/(1+('CurrentPor-Equ Factor Movements'!C118+'CurrentPor-Equ Factor Movements'!G118)/100)+103/POWER(1+('CurrentPor-Equ Factor Movements'!D118+'CurrentPor-Equ Factor Movements'!G118)/100,2))*100</f>
        <v>9596.8465594578483</v>
      </c>
      <c r="D118">
        <f>(3/(1+('CurrentPor-Equ Factor Movements'!C118+'CurrentPor-Equ Factor Movements'!H118)/100)+103/POWER(1+('CurrentPor-Equ Factor Movements'!D118+'CurrentPor-Equ Factor Movements'!H118)/100,2))*100</f>
        <v>9601.8455886757529</v>
      </c>
      <c r="E118">
        <f>(3/(1+('CurrentPor-Equ Factor Movements'!C118+'CurrentPor-Equ Factor Movements'!I118)/100)+103/POWER(1+('CurrentPor-Equ Factor Movements'!D118+'CurrentPor-Equ Factor Movements'!I118)/100,2))*100</f>
        <v>9572.999957687498</v>
      </c>
      <c r="F118">
        <f>Portfolio!B$5*'CurrentPor-Equ Factor Movements'!E118</f>
        <v>52143.895533915893</v>
      </c>
      <c r="G118">
        <f>Portfolio!B$6*'CurrentPor-Equ Factor Movements'!F118</f>
        <v>3696.2945087936532</v>
      </c>
      <c r="H118">
        <f>Portfolio!B$7*'CurrentPor-Equ Factor Movements'!J118</f>
        <v>2148.0998964419859</v>
      </c>
      <c r="I118">
        <f t="shared" si="2"/>
        <v>96467.56782240147</v>
      </c>
      <c r="J118">
        <f t="shared" si="3"/>
        <v>12.629258057902916</v>
      </c>
    </row>
    <row r="119" spans="1:10">
      <c r="A119" s="1">
        <v>45636</v>
      </c>
      <c r="B119">
        <f>(3/(1+('CurrentPor-Equ Factor Movements'!C119)/100)+103/POWER(1+('CurrentPor-Equ Factor Movements'!D119)/100,2))*100</f>
        <v>9707.5857774288397</v>
      </c>
      <c r="C119">
        <f>(3/(1+('CurrentPor-Equ Factor Movements'!C119+'CurrentPor-Equ Factor Movements'!G119)/100)+103/POWER(1+('CurrentPor-Equ Factor Movements'!D119+'CurrentPor-Equ Factor Movements'!G119)/100,2))*100</f>
        <v>9623.8127096120734</v>
      </c>
      <c r="D119">
        <f>(3/(1+('CurrentPor-Equ Factor Movements'!C119+'CurrentPor-Equ Factor Movements'!H119)/100)+103/POWER(1+('CurrentPor-Equ Factor Movements'!D119+'CurrentPor-Equ Factor Movements'!H119)/100,2))*100</f>
        <v>9581.9801847414328</v>
      </c>
      <c r="E119">
        <f>(3/(1+('CurrentPor-Equ Factor Movements'!C119+'CurrentPor-Equ Factor Movements'!I119)/100)+103/POWER(1+('CurrentPor-Equ Factor Movements'!D119+'CurrentPor-Equ Factor Movements'!I119)/100,2))*100</f>
        <v>9582.6100231686742</v>
      </c>
      <c r="F119">
        <f>Portfolio!B$5*'CurrentPor-Equ Factor Movements'!E119</f>
        <v>52143.895533915893</v>
      </c>
      <c r="G119">
        <f>Portfolio!B$6*'CurrentPor-Equ Factor Movements'!F119</f>
        <v>3696.2945087936532</v>
      </c>
      <c r="H119">
        <f>Portfolio!B$7*'CurrentPor-Equ Factor Movements'!J119</f>
        <v>2148.0998964419859</v>
      </c>
      <c r="I119">
        <f t="shared" si="2"/>
        <v>96484.278634102549</v>
      </c>
      <c r="J119">
        <f t="shared" si="3"/>
        <v>-34.963749717964674</v>
      </c>
    </row>
    <row r="120" spans="1:10">
      <c r="A120" s="1">
        <v>45637</v>
      </c>
      <c r="B120">
        <f>(3/(1+('CurrentPor-Equ Factor Movements'!C120)/100)+103/POWER(1+('CurrentPor-Equ Factor Movements'!D120)/100,2))*100</f>
        <v>9707.5857774288397</v>
      </c>
      <c r="C120">
        <f>(3/(1+('CurrentPor-Equ Factor Movements'!C120+'CurrentPor-Equ Factor Movements'!G120)/100)+103/POWER(1+('CurrentPor-Equ Factor Movements'!D120+'CurrentPor-Equ Factor Movements'!G120)/100,2))*100</f>
        <v>9604.9411069626749</v>
      </c>
      <c r="D120">
        <f>(3/(1+('CurrentPor-Equ Factor Movements'!C120+'CurrentPor-Equ Factor Movements'!H120)/100)+103/POWER(1+('CurrentPor-Equ Factor Movements'!D120+'CurrentPor-Equ Factor Movements'!H120)/100,2))*100</f>
        <v>9608.9316316764161</v>
      </c>
      <c r="E120">
        <f>(3/(1+('CurrentPor-Equ Factor Movements'!C120+'CurrentPor-Equ Factor Movements'!I120)/100)+103/POWER(1+('CurrentPor-Equ Factor Movements'!D120+'CurrentPor-Equ Factor Movements'!I120)/100,2))*100</f>
        <v>9585.4282070253194</v>
      </c>
      <c r="F120">
        <f>Portfolio!B$5*'CurrentPor-Equ Factor Movements'!E120</f>
        <v>52143.895533915893</v>
      </c>
      <c r="G120">
        <f>Portfolio!B$6*'CurrentPor-Equ Factor Movements'!F120</f>
        <v>3696.2945087936532</v>
      </c>
      <c r="H120">
        <f>Portfolio!B$7*'CurrentPor-Equ Factor Movements'!J120</f>
        <v>2148.0998964419859</v>
      </c>
      <c r="I120">
        <f t="shared" si="2"/>
        <v>96495.17666224479</v>
      </c>
      <c r="J120">
        <f t="shared" si="3"/>
        <v>-2.34828669988201</v>
      </c>
    </row>
    <row r="121" spans="1:10">
      <c r="A121" s="1">
        <v>45638</v>
      </c>
      <c r="B121">
        <f>(3/(1+('CurrentPor-Equ Factor Movements'!C121)/100)+103/POWER(1+('CurrentPor-Equ Factor Movements'!D121)/100,2))*100</f>
        <v>9707.5857774288397</v>
      </c>
      <c r="C121">
        <f>(3/(1+('CurrentPor-Equ Factor Movements'!C121+'CurrentPor-Equ Factor Movements'!G121)/100)+103/POWER(1+('CurrentPor-Equ Factor Movements'!D121+'CurrentPor-Equ Factor Movements'!G121)/100,2))*100</f>
        <v>9601.1490612563503</v>
      </c>
      <c r="D121">
        <f>(3/(1+('CurrentPor-Equ Factor Movements'!C121+'CurrentPor-Equ Factor Movements'!H121)/100)+103/POWER(1+('CurrentPor-Equ Factor Movements'!D121+'CurrentPor-Equ Factor Movements'!H121)/100,2))*100</f>
        <v>9598.2440889395857</v>
      </c>
      <c r="E121">
        <f>(3/(1+('CurrentPor-Equ Factor Movements'!C121+'CurrentPor-Equ Factor Movements'!I121)/100)+103/POWER(1+('CurrentPor-Equ Factor Movements'!D121+'CurrentPor-Equ Factor Movements'!I121)/100,2))*100</f>
        <v>9598.516902635014</v>
      </c>
      <c r="F121">
        <f>Portfolio!B$5*'CurrentPor-Equ Factor Movements'!E121</f>
        <v>52143.895533915893</v>
      </c>
      <c r="G121">
        <f>Portfolio!B$6*'CurrentPor-Equ Factor Movements'!F121</f>
        <v>3696.2945087936532</v>
      </c>
      <c r="H121">
        <f>Portfolio!B$7*'CurrentPor-Equ Factor Movements'!J121</f>
        <v>2148.0998964419859</v>
      </c>
      <c r="I121">
        <f t="shared" si="2"/>
        <v>96493.785769411319</v>
      </c>
      <c r="J121">
        <f t="shared" si="3"/>
        <v>-18.215542589052347</v>
      </c>
    </row>
    <row r="122" spans="1:10">
      <c r="A122" s="1">
        <v>45639</v>
      </c>
      <c r="B122">
        <f>(3/(1+('CurrentPor-Equ Factor Movements'!C122)/100)+103/POWER(1+('CurrentPor-Equ Factor Movements'!D122)/100,2))*100</f>
        <v>9707.5857774288397</v>
      </c>
      <c r="C122">
        <f>(3/(1+('CurrentPor-Equ Factor Movements'!C122+'CurrentPor-Equ Factor Movements'!G122)/100)+103/POWER(1+('CurrentPor-Equ Factor Movements'!D122+'CurrentPor-Equ Factor Movements'!G122)/100,2))*100</f>
        <v>9599.481145368336</v>
      </c>
      <c r="D122">
        <f>(3/(1+('CurrentPor-Equ Factor Movements'!C122+'CurrentPor-Equ Factor Movements'!H122)/100)+103/POWER(1+('CurrentPor-Equ Factor Movements'!D122+'CurrentPor-Equ Factor Movements'!H122)/100,2))*100</f>
        <v>9599.7184687865629</v>
      </c>
      <c r="E122">
        <f>(3/(1+('CurrentPor-Equ Factor Movements'!C122+'CurrentPor-Equ Factor Movements'!I122)/100)+103/POWER(1+('CurrentPor-Equ Factor Movements'!D122+'CurrentPor-Equ Factor Movements'!I122)/100,2))*100</f>
        <v>9585.7277201785073</v>
      </c>
      <c r="F122">
        <f>Portfolio!B$5*'CurrentPor-Equ Factor Movements'!E122</f>
        <v>52143.895533915893</v>
      </c>
      <c r="G122">
        <f>Portfolio!B$6*'CurrentPor-Equ Factor Movements'!F122</f>
        <v>3696.2945087936532</v>
      </c>
      <c r="H122">
        <f>Portfolio!B$7*'CurrentPor-Equ Factor Movements'!J122</f>
        <v>2148.0998964419859</v>
      </c>
      <c r="I122">
        <f t="shared" si="2"/>
        <v>96480.803050913775</v>
      </c>
      <c r="J122">
        <f t="shared" si="3"/>
        <v>-32.785046837845584</v>
      </c>
    </row>
    <row r="123" spans="1:10">
      <c r="A123" s="1">
        <v>45642</v>
      </c>
      <c r="B123">
        <f>(3/(1+('CurrentPor-Equ Factor Movements'!C123)/100)+103/POWER(1+('CurrentPor-Equ Factor Movements'!D123)/100,2))*100</f>
        <v>9707.5857774288397</v>
      </c>
      <c r="C123">
        <f>(3/(1+('CurrentPor-Equ Factor Movements'!C123+'CurrentPor-Equ Factor Movements'!G123)/100)+103/POWER(1+('CurrentPor-Equ Factor Movements'!D123+'CurrentPor-Equ Factor Movements'!G123)/100,2))*100</f>
        <v>9613.0348849106049</v>
      </c>
      <c r="D123">
        <f>(3/(1+('CurrentPor-Equ Factor Movements'!C123+'CurrentPor-Equ Factor Movements'!H123)/100)+103/POWER(1+('CurrentPor-Equ Factor Movements'!D123+'CurrentPor-Equ Factor Movements'!H123)/100,2))*100</f>
        <v>9588.8786683588569</v>
      </c>
      <c r="E123">
        <f>(3/(1+('CurrentPor-Equ Factor Movements'!C123+'CurrentPor-Equ Factor Movements'!I123)/100)+103/POWER(1+('CurrentPor-Equ Factor Movements'!D123+'CurrentPor-Equ Factor Movements'!I123)/100,2))*100</f>
        <v>9568.8339471516283</v>
      </c>
      <c r="F123">
        <f>Portfolio!B$5*'CurrentPor-Equ Factor Movements'!E123</f>
        <v>52143.895533915893</v>
      </c>
      <c r="G123">
        <f>Portfolio!B$6*'CurrentPor-Equ Factor Movements'!F123</f>
        <v>3696.2945087936532</v>
      </c>
      <c r="H123">
        <f>Portfolio!B$7*'CurrentPor-Equ Factor Movements'!J123</f>
        <v>2148.0998964419859</v>
      </c>
      <c r="I123">
        <f t="shared" si="2"/>
        <v>96466.623217001455</v>
      </c>
      <c r="J123">
        <f t="shared" si="3"/>
        <v>-37.137645036142203</v>
      </c>
    </row>
    <row r="124" spans="1:10">
      <c r="A124" s="1">
        <v>45643</v>
      </c>
      <c r="B124">
        <f>(3/(1+('CurrentPor-Equ Factor Movements'!C124)/100)+103/POWER(1+('CurrentPor-Equ Factor Movements'!D124)/100,2))*100</f>
        <v>9707.5857774288397</v>
      </c>
      <c r="C124">
        <f>(3/(1+('CurrentPor-Equ Factor Movements'!C124+'CurrentPor-Equ Factor Movements'!G124)/100)+103/POWER(1+('CurrentPor-Equ Factor Movements'!D124+'CurrentPor-Equ Factor Movements'!G124)/100,2))*100</f>
        <v>9614.5361081264164</v>
      </c>
      <c r="D124">
        <f>(3/(1+('CurrentPor-Equ Factor Movements'!C124+'CurrentPor-Equ Factor Movements'!H124)/100)+103/POWER(1+('CurrentPor-Equ Factor Movements'!D124+'CurrentPor-Equ Factor Movements'!H124)/100,2))*100</f>
        <v>9591.8529187944623</v>
      </c>
      <c r="E124">
        <f>(3/(1+('CurrentPor-Equ Factor Movements'!C124+'CurrentPor-Equ Factor Movements'!I124)/100)+103/POWER(1+('CurrentPor-Equ Factor Movements'!D124+'CurrentPor-Equ Factor Movements'!I124)/100,2))*100</f>
        <v>9593.4639936051062</v>
      </c>
      <c r="F124">
        <f>Portfolio!B$5*'CurrentPor-Equ Factor Movements'!E124</f>
        <v>52143.895533915893</v>
      </c>
      <c r="G124">
        <f>Portfolio!B$6*'CurrentPor-Equ Factor Movements'!F124</f>
        <v>3696.2945087936532</v>
      </c>
      <c r="H124">
        <f>Portfolio!B$7*'CurrentPor-Equ Factor Movements'!J124</f>
        <v>2148.0998964419859</v>
      </c>
      <c r="I124">
        <f t="shared" si="2"/>
        <v>96495.728737106358</v>
      </c>
      <c r="J124">
        <f t="shared" si="3"/>
        <v>2.5924515963706654</v>
      </c>
    </row>
    <row r="125" spans="1:10">
      <c r="A125" s="1">
        <v>45644</v>
      </c>
      <c r="B125">
        <f>(3/(1+('CurrentPor-Equ Factor Movements'!C125)/100)+103/POWER(1+('CurrentPor-Equ Factor Movements'!D125)/100,2))*100</f>
        <v>9707.5857774288397</v>
      </c>
      <c r="C125">
        <f>(3/(1+('CurrentPor-Equ Factor Movements'!C125+'CurrentPor-Equ Factor Movements'!G125)/100)+103/POWER(1+('CurrentPor-Equ Factor Movements'!D125+'CurrentPor-Equ Factor Movements'!G125)/100,2))*100</f>
        <v>9618.9566824062294</v>
      </c>
      <c r="D125">
        <f>(3/(1+('CurrentPor-Equ Factor Movements'!C125+'CurrentPor-Equ Factor Movements'!H125)/100)+103/POWER(1+('CurrentPor-Equ Factor Movements'!D125+'CurrentPor-Equ Factor Movements'!H125)/100,2))*100</f>
        <v>9598.0058200341609</v>
      </c>
      <c r="E125">
        <f>(3/(1+('CurrentPor-Equ Factor Movements'!C125+'CurrentPor-Equ Factor Movements'!I125)/100)+103/POWER(1+('CurrentPor-Equ Factor Movements'!D125+'CurrentPor-Equ Factor Movements'!I125)/100,2))*100</f>
        <v>9569.9819702312489</v>
      </c>
      <c r="F125">
        <f>Portfolio!B$5*'CurrentPor-Equ Factor Movements'!E125</f>
        <v>52143.895533915893</v>
      </c>
      <c r="G125">
        <f>Portfolio!B$6*'CurrentPor-Equ Factor Movements'!F125</f>
        <v>3696.2945087936532</v>
      </c>
      <c r="H125">
        <f>Portfolio!B$7*'CurrentPor-Equ Factor Movements'!J125</f>
        <v>2148.0998964419859</v>
      </c>
      <c r="I125">
        <f t="shared" si="2"/>
        <v>96482.820189252016</v>
      </c>
      <c r="J125">
        <f t="shared" si="3"/>
        <v>-8.4838374788087094</v>
      </c>
    </row>
    <row r="126" spans="1:10">
      <c r="A126" s="1">
        <v>45645</v>
      </c>
      <c r="B126">
        <f>(3/(1+('CurrentPor-Equ Factor Movements'!C126)/100)+103/POWER(1+('CurrentPor-Equ Factor Movements'!D126)/100,2))*100</f>
        <v>9707.5857774288397</v>
      </c>
      <c r="C126">
        <f>(3/(1+('CurrentPor-Equ Factor Movements'!C126+'CurrentPor-Equ Factor Movements'!G126)/100)+103/POWER(1+('CurrentPor-Equ Factor Movements'!D126+'CurrentPor-Equ Factor Movements'!G126)/100,2))*100</f>
        <v>9607.4928352567185</v>
      </c>
      <c r="D126">
        <f>(3/(1+('CurrentPor-Equ Factor Movements'!C126+'CurrentPor-Equ Factor Movements'!H126)/100)+103/POWER(1+('CurrentPor-Equ Factor Movements'!D126+'CurrentPor-Equ Factor Movements'!H126)/100,2))*100</f>
        <v>9607.5433417345503</v>
      </c>
      <c r="E126">
        <f>(3/(1+('CurrentPor-Equ Factor Movements'!C126+'CurrentPor-Equ Factor Movements'!I126)/100)+103/POWER(1+('CurrentPor-Equ Factor Movements'!D126+'CurrentPor-Equ Factor Movements'!I126)/100,2))*100</f>
        <v>9583.5445383447059</v>
      </c>
      <c r="F126">
        <f>Portfolio!B$5*'CurrentPor-Equ Factor Movements'!E126</f>
        <v>52143.895533915893</v>
      </c>
      <c r="G126">
        <f>Portfolio!B$6*'CurrentPor-Equ Factor Movements'!F126</f>
        <v>3696.2945087936532</v>
      </c>
      <c r="H126">
        <f>Portfolio!B$7*'CurrentPor-Equ Factor Movements'!J126</f>
        <v>2148.0998964419859</v>
      </c>
      <c r="I126">
        <f t="shared" si="2"/>
        <v>96494.456431916347</v>
      </c>
      <c r="J126">
        <f t="shared" si="3"/>
        <v>-25.447479686787119</v>
      </c>
    </row>
    <row r="127" spans="1:10">
      <c r="A127" s="1">
        <v>45646</v>
      </c>
      <c r="B127">
        <f>(3/(1+('CurrentPor-Equ Factor Movements'!C127)/100)+103/POWER(1+('CurrentPor-Equ Factor Movements'!D127)/100,2))*100</f>
        <v>9707.5857774288397</v>
      </c>
      <c r="C127">
        <f>(3/(1+('CurrentPor-Equ Factor Movements'!C127+'CurrentPor-Equ Factor Movements'!G127)/100)+103/POWER(1+('CurrentPor-Equ Factor Movements'!D127+'CurrentPor-Equ Factor Movements'!G127)/100,2))*100</f>
        <v>9607.1220789434337</v>
      </c>
      <c r="D127">
        <f>(3/(1+('CurrentPor-Equ Factor Movements'!C127+'CurrentPor-Equ Factor Movements'!H127)/100)+103/POWER(1+('CurrentPor-Equ Factor Movements'!D127+'CurrentPor-Equ Factor Movements'!H127)/100,2))*100</f>
        <v>9597.076535769178</v>
      </c>
      <c r="E127">
        <f>(3/(1+('CurrentPor-Equ Factor Movements'!C127+'CurrentPor-Equ Factor Movements'!I127)/100)+103/POWER(1+('CurrentPor-Equ Factor Movements'!D127+'CurrentPor-Equ Factor Movements'!I127)/100,2))*100</f>
        <v>9596.9888639645633</v>
      </c>
      <c r="F127">
        <f>Portfolio!B$5*'CurrentPor-Equ Factor Movements'!E127</f>
        <v>52143.895533915893</v>
      </c>
      <c r="G127">
        <f>Portfolio!B$6*'CurrentPor-Equ Factor Movements'!F127</f>
        <v>3696.2945087936532</v>
      </c>
      <c r="H127">
        <f>Portfolio!B$7*'CurrentPor-Equ Factor Movements'!J127</f>
        <v>2148.0998964419859</v>
      </c>
      <c r="I127">
        <f t="shared" si="2"/>
        <v>96497.06319525755</v>
      </c>
      <c r="J127">
        <f t="shared" si="3"/>
        <v>-0.30565881893562619</v>
      </c>
    </row>
    <row r="128" spans="1:10">
      <c r="A128" s="1">
        <v>45649</v>
      </c>
      <c r="B128">
        <f>(3/(1+('CurrentPor-Equ Factor Movements'!C128)/100)+103/POWER(1+('CurrentPor-Equ Factor Movements'!D128)/100,2))*100</f>
        <v>9707.5857774288397</v>
      </c>
      <c r="C128">
        <f>(3/(1+('CurrentPor-Equ Factor Movements'!C128+'CurrentPor-Equ Factor Movements'!G128)/100)+103/POWER(1+('CurrentPor-Equ Factor Movements'!D128+'CurrentPor-Equ Factor Movements'!G128)/100,2))*100</f>
        <v>9631.7048456687789</v>
      </c>
      <c r="D128">
        <f>(3/(1+('CurrentPor-Equ Factor Movements'!C128+'CurrentPor-Equ Factor Movements'!H128)/100)+103/POWER(1+('CurrentPor-Equ Factor Movements'!D128+'CurrentPor-Equ Factor Movements'!H128)/100,2))*100</f>
        <v>9592.2244538305968</v>
      </c>
      <c r="E128">
        <f>(3/(1+('CurrentPor-Equ Factor Movements'!C128+'CurrentPor-Equ Factor Movements'!I128)/100)+103/POWER(1+('CurrentPor-Equ Factor Movements'!D128+'CurrentPor-Equ Factor Movements'!I128)/100,2))*100</f>
        <v>9583.3317290103514</v>
      </c>
      <c r="F128">
        <f>Portfolio!B$5*'CurrentPor-Equ Factor Movements'!E128</f>
        <v>52143.895533915893</v>
      </c>
      <c r="G128">
        <f>Portfolio!B$6*'CurrentPor-Equ Factor Movements'!F128</f>
        <v>3696.2945087936532</v>
      </c>
      <c r="H128">
        <f>Portfolio!B$7*'CurrentPor-Equ Factor Movements'!J128</f>
        <v>2148.0998964419859</v>
      </c>
      <c r="I128">
        <f t="shared" si="2"/>
        <v>96503.136745090087</v>
      </c>
      <c r="J128">
        <f t="shared" si="3"/>
        <v>35.568922688617022</v>
      </c>
    </row>
    <row r="129" spans="1:10">
      <c r="A129" s="1">
        <v>45650</v>
      </c>
      <c r="B129">
        <f>(3/(1+('CurrentPor-Equ Factor Movements'!C129)/100)+103/POWER(1+('CurrentPor-Equ Factor Movements'!D129)/100,2))*100</f>
        <v>9707.5857774288397</v>
      </c>
      <c r="C129">
        <f>(3/(1+('CurrentPor-Equ Factor Movements'!C129+'CurrentPor-Equ Factor Movements'!G129)/100)+103/POWER(1+('CurrentPor-Equ Factor Movements'!D129+'CurrentPor-Equ Factor Movements'!G129)/100,2))*100</f>
        <v>9612.6425235026054</v>
      </c>
      <c r="D129">
        <f>(3/(1+('CurrentPor-Equ Factor Movements'!C129+'CurrentPor-Equ Factor Movements'!H129)/100)+103/POWER(1+('CurrentPor-Equ Factor Movements'!D129+'CurrentPor-Equ Factor Movements'!H129)/100,2))*100</f>
        <v>9606.1867388835362</v>
      </c>
      <c r="E129">
        <f>(3/(1+('CurrentPor-Equ Factor Movements'!C129+'CurrentPor-Equ Factor Movements'!I129)/100)+103/POWER(1+('CurrentPor-Equ Factor Movements'!D129+'CurrentPor-Equ Factor Movements'!I129)/100,2))*100</f>
        <v>9571.0968242513409</v>
      </c>
      <c r="F129">
        <f>Portfolio!B$5*'CurrentPor-Equ Factor Movements'!E129</f>
        <v>52143.895533915893</v>
      </c>
      <c r="G129">
        <f>Portfolio!B$6*'CurrentPor-Equ Factor Movements'!F129</f>
        <v>3696.2945087936532</v>
      </c>
      <c r="H129">
        <f>Portfolio!B$7*'CurrentPor-Equ Factor Movements'!J129</f>
        <v>2148.0998964419859</v>
      </c>
      <c r="I129">
        <f t="shared" si="2"/>
        <v>96485.801803217852</v>
      </c>
      <c r="J129">
        <f t="shared" si="3"/>
        <v>1.5231691153021529</v>
      </c>
    </row>
    <row r="130" spans="1:10">
      <c r="A130" s="1">
        <v>45651</v>
      </c>
      <c r="B130">
        <f>(3/(1+('CurrentPor-Equ Factor Movements'!C130)/100)+103/POWER(1+('CurrentPor-Equ Factor Movements'!D130)/100,2))*100</f>
        <v>9707.5857774288397</v>
      </c>
      <c r="C130">
        <f>(3/(1+('CurrentPor-Equ Factor Movements'!C130+'CurrentPor-Equ Factor Movements'!G130)/100)+103/POWER(1+('CurrentPor-Equ Factor Movements'!D130+'CurrentPor-Equ Factor Movements'!G130)/100,2))*100</f>
        <v>9611.789719994973</v>
      </c>
      <c r="D130">
        <f>(3/(1+('CurrentPor-Equ Factor Movements'!C130+'CurrentPor-Equ Factor Movements'!H130)/100)+103/POWER(1+('CurrentPor-Equ Factor Movements'!D130+'CurrentPor-Equ Factor Movements'!H130)/100,2))*100</f>
        <v>9615.7235973101724</v>
      </c>
      <c r="E130">
        <f>(3/(1+('CurrentPor-Equ Factor Movements'!C130+'CurrentPor-Equ Factor Movements'!I130)/100)+103/POWER(1+('CurrentPor-Equ Factor Movements'!D130+'CurrentPor-Equ Factor Movements'!I130)/100,2))*100</f>
        <v>9575.2282359582678</v>
      </c>
      <c r="F130">
        <f>Portfolio!B$5*'CurrentPor-Equ Factor Movements'!E130</f>
        <v>52143.895533915893</v>
      </c>
      <c r="G130">
        <f>Portfolio!B$6*'CurrentPor-Equ Factor Movements'!F130</f>
        <v>3696.2945087936532</v>
      </c>
      <c r="H130">
        <f>Portfolio!B$7*'CurrentPor-Equ Factor Movements'!J130</f>
        <v>2148.0998964419859</v>
      </c>
      <c r="I130">
        <f t="shared" si="2"/>
        <v>96498.617269843773</v>
      </c>
      <c r="J130">
        <f t="shared" si="3"/>
        <v>3.4406075989827514</v>
      </c>
    </row>
    <row r="131" spans="1:10">
      <c r="A131" s="1">
        <v>45652</v>
      </c>
      <c r="B131">
        <f>(3/(1+('CurrentPor-Equ Factor Movements'!C131)/100)+103/POWER(1+('CurrentPor-Equ Factor Movements'!D131)/100,2))*100</f>
        <v>9707.5857774288397</v>
      </c>
      <c r="C131">
        <f>(3/(1+('CurrentPor-Equ Factor Movements'!C131+'CurrentPor-Equ Factor Movements'!G131)/100)+103/POWER(1+('CurrentPor-Equ Factor Movements'!D131+'CurrentPor-Equ Factor Movements'!G131)/100,2))*100</f>
        <v>9629.0784822028691</v>
      </c>
      <c r="D131">
        <f>(3/(1+('CurrentPor-Equ Factor Movements'!C131+'CurrentPor-Equ Factor Movements'!H131)/100)+103/POWER(1+('CurrentPor-Equ Factor Movements'!D131+'CurrentPor-Equ Factor Movements'!H131)/100,2))*100</f>
        <v>9610.0078394579687</v>
      </c>
      <c r="E131">
        <f>(3/(1+('CurrentPor-Equ Factor Movements'!C131+'CurrentPor-Equ Factor Movements'!I131)/100)+103/POWER(1+('CurrentPor-Equ Factor Movements'!D131+'CurrentPor-Equ Factor Movements'!I131)/100,2))*100</f>
        <v>9579.5278199657423</v>
      </c>
      <c r="F131">
        <f>Portfolio!B$5*'CurrentPor-Equ Factor Movements'!E131</f>
        <v>52143.895533915893</v>
      </c>
      <c r="G131">
        <f>Portfolio!B$6*'CurrentPor-Equ Factor Movements'!F131</f>
        <v>3696.2945087936532</v>
      </c>
      <c r="H131">
        <f>Portfolio!B$7*'CurrentPor-Equ Factor Movements'!J131</f>
        <v>2148.0998964419859</v>
      </c>
      <c r="I131">
        <f t="shared" si="2"/>
        <v>96514.489858206958</v>
      </c>
      <c r="J131">
        <f t="shared" si="3"/>
        <v>20.704088795639109</v>
      </c>
    </row>
    <row r="132" spans="1:10">
      <c r="A132" s="1">
        <v>45653</v>
      </c>
      <c r="B132">
        <f>(3/(1+('CurrentPor-Equ Factor Movements'!C132)/100)+103/POWER(1+('CurrentPor-Equ Factor Movements'!D132)/100,2))*100</f>
        <v>9707.5857774288397</v>
      </c>
      <c r="C132">
        <f>(3/(1+('CurrentPor-Equ Factor Movements'!C132+'CurrentPor-Equ Factor Movements'!G132)/100)+103/POWER(1+('CurrentPor-Equ Factor Movements'!D132+'CurrentPor-Equ Factor Movements'!G132)/100,2))*100</f>
        <v>9610.7651969556791</v>
      </c>
      <c r="D132">
        <f>(3/(1+('CurrentPor-Equ Factor Movements'!C132+'CurrentPor-Equ Factor Movements'!H132)/100)+103/POWER(1+('CurrentPor-Equ Factor Movements'!D132+'CurrentPor-Equ Factor Movements'!H132)/100,2))*100</f>
        <v>9616.974122242842</v>
      </c>
      <c r="E132">
        <f>(3/(1+('CurrentPor-Equ Factor Movements'!C132+'CurrentPor-Equ Factor Movements'!I132)/100)+103/POWER(1+('CurrentPor-Equ Factor Movements'!D132+'CurrentPor-Equ Factor Movements'!I132)/100,2))*100</f>
        <v>9559.6759380989533</v>
      </c>
      <c r="F132">
        <f>Portfolio!B$5*'CurrentPor-Equ Factor Movements'!E132</f>
        <v>52143.895533915893</v>
      </c>
      <c r="G132">
        <f>Portfolio!B$6*'CurrentPor-Equ Factor Movements'!F132</f>
        <v>3696.2945087936532</v>
      </c>
      <c r="H132">
        <f>Portfolio!B$7*'CurrentPor-Equ Factor Movements'!J132</f>
        <v>2148.0998964419859</v>
      </c>
      <c r="I132">
        <f t="shared" ref="I132:I187" si="4">SUM(B132:H132)</f>
        <v>96483.29097387784</v>
      </c>
      <c r="J132">
        <f t="shared" si="3"/>
        <v>2.4879229640646372</v>
      </c>
    </row>
    <row r="133" spans="1:10">
      <c r="A133" s="1">
        <v>45656</v>
      </c>
      <c r="B133">
        <f>(3/(1+('CurrentPor-Equ Factor Movements'!C133)/100)+103/POWER(1+('CurrentPor-Equ Factor Movements'!D133)/100,2))*100</f>
        <v>9707.5857774288397</v>
      </c>
      <c r="C133">
        <f>(3/(1+('CurrentPor-Equ Factor Movements'!C133+'CurrentPor-Equ Factor Movements'!G133)/100)+103/POWER(1+('CurrentPor-Equ Factor Movements'!D133+'CurrentPor-Equ Factor Movements'!G133)/100,2))*100</f>
        <v>9616.7218878523308</v>
      </c>
      <c r="D133">
        <f>(3/(1+('CurrentPor-Equ Factor Movements'!C133+'CurrentPor-Equ Factor Movements'!H133)/100)+103/POWER(1+('CurrentPor-Equ Factor Movements'!D133+'CurrentPor-Equ Factor Movements'!H133)/100,2))*100</f>
        <v>9615.9708947416966</v>
      </c>
      <c r="E133">
        <f>(3/(1+('CurrentPor-Equ Factor Movements'!C133+'CurrentPor-Equ Factor Movements'!I133)/100)+103/POWER(1+('CurrentPor-Equ Factor Movements'!D133+'CurrentPor-Equ Factor Movements'!I133)/100,2))*100</f>
        <v>9574.8955319227989</v>
      </c>
      <c r="F133">
        <f>Portfolio!B$5*'CurrentPor-Equ Factor Movements'!E133</f>
        <v>52143.895533915893</v>
      </c>
      <c r="G133">
        <f>Portfolio!B$6*'CurrentPor-Equ Factor Movements'!F133</f>
        <v>3696.2945087936532</v>
      </c>
      <c r="H133">
        <f>Portfolio!B$7*'CurrentPor-Equ Factor Movements'!J133</f>
        <v>2148.0998964419859</v>
      </c>
      <c r="I133">
        <f t="shared" si="4"/>
        <v>96503.464031097203</v>
      </c>
      <c r="J133">
        <f t="shared" si="3"/>
        <v>36.840814095747191</v>
      </c>
    </row>
    <row r="134" spans="1:10">
      <c r="A134" s="1">
        <v>45657</v>
      </c>
      <c r="B134">
        <f>(3/(1+('CurrentPor-Equ Factor Movements'!C134)/100)+103/POWER(1+('CurrentPor-Equ Factor Movements'!D134)/100,2))*100</f>
        <v>9707.5857774288397</v>
      </c>
      <c r="C134">
        <f>(3/(1+('CurrentPor-Equ Factor Movements'!C134+'CurrentPor-Equ Factor Movements'!G134)/100)+103/POWER(1+('CurrentPor-Equ Factor Movements'!D134+'CurrentPor-Equ Factor Movements'!G134)/100,2))*100</f>
        <v>9629.0972277072451</v>
      </c>
      <c r="D134">
        <f>(3/(1+('CurrentPor-Equ Factor Movements'!C134+'CurrentPor-Equ Factor Movements'!H134)/100)+103/POWER(1+('CurrentPor-Equ Factor Movements'!D134+'CurrentPor-Equ Factor Movements'!H134)/100,2))*100</f>
        <v>9606.9834105558039</v>
      </c>
      <c r="E134">
        <f>(3/(1+('CurrentPor-Equ Factor Movements'!C134+'CurrentPor-Equ Factor Movements'!I134)/100)+103/POWER(1+('CurrentPor-Equ Factor Movements'!D134+'CurrentPor-Equ Factor Movements'!I134)/100,2))*100</f>
        <v>9568.1648062486056</v>
      </c>
      <c r="F134">
        <f>Portfolio!B$5*'CurrentPor-Equ Factor Movements'!E134</f>
        <v>52143.895533915893</v>
      </c>
      <c r="G134">
        <f>Portfolio!B$6*'CurrentPor-Equ Factor Movements'!F134</f>
        <v>3696.2945087936532</v>
      </c>
      <c r="H134">
        <f>Portfolio!B$7*'CurrentPor-Equ Factor Movements'!J134</f>
        <v>2148.0998964419859</v>
      </c>
      <c r="I134">
        <f t="shared" si="4"/>
        <v>96500.121161092029</v>
      </c>
      <c r="J134">
        <f t="shared" si="3"/>
        <v>4.3924239856714848</v>
      </c>
    </row>
    <row r="135" spans="1:10">
      <c r="A135" s="1">
        <v>45658</v>
      </c>
      <c r="B135">
        <f>(3/(1+('CurrentPor-Equ Factor Movements'!C135)/100)+103/POWER(1+('CurrentPor-Equ Factor Movements'!D135)/100,2))*100</f>
        <v>9707.5857774288397</v>
      </c>
      <c r="C135">
        <f>(3/(1+('CurrentPor-Equ Factor Movements'!C135+'CurrentPor-Equ Factor Movements'!G135)/100)+103/POWER(1+('CurrentPor-Equ Factor Movements'!D135+'CurrentPor-Equ Factor Movements'!G135)/100,2))*100</f>
        <v>9606.2172348971781</v>
      </c>
      <c r="D135">
        <f>(3/(1+('CurrentPor-Equ Factor Movements'!C135+'CurrentPor-Equ Factor Movements'!H135)/100)+103/POWER(1+('CurrentPor-Equ Factor Movements'!D135+'CurrentPor-Equ Factor Movements'!H135)/100,2))*100</f>
        <v>9583.3556941729948</v>
      </c>
      <c r="E135">
        <f>(3/(1+('CurrentPor-Equ Factor Movements'!C135+'CurrentPor-Equ Factor Movements'!I135)/100)+103/POWER(1+('CurrentPor-Equ Factor Movements'!D135+'CurrentPor-Equ Factor Movements'!I135)/100,2))*100</f>
        <v>9576.4501406326817</v>
      </c>
      <c r="F135">
        <f>Portfolio!B$5*'CurrentPor-Equ Factor Movements'!E135</f>
        <v>52143.895533915893</v>
      </c>
      <c r="G135">
        <f>Portfolio!B$6*'CurrentPor-Equ Factor Movements'!F135</f>
        <v>3696.2945087936532</v>
      </c>
      <c r="H135">
        <f>Portfolio!B$7*'CurrentPor-Equ Factor Movements'!J135</f>
        <v>2148.0998964419859</v>
      </c>
      <c r="I135">
        <f t="shared" si="4"/>
        <v>96461.898786283229</v>
      </c>
      <c r="J135">
        <f t="shared" si="3"/>
        <v>-20.921402968786424</v>
      </c>
    </row>
    <row r="136" spans="1:10">
      <c r="A136" s="1">
        <v>45659</v>
      </c>
      <c r="B136">
        <f>(3/(1+('CurrentPor-Equ Factor Movements'!C136)/100)+103/POWER(1+('CurrentPor-Equ Factor Movements'!D136)/100,2))*100</f>
        <v>9707.5857774288397</v>
      </c>
      <c r="C136">
        <f>(3/(1+('CurrentPor-Equ Factor Movements'!C136+'CurrentPor-Equ Factor Movements'!G136)/100)+103/POWER(1+('CurrentPor-Equ Factor Movements'!D136+'CurrentPor-Equ Factor Movements'!G136)/100,2))*100</f>
        <v>9613.0632094300472</v>
      </c>
      <c r="D136">
        <f>(3/(1+('CurrentPor-Equ Factor Movements'!C136+'CurrentPor-Equ Factor Movements'!H136)/100)+103/POWER(1+('CurrentPor-Equ Factor Movements'!D136+'CurrentPor-Equ Factor Movements'!H136)/100,2))*100</f>
        <v>9591.9880894327471</v>
      </c>
      <c r="E136">
        <f>(3/(1+('CurrentPor-Equ Factor Movements'!C136+'CurrentPor-Equ Factor Movements'!I136)/100)+103/POWER(1+('CurrentPor-Equ Factor Movements'!D136+'CurrentPor-Equ Factor Movements'!I136)/100,2))*100</f>
        <v>9574.7844990282883</v>
      </c>
      <c r="F136">
        <f>Portfolio!B$5*'CurrentPor-Equ Factor Movements'!E136</f>
        <v>52143.895533915893</v>
      </c>
      <c r="G136">
        <f>Portfolio!B$6*'CurrentPor-Equ Factor Movements'!F136</f>
        <v>3696.2945087936532</v>
      </c>
      <c r="H136">
        <f>Portfolio!B$7*'CurrentPor-Equ Factor Movements'!J136</f>
        <v>2148.0998964419859</v>
      </c>
      <c r="I136">
        <f t="shared" si="4"/>
        <v>96475.711514471463</v>
      </c>
      <c r="J136">
        <f t="shared" si="3"/>
        <v>-18.744917444884777</v>
      </c>
    </row>
    <row r="137" spans="1:10">
      <c r="A137" s="1">
        <v>45660</v>
      </c>
      <c r="B137">
        <f>(3/(1+('CurrentPor-Equ Factor Movements'!C137)/100)+103/POWER(1+('CurrentPor-Equ Factor Movements'!D137)/100,2))*100</f>
        <v>9707.5857774288397</v>
      </c>
      <c r="C137">
        <f>(3/(1+('CurrentPor-Equ Factor Movements'!C137+'CurrentPor-Equ Factor Movements'!G137)/100)+103/POWER(1+('CurrentPor-Equ Factor Movements'!D137+'CurrentPor-Equ Factor Movements'!G137)/100,2))*100</f>
        <v>9625.3763088842807</v>
      </c>
      <c r="D137">
        <f>(3/(1+('CurrentPor-Equ Factor Movements'!C137+'CurrentPor-Equ Factor Movements'!H137)/100)+103/POWER(1+('CurrentPor-Equ Factor Movements'!D137+'CurrentPor-Equ Factor Movements'!H137)/100,2))*100</f>
        <v>9599.5041418395922</v>
      </c>
      <c r="E137">
        <f>(3/(1+('CurrentPor-Equ Factor Movements'!C137+'CurrentPor-Equ Factor Movements'!I137)/100)+103/POWER(1+('CurrentPor-Equ Factor Movements'!D137+'CurrentPor-Equ Factor Movements'!I137)/100,2))*100</f>
        <v>9581.9963668513847</v>
      </c>
      <c r="F137">
        <f>Portfolio!B$5*'CurrentPor-Equ Factor Movements'!E137</f>
        <v>52143.895533915893</v>
      </c>
      <c r="G137">
        <f>Portfolio!B$6*'CurrentPor-Equ Factor Movements'!F137</f>
        <v>3696.2945087936532</v>
      </c>
      <c r="H137">
        <f>Portfolio!B$7*'CurrentPor-Equ Factor Movements'!J137</f>
        <v>2148.0998964419859</v>
      </c>
      <c r="I137">
        <f t="shared" si="4"/>
        <v>96502.752534155632</v>
      </c>
      <c r="J137">
        <f t="shared" si="3"/>
        <v>5.6893388980824966</v>
      </c>
    </row>
    <row r="138" spans="1:10">
      <c r="A138" s="1">
        <v>45663</v>
      </c>
      <c r="B138">
        <f>(3/(1+('CurrentPor-Equ Factor Movements'!C138)/100)+103/POWER(1+('CurrentPor-Equ Factor Movements'!D138)/100,2))*100</f>
        <v>9707.5857774288397</v>
      </c>
      <c r="C138">
        <f>(3/(1+('CurrentPor-Equ Factor Movements'!C138+'CurrentPor-Equ Factor Movements'!G138)/100)+103/POWER(1+('CurrentPor-Equ Factor Movements'!D138+'CurrentPor-Equ Factor Movements'!G138)/100,2))*100</f>
        <v>9615.9029900902915</v>
      </c>
      <c r="D138">
        <f>(3/(1+('CurrentPor-Equ Factor Movements'!C138+'CurrentPor-Equ Factor Movements'!H138)/100)+103/POWER(1+('CurrentPor-Equ Factor Movements'!D138+'CurrentPor-Equ Factor Movements'!H138)/100,2))*100</f>
        <v>9600.0610807774174</v>
      </c>
      <c r="E138">
        <f>(3/(1+('CurrentPor-Equ Factor Movements'!C138+'CurrentPor-Equ Factor Movements'!I138)/100)+103/POWER(1+('CurrentPor-Equ Factor Movements'!D138+'CurrentPor-Equ Factor Movements'!I138)/100,2))*100</f>
        <v>9584.0415154456041</v>
      </c>
      <c r="F138">
        <f>Portfolio!B$5*'CurrentPor-Equ Factor Movements'!E138</f>
        <v>52143.895533915893</v>
      </c>
      <c r="G138">
        <f>Portfolio!B$6*'CurrentPor-Equ Factor Movements'!F138</f>
        <v>3696.2945087936532</v>
      </c>
      <c r="H138">
        <f>Portfolio!B$7*'CurrentPor-Equ Factor Movements'!J138</f>
        <v>2148.0998964419859</v>
      </c>
      <c r="I138">
        <f t="shared" si="4"/>
        <v>96495.881302893686</v>
      </c>
      <c r="J138">
        <f t="shared" si="3"/>
        <v>-7.2554421964014182</v>
      </c>
    </row>
    <row r="139" spans="1:10">
      <c r="A139" s="1">
        <v>45664</v>
      </c>
      <c r="B139">
        <f>(3/(1+('CurrentPor-Equ Factor Movements'!C139)/100)+103/POWER(1+('CurrentPor-Equ Factor Movements'!D139)/100,2))*100</f>
        <v>9707.5857774288397</v>
      </c>
      <c r="C139">
        <f>(3/(1+('CurrentPor-Equ Factor Movements'!C139+'CurrentPor-Equ Factor Movements'!G139)/100)+103/POWER(1+('CurrentPor-Equ Factor Movements'!D139+'CurrentPor-Equ Factor Movements'!G139)/100,2))*100</f>
        <v>9632.6296469016943</v>
      </c>
      <c r="D139">
        <f>(3/(1+('CurrentPor-Equ Factor Movements'!C139+'CurrentPor-Equ Factor Movements'!H139)/100)+103/POWER(1+('CurrentPor-Equ Factor Movements'!D139+'CurrentPor-Equ Factor Movements'!H139)/100,2))*100</f>
        <v>9595.0122954645685</v>
      </c>
      <c r="E139">
        <f>(3/(1+('CurrentPor-Equ Factor Movements'!C139+'CurrentPor-Equ Factor Movements'!I139)/100)+103/POWER(1+('CurrentPor-Equ Factor Movements'!D139+'CurrentPor-Equ Factor Movements'!I139)/100,2))*100</f>
        <v>9594.8104301795502</v>
      </c>
      <c r="F139">
        <f>Portfolio!B$5*'CurrentPor-Equ Factor Movements'!E139</f>
        <v>52143.895533915893</v>
      </c>
      <c r="G139">
        <f>Portfolio!B$6*'CurrentPor-Equ Factor Movements'!F139</f>
        <v>3696.2945087936532</v>
      </c>
      <c r="H139">
        <f>Portfolio!B$7*'CurrentPor-Equ Factor Movements'!J139</f>
        <v>2148.0998964419859</v>
      </c>
      <c r="I139">
        <f t="shared" si="4"/>
        <v>96518.328089126197</v>
      </c>
      <c r="J139">
        <f t="shared" si="3"/>
        <v>32.526285908345017</v>
      </c>
    </row>
    <row r="140" spans="1:10">
      <c r="A140" s="1">
        <v>45665</v>
      </c>
      <c r="B140">
        <f>(3/(1+('CurrentPor-Equ Factor Movements'!C140)/100)+103/POWER(1+('CurrentPor-Equ Factor Movements'!D140)/100,2))*100</f>
        <v>9707.5857774288397</v>
      </c>
      <c r="C140">
        <f>(3/(1+('CurrentPor-Equ Factor Movements'!C140+'CurrentPor-Equ Factor Movements'!G140)/100)+103/POWER(1+('CurrentPor-Equ Factor Movements'!D140+'CurrentPor-Equ Factor Movements'!G140)/100,2))*100</f>
        <v>9597.8415303105357</v>
      </c>
      <c r="D140">
        <f>(3/(1+('CurrentPor-Equ Factor Movements'!C140+'CurrentPor-Equ Factor Movements'!H140)/100)+103/POWER(1+('CurrentPor-Equ Factor Movements'!D140+'CurrentPor-Equ Factor Movements'!H140)/100,2))*100</f>
        <v>9610.2706118493825</v>
      </c>
      <c r="E140">
        <f>(3/(1+('CurrentPor-Equ Factor Movements'!C140+'CurrentPor-Equ Factor Movements'!I140)/100)+103/POWER(1+('CurrentPor-Equ Factor Movements'!D140+'CurrentPor-Equ Factor Movements'!I140)/100,2))*100</f>
        <v>9595.037255917945</v>
      </c>
      <c r="F140">
        <f>Portfolio!B$5*'CurrentPor-Equ Factor Movements'!E140</f>
        <v>52143.895533915893</v>
      </c>
      <c r="G140">
        <f>Portfolio!B$6*'CurrentPor-Equ Factor Movements'!F140</f>
        <v>3696.2945087936532</v>
      </c>
      <c r="H140">
        <f>Portfolio!B$7*'CurrentPor-Equ Factor Movements'!J140</f>
        <v>2148.0998964419859</v>
      </c>
      <c r="I140">
        <f t="shared" si="4"/>
        <v>96499.02511465823</v>
      </c>
      <c r="J140">
        <f t="shared" si="3"/>
        <v>0.40784481445734855</v>
      </c>
    </row>
    <row r="141" spans="1:10">
      <c r="A141" s="1">
        <v>45666</v>
      </c>
      <c r="B141">
        <f>(3/(1+('CurrentPor-Equ Factor Movements'!C141)/100)+103/POWER(1+('CurrentPor-Equ Factor Movements'!D141)/100,2))*100</f>
        <v>9707.5857774288397</v>
      </c>
      <c r="C141">
        <f>(3/(1+('CurrentPor-Equ Factor Movements'!C141+'CurrentPor-Equ Factor Movements'!G141)/100)+103/POWER(1+('CurrentPor-Equ Factor Movements'!D141+'CurrentPor-Equ Factor Movements'!G141)/100,2))*100</f>
        <v>9609.6199426934563</v>
      </c>
      <c r="D141">
        <f>(3/(1+('CurrentPor-Equ Factor Movements'!C141+'CurrentPor-Equ Factor Movements'!H141)/100)+103/POWER(1+('CurrentPor-Equ Factor Movements'!D141+'CurrentPor-Equ Factor Movements'!H141)/100,2))*100</f>
        <v>9600.9569611001298</v>
      </c>
      <c r="E141">
        <f>(3/(1+('CurrentPor-Equ Factor Movements'!C141+'CurrentPor-Equ Factor Movements'!I141)/100)+103/POWER(1+('CurrentPor-Equ Factor Movements'!D141+'CurrentPor-Equ Factor Movements'!I141)/100,2))*100</f>
        <v>9582.2471724738989</v>
      </c>
      <c r="F141">
        <f>Portfolio!B$5*'CurrentPor-Equ Factor Movements'!E141</f>
        <v>52143.895533915893</v>
      </c>
      <c r="G141">
        <f>Portfolio!B$6*'CurrentPor-Equ Factor Movements'!F141</f>
        <v>3696.2945087936532</v>
      </c>
      <c r="H141">
        <f>Portfolio!B$7*'CurrentPor-Equ Factor Movements'!J141</f>
        <v>2148.0998964419859</v>
      </c>
      <c r="I141">
        <f t="shared" si="4"/>
        <v>96488.699792847867</v>
      </c>
      <c r="J141">
        <f t="shared" si="3"/>
        <v>-25.790065359091386</v>
      </c>
    </row>
    <row r="142" spans="1:10">
      <c r="A142" s="1">
        <v>45667</v>
      </c>
      <c r="B142">
        <f>(3/(1+('CurrentPor-Equ Factor Movements'!C142)/100)+103/POWER(1+('CurrentPor-Equ Factor Movements'!D142)/100,2))*100</f>
        <v>9707.5857774288397</v>
      </c>
      <c r="C142">
        <f>(3/(1+('CurrentPor-Equ Factor Movements'!C142+'CurrentPor-Equ Factor Movements'!G142)/100)+103/POWER(1+('CurrentPor-Equ Factor Movements'!D142+'CurrentPor-Equ Factor Movements'!G142)/100,2))*100</f>
        <v>9620.4253519279973</v>
      </c>
      <c r="D142">
        <f>(3/(1+('CurrentPor-Equ Factor Movements'!C142+'CurrentPor-Equ Factor Movements'!H142)/100)+103/POWER(1+('CurrentPor-Equ Factor Movements'!D142+'CurrentPor-Equ Factor Movements'!H142)/100,2))*100</f>
        <v>9580.7778046094209</v>
      </c>
      <c r="E142">
        <f>(3/(1+('CurrentPor-Equ Factor Movements'!C142+'CurrentPor-Equ Factor Movements'!I142)/100)+103/POWER(1+('CurrentPor-Equ Factor Movements'!D142+'CurrentPor-Equ Factor Movements'!I142)/100,2))*100</f>
        <v>9577.5786590425887</v>
      </c>
      <c r="F142">
        <f>Portfolio!B$5*'CurrentPor-Equ Factor Movements'!E142</f>
        <v>52143.895533915893</v>
      </c>
      <c r="G142">
        <f>Portfolio!B$6*'CurrentPor-Equ Factor Movements'!F142</f>
        <v>3696.2945087936532</v>
      </c>
      <c r="H142">
        <f>Portfolio!B$7*'CurrentPor-Equ Factor Movements'!J142</f>
        <v>2148.0998964419859</v>
      </c>
      <c r="I142">
        <f t="shared" si="4"/>
        <v>96474.657532160389</v>
      </c>
      <c r="J142">
        <f t="shared" ref="J142:J187" si="5">I142-I132</f>
        <v>-8.6334417174512055</v>
      </c>
    </row>
    <row r="143" spans="1:10">
      <c r="A143" s="1">
        <v>45670</v>
      </c>
      <c r="B143">
        <f>(3/(1+('CurrentPor-Equ Factor Movements'!C143)/100)+103/POWER(1+('CurrentPor-Equ Factor Movements'!D143)/100,2))*100</f>
        <v>9707.5857774288397</v>
      </c>
      <c r="C143">
        <f>(3/(1+('CurrentPor-Equ Factor Movements'!C143+'CurrentPor-Equ Factor Movements'!G143)/100)+103/POWER(1+('CurrentPor-Equ Factor Movements'!D143+'CurrentPor-Equ Factor Movements'!G143)/100,2))*100</f>
        <v>9616.0910641834271</v>
      </c>
      <c r="D143">
        <f>(3/(1+('CurrentPor-Equ Factor Movements'!C143+'CurrentPor-Equ Factor Movements'!H143)/100)+103/POWER(1+('CurrentPor-Equ Factor Movements'!D143+'CurrentPor-Equ Factor Movements'!H143)/100,2))*100</f>
        <v>9593.1280668532836</v>
      </c>
      <c r="E143">
        <f>(3/(1+('CurrentPor-Equ Factor Movements'!C143+'CurrentPor-Equ Factor Movements'!I143)/100)+103/POWER(1+('CurrentPor-Equ Factor Movements'!D143+'CurrentPor-Equ Factor Movements'!I143)/100,2))*100</f>
        <v>9598.5309280284091</v>
      </c>
      <c r="F143">
        <f>Portfolio!B$5*'CurrentPor-Equ Factor Movements'!E143</f>
        <v>52143.895533915893</v>
      </c>
      <c r="G143">
        <f>Portfolio!B$6*'CurrentPor-Equ Factor Movements'!F143</f>
        <v>3696.2945087936532</v>
      </c>
      <c r="H143">
        <f>Portfolio!B$7*'CurrentPor-Equ Factor Movements'!J143</f>
        <v>2148.0998964419859</v>
      </c>
      <c r="I143">
        <f t="shared" si="4"/>
        <v>96503.625775645502</v>
      </c>
      <c r="J143">
        <f t="shared" si="5"/>
        <v>0.16174454829888418</v>
      </c>
    </row>
    <row r="144" spans="1:10">
      <c r="A144" s="1">
        <v>45671</v>
      </c>
      <c r="B144">
        <f>(3/(1+('CurrentPor-Equ Factor Movements'!C144)/100)+103/POWER(1+('CurrentPor-Equ Factor Movements'!D144)/100,2))*100</f>
        <v>9707.5857774288397</v>
      </c>
      <c r="C144">
        <f>(3/(1+('CurrentPor-Equ Factor Movements'!C144+'CurrentPor-Equ Factor Movements'!G144)/100)+103/POWER(1+('CurrentPor-Equ Factor Movements'!D144+'CurrentPor-Equ Factor Movements'!G144)/100,2))*100</f>
        <v>9605.6962293456527</v>
      </c>
      <c r="D144">
        <f>(3/(1+('CurrentPor-Equ Factor Movements'!C144+'CurrentPor-Equ Factor Movements'!H144)/100)+103/POWER(1+('CurrentPor-Equ Factor Movements'!D144+'CurrentPor-Equ Factor Movements'!H144)/100,2))*100</f>
        <v>9599.2502015854407</v>
      </c>
      <c r="E144">
        <f>(3/(1+('CurrentPor-Equ Factor Movements'!C144+'CurrentPor-Equ Factor Movements'!I144)/100)+103/POWER(1+('CurrentPor-Equ Factor Movements'!D144+'CurrentPor-Equ Factor Movements'!I144)/100,2))*100</f>
        <v>9598.2714481066359</v>
      </c>
      <c r="F144">
        <f>Portfolio!B$5*'CurrentPor-Equ Factor Movements'!E144</f>
        <v>52143.895533915893</v>
      </c>
      <c r="G144">
        <f>Portfolio!B$6*'CurrentPor-Equ Factor Movements'!F144</f>
        <v>3696.2945087936532</v>
      </c>
      <c r="H144">
        <f>Portfolio!B$7*'CurrentPor-Equ Factor Movements'!J144</f>
        <v>2148.0998964419859</v>
      </c>
      <c r="I144">
        <f t="shared" si="4"/>
        <v>96499.093595618106</v>
      </c>
      <c r="J144">
        <f t="shared" si="5"/>
        <v>-1.0275654739234596</v>
      </c>
    </row>
    <row r="145" spans="1:10">
      <c r="A145" s="1">
        <v>45672</v>
      </c>
      <c r="B145">
        <f>(3/(1+('CurrentPor-Equ Factor Movements'!C145)/100)+103/POWER(1+('CurrentPor-Equ Factor Movements'!D145)/100,2))*100</f>
        <v>9707.5857774288397</v>
      </c>
      <c r="C145">
        <f>(3/(1+('CurrentPor-Equ Factor Movements'!C145+'CurrentPor-Equ Factor Movements'!G145)/100)+103/POWER(1+('CurrentPor-Equ Factor Movements'!D145+'CurrentPor-Equ Factor Movements'!G145)/100,2))*100</f>
        <v>9591.9834425782265</v>
      </c>
      <c r="D145">
        <f>(3/(1+('CurrentPor-Equ Factor Movements'!C145+'CurrentPor-Equ Factor Movements'!H145)/100)+103/POWER(1+('CurrentPor-Equ Factor Movements'!D145+'CurrentPor-Equ Factor Movements'!H145)/100,2))*100</f>
        <v>9577.8505225995959</v>
      </c>
      <c r="E145">
        <f>(3/(1+('CurrentPor-Equ Factor Movements'!C145+'CurrentPor-Equ Factor Movements'!I145)/100)+103/POWER(1+('CurrentPor-Equ Factor Movements'!D145+'CurrentPor-Equ Factor Movements'!I145)/100,2))*100</f>
        <v>9598.2653176076547</v>
      </c>
      <c r="F145">
        <f>Portfolio!B$5*'CurrentPor-Equ Factor Movements'!E145</f>
        <v>52143.895533915893</v>
      </c>
      <c r="G145">
        <f>Portfolio!B$6*'CurrentPor-Equ Factor Movements'!F145</f>
        <v>3696.2945087936532</v>
      </c>
      <c r="H145">
        <f>Portfolio!B$7*'CurrentPor-Equ Factor Movements'!J145</f>
        <v>2148.0998964419859</v>
      </c>
      <c r="I145">
        <f t="shared" si="4"/>
        <v>96463.974999365848</v>
      </c>
      <c r="J145">
        <f t="shared" si="5"/>
        <v>2.0762130826187786</v>
      </c>
    </row>
    <row r="146" spans="1:10">
      <c r="A146" s="1">
        <v>45673</v>
      </c>
      <c r="B146">
        <f>(3/(1+('CurrentPor-Equ Factor Movements'!C146)/100)+103/POWER(1+('CurrentPor-Equ Factor Movements'!D146)/100,2))*100</f>
        <v>9707.5857774288397</v>
      </c>
      <c r="C146">
        <f>(3/(1+('CurrentPor-Equ Factor Movements'!C146+'CurrentPor-Equ Factor Movements'!G146)/100)+103/POWER(1+('CurrentPor-Equ Factor Movements'!D146+'CurrentPor-Equ Factor Movements'!G146)/100,2))*100</f>
        <v>9603.6446174654557</v>
      </c>
      <c r="D146">
        <f>(3/(1+('CurrentPor-Equ Factor Movements'!C146+'CurrentPor-Equ Factor Movements'!H146)/100)+103/POWER(1+('CurrentPor-Equ Factor Movements'!D146+'CurrentPor-Equ Factor Movements'!H146)/100,2))*100</f>
        <v>9598.0650175526116</v>
      </c>
      <c r="E146">
        <f>(3/(1+('CurrentPor-Equ Factor Movements'!C146+'CurrentPor-Equ Factor Movements'!I146)/100)+103/POWER(1+('CurrentPor-Equ Factor Movements'!D146+'CurrentPor-Equ Factor Movements'!I146)/100,2))*100</f>
        <v>9582.2740235077454</v>
      </c>
      <c r="F146">
        <f>Portfolio!B$5*'CurrentPor-Equ Factor Movements'!E146</f>
        <v>52143.895533915893</v>
      </c>
      <c r="G146">
        <f>Portfolio!B$6*'CurrentPor-Equ Factor Movements'!F146</f>
        <v>3696.2945087936532</v>
      </c>
      <c r="H146">
        <f>Portfolio!B$7*'CurrentPor-Equ Factor Movements'!J146</f>
        <v>2148.0998964419859</v>
      </c>
      <c r="I146">
        <f t="shared" si="4"/>
        <v>96479.859375106185</v>
      </c>
      <c r="J146">
        <f t="shared" si="5"/>
        <v>4.1478606347227469</v>
      </c>
    </row>
    <row r="147" spans="1:10">
      <c r="A147" s="1">
        <v>45674</v>
      </c>
      <c r="B147">
        <f>(3/(1+('CurrentPor-Equ Factor Movements'!C147)/100)+103/POWER(1+('CurrentPor-Equ Factor Movements'!D147)/100,2))*100</f>
        <v>9707.5857774288397</v>
      </c>
      <c r="C147">
        <f>(3/(1+('CurrentPor-Equ Factor Movements'!C147+'CurrentPor-Equ Factor Movements'!G147)/100)+103/POWER(1+('CurrentPor-Equ Factor Movements'!D147+'CurrentPor-Equ Factor Movements'!G147)/100,2))*100</f>
        <v>9632.8020474033674</v>
      </c>
      <c r="D147">
        <f>(3/(1+('CurrentPor-Equ Factor Movements'!C147+'CurrentPor-Equ Factor Movements'!H147)/100)+103/POWER(1+('CurrentPor-Equ Factor Movements'!D147+'CurrentPor-Equ Factor Movements'!H147)/100,2))*100</f>
        <v>9614.1664743669025</v>
      </c>
      <c r="E147">
        <f>(3/(1+('CurrentPor-Equ Factor Movements'!C147+'CurrentPor-Equ Factor Movements'!I147)/100)+103/POWER(1+('CurrentPor-Equ Factor Movements'!D147+'CurrentPor-Equ Factor Movements'!I147)/100,2))*100</f>
        <v>9573.7645674310497</v>
      </c>
      <c r="F147">
        <f>Portfolio!B$5*'CurrentPor-Equ Factor Movements'!E147</f>
        <v>52143.895533915893</v>
      </c>
      <c r="G147">
        <f>Portfolio!B$6*'CurrentPor-Equ Factor Movements'!F147</f>
        <v>3696.2945087936532</v>
      </c>
      <c r="H147">
        <f>Portfolio!B$7*'CurrentPor-Equ Factor Movements'!J147</f>
        <v>2148.0998964419859</v>
      </c>
      <c r="I147">
        <f t="shared" si="4"/>
        <v>96516.608805781681</v>
      </c>
      <c r="J147">
        <f t="shared" si="5"/>
        <v>13.85627162604942</v>
      </c>
    </row>
    <row r="148" spans="1:10">
      <c r="A148" s="1">
        <v>45677</v>
      </c>
      <c r="B148">
        <f>(3/(1+('CurrentPor-Equ Factor Movements'!C148)/100)+103/POWER(1+('CurrentPor-Equ Factor Movements'!D148)/100,2))*100</f>
        <v>9707.5857774288397</v>
      </c>
      <c r="C148">
        <f>(3/(1+('CurrentPor-Equ Factor Movements'!C148+'CurrentPor-Equ Factor Movements'!G148)/100)+103/POWER(1+('CurrentPor-Equ Factor Movements'!D148+'CurrentPor-Equ Factor Movements'!G148)/100,2))*100</f>
        <v>9624.170438023044</v>
      </c>
      <c r="D148">
        <f>(3/(1+('CurrentPor-Equ Factor Movements'!C148+'CurrentPor-Equ Factor Movements'!H148)/100)+103/POWER(1+('CurrentPor-Equ Factor Movements'!D148+'CurrentPor-Equ Factor Movements'!H148)/100,2))*100</f>
        <v>9611.0422053074926</v>
      </c>
      <c r="E148">
        <f>(3/(1+('CurrentPor-Equ Factor Movements'!C148+'CurrentPor-Equ Factor Movements'!I148)/100)+103/POWER(1+('CurrentPor-Equ Factor Movements'!D148+'CurrentPor-Equ Factor Movements'!I148)/100,2))*100</f>
        <v>9583.2620962486326</v>
      </c>
      <c r="F148">
        <f>Portfolio!B$5*'CurrentPor-Equ Factor Movements'!E148</f>
        <v>52143.895533915893</v>
      </c>
      <c r="G148">
        <f>Portfolio!B$6*'CurrentPor-Equ Factor Movements'!F148</f>
        <v>3696.2945087936532</v>
      </c>
      <c r="H148">
        <f>Portfolio!B$7*'CurrentPor-Equ Factor Movements'!J148</f>
        <v>2148.0998964419859</v>
      </c>
      <c r="I148">
        <f t="shared" si="4"/>
        <v>96514.350456159547</v>
      </c>
      <c r="J148">
        <f t="shared" si="5"/>
        <v>18.469153265861678</v>
      </c>
    </row>
    <row r="149" spans="1:10">
      <c r="A149" s="1">
        <v>45678</v>
      </c>
      <c r="B149">
        <f>(3/(1+('CurrentPor-Equ Factor Movements'!C149)/100)+103/POWER(1+('CurrentPor-Equ Factor Movements'!D149)/100,2))*100</f>
        <v>9707.5857774288397</v>
      </c>
      <c r="C149">
        <f>(3/(1+('CurrentPor-Equ Factor Movements'!C149+'CurrentPor-Equ Factor Movements'!G149)/100)+103/POWER(1+('CurrentPor-Equ Factor Movements'!D149+'CurrentPor-Equ Factor Movements'!G149)/100,2))*100</f>
        <v>9599.7919586061653</v>
      </c>
      <c r="D149">
        <f>(3/(1+('CurrentPor-Equ Factor Movements'!C149+'CurrentPor-Equ Factor Movements'!H149)/100)+103/POWER(1+('CurrentPor-Equ Factor Movements'!D149+'CurrentPor-Equ Factor Movements'!H149)/100,2))*100</f>
        <v>9607.1387008109305</v>
      </c>
      <c r="E149">
        <f>(3/(1+('CurrentPor-Equ Factor Movements'!C149+'CurrentPor-Equ Factor Movements'!I149)/100)+103/POWER(1+('CurrentPor-Equ Factor Movements'!D149+'CurrentPor-Equ Factor Movements'!I149)/100,2))*100</f>
        <v>9561.8764688494157</v>
      </c>
      <c r="F149">
        <f>Portfolio!B$5*'CurrentPor-Equ Factor Movements'!E149</f>
        <v>52143.895533915893</v>
      </c>
      <c r="G149">
        <f>Portfolio!B$6*'CurrentPor-Equ Factor Movements'!F149</f>
        <v>3696.2945087936532</v>
      </c>
      <c r="H149">
        <f>Portfolio!B$7*'CurrentPor-Equ Factor Movements'!J149</f>
        <v>2148.0998964419859</v>
      </c>
      <c r="I149">
        <f t="shared" si="4"/>
        <v>96464.682844846873</v>
      </c>
      <c r="J149">
        <f t="shared" si="5"/>
        <v>-53.645244279323379</v>
      </c>
    </row>
    <row r="150" spans="1:10">
      <c r="A150" s="1">
        <v>45679</v>
      </c>
      <c r="B150">
        <f>(3/(1+('CurrentPor-Equ Factor Movements'!C150)/100)+103/POWER(1+('CurrentPor-Equ Factor Movements'!D150)/100,2))*100</f>
        <v>9707.5857774288397</v>
      </c>
      <c r="C150">
        <f>(3/(1+('CurrentPor-Equ Factor Movements'!C150+'CurrentPor-Equ Factor Movements'!G150)/100)+103/POWER(1+('CurrentPor-Equ Factor Movements'!D150+'CurrentPor-Equ Factor Movements'!G150)/100,2))*100</f>
        <v>9596.8288317644474</v>
      </c>
      <c r="D150">
        <f>(3/(1+('CurrentPor-Equ Factor Movements'!C150+'CurrentPor-Equ Factor Movements'!H150)/100)+103/POWER(1+('CurrentPor-Equ Factor Movements'!D150+'CurrentPor-Equ Factor Movements'!H150)/100,2))*100</f>
        <v>9595.3363631587381</v>
      </c>
      <c r="E150">
        <f>(3/(1+('CurrentPor-Equ Factor Movements'!C150+'CurrentPor-Equ Factor Movements'!I150)/100)+103/POWER(1+('CurrentPor-Equ Factor Movements'!D150+'CurrentPor-Equ Factor Movements'!I150)/100,2))*100</f>
        <v>9604.79804415326</v>
      </c>
      <c r="F150">
        <f>Portfolio!B$5*'CurrentPor-Equ Factor Movements'!E150</f>
        <v>52143.895533915893</v>
      </c>
      <c r="G150">
        <f>Portfolio!B$6*'CurrentPor-Equ Factor Movements'!F150</f>
        <v>3696.2945087936532</v>
      </c>
      <c r="H150">
        <f>Portfolio!B$7*'CurrentPor-Equ Factor Movements'!J150</f>
        <v>2148.0998964419859</v>
      </c>
      <c r="I150">
        <f t="shared" si="4"/>
        <v>96492.838955656815</v>
      </c>
      <c r="J150">
        <f t="shared" si="5"/>
        <v>-6.1861590014159447</v>
      </c>
    </row>
    <row r="151" spans="1:10">
      <c r="A151" s="1">
        <v>45680</v>
      </c>
      <c r="B151">
        <f>(3/(1+('CurrentPor-Equ Factor Movements'!C151)/100)+103/POWER(1+('CurrentPor-Equ Factor Movements'!D151)/100,2))*100</f>
        <v>9707.5857774288397</v>
      </c>
      <c r="C151">
        <f>(3/(1+('CurrentPor-Equ Factor Movements'!C151+'CurrentPor-Equ Factor Movements'!G151)/100)+103/POWER(1+('CurrentPor-Equ Factor Movements'!D151+'CurrentPor-Equ Factor Movements'!G151)/100,2))*100</f>
        <v>9624.8026202562251</v>
      </c>
      <c r="D151">
        <f>(3/(1+('CurrentPor-Equ Factor Movements'!C151+'CurrentPor-Equ Factor Movements'!H151)/100)+103/POWER(1+('CurrentPor-Equ Factor Movements'!D151+'CurrentPor-Equ Factor Movements'!H151)/100,2))*100</f>
        <v>9590.2177654821935</v>
      </c>
      <c r="E151">
        <f>(3/(1+('CurrentPor-Equ Factor Movements'!C151+'CurrentPor-Equ Factor Movements'!I151)/100)+103/POWER(1+('CurrentPor-Equ Factor Movements'!D151+'CurrentPor-Equ Factor Movements'!I151)/100,2))*100</f>
        <v>9593.6753871116944</v>
      </c>
      <c r="F151">
        <f>Portfolio!B$5*'CurrentPor-Equ Factor Movements'!E151</f>
        <v>52143.895533915893</v>
      </c>
      <c r="G151">
        <f>Portfolio!B$6*'CurrentPor-Equ Factor Movements'!F151</f>
        <v>3696.2945087936532</v>
      </c>
      <c r="H151">
        <f>Portfolio!B$7*'CurrentPor-Equ Factor Movements'!J151</f>
        <v>2148.0998964419859</v>
      </c>
      <c r="I151">
        <f t="shared" si="4"/>
        <v>96504.571489430484</v>
      </c>
      <c r="J151">
        <f t="shared" si="5"/>
        <v>15.871696582617005</v>
      </c>
    </row>
    <row r="152" spans="1:10">
      <c r="A152" s="1">
        <v>45681</v>
      </c>
      <c r="B152">
        <f>(3/(1+('CurrentPor-Equ Factor Movements'!C152)/100)+103/POWER(1+('CurrentPor-Equ Factor Movements'!D152)/100,2))*100</f>
        <v>9707.5857774288397</v>
      </c>
      <c r="C152">
        <f>(3/(1+('CurrentPor-Equ Factor Movements'!C152+'CurrentPor-Equ Factor Movements'!G152)/100)+103/POWER(1+('CurrentPor-Equ Factor Movements'!D152+'CurrentPor-Equ Factor Movements'!G152)/100,2))*100</f>
        <v>9607.5473767451494</v>
      </c>
      <c r="D152">
        <f>(3/(1+('CurrentPor-Equ Factor Movements'!C152+'CurrentPor-Equ Factor Movements'!H152)/100)+103/POWER(1+('CurrentPor-Equ Factor Movements'!D152+'CurrentPor-Equ Factor Movements'!H152)/100,2))*100</f>
        <v>9593.4059629929925</v>
      </c>
      <c r="E152">
        <f>(3/(1+('CurrentPor-Equ Factor Movements'!C152+'CurrentPor-Equ Factor Movements'!I152)/100)+103/POWER(1+('CurrentPor-Equ Factor Movements'!D152+'CurrentPor-Equ Factor Movements'!I152)/100,2))*100</f>
        <v>9585.0051987282932</v>
      </c>
      <c r="F152">
        <f>Portfolio!B$5*'CurrentPor-Equ Factor Movements'!E152</f>
        <v>52143.895533915893</v>
      </c>
      <c r="G152">
        <f>Portfolio!B$6*'CurrentPor-Equ Factor Movements'!F152</f>
        <v>3696.2945087936532</v>
      </c>
      <c r="H152">
        <f>Portfolio!B$7*'CurrentPor-Equ Factor Movements'!J152</f>
        <v>2148.0998964419859</v>
      </c>
      <c r="I152">
        <f t="shared" si="4"/>
        <v>96481.834255046808</v>
      </c>
      <c r="J152">
        <f t="shared" si="5"/>
        <v>7.1767228864191566</v>
      </c>
    </row>
    <row r="153" spans="1:10">
      <c r="A153" s="1">
        <v>45684</v>
      </c>
      <c r="B153">
        <f>(3/(1+('CurrentPor-Equ Factor Movements'!C153)/100)+103/POWER(1+('CurrentPor-Equ Factor Movements'!D153)/100,2))*100</f>
        <v>9707.5857774288397</v>
      </c>
      <c r="C153">
        <f>(3/(1+('CurrentPor-Equ Factor Movements'!C153+'CurrentPor-Equ Factor Movements'!G153)/100)+103/POWER(1+('CurrentPor-Equ Factor Movements'!D153+'CurrentPor-Equ Factor Movements'!G153)/100,2))*100</f>
        <v>9620.604888744072</v>
      </c>
      <c r="D153">
        <f>(3/(1+('CurrentPor-Equ Factor Movements'!C153+'CurrentPor-Equ Factor Movements'!H153)/100)+103/POWER(1+('CurrentPor-Equ Factor Movements'!D153+'CurrentPor-Equ Factor Movements'!H153)/100,2))*100</f>
        <v>9598.4936760508135</v>
      </c>
      <c r="E153">
        <f>(3/(1+('CurrentPor-Equ Factor Movements'!C153+'CurrentPor-Equ Factor Movements'!I153)/100)+103/POWER(1+('CurrentPor-Equ Factor Movements'!D153+'CurrentPor-Equ Factor Movements'!I153)/100,2))*100</f>
        <v>9601.8794634695678</v>
      </c>
      <c r="F153">
        <f>Portfolio!B$5*'CurrentPor-Equ Factor Movements'!E153</f>
        <v>52143.895533915893</v>
      </c>
      <c r="G153">
        <f>Portfolio!B$6*'CurrentPor-Equ Factor Movements'!F153</f>
        <v>3696.2945087936532</v>
      </c>
      <c r="H153">
        <f>Portfolio!B$7*'CurrentPor-Equ Factor Movements'!J153</f>
        <v>2148.0998964419859</v>
      </c>
      <c r="I153">
        <f t="shared" si="4"/>
        <v>96516.853744844833</v>
      </c>
      <c r="J153">
        <f t="shared" si="5"/>
        <v>13.22796919933171</v>
      </c>
    </row>
    <row r="154" spans="1:10">
      <c r="A154" s="1">
        <v>45685</v>
      </c>
      <c r="B154">
        <f>(3/(1+('CurrentPor-Equ Factor Movements'!C154)/100)+103/POWER(1+('CurrentPor-Equ Factor Movements'!D154)/100,2))*100</f>
        <v>9707.5857774288397</v>
      </c>
      <c r="C154">
        <f>(3/(1+('CurrentPor-Equ Factor Movements'!C154+'CurrentPor-Equ Factor Movements'!G154)/100)+103/POWER(1+('CurrentPor-Equ Factor Movements'!D154+'CurrentPor-Equ Factor Movements'!G154)/100,2))*100</f>
        <v>9627.3773682386836</v>
      </c>
      <c r="D154">
        <f>(3/(1+('CurrentPor-Equ Factor Movements'!C154+'CurrentPor-Equ Factor Movements'!H154)/100)+103/POWER(1+('CurrentPor-Equ Factor Movements'!D154+'CurrentPor-Equ Factor Movements'!H154)/100,2))*100</f>
        <v>9586.2452608971762</v>
      </c>
      <c r="E154">
        <f>(3/(1+('CurrentPor-Equ Factor Movements'!C154+'CurrentPor-Equ Factor Movements'!I154)/100)+103/POWER(1+('CurrentPor-Equ Factor Movements'!D154+'CurrentPor-Equ Factor Movements'!I154)/100,2))*100</f>
        <v>9575.0785028535411</v>
      </c>
      <c r="F154">
        <f>Portfolio!B$5*'CurrentPor-Equ Factor Movements'!E154</f>
        <v>52143.895533915893</v>
      </c>
      <c r="G154">
        <f>Portfolio!B$6*'CurrentPor-Equ Factor Movements'!F154</f>
        <v>3696.2945087936532</v>
      </c>
      <c r="H154">
        <f>Portfolio!B$7*'CurrentPor-Equ Factor Movements'!J154</f>
        <v>2148.0998964419859</v>
      </c>
      <c r="I154">
        <f t="shared" si="4"/>
        <v>96484.576848569777</v>
      </c>
      <c r="J154">
        <f t="shared" si="5"/>
        <v>-14.516747048328398</v>
      </c>
    </row>
    <row r="155" spans="1:10">
      <c r="A155" s="1">
        <v>45686</v>
      </c>
      <c r="B155">
        <f>(3/(1+('CurrentPor-Equ Factor Movements'!C155)/100)+103/POWER(1+('CurrentPor-Equ Factor Movements'!D155)/100,2))*100</f>
        <v>9707.5857774288397</v>
      </c>
      <c r="C155">
        <f>(3/(1+('CurrentPor-Equ Factor Movements'!C155+'CurrentPor-Equ Factor Movements'!G155)/100)+103/POWER(1+('CurrentPor-Equ Factor Movements'!D155+'CurrentPor-Equ Factor Movements'!G155)/100,2))*100</f>
        <v>9599.0088459127328</v>
      </c>
      <c r="D155">
        <f>(3/(1+('CurrentPor-Equ Factor Movements'!C155+'CurrentPor-Equ Factor Movements'!H155)/100)+103/POWER(1+('CurrentPor-Equ Factor Movements'!D155+'CurrentPor-Equ Factor Movements'!H155)/100,2))*100</f>
        <v>9608.8899507807637</v>
      </c>
      <c r="E155">
        <f>(3/(1+('CurrentPor-Equ Factor Movements'!C155+'CurrentPor-Equ Factor Movements'!I155)/100)+103/POWER(1+('CurrentPor-Equ Factor Movements'!D155+'CurrentPor-Equ Factor Movements'!I155)/100,2))*100</f>
        <v>9579.2238093672077</v>
      </c>
      <c r="F155">
        <f>Portfolio!B$5*'CurrentPor-Equ Factor Movements'!E155</f>
        <v>52143.895533915893</v>
      </c>
      <c r="G155">
        <f>Portfolio!B$6*'CurrentPor-Equ Factor Movements'!F155</f>
        <v>3696.2945087936532</v>
      </c>
      <c r="H155">
        <f>Portfolio!B$7*'CurrentPor-Equ Factor Movements'!J155</f>
        <v>2148.0998964419859</v>
      </c>
      <c r="I155">
        <f t="shared" si="4"/>
        <v>96482.998322641084</v>
      </c>
      <c r="J155">
        <f t="shared" si="5"/>
        <v>19.02332327523618</v>
      </c>
    </row>
    <row r="156" spans="1:10">
      <c r="A156" s="1">
        <v>45687</v>
      </c>
      <c r="B156">
        <f>(3/(1+('CurrentPor-Equ Factor Movements'!C156)/100)+103/POWER(1+('CurrentPor-Equ Factor Movements'!D156)/100,2))*100</f>
        <v>9707.5857774288397</v>
      </c>
      <c r="C156">
        <f>(3/(1+('CurrentPor-Equ Factor Movements'!C156+'CurrentPor-Equ Factor Movements'!G156)/100)+103/POWER(1+('CurrentPor-Equ Factor Movements'!D156+'CurrentPor-Equ Factor Movements'!G156)/100,2))*100</f>
        <v>9620.5417530040231</v>
      </c>
      <c r="D156">
        <f>(3/(1+('CurrentPor-Equ Factor Movements'!C156+'CurrentPor-Equ Factor Movements'!H156)/100)+103/POWER(1+('CurrentPor-Equ Factor Movements'!D156+'CurrentPor-Equ Factor Movements'!H156)/100,2))*100</f>
        <v>9606.8894350896953</v>
      </c>
      <c r="E156">
        <f>(3/(1+('CurrentPor-Equ Factor Movements'!C156+'CurrentPor-Equ Factor Movements'!I156)/100)+103/POWER(1+('CurrentPor-Equ Factor Movements'!D156+'CurrentPor-Equ Factor Movements'!I156)/100,2))*100</f>
        <v>9588.2882461911613</v>
      </c>
      <c r="F156">
        <f>Portfolio!B$5*'CurrentPor-Equ Factor Movements'!E156</f>
        <v>52143.895533915893</v>
      </c>
      <c r="G156">
        <f>Portfolio!B$6*'CurrentPor-Equ Factor Movements'!F156</f>
        <v>3696.2945087936532</v>
      </c>
      <c r="H156">
        <f>Portfolio!B$7*'CurrentPor-Equ Factor Movements'!J156</f>
        <v>2148.0998964419859</v>
      </c>
      <c r="I156">
        <f t="shared" si="4"/>
        <v>96511.595150865251</v>
      </c>
      <c r="J156">
        <f t="shared" si="5"/>
        <v>31.735775759065291</v>
      </c>
    </row>
    <row r="157" spans="1:10">
      <c r="A157" s="1">
        <v>45688</v>
      </c>
      <c r="B157">
        <f>(3/(1+('CurrentPor-Equ Factor Movements'!C157)/100)+103/POWER(1+('CurrentPor-Equ Factor Movements'!D157)/100,2))*100</f>
        <v>9707.5857774288397</v>
      </c>
      <c r="C157">
        <f>(3/(1+('CurrentPor-Equ Factor Movements'!C157+'CurrentPor-Equ Factor Movements'!G157)/100)+103/POWER(1+('CurrentPor-Equ Factor Movements'!D157+'CurrentPor-Equ Factor Movements'!G157)/100,2))*100</f>
        <v>9598.806763866136</v>
      </c>
      <c r="D157">
        <f>(3/(1+('CurrentPor-Equ Factor Movements'!C157+'CurrentPor-Equ Factor Movements'!H157)/100)+103/POWER(1+('CurrentPor-Equ Factor Movements'!D157+'CurrentPor-Equ Factor Movements'!H157)/100,2))*100</f>
        <v>9604.1654589247682</v>
      </c>
      <c r="E157">
        <f>(3/(1+('CurrentPor-Equ Factor Movements'!C157+'CurrentPor-Equ Factor Movements'!I157)/100)+103/POWER(1+('CurrentPor-Equ Factor Movements'!D157+'CurrentPor-Equ Factor Movements'!I157)/100,2))*100</f>
        <v>9574.8168682705145</v>
      </c>
      <c r="F157">
        <f>Portfolio!B$5*'CurrentPor-Equ Factor Movements'!E157</f>
        <v>52143.895533915893</v>
      </c>
      <c r="G157">
        <f>Portfolio!B$6*'CurrentPor-Equ Factor Movements'!F157</f>
        <v>3696.2945087936532</v>
      </c>
      <c r="H157">
        <f>Portfolio!B$7*'CurrentPor-Equ Factor Movements'!J157</f>
        <v>2148.0998964419859</v>
      </c>
      <c r="I157">
        <f t="shared" si="4"/>
        <v>96473.664807641791</v>
      </c>
      <c r="J157">
        <f t="shared" si="5"/>
        <v>-42.943998139890027</v>
      </c>
    </row>
    <row r="158" spans="1:10">
      <c r="A158" s="1">
        <v>45691</v>
      </c>
      <c r="B158">
        <f>(3/(1+('CurrentPor-Equ Factor Movements'!C158)/100)+103/POWER(1+('CurrentPor-Equ Factor Movements'!D158)/100,2))*100</f>
        <v>9707.5857774288397</v>
      </c>
      <c r="C158">
        <f>(3/(1+('CurrentPor-Equ Factor Movements'!C158+'CurrentPor-Equ Factor Movements'!G158)/100)+103/POWER(1+('CurrentPor-Equ Factor Movements'!D158+'CurrentPor-Equ Factor Movements'!G158)/100,2))*100</f>
        <v>9607.4613010786834</v>
      </c>
      <c r="D158">
        <f>(3/(1+('CurrentPor-Equ Factor Movements'!C158+'CurrentPor-Equ Factor Movements'!H158)/100)+103/POWER(1+('CurrentPor-Equ Factor Movements'!D158+'CurrentPor-Equ Factor Movements'!H158)/100,2))*100</f>
        <v>9574.9542561372073</v>
      </c>
      <c r="E158">
        <f>(3/(1+('CurrentPor-Equ Factor Movements'!C158+'CurrentPor-Equ Factor Movements'!I158)/100)+103/POWER(1+('CurrentPor-Equ Factor Movements'!D158+'CurrentPor-Equ Factor Movements'!I158)/100,2))*100</f>
        <v>9578.6821202508181</v>
      </c>
      <c r="F158">
        <f>Portfolio!B$5*'CurrentPor-Equ Factor Movements'!E158</f>
        <v>52143.895533915893</v>
      </c>
      <c r="G158">
        <f>Portfolio!B$6*'CurrentPor-Equ Factor Movements'!F158</f>
        <v>3696.2945087936532</v>
      </c>
      <c r="H158">
        <f>Portfolio!B$7*'CurrentPor-Equ Factor Movements'!J158</f>
        <v>2148.0998964419859</v>
      </c>
      <c r="I158">
        <f t="shared" si="4"/>
        <v>96456.973394047076</v>
      </c>
      <c r="J158">
        <f t="shared" si="5"/>
        <v>-57.377062112471322</v>
      </c>
    </row>
    <row r="159" spans="1:10">
      <c r="A159" s="1">
        <v>45692</v>
      </c>
      <c r="B159">
        <f>(3/(1+('CurrentPor-Equ Factor Movements'!C159)/100)+103/POWER(1+('CurrentPor-Equ Factor Movements'!D159)/100,2))*100</f>
        <v>9707.5857774288397</v>
      </c>
      <c r="C159">
        <f>(3/(1+('CurrentPor-Equ Factor Movements'!C159+'CurrentPor-Equ Factor Movements'!G159)/100)+103/POWER(1+('CurrentPor-Equ Factor Movements'!D159+'CurrentPor-Equ Factor Movements'!G159)/100,2))*100</f>
        <v>9602.6273807266443</v>
      </c>
      <c r="D159">
        <f>(3/(1+('CurrentPor-Equ Factor Movements'!C159+'CurrentPor-Equ Factor Movements'!H159)/100)+103/POWER(1+('CurrentPor-Equ Factor Movements'!D159+'CurrentPor-Equ Factor Movements'!H159)/100,2))*100</f>
        <v>9610.9607929832018</v>
      </c>
      <c r="E159">
        <f>(3/(1+('CurrentPor-Equ Factor Movements'!C159+'CurrentPor-Equ Factor Movements'!I159)/100)+103/POWER(1+('CurrentPor-Equ Factor Movements'!D159+'CurrentPor-Equ Factor Movements'!I159)/100,2))*100</f>
        <v>9578.3541301694186</v>
      </c>
      <c r="F159">
        <f>Portfolio!B$5*'CurrentPor-Equ Factor Movements'!E159</f>
        <v>52143.895533915893</v>
      </c>
      <c r="G159">
        <f>Portfolio!B$6*'CurrentPor-Equ Factor Movements'!F159</f>
        <v>3696.2945087936532</v>
      </c>
      <c r="H159">
        <f>Portfolio!B$7*'CurrentPor-Equ Factor Movements'!J159</f>
        <v>2148.0998964419859</v>
      </c>
      <c r="I159">
        <f t="shared" si="4"/>
        <v>96487.818020459628</v>
      </c>
      <c r="J159">
        <f t="shared" si="5"/>
        <v>23.13517561275512</v>
      </c>
    </row>
    <row r="160" spans="1:10">
      <c r="A160" s="1">
        <v>45693</v>
      </c>
      <c r="B160">
        <f>(3/(1+('CurrentPor-Equ Factor Movements'!C160)/100)+103/POWER(1+('CurrentPor-Equ Factor Movements'!D160)/100,2))*100</f>
        <v>9707.5857774288397</v>
      </c>
      <c r="C160">
        <f>(3/(1+('CurrentPor-Equ Factor Movements'!C160+'CurrentPor-Equ Factor Movements'!G160)/100)+103/POWER(1+('CurrentPor-Equ Factor Movements'!D160+'CurrentPor-Equ Factor Movements'!G160)/100,2))*100</f>
        <v>9612.0099071991208</v>
      </c>
      <c r="D160">
        <f>(3/(1+('CurrentPor-Equ Factor Movements'!C160+'CurrentPor-Equ Factor Movements'!H160)/100)+103/POWER(1+('CurrentPor-Equ Factor Movements'!D160+'CurrentPor-Equ Factor Movements'!H160)/100,2))*100</f>
        <v>9588.3272977744127</v>
      </c>
      <c r="E160">
        <f>(3/(1+('CurrentPor-Equ Factor Movements'!C160+'CurrentPor-Equ Factor Movements'!I160)/100)+103/POWER(1+('CurrentPor-Equ Factor Movements'!D160+'CurrentPor-Equ Factor Movements'!I160)/100,2))*100</f>
        <v>9576.8645428300679</v>
      </c>
      <c r="F160">
        <f>Portfolio!B$5*'CurrentPor-Equ Factor Movements'!E160</f>
        <v>52143.895533915893</v>
      </c>
      <c r="G160">
        <f>Portfolio!B$6*'CurrentPor-Equ Factor Movements'!F160</f>
        <v>3696.2945087936532</v>
      </c>
      <c r="H160">
        <f>Portfolio!B$7*'CurrentPor-Equ Factor Movements'!J160</f>
        <v>2148.0998964419859</v>
      </c>
      <c r="I160">
        <f t="shared" si="4"/>
        <v>96473.077464383969</v>
      </c>
      <c r="J160">
        <f t="shared" si="5"/>
        <v>-19.761491272845888</v>
      </c>
    </row>
    <row r="161" spans="1:10">
      <c r="A161" s="1">
        <v>45694</v>
      </c>
      <c r="B161">
        <f>(3/(1+('CurrentPor-Equ Factor Movements'!C161)/100)+103/POWER(1+('CurrentPor-Equ Factor Movements'!D161)/100,2))*100</f>
        <v>9707.5857774288397</v>
      </c>
      <c r="C161">
        <f>(3/(1+('CurrentPor-Equ Factor Movements'!C161+'CurrentPor-Equ Factor Movements'!G161)/100)+103/POWER(1+('CurrentPor-Equ Factor Movements'!D161+'CurrentPor-Equ Factor Movements'!G161)/100,2))*100</f>
        <v>9620.5594224385914</v>
      </c>
      <c r="D161">
        <f>(3/(1+('CurrentPor-Equ Factor Movements'!C161+'CurrentPor-Equ Factor Movements'!H161)/100)+103/POWER(1+('CurrentPor-Equ Factor Movements'!D161+'CurrentPor-Equ Factor Movements'!H161)/100,2))*100</f>
        <v>9596.7892722820907</v>
      </c>
      <c r="E161">
        <f>(3/(1+('CurrentPor-Equ Factor Movements'!C161+'CurrentPor-Equ Factor Movements'!I161)/100)+103/POWER(1+('CurrentPor-Equ Factor Movements'!D161+'CurrentPor-Equ Factor Movements'!I161)/100,2))*100</f>
        <v>9578.2544753178681</v>
      </c>
      <c r="F161">
        <f>Portfolio!B$5*'CurrentPor-Equ Factor Movements'!E161</f>
        <v>52143.895533915893</v>
      </c>
      <c r="G161">
        <f>Portfolio!B$6*'CurrentPor-Equ Factor Movements'!F161</f>
        <v>3696.2945087936532</v>
      </c>
      <c r="H161">
        <f>Portfolio!B$7*'CurrentPor-Equ Factor Movements'!J161</f>
        <v>2148.0998964419859</v>
      </c>
      <c r="I161">
        <f t="shared" si="4"/>
        <v>96491.478886618919</v>
      </c>
      <c r="J161">
        <f t="shared" si="5"/>
        <v>-13.092602811564575</v>
      </c>
    </row>
    <row r="162" spans="1:10">
      <c r="A162" s="1">
        <v>45695</v>
      </c>
      <c r="B162">
        <f>(3/(1+('CurrentPor-Equ Factor Movements'!C162)/100)+103/POWER(1+('CurrentPor-Equ Factor Movements'!D162)/100,2))*100</f>
        <v>9707.5857774288397</v>
      </c>
      <c r="C162">
        <f>(3/(1+('CurrentPor-Equ Factor Movements'!C162+'CurrentPor-Equ Factor Movements'!G162)/100)+103/POWER(1+('CurrentPor-Equ Factor Movements'!D162+'CurrentPor-Equ Factor Movements'!G162)/100,2))*100</f>
        <v>9625.7787994300834</v>
      </c>
      <c r="D162">
        <f>(3/(1+('CurrentPor-Equ Factor Movements'!C162+'CurrentPor-Equ Factor Movements'!H162)/100)+103/POWER(1+('CurrentPor-Equ Factor Movements'!D162+'CurrentPor-Equ Factor Movements'!H162)/100,2))*100</f>
        <v>9593.9799046411517</v>
      </c>
      <c r="E162">
        <f>(3/(1+('CurrentPor-Equ Factor Movements'!C162+'CurrentPor-Equ Factor Movements'!I162)/100)+103/POWER(1+('CurrentPor-Equ Factor Movements'!D162+'CurrentPor-Equ Factor Movements'!I162)/100,2))*100</f>
        <v>9597.7201012021997</v>
      </c>
      <c r="F162">
        <f>Portfolio!B$5*'CurrentPor-Equ Factor Movements'!E162</f>
        <v>52143.895533915893</v>
      </c>
      <c r="G162">
        <f>Portfolio!B$6*'CurrentPor-Equ Factor Movements'!F162</f>
        <v>3696.2945087936532</v>
      </c>
      <c r="H162">
        <f>Portfolio!B$7*'CurrentPor-Equ Factor Movements'!J162</f>
        <v>2148.0998964419859</v>
      </c>
      <c r="I162">
        <f t="shared" si="4"/>
        <v>96513.354521853806</v>
      </c>
      <c r="J162">
        <f t="shared" si="5"/>
        <v>31.520266806997824</v>
      </c>
    </row>
    <row r="163" spans="1:10">
      <c r="A163" s="1">
        <v>45698</v>
      </c>
      <c r="B163">
        <f>(3/(1+('CurrentPor-Equ Factor Movements'!C163)/100)+103/POWER(1+('CurrentPor-Equ Factor Movements'!D163)/100,2))*100</f>
        <v>9707.5857774288397</v>
      </c>
      <c r="C163">
        <f>(3/(1+('CurrentPor-Equ Factor Movements'!C163+'CurrentPor-Equ Factor Movements'!G163)/100)+103/POWER(1+('CurrentPor-Equ Factor Movements'!D163+'CurrentPor-Equ Factor Movements'!G163)/100,2))*100</f>
        <v>9620.8998845404367</v>
      </c>
      <c r="D163">
        <f>(3/(1+('CurrentPor-Equ Factor Movements'!C163+'CurrentPor-Equ Factor Movements'!H163)/100)+103/POWER(1+('CurrentPor-Equ Factor Movements'!D163+'CurrentPor-Equ Factor Movements'!H163)/100,2))*100</f>
        <v>9614.3243230103326</v>
      </c>
      <c r="E163">
        <f>(3/(1+('CurrentPor-Equ Factor Movements'!C163+'CurrentPor-Equ Factor Movements'!I163)/100)+103/POWER(1+('CurrentPor-Equ Factor Movements'!D163+'CurrentPor-Equ Factor Movements'!I163)/100,2))*100</f>
        <v>9607.0845700893678</v>
      </c>
      <c r="F163">
        <f>Portfolio!B$5*'CurrentPor-Equ Factor Movements'!E163</f>
        <v>52143.895533915893</v>
      </c>
      <c r="G163">
        <f>Portfolio!B$6*'CurrentPor-Equ Factor Movements'!F163</f>
        <v>3696.2945087936532</v>
      </c>
      <c r="H163">
        <f>Portfolio!B$7*'CurrentPor-Equ Factor Movements'!J163</f>
        <v>2148.0998964419859</v>
      </c>
      <c r="I163">
        <f t="shared" si="4"/>
        <v>96538.184494220506</v>
      </c>
      <c r="J163">
        <f t="shared" si="5"/>
        <v>21.330749375672895</v>
      </c>
    </row>
    <row r="164" spans="1:10">
      <c r="A164" s="1">
        <v>45699</v>
      </c>
      <c r="B164">
        <f>(3/(1+('CurrentPor-Equ Factor Movements'!C164)/100)+103/POWER(1+('CurrentPor-Equ Factor Movements'!D164)/100,2))*100</f>
        <v>9707.5857774288397</v>
      </c>
      <c r="C164">
        <f>(3/(1+('CurrentPor-Equ Factor Movements'!C164+'CurrentPor-Equ Factor Movements'!G164)/100)+103/POWER(1+('CurrentPor-Equ Factor Movements'!D164+'CurrentPor-Equ Factor Movements'!G164)/100,2))*100</f>
        <v>9616.2801438185779</v>
      </c>
      <c r="D164">
        <f>(3/(1+('CurrentPor-Equ Factor Movements'!C164+'CurrentPor-Equ Factor Movements'!H164)/100)+103/POWER(1+('CurrentPor-Equ Factor Movements'!D164+'CurrentPor-Equ Factor Movements'!H164)/100,2))*100</f>
        <v>9598.2710194588653</v>
      </c>
      <c r="E164">
        <f>(3/(1+('CurrentPor-Equ Factor Movements'!C164+'CurrentPor-Equ Factor Movements'!I164)/100)+103/POWER(1+('CurrentPor-Equ Factor Movements'!D164+'CurrentPor-Equ Factor Movements'!I164)/100,2))*100</f>
        <v>9590.9870337667853</v>
      </c>
      <c r="F164">
        <f>Portfolio!B$5*'CurrentPor-Equ Factor Movements'!E164</f>
        <v>52143.895533915893</v>
      </c>
      <c r="G164">
        <f>Portfolio!B$6*'CurrentPor-Equ Factor Movements'!F164</f>
        <v>3696.2945087936532</v>
      </c>
      <c r="H164">
        <f>Portfolio!B$7*'CurrentPor-Equ Factor Movements'!J164</f>
        <v>2148.0998964419859</v>
      </c>
      <c r="I164">
        <f t="shared" si="4"/>
        <v>96501.413913624609</v>
      </c>
      <c r="J164">
        <f t="shared" si="5"/>
        <v>16.837065054831328</v>
      </c>
    </row>
    <row r="165" spans="1:10">
      <c r="A165" s="1">
        <v>45700</v>
      </c>
      <c r="B165">
        <f>(3/(1+('CurrentPor-Equ Factor Movements'!C165)/100)+103/POWER(1+('CurrentPor-Equ Factor Movements'!D165)/100,2))*100</f>
        <v>9707.5857774288397</v>
      </c>
      <c r="C165">
        <f>(3/(1+('CurrentPor-Equ Factor Movements'!C165+'CurrentPor-Equ Factor Movements'!G165)/100)+103/POWER(1+('CurrentPor-Equ Factor Movements'!D165+'CurrentPor-Equ Factor Movements'!G165)/100,2))*100</f>
        <v>9610.5382216410271</v>
      </c>
      <c r="D165">
        <f>(3/(1+('CurrentPor-Equ Factor Movements'!C165+'CurrentPor-Equ Factor Movements'!H165)/100)+103/POWER(1+('CurrentPor-Equ Factor Movements'!D165+'CurrentPor-Equ Factor Movements'!H165)/100,2))*100</f>
        <v>9592.6322121713474</v>
      </c>
      <c r="E165">
        <f>(3/(1+('CurrentPor-Equ Factor Movements'!C165+'CurrentPor-Equ Factor Movements'!I165)/100)+103/POWER(1+('CurrentPor-Equ Factor Movements'!D165+'CurrentPor-Equ Factor Movements'!I165)/100,2))*100</f>
        <v>9588.3142944193842</v>
      </c>
      <c r="F165">
        <f>Portfolio!B$5*'CurrentPor-Equ Factor Movements'!E165</f>
        <v>52143.895533915893</v>
      </c>
      <c r="G165">
        <f>Portfolio!B$6*'CurrentPor-Equ Factor Movements'!F165</f>
        <v>3696.2945087936532</v>
      </c>
      <c r="H165">
        <f>Portfolio!B$7*'CurrentPor-Equ Factor Movements'!J165</f>
        <v>2148.0998964419859</v>
      </c>
      <c r="I165">
        <f t="shared" si="4"/>
        <v>96487.360444812119</v>
      </c>
      <c r="J165">
        <f t="shared" si="5"/>
        <v>4.3621221710345708</v>
      </c>
    </row>
    <row r="166" spans="1:10">
      <c r="A166" s="1">
        <v>45701</v>
      </c>
      <c r="B166">
        <f>(3/(1+('CurrentPor-Equ Factor Movements'!C166)/100)+103/POWER(1+('CurrentPor-Equ Factor Movements'!D166)/100,2))*100</f>
        <v>9707.5857774288397</v>
      </c>
      <c r="C166">
        <f>(3/(1+('CurrentPor-Equ Factor Movements'!C166+'CurrentPor-Equ Factor Movements'!G166)/100)+103/POWER(1+('CurrentPor-Equ Factor Movements'!D166+'CurrentPor-Equ Factor Movements'!G166)/100,2))*100</f>
        <v>9616.3083129608531</v>
      </c>
      <c r="D166">
        <f>(3/(1+('CurrentPor-Equ Factor Movements'!C166+'CurrentPor-Equ Factor Movements'!H166)/100)+103/POWER(1+('CurrentPor-Equ Factor Movements'!D166+'CurrentPor-Equ Factor Movements'!H166)/100,2))*100</f>
        <v>9612.2962076198528</v>
      </c>
      <c r="E166">
        <f>(3/(1+('CurrentPor-Equ Factor Movements'!C166+'CurrentPor-Equ Factor Movements'!I166)/100)+103/POWER(1+('CurrentPor-Equ Factor Movements'!D166+'CurrentPor-Equ Factor Movements'!I166)/100,2))*100</f>
        <v>9582.5867166866083</v>
      </c>
      <c r="F166">
        <f>Portfolio!B$5*'CurrentPor-Equ Factor Movements'!E166</f>
        <v>52143.895533915893</v>
      </c>
      <c r="G166">
        <f>Portfolio!B$6*'CurrentPor-Equ Factor Movements'!F166</f>
        <v>3696.2945087936532</v>
      </c>
      <c r="H166">
        <f>Portfolio!B$7*'CurrentPor-Equ Factor Movements'!J166</f>
        <v>2148.0998964419859</v>
      </c>
      <c r="I166">
        <f t="shared" si="4"/>
        <v>96507.066953847694</v>
      </c>
      <c r="J166">
        <f t="shared" si="5"/>
        <v>-4.528197017556522</v>
      </c>
    </row>
    <row r="167" spans="1:10">
      <c r="A167" s="1">
        <v>45702</v>
      </c>
      <c r="B167">
        <f>(3/(1+('CurrentPor-Equ Factor Movements'!C167)/100)+103/POWER(1+('CurrentPor-Equ Factor Movements'!D167)/100,2))*100</f>
        <v>9707.5857774288397</v>
      </c>
      <c r="C167">
        <f>(3/(1+('CurrentPor-Equ Factor Movements'!C167+'CurrentPor-Equ Factor Movements'!G167)/100)+103/POWER(1+('CurrentPor-Equ Factor Movements'!D167+'CurrentPor-Equ Factor Movements'!G167)/100,2))*100</f>
        <v>9611.0582943461632</v>
      </c>
      <c r="D167">
        <f>(3/(1+('CurrentPor-Equ Factor Movements'!C167+'CurrentPor-Equ Factor Movements'!H167)/100)+103/POWER(1+('CurrentPor-Equ Factor Movements'!D167+'CurrentPor-Equ Factor Movements'!H167)/100,2))*100</f>
        <v>9595.2910150881671</v>
      </c>
      <c r="E167">
        <f>(3/(1+('CurrentPor-Equ Factor Movements'!C167+'CurrentPor-Equ Factor Movements'!I167)/100)+103/POWER(1+('CurrentPor-Equ Factor Movements'!D167+'CurrentPor-Equ Factor Movements'!I167)/100,2))*100</f>
        <v>9595.0961042987783</v>
      </c>
      <c r="F167">
        <f>Portfolio!B$5*'CurrentPor-Equ Factor Movements'!E167</f>
        <v>52143.895533915893</v>
      </c>
      <c r="G167">
        <f>Portfolio!B$6*'CurrentPor-Equ Factor Movements'!F167</f>
        <v>3696.2945087936532</v>
      </c>
      <c r="H167">
        <f>Portfolio!B$7*'CurrentPor-Equ Factor Movements'!J167</f>
        <v>2148.0998964419859</v>
      </c>
      <c r="I167">
        <f t="shared" si="4"/>
        <v>96497.321130313474</v>
      </c>
      <c r="J167">
        <f t="shared" si="5"/>
        <v>23.656322671682574</v>
      </c>
    </row>
    <row r="168" spans="1:10">
      <c r="A168" s="1">
        <v>45705</v>
      </c>
      <c r="B168">
        <f>(3/(1+('CurrentPor-Equ Factor Movements'!C168)/100)+103/POWER(1+('CurrentPor-Equ Factor Movements'!D168)/100,2))*100</f>
        <v>9707.5857774288397</v>
      </c>
      <c r="C168">
        <f>(3/(1+('CurrentPor-Equ Factor Movements'!C168+'CurrentPor-Equ Factor Movements'!G168)/100)+103/POWER(1+('CurrentPor-Equ Factor Movements'!D168+'CurrentPor-Equ Factor Movements'!G168)/100,2))*100</f>
        <v>9609.8606579564148</v>
      </c>
      <c r="D168">
        <f>(3/(1+('CurrentPor-Equ Factor Movements'!C168+'CurrentPor-Equ Factor Movements'!H168)/100)+103/POWER(1+('CurrentPor-Equ Factor Movements'!D168+'CurrentPor-Equ Factor Movements'!H168)/100,2))*100</f>
        <v>9620.4985225758355</v>
      </c>
      <c r="E168">
        <f>(3/(1+('CurrentPor-Equ Factor Movements'!C168+'CurrentPor-Equ Factor Movements'!I168)/100)+103/POWER(1+('CurrentPor-Equ Factor Movements'!D168+'CurrentPor-Equ Factor Movements'!I168)/100,2))*100</f>
        <v>9566.8403208415184</v>
      </c>
      <c r="F168">
        <f>Portfolio!B$5*'CurrentPor-Equ Factor Movements'!E168</f>
        <v>52143.895533915893</v>
      </c>
      <c r="G168">
        <f>Portfolio!B$6*'CurrentPor-Equ Factor Movements'!F168</f>
        <v>3696.2945087936532</v>
      </c>
      <c r="H168">
        <f>Portfolio!B$7*'CurrentPor-Equ Factor Movements'!J168</f>
        <v>2148.0998964419859</v>
      </c>
      <c r="I168">
        <f t="shared" si="4"/>
        <v>96493.07521795413</v>
      </c>
      <c r="J168">
        <f t="shared" si="5"/>
        <v>36.101823907054495</v>
      </c>
    </row>
    <row r="169" spans="1:10">
      <c r="A169" s="1">
        <v>45706</v>
      </c>
      <c r="B169">
        <f>(3/(1+('CurrentPor-Equ Factor Movements'!C169)/100)+103/POWER(1+('CurrentPor-Equ Factor Movements'!D169)/100,2))*100</f>
        <v>9707.5857774288397</v>
      </c>
      <c r="C169">
        <f>(3/(1+('CurrentPor-Equ Factor Movements'!C169+'CurrentPor-Equ Factor Movements'!G169)/100)+103/POWER(1+('CurrentPor-Equ Factor Movements'!D169+'CurrentPor-Equ Factor Movements'!G169)/100,2))*100</f>
        <v>9600.100891196751</v>
      </c>
      <c r="D169">
        <f>(3/(1+('CurrentPor-Equ Factor Movements'!C169+'CurrentPor-Equ Factor Movements'!H169)/100)+103/POWER(1+('CurrentPor-Equ Factor Movements'!D169+'CurrentPor-Equ Factor Movements'!H169)/100,2))*100</f>
        <v>9599.7481212417733</v>
      </c>
      <c r="E169">
        <f>(3/(1+('CurrentPor-Equ Factor Movements'!C169+'CurrentPor-Equ Factor Movements'!I169)/100)+103/POWER(1+('CurrentPor-Equ Factor Movements'!D169+'CurrentPor-Equ Factor Movements'!I169)/100,2))*100</f>
        <v>9576.81303695118</v>
      </c>
      <c r="F169">
        <f>Portfolio!B$5*'CurrentPor-Equ Factor Movements'!E169</f>
        <v>52143.895533915893</v>
      </c>
      <c r="G169">
        <f>Portfolio!B$6*'CurrentPor-Equ Factor Movements'!F169</f>
        <v>3696.2945087936532</v>
      </c>
      <c r="H169">
        <f>Portfolio!B$7*'CurrentPor-Equ Factor Movements'!J169</f>
        <v>2148.0998964419859</v>
      </c>
      <c r="I169">
        <f t="shared" si="4"/>
        <v>96472.537765970075</v>
      </c>
      <c r="J169">
        <f t="shared" si="5"/>
        <v>-15.280254489553045</v>
      </c>
    </row>
    <row r="170" spans="1:10">
      <c r="A170" s="1">
        <v>45707</v>
      </c>
      <c r="B170">
        <f>(3/(1+('CurrentPor-Equ Factor Movements'!C170)/100)+103/POWER(1+('CurrentPor-Equ Factor Movements'!D170)/100,2))*100</f>
        <v>9707.5857774288397</v>
      </c>
      <c r="C170">
        <f>(3/(1+('CurrentPor-Equ Factor Movements'!C170+'CurrentPor-Equ Factor Movements'!G170)/100)+103/POWER(1+('CurrentPor-Equ Factor Movements'!D170+'CurrentPor-Equ Factor Movements'!G170)/100,2))*100</f>
        <v>9602.5112258327226</v>
      </c>
      <c r="D170">
        <f>(3/(1+('CurrentPor-Equ Factor Movements'!C170+'CurrentPor-Equ Factor Movements'!H170)/100)+103/POWER(1+('CurrentPor-Equ Factor Movements'!D170+'CurrentPor-Equ Factor Movements'!H170)/100,2))*100</f>
        <v>9598.0114325819468</v>
      </c>
      <c r="E170">
        <f>(3/(1+('CurrentPor-Equ Factor Movements'!C170+'CurrentPor-Equ Factor Movements'!I170)/100)+103/POWER(1+('CurrentPor-Equ Factor Movements'!D170+'CurrentPor-Equ Factor Movements'!I170)/100,2))*100</f>
        <v>9571.6787239164696</v>
      </c>
      <c r="F170">
        <f>Portfolio!B$5*'CurrentPor-Equ Factor Movements'!E170</f>
        <v>52143.895533915893</v>
      </c>
      <c r="G170">
        <f>Portfolio!B$6*'CurrentPor-Equ Factor Movements'!F170</f>
        <v>3696.2945087936532</v>
      </c>
      <c r="H170">
        <f>Portfolio!B$7*'CurrentPor-Equ Factor Movements'!J170</f>
        <v>2148.0998964419859</v>
      </c>
      <c r="I170">
        <f t="shared" si="4"/>
        <v>96468.077098911512</v>
      </c>
      <c r="J170">
        <f t="shared" si="5"/>
        <v>-5.000365472456906</v>
      </c>
    </row>
    <row r="171" spans="1:10">
      <c r="A171" s="1">
        <v>45708</v>
      </c>
      <c r="B171">
        <f>(3/(1+('CurrentPor-Equ Factor Movements'!C171)/100)+103/POWER(1+('CurrentPor-Equ Factor Movements'!D171)/100,2))*100</f>
        <v>9707.5857774288397</v>
      </c>
      <c r="C171">
        <f>(3/(1+('CurrentPor-Equ Factor Movements'!C171+'CurrentPor-Equ Factor Movements'!G171)/100)+103/POWER(1+('CurrentPor-Equ Factor Movements'!D171+'CurrentPor-Equ Factor Movements'!G171)/100,2))*100</f>
        <v>9618.2776336149309</v>
      </c>
      <c r="D171">
        <f>(3/(1+('CurrentPor-Equ Factor Movements'!C171+'CurrentPor-Equ Factor Movements'!H171)/100)+103/POWER(1+('CurrentPor-Equ Factor Movements'!D171+'CurrentPor-Equ Factor Movements'!H171)/100,2))*100</f>
        <v>9585.2079079943542</v>
      </c>
      <c r="E171">
        <f>(3/(1+('CurrentPor-Equ Factor Movements'!C171+'CurrentPor-Equ Factor Movements'!I171)/100)+103/POWER(1+('CurrentPor-Equ Factor Movements'!D171+'CurrentPor-Equ Factor Movements'!I171)/100,2))*100</f>
        <v>9578.3234987356172</v>
      </c>
      <c r="F171">
        <f>Portfolio!B$5*'CurrentPor-Equ Factor Movements'!E171</f>
        <v>52143.895533915893</v>
      </c>
      <c r="G171">
        <f>Portfolio!B$6*'CurrentPor-Equ Factor Movements'!F171</f>
        <v>3696.2945087936532</v>
      </c>
      <c r="H171">
        <f>Portfolio!B$7*'CurrentPor-Equ Factor Movements'!J171</f>
        <v>2148.0998964419859</v>
      </c>
      <c r="I171">
        <f t="shared" si="4"/>
        <v>96477.684756925271</v>
      </c>
      <c r="J171">
        <f t="shared" si="5"/>
        <v>-13.794129693647847</v>
      </c>
    </row>
    <row r="172" spans="1:10">
      <c r="A172" s="1">
        <v>45709</v>
      </c>
      <c r="B172">
        <f>(3/(1+('CurrentPor-Equ Factor Movements'!C172)/100)+103/POWER(1+('CurrentPor-Equ Factor Movements'!D172)/100,2))*100</f>
        <v>9707.5857774288397</v>
      </c>
      <c r="C172">
        <f>(3/(1+('CurrentPor-Equ Factor Movements'!C172+'CurrentPor-Equ Factor Movements'!G172)/100)+103/POWER(1+('CurrentPor-Equ Factor Movements'!D172+'CurrentPor-Equ Factor Movements'!G172)/100,2))*100</f>
        <v>9627.129952267429</v>
      </c>
      <c r="D172">
        <f>(3/(1+('CurrentPor-Equ Factor Movements'!C172+'CurrentPor-Equ Factor Movements'!H172)/100)+103/POWER(1+('CurrentPor-Equ Factor Movements'!D172+'CurrentPor-Equ Factor Movements'!H172)/100,2))*100</f>
        <v>9616.8584761855</v>
      </c>
      <c r="E172">
        <f>(3/(1+('CurrentPor-Equ Factor Movements'!C172+'CurrentPor-Equ Factor Movements'!I172)/100)+103/POWER(1+('CurrentPor-Equ Factor Movements'!D172+'CurrentPor-Equ Factor Movements'!I172)/100,2))*100</f>
        <v>9575.9655790757079</v>
      </c>
      <c r="F172">
        <f>Portfolio!B$5*'CurrentPor-Equ Factor Movements'!E172</f>
        <v>52143.895533915893</v>
      </c>
      <c r="G172">
        <f>Portfolio!B$6*'CurrentPor-Equ Factor Movements'!F172</f>
        <v>3696.2945087936532</v>
      </c>
      <c r="H172">
        <f>Portfolio!B$7*'CurrentPor-Equ Factor Movements'!J172</f>
        <v>2148.0998964419859</v>
      </c>
      <c r="I172">
        <f t="shared" si="4"/>
        <v>96515.829724109019</v>
      </c>
      <c r="J172">
        <f t="shared" si="5"/>
        <v>2.4752022552129347</v>
      </c>
    </row>
    <row r="173" spans="1:10">
      <c r="A173" s="1">
        <v>45712</v>
      </c>
      <c r="B173">
        <f>(3/(1+('CurrentPor-Equ Factor Movements'!C173)/100)+103/POWER(1+('CurrentPor-Equ Factor Movements'!D173)/100,2))*100</f>
        <v>9707.5857774288397</v>
      </c>
      <c r="C173">
        <f>(3/(1+('CurrentPor-Equ Factor Movements'!C173+'CurrentPor-Equ Factor Movements'!G173)/100)+103/POWER(1+('CurrentPor-Equ Factor Movements'!D173+'CurrentPor-Equ Factor Movements'!G173)/100,2))*100</f>
        <v>9617.127472882612</v>
      </c>
      <c r="D173">
        <f>(3/(1+('CurrentPor-Equ Factor Movements'!C173+'CurrentPor-Equ Factor Movements'!H173)/100)+103/POWER(1+('CurrentPor-Equ Factor Movements'!D173+'CurrentPor-Equ Factor Movements'!H173)/100,2))*100</f>
        <v>9596.5944240733734</v>
      </c>
      <c r="E173">
        <f>(3/(1+('CurrentPor-Equ Factor Movements'!C173+'CurrentPor-Equ Factor Movements'!I173)/100)+103/POWER(1+('CurrentPor-Equ Factor Movements'!D173+'CurrentPor-Equ Factor Movements'!I173)/100,2))*100</f>
        <v>9594.2164733552054</v>
      </c>
      <c r="F173">
        <f>Portfolio!B$5*'CurrentPor-Equ Factor Movements'!E173</f>
        <v>52143.895533915893</v>
      </c>
      <c r="G173">
        <f>Portfolio!B$6*'CurrentPor-Equ Factor Movements'!F173</f>
        <v>3696.2945087936532</v>
      </c>
      <c r="H173">
        <f>Portfolio!B$7*'CurrentPor-Equ Factor Movements'!J173</f>
        <v>2148.0998964419859</v>
      </c>
      <c r="I173">
        <f t="shared" si="4"/>
        <v>96503.814086891551</v>
      </c>
      <c r="J173">
        <f t="shared" si="5"/>
        <v>-34.37040732895548</v>
      </c>
    </row>
    <row r="174" spans="1:10">
      <c r="A174" s="1">
        <v>45713</v>
      </c>
      <c r="B174">
        <f>(3/(1+('CurrentPor-Equ Factor Movements'!C174)/100)+103/POWER(1+('CurrentPor-Equ Factor Movements'!D174)/100,2))*100</f>
        <v>9707.5857774288397</v>
      </c>
      <c r="C174">
        <f>(3/(1+('CurrentPor-Equ Factor Movements'!C174+'CurrentPor-Equ Factor Movements'!G174)/100)+103/POWER(1+('CurrentPor-Equ Factor Movements'!D174+'CurrentPor-Equ Factor Movements'!G174)/100,2))*100</f>
        <v>9604.5397236708759</v>
      </c>
      <c r="D174">
        <f>(3/(1+('CurrentPor-Equ Factor Movements'!C174+'CurrentPor-Equ Factor Movements'!H174)/100)+103/POWER(1+('CurrentPor-Equ Factor Movements'!D174+'CurrentPor-Equ Factor Movements'!H174)/100,2))*100</f>
        <v>9595.6437700366496</v>
      </c>
      <c r="E174">
        <f>(3/(1+('CurrentPor-Equ Factor Movements'!C174+'CurrentPor-Equ Factor Movements'!I174)/100)+103/POWER(1+('CurrentPor-Equ Factor Movements'!D174+'CurrentPor-Equ Factor Movements'!I174)/100,2))*100</f>
        <v>9593.0224651270892</v>
      </c>
      <c r="F174">
        <f>Portfolio!B$5*'CurrentPor-Equ Factor Movements'!E174</f>
        <v>52143.895533915893</v>
      </c>
      <c r="G174">
        <f>Portfolio!B$6*'CurrentPor-Equ Factor Movements'!F174</f>
        <v>3696.2945087936532</v>
      </c>
      <c r="H174">
        <f>Portfolio!B$7*'CurrentPor-Equ Factor Movements'!J174</f>
        <v>2148.0998964419859</v>
      </c>
      <c r="I174">
        <f t="shared" si="4"/>
        <v>96489.081675414986</v>
      </c>
      <c r="J174">
        <f t="shared" si="5"/>
        <v>-12.332238209623029</v>
      </c>
    </row>
    <row r="175" spans="1:10">
      <c r="A175" s="1">
        <v>45714</v>
      </c>
      <c r="B175">
        <f>(3/(1+('CurrentPor-Equ Factor Movements'!C175)/100)+103/POWER(1+('CurrentPor-Equ Factor Movements'!D175)/100,2))*100</f>
        <v>9707.5857774288397</v>
      </c>
      <c r="C175">
        <f>(3/(1+('CurrentPor-Equ Factor Movements'!C175+'CurrentPor-Equ Factor Movements'!G175)/100)+103/POWER(1+('CurrentPor-Equ Factor Movements'!D175+'CurrentPor-Equ Factor Movements'!G175)/100,2))*100</f>
        <v>9614.6133626899446</v>
      </c>
      <c r="D175">
        <f>(3/(1+('CurrentPor-Equ Factor Movements'!C175+'CurrentPor-Equ Factor Movements'!H175)/100)+103/POWER(1+('CurrentPor-Equ Factor Movements'!D175+'CurrentPor-Equ Factor Movements'!H175)/100,2))*100</f>
        <v>9604.6003057736852</v>
      </c>
      <c r="E175">
        <f>(3/(1+('CurrentPor-Equ Factor Movements'!C175+'CurrentPor-Equ Factor Movements'!I175)/100)+103/POWER(1+('CurrentPor-Equ Factor Movements'!D175+'CurrentPor-Equ Factor Movements'!I175)/100,2))*100</f>
        <v>9585.4037727708328</v>
      </c>
      <c r="F175">
        <f>Portfolio!B$5*'CurrentPor-Equ Factor Movements'!E175</f>
        <v>52143.895533915893</v>
      </c>
      <c r="G175">
        <f>Portfolio!B$6*'CurrentPor-Equ Factor Movements'!F175</f>
        <v>3696.2945087936532</v>
      </c>
      <c r="H175">
        <f>Portfolio!B$7*'CurrentPor-Equ Factor Movements'!J175</f>
        <v>2148.0998964419859</v>
      </c>
      <c r="I175">
        <f t="shared" si="4"/>
        <v>96500.493157814824</v>
      </c>
      <c r="J175">
        <f t="shared" si="5"/>
        <v>13.132713002705714</v>
      </c>
    </row>
    <row r="176" spans="1:10">
      <c r="A176" s="1">
        <v>45715</v>
      </c>
      <c r="B176">
        <f>(3/(1+('CurrentPor-Equ Factor Movements'!C176)/100)+103/POWER(1+('CurrentPor-Equ Factor Movements'!D176)/100,2))*100</f>
        <v>9707.5857774288397</v>
      </c>
      <c r="C176">
        <f>(3/(1+('CurrentPor-Equ Factor Movements'!C176+'CurrentPor-Equ Factor Movements'!G176)/100)+103/POWER(1+('CurrentPor-Equ Factor Movements'!D176+'CurrentPor-Equ Factor Movements'!G176)/100,2))*100</f>
        <v>9624.4619066379946</v>
      </c>
      <c r="D176">
        <f>(3/(1+('CurrentPor-Equ Factor Movements'!C176+'CurrentPor-Equ Factor Movements'!H176)/100)+103/POWER(1+('CurrentPor-Equ Factor Movements'!D176+'CurrentPor-Equ Factor Movements'!H176)/100,2))*100</f>
        <v>9600.2148735667179</v>
      </c>
      <c r="E176">
        <f>(3/(1+('CurrentPor-Equ Factor Movements'!C176+'CurrentPor-Equ Factor Movements'!I176)/100)+103/POWER(1+('CurrentPor-Equ Factor Movements'!D176+'CurrentPor-Equ Factor Movements'!I176)/100,2))*100</f>
        <v>9575.3527144044619</v>
      </c>
      <c r="F176">
        <f>Portfolio!B$5*'CurrentPor-Equ Factor Movements'!E176</f>
        <v>52143.895533915893</v>
      </c>
      <c r="G176">
        <f>Portfolio!B$6*'CurrentPor-Equ Factor Movements'!F176</f>
        <v>3696.2945087936532</v>
      </c>
      <c r="H176">
        <f>Portfolio!B$7*'CurrentPor-Equ Factor Movements'!J176</f>
        <v>2148.0998964419859</v>
      </c>
      <c r="I176">
        <f t="shared" si="4"/>
        <v>96495.905211189543</v>
      </c>
      <c r="J176">
        <f t="shared" si="5"/>
        <v>-11.161742658150615</v>
      </c>
    </row>
    <row r="177" spans="1:10">
      <c r="A177" s="1">
        <v>45716</v>
      </c>
      <c r="B177">
        <f>(3/(1+('CurrentPor-Equ Factor Movements'!C177)/100)+103/POWER(1+('CurrentPor-Equ Factor Movements'!D177)/100,2))*100</f>
        <v>9707.5857774288397</v>
      </c>
      <c r="C177">
        <f>(3/(1+('CurrentPor-Equ Factor Movements'!C177+'CurrentPor-Equ Factor Movements'!G177)/100)+103/POWER(1+('CurrentPor-Equ Factor Movements'!D177+'CurrentPor-Equ Factor Movements'!G177)/100,2))*100</f>
        <v>9615.3472391202995</v>
      </c>
      <c r="D177">
        <f>(3/(1+('CurrentPor-Equ Factor Movements'!C177+'CurrentPor-Equ Factor Movements'!H177)/100)+103/POWER(1+('CurrentPor-Equ Factor Movements'!D177+'CurrentPor-Equ Factor Movements'!H177)/100,2))*100</f>
        <v>9601.3540270927115</v>
      </c>
      <c r="E177">
        <f>(3/(1+('CurrentPor-Equ Factor Movements'!C177+'CurrentPor-Equ Factor Movements'!I177)/100)+103/POWER(1+('CurrentPor-Equ Factor Movements'!D177+'CurrentPor-Equ Factor Movements'!I177)/100,2))*100</f>
        <v>9594.3964790523514</v>
      </c>
      <c r="F177">
        <f>Portfolio!B$5*'CurrentPor-Equ Factor Movements'!E177</f>
        <v>52143.895533915893</v>
      </c>
      <c r="G177">
        <f>Portfolio!B$6*'CurrentPor-Equ Factor Movements'!F177</f>
        <v>3696.2945087936532</v>
      </c>
      <c r="H177">
        <f>Portfolio!B$7*'CurrentPor-Equ Factor Movements'!J177</f>
        <v>2148.0998964419859</v>
      </c>
      <c r="I177">
        <f t="shared" si="4"/>
        <v>96506.97346184573</v>
      </c>
      <c r="J177">
        <f t="shared" si="5"/>
        <v>9.65233153225563</v>
      </c>
    </row>
    <row r="178" spans="1:10">
      <c r="A178" s="1">
        <v>45719</v>
      </c>
      <c r="B178">
        <f>(3/(1+('CurrentPor-Equ Factor Movements'!C178)/100)+103/POWER(1+('CurrentPor-Equ Factor Movements'!D178)/100,2))*100</f>
        <v>9707.5857774288397</v>
      </c>
      <c r="C178">
        <f>(3/(1+('CurrentPor-Equ Factor Movements'!C178+'CurrentPor-Equ Factor Movements'!G178)/100)+103/POWER(1+('CurrentPor-Equ Factor Movements'!D178+'CurrentPor-Equ Factor Movements'!G178)/100,2))*100</f>
        <v>9596.370829357038</v>
      </c>
      <c r="D178">
        <f>(3/(1+('CurrentPor-Equ Factor Movements'!C178+'CurrentPor-Equ Factor Movements'!H178)/100)+103/POWER(1+('CurrentPor-Equ Factor Movements'!D178+'CurrentPor-Equ Factor Movements'!H178)/100,2))*100</f>
        <v>9576.3604800386202</v>
      </c>
      <c r="E178">
        <f>(3/(1+('CurrentPor-Equ Factor Movements'!C178+'CurrentPor-Equ Factor Movements'!I178)/100)+103/POWER(1+('CurrentPor-Equ Factor Movements'!D178+'CurrentPor-Equ Factor Movements'!I178)/100,2))*100</f>
        <v>9585.3651443867329</v>
      </c>
      <c r="F178">
        <f>Portfolio!B$5*'CurrentPor-Equ Factor Movements'!E178</f>
        <v>52143.895533915893</v>
      </c>
      <c r="G178">
        <f>Portfolio!B$6*'CurrentPor-Equ Factor Movements'!F178</f>
        <v>3696.2945087936532</v>
      </c>
      <c r="H178">
        <f>Portfolio!B$7*'CurrentPor-Equ Factor Movements'!J178</f>
        <v>2148.0998964419859</v>
      </c>
      <c r="I178">
        <f t="shared" si="4"/>
        <v>96453.972170362758</v>
      </c>
      <c r="J178">
        <f t="shared" si="5"/>
        <v>-39.10304759137216</v>
      </c>
    </row>
    <row r="179" spans="1:10">
      <c r="A179" s="1">
        <v>45720</v>
      </c>
      <c r="B179">
        <f>(3/(1+('CurrentPor-Equ Factor Movements'!C179)/100)+103/POWER(1+('CurrentPor-Equ Factor Movements'!D179)/100,2))*100</f>
        <v>9707.5857774288397</v>
      </c>
      <c r="C179">
        <f>(3/(1+('CurrentPor-Equ Factor Movements'!C179+'CurrentPor-Equ Factor Movements'!G179)/100)+103/POWER(1+('CurrentPor-Equ Factor Movements'!D179+'CurrentPor-Equ Factor Movements'!G179)/100,2))*100</f>
        <v>9614.0177794864703</v>
      </c>
      <c r="D179">
        <f>(3/(1+('CurrentPor-Equ Factor Movements'!C179+'CurrentPor-Equ Factor Movements'!H179)/100)+103/POWER(1+('CurrentPor-Equ Factor Movements'!D179+'CurrentPor-Equ Factor Movements'!H179)/100,2))*100</f>
        <v>9599.7333843503129</v>
      </c>
      <c r="E179">
        <f>(3/(1+('CurrentPor-Equ Factor Movements'!C179+'CurrentPor-Equ Factor Movements'!I179)/100)+103/POWER(1+('CurrentPor-Equ Factor Movements'!D179+'CurrentPor-Equ Factor Movements'!I179)/100,2))*100</f>
        <v>9580.3591213076488</v>
      </c>
      <c r="F179">
        <f>Portfolio!B$5*'CurrentPor-Equ Factor Movements'!E179</f>
        <v>52143.895533915893</v>
      </c>
      <c r="G179">
        <f>Portfolio!B$6*'CurrentPor-Equ Factor Movements'!F179</f>
        <v>3696.2945087936532</v>
      </c>
      <c r="H179">
        <f>Portfolio!B$7*'CurrentPor-Equ Factor Movements'!J179</f>
        <v>2148.0998964419859</v>
      </c>
      <c r="I179">
        <f t="shared" si="4"/>
        <v>96489.986001724799</v>
      </c>
      <c r="J179">
        <f t="shared" si="5"/>
        <v>17.44823575472401</v>
      </c>
    </row>
    <row r="180" spans="1:10">
      <c r="A180" s="1">
        <v>45721</v>
      </c>
      <c r="B180">
        <f>(3/(1+('CurrentPor-Equ Factor Movements'!C180)/100)+103/POWER(1+('CurrentPor-Equ Factor Movements'!D180)/100,2))*100</f>
        <v>9707.5857774288397</v>
      </c>
      <c r="C180">
        <f>(3/(1+('CurrentPor-Equ Factor Movements'!C180+'CurrentPor-Equ Factor Movements'!G180)/100)+103/POWER(1+('CurrentPor-Equ Factor Movements'!D180+'CurrentPor-Equ Factor Movements'!G180)/100,2))*100</f>
        <v>9614.636780048455</v>
      </c>
      <c r="D180">
        <f>(3/(1+('CurrentPor-Equ Factor Movements'!C180+'CurrentPor-Equ Factor Movements'!H180)/100)+103/POWER(1+('CurrentPor-Equ Factor Movements'!D180+'CurrentPor-Equ Factor Movements'!H180)/100,2))*100</f>
        <v>9599.9199780809195</v>
      </c>
      <c r="E180">
        <f>(3/(1+('CurrentPor-Equ Factor Movements'!C180+'CurrentPor-Equ Factor Movements'!I180)/100)+103/POWER(1+('CurrentPor-Equ Factor Movements'!D180+'CurrentPor-Equ Factor Movements'!I180)/100,2))*100</f>
        <v>9589.2641240967769</v>
      </c>
      <c r="F180">
        <f>Portfolio!B$5*'CurrentPor-Equ Factor Movements'!E180</f>
        <v>52143.895533915893</v>
      </c>
      <c r="G180">
        <f>Portfolio!B$6*'CurrentPor-Equ Factor Movements'!F180</f>
        <v>3696.2945087936532</v>
      </c>
      <c r="H180">
        <f>Portfolio!B$7*'CurrentPor-Equ Factor Movements'!J180</f>
        <v>2148.0998964419859</v>
      </c>
      <c r="I180">
        <f t="shared" si="4"/>
        <v>96499.69659880652</v>
      </c>
      <c r="J180">
        <f t="shared" si="5"/>
        <v>31.61949989500863</v>
      </c>
    </row>
    <row r="181" spans="1:10">
      <c r="A181" s="1">
        <v>45722</v>
      </c>
      <c r="B181">
        <f>(3/(1+('CurrentPor-Equ Factor Movements'!C181)/100)+103/POWER(1+('CurrentPor-Equ Factor Movements'!D181)/100,2))*100</f>
        <v>9707.5857774288397</v>
      </c>
      <c r="C181">
        <f>(3/(1+('CurrentPor-Equ Factor Movements'!C181+'CurrentPor-Equ Factor Movements'!G181)/100)+103/POWER(1+('CurrentPor-Equ Factor Movements'!D181+'CurrentPor-Equ Factor Movements'!G181)/100,2))*100</f>
        <v>9596.979386953486</v>
      </c>
      <c r="D181">
        <f>(3/(1+('CurrentPor-Equ Factor Movements'!C181+'CurrentPor-Equ Factor Movements'!H181)/100)+103/POWER(1+('CurrentPor-Equ Factor Movements'!D181+'CurrentPor-Equ Factor Movements'!H181)/100,2))*100</f>
        <v>9595.5943168648064</v>
      </c>
      <c r="E181">
        <f>(3/(1+('CurrentPor-Equ Factor Movements'!C181+'CurrentPor-Equ Factor Movements'!I181)/100)+103/POWER(1+('CurrentPor-Equ Factor Movements'!D181+'CurrentPor-Equ Factor Movements'!I181)/100,2))*100</f>
        <v>9577.0163640904393</v>
      </c>
      <c r="F181">
        <f>Portfolio!B$5*'CurrentPor-Equ Factor Movements'!E181</f>
        <v>52143.895533915893</v>
      </c>
      <c r="G181">
        <f>Portfolio!B$6*'CurrentPor-Equ Factor Movements'!F181</f>
        <v>3696.2945087936532</v>
      </c>
      <c r="H181">
        <f>Portfolio!B$7*'CurrentPor-Equ Factor Movements'!J181</f>
        <v>2148.0998964419859</v>
      </c>
      <c r="I181">
        <f t="shared" si="4"/>
        <v>96465.465784489104</v>
      </c>
      <c r="J181">
        <f t="shared" si="5"/>
        <v>-12.218972436166951</v>
      </c>
    </row>
    <row r="182" spans="1:10">
      <c r="A182" s="1">
        <v>45723</v>
      </c>
      <c r="B182">
        <f>(3/(1+('CurrentPor-Equ Factor Movements'!C182)/100)+103/POWER(1+('CurrentPor-Equ Factor Movements'!D182)/100,2))*100</f>
        <v>9707.5857774288397</v>
      </c>
      <c r="C182">
        <f>(3/(1+('CurrentPor-Equ Factor Movements'!C182+'CurrentPor-Equ Factor Movements'!G182)/100)+103/POWER(1+('CurrentPor-Equ Factor Movements'!D182+'CurrentPor-Equ Factor Movements'!G182)/100,2))*100</f>
        <v>9623.7865884493403</v>
      </c>
      <c r="D182">
        <f>(3/(1+('CurrentPor-Equ Factor Movements'!C182+'CurrentPor-Equ Factor Movements'!H182)/100)+103/POWER(1+('CurrentPor-Equ Factor Movements'!D182+'CurrentPor-Equ Factor Movements'!H182)/100,2))*100</f>
        <v>9608.2688895160991</v>
      </c>
      <c r="E182">
        <f>(3/(1+('CurrentPor-Equ Factor Movements'!C182+'CurrentPor-Equ Factor Movements'!I182)/100)+103/POWER(1+('CurrentPor-Equ Factor Movements'!D182+'CurrentPor-Equ Factor Movements'!I182)/100,2))*100</f>
        <v>9588.8393062067917</v>
      </c>
      <c r="F182">
        <f>Portfolio!B$5*'CurrentPor-Equ Factor Movements'!E182</f>
        <v>52143.895533915893</v>
      </c>
      <c r="G182">
        <f>Portfolio!B$6*'CurrentPor-Equ Factor Movements'!F182</f>
        <v>3696.2945087936532</v>
      </c>
      <c r="H182">
        <f>Portfolio!B$7*'CurrentPor-Equ Factor Movements'!J182</f>
        <v>2148.0998964419859</v>
      </c>
      <c r="I182">
        <f t="shared" si="4"/>
        <v>96516.770500752595</v>
      </c>
      <c r="J182">
        <f t="shared" si="5"/>
        <v>0.94077664357610047</v>
      </c>
    </row>
    <row r="183" spans="1:10">
      <c r="A183" s="1">
        <v>45726</v>
      </c>
      <c r="B183">
        <f>(3/(1+('CurrentPor-Equ Factor Movements'!C183)/100)+103/POWER(1+('CurrentPor-Equ Factor Movements'!D183)/100,2))*100</f>
        <v>9707.5857774288397</v>
      </c>
      <c r="C183">
        <f>(3/(1+('CurrentPor-Equ Factor Movements'!C183+'CurrentPor-Equ Factor Movements'!G183)/100)+103/POWER(1+('CurrentPor-Equ Factor Movements'!D183+'CurrentPor-Equ Factor Movements'!G183)/100,2))*100</f>
        <v>9606.1949094367337</v>
      </c>
      <c r="D183">
        <f>(3/(1+('CurrentPor-Equ Factor Movements'!C183+'CurrentPor-Equ Factor Movements'!H183)/100)+103/POWER(1+('CurrentPor-Equ Factor Movements'!D183+'CurrentPor-Equ Factor Movements'!H183)/100,2))*100</f>
        <v>9597.2492137468489</v>
      </c>
      <c r="E183">
        <f>(3/(1+('CurrentPor-Equ Factor Movements'!C183+'CurrentPor-Equ Factor Movements'!I183)/100)+103/POWER(1+('CurrentPor-Equ Factor Movements'!D183+'CurrentPor-Equ Factor Movements'!I183)/100,2))*100</f>
        <v>9603.285948944138</v>
      </c>
      <c r="F183">
        <f>Portfolio!B$5*'CurrentPor-Equ Factor Movements'!E183</f>
        <v>52143.895533915893</v>
      </c>
      <c r="G183">
        <f>Portfolio!B$6*'CurrentPor-Equ Factor Movements'!F183</f>
        <v>3696.2945087936532</v>
      </c>
      <c r="H183">
        <f>Portfolio!B$7*'CurrentPor-Equ Factor Movements'!J183</f>
        <v>2148.0998964419859</v>
      </c>
      <c r="I183">
        <f t="shared" si="4"/>
        <v>96502.605788708097</v>
      </c>
      <c r="J183">
        <f t="shared" si="5"/>
        <v>-1.208298183453735</v>
      </c>
    </row>
    <row r="184" spans="1:10">
      <c r="A184" s="1">
        <v>45727</v>
      </c>
      <c r="B184">
        <f>(3/(1+('CurrentPor-Equ Factor Movements'!C184)/100)+103/POWER(1+('CurrentPor-Equ Factor Movements'!D184)/100,2))*100</f>
        <v>9707.5857774288397</v>
      </c>
      <c r="C184">
        <f>(3/(1+('CurrentPor-Equ Factor Movements'!C184+'CurrentPor-Equ Factor Movements'!G184)/100)+103/POWER(1+('CurrentPor-Equ Factor Movements'!D184+'CurrentPor-Equ Factor Movements'!G184)/100,2))*100</f>
        <v>9612.1555638229729</v>
      </c>
      <c r="D184">
        <f>(3/(1+('CurrentPor-Equ Factor Movements'!C184+'CurrentPor-Equ Factor Movements'!H184)/100)+103/POWER(1+('CurrentPor-Equ Factor Movements'!D184+'CurrentPor-Equ Factor Movements'!H184)/100,2))*100</f>
        <v>9612.8147287565134</v>
      </c>
      <c r="E184">
        <f>(3/(1+('CurrentPor-Equ Factor Movements'!C184+'CurrentPor-Equ Factor Movements'!I184)/100)+103/POWER(1+('CurrentPor-Equ Factor Movements'!D184+'CurrentPor-Equ Factor Movements'!I184)/100,2))*100</f>
        <v>9600.3021512268133</v>
      </c>
      <c r="F184">
        <f>Portfolio!B$5*'CurrentPor-Equ Factor Movements'!E184</f>
        <v>52143.895533915893</v>
      </c>
      <c r="G184">
        <f>Portfolio!B$6*'CurrentPor-Equ Factor Movements'!F184</f>
        <v>3696.2945087936532</v>
      </c>
      <c r="H184">
        <f>Portfolio!B$7*'CurrentPor-Equ Factor Movements'!J184</f>
        <v>2148.0998964419859</v>
      </c>
      <c r="I184">
        <f t="shared" si="4"/>
        <v>96521.14816038667</v>
      </c>
      <c r="J184">
        <f t="shared" si="5"/>
        <v>32.066484971684986</v>
      </c>
    </row>
    <row r="185" spans="1:10">
      <c r="A185" s="1">
        <v>45728</v>
      </c>
      <c r="B185">
        <f>(3/(1+('CurrentPor-Equ Factor Movements'!C185)/100)+103/POWER(1+('CurrentPor-Equ Factor Movements'!D185)/100,2))*100</f>
        <v>9707.5857774288397</v>
      </c>
      <c r="C185">
        <f>(3/(1+('CurrentPor-Equ Factor Movements'!C185+'CurrentPor-Equ Factor Movements'!G185)/100)+103/POWER(1+('CurrentPor-Equ Factor Movements'!D185+'CurrentPor-Equ Factor Movements'!G185)/100,2))*100</f>
        <v>9610.7011224535381</v>
      </c>
      <c r="D185">
        <f>(3/(1+('CurrentPor-Equ Factor Movements'!C185+'CurrentPor-Equ Factor Movements'!H185)/100)+103/POWER(1+('CurrentPor-Equ Factor Movements'!D185+'CurrentPor-Equ Factor Movements'!H185)/100,2))*100</f>
        <v>9597.1608804675925</v>
      </c>
      <c r="E185">
        <f>(3/(1+('CurrentPor-Equ Factor Movements'!C185+'CurrentPor-Equ Factor Movements'!I185)/100)+103/POWER(1+('CurrentPor-Equ Factor Movements'!D185+'CurrentPor-Equ Factor Movements'!I185)/100,2))*100</f>
        <v>9567.9014983070174</v>
      </c>
      <c r="F185">
        <f>Portfolio!B$5*'CurrentPor-Equ Factor Movements'!E185</f>
        <v>52143.895533915893</v>
      </c>
      <c r="G185">
        <f>Portfolio!B$6*'CurrentPor-Equ Factor Movements'!F185</f>
        <v>3696.2945087936532</v>
      </c>
      <c r="H185">
        <f>Portfolio!B$7*'CurrentPor-Equ Factor Movements'!J185</f>
        <v>2148.0998964419859</v>
      </c>
      <c r="I185">
        <f t="shared" si="4"/>
        <v>96471.639217808508</v>
      </c>
      <c r="J185">
        <f t="shared" si="5"/>
        <v>-28.853940006316407</v>
      </c>
    </row>
    <row r="186" spans="1:10">
      <c r="A186" s="1">
        <v>45729</v>
      </c>
      <c r="B186">
        <f>(3/(1+('CurrentPor-Equ Factor Movements'!C186)/100)+103/POWER(1+('CurrentPor-Equ Factor Movements'!D186)/100,2))*100</f>
        <v>9707.5857774288397</v>
      </c>
      <c r="C186">
        <f>(3/(1+('CurrentPor-Equ Factor Movements'!C186+'CurrentPor-Equ Factor Movements'!G186)/100)+103/POWER(1+('CurrentPor-Equ Factor Movements'!D186+'CurrentPor-Equ Factor Movements'!G186)/100,2))*100</f>
        <v>9615.3826764656842</v>
      </c>
      <c r="D186">
        <f>(3/(1+('CurrentPor-Equ Factor Movements'!C186+'CurrentPor-Equ Factor Movements'!H186)/100)+103/POWER(1+('CurrentPor-Equ Factor Movements'!D186+'CurrentPor-Equ Factor Movements'!H186)/100,2))*100</f>
        <v>9601.8942548885734</v>
      </c>
      <c r="E186">
        <f>(3/(1+('CurrentPor-Equ Factor Movements'!C186+'CurrentPor-Equ Factor Movements'!I186)/100)+103/POWER(1+('CurrentPor-Equ Factor Movements'!D186+'CurrentPor-Equ Factor Movements'!I186)/100,2))*100</f>
        <v>9592.3519681577436</v>
      </c>
      <c r="F186">
        <f>Portfolio!B$5*'CurrentPor-Equ Factor Movements'!E186</f>
        <v>52143.895533915893</v>
      </c>
      <c r="G186">
        <f>Portfolio!B$6*'CurrentPor-Equ Factor Movements'!F186</f>
        <v>3696.2945087936532</v>
      </c>
      <c r="H186">
        <f>Portfolio!B$7*'CurrentPor-Equ Factor Movements'!J186</f>
        <v>2148.0998964419859</v>
      </c>
      <c r="I186">
        <f t="shared" si="4"/>
        <v>96505.504616092381</v>
      </c>
      <c r="J186">
        <f t="shared" si="5"/>
        <v>9.5994049028377049</v>
      </c>
    </row>
    <row r="187" spans="1:10">
      <c r="A187" s="1">
        <v>45730</v>
      </c>
      <c r="B187">
        <f>(3/(1+('CurrentPor-Equ Factor Movements'!C187)/100)+103/POWER(1+('CurrentPor-Equ Factor Movements'!D187)/100,2))*100</f>
        <v>9707.5857774288397</v>
      </c>
      <c r="C187">
        <f>(3/(1+('CurrentPor-Equ Factor Movements'!C187+'CurrentPor-Equ Factor Movements'!G187)/100)+103/POWER(1+('CurrentPor-Equ Factor Movements'!D187+'CurrentPor-Equ Factor Movements'!G187)/100,2))*100</f>
        <v>9610.4745233360263</v>
      </c>
      <c r="D187">
        <f>(3/(1+('CurrentPor-Equ Factor Movements'!C187+'CurrentPor-Equ Factor Movements'!H187)/100)+103/POWER(1+('CurrentPor-Equ Factor Movements'!D187+'CurrentPor-Equ Factor Movements'!H187)/100,2))*100</f>
        <v>9597.6153586299934</v>
      </c>
      <c r="E187">
        <f>(3/(1+('CurrentPor-Equ Factor Movements'!C187+'CurrentPor-Equ Factor Movements'!I187)/100)+103/POWER(1+('CurrentPor-Equ Factor Movements'!D187+'CurrentPor-Equ Factor Movements'!I187)/100,2))*100</f>
        <v>9556.5899947974722</v>
      </c>
      <c r="F187">
        <f>Portfolio!B$5*'CurrentPor-Equ Factor Movements'!E187</f>
        <v>52143.895533915893</v>
      </c>
      <c r="G187">
        <f>Portfolio!B$6*'CurrentPor-Equ Factor Movements'!F187</f>
        <v>3696.2945087936532</v>
      </c>
      <c r="H187">
        <f>Portfolio!B$7*'CurrentPor-Equ Factor Movements'!J187</f>
        <v>2148.0998964419859</v>
      </c>
      <c r="I187">
        <f t="shared" si="4"/>
        <v>96460.555593343874</v>
      </c>
      <c r="J187">
        <f t="shared" si="5"/>
        <v>-46.417868501855992</v>
      </c>
    </row>
    <row r="188" spans="1:10">
      <c r="A188" s="13">
        <v>45733</v>
      </c>
      <c r="B188">
        <f>(3/(1+('CurrentPor-Equ Factor Movements'!C188)/100)+103/POWER(1+('CurrentPor-Equ Factor Movements'!D188)/100,2))*100</f>
        <v>9707.5857774288397</v>
      </c>
      <c r="C188">
        <f>(3/(1+('CurrentPor-Equ Factor Movements'!C188+'CurrentPor-Equ Factor Movements'!G188)/100)+103/POWER(1+('CurrentPor-Equ Factor Movements'!D188+'CurrentPor-Equ Factor Movements'!G188)/100,2))*100</f>
        <v>9615.7805495236717</v>
      </c>
      <c r="D188">
        <f>(3/(1+('CurrentPor-Equ Factor Movements'!C188+'CurrentPor-Equ Factor Movements'!H188)/100)+103/POWER(1+('CurrentPor-Equ Factor Movements'!D188+'CurrentPor-Equ Factor Movements'!H188)/100,2))*100</f>
        <v>9590.1817309480939</v>
      </c>
      <c r="E188">
        <f>(3/(1+('CurrentPor-Equ Factor Movements'!C188+'CurrentPor-Equ Factor Movements'!I188)/100)+103/POWER(1+('CurrentPor-Equ Factor Movements'!D188+'CurrentPor-Equ Factor Movements'!I188)/100,2))*100</f>
        <v>9589.2580894582061</v>
      </c>
      <c r="F188">
        <f>Portfolio!B$5*'CurrentPor-Equ Factor Movements'!E188</f>
        <v>52143.895533915893</v>
      </c>
      <c r="G188">
        <f>Portfolio!B$6*'CurrentPor-Equ Factor Movements'!F188</f>
        <v>3696.2945087936532</v>
      </c>
      <c r="H188">
        <f>Portfolio!B$7*'CurrentPor-Equ Factor Movements'!J188</f>
        <v>2148.0998964419859</v>
      </c>
      <c r="I188">
        <f t="shared" ref="I188:I251" si="6">SUM(B188:H188)</f>
        <v>96491.096086510355</v>
      </c>
      <c r="J188">
        <f t="shared" ref="J188:J251" si="7">I188-I178</f>
        <v>37.123916147596901</v>
      </c>
    </row>
    <row r="189" spans="1:10">
      <c r="A189" s="1">
        <v>45734</v>
      </c>
      <c r="B189">
        <f>(3/(1+('CurrentPor-Equ Factor Movements'!C189)/100)+103/POWER(1+('CurrentPor-Equ Factor Movements'!D189)/100,2))*100</f>
        <v>9707.5857774288397</v>
      </c>
      <c r="C189">
        <f>(3/(1+('CurrentPor-Equ Factor Movements'!C189+'CurrentPor-Equ Factor Movements'!G189)/100)+103/POWER(1+('CurrentPor-Equ Factor Movements'!D189+'CurrentPor-Equ Factor Movements'!G189)/100,2))*100</f>
        <v>9620.9078823508898</v>
      </c>
      <c r="D189">
        <f>(3/(1+('CurrentPor-Equ Factor Movements'!C189+'CurrentPor-Equ Factor Movements'!H189)/100)+103/POWER(1+('CurrentPor-Equ Factor Movements'!D189+'CurrentPor-Equ Factor Movements'!H189)/100,2))*100</f>
        <v>9607.9960403492314</v>
      </c>
      <c r="E189">
        <f>(3/(1+('CurrentPor-Equ Factor Movements'!C189+'CurrentPor-Equ Factor Movements'!I189)/100)+103/POWER(1+('CurrentPor-Equ Factor Movements'!D189+'CurrentPor-Equ Factor Movements'!I189)/100,2))*100</f>
        <v>9597.6060240066054</v>
      </c>
      <c r="F189">
        <f>Portfolio!B$5*'CurrentPor-Equ Factor Movements'!E189</f>
        <v>52143.895533915893</v>
      </c>
      <c r="G189">
        <f>Portfolio!B$6*'CurrentPor-Equ Factor Movements'!F189</f>
        <v>3696.2945087936532</v>
      </c>
      <c r="H189">
        <f>Portfolio!B$7*'CurrentPor-Equ Factor Movements'!J189</f>
        <v>2148.0998964419859</v>
      </c>
      <c r="I189">
        <f t="shared" si="6"/>
        <v>96522.385663287088</v>
      </c>
      <c r="J189">
        <f t="shared" si="7"/>
        <v>32.399661562289111</v>
      </c>
    </row>
    <row r="190" spans="1:10">
      <c r="A190" s="1">
        <v>45735</v>
      </c>
      <c r="B190">
        <f>(3/(1+('CurrentPor-Equ Factor Movements'!C190)/100)+103/POWER(1+('CurrentPor-Equ Factor Movements'!D190)/100,2))*100</f>
        <v>9707.5857774288397</v>
      </c>
      <c r="C190">
        <f>(3/(1+('CurrentPor-Equ Factor Movements'!C190+'CurrentPor-Equ Factor Movements'!G190)/100)+103/POWER(1+('CurrentPor-Equ Factor Movements'!D190+'CurrentPor-Equ Factor Movements'!G190)/100,2))*100</f>
        <v>9630.2502994429942</v>
      </c>
      <c r="D190">
        <f>(3/(1+('CurrentPor-Equ Factor Movements'!C190+'CurrentPor-Equ Factor Movements'!H190)/100)+103/POWER(1+('CurrentPor-Equ Factor Movements'!D190+'CurrentPor-Equ Factor Movements'!H190)/100,2))*100</f>
        <v>9621.6701289741068</v>
      </c>
      <c r="E190">
        <f>(3/(1+('CurrentPor-Equ Factor Movements'!C190+'CurrentPor-Equ Factor Movements'!I190)/100)+103/POWER(1+('CurrentPor-Equ Factor Movements'!D190+'CurrentPor-Equ Factor Movements'!I190)/100,2))*100</f>
        <v>9597.8361216698795</v>
      </c>
      <c r="F190">
        <f>Portfolio!B$5*'CurrentPor-Equ Factor Movements'!E190</f>
        <v>52143.895533915893</v>
      </c>
      <c r="G190">
        <f>Portfolio!B$6*'CurrentPor-Equ Factor Movements'!F190</f>
        <v>3696.2945087936532</v>
      </c>
      <c r="H190">
        <f>Portfolio!B$7*'CurrentPor-Equ Factor Movements'!J190</f>
        <v>2148.0998964419859</v>
      </c>
      <c r="I190">
        <f t="shared" si="6"/>
        <v>96545.632266667351</v>
      </c>
      <c r="J190">
        <f t="shared" si="7"/>
        <v>45.935667860831018</v>
      </c>
    </row>
    <row r="191" spans="1:10">
      <c r="A191" s="1">
        <v>45736</v>
      </c>
      <c r="B191">
        <f>(3/(1+('CurrentPor-Equ Factor Movements'!C191)/100)+103/POWER(1+('CurrentPor-Equ Factor Movements'!D191)/100,2))*100</f>
        <v>9707.5857774288397</v>
      </c>
      <c r="C191">
        <f>(3/(1+('CurrentPor-Equ Factor Movements'!C191+'CurrentPor-Equ Factor Movements'!G191)/100)+103/POWER(1+('CurrentPor-Equ Factor Movements'!D191+'CurrentPor-Equ Factor Movements'!G191)/100,2))*100</f>
        <v>9622.0915448849573</v>
      </c>
      <c r="D191">
        <f>(3/(1+('CurrentPor-Equ Factor Movements'!C191+'CurrentPor-Equ Factor Movements'!H191)/100)+103/POWER(1+('CurrentPor-Equ Factor Movements'!D191+'CurrentPor-Equ Factor Movements'!H191)/100,2))*100</f>
        <v>9586.9481289768737</v>
      </c>
      <c r="E191">
        <f>(3/(1+('CurrentPor-Equ Factor Movements'!C191+'CurrentPor-Equ Factor Movements'!I191)/100)+103/POWER(1+('CurrentPor-Equ Factor Movements'!D191+'CurrentPor-Equ Factor Movements'!I191)/100,2))*100</f>
        <v>9579.5719024089885</v>
      </c>
      <c r="F191">
        <f>Portfolio!B$5*'CurrentPor-Equ Factor Movements'!E191</f>
        <v>52143.895533915893</v>
      </c>
      <c r="G191">
        <f>Portfolio!B$6*'CurrentPor-Equ Factor Movements'!F191</f>
        <v>3696.2945087936532</v>
      </c>
      <c r="H191">
        <f>Portfolio!B$7*'CurrentPor-Equ Factor Movements'!J191</f>
        <v>2148.0998964419859</v>
      </c>
      <c r="I191">
        <f t="shared" si="6"/>
        <v>96484.48729285119</v>
      </c>
      <c r="J191">
        <f t="shared" si="7"/>
        <v>19.021508362086024</v>
      </c>
    </row>
    <row r="192" spans="1:10">
      <c r="A192" s="1">
        <v>45737</v>
      </c>
      <c r="B192">
        <f>(3/(1+('CurrentPor-Equ Factor Movements'!C192)/100)+103/POWER(1+('CurrentPor-Equ Factor Movements'!D192)/100,2))*100</f>
        <v>9707.5857774288397</v>
      </c>
      <c r="C192">
        <f>(3/(1+('CurrentPor-Equ Factor Movements'!C192+'CurrentPor-Equ Factor Movements'!G192)/100)+103/POWER(1+('CurrentPor-Equ Factor Movements'!D192+'CurrentPor-Equ Factor Movements'!G192)/100,2))*100</f>
        <v>9604.8777910313256</v>
      </c>
      <c r="D192">
        <f>(3/(1+('CurrentPor-Equ Factor Movements'!C192+'CurrentPor-Equ Factor Movements'!H192)/100)+103/POWER(1+('CurrentPor-Equ Factor Movements'!D192+'CurrentPor-Equ Factor Movements'!H192)/100,2))*100</f>
        <v>9594.7333797965803</v>
      </c>
      <c r="E192">
        <f>(3/(1+('CurrentPor-Equ Factor Movements'!C192+'CurrentPor-Equ Factor Movements'!I192)/100)+103/POWER(1+('CurrentPor-Equ Factor Movements'!D192+'CurrentPor-Equ Factor Movements'!I192)/100,2))*100</f>
        <v>9580.9411701051649</v>
      </c>
      <c r="F192">
        <f>Portfolio!B$5*'CurrentPor-Equ Factor Movements'!E192</f>
        <v>52143.895533915893</v>
      </c>
      <c r="G192">
        <f>Portfolio!B$6*'CurrentPor-Equ Factor Movements'!F192</f>
        <v>3696.2945087936532</v>
      </c>
      <c r="H192">
        <f>Portfolio!B$7*'CurrentPor-Equ Factor Movements'!J192</f>
        <v>2148.0998964419859</v>
      </c>
      <c r="I192">
        <f t="shared" si="6"/>
        <v>96476.428057513447</v>
      </c>
      <c r="J192">
        <f t="shared" si="7"/>
        <v>-40.342443239147542</v>
      </c>
    </row>
    <row r="193" spans="1:10">
      <c r="A193" s="1">
        <v>45740</v>
      </c>
      <c r="B193">
        <f>(3/(1+('CurrentPor-Equ Factor Movements'!C193)/100)+103/POWER(1+('CurrentPor-Equ Factor Movements'!D193)/100,2))*100</f>
        <v>9707.5857774288397</v>
      </c>
      <c r="C193">
        <f>(3/(1+('CurrentPor-Equ Factor Movements'!C193+'CurrentPor-Equ Factor Movements'!G193)/100)+103/POWER(1+('CurrentPor-Equ Factor Movements'!D193+'CurrentPor-Equ Factor Movements'!G193)/100,2))*100</f>
        <v>9618.4941170887578</v>
      </c>
      <c r="D193">
        <f>(3/(1+('CurrentPor-Equ Factor Movements'!C193+'CurrentPor-Equ Factor Movements'!H193)/100)+103/POWER(1+('CurrentPor-Equ Factor Movements'!D193+'CurrentPor-Equ Factor Movements'!H193)/100,2))*100</f>
        <v>9599.05985436841</v>
      </c>
      <c r="E193">
        <f>(3/(1+('CurrentPor-Equ Factor Movements'!C193+'CurrentPor-Equ Factor Movements'!I193)/100)+103/POWER(1+('CurrentPor-Equ Factor Movements'!D193+'CurrentPor-Equ Factor Movements'!I193)/100,2))*100</f>
        <v>9566.9783808950415</v>
      </c>
      <c r="F193">
        <f>Portfolio!B$5*'CurrentPor-Equ Factor Movements'!E193</f>
        <v>52143.895533915893</v>
      </c>
      <c r="G193">
        <f>Portfolio!B$6*'CurrentPor-Equ Factor Movements'!F193</f>
        <v>3696.2945087936532</v>
      </c>
      <c r="H193">
        <f>Portfolio!B$7*'CurrentPor-Equ Factor Movements'!J193</f>
        <v>2148.0998964419859</v>
      </c>
      <c r="I193">
        <f t="shared" si="6"/>
        <v>96480.408068932578</v>
      </c>
      <c r="J193">
        <f t="shared" si="7"/>
        <v>-22.197719775518635</v>
      </c>
    </row>
    <row r="194" spans="1:10">
      <c r="A194" s="1">
        <v>45741</v>
      </c>
      <c r="B194">
        <f>(3/(1+('CurrentPor-Equ Factor Movements'!C194)/100)+103/POWER(1+('CurrentPor-Equ Factor Movements'!D194)/100,2))*100</f>
        <v>9707.5857774288397</v>
      </c>
      <c r="C194">
        <f>(3/(1+('CurrentPor-Equ Factor Movements'!C194+'CurrentPor-Equ Factor Movements'!G194)/100)+103/POWER(1+('CurrentPor-Equ Factor Movements'!D194+'CurrentPor-Equ Factor Movements'!G194)/100,2))*100</f>
        <v>9618.6530191148013</v>
      </c>
      <c r="D194">
        <f>(3/(1+('CurrentPor-Equ Factor Movements'!C194+'CurrentPor-Equ Factor Movements'!H194)/100)+103/POWER(1+('CurrentPor-Equ Factor Movements'!D194+'CurrentPor-Equ Factor Movements'!H194)/100,2))*100</f>
        <v>9590.4055045641071</v>
      </c>
      <c r="E194">
        <f>(3/(1+('CurrentPor-Equ Factor Movements'!C194+'CurrentPor-Equ Factor Movements'!I194)/100)+103/POWER(1+('CurrentPor-Equ Factor Movements'!D194+'CurrentPor-Equ Factor Movements'!I194)/100,2))*100</f>
        <v>9595.1066468859244</v>
      </c>
      <c r="F194">
        <f>Portfolio!B$5*'CurrentPor-Equ Factor Movements'!E194</f>
        <v>52143.895533915893</v>
      </c>
      <c r="G194">
        <f>Portfolio!B$6*'CurrentPor-Equ Factor Movements'!F194</f>
        <v>3696.2945087936532</v>
      </c>
      <c r="H194">
        <f>Portfolio!B$7*'CurrentPor-Equ Factor Movements'!J194</f>
        <v>2148.0998964419859</v>
      </c>
      <c r="I194">
        <f t="shared" si="6"/>
        <v>96500.040887145195</v>
      </c>
      <c r="J194">
        <f t="shared" si="7"/>
        <v>-21.107273241475923</v>
      </c>
    </row>
    <row r="195" spans="1:10">
      <c r="A195" s="1">
        <v>45742</v>
      </c>
      <c r="B195">
        <f>(3/(1+('CurrentPor-Equ Factor Movements'!C195)/100)+103/POWER(1+('CurrentPor-Equ Factor Movements'!D195)/100,2))*100</f>
        <v>9707.5857774288397</v>
      </c>
      <c r="C195">
        <f>(3/(1+('CurrentPor-Equ Factor Movements'!C195+'CurrentPor-Equ Factor Movements'!G195)/100)+103/POWER(1+('CurrentPor-Equ Factor Movements'!D195+'CurrentPor-Equ Factor Movements'!G195)/100,2))*100</f>
        <v>9616.6602475254622</v>
      </c>
      <c r="D195">
        <f>(3/(1+('CurrentPor-Equ Factor Movements'!C195+'CurrentPor-Equ Factor Movements'!H195)/100)+103/POWER(1+('CurrentPor-Equ Factor Movements'!D195+'CurrentPor-Equ Factor Movements'!H195)/100,2))*100</f>
        <v>9593.5253254041691</v>
      </c>
      <c r="E195">
        <f>(3/(1+('CurrentPor-Equ Factor Movements'!C195+'CurrentPor-Equ Factor Movements'!I195)/100)+103/POWER(1+('CurrentPor-Equ Factor Movements'!D195+'CurrentPor-Equ Factor Movements'!I195)/100,2))*100</f>
        <v>9597.8818766610057</v>
      </c>
      <c r="F195">
        <f>Portfolio!B$5*'CurrentPor-Equ Factor Movements'!E195</f>
        <v>52143.895533915893</v>
      </c>
      <c r="G195">
        <f>Portfolio!B$6*'CurrentPor-Equ Factor Movements'!F195</f>
        <v>3696.2945087936532</v>
      </c>
      <c r="H195">
        <f>Portfolio!B$7*'CurrentPor-Equ Factor Movements'!J195</f>
        <v>2148.0998964419859</v>
      </c>
      <c r="I195">
        <f t="shared" si="6"/>
        <v>96503.943166171011</v>
      </c>
      <c r="J195">
        <f t="shared" si="7"/>
        <v>32.303948362503434</v>
      </c>
    </row>
    <row r="196" spans="1:10">
      <c r="A196" s="1">
        <v>45743</v>
      </c>
      <c r="B196">
        <f>(3/(1+('CurrentPor-Equ Factor Movements'!C196)/100)+103/POWER(1+('CurrentPor-Equ Factor Movements'!D196)/100,2))*100</f>
        <v>9707.5857774288397</v>
      </c>
      <c r="C196">
        <f>(3/(1+('CurrentPor-Equ Factor Movements'!C196+'CurrentPor-Equ Factor Movements'!G196)/100)+103/POWER(1+('CurrentPor-Equ Factor Movements'!D196+'CurrentPor-Equ Factor Movements'!G196)/100,2))*100</f>
        <v>9618.2678044066288</v>
      </c>
      <c r="D196">
        <f>(3/(1+('CurrentPor-Equ Factor Movements'!C196+'CurrentPor-Equ Factor Movements'!H196)/100)+103/POWER(1+('CurrentPor-Equ Factor Movements'!D196+'CurrentPor-Equ Factor Movements'!H196)/100,2))*100</f>
        <v>9607.3842468240164</v>
      </c>
      <c r="E196">
        <f>(3/(1+('CurrentPor-Equ Factor Movements'!C196+'CurrentPor-Equ Factor Movements'!I196)/100)+103/POWER(1+('CurrentPor-Equ Factor Movements'!D196+'CurrentPor-Equ Factor Movements'!I196)/100,2))*100</f>
        <v>9593.512268056651</v>
      </c>
      <c r="F196">
        <f>Portfolio!B$5*'CurrentPor-Equ Factor Movements'!E196</f>
        <v>52143.895533915893</v>
      </c>
      <c r="G196">
        <f>Portfolio!B$6*'CurrentPor-Equ Factor Movements'!F196</f>
        <v>3696.2945087936532</v>
      </c>
      <c r="H196">
        <f>Portfolio!B$7*'CurrentPor-Equ Factor Movements'!J196</f>
        <v>2148.0998964419859</v>
      </c>
      <c r="I196">
        <f t="shared" si="6"/>
        <v>96515.040035867671</v>
      </c>
      <c r="J196">
        <f t="shared" si="7"/>
        <v>9.5354197752894834</v>
      </c>
    </row>
    <row r="197" spans="1:10">
      <c r="A197" s="1">
        <v>45744</v>
      </c>
      <c r="B197">
        <f>(3/(1+('CurrentPor-Equ Factor Movements'!C197)/100)+103/POWER(1+('CurrentPor-Equ Factor Movements'!D197)/100,2))*100</f>
        <v>9707.5857774288397</v>
      </c>
      <c r="C197">
        <f>(3/(1+('CurrentPor-Equ Factor Movements'!C197+'CurrentPor-Equ Factor Movements'!G197)/100)+103/POWER(1+('CurrentPor-Equ Factor Movements'!D197+'CurrentPor-Equ Factor Movements'!G197)/100,2))*100</f>
        <v>9605.5362628314106</v>
      </c>
      <c r="D197">
        <f>(3/(1+('CurrentPor-Equ Factor Movements'!C197+'CurrentPor-Equ Factor Movements'!H197)/100)+103/POWER(1+('CurrentPor-Equ Factor Movements'!D197+'CurrentPor-Equ Factor Movements'!H197)/100,2))*100</f>
        <v>9594.2827526639267</v>
      </c>
      <c r="E197">
        <f>(3/(1+('CurrentPor-Equ Factor Movements'!C197+'CurrentPor-Equ Factor Movements'!I197)/100)+103/POWER(1+('CurrentPor-Equ Factor Movements'!D197+'CurrentPor-Equ Factor Movements'!I197)/100,2))*100</f>
        <v>9605.8240799477662</v>
      </c>
      <c r="F197">
        <f>Portfolio!B$5*'CurrentPor-Equ Factor Movements'!E197</f>
        <v>52143.895533915893</v>
      </c>
      <c r="G197">
        <f>Portfolio!B$6*'CurrentPor-Equ Factor Movements'!F197</f>
        <v>3696.2945087936532</v>
      </c>
      <c r="H197">
        <f>Portfolio!B$7*'CurrentPor-Equ Factor Movements'!J197</f>
        <v>2148.0998964419859</v>
      </c>
      <c r="I197">
        <f t="shared" si="6"/>
        <v>96501.518812023467</v>
      </c>
      <c r="J197">
        <f t="shared" si="7"/>
        <v>40.96321867959341</v>
      </c>
    </row>
    <row r="198" spans="1:10">
      <c r="A198" s="1">
        <v>45747</v>
      </c>
      <c r="B198">
        <f>(3/(1+('CurrentPor-Equ Factor Movements'!C198)/100)+103/POWER(1+('CurrentPor-Equ Factor Movements'!D198)/100,2))*100</f>
        <v>9707.5857774288397</v>
      </c>
      <c r="C198">
        <f>(3/(1+('CurrentPor-Equ Factor Movements'!C198+'CurrentPor-Equ Factor Movements'!G198)/100)+103/POWER(1+('CurrentPor-Equ Factor Movements'!D198+'CurrentPor-Equ Factor Movements'!G198)/100,2))*100</f>
        <v>9602.9170972186002</v>
      </c>
      <c r="D198">
        <f>(3/(1+('CurrentPor-Equ Factor Movements'!C198+'CurrentPor-Equ Factor Movements'!H198)/100)+103/POWER(1+('CurrentPor-Equ Factor Movements'!D198+'CurrentPor-Equ Factor Movements'!H198)/100,2))*100</f>
        <v>9605.4231600387629</v>
      </c>
      <c r="E198">
        <f>(3/(1+('CurrentPor-Equ Factor Movements'!C198+'CurrentPor-Equ Factor Movements'!I198)/100)+103/POWER(1+('CurrentPor-Equ Factor Movements'!D198+'CurrentPor-Equ Factor Movements'!I198)/100,2))*100</f>
        <v>9574.2395176244208</v>
      </c>
      <c r="F198">
        <f>Portfolio!B$5*'CurrentPor-Equ Factor Movements'!E198</f>
        <v>52143.895533915893</v>
      </c>
      <c r="G198">
        <f>Portfolio!B$6*'CurrentPor-Equ Factor Movements'!F198</f>
        <v>3696.2945087936532</v>
      </c>
      <c r="H198">
        <f>Portfolio!B$7*'CurrentPor-Equ Factor Movements'!J198</f>
        <v>2148.0998964419859</v>
      </c>
      <c r="I198">
        <f t="shared" si="6"/>
        <v>96478.455491462155</v>
      </c>
      <c r="J198">
        <f t="shared" si="7"/>
        <v>-12.640595048200339</v>
      </c>
    </row>
    <row r="199" spans="1:10">
      <c r="A199" s="1">
        <v>45748</v>
      </c>
      <c r="B199">
        <f>(3/(1+('CurrentPor-Equ Factor Movements'!C199)/100)+103/POWER(1+('CurrentPor-Equ Factor Movements'!D199)/100,2))*100</f>
        <v>9707.5857774288397</v>
      </c>
      <c r="C199">
        <f>(3/(1+('CurrentPor-Equ Factor Movements'!C199+'CurrentPor-Equ Factor Movements'!G199)/100)+103/POWER(1+('CurrentPor-Equ Factor Movements'!D199+'CurrentPor-Equ Factor Movements'!G199)/100,2))*100</f>
        <v>9618.4272731057499</v>
      </c>
      <c r="D199">
        <f>(3/(1+('CurrentPor-Equ Factor Movements'!C199+'CurrentPor-Equ Factor Movements'!H199)/100)+103/POWER(1+('CurrentPor-Equ Factor Movements'!D199+'CurrentPor-Equ Factor Movements'!H199)/100,2))*100</f>
        <v>9600.4432844289277</v>
      </c>
      <c r="E199">
        <f>(3/(1+('CurrentPor-Equ Factor Movements'!C199+'CurrentPor-Equ Factor Movements'!I199)/100)+103/POWER(1+('CurrentPor-Equ Factor Movements'!D199+'CurrentPor-Equ Factor Movements'!I199)/100,2))*100</f>
        <v>9604.3289785749912</v>
      </c>
      <c r="F199">
        <f>Portfolio!B$5*'CurrentPor-Equ Factor Movements'!E199</f>
        <v>52143.895533915893</v>
      </c>
      <c r="G199">
        <f>Portfolio!B$6*'CurrentPor-Equ Factor Movements'!F199</f>
        <v>3696.2945087936532</v>
      </c>
      <c r="H199">
        <f>Portfolio!B$7*'CurrentPor-Equ Factor Movements'!J199</f>
        <v>2148.0998964419859</v>
      </c>
      <c r="I199">
        <f t="shared" si="6"/>
        <v>96519.075252690047</v>
      </c>
      <c r="J199">
        <f t="shared" si="7"/>
        <v>-3.3104105970414821</v>
      </c>
    </row>
    <row r="200" spans="1:10">
      <c r="A200" s="1">
        <v>45749</v>
      </c>
      <c r="B200">
        <f>(3/(1+('CurrentPor-Equ Factor Movements'!C200)/100)+103/POWER(1+('CurrentPor-Equ Factor Movements'!D200)/100,2))*100</f>
        <v>9707.5857774288397</v>
      </c>
      <c r="C200">
        <f>(3/(1+('CurrentPor-Equ Factor Movements'!C200+'CurrentPor-Equ Factor Movements'!G200)/100)+103/POWER(1+('CurrentPor-Equ Factor Movements'!D200+'CurrentPor-Equ Factor Movements'!G200)/100,2))*100</f>
        <v>9607.2964471079758</v>
      </c>
      <c r="D200">
        <f>(3/(1+('CurrentPor-Equ Factor Movements'!C200+'CurrentPor-Equ Factor Movements'!H200)/100)+103/POWER(1+('CurrentPor-Equ Factor Movements'!D200+'CurrentPor-Equ Factor Movements'!H200)/100,2))*100</f>
        <v>9591.3128444723789</v>
      </c>
      <c r="E200">
        <f>(3/(1+('CurrentPor-Equ Factor Movements'!C200+'CurrentPor-Equ Factor Movements'!I200)/100)+103/POWER(1+('CurrentPor-Equ Factor Movements'!D200+'CurrentPor-Equ Factor Movements'!I200)/100,2))*100</f>
        <v>9584.0197129333137</v>
      </c>
      <c r="F200">
        <f>Portfolio!B$5*'CurrentPor-Equ Factor Movements'!E200</f>
        <v>52143.895533915893</v>
      </c>
      <c r="G200">
        <f>Portfolio!B$6*'CurrentPor-Equ Factor Movements'!F200</f>
        <v>3696.2945087936532</v>
      </c>
      <c r="H200">
        <f>Portfolio!B$7*'CurrentPor-Equ Factor Movements'!J200</f>
        <v>2148.0998964419859</v>
      </c>
      <c r="I200">
        <f t="shared" si="6"/>
        <v>96478.504721094025</v>
      </c>
      <c r="J200">
        <f t="shared" si="7"/>
        <v>-67.127545573326643</v>
      </c>
    </row>
    <row r="201" spans="1:10">
      <c r="A201" s="1">
        <v>45750</v>
      </c>
      <c r="B201">
        <f>(3/(1+('CurrentPor-Equ Factor Movements'!C201)/100)+103/POWER(1+('CurrentPor-Equ Factor Movements'!D201)/100,2))*100</f>
        <v>9707.5857774288397</v>
      </c>
      <c r="C201">
        <f>(3/(1+('CurrentPor-Equ Factor Movements'!C201+'CurrentPor-Equ Factor Movements'!G201)/100)+103/POWER(1+('CurrentPor-Equ Factor Movements'!D201+'CurrentPor-Equ Factor Movements'!G201)/100,2))*100</f>
        <v>9611.9652374203906</v>
      </c>
      <c r="D201">
        <f>(3/(1+('CurrentPor-Equ Factor Movements'!C201+'CurrentPor-Equ Factor Movements'!H201)/100)+103/POWER(1+('CurrentPor-Equ Factor Movements'!D201+'CurrentPor-Equ Factor Movements'!H201)/100,2))*100</f>
        <v>9601.9283451545634</v>
      </c>
      <c r="E201">
        <f>(3/(1+('CurrentPor-Equ Factor Movements'!C201+'CurrentPor-Equ Factor Movements'!I201)/100)+103/POWER(1+('CurrentPor-Equ Factor Movements'!D201+'CurrentPor-Equ Factor Movements'!I201)/100,2))*100</f>
        <v>9596.2826920747411</v>
      </c>
      <c r="F201">
        <f>Portfolio!B$5*'CurrentPor-Equ Factor Movements'!E201</f>
        <v>52143.895533915893</v>
      </c>
      <c r="G201">
        <f>Portfolio!B$6*'CurrentPor-Equ Factor Movements'!F201</f>
        <v>3696.2945087936532</v>
      </c>
      <c r="H201">
        <f>Portfolio!B$7*'CurrentPor-Equ Factor Movements'!J201</f>
        <v>2148.0998964419859</v>
      </c>
      <c r="I201">
        <f t="shared" si="6"/>
        <v>96506.051991230066</v>
      </c>
      <c r="J201">
        <f t="shared" si="7"/>
        <v>21.564698378875619</v>
      </c>
    </row>
    <row r="202" spans="1:10">
      <c r="A202" s="1">
        <v>45751</v>
      </c>
      <c r="B202">
        <f>(3/(1+('CurrentPor-Equ Factor Movements'!C202)/100)+103/POWER(1+('CurrentPor-Equ Factor Movements'!D202)/100,2))*100</f>
        <v>9707.5857774288397</v>
      </c>
      <c r="C202">
        <f>(3/(1+('CurrentPor-Equ Factor Movements'!C202+'CurrentPor-Equ Factor Movements'!G202)/100)+103/POWER(1+('CurrentPor-Equ Factor Movements'!D202+'CurrentPor-Equ Factor Movements'!G202)/100,2))*100</f>
        <v>9612.4899112358598</v>
      </c>
      <c r="D202">
        <f>(3/(1+('CurrentPor-Equ Factor Movements'!C202+'CurrentPor-Equ Factor Movements'!H202)/100)+103/POWER(1+('CurrentPor-Equ Factor Movements'!D202+'CurrentPor-Equ Factor Movements'!H202)/100,2))*100</f>
        <v>9594.2588089714263</v>
      </c>
      <c r="E202">
        <f>(3/(1+('CurrentPor-Equ Factor Movements'!C202+'CurrentPor-Equ Factor Movements'!I202)/100)+103/POWER(1+('CurrentPor-Equ Factor Movements'!D202+'CurrentPor-Equ Factor Movements'!I202)/100,2))*100</f>
        <v>9566.297220702867</v>
      </c>
      <c r="F202">
        <f>Portfolio!B$5*'CurrentPor-Equ Factor Movements'!E202</f>
        <v>52143.895533915893</v>
      </c>
      <c r="G202">
        <f>Portfolio!B$6*'CurrentPor-Equ Factor Movements'!F202</f>
        <v>3696.2945087936532</v>
      </c>
      <c r="H202">
        <f>Portfolio!B$7*'CurrentPor-Equ Factor Movements'!J202</f>
        <v>2148.0998964419859</v>
      </c>
      <c r="I202">
        <f t="shared" si="6"/>
        <v>96468.921657490529</v>
      </c>
      <c r="J202">
        <f t="shared" si="7"/>
        <v>-7.50640002291766</v>
      </c>
    </row>
    <row r="203" spans="1:10">
      <c r="A203" s="1">
        <v>45754</v>
      </c>
      <c r="B203">
        <f>(3/(1+('CurrentPor-Equ Factor Movements'!C203)/100)+103/POWER(1+('CurrentPor-Equ Factor Movements'!D203)/100,2))*100</f>
        <v>9707.5857774288397</v>
      </c>
      <c r="C203">
        <f>(3/(1+('CurrentPor-Equ Factor Movements'!C203+'CurrentPor-Equ Factor Movements'!G203)/100)+103/POWER(1+('CurrentPor-Equ Factor Movements'!D203+'CurrentPor-Equ Factor Movements'!G203)/100,2))*100</f>
        <v>9634.9718358118935</v>
      </c>
      <c r="D203">
        <f>(3/(1+('CurrentPor-Equ Factor Movements'!C203+'CurrentPor-Equ Factor Movements'!H203)/100)+103/POWER(1+('CurrentPor-Equ Factor Movements'!D203+'CurrentPor-Equ Factor Movements'!H203)/100,2))*100</f>
        <v>9617.3713605007088</v>
      </c>
      <c r="E203">
        <f>(3/(1+('CurrentPor-Equ Factor Movements'!C203+'CurrentPor-Equ Factor Movements'!I203)/100)+103/POWER(1+('CurrentPor-Equ Factor Movements'!D203+'CurrentPor-Equ Factor Movements'!I203)/100,2))*100</f>
        <v>9583.3199530551301</v>
      </c>
      <c r="F203">
        <f>Portfolio!B$5*'CurrentPor-Equ Factor Movements'!E203</f>
        <v>52143.895533915893</v>
      </c>
      <c r="G203">
        <f>Portfolio!B$6*'CurrentPor-Equ Factor Movements'!F203</f>
        <v>3696.2945087936532</v>
      </c>
      <c r="H203">
        <f>Portfolio!B$7*'CurrentPor-Equ Factor Movements'!J203</f>
        <v>2148.0998964419859</v>
      </c>
      <c r="I203">
        <f t="shared" si="6"/>
        <v>96531.53886594811</v>
      </c>
      <c r="J203">
        <f t="shared" si="7"/>
        <v>51.130797015532153</v>
      </c>
    </row>
    <row r="204" spans="1:10">
      <c r="A204" s="1">
        <v>45755</v>
      </c>
      <c r="B204">
        <f>(3/(1+('CurrentPor-Equ Factor Movements'!C204)/100)+103/POWER(1+('CurrentPor-Equ Factor Movements'!D204)/100,2))*100</f>
        <v>9707.5857774288397</v>
      </c>
      <c r="C204">
        <f>(3/(1+('CurrentPor-Equ Factor Movements'!C204+'CurrentPor-Equ Factor Movements'!G204)/100)+103/POWER(1+('CurrentPor-Equ Factor Movements'!D204+'CurrentPor-Equ Factor Movements'!G204)/100,2))*100</f>
        <v>9607.2524405912227</v>
      </c>
      <c r="D204">
        <f>(3/(1+('CurrentPor-Equ Factor Movements'!C204+'CurrentPor-Equ Factor Movements'!H204)/100)+103/POWER(1+('CurrentPor-Equ Factor Movements'!D204+'CurrentPor-Equ Factor Movements'!H204)/100,2))*100</f>
        <v>9585.304414453818</v>
      </c>
      <c r="E204">
        <f>(3/(1+('CurrentPor-Equ Factor Movements'!C204+'CurrentPor-Equ Factor Movements'!I204)/100)+103/POWER(1+('CurrentPor-Equ Factor Movements'!D204+'CurrentPor-Equ Factor Movements'!I204)/100,2))*100</f>
        <v>9589.3712012098749</v>
      </c>
      <c r="F204">
        <f>Portfolio!B$5*'CurrentPor-Equ Factor Movements'!E204</f>
        <v>52143.895533915893</v>
      </c>
      <c r="G204">
        <f>Portfolio!B$6*'CurrentPor-Equ Factor Movements'!F204</f>
        <v>3696.2945087936532</v>
      </c>
      <c r="H204">
        <f>Portfolio!B$7*'CurrentPor-Equ Factor Movements'!J204</f>
        <v>2148.0998964419859</v>
      </c>
      <c r="I204">
        <f t="shared" si="6"/>
        <v>96477.803772835279</v>
      </c>
      <c r="J204">
        <f t="shared" si="7"/>
        <v>-22.237114309915341</v>
      </c>
    </row>
    <row r="205" spans="1:10">
      <c r="A205" s="1">
        <v>45756</v>
      </c>
      <c r="B205">
        <f>(3/(1+('CurrentPor-Equ Factor Movements'!C205)/100)+103/POWER(1+('CurrentPor-Equ Factor Movements'!D205)/100,2))*100</f>
        <v>9707.5857774288397</v>
      </c>
      <c r="C205">
        <f>(3/(1+('CurrentPor-Equ Factor Movements'!C205+'CurrentPor-Equ Factor Movements'!G205)/100)+103/POWER(1+('CurrentPor-Equ Factor Movements'!D205+'CurrentPor-Equ Factor Movements'!G205)/100,2))*100</f>
        <v>9620.8865531484171</v>
      </c>
      <c r="D205">
        <f>(3/(1+('CurrentPor-Equ Factor Movements'!C205+'CurrentPor-Equ Factor Movements'!H205)/100)+103/POWER(1+('CurrentPor-Equ Factor Movements'!D205+'CurrentPor-Equ Factor Movements'!H205)/100,2))*100</f>
        <v>9599.6951239519767</v>
      </c>
      <c r="E205">
        <f>(3/(1+('CurrentPor-Equ Factor Movements'!C205+'CurrentPor-Equ Factor Movements'!I205)/100)+103/POWER(1+('CurrentPor-Equ Factor Movements'!D205+'CurrentPor-Equ Factor Movements'!I205)/100,2))*100</f>
        <v>9594.5449984779607</v>
      </c>
      <c r="F205">
        <f>Portfolio!B$5*'CurrentPor-Equ Factor Movements'!E205</f>
        <v>52143.895533915893</v>
      </c>
      <c r="G205">
        <f>Portfolio!B$6*'CurrentPor-Equ Factor Movements'!F205</f>
        <v>3696.2945087936532</v>
      </c>
      <c r="H205">
        <f>Portfolio!B$7*'CurrentPor-Equ Factor Movements'!J205</f>
        <v>2148.0998964419859</v>
      </c>
      <c r="I205">
        <f t="shared" si="6"/>
        <v>96511.002392158727</v>
      </c>
      <c r="J205">
        <f t="shared" si="7"/>
        <v>7.059225987715763</v>
      </c>
    </row>
    <row r="206" spans="1:10">
      <c r="A206" s="1">
        <v>45757</v>
      </c>
      <c r="B206">
        <f>(3/(1+('CurrentPor-Equ Factor Movements'!C206)/100)+103/POWER(1+('CurrentPor-Equ Factor Movements'!D206)/100,2))*100</f>
        <v>9707.5857774288397</v>
      </c>
      <c r="C206">
        <f>(3/(1+('CurrentPor-Equ Factor Movements'!C206+'CurrentPor-Equ Factor Movements'!G206)/100)+103/POWER(1+('CurrentPor-Equ Factor Movements'!D206+'CurrentPor-Equ Factor Movements'!G206)/100,2))*100</f>
        <v>9608.5974006193392</v>
      </c>
      <c r="D206">
        <f>(3/(1+('CurrentPor-Equ Factor Movements'!C206+'CurrentPor-Equ Factor Movements'!H206)/100)+103/POWER(1+('CurrentPor-Equ Factor Movements'!D206+'CurrentPor-Equ Factor Movements'!H206)/100,2))*100</f>
        <v>9603.2688926107458</v>
      </c>
      <c r="E206">
        <f>(3/(1+('CurrentPor-Equ Factor Movements'!C206+'CurrentPor-Equ Factor Movements'!I206)/100)+103/POWER(1+('CurrentPor-Equ Factor Movements'!D206+'CurrentPor-Equ Factor Movements'!I206)/100,2))*100</f>
        <v>9574.3661645693555</v>
      </c>
      <c r="F206">
        <f>Portfolio!B$5*'CurrentPor-Equ Factor Movements'!E206</f>
        <v>52143.895533915893</v>
      </c>
      <c r="G206">
        <f>Portfolio!B$6*'CurrentPor-Equ Factor Movements'!F206</f>
        <v>3696.2945087936532</v>
      </c>
      <c r="H206">
        <f>Portfolio!B$7*'CurrentPor-Equ Factor Movements'!J206</f>
        <v>2148.0998964419859</v>
      </c>
      <c r="I206">
        <f t="shared" si="6"/>
        <v>96482.108174379813</v>
      </c>
      <c r="J206">
        <f t="shared" si="7"/>
        <v>-32.931861487857532</v>
      </c>
    </row>
    <row r="207" spans="1:10">
      <c r="A207" s="1">
        <v>45758</v>
      </c>
      <c r="B207">
        <f>(3/(1+('CurrentPor-Equ Factor Movements'!C207)/100)+103/POWER(1+('CurrentPor-Equ Factor Movements'!D207)/100,2))*100</f>
        <v>9707.5857774288397</v>
      </c>
      <c r="C207">
        <f>(3/(1+('CurrentPor-Equ Factor Movements'!C207+'CurrentPor-Equ Factor Movements'!G207)/100)+103/POWER(1+('CurrentPor-Equ Factor Movements'!D207+'CurrentPor-Equ Factor Movements'!G207)/100,2))*100</f>
        <v>9599.8640055385313</v>
      </c>
      <c r="D207">
        <f>(3/(1+('CurrentPor-Equ Factor Movements'!C207+'CurrentPor-Equ Factor Movements'!H207)/100)+103/POWER(1+('CurrentPor-Equ Factor Movements'!D207+'CurrentPor-Equ Factor Movements'!H207)/100,2))*100</f>
        <v>9602.8867591751532</v>
      </c>
      <c r="E207">
        <f>(3/(1+('CurrentPor-Equ Factor Movements'!C207+'CurrentPor-Equ Factor Movements'!I207)/100)+103/POWER(1+('CurrentPor-Equ Factor Movements'!D207+'CurrentPor-Equ Factor Movements'!I207)/100,2))*100</f>
        <v>9580.8463983977254</v>
      </c>
      <c r="F207">
        <f>Portfolio!B$5*'CurrentPor-Equ Factor Movements'!E207</f>
        <v>52143.895533915893</v>
      </c>
      <c r="G207">
        <f>Portfolio!B$6*'CurrentPor-Equ Factor Movements'!F207</f>
        <v>3696.2945087936532</v>
      </c>
      <c r="H207">
        <f>Portfolio!B$7*'CurrentPor-Equ Factor Movements'!J207</f>
        <v>2148.0998964419859</v>
      </c>
      <c r="I207">
        <f t="shared" si="6"/>
        <v>96479.472879691792</v>
      </c>
      <c r="J207">
        <f t="shared" si="7"/>
        <v>-22.045932331675431</v>
      </c>
    </row>
    <row r="208" spans="1:10">
      <c r="A208" s="1">
        <v>45761</v>
      </c>
      <c r="B208">
        <f>(3/(1+('CurrentPor-Equ Factor Movements'!C208)/100)+103/POWER(1+('CurrentPor-Equ Factor Movements'!D208)/100,2))*100</f>
        <v>9707.5857774288397</v>
      </c>
      <c r="C208">
        <f>(3/(1+('CurrentPor-Equ Factor Movements'!C208+'CurrentPor-Equ Factor Movements'!G208)/100)+103/POWER(1+('CurrentPor-Equ Factor Movements'!D208+'CurrentPor-Equ Factor Movements'!G208)/100,2))*100</f>
        <v>9630.8652929256277</v>
      </c>
      <c r="D208">
        <f>(3/(1+('CurrentPor-Equ Factor Movements'!C208+'CurrentPor-Equ Factor Movements'!H208)/100)+103/POWER(1+('CurrentPor-Equ Factor Movements'!D208+'CurrentPor-Equ Factor Movements'!H208)/100,2))*100</f>
        <v>9598.3119700894895</v>
      </c>
      <c r="E208">
        <f>(3/(1+('CurrentPor-Equ Factor Movements'!C208+'CurrentPor-Equ Factor Movements'!I208)/100)+103/POWER(1+('CurrentPor-Equ Factor Movements'!D208+'CurrentPor-Equ Factor Movements'!I208)/100,2))*100</f>
        <v>9560.0837518491226</v>
      </c>
      <c r="F208">
        <f>Portfolio!B$5*'CurrentPor-Equ Factor Movements'!E208</f>
        <v>52143.895533915893</v>
      </c>
      <c r="G208">
        <f>Portfolio!B$6*'CurrentPor-Equ Factor Movements'!F208</f>
        <v>3696.2945087936532</v>
      </c>
      <c r="H208">
        <f>Portfolio!B$7*'CurrentPor-Equ Factor Movements'!J208</f>
        <v>2148.0998964419859</v>
      </c>
      <c r="I208">
        <f t="shared" si="6"/>
        <v>96485.136731444611</v>
      </c>
      <c r="J208">
        <f t="shared" si="7"/>
        <v>6.681239982455736</v>
      </c>
    </row>
    <row r="209" spans="1:10">
      <c r="A209" s="1">
        <v>45762</v>
      </c>
      <c r="B209">
        <f>(3/(1+('CurrentPor-Equ Factor Movements'!C209)/100)+103/POWER(1+('CurrentPor-Equ Factor Movements'!D209)/100,2))*100</f>
        <v>9707.5857774288397</v>
      </c>
      <c r="C209">
        <f>(3/(1+('CurrentPor-Equ Factor Movements'!C209+'CurrentPor-Equ Factor Movements'!G209)/100)+103/POWER(1+('CurrentPor-Equ Factor Movements'!D209+'CurrentPor-Equ Factor Movements'!G209)/100,2))*100</f>
        <v>9612.6044470489542</v>
      </c>
      <c r="D209">
        <f>(3/(1+('CurrentPor-Equ Factor Movements'!C209+'CurrentPor-Equ Factor Movements'!H209)/100)+103/POWER(1+('CurrentPor-Equ Factor Movements'!D209+'CurrentPor-Equ Factor Movements'!H209)/100,2))*100</f>
        <v>9601.4820896872588</v>
      </c>
      <c r="E209">
        <f>(3/(1+('CurrentPor-Equ Factor Movements'!C209+'CurrentPor-Equ Factor Movements'!I209)/100)+103/POWER(1+('CurrentPor-Equ Factor Movements'!D209+'CurrentPor-Equ Factor Movements'!I209)/100,2))*100</f>
        <v>9580.2486579575962</v>
      </c>
      <c r="F209">
        <f>Portfolio!B$5*'CurrentPor-Equ Factor Movements'!E209</f>
        <v>52143.895533915893</v>
      </c>
      <c r="G209">
        <f>Portfolio!B$6*'CurrentPor-Equ Factor Movements'!F209</f>
        <v>3696.2945087936532</v>
      </c>
      <c r="H209">
        <f>Portfolio!B$7*'CurrentPor-Equ Factor Movements'!J209</f>
        <v>2148.0998964419859</v>
      </c>
      <c r="I209">
        <f t="shared" si="6"/>
        <v>96490.210911274175</v>
      </c>
      <c r="J209">
        <f t="shared" si="7"/>
        <v>-28.864341415872332</v>
      </c>
    </row>
    <row r="210" spans="1:10">
      <c r="A210" s="1">
        <v>45763</v>
      </c>
      <c r="B210">
        <f>(3/(1+('CurrentPor-Equ Factor Movements'!C210)/100)+103/POWER(1+('CurrentPor-Equ Factor Movements'!D210)/100,2))*100</f>
        <v>9707.5857774288397</v>
      </c>
      <c r="C210">
        <f>(3/(1+('CurrentPor-Equ Factor Movements'!C210+'CurrentPor-Equ Factor Movements'!G210)/100)+103/POWER(1+('CurrentPor-Equ Factor Movements'!D210+'CurrentPor-Equ Factor Movements'!G210)/100,2))*100</f>
        <v>9617.1492774703656</v>
      </c>
      <c r="D210">
        <f>(3/(1+('CurrentPor-Equ Factor Movements'!C210+'CurrentPor-Equ Factor Movements'!H210)/100)+103/POWER(1+('CurrentPor-Equ Factor Movements'!D210+'CurrentPor-Equ Factor Movements'!H210)/100,2))*100</f>
        <v>9594.4735986264932</v>
      </c>
      <c r="E210">
        <f>(3/(1+('CurrentPor-Equ Factor Movements'!C210+'CurrentPor-Equ Factor Movements'!I210)/100)+103/POWER(1+('CurrentPor-Equ Factor Movements'!D210+'CurrentPor-Equ Factor Movements'!I210)/100,2))*100</f>
        <v>9582.5568860344702</v>
      </c>
      <c r="F210">
        <f>Portfolio!B$5*'CurrentPor-Equ Factor Movements'!E210</f>
        <v>52143.895533915893</v>
      </c>
      <c r="G210">
        <f>Portfolio!B$6*'CurrentPor-Equ Factor Movements'!F210</f>
        <v>3696.2945087936532</v>
      </c>
      <c r="H210">
        <f>Portfolio!B$7*'CurrentPor-Equ Factor Movements'!J210</f>
        <v>2148.0998964419859</v>
      </c>
      <c r="I210">
        <f t="shared" si="6"/>
        <v>96490.0554787117</v>
      </c>
      <c r="J210">
        <f t="shared" si="7"/>
        <v>11.550757617675117</v>
      </c>
    </row>
    <row r="211" spans="1:10">
      <c r="A211" s="1">
        <v>45764</v>
      </c>
      <c r="B211">
        <f>(3/(1+('CurrentPor-Equ Factor Movements'!C211)/100)+103/POWER(1+('CurrentPor-Equ Factor Movements'!D211)/100,2))*100</f>
        <v>9707.5857774288397</v>
      </c>
      <c r="C211">
        <f>(3/(1+('CurrentPor-Equ Factor Movements'!C211+'CurrentPor-Equ Factor Movements'!G211)/100)+103/POWER(1+('CurrentPor-Equ Factor Movements'!D211+'CurrentPor-Equ Factor Movements'!G211)/100,2))*100</f>
        <v>9602.6260318446148</v>
      </c>
      <c r="D211">
        <f>(3/(1+('CurrentPor-Equ Factor Movements'!C211+'CurrentPor-Equ Factor Movements'!H211)/100)+103/POWER(1+('CurrentPor-Equ Factor Movements'!D211+'CurrentPor-Equ Factor Movements'!H211)/100,2))*100</f>
        <v>9607.7607332794487</v>
      </c>
      <c r="E211">
        <f>(3/(1+('CurrentPor-Equ Factor Movements'!C211+'CurrentPor-Equ Factor Movements'!I211)/100)+103/POWER(1+('CurrentPor-Equ Factor Movements'!D211+'CurrentPor-Equ Factor Movements'!I211)/100,2))*100</f>
        <v>9588.2605122606528</v>
      </c>
      <c r="F211">
        <f>Portfolio!B$5*'CurrentPor-Equ Factor Movements'!E211</f>
        <v>52143.895533915893</v>
      </c>
      <c r="G211">
        <f>Portfolio!B$6*'CurrentPor-Equ Factor Movements'!F211</f>
        <v>3696.2945087936532</v>
      </c>
      <c r="H211">
        <f>Portfolio!B$7*'CurrentPor-Equ Factor Movements'!J211</f>
        <v>2148.0998964419859</v>
      </c>
      <c r="I211">
        <f t="shared" si="6"/>
        <v>96494.522993965089</v>
      </c>
      <c r="J211">
        <f t="shared" si="7"/>
        <v>-11.528997264977079</v>
      </c>
    </row>
    <row r="212" spans="1:10">
      <c r="A212" s="1">
        <v>45765</v>
      </c>
      <c r="B212">
        <f>(3/(1+('CurrentPor-Equ Factor Movements'!C212)/100)+103/POWER(1+('CurrentPor-Equ Factor Movements'!D212)/100,2))*100</f>
        <v>9707.5857774288397</v>
      </c>
      <c r="C212">
        <f>(3/(1+('CurrentPor-Equ Factor Movements'!C212+'CurrentPor-Equ Factor Movements'!G212)/100)+103/POWER(1+('CurrentPor-Equ Factor Movements'!D212+'CurrentPor-Equ Factor Movements'!G212)/100,2))*100</f>
        <v>9603.9165430369176</v>
      </c>
      <c r="D212">
        <f>(3/(1+('CurrentPor-Equ Factor Movements'!C212+'CurrentPor-Equ Factor Movements'!H212)/100)+103/POWER(1+('CurrentPor-Equ Factor Movements'!D212+'CurrentPor-Equ Factor Movements'!H212)/100,2))*100</f>
        <v>9599.8710065448122</v>
      </c>
      <c r="E212">
        <f>(3/(1+('CurrentPor-Equ Factor Movements'!C212+'CurrentPor-Equ Factor Movements'!I212)/100)+103/POWER(1+('CurrentPor-Equ Factor Movements'!D212+'CurrentPor-Equ Factor Movements'!I212)/100,2))*100</f>
        <v>9588.9558904481692</v>
      </c>
      <c r="F212">
        <f>Portfolio!B$5*'CurrentPor-Equ Factor Movements'!E212</f>
        <v>52143.895533915893</v>
      </c>
      <c r="G212">
        <f>Portfolio!B$6*'CurrentPor-Equ Factor Movements'!F212</f>
        <v>3696.2945087936532</v>
      </c>
      <c r="H212">
        <f>Portfolio!B$7*'CurrentPor-Equ Factor Movements'!J212</f>
        <v>2148.0998964419859</v>
      </c>
      <c r="I212">
        <f t="shared" si="6"/>
        <v>96488.619156610264</v>
      </c>
      <c r="J212">
        <f t="shared" si="7"/>
        <v>19.697499119734857</v>
      </c>
    </row>
    <row r="213" spans="1:10">
      <c r="A213" s="1">
        <v>45768</v>
      </c>
      <c r="B213">
        <f>(3/(1+('CurrentPor-Equ Factor Movements'!C213)/100)+103/POWER(1+('CurrentPor-Equ Factor Movements'!D213)/100,2))*100</f>
        <v>9707.5857774288397</v>
      </c>
      <c r="C213">
        <f>(3/(1+('CurrentPor-Equ Factor Movements'!C213+'CurrentPor-Equ Factor Movements'!G213)/100)+103/POWER(1+('CurrentPor-Equ Factor Movements'!D213+'CurrentPor-Equ Factor Movements'!G213)/100,2))*100</f>
        <v>9612.662726576189</v>
      </c>
      <c r="D213">
        <f>(3/(1+('CurrentPor-Equ Factor Movements'!C213+'CurrentPor-Equ Factor Movements'!H213)/100)+103/POWER(1+('CurrentPor-Equ Factor Movements'!D213+'CurrentPor-Equ Factor Movements'!H213)/100,2))*100</f>
        <v>9592.362474861151</v>
      </c>
      <c r="E213">
        <f>(3/(1+('CurrentPor-Equ Factor Movements'!C213+'CurrentPor-Equ Factor Movements'!I213)/100)+103/POWER(1+('CurrentPor-Equ Factor Movements'!D213+'CurrentPor-Equ Factor Movements'!I213)/100,2))*100</f>
        <v>9598.4157720027233</v>
      </c>
      <c r="F213">
        <f>Portfolio!B$5*'CurrentPor-Equ Factor Movements'!E213</f>
        <v>52143.895533915893</v>
      </c>
      <c r="G213">
        <f>Portfolio!B$6*'CurrentPor-Equ Factor Movements'!F213</f>
        <v>3696.2945087936532</v>
      </c>
      <c r="H213">
        <f>Portfolio!B$7*'CurrentPor-Equ Factor Movements'!J213</f>
        <v>2148.0998964419859</v>
      </c>
      <c r="I213">
        <f t="shared" si="6"/>
        <v>96499.316690020438</v>
      </c>
      <c r="J213">
        <f t="shared" si="7"/>
        <v>-32.222175927672652</v>
      </c>
    </row>
    <row r="214" spans="1:10">
      <c r="A214" s="1">
        <v>45769</v>
      </c>
      <c r="B214">
        <f>(3/(1+('CurrentPor-Equ Factor Movements'!C214)/100)+103/POWER(1+('CurrentPor-Equ Factor Movements'!D214)/100,2))*100</f>
        <v>9707.5857774288397</v>
      </c>
      <c r="C214">
        <f>(3/(1+('CurrentPor-Equ Factor Movements'!C214+'CurrentPor-Equ Factor Movements'!G214)/100)+103/POWER(1+('CurrentPor-Equ Factor Movements'!D214+'CurrentPor-Equ Factor Movements'!G214)/100,2))*100</f>
        <v>9601.5948043760964</v>
      </c>
      <c r="D214">
        <f>(3/(1+('CurrentPor-Equ Factor Movements'!C214+'CurrentPor-Equ Factor Movements'!H214)/100)+103/POWER(1+('CurrentPor-Equ Factor Movements'!D214+'CurrentPor-Equ Factor Movements'!H214)/100,2))*100</f>
        <v>9596.5130751926426</v>
      </c>
      <c r="E214">
        <f>(3/(1+('CurrentPor-Equ Factor Movements'!C214+'CurrentPor-Equ Factor Movements'!I214)/100)+103/POWER(1+('CurrentPor-Equ Factor Movements'!D214+'CurrentPor-Equ Factor Movements'!I214)/100,2))*100</f>
        <v>9574.0016744813965</v>
      </c>
      <c r="F214">
        <f>Portfolio!B$5*'CurrentPor-Equ Factor Movements'!E214</f>
        <v>52143.895533915893</v>
      </c>
      <c r="G214">
        <f>Portfolio!B$6*'CurrentPor-Equ Factor Movements'!F214</f>
        <v>3696.2945087936532</v>
      </c>
      <c r="H214">
        <f>Portfolio!B$7*'CurrentPor-Equ Factor Movements'!J214</f>
        <v>2148.0998964419859</v>
      </c>
      <c r="I214">
        <f t="shared" si="6"/>
        <v>96467.98527063051</v>
      </c>
      <c r="J214">
        <f t="shared" si="7"/>
        <v>-9.8185022047691746</v>
      </c>
    </row>
    <row r="215" spans="1:10">
      <c r="A215" s="1">
        <v>45770</v>
      </c>
      <c r="B215">
        <f>(3/(1+('CurrentPor-Equ Factor Movements'!C215)/100)+103/POWER(1+('CurrentPor-Equ Factor Movements'!D215)/100,2))*100</f>
        <v>9707.5857774288397</v>
      </c>
      <c r="C215">
        <f>(3/(1+('CurrentPor-Equ Factor Movements'!C215+'CurrentPor-Equ Factor Movements'!G215)/100)+103/POWER(1+('CurrentPor-Equ Factor Movements'!D215+'CurrentPor-Equ Factor Movements'!G215)/100,2))*100</f>
        <v>9618.3490104269604</v>
      </c>
      <c r="D215">
        <f>(3/(1+('CurrentPor-Equ Factor Movements'!C215+'CurrentPor-Equ Factor Movements'!H215)/100)+103/POWER(1+('CurrentPor-Equ Factor Movements'!D215+'CurrentPor-Equ Factor Movements'!H215)/100,2))*100</f>
        <v>9600.0751206636287</v>
      </c>
      <c r="E215">
        <f>(3/(1+('CurrentPor-Equ Factor Movements'!C215+'CurrentPor-Equ Factor Movements'!I215)/100)+103/POWER(1+('CurrentPor-Equ Factor Movements'!D215+'CurrentPor-Equ Factor Movements'!I215)/100,2))*100</f>
        <v>9578.8215550486748</v>
      </c>
      <c r="F215">
        <f>Portfolio!B$5*'CurrentPor-Equ Factor Movements'!E215</f>
        <v>52143.895533915893</v>
      </c>
      <c r="G215">
        <f>Portfolio!B$6*'CurrentPor-Equ Factor Movements'!F215</f>
        <v>3696.2945087936532</v>
      </c>
      <c r="H215">
        <f>Portfolio!B$7*'CurrentPor-Equ Factor Movements'!J215</f>
        <v>2148.0998964419859</v>
      </c>
      <c r="I215">
        <f t="shared" si="6"/>
        <v>96493.121402719626</v>
      </c>
      <c r="J215">
        <f t="shared" si="7"/>
        <v>-17.88098943910154</v>
      </c>
    </row>
    <row r="216" spans="1:10">
      <c r="A216" s="1">
        <v>45771</v>
      </c>
      <c r="B216">
        <f>(3/(1+('CurrentPor-Equ Factor Movements'!C216)/100)+103/POWER(1+('CurrentPor-Equ Factor Movements'!D216)/100,2))*100</f>
        <v>9707.5857774288397</v>
      </c>
      <c r="C216">
        <f>(3/(1+('CurrentPor-Equ Factor Movements'!C216+'CurrentPor-Equ Factor Movements'!G216)/100)+103/POWER(1+('CurrentPor-Equ Factor Movements'!D216+'CurrentPor-Equ Factor Movements'!G216)/100,2))*100</f>
        <v>9621.2766411232387</v>
      </c>
      <c r="D216">
        <f>(3/(1+('CurrentPor-Equ Factor Movements'!C216+'CurrentPor-Equ Factor Movements'!H216)/100)+103/POWER(1+('CurrentPor-Equ Factor Movements'!D216+'CurrentPor-Equ Factor Movements'!H216)/100,2))*100</f>
        <v>9574.8708815213213</v>
      </c>
      <c r="E216">
        <f>(3/(1+('CurrentPor-Equ Factor Movements'!C216+'CurrentPor-Equ Factor Movements'!I216)/100)+103/POWER(1+('CurrentPor-Equ Factor Movements'!D216+'CurrentPor-Equ Factor Movements'!I216)/100,2))*100</f>
        <v>9571.338688744112</v>
      </c>
      <c r="F216">
        <f>Portfolio!B$5*'CurrentPor-Equ Factor Movements'!E216</f>
        <v>52143.895533915893</v>
      </c>
      <c r="G216">
        <f>Portfolio!B$6*'CurrentPor-Equ Factor Movements'!F216</f>
        <v>3696.2945087936532</v>
      </c>
      <c r="H216">
        <f>Portfolio!B$7*'CurrentPor-Equ Factor Movements'!J216</f>
        <v>2148.0998964419859</v>
      </c>
      <c r="I216">
        <f t="shared" si="6"/>
        <v>96463.361927969047</v>
      </c>
      <c r="J216">
        <f t="shared" si="7"/>
        <v>-18.746246410766616</v>
      </c>
    </row>
    <row r="217" spans="1:10">
      <c r="A217" s="1">
        <v>45772</v>
      </c>
      <c r="B217">
        <f>(3/(1+('CurrentPor-Equ Factor Movements'!C217)/100)+103/POWER(1+('CurrentPor-Equ Factor Movements'!D217)/100,2))*100</f>
        <v>9707.5857774288397</v>
      </c>
      <c r="C217">
        <f>(3/(1+('CurrentPor-Equ Factor Movements'!C217+'CurrentPor-Equ Factor Movements'!G217)/100)+103/POWER(1+('CurrentPor-Equ Factor Movements'!D217+'CurrentPor-Equ Factor Movements'!G217)/100,2))*100</f>
        <v>9616.906275521902</v>
      </c>
      <c r="D217">
        <f>(3/(1+('CurrentPor-Equ Factor Movements'!C217+'CurrentPor-Equ Factor Movements'!H217)/100)+103/POWER(1+('CurrentPor-Equ Factor Movements'!D217+'CurrentPor-Equ Factor Movements'!H217)/100,2))*100</f>
        <v>9609.0113978747941</v>
      </c>
      <c r="E217">
        <f>(3/(1+('CurrentPor-Equ Factor Movements'!C217+'CurrentPor-Equ Factor Movements'!I217)/100)+103/POWER(1+('CurrentPor-Equ Factor Movements'!D217+'CurrentPor-Equ Factor Movements'!I217)/100,2))*100</f>
        <v>9564.9972332803336</v>
      </c>
      <c r="F217">
        <f>Portfolio!B$5*'CurrentPor-Equ Factor Movements'!E217</f>
        <v>52143.895533915893</v>
      </c>
      <c r="G217">
        <f>Portfolio!B$6*'CurrentPor-Equ Factor Movements'!F217</f>
        <v>3696.2945087936532</v>
      </c>
      <c r="H217">
        <f>Portfolio!B$7*'CurrentPor-Equ Factor Movements'!J217</f>
        <v>2148.0998964419859</v>
      </c>
      <c r="I217">
        <f t="shared" si="6"/>
        <v>96486.790623257402</v>
      </c>
      <c r="J217">
        <f t="shared" si="7"/>
        <v>7.3177435656107264</v>
      </c>
    </row>
    <row r="218" spans="1:10">
      <c r="A218" s="1">
        <v>45775</v>
      </c>
      <c r="B218">
        <f>(3/(1+('CurrentPor-Equ Factor Movements'!C218)/100)+103/POWER(1+('CurrentPor-Equ Factor Movements'!D218)/100,2))*100</f>
        <v>9707.5857774288397</v>
      </c>
      <c r="C218">
        <f>(3/(1+('CurrentPor-Equ Factor Movements'!C218+'CurrentPor-Equ Factor Movements'!G218)/100)+103/POWER(1+('CurrentPor-Equ Factor Movements'!D218+'CurrentPor-Equ Factor Movements'!G218)/100,2))*100</f>
        <v>9615.5278471715155</v>
      </c>
      <c r="D218">
        <f>(3/(1+('CurrentPor-Equ Factor Movements'!C218+'CurrentPor-Equ Factor Movements'!H218)/100)+103/POWER(1+('CurrentPor-Equ Factor Movements'!D218+'CurrentPor-Equ Factor Movements'!H218)/100,2))*100</f>
        <v>9587.1688829250379</v>
      </c>
      <c r="E218">
        <f>(3/(1+('CurrentPor-Equ Factor Movements'!C218+'CurrentPor-Equ Factor Movements'!I218)/100)+103/POWER(1+('CurrentPor-Equ Factor Movements'!D218+'CurrentPor-Equ Factor Movements'!I218)/100,2))*100</f>
        <v>9568.3619975594156</v>
      </c>
      <c r="F218">
        <f>Portfolio!B$5*'CurrentPor-Equ Factor Movements'!E218</f>
        <v>52143.895533915893</v>
      </c>
      <c r="G218">
        <f>Portfolio!B$6*'CurrentPor-Equ Factor Movements'!F218</f>
        <v>3696.2945087936532</v>
      </c>
      <c r="H218">
        <f>Portfolio!B$7*'CurrentPor-Equ Factor Movements'!J218</f>
        <v>2148.0998964419859</v>
      </c>
      <c r="I218">
        <f t="shared" si="6"/>
        <v>96466.934444236351</v>
      </c>
      <c r="J218">
        <f t="shared" si="7"/>
        <v>-18.202287208259804</v>
      </c>
    </row>
    <row r="219" spans="1:10">
      <c r="A219" s="1">
        <v>45776</v>
      </c>
      <c r="B219">
        <f>(3/(1+('CurrentPor-Equ Factor Movements'!C219)/100)+103/POWER(1+('CurrentPor-Equ Factor Movements'!D219)/100,2))*100</f>
        <v>9707.5857774288397</v>
      </c>
      <c r="C219">
        <f>(3/(1+('CurrentPor-Equ Factor Movements'!C219+'CurrentPor-Equ Factor Movements'!G219)/100)+103/POWER(1+('CurrentPor-Equ Factor Movements'!D219+'CurrentPor-Equ Factor Movements'!G219)/100,2))*100</f>
        <v>9618.1345271876089</v>
      </c>
      <c r="D219">
        <f>(3/(1+('CurrentPor-Equ Factor Movements'!C219+'CurrentPor-Equ Factor Movements'!H219)/100)+103/POWER(1+('CurrentPor-Equ Factor Movements'!D219+'CurrentPor-Equ Factor Movements'!H219)/100,2))*100</f>
        <v>9612.3992999632464</v>
      </c>
      <c r="E219">
        <f>(3/(1+('CurrentPor-Equ Factor Movements'!C219+'CurrentPor-Equ Factor Movements'!I219)/100)+103/POWER(1+('CurrentPor-Equ Factor Movements'!D219+'CurrentPor-Equ Factor Movements'!I219)/100,2))*100</f>
        <v>9583.07679334557</v>
      </c>
      <c r="F219">
        <f>Portfolio!B$5*'CurrentPor-Equ Factor Movements'!E219</f>
        <v>52143.895533915893</v>
      </c>
      <c r="G219">
        <f>Portfolio!B$6*'CurrentPor-Equ Factor Movements'!F219</f>
        <v>3696.2945087936532</v>
      </c>
      <c r="H219">
        <f>Portfolio!B$7*'CurrentPor-Equ Factor Movements'!J219</f>
        <v>2148.0998964419859</v>
      </c>
      <c r="I219">
        <f t="shared" si="6"/>
        <v>96509.4863370768</v>
      </c>
      <c r="J219">
        <f t="shared" si="7"/>
        <v>19.27542580262525</v>
      </c>
    </row>
    <row r="220" spans="1:10">
      <c r="A220" s="1">
        <v>45777</v>
      </c>
      <c r="B220">
        <f>(3/(1+('CurrentPor-Equ Factor Movements'!C220)/100)+103/POWER(1+('CurrentPor-Equ Factor Movements'!D220)/100,2))*100</f>
        <v>9707.5857774288397</v>
      </c>
      <c r="C220">
        <f>(3/(1+('CurrentPor-Equ Factor Movements'!C220+'CurrentPor-Equ Factor Movements'!G220)/100)+103/POWER(1+('CurrentPor-Equ Factor Movements'!D220+'CurrentPor-Equ Factor Movements'!G220)/100,2))*100</f>
        <v>9617.6570355676286</v>
      </c>
      <c r="D220">
        <f>(3/(1+('CurrentPor-Equ Factor Movements'!C220+'CurrentPor-Equ Factor Movements'!H220)/100)+103/POWER(1+('CurrentPor-Equ Factor Movements'!D220+'CurrentPor-Equ Factor Movements'!H220)/100,2))*100</f>
        <v>9618.824973961664</v>
      </c>
      <c r="E220">
        <f>(3/(1+('CurrentPor-Equ Factor Movements'!C220+'CurrentPor-Equ Factor Movements'!I220)/100)+103/POWER(1+('CurrentPor-Equ Factor Movements'!D220+'CurrentPor-Equ Factor Movements'!I220)/100,2))*100</f>
        <v>9589.0555331349078</v>
      </c>
      <c r="F220">
        <f>Portfolio!B$5*'CurrentPor-Equ Factor Movements'!E220</f>
        <v>52143.895533915893</v>
      </c>
      <c r="G220">
        <f>Portfolio!B$6*'CurrentPor-Equ Factor Movements'!F220</f>
        <v>3696.2945087936532</v>
      </c>
      <c r="H220">
        <f>Portfolio!B$7*'CurrentPor-Equ Factor Movements'!J220</f>
        <v>2148.0998964419859</v>
      </c>
      <c r="I220">
        <f t="shared" si="6"/>
        <v>96521.413259244568</v>
      </c>
      <c r="J220">
        <f t="shared" si="7"/>
        <v>31.357780532867764</v>
      </c>
    </row>
    <row r="221" spans="1:10">
      <c r="A221" s="1">
        <v>45778</v>
      </c>
      <c r="B221">
        <f>(3/(1+('CurrentPor-Equ Factor Movements'!C221)/100)+103/POWER(1+('CurrentPor-Equ Factor Movements'!D221)/100,2))*100</f>
        <v>9707.5857774288397</v>
      </c>
      <c r="C221">
        <f>(3/(1+('CurrentPor-Equ Factor Movements'!C221+'CurrentPor-Equ Factor Movements'!G221)/100)+103/POWER(1+('CurrentPor-Equ Factor Movements'!D221+'CurrentPor-Equ Factor Movements'!G221)/100,2))*100</f>
        <v>9606.0162111308819</v>
      </c>
      <c r="D221">
        <f>(3/(1+('CurrentPor-Equ Factor Movements'!C221+'CurrentPor-Equ Factor Movements'!H221)/100)+103/POWER(1+('CurrentPor-Equ Factor Movements'!D221+'CurrentPor-Equ Factor Movements'!H221)/100,2))*100</f>
        <v>9601.6160256959756</v>
      </c>
      <c r="E221">
        <f>(3/(1+('CurrentPor-Equ Factor Movements'!C221+'CurrentPor-Equ Factor Movements'!I221)/100)+103/POWER(1+('CurrentPor-Equ Factor Movements'!D221+'CurrentPor-Equ Factor Movements'!I221)/100,2))*100</f>
        <v>9602.1762351557063</v>
      </c>
      <c r="F221">
        <f>Portfolio!B$5*'CurrentPor-Equ Factor Movements'!E221</f>
        <v>52143.895533915893</v>
      </c>
      <c r="G221">
        <f>Portfolio!B$6*'CurrentPor-Equ Factor Movements'!F221</f>
        <v>3696.2945087936532</v>
      </c>
      <c r="H221">
        <f>Portfolio!B$7*'CurrentPor-Equ Factor Movements'!J221</f>
        <v>2148.0998964419859</v>
      </c>
      <c r="I221">
        <f t="shared" si="6"/>
        <v>96505.684188562926</v>
      </c>
      <c r="J221">
        <f t="shared" si="7"/>
        <v>11.161194597836584</v>
      </c>
    </row>
    <row r="222" spans="1:10">
      <c r="A222" s="1">
        <v>45779</v>
      </c>
      <c r="B222">
        <f>(3/(1+('CurrentPor-Equ Factor Movements'!C222)/100)+103/POWER(1+('CurrentPor-Equ Factor Movements'!D222)/100,2))*100</f>
        <v>9707.5857774288397</v>
      </c>
      <c r="C222">
        <f>(3/(1+('CurrentPor-Equ Factor Movements'!C222+'CurrentPor-Equ Factor Movements'!G222)/100)+103/POWER(1+('CurrentPor-Equ Factor Movements'!D222+'CurrentPor-Equ Factor Movements'!G222)/100,2))*100</f>
        <v>9605.3545427884947</v>
      </c>
      <c r="D222">
        <f>(3/(1+('CurrentPor-Equ Factor Movements'!C222+'CurrentPor-Equ Factor Movements'!H222)/100)+103/POWER(1+('CurrentPor-Equ Factor Movements'!D222+'CurrentPor-Equ Factor Movements'!H222)/100,2))*100</f>
        <v>9603.2604147304446</v>
      </c>
      <c r="E222">
        <f>(3/(1+('CurrentPor-Equ Factor Movements'!C222+'CurrentPor-Equ Factor Movements'!I222)/100)+103/POWER(1+('CurrentPor-Equ Factor Movements'!D222+'CurrentPor-Equ Factor Movements'!I222)/100,2))*100</f>
        <v>9579.9676664463095</v>
      </c>
      <c r="F222">
        <f>Portfolio!B$5*'CurrentPor-Equ Factor Movements'!E222</f>
        <v>52143.895533915893</v>
      </c>
      <c r="G222">
        <f>Portfolio!B$6*'CurrentPor-Equ Factor Movements'!F222</f>
        <v>3696.2945087936532</v>
      </c>
      <c r="H222">
        <f>Portfolio!B$7*'CurrentPor-Equ Factor Movements'!J222</f>
        <v>2148.0998964419859</v>
      </c>
      <c r="I222">
        <f t="shared" si="6"/>
        <v>96484.458340545621</v>
      </c>
      <c r="J222">
        <f t="shared" si="7"/>
        <v>-4.1608160646428587</v>
      </c>
    </row>
    <row r="223" spans="1:10">
      <c r="A223" s="1">
        <v>45782</v>
      </c>
      <c r="B223">
        <f>(3/(1+('CurrentPor-Equ Factor Movements'!C223)/100)+103/POWER(1+('CurrentPor-Equ Factor Movements'!D223)/100,2))*100</f>
        <v>9707.5857774288397</v>
      </c>
      <c r="C223">
        <f>(3/(1+('CurrentPor-Equ Factor Movements'!C223+'CurrentPor-Equ Factor Movements'!G223)/100)+103/POWER(1+('CurrentPor-Equ Factor Movements'!D223+'CurrentPor-Equ Factor Movements'!G223)/100,2))*100</f>
        <v>9617.7010763719591</v>
      </c>
      <c r="D223">
        <f>(3/(1+('CurrentPor-Equ Factor Movements'!C223+'CurrentPor-Equ Factor Movements'!H223)/100)+103/POWER(1+('CurrentPor-Equ Factor Movements'!D223+'CurrentPor-Equ Factor Movements'!H223)/100,2))*100</f>
        <v>9592.9199905162041</v>
      </c>
      <c r="E223">
        <f>(3/(1+('CurrentPor-Equ Factor Movements'!C223+'CurrentPor-Equ Factor Movements'!I223)/100)+103/POWER(1+('CurrentPor-Equ Factor Movements'!D223+'CurrentPor-Equ Factor Movements'!I223)/100,2))*100</f>
        <v>9580.1346776542978</v>
      </c>
      <c r="F223">
        <f>Portfolio!B$5*'CurrentPor-Equ Factor Movements'!E223</f>
        <v>52143.895533915893</v>
      </c>
      <c r="G223">
        <f>Portfolio!B$6*'CurrentPor-Equ Factor Movements'!F223</f>
        <v>3696.2945087936532</v>
      </c>
      <c r="H223">
        <f>Portfolio!B$7*'CurrentPor-Equ Factor Movements'!J223</f>
        <v>2148.0998964419859</v>
      </c>
      <c r="I223">
        <f t="shared" si="6"/>
        <v>96486.63146112283</v>
      </c>
      <c r="J223">
        <f t="shared" si="7"/>
        <v>-12.685228897607885</v>
      </c>
    </row>
    <row r="224" spans="1:10">
      <c r="A224" s="1">
        <v>45783</v>
      </c>
      <c r="B224">
        <f>(3/(1+('CurrentPor-Equ Factor Movements'!C224)/100)+103/POWER(1+('CurrentPor-Equ Factor Movements'!D224)/100,2))*100</f>
        <v>9707.5857774288397</v>
      </c>
      <c r="C224">
        <f>(3/(1+('CurrentPor-Equ Factor Movements'!C224+'CurrentPor-Equ Factor Movements'!G224)/100)+103/POWER(1+('CurrentPor-Equ Factor Movements'!D224+'CurrentPor-Equ Factor Movements'!G224)/100,2))*100</f>
        <v>9610.9157877357793</v>
      </c>
      <c r="D224">
        <f>(3/(1+('CurrentPor-Equ Factor Movements'!C224+'CurrentPor-Equ Factor Movements'!H224)/100)+103/POWER(1+('CurrentPor-Equ Factor Movements'!D224+'CurrentPor-Equ Factor Movements'!H224)/100,2))*100</f>
        <v>9599.7539439954089</v>
      </c>
      <c r="E224">
        <f>(3/(1+('CurrentPor-Equ Factor Movements'!C224+'CurrentPor-Equ Factor Movements'!I224)/100)+103/POWER(1+('CurrentPor-Equ Factor Movements'!D224+'CurrentPor-Equ Factor Movements'!I224)/100,2))*100</f>
        <v>9575.7117053808579</v>
      </c>
      <c r="F224">
        <f>Portfolio!B$5*'CurrentPor-Equ Factor Movements'!E224</f>
        <v>52143.895533915893</v>
      </c>
      <c r="G224">
        <f>Portfolio!B$6*'CurrentPor-Equ Factor Movements'!F224</f>
        <v>3696.2945087936532</v>
      </c>
      <c r="H224">
        <f>Portfolio!B$7*'CurrentPor-Equ Factor Movements'!J224</f>
        <v>2148.0998964419859</v>
      </c>
      <c r="I224">
        <f t="shared" si="6"/>
        <v>96482.257153692408</v>
      </c>
      <c r="J224">
        <f t="shared" si="7"/>
        <v>14.271883061897825</v>
      </c>
    </row>
    <row r="225" spans="1:10">
      <c r="A225" s="1">
        <v>45784</v>
      </c>
      <c r="B225">
        <f>(3/(1+('CurrentPor-Equ Factor Movements'!C225)/100)+103/POWER(1+('CurrentPor-Equ Factor Movements'!D225)/100,2))*100</f>
        <v>9707.5857774288397</v>
      </c>
      <c r="C225">
        <f>(3/(1+('CurrentPor-Equ Factor Movements'!C225+'CurrentPor-Equ Factor Movements'!G225)/100)+103/POWER(1+('CurrentPor-Equ Factor Movements'!D225+'CurrentPor-Equ Factor Movements'!G225)/100,2))*100</f>
        <v>9621.9859377504836</v>
      </c>
      <c r="D225">
        <f>(3/(1+('CurrentPor-Equ Factor Movements'!C225+'CurrentPor-Equ Factor Movements'!H225)/100)+103/POWER(1+('CurrentPor-Equ Factor Movements'!D225+'CurrentPor-Equ Factor Movements'!H225)/100,2))*100</f>
        <v>9600.1719729848392</v>
      </c>
      <c r="E225">
        <f>(3/(1+('CurrentPor-Equ Factor Movements'!C225+'CurrentPor-Equ Factor Movements'!I225)/100)+103/POWER(1+('CurrentPor-Equ Factor Movements'!D225+'CurrentPor-Equ Factor Movements'!I225)/100,2))*100</f>
        <v>9586.7872422010187</v>
      </c>
      <c r="F225">
        <f>Portfolio!B$5*'CurrentPor-Equ Factor Movements'!E225</f>
        <v>52143.895533915893</v>
      </c>
      <c r="G225">
        <f>Portfolio!B$6*'CurrentPor-Equ Factor Movements'!F225</f>
        <v>3696.2945087936532</v>
      </c>
      <c r="H225">
        <f>Portfolio!B$7*'CurrentPor-Equ Factor Movements'!J225</f>
        <v>2148.0998964419859</v>
      </c>
      <c r="I225">
        <f t="shared" si="6"/>
        <v>96504.820869516712</v>
      </c>
      <c r="J225">
        <f t="shared" si="7"/>
        <v>11.699466797086643</v>
      </c>
    </row>
    <row r="226" spans="1:10">
      <c r="A226" s="1">
        <v>45785</v>
      </c>
      <c r="B226">
        <f>(3/(1+('CurrentPor-Equ Factor Movements'!C226)/100)+103/POWER(1+('CurrentPor-Equ Factor Movements'!D226)/100,2))*100</f>
        <v>9707.5857774288397</v>
      </c>
      <c r="C226">
        <f>(3/(1+('CurrentPor-Equ Factor Movements'!C226+'CurrentPor-Equ Factor Movements'!G226)/100)+103/POWER(1+('CurrentPor-Equ Factor Movements'!D226+'CurrentPor-Equ Factor Movements'!G226)/100,2))*100</f>
        <v>9609.5511586294324</v>
      </c>
      <c r="D226">
        <f>(3/(1+('CurrentPor-Equ Factor Movements'!C226+'CurrentPor-Equ Factor Movements'!H226)/100)+103/POWER(1+('CurrentPor-Equ Factor Movements'!D226+'CurrentPor-Equ Factor Movements'!H226)/100,2))*100</f>
        <v>9597.8051680672215</v>
      </c>
      <c r="E226">
        <f>(3/(1+('CurrentPor-Equ Factor Movements'!C226+'CurrentPor-Equ Factor Movements'!I226)/100)+103/POWER(1+('CurrentPor-Equ Factor Movements'!D226+'CurrentPor-Equ Factor Movements'!I226)/100,2))*100</f>
        <v>9589.0739632985569</v>
      </c>
      <c r="F226">
        <f>Portfolio!B$5*'CurrentPor-Equ Factor Movements'!E226</f>
        <v>52143.895533915893</v>
      </c>
      <c r="G226">
        <f>Portfolio!B$6*'CurrentPor-Equ Factor Movements'!F226</f>
        <v>3696.2945087936532</v>
      </c>
      <c r="H226">
        <f>Portfolio!B$7*'CurrentPor-Equ Factor Movements'!J226</f>
        <v>2148.0998964419859</v>
      </c>
      <c r="I226">
        <f t="shared" si="6"/>
        <v>96492.306006575571</v>
      </c>
      <c r="J226">
        <f t="shared" si="7"/>
        <v>28.944078606524272</v>
      </c>
    </row>
    <row r="227" spans="1:10">
      <c r="A227" s="1">
        <v>45786</v>
      </c>
      <c r="B227">
        <f>(3/(1+('CurrentPor-Equ Factor Movements'!C227)/100)+103/POWER(1+('CurrentPor-Equ Factor Movements'!D227)/100,2))*100</f>
        <v>9707.5857774288397</v>
      </c>
      <c r="C227">
        <f>(3/(1+('CurrentPor-Equ Factor Movements'!C227+'CurrentPor-Equ Factor Movements'!G227)/100)+103/POWER(1+('CurrentPor-Equ Factor Movements'!D227+'CurrentPor-Equ Factor Movements'!G227)/100,2))*100</f>
        <v>9600.4849750547073</v>
      </c>
      <c r="D227">
        <f>(3/(1+('CurrentPor-Equ Factor Movements'!C227+'CurrentPor-Equ Factor Movements'!H227)/100)+103/POWER(1+('CurrentPor-Equ Factor Movements'!D227+'CurrentPor-Equ Factor Movements'!H227)/100,2))*100</f>
        <v>9609.1248870239269</v>
      </c>
      <c r="E227">
        <f>(3/(1+('CurrentPor-Equ Factor Movements'!C227+'CurrentPor-Equ Factor Movements'!I227)/100)+103/POWER(1+('CurrentPor-Equ Factor Movements'!D227+'CurrentPor-Equ Factor Movements'!I227)/100,2))*100</f>
        <v>9592.5744248146493</v>
      </c>
      <c r="F227">
        <f>Portfolio!B$5*'CurrentPor-Equ Factor Movements'!E227</f>
        <v>52143.895533915893</v>
      </c>
      <c r="G227">
        <f>Portfolio!B$6*'CurrentPor-Equ Factor Movements'!F227</f>
        <v>3696.2945087936532</v>
      </c>
      <c r="H227">
        <f>Portfolio!B$7*'CurrentPor-Equ Factor Movements'!J227</f>
        <v>2148.0998964419859</v>
      </c>
      <c r="I227">
        <f t="shared" si="6"/>
        <v>96498.060003473656</v>
      </c>
      <c r="J227">
        <f t="shared" si="7"/>
        <v>11.269380216253921</v>
      </c>
    </row>
    <row r="228" spans="1:10">
      <c r="A228" s="1">
        <v>45789</v>
      </c>
      <c r="B228">
        <f>(3/(1+('CurrentPor-Equ Factor Movements'!C228)/100)+103/POWER(1+('CurrentPor-Equ Factor Movements'!D228)/100,2))*100</f>
        <v>9707.5857774288397</v>
      </c>
      <c r="C228">
        <f>(3/(1+('CurrentPor-Equ Factor Movements'!C228+'CurrentPor-Equ Factor Movements'!G228)/100)+103/POWER(1+('CurrentPor-Equ Factor Movements'!D228+'CurrentPor-Equ Factor Movements'!G228)/100,2))*100</f>
        <v>9616.6987850668447</v>
      </c>
      <c r="D228">
        <f>(3/(1+('CurrentPor-Equ Factor Movements'!C228+'CurrentPor-Equ Factor Movements'!H228)/100)+103/POWER(1+('CurrentPor-Equ Factor Movements'!D228+'CurrentPor-Equ Factor Movements'!H228)/100,2))*100</f>
        <v>9612.9573344534037</v>
      </c>
      <c r="E228">
        <f>(3/(1+('CurrentPor-Equ Factor Movements'!C228+'CurrentPor-Equ Factor Movements'!I228)/100)+103/POWER(1+('CurrentPor-Equ Factor Movements'!D228+'CurrentPor-Equ Factor Movements'!I228)/100,2))*100</f>
        <v>9608.1366977708349</v>
      </c>
      <c r="F228">
        <f>Portfolio!B$5*'CurrentPor-Equ Factor Movements'!E228</f>
        <v>52143.895533915893</v>
      </c>
      <c r="G228">
        <f>Portfolio!B$6*'CurrentPor-Equ Factor Movements'!F228</f>
        <v>3696.2945087936532</v>
      </c>
      <c r="H228">
        <f>Portfolio!B$7*'CurrentPor-Equ Factor Movements'!J228</f>
        <v>2148.0998964419859</v>
      </c>
      <c r="I228">
        <f t="shared" si="6"/>
        <v>96533.66853387146</v>
      </c>
      <c r="J228">
        <f t="shared" si="7"/>
        <v>66.73408963510883</v>
      </c>
    </row>
    <row r="229" spans="1:10">
      <c r="A229" s="1">
        <v>45790</v>
      </c>
      <c r="B229">
        <f>(3/(1+('CurrentPor-Equ Factor Movements'!C229)/100)+103/POWER(1+('CurrentPor-Equ Factor Movements'!D229)/100,2))*100</f>
        <v>9707.5857774288397</v>
      </c>
      <c r="C229">
        <f>(3/(1+('CurrentPor-Equ Factor Movements'!C229+'CurrentPor-Equ Factor Movements'!G229)/100)+103/POWER(1+('CurrentPor-Equ Factor Movements'!D229+'CurrentPor-Equ Factor Movements'!G229)/100,2))*100</f>
        <v>9613.3823110330104</v>
      </c>
      <c r="D229">
        <f>(3/(1+('CurrentPor-Equ Factor Movements'!C229+'CurrentPor-Equ Factor Movements'!H229)/100)+103/POWER(1+('CurrentPor-Equ Factor Movements'!D229+'CurrentPor-Equ Factor Movements'!H229)/100,2))*100</f>
        <v>9592.4972756452225</v>
      </c>
      <c r="E229">
        <f>(3/(1+('CurrentPor-Equ Factor Movements'!C229+'CurrentPor-Equ Factor Movements'!I229)/100)+103/POWER(1+('CurrentPor-Equ Factor Movements'!D229+'CurrentPor-Equ Factor Movements'!I229)/100,2))*100</f>
        <v>9604.3911890708969</v>
      </c>
      <c r="F229">
        <f>Portfolio!B$5*'CurrentPor-Equ Factor Movements'!E229</f>
        <v>52143.895533915893</v>
      </c>
      <c r="G229">
        <f>Portfolio!B$6*'CurrentPor-Equ Factor Movements'!F229</f>
        <v>3696.2945087936532</v>
      </c>
      <c r="H229">
        <f>Portfolio!B$7*'CurrentPor-Equ Factor Movements'!J229</f>
        <v>2148.0998964419859</v>
      </c>
      <c r="I229">
        <f t="shared" si="6"/>
        <v>96506.146492329499</v>
      </c>
      <c r="J229">
        <f t="shared" si="7"/>
        <v>-3.3398447473009583</v>
      </c>
    </row>
    <row r="230" spans="1:10">
      <c r="A230" s="1">
        <v>45791</v>
      </c>
      <c r="B230">
        <f>(3/(1+('CurrentPor-Equ Factor Movements'!C230)/100)+103/POWER(1+('CurrentPor-Equ Factor Movements'!D230)/100,2))*100</f>
        <v>9707.5857774288397</v>
      </c>
      <c r="C230">
        <f>(3/(1+('CurrentPor-Equ Factor Movements'!C230+'CurrentPor-Equ Factor Movements'!G230)/100)+103/POWER(1+('CurrentPor-Equ Factor Movements'!D230+'CurrentPor-Equ Factor Movements'!G230)/100,2))*100</f>
        <v>9610.3148162799589</v>
      </c>
      <c r="D230">
        <f>(3/(1+('CurrentPor-Equ Factor Movements'!C230+'CurrentPor-Equ Factor Movements'!H230)/100)+103/POWER(1+('CurrentPor-Equ Factor Movements'!D230+'CurrentPor-Equ Factor Movements'!H230)/100,2))*100</f>
        <v>9578.105454624294</v>
      </c>
      <c r="E230">
        <f>(3/(1+('CurrentPor-Equ Factor Movements'!C230+'CurrentPor-Equ Factor Movements'!I230)/100)+103/POWER(1+('CurrentPor-Equ Factor Movements'!D230+'CurrentPor-Equ Factor Movements'!I230)/100,2))*100</f>
        <v>9579.7086211593887</v>
      </c>
      <c r="F230">
        <f>Portfolio!B$5*'CurrentPor-Equ Factor Movements'!E230</f>
        <v>52143.895533915893</v>
      </c>
      <c r="G230">
        <f>Portfolio!B$6*'CurrentPor-Equ Factor Movements'!F230</f>
        <v>3696.2945087936532</v>
      </c>
      <c r="H230">
        <f>Portfolio!B$7*'CurrentPor-Equ Factor Movements'!J230</f>
        <v>2148.0998964419859</v>
      </c>
      <c r="I230">
        <f t="shared" si="6"/>
        <v>96464.004608644012</v>
      </c>
      <c r="J230">
        <f t="shared" si="7"/>
        <v>-57.40865060055512</v>
      </c>
    </row>
    <row r="231" spans="1:10">
      <c r="A231" s="1">
        <v>45792</v>
      </c>
      <c r="B231">
        <f>(3/(1+('CurrentPor-Equ Factor Movements'!C231)/100)+103/POWER(1+('CurrentPor-Equ Factor Movements'!D231)/100,2))*100</f>
        <v>9707.5857774288397</v>
      </c>
      <c r="C231">
        <f>(3/(1+('CurrentPor-Equ Factor Movements'!C231+'CurrentPor-Equ Factor Movements'!G231)/100)+103/POWER(1+('CurrentPor-Equ Factor Movements'!D231+'CurrentPor-Equ Factor Movements'!G231)/100,2))*100</f>
        <v>9609.2894436580409</v>
      </c>
      <c r="D231">
        <f>(3/(1+('CurrentPor-Equ Factor Movements'!C231+'CurrentPor-Equ Factor Movements'!H231)/100)+103/POWER(1+('CurrentPor-Equ Factor Movements'!D231+'CurrentPor-Equ Factor Movements'!H231)/100,2))*100</f>
        <v>9595.3554930720566</v>
      </c>
      <c r="E231">
        <f>(3/(1+('CurrentPor-Equ Factor Movements'!C231+'CurrentPor-Equ Factor Movements'!I231)/100)+103/POWER(1+('CurrentPor-Equ Factor Movements'!D231+'CurrentPor-Equ Factor Movements'!I231)/100,2))*100</f>
        <v>9601.3268974643361</v>
      </c>
      <c r="F231">
        <f>Portfolio!B$5*'CurrentPor-Equ Factor Movements'!E231</f>
        <v>52143.895533915893</v>
      </c>
      <c r="G231">
        <f>Portfolio!B$6*'CurrentPor-Equ Factor Movements'!F231</f>
        <v>3696.2945087936532</v>
      </c>
      <c r="H231">
        <f>Portfolio!B$7*'CurrentPor-Equ Factor Movements'!J231</f>
        <v>2148.0998964419859</v>
      </c>
      <c r="I231">
        <f t="shared" si="6"/>
        <v>96501.847550774793</v>
      </c>
      <c r="J231">
        <f t="shared" si="7"/>
        <v>-3.8366377881320659</v>
      </c>
    </row>
    <row r="232" spans="1:10">
      <c r="A232" s="1">
        <v>45793</v>
      </c>
      <c r="B232">
        <f>(3/(1+('CurrentPor-Equ Factor Movements'!C232)/100)+103/POWER(1+('CurrentPor-Equ Factor Movements'!D232)/100,2))*100</f>
        <v>9707.5857774288397</v>
      </c>
      <c r="C232">
        <f>(3/(1+('CurrentPor-Equ Factor Movements'!C232+'CurrentPor-Equ Factor Movements'!G232)/100)+103/POWER(1+('CurrentPor-Equ Factor Movements'!D232+'CurrentPor-Equ Factor Movements'!G232)/100,2))*100</f>
        <v>9617.1018104964878</v>
      </c>
      <c r="D232">
        <f>(3/(1+('CurrentPor-Equ Factor Movements'!C232+'CurrentPor-Equ Factor Movements'!H232)/100)+103/POWER(1+('CurrentPor-Equ Factor Movements'!D232+'CurrentPor-Equ Factor Movements'!H232)/100,2))*100</f>
        <v>9609.6272170161847</v>
      </c>
      <c r="E232">
        <f>(3/(1+('CurrentPor-Equ Factor Movements'!C232+'CurrentPor-Equ Factor Movements'!I232)/100)+103/POWER(1+('CurrentPor-Equ Factor Movements'!D232+'CurrentPor-Equ Factor Movements'!I232)/100,2))*100</f>
        <v>9581.9690737215078</v>
      </c>
      <c r="F232">
        <f>Portfolio!B$5*'CurrentPor-Equ Factor Movements'!E232</f>
        <v>52143.895533915893</v>
      </c>
      <c r="G232">
        <f>Portfolio!B$6*'CurrentPor-Equ Factor Movements'!F232</f>
        <v>3696.2945087936532</v>
      </c>
      <c r="H232">
        <f>Portfolio!B$7*'CurrentPor-Equ Factor Movements'!J232</f>
        <v>2148.0998964419859</v>
      </c>
      <c r="I232">
        <f t="shared" si="6"/>
        <v>96504.57381781454</v>
      </c>
      <c r="J232">
        <f t="shared" si="7"/>
        <v>20.115477268918767</v>
      </c>
    </row>
    <row r="233" spans="1:10">
      <c r="A233" s="1">
        <v>45796</v>
      </c>
      <c r="B233">
        <f>(3/(1+('CurrentPor-Equ Factor Movements'!C233)/100)+103/POWER(1+('CurrentPor-Equ Factor Movements'!D233)/100,2))*100</f>
        <v>9707.5857774288397</v>
      </c>
      <c r="C233">
        <f>(3/(1+('CurrentPor-Equ Factor Movements'!C233+'CurrentPor-Equ Factor Movements'!G233)/100)+103/POWER(1+('CurrentPor-Equ Factor Movements'!D233+'CurrentPor-Equ Factor Movements'!G233)/100,2))*100</f>
        <v>9610.4889415979742</v>
      </c>
      <c r="D233">
        <f>(3/(1+('CurrentPor-Equ Factor Movements'!C233+'CurrentPor-Equ Factor Movements'!H233)/100)+103/POWER(1+('CurrentPor-Equ Factor Movements'!D233+'CurrentPor-Equ Factor Movements'!H233)/100,2))*100</f>
        <v>9590.5172816951799</v>
      </c>
      <c r="E233">
        <f>(3/(1+('CurrentPor-Equ Factor Movements'!C233+'CurrentPor-Equ Factor Movements'!I233)/100)+103/POWER(1+('CurrentPor-Equ Factor Movements'!D233+'CurrentPor-Equ Factor Movements'!I233)/100,2))*100</f>
        <v>9569.2267198995778</v>
      </c>
      <c r="F233">
        <f>Portfolio!B$5*'CurrentPor-Equ Factor Movements'!E233</f>
        <v>52143.895533915893</v>
      </c>
      <c r="G233">
        <f>Portfolio!B$6*'CurrentPor-Equ Factor Movements'!F233</f>
        <v>3696.2945087936532</v>
      </c>
      <c r="H233">
        <f>Portfolio!B$7*'CurrentPor-Equ Factor Movements'!J233</f>
        <v>2148.0998964419859</v>
      </c>
      <c r="I233">
        <f t="shared" si="6"/>
        <v>96466.108659773105</v>
      </c>
      <c r="J233">
        <f t="shared" si="7"/>
        <v>-20.522801349725341</v>
      </c>
    </row>
    <row r="234" spans="1:10">
      <c r="A234" s="1">
        <v>45797</v>
      </c>
      <c r="B234">
        <f>(3/(1+('CurrentPor-Equ Factor Movements'!C234)/100)+103/POWER(1+('CurrentPor-Equ Factor Movements'!D234)/100,2))*100</f>
        <v>9707.5857774288397</v>
      </c>
      <c r="C234">
        <f>(3/(1+('CurrentPor-Equ Factor Movements'!C234+'CurrentPor-Equ Factor Movements'!G234)/100)+103/POWER(1+('CurrentPor-Equ Factor Movements'!D234+'CurrentPor-Equ Factor Movements'!G234)/100,2))*100</f>
        <v>9621.1739891568268</v>
      </c>
      <c r="D234">
        <f>(3/(1+('CurrentPor-Equ Factor Movements'!C234+'CurrentPor-Equ Factor Movements'!H234)/100)+103/POWER(1+('CurrentPor-Equ Factor Movements'!D234+'CurrentPor-Equ Factor Movements'!H234)/100,2))*100</f>
        <v>9597.9623464855722</v>
      </c>
      <c r="E234">
        <f>(3/(1+('CurrentPor-Equ Factor Movements'!C234+'CurrentPor-Equ Factor Movements'!I234)/100)+103/POWER(1+('CurrentPor-Equ Factor Movements'!D234+'CurrentPor-Equ Factor Movements'!I234)/100,2))*100</f>
        <v>9581.4267616700872</v>
      </c>
      <c r="F234">
        <f>Portfolio!B$5*'CurrentPor-Equ Factor Movements'!E234</f>
        <v>52143.895533915893</v>
      </c>
      <c r="G234">
        <f>Portfolio!B$6*'CurrentPor-Equ Factor Movements'!F234</f>
        <v>3696.2945087936532</v>
      </c>
      <c r="H234">
        <f>Portfolio!B$7*'CurrentPor-Equ Factor Movements'!J234</f>
        <v>2148.0998964419859</v>
      </c>
      <c r="I234">
        <f t="shared" si="6"/>
        <v>96496.438813892848</v>
      </c>
      <c r="J234">
        <f t="shared" si="7"/>
        <v>14.181660200440092</v>
      </c>
    </row>
    <row r="235" spans="1:10">
      <c r="A235" s="1">
        <v>45798</v>
      </c>
      <c r="B235">
        <f>(3/(1+('CurrentPor-Equ Factor Movements'!C235)/100)+103/POWER(1+('CurrentPor-Equ Factor Movements'!D235)/100,2))*100</f>
        <v>9707.5857774288397</v>
      </c>
      <c r="C235">
        <f>(3/(1+('CurrentPor-Equ Factor Movements'!C235+'CurrentPor-Equ Factor Movements'!G235)/100)+103/POWER(1+('CurrentPor-Equ Factor Movements'!D235+'CurrentPor-Equ Factor Movements'!G235)/100,2))*100</f>
        <v>9610.7119523746369</v>
      </c>
      <c r="D235">
        <f>(3/(1+('CurrentPor-Equ Factor Movements'!C235+'CurrentPor-Equ Factor Movements'!H235)/100)+103/POWER(1+('CurrentPor-Equ Factor Movements'!D235+'CurrentPor-Equ Factor Movements'!H235)/100,2))*100</f>
        <v>9592.122274024674</v>
      </c>
      <c r="E235">
        <f>(3/(1+('CurrentPor-Equ Factor Movements'!C235+'CurrentPor-Equ Factor Movements'!I235)/100)+103/POWER(1+('CurrentPor-Equ Factor Movements'!D235+'CurrentPor-Equ Factor Movements'!I235)/100,2))*100</f>
        <v>9595.6029597249562</v>
      </c>
      <c r="F235">
        <f>Portfolio!B$5*'CurrentPor-Equ Factor Movements'!E235</f>
        <v>52143.895533915893</v>
      </c>
      <c r="G235">
        <f>Portfolio!B$6*'CurrentPor-Equ Factor Movements'!F235</f>
        <v>3696.2945087936532</v>
      </c>
      <c r="H235">
        <f>Portfolio!B$7*'CurrentPor-Equ Factor Movements'!J235</f>
        <v>2148.0998964419859</v>
      </c>
      <c r="I235">
        <f t="shared" si="6"/>
        <v>96494.312902704638</v>
      </c>
      <c r="J235">
        <f t="shared" si="7"/>
        <v>-10.507966812074301</v>
      </c>
    </row>
    <row r="236" spans="1:10">
      <c r="A236" s="1">
        <v>45799</v>
      </c>
      <c r="B236">
        <f>(3/(1+('CurrentPor-Equ Factor Movements'!C236)/100)+103/POWER(1+('CurrentPor-Equ Factor Movements'!D236)/100,2))*100</f>
        <v>9707.5857774288397</v>
      </c>
      <c r="C236">
        <f>(3/(1+('CurrentPor-Equ Factor Movements'!C236+'CurrentPor-Equ Factor Movements'!G236)/100)+103/POWER(1+('CurrentPor-Equ Factor Movements'!D236+'CurrentPor-Equ Factor Movements'!G236)/100,2))*100</f>
        <v>9624.0740918768715</v>
      </c>
      <c r="D236">
        <f>(3/(1+('CurrentPor-Equ Factor Movements'!C236+'CurrentPor-Equ Factor Movements'!H236)/100)+103/POWER(1+('CurrentPor-Equ Factor Movements'!D236+'CurrentPor-Equ Factor Movements'!H236)/100,2))*100</f>
        <v>9595.5558428866134</v>
      </c>
      <c r="E236">
        <f>(3/(1+('CurrentPor-Equ Factor Movements'!C236+'CurrentPor-Equ Factor Movements'!I236)/100)+103/POWER(1+('CurrentPor-Equ Factor Movements'!D236+'CurrentPor-Equ Factor Movements'!I236)/100,2))*100</f>
        <v>9579.699866358982</v>
      </c>
      <c r="F236">
        <f>Portfolio!B$5*'CurrentPor-Equ Factor Movements'!E236</f>
        <v>52143.895533915893</v>
      </c>
      <c r="G236">
        <f>Portfolio!B$6*'CurrentPor-Equ Factor Movements'!F236</f>
        <v>3696.2945087936532</v>
      </c>
      <c r="H236">
        <f>Portfolio!B$7*'CurrentPor-Equ Factor Movements'!J236</f>
        <v>2148.0998964419859</v>
      </c>
      <c r="I236">
        <f t="shared" si="6"/>
        <v>96495.205517702838</v>
      </c>
      <c r="J236">
        <f t="shared" si="7"/>
        <v>2.8995111272670329</v>
      </c>
    </row>
    <row r="237" spans="1:10">
      <c r="A237" s="1">
        <v>45800</v>
      </c>
      <c r="B237">
        <f>(3/(1+('CurrentPor-Equ Factor Movements'!C237)/100)+103/POWER(1+('CurrentPor-Equ Factor Movements'!D237)/100,2))*100</f>
        <v>9707.5857774288397</v>
      </c>
      <c r="C237">
        <f>(3/(1+('CurrentPor-Equ Factor Movements'!C237+'CurrentPor-Equ Factor Movements'!G237)/100)+103/POWER(1+('CurrentPor-Equ Factor Movements'!D237+'CurrentPor-Equ Factor Movements'!G237)/100,2))*100</f>
        <v>9624.9180801302864</v>
      </c>
      <c r="D237">
        <f>(3/(1+('CurrentPor-Equ Factor Movements'!C237+'CurrentPor-Equ Factor Movements'!H237)/100)+103/POWER(1+('CurrentPor-Equ Factor Movements'!D237+'CurrentPor-Equ Factor Movements'!H237)/100,2))*100</f>
        <v>9573.6898972544241</v>
      </c>
      <c r="E237">
        <f>(3/(1+('CurrentPor-Equ Factor Movements'!C237+'CurrentPor-Equ Factor Movements'!I237)/100)+103/POWER(1+('CurrentPor-Equ Factor Movements'!D237+'CurrentPor-Equ Factor Movements'!I237)/100,2))*100</f>
        <v>9570.9461275553749</v>
      </c>
      <c r="F237">
        <f>Portfolio!B$5*'CurrentPor-Equ Factor Movements'!E237</f>
        <v>52143.895533915893</v>
      </c>
      <c r="G237">
        <f>Portfolio!B$6*'CurrentPor-Equ Factor Movements'!F237</f>
        <v>3696.2945087936532</v>
      </c>
      <c r="H237">
        <f>Portfolio!B$7*'CurrentPor-Equ Factor Movements'!J237</f>
        <v>2148.0998964419859</v>
      </c>
      <c r="I237">
        <f t="shared" si="6"/>
        <v>96465.429821520447</v>
      </c>
      <c r="J237">
        <f t="shared" si="7"/>
        <v>-32.630181953209103</v>
      </c>
    </row>
    <row r="238" spans="1:10">
      <c r="A238" s="1">
        <v>45803</v>
      </c>
      <c r="B238">
        <f>(3/(1+('CurrentPor-Equ Factor Movements'!C238)/100)+103/POWER(1+('CurrentPor-Equ Factor Movements'!D238)/100,2))*100</f>
        <v>9707.5857774288397</v>
      </c>
      <c r="C238">
        <f>(3/(1+('CurrentPor-Equ Factor Movements'!C238+'CurrentPor-Equ Factor Movements'!G238)/100)+103/POWER(1+('CurrentPor-Equ Factor Movements'!D238+'CurrentPor-Equ Factor Movements'!G238)/100,2))*100</f>
        <v>9599.4296730716196</v>
      </c>
      <c r="D238">
        <f>(3/(1+('CurrentPor-Equ Factor Movements'!C238+'CurrentPor-Equ Factor Movements'!H238)/100)+103/POWER(1+('CurrentPor-Equ Factor Movements'!D238+'CurrentPor-Equ Factor Movements'!H238)/100,2))*100</f>
        <v>9606.626461151207</v>
      </c>
      <c r="E238">
        <f>(3/(1+('CurrentPor-Equ Factor Movements'!C238+'CurrentPor-Equ Factor Movements'!I238)/100)+103/POWER(1+('CurrentPor-Equ Factor Movements'!D238+'CurrentPor-Equ Factor Movements'!I238)/100,2))*100</f>
        <v>9573.4998134274629</v>
      </c>
      <c r="F238">
        <f>Portfolio!B$5*'CurrentPor-Equ Factor Movements'!E238</f>
        <v>52143.895533915893</v>
      </c>
      <c r="G238">
        <f>Portfolio!B$6*'CurrentPor-Equ Factor Movements'!F238</f>
        <v>3696.2945087936532</v>
      </c>
      <c r="H238">
        <f>Portfolio!B$7*'CurrentPor-Equ Factor Movements'!J238</f>
        <v>2148.0998964419859</v>
      </c>
      <c r="I238">
        <f t="shared" si="6"/>
        <v>96475.431664230666</v>
      </c>
      <c r="J238">
        <f t="shared" si="7"/>
        <v>-58.236869640793884</v>
      </c>
    </row>
    <row r="239" spans="1:10">
      <c r="A239" s="1">
        <v>45804</v>
      </c>
      <c r="B239">
        <f>(3/(1+('CurrentPor-Equ Factor Movements'!C239)/100)+103/POWER(1+('CurrentPor-Equ Factor Movements'!D239)/100,2))*100</f>
        <v>9707.5857774288397</v>
      </c>
      <c r="C239">
        <f>(3/(1+('CurrentPor-Equ Factor Movements'!C239+'CurrentPor-Equ Factor Movements'!G239)/100)+103/POWER(1+('CurrentPor-Equ Factor Movements'!D239+'CurrentPor-Equ Factor Movements'!G239)/100,2))*100</f>
        <v>9610.1684700564056</v>
      </c>
      <c r="D239">
        <f>(3/(1+('CurrentPor-Equ Factor Movements'!C239+'CurrentPor-Equ Factor Movements'!H239)/100)+103/POWER(1+('CurrentPor-Equ Factor Movements'!D239+'CurrentPor-Equ Factor Movements'!H239)/100,2))*100</f>
        <v>9606.6661210218208</v>
      </c>
      <c r="E239">
        <f>(3/(1+('CurrentPor-Equ Factor Movements'!C239+'CurrentPor-Equ Factor Movements'!I239)/100)+103/POWER(1+('CurrentPor-Equ Factor Movements'!D239+'CurrentPor-Equ Factor Movements'!I239)/100,2))*100</f>
        <v>9542.1363574169991</v>
      </c>
      <c r="F239">
        <f>Portfolio!B$5*'CurrentPor-Equ Factor Movements'!E239</f>
        <v>52143.895533915893</v>
      </c>
      <c r="G239">
        <f>Portfolio!B$6*'CurrentPor-Equ Factor Movements'!F239</f>
        <v>3696.2945087936532</v>
      </c>
      <c r="H239">
        <f>Portfolio!B$7*'CurrentPor-Equ Factor Movements'!J239</f>
        <v>2148.0998964419859</v>
      </c>
      <c r="I239">
        <f t="shared" si="6"/>
        <v>96454.846665075587</v>
      </c>
      <c r="J239">
        <f t="shared" si="7"/>
        <v>-51.299827253911644</v>
      </c>
    </row>
    <row r="240" spans="1:10">
      <c r="A240" s="1">
        <v>45805</v>
      </c>
      <c r="B240">
        <f>(3/(1+('CurrentPor-Equ Factor Movements'!C240)/100)+103/POWER(1+('CurrentPor-Equ Factor Movements'!D240)/100,2))*100</f>
        <v>9707.5857774288397</v>
      </c>
      <c r="C240">
        <f>(3/(1+('CurrentPor-Equ Factor Movements'!C240+'CurrentPor-Equ Factor Movements'!G240)/100)+103/POWER(1+('CurrentPor-Equ Factor Movements'!D240+'CurrentPor-Equ Factor Movements'!G240)/100,2))*100</f>
        <v>9618.99459687116</v>
      </c>
      <c r="D240">
        <f>(3/(1+('CurrentPor-Equ Factor Movements'!C240+'CurrentPor-Equ Factor Movements'!H240)/100)+103/POWER(1+('CurrentPor-Equ Factor Movements'!D240+'CurrentPor-Equ Factor Movements'!H240)/100,2))*100</f>
        <v>9587.7124416595288</v>
      </c>
      <c r="E240">
        <f>(3/(1+('CurrentPor-Equ Factor Movements'!C240+'CurrentPor-Equ Factor Movements'!I240)/100)+103/POWER(1+('CurrentPor-Equ Factor Movements'!D240+'CurrentPor-Equ Factor Movements'!I240)/100,2))*100</f>
        <v>9588.3540548551664</v>
      </c>
      <c r="F240">
        <f>Portfolio!B$5*'CurrentPor-Equ Factor Movements'!E240</f>
        <v>52143.895533915893</v>
      </c>
      <c r="G240">
        <f>Portfolio!B$6*'CurrentPor-Equ Factor Movements'!F240</f>
        <v>3696.2945087936532</v>
      </c>
      <c r="H240">
        <f>Portfolio!B$7*'CurrentPor-Equ Factor Movements'!J240</f>
        <v>2148.0998964419859</v>
      </c>
      <c r="I240">
        <f t="shared" si="6"/>
        <v>96490.936809966224</v>
      </c>
      <c r="J240">
        <f t="shared" si="7"/>
        <v>26.932201322211768</v>
      </c>
    </row>
    <row r="241" spans="1:10">
      <c r="A241" s="1">
        <v>45806</v>
      </c>
      <c r="B241">
        <f>(3/(1+('CurrentPor-Equ Factor Movements'!C241)/100)+103/POWER(1+('CurrentPor-Equ Factor Movements'!D241)/100,2))*100</f>
        <v>9707.5857774288397</v>
      </c>
      <c r="C241">
        <f>(3/(1+('CurrentPor-Equ Factor Movements'!C241+'CurrentPor-Equ Factor Movements'!G241)/100)+103/POWER(1+('CurrentPor-Equ Factor Movements'!D241+'CurrentPor-Equ Factor Movements'!G241)/100,2))*100</f>
        <v>9613.9033937767072</v>
      </c>
      <c r="D241">
        <f>(3/(1+('CurrentPor-Equ Factor Movements'!C241+'CurrentPor-Equ Factor Movements'!H241)/100)+103/POWER(1+('CurrentPor-Equ Factor Movements'!D241+'CurrentPor-Equ Factor Movements'!H241)/100,2))*100</f>
        <v>9598.3868747017186</v>
      </c>
      <c r="E241">
        <f>(3/(1+('CurrentPor-Equ Factor Movements'!C241+'CurrentPor-Equ Factor Movements'!I241)/100)+103/POWER(1+('CurrentPor-Equ Factor Movements'!D241+'CurrentPor-Equ Factor Movements'!I241)/100,2))*100</f>
        <v>9591.8349539607079</v>
      </c>
      <c r="F241">
        <f>Portfolio!B$5*'CurrentPor-Equ Factor Movements'!E241</f>
        <v>52143.895533915893</v>
      </c>
      <c r="G241">
        <f>Portfolio!B$6*'CurrentPor-Equ Factor Movements'!F241</f>
        <v>3696.2945087936532</v>
      </c>
      <c r="H241">
        <f>Portfolio!B$7*'CurrentPor-Equ Factor Movements'!J241</f>
        <v>2148.0998964419859</v>
      </c>
      <c r="I241">
        <f t="shared" si="6"/>
        <v>96500.000939019505</v>
      </c>
      <c r="J241">
        <f t="shared" si="7"/>
        <v>-1.8466117552889045</v>
      </c>
    </row>
    <row r="242" spans="1:10">
      <c r="A242" s="1">
        <v>45807</v>
      </c>
      <c r="B242">
        <f>(3/(1+('CurrentPor-Equ Factor Movements'!C242)/100)+103/POWER(1+('CurrentPor-Equ Factor Movements'!D242)/100,2))*100</f>
        <v>9707.5857774288397</v>
      </c>
      <c r="C242">
        <f>(3/(1+('CurrentPor-Equ Factor Movements'!C242+'CurrentPor-Equ Factor Movements'!G242)/100)+103/POWER(1+('CurrentPor-Equ Factor Movements'!D242+'CurrentPor-Equ Factor Movements'!G242)/100,2))*100</f>
        <v>9625.4161334138735</v>
      </c>
      <c r="D242">
        <f>(3/(1+('CurrentPor-Equ Factor Movements'!C242+'CurrentPor-Equ Factor Movements'!H242)/100)+103/POWER(1+('CurrentPor-Equ Factor Movements'!D242+'CurrentPor-Equ Factor Movements'!H242)/100,2))*100</f>
        <v>9599.1313625298044</v>
      </c>
      <c r="E242">
        <f>(3/(1+('CurrentPor-Equ Factor Movements'!C242+'CurrentPor-Equ Factor Movements'!I242)/100)+103/POWER(1+('CurrentPor-Equ Factor Movements'!D242+'CurrentPor-Equ Factor Movements'!I242)/100,2))*100</f>
        <v>9588.7917258984944</v>
      </c>
      <c r="F242">
        <f>Portfolio!B$5*'CurrentPor-Equ Factor Movements'!E242</f>
        <v>52143.895533915893</v>
      </c>
      <c r="G242">
        <f>Portfolio!B$6*'CurrentPor-Equ Factor Movements'!F242</f>
        <v>3696.2945087936532</v>
      </c>
      <c r="H242">
        <f>Portfolio!B$7*'CurrentPor-Equ Factor Movements'!J242</f>
        <v>2148.0998964419859</v>
      </c>
      <c r="I242">
        <f t="shared" si="6"/>
        <v>96509.214938422549</v>
      </c>
      <c r="J242">
        <f t="shared" si="7"/>
        <v>4.6411206080083502</v>
      </c>
    </row>
    <row r="243" spans="1:10">
      <c r="A243" s="1">
        <v>45810</v>
      </c>
      <c r="B243">
        <f>(3/(1+('CurrentPor-Equ Factor Movements'!C243)/100)+103/POWER(1+('CurrentPor-Equ Factor Movements'!D243)/100,2))*100</f>
        <v>9707.5857774288397</v>
      </c>
      <c r="C243">
        <f>(3/(1+('CurrentPor-Equ Factor Movements'!C243+'CurrentPor-Equ Factor Movements'!G243)/100)+103/POWER(1+('CurrentPor-Equ Factor Movements'!D243+'CurrentPor-Equ Factor Movements'!G243)/100,2))*100</f>
        <v>9612.5836003423738</v>
      </c>
      <c r="D243">
        <f>(3/(1+('CurrentPor-Equ Factor Movements'!C243+'CurrentPor-Equ Factor Movements'!H243)/100)+103/POWER(1+('CurrentPor-Equ Factor Movements'!D243+'CurrentPor-Equ Factor Movements'!H243)/100,2))*100</f>
        <v>9604.9633613182559</v>
      </c>
      <c r="E243">
        <f>(3/(1+('CurrentPor-Equ Factor Movements'!C243+'CurrentPor-Equ Factor Movements'!I243)/100)+103/POWER(1+('CurrentPor-Equ Factor Movements'!D243+'CurrentPor-Equ Factor Movements'!I243)/100,2))*100</f>
        <v>9570.1156985625712</v>
      </c>
      <c r="F243">
        <f>Portfolio!B$5*'CurrentPor-Equ Factor Movements'!E243</f>
        <v>52143.895533915893</v>
      </c>
      <c r="G243">
        <f>Portfolio!B$6*'CurrentPor-Equ Factor Movements'!F243</f>
        <v>3696.2945087936532</v>
      </c>
      <c r="H243">
        <f>Portfolio!B$7*'CurrentPor-Equ Factor Movements'!J243</f>
        <v>2148.0998964419859</v>
      </c>
      <c r="I243">
        <f t="shared" si="6"/>
        <v>96483.538376803583</v>
      </c>
      <c r="J243">
        <f t="shared" si="7"/>
        <v>17.429717030478059</v>
      </c>
    </row>
    <row r="244" spans="1:10">
      <c r="A244" s="1">
        <v>45811</v>
      </c>
      <c r="B244">
        <f>(3/(1+('CurrentPor-Equ Factor Movements'!C244)/100)+103/POWER(1+('CurrentPor-Equ Factor Movements'!D244)/100,2))*100</f>
        <v>9707.5857774288397</v>
      </c>
      <c r="C244">
        <f>(3/(1+('CurrentPor-Equ Factor Movements'!C244+'CurrentPor-Equ Factor Movements'!G244)/100)+103/POWER(1+('CurrentPor-Equ Factor Movements'!D244+'CurrentPor-Equ Factor Movements'!G244)/100,2))*100</f>
        <v>9610.7949022363537</v>
      </c>
      <c r="D244">
        <f>(3/(1+('CurrentPor-Equ Factor Movements'!C244+'CurrentPor-Equ Factor Movements'!H244)/100)+103/POWER(1+('CurrentPor-Equ Factor Movements'!D244+'CurrentPor-Equ Factor Movements'!H244)/100,2))*100</f>
        <v>9611.590742659404</v>
      </c>
      <c r="E244">
        <f>(3/(1+('CurrentPor-Equ Factor Movements'!C244+'CurrentPor-Equ Factor Movements'!I244)/100)+103/POWER(1+('CurrentPor-Equ Factor Movements'!D244+'CurrentPor-Equ Factor Movements'!I244)/100,2))*100</f>
        <v>9572.6075377841116</v>
      </c>
      <c r="F244">
        <f>Portfolio!B$5*'CurrentPor-Equ Factor Movements'!E244</f>
        <v>52143.895533915893</v>
      </c>
      <c r="G244">
        <f>Portfolio!B$6*'CurrentPor-Equ Factor Movements'!F244</f>
        <v>3696.2945087936532</v>
      </c>
      <c r="H244">
        <f>Portfolio!B$7*'CurrentPor-Equ Factor Movements'!J244</f>
        <v>2148.0998964419859</v>
      </c>
      <c r="I244">
        <f t="shared" si="6"/>
        <v>96490.86889926024</v>
      </c>
      <c r="J244">
        <f t="shared" si="7"/>
        <v>-5.5699146326078335</v>
      </c>
    </row>
    <row r="245" spans="1:10">
      <c r="A245" s="1">
        <v>45812</v>
      </c>
      <c r="B245">
        <f>(3/(1+('CurrentPor-Equ Factor Movements'!C245)/100)+103/POWER(1+('CurrentPor-Equ Factor Movements'!D245)/100,2))*100</f>
        <v>9707.5857774288397</v>
      </c>
      <c r="C245">
        <f>(3/(1+('CurrentPor-Equ Factor Movements'!C245+'CurrentPor-Equ Factor Movements'!G245)/100)+103/POWER(1+('CurrentPor-Equ Factor Movements'!D245+'CurrentPor-Equ Factor Movements'!G245)/100,2))*100</f>
        <v>9618.2044676139903</v>
      </c>
      <c r="D245">
        <f>(3/(1+('CurrentPor-Equ Factor Movements'!C245+'CurrentPor-Equ Factor Movements'!H245)/100)+103/POWER(1+('CurrentPor-Equ Factor Movements'!D245+'CurrentPor-Equ Factor Movements'!H245)/100,2))*100</f>
        <v>9598.5911506667453</v>
      </c>
      <c r="E245">
        <f>(3/(1+('CurrentPor-Equ Factor Movements'!C245+'CurrentPor-Equ Factor Movements'!I245)/100)+103/POWER(1+('CurrentPor-Equ Factor Movements'!D245+'CurrentPor-Equ Factor Movements'!I245)/100,2))*100</f>
        <v>9590.569955629373</v>
      </c>
      <c r="F245">
        <f>Portfolio!B$5*'CurrentPor-Equ Factor Movements'!E245</f>
        <v>52143.895533915893</v>
      </c>
      <c r="G245">
        <f>Portfolio!B$6*'CurrentPor-Equ Factor Movements'!F245</f>
        <v>3696.2945087936532</v>
      </c>
      <c r="H245">
        <f>Portfolio!B$7*'CurrentPor-Equ Factor Movements'!J245</f>
        <v>2148.0998964419859</v>
      </c>
      <c r="I245">
        <f t="shared" si="6"/>
        <v>96503.241290490478</v>
      </c>
      <c r="J245">
        <f t="shared" si="7"/>
        <v>8.9283877858397318</v>
      </c>
    </row>
    <row r="246" spans="1:10">
      <c r="A246" s="1">
        <v>45813</v>
      </c>
      <c r="B246">
        <f>(3/(1+('CurrentPor-Equ Factor Movements'!C246)/100)+103/POWER(1+('CurrentPor-Equ Factor Movements'!D246)/100,2))*100</f>
        <v>9707.5857774288397</v>
      </c>
      <c r="C246">
        <f>(3/(1+('CurrentPor-Equ Factor Movements'!C246+'CurrentPor-Equ Factor Movements'!G246)/100)+103/POWER(1+('CurrentPor-Equ Factor Movements'!D246+'CurrentPor-Equ Factor Movements'!G246)/100,2))*100</f>
        <v>9612.3421398179962</v>
      </c>
      <c r="D246">
        <f>(3/(1+('CurrentPor-Equ Factor Movements'!C246+'CurrentPor-Equ Factor Movements'!H246)/100)+103/POWER(1+('CurrentPor-Equ Factor Movements'!D246+'CurrentPor-Equ Factor Movements'!H246)/100,2))*100</f>
        <v>9589.6233012548473</v>
      </c>
      <c r="E246">
        <f>(3/(1+('CurrentPor-Equ Factor Movements'!C246+'CurrentPor-Equ Factor Movements'!I246)/100)+103/POWER(1+('CurrentPor-Equ Factor Movements'!D246+'CurrentPor-Equ Factor Movements'!I246)/100,2))*100</f>
        <v>9591.6073825056264</v>
      </c>
      <c r="F246">
        <f>Portfolio!B$5*'CurrentPor-Equ Factor Movements'!E246</f>
        <v>52143.895533915893</v>
      </c>
      <c r="G246">
        <f>Portfolio!B$6*'CurrentPor-Equ Factor Movements'!F246</f>
        <v>3696.2945087936532</v>
      </c>
      <c r="H246">
        <f>Portfolio!B$7*'CurrentPor-Equ Factor Movements'!J246</f>
        <v>2148.0998964419859</v>
      </c>
      <c r="I246">
        <f t="shared" si="6"/>
        <v>96489.448540158846</v>
      </c>
      <c r="J246">
        <f t="shared" si="7"/>
        <v>-5.7569775439915247</v>
      </c>
    </row>
    <row r="247" spans="1:10">
      <c r="A247" s="1">
        <v>45814</v>
      </c>
      <c r="B247">
        <f>(3/(1+('CurrentPor-Equ Factor Movements'!C247)/100)+103/POWER(1+('CurrentPor-Equ Factor Movements'!D247)/100,2))*100</f>
        <v>9707.5857774288397</v>
      </c>
      <c r="C247">
        <f>(3/(1+('CurrentPor-Equ Factor Movements'!C247+'CurrentPor-Equ Factor Movements'!G247)/100)+103/POWER(1+('CurrentPor-Equ Factor Movements'!D247+'CurrentPor-Equ Factor Movements'!G247)/100,2))*100</f>
        <v>9617.0693947829204</v>
      </c>
      <c r="D247">
        <f>(3/(1+('CurrentPor-Equ Factor Movements'!C247+'CurrentPor-Equ Factor Movements'!H247)/100)+103/POWER(1+('CurrentPor-Equ Factor Movements'!D247+'CurrentPor-Equ Factor Movements'!H247)/100,2))*100</f>
        <v>9606.1838073545041</v>
      </c>
      <c r="E247">
        <f>(3/(1+('CurrentPor-Equ Factor Movements'!C247+'CurrentPor-Equ Factor Movements'!I247)/100)+103/POWER(1+('CurrentPor-Equ Factor Movements'!D247+'CurrentPor-Equ Factor Movements'!I247)/100,2))*100</f>
        <v>9591.4190622700244</v>
      </c>
      <c r="F247">
        <f>Portfolio!B$5*'CurrentPor-Equ Factor Movements'!E247</f>
        <v>52143.895533915893</v>
      </c>
      <c r="G247">
        <f>Portfolio!B$6*'CurrentPor-Equ Factor Movements'!F247</f>
        <v>3696.2945087936532</v>
      </c>
      <c r="H247">
        <f>Portfolio!B$7*'CurrentPor-Equ Factor Movements'!J247</f>
        <v>2148.0998964419859</v>
      </c>
      <c r="I247">
        <f t="shared" si="6"/>
        <v>96510.547980987816</v>
      </c>
      <c r="J247">
        <f t="shared" si="7"/>
        <v>45.118159467368969</v>
      </c>
    </row>
    <row r="248" spans="1:10">
      <c r="A248" s="1">
        <v>45817</v>
      </c>
      <c r="B248">
        <f>(3/(1+('CurrentPor-Equ Factor Movements'!C248)/100)+103/POWER(1+('CurrentPor-Equ Factor Movements'!D248)/100,2))*100</f>
        <v>9707.5857774288397</v>
      </c>
      <c r="C248">
        <f>(3/(1+('CurrentPor-Equ Factor Movements'!C248+'CurrentPor-Equ Factor Movements'!G248)/100)+103/POWER(1+('CurrentPor-Equ Factor Movements'!D248+'CurrentPor-Equ Factor Movements'!G248)/100,2))*100</f>
        <v>9600.6055538915498</v>
      </c>
      <c r="D248">
        <f>(3/(1+('CurrentPor-Equ Factor Movements'!C248+'CurrentPor-Equ Factor Movements'!H248)/100)+103/POWER(1+('CurrentPor-Equ Factor Movements'!D248+'CurrentPor-Equ Factor Movements'!H248)/100,2))*100</f>
        <v>9600.3996326312554</v>
      </c>
      <c r="E248">
        <f>(3/(1+('CurrentPor-Equ Factor Movements'!C248+'CurrentPor-Equ Factor Movements'!I248)/100)+103/POWER(1+('CurrentPor-Equ Factor Movements'!D248+'CurrentPor-Equ Factor Movements'!I248)/100,2))*100</f>
        <v>9589.8730168927523</v>
      </c>
      <c r="F248">
        <f>Portfolio!B$5*'CurrentPor-Equ Factor Movements'!E248</f>
        <v>52143.895533915893</v>
      </c>
      <c r="G248">
        <f>Portfolio!B$6*'CurrentPor-Equ Factor Movements'!F248</f>
        <v>3696.2945087936532</v>
      </c>
      <c r="H248">
        <f>Portfolio!B$7*'CurrentPor-Equ Factor Movements'!J248</f>
        <v>2148.0998964419859</v>
      </c>
      <c r="I248">
        <f t="shared" si="6"/>
        <v>96486.753919995928</v>
      </c>
      <c r="J248">
        <f t="shared" si="7"/>
        <v>11.322255765262526</v>
      </c>
    </row>
    <row r="249" spans="1:10">
      <c r="A249" s="1">
        <v>45818</v>
      </c>
      <c r="B249">
        <f>(3/(1+('CurrentPor-Equ Factor Movements'!C249)/100)+103/POWER(1+('CurrentPor-Equ Factor Movements'!D249)/100,2))*100</f>
        <v>9707.5857774288397</v>
      </c>
      <c r="C249">
        <f>(3/(1+('CurrentPor-Equ Factor Movements'!C249+'CurrentPor-Equ Factor Movements'!G249)/100)+103/POWER(1+('CurrentPor-Equ Factor Movements'!D249+'CurrentPor-Equ Factor Movements'!G249)/100,2))*100</f>
        <v>9615.4336965359762</v>
      </c>
      <c r="D249">
        <f>(3/(1+('CurrentPor-Equ Factor Movements'!C249+'CurrentPor-Equ Factor Movements'!H249)/100)+103/POWER(1+('CurrentPor-Equ Factor Movements'!D249+'CurrentPor-Equ Factor Movements'!H249)/100,2))*100</f>
        <v>9592.2508943256871</v>
      </c>
      <c r="E249">
        <f>(3/(1+('CurrentPor-Equ Factor Movements'!C249+'CurrentPor-Equ Factor Movements'!I249)/100)+103/POWER(1+('CurrentPor-Equ Factor Movements'!D249+'CurrentPor-Equ Factor Movements'!I249)/100,2))*100</f>
        <v>9602.2079674607048</v>
      </c>
      <c r="F249">
        <f>Portfolio!B$5*'CurrentPor-Equ Factor Movements'!E249</f>
        <v>52143.895533915893</v>
      </c>
      <c r="G249">
        <f>Portfolio!B$6*'CurrentPor-Equ Factor Movements'!F249</f>
        <v>3696.2945087936532</v>
      </c>
      <c r="H249">
        <f>Portfolio!B$7*'CurrentPor-Equ Factor Movements'!J249</f>
        <v>2148.0998964419859</v>
      </c>
      <c r="I249">
        <f t="shared" si="6"/>
        <v>96505.76827490273</v>
      </c>
      <c r="J249">
        <f t="shared" si="7"/>
        <v>50.921609827142674</v>
      </c>
    </row>
    <row r="250" spans="1:10">
      <c r="A250" s="1">
        <v>45819</v>
      </c>
      <c r="B250">
        <f>(3/(1+('CurrentPor-Equ Factor Movements'!C250)/100)+103/POWER(1+('CurrentPor-Equ Factor Movements'!D250)/100,2))*100</f>
        <v>9707.5857774288397</v>
      </c>
      <c r="C250">
        <f>(3/(1+('CurrentPor-Equ Factor Movements'!C250+'CurrentPor-Equ Factor Movements'!G250)/100)+103/POWER(1+('CurrentPor-Equ Factor Movements'!D250+'CurrentPor-Equ Factor Movements'!G250)/100,2))*100</f>
        <v>9619.5479803123617</v>
      </c>
      <c r="D250">
        <f>(3/(1+('CurrentPor-Equ Factor Movements'!C250+'CurrentPor-Equ Factor Movements'!H250)/100)+103/POWER(1+('CurrentPor-Equ Factor Movements'!D250+'CurrentPor-Equ Factor Movements'!H250)/100,2))*100</f>
        <v>9591.4939918914934</v>
      </c>
      <c r="E250">
        <f>(3/(1+('CurrentPor-Equ Factor Movements'!C250+'CurrentPor-Equ Factor Movements'!I250)/100)+103/POWER(1+('CurrentPor-Equ Factor Movements'!D250+'CurrentPor-Equ Factor Movements'!I250)/100,2))*100</f>
        <v>9576.0937379574352</v>
      </c>
      <c r="F250">
        <f>Portfolio!B$5*'CurrentPor-Equ Factor Movements'!E250</f>
        <v>52143.895533915893</v>
      </c>
      <c r="G250">
        <f>Portfolio!B$6*'CurrentPor-Equ Factor Movements'!F250</f>
        <v>3696.2945087936532</v>
      </c>
      <c r="H250">
        <f>Portfolio!B$7*'CurrentPor-Equ Factor Movements'!J250</f>
        <v>2148.0998964419859</v>
      </c>
      <c r="I250">
        <f t="shared" si="6"/>
        <v>96483.01142674165</v>
      </c>
      <c r="J250">
        <f t="shared" si="7"/>
        <v>-7.9253832245740341</v>
      </c>
    </row>
    <row r="251" spans="1:10">
      <c r="A251" s="1">
        <v>45820</v>
      </c>
      <c r="B251">
        <f>(3/(1+('CurrentPor-Equ Factor Movements'!C251)/100)+103/POWER(1+('CurrentPor-Equ Factor Movements'!D251)/100,2))*100</f>
        <v>9707.5857774288397</v>
      </c>
      <c r="C251">
        <f>(3/(1+('CurrentPor-Equ Factor Movements'!C251+'CurrentPor-Equ Factor Movements'!G251)/100)+103/POWER(1+('CurrentPor-Equ Factor Movements'!D251+'CurrentPor-Equ Factor Movements'!G251)/100,2))*100</f>
        <v>9623.7893664719759</v>
      </c>
      <c r="D251">
        <f>(3/(1+('CurrentPor-Equ Factor Movements'!C251+'CurrentPor-Equ Factor Movements'!H251)/100)+103/POWER(1+('CurrentPor-Equ Factor Movements'!D251+'CurrentPor-Equ Factor Movements'!H251)/100,2))*100</f>
        <v>9602.5404212290723</v>
      </c>
      <c r="E251">
        <f>(3/(1+('CurrentPor-Equ Factor Movements'!C251+'CurrentPor-Equ Factor Movements'!I251)/100)+103/POWER(1+('CurrentPor-Equ Factor Movements'!D251+'CurrentPor-Equ Factor Movements'!I251)/100,2))*100</f>
        <v>9595.9490514904428</v>
      </c>
      <c r="F251">
        <f>Portfolio!B$5*'CurrentPor-Equ Factor Movements'!E251</f>
        <v>52143.895533915893</v>
      </c>
      <c r="G251">
        <f>Portfolio!B$6*'CurrentPor-Equ Factor Movements'!F251</f>
        <v>3696.2945087936532</v>
      </c>
      <c r="H251">
        <f>Portfolio!B$7*'CurrentPor-Equ Factor Movements'!J251</f>
        <v>2148.0998964419859</v>
      </c>
      <c r="I251">
        <f t="shared" si="6"/>
        <v>96518.154555771864</v>
      </c>
      <c r="J251">
        <f t="shared" si="7"/>
        <v>18.153616752359085</v>
      </c>
    </row>
    <row r="252" spans="1:10">
      <c r="A252" s="1">
        <v>45821</v>
      </c>
      <c r="B252">
        <f>(3/(1+('CurrentPor-Equ Factor Movements'!C252)/100)+103/POWER(1+('CurrentPor-Equ Factor Movements'!D252)/100,2))*100</f>
        <v>9707.5857774288397</v>
      </c>
      <c r="C252">
        <f>(3/(1+('CurrentPor-Equ Factor Movements'!C252+'CurrentPor-Equ Factor Movements'!G252)/100)+103/POWER(1+('CurrentPor-Equ Factor Movements'!D252+'CurrentPor-Equ Factor Movements'!G252)/100,2))*100</f>
        <v>9610.633976005116</v>
      </c>
      <c r="D252">
        <f>(3/(1+('CurrentPor-Equ Factor Movements'!C252+'CurrentPor-Equ Factor Movements'!H252)/100)+103/POWER(1+('CurrentPor-Equ Factor Movements'!D252+'CurrentPor-Equ Factor Movements'!H252)/100,2))*100</f>
        <v>9611.4827681820207</v>
      </c>
      <c r="E252">
        <f>(3/(1+('CurrentPor-Equ Factor Movements'!C252+'CurrentPor-Equ Factor Movements'!I252)/100)+103/POWER(1+('CurrentPor-Equ Factor Movements'!D252+'CurrentPor-Equ Factor Movements'!I252)/100,2))*100</f>
        <v>9584.8250213334341</v>
      </c>
      <c r="F252">
        <f>Portfolio!B$5*'CurrentPor-Equ Factor Movements'!E252</f>
        <v>52143.895533915893</v>
      </c>
      <c r="G252">
        <f>Portfolio!B$6*'CurrentPor-Equ Factor Movements'!F252</f>
        <v>3696.2945087936532</v>
      </c>
      <c r="H252">
        <f>Portfolio!B$7*'CurrentPor-Equ Factor Movements'!J252</f>
        <v>2148.0998964419859</v>
      </c>
      <c r="I252">
        <f t="shared" ref="I252:I263" si="8">SUM(B252:H252)</f>
        <v>96502.817482100945</v>
      </c>
      <c r="J252">
        <f t="shared" ref="J252:J263" si="9">I252-I242</f>
        <v>-6.3974563216033857</v>
      </c>
    </row>
    <row r="253" spans="1:10">
      <c r="A253" s="1">
        <v>45824</v>
      </c>
      <c r="B253">
        <f>(3/(1+('CurrentPor-Equ Factor Movements'!C253)/100)+103/POWER(1+('CurrentPor-Equ Factor Movements'!D253)/100,2))*100</f>
        <v>9707.5857774288397</v>
      </c>
      <c r="C253">
        <f>(3/(1+('CurrentPor-Equ Factor Movements'!C253+'CurrentPor-Equ Factor Movements'!G253)/100)+103/POWER(1+('CurrentPor-Equ Factor Movements'!D253+'CurrentPor-Equ Factor Movements'!G253)/100,2))*100</f>
        <v>9615.9279564686349</v>
      </c>
      <c r="D253">
        <f>(3/(1+('CurrentPor-Equ Factor Movements'!C253+'CurrentPor-Equ Factor Movements'!H253)/100)+103/POWER(1+('CurrentPor-Equ Factor Movements'!D253+'CurrentPor-Equ Factor Movements'!H253)/100,2))*100</f>
        <v>9609.5384354515227</v>
      </c>
      <c r="E253">
        <f>(3/(1+('CurrentPor-Equ Factor Movements'!C253+'CurrentPor-Equ Factor Movements'!I253)/100)+103/POWER(1+('CurrentPor-Equ Factor Movements'!D253+'CurrentPor-Equ Factor Movements'!I253)/100,2))*100</f>
        <v>9585.8814055839593</v>
      </c>
      <c r="F253">
        <f>Portfolio!B$5*'CurrentPor-Equ Factor Movements'!E253</f>
        <v>52143.895533915893</v>
      </c>
      <c r="G253">
        <f>Portfolio!B$6*'CurrentPor-Equ Factor Movements'!F253</f>
        <v>3696.2945087936532</v>
      </c>
      <c r="H253">
        <f>Portfolio!B$7*'CurrentPor-Equ Factor Movements'!J253</f>
        <v>2148.0998964419859</v>
      </c>
      <c r="I253">
        <f t="shared" si="8"/>
        <v>96507.223514084486</v>
      </c>
      <c r="J253">
        <f t="shared" si="9"/>
        <v>23.685137280903291</v>
      </c>
    </row>
    <row r="254" spans="1:10">
      <c r="A254" s="1">
        <v>45825</v>
      </c>
      <c r="B254">
        <f>(3/(1+('CurrentPor-Equ Factor Movements'!C254)/100)+103/POWER(1+('CurrentPor-Equ Factor Movements'!D254)/100,2))*100</f>
        <v>9707.5857774288397</v>
      </c>
      <c r="C254">
        <f>(3/(1+('CurrentPor-Equ Factor Movements'!C254+'CurrentPor-Equ Factor Movements'!G254)/100)+103/POWER(1+('CurrentPor-Equ Factor Movements'!D254+'CurrentPor-Equ Factor Movements'!G254)/100,2))*100</f>
        <v>9623.3326860959278</v>
      </c>
      <c r="D254">
        <f>(3/(1+('CurrentPor-Equ Factor Movements'!C254+'CurrentPor-Equ Factor Movements'!H254)/100)+103/POWER(1+('CurrentPor-Equ Factor Movements'!D254+'CurrentPor-Equ Factor Movements'!H254)/100,2))*100</f>
        <v>9604.2406206722244</v>
      </c>
      <c r="E254">
        <f>(3/(1+('CurrentPor-Equ Factor Movements'!C254+'CurrentPor-Equ Factor Movements'!I254)/100)+103/POWER(1+('CurrentPor-Equ Factor Movements'!D254+'CurrentPor-Equ Factor Movements'!I254)/100,2))*100</f>
        <v>9588.5699250861398</v>
      </c>
      <c r="F254">
        <f>Portfolio!B$5*'CurrentPor-Equ Factor Movements'!E254</f>
        <v>52143.895533915893</v>
      </c>
      <c r="G254">
        <f>Portfolio!B$6*'CurrentPor-Equ Factor Movements'!F254</f>
        <v>3696.2945087936532</v>
      </c>
      <c r="H254">
        <f>Portfolio!B$7*'CurrentPor-Equ Factor Movements'!J254</f>
        <v>2148.0998964419859</v>
      </c>
      <c r="I254">
        <f t="shared" si="8"/>
        <v>96512.018948434663</v>
      </c>
      <c r="J254">
        <f t="shared" si="9"/>
        <v>21.150049174422747</v>
      </c>
    </row>
    <row r="255" spans="1:10">
      <c r="A255" s="1">
        <v>45826</v>
      </c>
      <c r="B255">
        <f>(3/(1+('CurrentPor-Equ Factor Movements'!C255)/100)+103/POWER(1+('CurrentPor-Equ Factor Movements'!D255)/100,2))*100</f>
        <v>9707.5857774288397</v>
      </c>
      <c r="C255">
        <f>(3/(1+('CurrentPor-Equ Factor Movements'!C255+'CurrentPor-Equ Factor Movements'!G255)/100)+103/POWER(1+('CurrentPor-Equ Factor Movements'!D255+'CurrentPor-Equ Factor Movements'!G255)/100,2))*100</f>
        <v>9604.2657882432613</v>
      </c>
      <c r="D255">
        <f>(3/(1+('CurrentPor-Equ Factor Movements'!C255+'CurrentPor-Equ Factor Movements'!H255)/100)+103/POWER(1+('CurrentPor-Equ Factor Movements'!D255+'CurrentPor-Equ Factor Movements'!H255)/100,2))*100</f>
        <v>9588.4035454696404</v>
      </c>
      <c r="E255">
        <f>(3/(1+('CurrentPor-Equ Factor Movements'!C255+'CurrentPor-Equ Factor Movements'!I255)/100)+103/POWER(1+('CurrentPor-Equ Factor Movements'!D255+'CurrentPor-Equ Factor Movements'!I255)/100,2))*100</f>
        <v>9599.3574296519437</v>
      </c>
      <c r="F255">
        <f>Portfolio!B$5*'CurrentPor-Equ Factor Movements'!E255</f>
        <v>52143.895533915893</v>
      </c>
      <c r="G255">
        <f>Portfolio!B$6*'CurrentPor-Equ Factor Movements'!F255</f>
        <v>3696.2945087936532</v>
      </c>
      <c r="H255">
        <f>Portfolio!B$7*'CurrentPor-Equ Factor Movements'!J255</f>
        <v>2148.0998964419859</v>
      </c>
      <c r="I255">
        <f t="shared" si="8"/>
        <v>96487.902479945216</v>
      </c>
      <c r="J255">
        <f t="shared" si="9"/>
        <v>-15.338810545261367</v>
      </c>
    </row>
    <row r="256" spans="1:10">
      <c r="A256" s="1">
        <v>45827</v>
      </c>
      <c r="B256">
        <f>(3/(1+('CurrentPor-Equ Factor Movements'!C256)/100)+103/POWER(1+('CurrentPor-Equ Factor Movements'!D256)/100,2))*100</f>
        <v>9707.5857774288397</v>
      </c>
      <c r="C256">
        <f>(3/(1+('CurrentPor-Equ Factor Movements'!C256+'CurrentPor-Equ Factor Movements'!G256)/100)+103/POWER(1+('CurrentPor-Equ Factor Movements'!D256+'CurrentPor-Equ Factor Movements'!G256)/100,2))*100</f>
        <v>9632.1282890499697</v>
      </c>
      <c r="D256">
        <f>(3/(1+('CurrentPor-Equ Factor Movements'!C256+'CurrentPor-Equ Factor Movements'!H256)/100)+103/POWER(1+('CurrentPor-Equ Factor Movements'!D256+'CurrentPor-Equ Factor Movements'!H256)/100,2))*100</f>
        <v>9603.4229415018126</v>
      </c>
      <c r="E256">
        <f>(3/(1+('CurrentPor-Equ Factor Movements'!C256+'CurrentPor-Equ Factor Movements'!I256)/100)+103/POWER(1+('CurrentPor-Equ Factor Movements'!D256+'CurrentPor-Equ Factor Movements'!I256)/100,2))*100</f>
        <v>9575.0325397319502</v>
      </c>
      <c r="F256">
        <f>Portfolio!B$5*'CurrentPor-Equ Factor Movements'!E256</f>
        <v>52143.895533915893</v>
      </c>
      <c r="G256">
        <f>Portfolio!B$6*'CurrentPor-Equ Factor Movements'!F256</f>
        <v>3696.2945087936532</v>
      </c>
      <c r="H256">
        <f>Portfolio!B$7*'CurrentPor-Equ Factor Movements'!J256</f>
        <v>2148.0998964419859</v>
      </c>
      <c r="I256">
        <f t="shared" si="8"/>
        <v>96506.459486864114</v>
      </c>
      <c r="J256">
        <f t="shared" si="9"/>
        <v>17.010946705267997</v>
      </c>
    </row>
    <row r="257" spans="1:10">
      <c r="A257" s="1">
        <v>45828</v>
      </c>
      <c r="B257">
        <f>(3/(1+('CurrentPor-Equ Factor Movements'!C257)/100)+103/POWER(1+('CurrentPor-Equ Factor Movements'!D257)/100,2))*100</f>
        <v>9707.5857774288397</v>
      </c>
      <c r="C257">
        <f>(3/(1+('CurrentPor-Equ Factor Movements'!C257+'CurrentPor-Equ Factor Movements'!G257)/100)+103/POWER(1+('CurrentPor-Equ Factor Movements'!D257+'CurrentPor-Equ Factor Movements'!G257)/100,2))*100</f>
        <v>9622.5217019527081</v>
      </c>
      <c r="D257">
        <f>(3/(1+('CurrentPor-Equ Factor Movements'!C257+'CurrentPor-Equ Factor Movements'!H257)/100)+103/POWER(1+('CurrentPor-Equ Factor Movements'!D257+'CurrentPor-Equ Factor Movements'!H257)/100,2))*100</f>
        <v>9588.8351424397151</v>
      </c>
      <c r="E257">
        <f>(3/(1+('CurrentPor-Equ Factor Movements'!C257+'CurrentPor-Equ Factor Movements'!I257)/100)+103/POWER(1+('CurrentPor-Equ Factor Movements'!D257+'CurrentPor-Equ Factor Movements'!I257)/100,2))*100</f>
        <v>9588.4765331043127</v>
      </c>
      <c r="F257">
        <f>Portfolio!B$5*'CurrentPor-Equ Factor Movements'!E257</f>
        <v>52143.895533915893</v>
      </c>
      <c r="G257">
        <f>Portfolio!B$6*'CurrentPor-Equ Factor Movements'!F257</f>
        <v>3696.2945087936532</v>
      </c>
      <c r="H257">
        <f>Portfolio!B$7*'CurrentPor-Equ Factor Movements'!J257</f>
        <v>2148.0998964419859</v>
      </c>
      <c r="I257">
        <f t="shared" si="8"/>
        <v>96495.709094077101</v>
      </c>
      <c r="J257">
        <f t="shared" si="9"/>
        <v>-14.838886910714791</v>
      </c>
    </row>
    <row r="258" spans="1:10">
      <c r="A258" s="1">
        <v>45831</v>
      </c>
      <c r="B258">
        <f>(3/(1+('CurrentPor-Equ Factor Movements'!C258)/100)+103/POWER(1+('CurrentPor-Equ Factor Movements'!D258)/100,2))*100</f>
        <v>9707.5857774288397</v>
      </c>
      <c r="C258">
        <f>(3/(1+('CurrentPor-Equ Factor Movements'!C258+'CurrentPor-Equ Factor Movements'!G258)/100)+103/POWER(1+('CurrentPor-Equ Factor Movements'!D258+'CurrentPor-Equ Factor Movements'!G258)/100,2))*100</f>
        <v>9590.3351335122534</v>
      </c>
      <c r="D258">
        <f>(3/(1+('CurrentPor-Equ Factor Movements'!C258+'CurrentPor-Equ Factor Movements'!H258)/100)+103/POWER(1+('CurrentPor-Equ Factor Movements'!D258+'CurrentPor-Equ Factor Movements'!H258)/100,2))*100</f>
        <v>9607.1313346841762</v>
      </c>
      <c r="E258">
        <f>(3/(1+('CurrentPor-Equ Factor Movements'!C258+'CurrentPor-Equ Factor Movements'!I258)/100)+103/POWER(1+('CurrentPor-Equ Factor Movements'!D258+'CurrentPor-Equ Factor Movements'!I258)/100,2))*100</f>
        <v>9566.6513597430076</v>
      </c>
      <c r="F258">
        <f>Portfolio!B$5*'CurrentPor-Equ Factor Movements'!E258</f>
        <v>52143.895533915893</v>
      </c>
      <c r="G258">
        <f>Portfolio!B$6*'CurrentPor-Equ Factor Movements'!F258</f>
        <v>3696.2945087936532</v>
      </c>
      <c r="H258">
        <f>Portfolio!B$7*'CurrentPor-Equ Factor Movements'!J258</f>
        <v>2148.0998964419859</v>
      </c>
      <c r="I258">
        <f t="shared" si="8"/>
        <v>96459.993544519806</v>
      </c>
      <c r="J258">
        <f t="shared" si="9"/>
        <v>-26.760375476122135</v>
      </c>
    </row>
    <row r="259" spans="1:10">
      <c r="A259" s="1">
        <v>45832</v>
      </c>
      <c r="B259">
        <f>(3/(1+('CurrentPor-Equ Factor Movements'!C259)/100)+103/POWER(1+('CurrentPor-Equ Factor Movements'!D259)/100,2))*100</f>
        <v>9707.5857774288397</v>
      </c>
      <c r="C259">
        <f>(3/(1+('CurrentPor-Equ Factor Movements'!C259+'CurrentPor-Equ Factor Movements'!G259)/100)+103/POWER(1+('CurrentPor-Equ Factor Movements'!D259+'CurrentPor-Equ Factor Movements'!G259)/100,2))*100</f>
        <v>9608.4377057397214</v>
      </c>
      <c r="D259">
        <f>(3/(1+('CurrentPor-Equ Factor Movements'!C259+'CurrentPor-Equ Factor Movements'!H259)/100)+103/POWER(1+('CurrentPor-Equ Factor Movements'!D259+'CurrentPor-Equ Factor Movements'!H259)/100,2))*100</f>
        <v>9598.2751818665038</v>
      </c>
      <c r="E259">
        <f>(3/(1+('CurrentPor-Equ Factor Movements'!C259+'CurrentPor-Equ Factor Movements'!I259)/100)+103/POWER(1+('CurrentPor-Equ Factor Movements'!D259+'CurrentPor-Equ Factor Movements'!I259)/100,2))*100</f>
        <v>9567.6461248609321</v>
      </c>
      <c r="F259">
        <f>Portfolio!B$5*'CurrentPor-Equ Factor Movements'!E259</f>
        <v>52143.895533915893</v>
      </c>
      <c r="G259">
        <f>Portfolio!B$6*'CurrentPor-Equ Factor Movements'!F259</f>
        <v>3696.2945087936532</v>
      </c>
      <c r="H259">
        <f>Portfolio!B$7*'CurrentPor-Equ Factor Movements'!J259</f>
        <v>2148.0998964419859</v>
      </c>
      <c r="I259">
        <f t="shared" si="8"/>
        <v>96470.23472904753</v>
      </c>
      <c r="J259">
        <f t="shared" si="9"/>
        <v>-35.533545855199918</v>
      </c>
    </row>
    <row r="260" spans="1:10">
      <c r="A260" s="1">
        <v>45833</v>
      </c>
      <c r="B260">
        <f>(3/(1+('CurrentPor-Equ Factor Movements'!C260)/100)+103/POWER(1+('CurrentPor-Equ Factor Movements'!D260)/100,2))*100</f>
        <v>9707.5857774288397</v>
      </c>
      <c r="C260">
        <f>(3/(1+('CurrentPor-Equ Factor Movements'!C260+'CurrentPor-Equ Factor Movements'!G260)/100)+103/POWER(1+('CurrentPor-Equ Factor Movements'!D260+'CurrentPor-Equ Factor Movements'!G260)/100,2))*100</f>
        <v>9620.7821578899184</v>
      </c>
      <c r="D260">
        <f>(3/(1+('CurrentPor-Equ Factor Movements'!C260+'CurrentPor-Equ Factor Movements'!H260)/100)+103/POWER(1+('CurrentPor-Equ Factor Movements'!D260+'CurrentPor-Equ Factor Movements'!H260)/100,2))*100</f>
        <v>9593.4446853727804</v>
      </c>
      <c r="E260">
        <f>(3/(1+('CurrentPor-Equ Factor Movements'!C260+'CurrentPor-Equ Factor Movements'!I260)/100)+103/POWER(1+('CurrentPor-Equ Factor Movements'!D260+'CurrentPor-Equ Factor Movements'!I260)/100,2))*100</f>
        <v>9576.146416414138</v>
      </c>
      <c r="F260">
        <f>Portfolio!B$5*'CurrentPor-Equ Factor Movements'!E260</f>
        <v>52143.895533915893</v>
      </c>
      <c r="G260">
        <f>Portfolio!B$6*'CurrentPor-Equ Factor Movements'!F260</f>
        <v>3696.2945087936532</v>
      </c>
      <c r="H260">
        <f>Portfolio!B$7*'CurrentPor-Equ Factor Movements'!J260</f>
        <v>2148.0998964419859</v>
      </c>
      <c r="I260">
        <f t="shared" si="8"/>
        <v>96486.248976257208</v>
      </c>
      <c r="J260">
        <f t="shared" si="9"/>
        <v>3.2375495155574754</v>
      </c>
    </row>
    <row r="261" spans="1:10">
      <c r="A261" s="1">
        <v>45834</v>
      </c>
      <c r="B261">
        <f>(3/(1+('CurrentPor-Equ Factor Movements'!C261)/100)+103/POWER(1+('CurrentPor-Equ Factor Movements'!D261)/100,2))*100</f>
        <v>9707.5857774288397</v>
      </c>
      <c r="C261">
        <f>(3/(1+('CurrentPor-Equ Factor Movements'!C261+'CurrentPor-Equ Factor Movements'!G261)/100)+103/POWER(1+('CurrentPor-Equ Factor Movements'!D261+'CurrentPor-Equ Factor Movements'!G261)/100,2))*100</f>
        <v>9606.4001904745892</v>
      </c>
      <c r="D261">
        <f>(3/(1+('CurrentPor-Equ Factor Movements'!C261+'CurrentPor-Equ Factor Movements'!H261)/100)+103/POWER(1+('CurrentPor-Equ Factor Movements'!D261+'CurrentPor-Equ Factor Movements'!H261)/100,2))*100</f>
        <v>9589.7878952367464</v>
      </c>
      <c r="E261">
        <f>(3/(1+('CurrentPor-Equ Factor Movements'!C261+'CurrentPor-Equ Factor Movements'!I261)/100)+103/POWER(1+('CurrentPor-Equ Factor Movements'!D261+'CurrentPor-Equ Factor Movements'!I261)/100,2))*100</f>
        <v>9597.7681175900307</v>
      </c>
      <c r="F261">
        <f>Portfolio!B$5*'CurrentPor-Equ Factor Movements'!E261</f>
        <v>52143.895533915893</v>
      </c>
      <c r="G261">
        <f>Portfolio!B$6*'CurrentPor-Equ Factor Movements'!F261</f>
        <v>3696.2945087936532</v>
      </c>
      <c r="H261">
        <f>Portfolio!B$7*'CurrentPor-Equ Factor Movements'!J261</f>
        <v>2148.0998964419859</v>
      </c>
      <c r="I261">
        <f t="shared" si="8"/>
        <v>96489.831919881733</v>
      </c>
      <c r="J261">
        <f t="shared" si="9"/>
        <v>-28.322635890130186</v>
      </c>
    </row>
    <row r="262" spans="1:10">
      <c r="A262" s="1">
        <v>45835</v>
      </c>
      <c r="B262">
        <f>(3/(1+('CurrentPor-Equ Factor Movements'!C262)/100)+103/POWER(1+('CurrentPor-Equ Factor Movements'!D262)/100,2))*100</f>
        <v>9707.5857774288397</v>
      </c>
      <c r="C262">
        <f>(3/(1+('CurrentPor-Equ Factor Movements'!C262+'CurrentPor-Equ Factor Movements'!G262)/100)+103/POWER(1+('CurrentPor-Equ Factor Movements'!D262+'CurrentPor-Equ Factor Movements'!G262)/100,2))*100</f>
        <v>9607.7873276791779</v>
      </c>
      <c r="D262">
        <f>(3/(1+('CurrentPor-Equ Factor Movements'!C262+'CurrentPor-Equ Factor Movements'!H262)/100)+103/POWER(1+('CurrentPor-Equ Factor Movements'!D262+'CurrentPor-Equ Factor Movements'!H262)/100,2))*100</f>
        <v>9572.2538466841106</v>
      </c>
      <c r="E262">
        <f>(3/(1+('CurrentPor-Equ Factor Movements'!C262+'CurrentPor-Equ Factor Movements'!I262)/100)+103/POWER(1+('CurrentPor-Equ Factor Movements'!D262+'CurrentPor-Equ Factor Movements'!I262)/100,2))*100</f>
        <v>9581.1661296490092</v>
      </c>
      <c r="F262">
        <f>Portfolio!B$5*'CurrentPor-Equ Factor Movements'!E262</f>
        <v>52143.895533915893</v>
      </c>
      <c r="G262">
        <f>Portfolio!B$6*'CurrentPor-Equ Factor Movements'!F262</f>
        <v>3696.2945087936532</v>
      </c>
      <c r="H262">
        <f>Portfolio!B$7*'CurrentPor-Equ Factor Movements'!J262</f>
        <v>2148.0998964419859</v>
      </c>
      <c r="I262">
        <f t="shared" si="8"/>
        <v>96457.083020592676</v>
      </c>
      <c r="J262">
        <f t="shared" si="9"/>
        <v>-45.734461508269305</v>
      </c>
    </row>
    <row r="263" spans="1:10">
      <c r="A263" s="1">
        <v>45838</v>
      </c>
      <c r="B263">
        <f>(3/(1+('CurrentPor-Equ Factor Movements'!C263)/100)+103/POWER(1+('CurrentPor-Equ Factor Movements'!D263)/100,2))*100</f>
        <v>9707.5857774288397</v>
      </c>
      <c r="C263">
        <f>(3/(1+('CurrentPor-Equ Factor Movements'!C263+'CurrentPor-Equ Factor Movements'!G263)/100)+103/POWER(1+('CurrentPor-Equ Factor Movements'!D263+'CurrentPor-Equ Factor Movements'!G263)/100,2))*100</f>
        <v>9599.903241215392</v>
      </c>
      <c r="D263">
        <f>(3/(1+('CurrentPor-Equ Factor Movements'!C263+'CurrentPor-Equ Factor Movements'!H263)/100)+103/POWER(1+('CurrentPor-Equ Factor Movements'!D263+'CurrentPor-Equ Factor Movements'!H263)/100,2))*100</f>
        <v>9591.1646952462615</v>
      </c>
      <c r="E263">
        <f>(3/(1+('CurrentPor-Equ Factor Movements'!C263+'CurrentPor-Equ Factor Movements'!I263)/100)+103/POWER(1+('CurrentPor-Equ Factor Movements'!D263+'CurrentPor-Equ Factor Movements'!I263)/100,2))*100</f>
        <v>9593.7302485209475</v>
      </c>
      <c r="F263">
        <f>Portfolio!B$5*'CurrentPor-Equ Factor Movements'!E263</f>
        <v>52143.895533915893</v>
      </c>
      <c r="G263">
        <f>Portfolio!B$6*'CurrentPor-Equ Factor Movements'!F263</f>
        <v>3696.2945087936532</v>
      </c>
      <c r="H263">
        <f>Portfolio!B$7*'CurrentPor-Equ Factor Movements'!J263</f>
        <v>2148.0998964419859</v>
      </c>
      <c r="I263">
        <f t="shared" si="8"/>
        <v>96480.673901562972</v>
      </c>
      <c r="J263">
        <f t="shared" si="9"/>
        <v>-26.549612521514064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2E3B-393F-4285-9623-93EEA85D72F9}">
  <dimension ref="A1:L263"/>
  <sheetViews>
    <sheetView topLeftCell="E1" workbookViewId="0">
      <selection activeCell="H10" sqref="H10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(3/(1+('CurrentPor-LH=10 unchanged'!C3)/100)+103/POWER(1+('CurrentPor-LH=10 unchanged'!D3)/100,2))*100</f>
        <v>9707.5857774288397</v>
      </c>
      <c r="C3">
        <f>(3/(1+('CurrentPor-LH=10 unchanged'!C3+'CurrentPor-LH=10 unchanged'!G3)/100)+103/POWER(1+('CurrentPor-LH=10 unchanged'!D3+'CurrentPor-LH=10 unchanged'!G3)/100,2))*100</f>
        <v>9608.3019517962894</v>
      </c>
      <c r="D3">
        <f>(3/(1+('CurrentPor-LH=10 unchanged'!C3+'CurrentPor-LH=10 unchanged'!H3)/100)+103/POWER(1+('CurrentPor-LH=10 unchanged'!D3+'CurrentPor-LH=10 unchanged'!H3)/100,2))*100</f>
        <v>9608.4831707255853</v>
      </c>
      <c r="E3">
        <f>(3/(1+('CurrentPor-LH=10 unchanged'!C3+'CurrentPor-LH=10 unchanged'!I3)/100)+103/POWER(1+('CurrentPor-LH=10 unchanged'!D3+'CurrentPor-LH=10 unchanged'!I3)/100,2))*100</f>
        <v>9575.1589567325373</v>
      </c>
      <c r="F3">
        <f>Portfolio!B$5*'CurrentPor-LH=10 unchanged'!E3</f>
        <v>52143.895533915893</v>
      </c>
      <c r="G3">
        <f>Portfolio!B$6*'CurrentPor-LH=10 unchanged'!F3</f>
        <v>3696.2945087936532</v>
      </c>
      <c r="H3">
        <f>Portfolio!B$7*'CurrentPor-LH=10 unchanged'!J3</f>
        <v>2148.0998964419859</v>
      </c>
      <c r="I3">
        <f>SUM(B3:H3)</f>
        <v>96487.819795834788</v>
      </c>
      <c r="K3" s="8">
        <f>_xlfn.PERCENTILE.INC(J13:J263, 0.025)</f>
        <v>-50.272022871366062</v>
      </c>
      <c r="L3">
        <f>AVERAGEIF(J13:J263, "&lt;="&amp;K3,J13:J263)</f>
        <v>-56.494317639978753</v>
      </c>
    </row>
    <row r="4" spans="1:12">
      <c r="A4" s="1">
        <v>45475</v>
      </c>
      <c r="B4">
        <f>(3/(1+('CurrentPor-LH=10 unchanged'!C4)/100)+103/POWER(1+('CurrentPor-LH=10 unchanged'!D4)/100,2))*100</f>
        <v>9707.5857774288397</v>
      </c>
      <c r="C4">
        <f>(3/(1+('CurrentPor-LH=10 unchanged'!C4+'CurrentPor-LH=10 unchanged'!G4)/100)+103/POWER(1+('CurrentPor-LH=10 unchanged'!D4+'CurrentPor-LH=10 unchanged'!G4)/100,2))*100</f>
        <v>9620.9502617200469</v>
      </c>
      <c r="D4">
        <f>(3/(1+('CurrentPor-LH=10 unchanged'!C4+'CurrentPor-LH=10 unchanged'!H4)/100)+103/POWER(1+('CurrentPor-LH=10 unchanged'!D4+'CurrentPor-LH=10 unchanged'!H4)/100,2))*100</f>
        <v>9580.8441477768902</v>
      </c>
      <c r="E4">
        <f>(3/(1+('CurrentPor-LH=10 unchanged'!C4+'CurrentPor-LH=10 unchanged'!I4)/100)+103/POWER(1+('CurrentPor-LH=10 unchanged'!D4+'CurrentPor-LH=10 unchanged'!I4)/100,2))*100</f>
        <v>9608.173991835838</v>
      </c>
      <c r="F4">
        <f>Portfolio!B$5*'CurrentPor-LH=10 unchanged'!E4</f>
        <v>52143.895533915893</v>
      </c>
      <c r="G4">
        <f>Portfolio!B$6*'CurrentPor-LH=10 unchanged'!F4</f>
        <v>3696.2945087936532</v>
      </c>
      <c r="H4">
        <f>Portfolio!B$7*'CurrentPor-LH=10 unchanged'!J4</f>
        <v>2148.0998964419859</v>
      </c>
      <c r="I4">
        <f t="shared" ref="I4:I67" si="0">SUM(B4:H4)</f>
        <v>96505.844117913148</v>
      </c>
    </row>
    <row r="5" spans="1:12">
      <c r="A5" s="1">
        <v>45476</v>
      </c>
      <c r="B5">
        <f>(3/(1+('CurrentPor-LH=10 unchanged'!C5)/100)+103/POWER(1+('CurrentPor-LH=10 unchanged'!D5)/100,2))*100</f>
        <v>9707.5857774288397</v>
      </c>
      <c r="C5">
        <f>(3/(1+('CurrentPor-LH=10 unchanged'!C5+'CurrentPor-LH=10 unchanged'!G5)/100)+103/POWER(1+('CurrentPor-LH=10 unchanged'!D5+'CurrentPor-LH=10 unchanged'!G5)/100,2))*100</f>
        <v>9615.5465069238653</v>
      </c>
      <c r="D5">
        <f>(3/(1+('CurrentPor-LH=10 unchanged'!C5+'CurrentPor-LH=10 unchanged'!H5)/100)+103/POWER(1+('CurrentPor-LH=10 unchanged'!D5+'CurrentPor-LH=10 unchanged'!H5)/100,2))*100</f>
        <v>9601.22363881622</v>
      </c>
      <c r="E5">
        <f>(3/(1+('CurrentPor-LH=10 unchanged'!C5+'CurrentPor-LH=10 unchanged'!I5)/100)+103/POWER(1+('CurrentPor-LH=10 unchanged'!D5+'CurrentPor-LH=10 unchanged'!I5)/100,2))*100</f>
        <v>9571.7256625780628</v>
      </c>
      <c r="F5">
        <f>Portfolio!B$5*'CurrentPor-LH=10 unchanged'!E5</f>
        <v>52143.895533915893</v>
      </c>
      <c r="G5">
        <f>Portfolio!B$6*'CurrentPor-LH=10 unchanged'!F5</f>
        <v>3696.2945087936532</v>
      </c>
      <c r="H5">
        <f>Portfolio!B$7*'CurrentPor-LH=10 unchanged'!J5</f>
        <v>2148.0998964419859</v>
      </c>
      <c r="I5">
        <f t="shared" si="0"/>
        <v>96484.371524898525</v>
      </c>
    </row>
    <row r="6" spans="1:12">
      <c r="A6" s="1">
        <v>45477</v>
      </c>
      <c r="B6">
        <f>(3/(1+('CurrentPor-LH=10 unchanged'!C6)/100)+103/POWER(1+('CurrentPor-LH=10 unchanged'!D6)/100,2))*100</f>
        <v>9707.5857774288397</v>
      </c>
      <c r="C6">
        <f>(3/(1+('CurrentPor-LH=10 unchanged'!C6+'CurrentPor-LH=10 unchanged'!G6)/100)+103/POWER(1+('CurrentPor-LH=10 unchanged'!D6+'CurrentPor-LH=10 unchanged'!G6)/100,2))*100</f>
        <v>9622.1828273560186</v>
      </c>
      <c r="D6">
        <f>(3/(1+('CurrentPor-LH=10 unchanged'!C6+'CurrentPor-LH=10 unchanged'!H6)/100)+103/POWER(1+('CurrentPor-LH=10 unchanged'!D6+'CurrentPor-LH=10 unchanged'!H6)/100,2))*100</f>
        <v>9595.6039308750369</v>
      </c>
      <c r="E6">
        <f>(3/(1+('CurrentPor-LH=10 unchanged'!C6+'CurrentPor-LH=10 unchanged'!I6)/100)+103/POWER(1+('CurrentPor-LH=10 unchanged'!D6+'CurrentPor-LH=10 unchanged'!I6)/100,2))*100</f>
        <v>9573.1692951556051</v>
      </c>
      <c r="F6">
        <f>Portfolio!B$5*'CurrentPor-LH=10 unchanged'!E6</f>
        <v>52143.895533915893</v>
      </c>
      <c r="G6">
        <f>Portfolio!B$6*'CurrentPor-LH=10 unchanged'!F6</f>
        <v>3696.2945087936532</v>
      </c>
      <c r="H6">
        <f>Portfolio!B$7*'CurrentPor-LH=10 unchanged'!J6</f>
        <v>2148.0998964419859</v>
      </c>
      <c r="I6">
        <f t="shared" si="0"/>
        <v>96486.83176996703</v>
      </c>
    </row>
    <row r="7" spans="1:12">
      <c r="A7" s="1">
        <v>45478</v>
      </c>
      <c r="B7">
        <f>(3/(1+('CurrentPor-LH=10 unchanged'!C7)/100)+103/POWER(1+('CurrentPor-LH=10 unchanged'!D7)/100,2))*100</f>
        <v>9707.5857774288397</v>
      </c>
      <c r="C7">
        <f>(3/(1+('CurrentPor-LH=10 unchanged'!C7+'CurrentPor-LH=10 unchanged'!G7)/100)+103/POWER(1+('CurrentPor-LH=10 unchanged'!D7+'CurrentPor-LH=10 unchanged'!G7)/100,2))*100</f>
        <v>9610.0109896335052</v>
      </c>
      <c r="D7">
        <f>(3/(1+('CurrentPor-LH=10 unchanged'!C7+'CurrentPor-LH=10 unchanged'!H7)/100)+103/POWER(1+('CurrentPor-LH=10 unchanged'!D7+'CurrentPor-LH=10 unchanged'!H7)/100,2))*100</f>
        <v>9601.6076030073982</v>
      </c>
      <c r="E7">
        <f>(3/(1+('CurrentPor-LH=10 unchanged'!C7+'CurrentPor-LH=10 unchanged'!I7)/100)+103/POWER(1+('CurrentPor-LH=10 unchanged'!D7+'CurrentPor-LH=10 unchanged'!I7)/100,2))*100</f>
        <v>9599.2036041801457</v>
      </c>
      <c r="F7">
        <f>Portfolio!B$5*'CurrentPor-LH=10 unchanged'!E7</f>
        <v>52143.895533915893</v>
      </c>
      <c r="G7">
        <f>Portfolio!B$6*'CurrentPor-LH=10 unchanged'!F7</f>
        <v>3696.2945087936532</v>
      </c>
      <c r="H7">
        <f>Portfolio!B$7*'CurrentPor-LH=10 unchanged'!J7</f>
        <v>2148.0998964419859</v>
      </c>
      <c r="I7">
        <f t="shared" si="0"/>
        <v>96506.697913401425</v>
      </c>
    </row>
    <row r="8" spans="1:12">
      <c r="A8" s="1">
        <v>45481</v>
      </c>
      <c r="B8">
        <f>(3/(1+('CurrentPor-LH=10 unchanged'!C8)/100)+103/POWER(1+('CurrentPor-LH=10 unchanged'!D8)/100,2))*100</f>
        <v>9707.5857774288397</v>
      </c>
      <c r="C8">
        <f>(3/(1+('CurrentPor-LH=10 unchanged'!C8+'CurrentPor-LH=10 unchanged'!G8)/100)+103/POWER(1+('CurrentPor-LH=10 unchanged'!D8+'CurrentPor-LH=10 unchanged'!G8)/100,2))*100</f>
        <v>9622.5302436768834</v>
      </c>
      <c r="D8">
        <f>(3/(1+('CurrentPor-LH=10 unchanged'!C8+'CurrentPor-LH=10 unchanged'!H8)/100)+103/POWER(1+('CurrentPor-LH=10 unchanged'!D8+'CurrentPor-LH=10 unchanged'!H8)/100,2))*100</f>
        <v>9592.1520262195118</v>
      </c>
      <c r="E8">
        <f>(3/(1+('CurrentPor-LH=10 unchanged'!C8+'CurrentPor-LH=10 unchanged'!I8)/100)+103/POWER(1+('CurrentPor-LH=10 unchanged'!D8+'CurrentPor-LH=10 unchanged'!I8)/100,2))*100</f>
        <v>9583.7286656073411</v>
      </c>
      <c r="F8">
        <f>Portfolio!B$5*'CurrentPor-LH=10 unchanged'!E8</f>
        <v>52143.895533915893</v>
      </c>
      <c r="G8">
        <f>Portfolio!B$6*'CurrentPor-LH=10 unchanged'!F8</f>
        <v>3696.2945087936532</v>
      </c>
      <c r="H8">
        <f>Portfolio!B$7*'CurrentPor-LH=10 unchanged'!J8</f>
        <v>2148.0998964419859</v>
      </c>
      <c r="I8">
        <f t="shared" si="0"/>
        <v>96494.286652084105</v>
      </c>
    </row>
    <row r="9" spans="1:12">
      <c r="A9" s="1">
        <v>45482</v>
      </c>
      <c r="B9">
        <f>(3/(1+('CurrentPor-LH=10 unchanged'!C9)/100)+103/POWER(1+('CurrentPor-LH=10 unchanged'!D9)/100,2))*100</f>
        <v>9707.5857774288397</v>
      </c>
      <c r="C9">
        <f>(3/(1+('CurrentPor-LH=10 unchanged'!C9+'CurrentPor-LH=10 unchanged'!G9)/100)+103/POWER(1+('CurrentPor-LH=10 unchanged'!D9+'CurrentPor-LH=10 unchanged'!G9)/100,2))*100</f>
        <v>9614.1253643748933</v>
      </c>
      <c r="D9">
        <f>(3/(1+('CurrentPor-LH=10 unchanged'!C9+'CurrentPor-LH=10 unchanged'!H9)/100)+103/POWER(1+('CurrentPor-LH=10 unchanged'!D9+'CurrentPor-LH=10 unchanged'!H9)/100,2))*100</f>
        <v>9604.5887903685471</v>
      </c>
      <c r="E9">
        <f>(3/(1+('CurrentPor-LH=10 unchanged'!C9+'CurrentPor-LH=10 unchanged'!I9)/100)+103/POWER(1+('CurrentPor-LH=10 unchanged'!D9+'CurrentPor-LH=10 unchanged'!I9)/100,2))*100</f>
        <v>9584.4408794337596</v>
      </c>
      <c r="F9">
        <f>Portfolio!B$5*'CurrentPor-LH=10 unchanged'!E9</f>
        <v>52143.895533915893</v>
      </c>
      <c r="G9">
        <f>Portfolio!B$6*'CurrentPor-LH=10 unchanged'!F9</f>
        <v>3696.2945087936532</v>
      </c>
      <c r="H9">
        <f>Portfolio!B$7*'CurrentPor-LH=10 unchanged'!J9</f>
        <v>2148.0998964419859</v>
      </c>
      <c r="I9">
        <f t="shared" si="0"/>
        <v>96499.030750757564</v>
      </c>
    </row>
    <row r="10" spans="1:12">
      <c r="A10" s="1">
        <v>45483</v>
      </c>
      <c r="B10">
        <f>(3/(1+('CurrentPor-LH=10 unchanged'!C10)/100)+103/POWER(1+('CurrentPor-LH=10 unchanged'!D10)/100,2))*100</f>
        <v>9707.5857774288397</v>
      </c>
      <c r="C10">
        <f>(3/(1+('CurrentPor-LH=10 unchanged'!C10+'CurrentPor-LH=10 unchanged'!G10)/100)+103/POWER(1+('CurrentPor-LH=10 unchanged'!D10+'CurrentPor-LH=10 unchanged'!G10)/100,2))*100</f>
        <v>9617.1918676514779</v>
      </c>
      <c r="D10">
        <f>(3/(1+('CurrentPor-LH=10 unchanged'!C10+'CurrentPor-LH=10 unchanged'!H10)/100)+103/POWER(1+('CurrentPor-LH=10 unchanged'!D10+'CurrentPor-LH=10 unchanged'!H10)/100,2))*100</f>
        <v>9612.1495728840819</v>
      </c>
      <c r="E10">
        <f>(3/(1+('CurrentPor-LH=10 unchanged'!C10+'CurrentPor-LH=10 unchanged'!I10)/100)+103/POWER(1+('CurrentPor-LH=10 unchanged'!D10+'CurrentPor-LH=10 unchanged'!I10)/100,2))*100</f>
        <v>9581.614250157294</v>
      </c>
      <c r="F10">
        <f>Portfolio!B$5*'CurrentPor-LH=10 unchanged'!E10</f>
        <v>52143.895533915893</v>
      </c>
      <c r="G10">
        <f>Portfolio!B$6*'CurrentPor-LH=10 unchanged'!F10</f>
        <v>3696.2945087936532</v>
      </c>
      <c r="H10">
        <f>Portfolio!B$7*'CurrentPor-LH=10 unchanged'!J10</f>
        <v>2148.0998964419859</v>
      </c>
      <c r="I10">
        <f t="shared" si="0"/>
        <v>96506.831407273232</v>
      </c>
    </row>
    <row r="11" spans="1:12">
      <c r="A11" s="1">
        <v>45484</v>
      </c>
      <c r="B11">
        <f>(3/(1+('CurrentPor-LH=10 unchanged'!C11)/100)+103/POWER(1+('CurrentPor-LH=10 unchanged'!D11)/100,2))*100</f>
        <v>9707.5857774288397</v>
      </c>
      <c r="C11">
        <f>(3/(1+('CurrentPor-LH=10 unchanged'!C11+'CurrentPor-LH=10 unchanged'!G11)/100)+103/POWER(1+('CurrentPor-LH=10 unchanged'!D11+'CurrentPor-LH=10 unchanged'!G11)/100,2))*100</f>
        <v>9622.7870694423946</v>
      </c>
      <c r="D11">
        <f>(3/(1+('CurrentPor-LH=10 unchanged'!C11+'CurrentPor-LH=10 unchanged'!H11)/100)+103/POWER(1+('CurrentPor-LH=10 unchanged'!D11+'CurrentPor-LH=10 unchanged'!H11)/100,2))*100</f>
        <v>9591.2438499943146</v>
      </c>
      <c r="E11">
        <f>(3/(1+('CurrentPor-LH=10 unchanged'!C11+'CurrentPor-LH=10 unchanged'!I11)/100)+103/POWER(1+('CurrentPor-LH=10 unchanged'!D11+'CurrentPor-LH=10 unchanged'!I11)/100,2))*100</f>
        <v>9583.1691170728209</v>
      </c>
      <c r="F11">
        <f>Portfolio!B$5*'CurrentPor-LH=10 unchanged'!E11</f>
        <v>52143.895533915893</v>
      </c>
      <c r="G11">
        <f>Portfolio!B$6*'CurrentPor-LH=10 unchanged'!F11</f>
        <v>3696.2945087936532</v>
      </c>
      <c r="H11">
        <f>Portfolio!B$7*'CurrentPor-LH=10 unchanged'!J11</f>
        <v>2148.0998964419859</v>
      </c>
      <c r="I11">
        <f t="shared" si="0"/>
        <v>96493.075753089899</v>
      </c>
    </row>
    <row r="12" spans="1:12">
      <c r="A12" s="1">
        <v>45485</v>
      </c>
      <c r="B12">
        <f>(3/(1+('CurrentPor-LH=10 unchanged'!C12)/100)+103/POWER(1+('CurrentPor-LH=10 unchanged'!D12)/100,2))*100</f>
        <v>9707.5857774288397</v>
      </c>
      <c r="C12">
        <f>(3/(1+('CurrentPor-LH=10 unchanged'!C12+'CurrentPor-LH=10 unchanged'!G12)/100)+103/POWER(1+('CurrentPor-LH=10 unchanged'!D12+'CurrentPor-LH=10 unchanged'!G12)/100,2))*100</f>
        <v>9613.34180696162</v>
      </c>
      <c r="D12">
        <f>(3/(1+('CurrentPor-LH=10 unchanged'!C12+'CurrentPor-LH=10 unchanged'!H12)/100)+103/POWER(1+('CurrentPor-LH=10 unchanged'!D12+'CurrentPor-LH=10 unchanged'!H12)/100,2))*100</f>
        <v>9603.4225779589524</v>
      </c>
      <c r="E12">
        <f>(3/(1+('CurrentPor-LH=10 unchanged'!C12+'CurrentPor-LH=10 unchanged'!I12)/100)+103/POWER(1+('CurrentPor-LH=10 unchanged'!D12+'CurrentPor-LH=10 unchanged'!I12)/100,2))*100</f>
        <v>9571.1820794582345</v>
      </c>
      <c r="F12">
        <f>Portfolio!B$5*'CurrentPor-LH=10 unchanged'!E12</f>
        <v>52143.895533915893</v>
      </c>
      <c r="G12">
        <f>Portfolio!B$6*'CurrentPor-LH=10 unchanged'!F12</f>
        <v>3696.2945087936532</v>
      </c>
      <c r="H12">
        <f>Portfolio!B$7*'CurrentPor-LH=10 unchanged'!J12</f>
        <v>2148.0998964419859</v>
      </c>
      <c r="I12">
        <f t="shared" si="0"/>
        <v>96483.822180959178</v>
      </c>
    </row>
    <row r="13" spans="1:12">
      <c r="A13" s="1">
        <v>45488</v>
      </c>
      <c r="B13">
        <f>(3/(1+('CurrentPor-LH=10 unchanged'!C13)/100)+103/POWER(1+('CurrentPor-LH=10 unchanged'!D13)/100,2))*100</f>
        <v>9707.5857774288397</v>
      </c>
      <c r="C13">
        <f>(3/(1+('CurrentPor-LH=10 unchanged'!C13+'CurrentPor-LH=10 unchanged'!G13)/100)+103/POWER(1+('CurrentPor-LH=10 unchanged'!D13+'CurrentPor-LH=10 unchanged'!G13)/100,2))*100</f>
        <v>9608.4137985387933</v>
      </c>
      <c r="D13">
        <f>(3/(1+('CurrentPor-LH=10 unchanged'!C13+'CurrentPor-LH=10 unchanged'!H13)/100)+103/POWER(1+('CurrentPor-LH=10 unchanged'!D13+'CurrentPor-LH=10 unchanged'!H13)/100,2))*100</f>
        <v>9602.4186278269481</v>
      </c>
      <c r="E13">
        <f>(3/(1+('CurrentPor-LH=10 unchanged'!C13+'CurrentPor-LH=10 unchanged'!I13)/100)+103/POWER(1+('CurrentPor-LH=10 unchanged'!D13+'CurrentPor-LH=10 unchanged'!I13)/100,2))*100</f>
        <v>9585.2315882898347</v>
      </c>
      <c r="F13">
        <f>Portfolio!B$5*'CurrentPor-LH=10 unchanged'!E13</f>
        <v>52143.895533915893</v>
      </c>
      <c r="G13">
        <f>Portfolio!B$6*'CurrentPor-LH=10 unchanged'!F13</f>
        <v>3696.2945087936532</v>
      </c>
      <c r="H13">
        <f>Portfolio!B$7*'CurrentPor-LH=10 unchanged'!J13</f>
        <v>2148.0998964419859</v>
      </c>
      <c r="I13">
        <f t="shared" si="0"/>
        <v>96491.939731235951</v>
      </c>
      <c r="J13">
        <f>I13-I3</f>
        <v>4.1199354011623655</v>
      </c>
    </row>
    <row r="14" spans="1:12">
      <c r="A14" s="1">
        <v>45489</v>
      </c>
      <c r="B14">
        <f>(3/(1+('CurrentPor-LH=10 unchanged'!C14)/100)+103/POWER(1+('CurrentPor-LH=10 unchanged'!D14)/100,2))*100</f>
        <v>9707.5857774288397</v>
      </c>
      <c r="C14">
        <f>(3/(1+('CurrentPor-LH=10 unchanged'!C14+'CurrentPor-LH=10 unchanged'!G14)/100)+103/POWER(1+('CurrentPor-LH=10 unchanged'!D14+'CurrentPor-LH=10 unchanged'!G14)/100,2))*100</f>
        <v>9606.2869955886181</v>
      </c>
      <c r="D14">
        <f>(3/(1+('CurrentPor-LH=10 unchanged'!C14+'CurrentPor-LH=10 unchanged'!H14)/100)+103/POWER(1+('CurrentPor-LH=10 unchanged'!D14+'CurrentPor-LH=10 unchanged'!H14)/100,2))*100</f>
        <v>9587.8584087562595</v>
      </c>
      <c r="E14">
        <f>(3/(1+('CurrentPor-LH=10 unchanged'!C14+'CurrentPor-LH=10 unchanged'!I14)/100)+103/POWER(1+('CurrentPor-LH=10 unchanged'!D14+'CurrentPor-LH=10 unchanged'!I14)/100,2))*100</f>
        <v>9589.7520846498719</v>
      </c>
      <c r="F14">
        <f>Portfolio!B$5*'CurrentPor-LH=10 unchanged'!E14</f>
        <v>52143.895533915893</v>
      </c>
      <c r="G14">
        <f>Portfolio!B$6*'CurrentPor-LH=10 unchanged'!F14</f>
        <v>3696.2945087936532</v>
      </c>
      <c r="H14">
        <f>Portfolio!B$7*'CurrentPor-LH=10 unchanged'!J14</f>
        <v>2148.0998964419859</v>
      </c>
      <c r="I14">
        <f t="shared" si="0"/>
        <v>96479.773205575111</v>
      </c>
      <c r="J14">
        <f t="shared" ref="J14:J77" si="1">I14-I4</f>
        <v>-26.070912338036578</v>
      </c>
    </row>
    <row r="15" spans="1:12">
      <c r="A15" s="1">
        <v>45490</v>
      </c>
      <c r="B15">
        <f>(3/(1+('CurrentPor-LH=10 unchanged'!C15)/100)+103/POWER(1+('CurrentPor-LH=10 unchanged'!D15)/100,2))*100</f>
        <v>9707.5857774288397</v>
      </c>
      <c r="C15">
        <f>(3/(1+('CurrentPor-LH=10 unchanged'!C15+'CurrentPor-LH=10 unchanged'!G15)/100)+103/POWER(1+('CurrentPor-LH=10 unchanged'!D15+'CurrentPor-LH=10 unchanged'!G15)/100,2))*100</f>
        <v>9618.6994701385338</v>
      </c>
      <c r="D15">
        <f>(3/(1+('CurrentPor-LH=10 unchanged'!C15+'CurrentPor-LH=10 unchanged'!H15)/100)+103/POWER(1+('CurrentPor-LH=10 unchanged'!D15+'CurrentPor-LH=10 unchanged'!H15)/100,2))*100</f>
        <v>9605.176526888763</v>
      </c>
      <c r="E15">
        <f>(3/(1+('CurrentPor-LH=10 unchanged'!C15+'CurrentPor-LH=10 unchanged'!I15)/100)+103/POWER(1+('CurrentPor-LH=10 unchanged'!D15+'CurrentPor-LH=10 unchanged'!I15)/100,2))*100</f>
        <v>9586.7422146760127</v>
      </c>
      <c r="F15">
        <f>Portfolio!B$5*'CurrentPor-LH=10 unchanged'!E15</f>
        <v>52143.895533915893</v>
      </c>
      <c r="G15">
        <f>Portfolio!B$6*'CurrentPor-LH=10 unchanged'!F15</f>
        <v>3696.2945087936532</v>
      </c>
      <c r="H15">
        <f>Portfolio!B$7*'CurrentPor-LH=10 unchanged'!J15</f>
        <v>2148.0998964419859</v>
      </c>
      <c r="I15">
        <f t="shared" si="0"/>
        <v>96506.493928283671</v>
      </c>
      <c r="J15">
        <f t="shared" si="1"/>
        <v>22.122403385146754</v>
      </c>
    </row>
    <row r="16" spans="1:12">
      <c r="A16" s="1">
        <v>45491</v>
      </c>
      <c r="B16">
        <f>(3/(1+('CurrentPor-LH=10 unchanged'!C16)/100)+103/POWER(1+('CurrentPor-LH=10 unchanged'!D16)/100,2))*100</f>
        <v>9707.5857774288397</v>
      </c>
      <c r="C16">
        <f>(3/(1+('CurrentPor-LH=10 unchanged'!C16+'CurrentPor-LH=10 unchanged'!G16)/100)+103/POWER(1+('CurrentPor-LH=10 unchanged'!D16+'CurrentPor-LH=10 unchanged'!G16)/100,2))*100</f>
        <v>9615.7741762819587</v>
      </c>
      <c r="D16">
        <f>(3/(1+('CurrentPor-LH=10 unchanged'!C16+'CurrentPor-LH=10 unchanged'!H16)/100)+103/POWER(1+('CurrentPor-LH=10 unchanged'!D16+'CurrentPor-LH=10 unchanged'!H16)/100,2))*100</f>
        <v>9592.6654639924182</v>
      </c>
      <c r="E16">
        <f>(3/(1+('CurrentPor-LH=10 unchanged'!C16+'CurrentPor-LH=10 unchanged'!I16)/100)+103/POWER(1+('CurrentPor-LH=10 unchanged'!D16+'CurrentPor-LH=10 unchanged'!I16)/100,2))*100</f>
        <v>9583.5216954183179</v>
      </c>
      <c r="F16">
        <f>Portfolio!B$5*'CurrentPor-LH=10 unchanged'!E16</f>
        <v>52143.895533915893</v>
      </c>
      <c r="G16">
        <f>Portfolio!B$6*'CurrentPor-LH=10 unchanged'!F16</f>
        <v>3696.2945087936532</v>
      </c>
      <c r="H16">
        <f>Portfolio!B$7*'CurrentPor-LH=10 unchanged'!J16</f>
        <v>2148.0998964419859</v>
      </c>
      <c r="I16">
        <f t="shared" si="0"/>
        <v>96487.837052273069</v>
      </c>
      <c r="J16">
        <f t="shared" si="1"/>
        <v>1.0052823060395895</v>
      </c>
    </row>
    <row r="17" spans="1:10">
      <c r="A17" s="1">
        <v>45492</v>
      </c>
      <c r="B17">
        <f>(3/(1+('CurrentPor-LH=10 unchanged'!C17)/100)+103/POWER(1+('CurrentPor-LH=10 unchanged'!D17)/100,2))*100</f>
        <v>9707.5857774288397</v>
      </c>
      <c r="C17">
        <f>(3/(1+('CurrentPor-LH=10 unchanged'!C17+'CurrentPor-LH=10 unchanged'!G17)/100)+103/POWER(1+('CurrentPor-LH=10 unchanged'!D17+'CurrentPor-LH=10 unchanged'!G17)/100,2))*100</f>
        <v>9611.6922703452237</v>
      </c>
      <c r="D17">
        <f>(3/(1+('CurrentPor-LH=10 unchanged'!C17+'CurrentPor-LH=10 unchanged'!H17)/100)+103/POWER(1+('CurrentPor-LH=10 unchanged'!D17+'CurrentPor-LH=10 unchanged'!H17)/100,2))*100</f>
        <v>9619.3350978902836</v>
      </c>
      <c r="E17">
        <f>(3/(1+('CurrentPor-LH=10 unchanged'!C17+'CurrentPor-LH=10 unchanged'!I17)/100)+103/POWER(1+('CurrentPor-LH=10 unchanged'!D17+'CurrentPor-LH=10 unchanged'!I17)/100,2))*100</f>
        <v>9573.6858060706818</v>
      </c>
      <c r="F17">
        <f>Portfolio!B$5*'CurrentPor-LH=10 unchanged'!E17</f>
        <v>52143.895533915893</v>
      </c>
      <c r="G17">
        <f>Portfolio!B$6*'CurrentPor-LH=10 unchanged'!F17</f>
        <v>3696.2945087936532</v>
      </c>
      <c r="H17">
        <f>Portfolio!B$7*'CurrentPor-LH=10 unchanged'!J17</f>
        <v>2148.0998964419859</v>
      </c>
      <c r="I17">
        <f t="shared" si="0"/>
        <v>96500.58889088656</v>
      </c>
      <c r="J17">
        <f t="shared" si="1"/>
        <v>-6.1090225148655009</v>
      </c>
    </row>
    <row r="18" spans="1:10">
      <c r="A18" s="1">
        <v>45495</v>
      </c>
      <c r="B18">
        <f>(3/(1+('CurrentPor-LH=10 unchanged'!C18)/100)+103/POWER(1+('CurrentPor-LH=10 unchanged'!D18)/100,2))*100</f>
        <v>9707.5857774288397</v>
      </c>
      <c r="C18">
        <f>(3/(1+('CurrentPor-LH=10 unchanged'!C18+'CurrentPor-LH=10 unchanged'!G18)/100)+103/POWER(1+('CurrentPor-LH=10 unchanged'!D18+'CurrentPor-LH=10 unchanged'!G18)/100,2))*100</f>
        <v>9614.2486694554173</v>
      </c>
      <c r="D18">
        <f>(3/(1+('CurrentPor-LH=10 unchanged'!C18+'CurrentPor-LH=10 unchanged'!H18)/100)+103/POWER(1+('CurrentPor-LH=10 unchanged'!D18+'CurrentPor-LH=10 unchanged'!H18)/100,2))*100</f>
        <v>9590.2114202214016</v>
      </c>
      <c r="E18">
        <f>(3/(1+('CurrentPor-LH=10 unchanged'!C18+'CurrentPor-LH=10 unchanged'!I18)/100)+103/POWER(1+('CurrentPor-LH=10 unchanged'!D18+'CurrentPor-LH=10 unchanged'!I18)/100,2))*100</f>
        <v>9555.1196803116018</v>
      </c>
      <c r="F18">
        <f>Portfolio!B$5*'CurrentPor-LH=10 unchanged'!E18</f>
        <v>52143.895533915893</v>
      </c>
      <c r="G18">
        <f>Portfolio!B$6*'CurrentPor-LH=10 unchanged'!F18</f>
        <v>3696.2945087936532</v>
      </c>
      <c r="H18">
        <f>Portfolio!B$7*'CurrentPor-LH=10 unchanged'!J18</f>
        <v>2148.0998964419859</v>
      </c>
      <c r="I18">
        <f t="shared" si="0"/>
        <v>96455.455486568782</v>
      </c>
      <c r="J18">
        <f t="shared" si="1"/>
        <v>-38.831165515322937</v>
      </c>
    </row>
    <row r="19" spans="1:10">
      <c r="A19" s="1">
        <v>45496</v>
      </c>
      <c r="B19">
        <f>(3/(1+('CurrentPor-LH=10 unchanged'!C19)/100)+103/POWER(1+('CurrentPor-LH=10 unchanged'!D19)/100,2))*100</f>
        <v>9707.5857774288397</v>
      </c>
      <c r="C19">
        <f>(3/(1+('CurrentPor-LH=10 unchanged'!C19+'CurrentPor-LH=10 unchanged'!G19)/100)+103/POWER(1+('CurrentPor-LH=10 unchanged'!D19+'CurrentPor-LH=10 unchanged'!G19)/100,2))*100</f>
        <v>9622.2191934734765</v>
      </c>
      <c r="D19">
        <f>(3/(1+('CurrentPor-LH=10 unchanged'!C19+'CurrentPor-LH=10 unchanged'!H19)/100)+103/POWER(1+('CurrentPor-LH=10 unchanged'!D19+'CurrentPor-LH=10 unchanged'!H19)/100,2))*100</f>
        <v>9613.0848737011438</v>
      </c>
      <c r="E19">
        <f>(3/(1+('CurrentPor-LH=10 unchanged'!C19+'CurrentPor-LH=10 unchanged'!I19)/100)+103/POWER(1+('CurrentPor-LH=10 unchanged'!D19+'CurrentPor-LH=10 unchanged'!I19)/100,2))*100</f>
        <v>9576.8191548123305</v>
      </c>
      <c r="F19">
        <f>Portfolio!B$5*'CurrentPor-LH=10 unchanged'!E19</f>
        <v>52143.895533915893</v>
      </c>
      <c r="G19">
        <f>Portfolio!B$6*'CurrentPor-LH=10 unchanged'!F19</f>
        <v>3696.2945087936532</v>
      </c>
      <c r="H19">
        <f>Portfolio!B$7*'CurrentPor-LH=10 unchanged'!J19</f>
        <v>2148.0998964419859</v>
      </c>
      <c r="I19">
        <f t="shared" si="0"/>
        <v>96507.998938567325</v>
      </c>
      <c r="J19">
        <f t="shared" si="1"/>
        <v>8.96818780976173</v>
      </c>
    </row>
    <row r="20" spans="1:10">
      <c r="A20" s="1">
        <v>45497</v>
      </c>
      <c r="B20">
        <f>(3/(1+('CurrentPor-LH=10 unchanged'!C20)/100)+103/POWER(1+('CurrentPor-LH=10 unchanged'!D20)/100,2))*100</f>
        <v>9707.5857774288397</v>
      </c>
      <c r="C20">
        <f>(3/(1+('CurrentPor-LH=10 unchanged'!C20+'CurrentPor-LH=10 unchanged'!G20)/100)+103/POWER(1+('CurrentPor-LH=10 unchanged'!D20+'CurrentPor-LH=10 unchanged'!G20)/100,2))*100</f>
        <v>9628.2254365732388</v>
      </c>
      <c r="D20">
        <f>(3/(1+('CurrentPor-LH=10 unchanged'!C20+'CurrentPor-LH=10 unchanged'!H20)/100)+103/POWER(1+('CurrentPor-LH=10 unchanged'!D20+'CurrentPor-LH=10 unchanged'!H20)/100,2))*100</f>
        <v>9599.4376936194167</v>
      </c>
      <c r="E20">
        <f>(3/(1+('CurrentPor-LH=10 unchanged'!C20+'CurrentPor-LH=10 unchanged'!I20)/100)+103/POWER(1+('CurrentPor-LH=10 unchanged'!D20+'CurrentPor-LH=10 unchanged'!I20)/100,2))*100</f>
        <v>9588.418014477551</v>
      </c>
      <c r="F20">
        <f>Portfolio!B$5*'CurrentPor-LH=10 unchanged'!E20</f>
        <v>52143.895533915893</v>
      </c>
      <c r="G20">
        <f>Portfolio!B$6*'CurrentPor-LH=10 unchanged'!F20</f>
        <v>3696.2945087936532</v>
      </c>
      <c r="H20">
        <f>Portfolio!B$7*'CurrentPor-LH=10 unchanged'!J20</f>
        <v>2148.0998964419859</v>
      </c>
      <c r="I20">
        <f t="shared" si="0"/>
        <v>96511.956861250583</v>
      </c>
      <c r="J20">
        <f t="shared" si="1"/>
        <v>5.1254539773508441</v>
      </c>
    </row>
    <row r="21" spans="1:10">
      <c r="A21" s="1">
        <v>45498</v>
      </c>
      <c r="B21">
        <f>(3/(1+('CurrentPor-LH=10 unchanged'!C21)/100)+103/POWER(1+('CurrentPor-LH=10 unchanged'!D21)/100,2))*100</f>
        <v>9707.5857774288397</v>
      </c>
      <c r="C21">
        <f>(3/(1+('CurrentPor-LH=10 unchanged'!C21+'CurrentPor-LH=10 unchanged'!G21)/100)+103/POWER(1+('CurrentPor-LH=10 unchanged'!D21+'CurrentPor-LH=10 unchanged'!G21)/100,2))*100</f>
        <v>9614.9732416117295</v>
      </c>
      <c r="D21">
        <f>(3/(1+('CurrentPor-LH=10 unchanged'!C21+'CurrentPor-LH=10 unchanged'!H21)/100)+103/POWER(1+('CurrentPor-LH=10 unchanged'!D21+'CurrentPor-LH=10 unchanged'!H21)/100,2))*100</f>
        <v>9583.6202520318457</v>
      </c>
      <c r="E21">
        <f>(3/(1+('CurrentPor-LH=10 unchanged'!C21+'CurrentPor-LH=10 unchanged'!I21)/100)+103/POWER(1+('CurrentPor-LH=10 unchanged'!D21+'CurrentPor-LH=10 unchanged'!I21)/100,2))*100</f>
        <v>9576.5609483933495</v>
      </c>
      <c r="F21">
        <f>Portfolio!B$5*'CurrentPor-LH=10 unchanged'!E21</f>
        <v>52143.895533915893</v>
      </c>
      <c r="G21">
        <f>Portfolio!B$6*'CurrentPor-LH=10 unchanged'!F21</f>
        <v>3696.2945087936532</v>
      </c>
      <c r="H21">
        <f>Portfolio!B$7*'CurrentPor-LH=10 unchanged'!J21</f>
        <v>2148.0998964419859</v>
      </c>
      <c r="I21">
        <f t="shared" si="0"/>
        <v>96471.030158617301</v>
      </c>
      <c r="J21">
        <f t="shared" si="1"/>
        <v>-22.045594472598168</v>
      </c>
    </row>
    <row r="22" spans="1:10">
      <c r="A22" s="1">
        <v>45499</v>
      </c>
      <c r="B22">
        <f>(3/(1+('CurrentPor-LH=10 unchanged'!C22)/100)+103/POWER(1+('CurrentPor-LH=10 unchanged'!D22)/100,2))*100</f>
        <v>9707.5857774288397</v>
      </c>
      <c r="C22">
        <f>(3/(1+('CurrentPor-LH=10 unchanged'!C22+'CurrentPor-LH=10 unchanged'!G22)/100)+103/POWER(1+('CurrentPor-LH=10 unchanged'!D22+'CurrentPor-LH=10 unchanged'!G22)/100,2))*100</f>
        <v>9603.7537428517426</v>
      </c>
      <c r="D22">
        <f>(3/(1+('CurrentPor-LH=10 unchanged'!C22+'CurrentPor-LH=10 unchanged'!H22)/100)+103/POWER(1+('CurrentPor-LH=10 unchanged'!D22+'CurrentPor-LH=10 unchanged'!H22)/100,2))*100</f>
        <v>9604.2643099340457</v>
      </c>
      <c r="E22">
        <f>(3/(1+('CurrentPor-LH=10 unchanged'!C22+'CurrentPor-LH=10 unchanged'!I22)/100)+103/POWER(1+('CurrentPor-LH=10 unchanged'!D22+'CurrentPor-LH=10 unchanged'!I22)/100,2))*100</f>
        <v>9575.8653890155892</v>
      </c>
      <c r="F22">
        <f>Portfolio!B$5*'CurrentPor-LH=10 unchanged'!E22</f>
        <v>52143.895533915893</v>
      </c>
      <c r="G22">
        <f>Portfolio!B$6*'CurrentPor-LH=10 unchanged'!F22</f>
        <v>3696.2945087936532</v>
      </c>
      <c r="H22">
        <f>Portfolio!B$7*'CurrentPor-LH=10 unchanged'!J22</f>
        <v>2148.0998964419859</v>
      </c>
      <c r="I22">
        <f t="shared" si="0"/>
        <v>96479.759158381741</v>
      </c>
      <c r="J22">
        <f t="shared" si="1"/>
        <v>-4.0630225774366409</v>
      </c>
    </row>
    <row r="23" spans="1:10">
      <c r="A23" s="1">
        <v>45502</v>
      </c>
      <c r="B23">
        <f>(3/(1+('CurrentPor-LH=10 unchanged'!C23)/100)+103/POWER(1+('CurrentPor-LH=10 unchanged'!D23)/100,2))*100</f>
        <v>9707.5857774288397</v>
      </c>
      <c r="C23">
        <f>(3/(1+('CurrentPor-LH=10 unchanged'!C23+'CurrentPor-LH=10 unchanged'!G23)/100)+103/POWER(1+('CurrentPor-LH=10 unchanged'!D23+'CurrentPor-LH=10 unchanged'!G23)/100,2))*100</f>
        <v>9603.970689685475</v>
      </c>
      <c r="D23">
        <f>(3/(1+('CurrentPor-LH=10 unchanged'!C23+'CurrentPor-LH=10 unchanged'!H23)/100)+103/POWER(1+('CurrentPor-LH=10 unchanged'!D23+'CurrentPor-LH=10 unchanged'!H23)/100,2))*100</f>
        <v>9585.7793957065187</v>
      </c>
      <c r="E23">
        <f>(3/(1+('CurrentPor-LH=10 unchanged'!C23+'CurrentPor-LH=10 unchanged'!I23)/100)+103/POWER(1+('CurrentPor-LH=10 unchanged'!D23+'CurrentPor-LH=10 unchanged'!I23)/100,2))*100</f>
        <v>9605.8920067133713</v>
      </c>
      <c r="F23">
        <f>Portfolio!B$5*'CurrentPor-LH=10 unchanged'!E23</f>
        <v>52143.895533915893</v>
      </c>
      <c r="G23">
        <f>Portfolio!B$6*'CurrentPor-LH=10 unchanged'!F23</f>
        <v>3696.2945087936532</v>
      </c>
      <c r="H23">
        <f>Portfolio!B$7*'CurrentPor-LH=10 unchanged'!J23</f>
        <v>2148.0998964419859</v>
      </c>
      <c r="I23">
        <f t="shared" si="0"/>
        <v>96491.517808685734</v>
      </c>
      <c r="J23">
        <f t="shared" si="1"/>
        <v>-0.42192255021655001</v>
      </c>
    </row>
    <row r="24" spans="1:10">
      <c r="A24" s="1">
        <v>45503</v>
      </c>
      <c r="B24">
        <f>(3/(1+('CurrentPor-LH=10 unchanged'!C24)/100)+103/POWER(1+('CurrentPor-LH=10 unchanged'!D24)/100,2))*100</f>
        <v>9707.5857774288397</v>
      </c>
      <c r="C24">
        <f>(3/(1+('CurrentPor-LH=10 unchanged'!C24+'CurrentPor-LH=10 unchanged'!G24)/100)+103/POWER(1+('CurrentPor-LH=10 unchanged'!D24+'CurrentPor-LH=10 unchanged'!G24)/100,2))*100</f>
        <v>9617.7127244258372</v>
      </c>
      <c r="D24">
        <f>(3/(1+('CurrentPor-LH=10 unchanged'!C24+'CurrentPor-LH=10 unchanged'!H24)/100)+103/POWER(1+('CurrentPor-LH=10 unchanged'!D24+'CurrentPor-LH=10 unchanged'!H24)/100,2))*100</f>
        <v>9587.741782847821</v>
      </c>
      <c r="E24">
        <f>(3/(1+('CurrentPor-LH=10 unchanged'!C24+'CurrentPor-LH=10 unchanged'!I24)/100)+103/POWER(1+('CurrentPor-LH=10 unchanged'!D24+'CurrentPor-LH=10 unchanged'!I24)/100,2))*100</f>
        <v>9570.3761758867622</v>
      </c>
      <c r="F24">
        <f>Portfolio!B$5*'CurrentPor-LH=10 unchanged'!E24</f>
        <v>52143.895533915893</v>
      </c>
      <c r="G24">
        <f>Portfolio!B$6*'CurrentPor-LH=10 unchanged'!F24</f>
        <v>3696.2945087936532</v>
      </c>
      <c r="H24">
        <f>Portfolio!B$7*'CurrentPor-LH=10 unchanged'!J24</f>
        <v>2148.0998964419859</v>
      </c>
      <c r="I24">
        <f t="shared" si="0"/>
        <v>96471.706399740782</v>
      </c>
      <c r="J24">
        <f t="shared" si="1"/>
        <v>-8.0668058343289886</v>
      </c>
    </row>
    <row r="25" spans="1:10">
      <c r="A25" s="1">
        <v>45504</v>
      </c>
      <c r="B25">
        <f>(3/(1+('CurrentPor-LH=10 unchanged'!C25)/100)+103/POWER(1+('CurrentPor-LH=10 unchanged'!D25)/100,2))*100</f>
        <v>9707.5857774288397</v>
      </c>
      <c r="C25">
        <f>(3/(1+('CurrentPor-LH=10 unchanged'!C25+'CurrentPor-LH=10 unchanged'!G25)/100)+103/POWER(1+('CurrentPor-LH=10 unchanged'!D25+'CurrentPor-LH=10 unchanged'!G25)/100,2))*100</f>
        <v>9609.893889468236</v>
      </c>
      <c r="D25">
        <f>(3/(1+('CurrentPor-LH=10 unchanged'!C25+'CurrentPor-LH=10 unchanged'!H25)/100)+103/POWER(1+('CurrentPor-LH=10 unchanged'!D25+'CurrentPor-LH=10 unchanged'!H25)/100,2))*100</f>
        <v>9587.0261108158466</v>
      </c>
      <c r="E25">
        <f>(3/(1+('CurrentPor-LH=10 unchanged'!C25+'CurrentPor-LH=10 unchanged'!I25)/100)+103/POWER(1+('CurrentPor-LH=10 unchanged'!D25+'CurrentPor-LH=10 unchanged'!I25)/100,2))*100</f>
        <v>9585.2215346639932</v>
      </c>
      <c r="F25">
        <f>Portfolio!B$5*'CurrentPor-LH=10 unchanged'!E25</f>
        <v>52143.895533915893</v>
      </c>
      <c r="G25">
        <f>Portfolio!B$6*'CurrentPor-LH=10 unchanged'!F25</f>
        <v>3696.2945087936532</v>
      </c>
      <c r="H25">
        <f>Portfolio!B$7*'CurrentPor-LH=10 unchanged'!J25</f>
        <v>2148.0998964419859</v>
      </c>
      <c r="I25">
        <f t="shared" si="0"/>
        <v>96478.017251528436</v>
      </c>
      <c r="J25">
        <f t="shared" si="1"/>
        <v>-28.47667675523553</v>
      </c>
    </row>
    <row r="26" spans="1:10">
      <c r="A26" s="1">
        <v>45505</v>
      </c>
      <c r="B26">
        <f>(3/(1+('CurrentPor-LH=10 unchanged'!C26)/100)+103/POWER(1+('CurrentPor-LH=10 unchanged'!D26)/100,2))*100</f>
        <v>9707.5857774288397</v>
      </c>
      <c r="C26">
        <f>(3/(1+('CurrentPor-LH=10 unchanged'!C26+'CurrentPor-LH=10 unchanged'!G26)/100)+103/POWER(1+('CurrentPor-LH=10 unchanged'!D26+'CurrentPor-LH=10 unchanged'!G26)/100,2))*100</f>
        <v>9612.1849840062932</v>
      </c>
      <c r="D26">
        <f>(3/(1+('CurrentPor-LH=10 unchanged'!C26+'CurrentPor-LH=10 unchanged'!H26)/100)+103/POWER(1+('CurrentPor-LH=10 unchanged'!D26+'CurrentPor-LH=10 unchanged'!H26)/100,2))*100</f>
        <v>9598.5854776543893</v>
      </c>
      <c r="E26">
        <f>(3/(1+('CurrentPor-LH=10 unchanged'!C26+'CurrentPor-LH=10 unchanged'!I26)/100)+103/POWER(1+('CurrentPor-LH=10 unchanged'!D26+'CurrentPor-LH=10 unchanged'!I26)/100,2))*100</f>
        <v>9591.7347651572181</v>
      </c>
      <c r="F26">
        <f>Portfolio!B$5*'CurrentPor-LH=10 unchanged'!E26</f>
        <v>52143.895533915893</v>
      </c>
      <c r="G26">
        <f>Portfolio!B$6*'CurrentPor-LH=10 unchanged'!F26</f>
        <v>3696.2945087936532</v>
      </c>
      <c r="H26">
        <f>Portfolio!B$7*'CurrentPor-LH=10 unchanged'!J26</f>
        <v>2148.0998964419859</v>
      </c>
      <c r="I26">
        <f t="shared" si="0"/>
        <v>96498.380943398268</v>
      </c>
      <c r="J26">
        <f t="shared" si="1"/>
        <v>10.54389112519857</v>
      </c>
    </row>
    <row r="27" spans="1:10">
      <c r="A27" s="1">
        <v>45506</v>
      </c>
      <c r="B27">
        <f>(3/(1+('CurrentPor-LH=10 unchanged'!C27)/100)+103/POWER(1+('CurrentPor-LH=10 unchanged'!D27)/100,2))*100</f>
        <v>9707.5857774288397</v>
      </c>
      <c r="C27">
        <f>(3/(1+('CurrentPor-LH=10 unchanged'!C27+'CurrentPor-LH=10 unchanged'!G27)/100)+103/POWER(1+('CurrentPor-LH=10 unchanged'!D27+'CurrentPor-LH=10 unchanged'!G27)/100,2))*100</f>
        <v>9625.9869619291494</v>
      </c>
      <c r="D27">
        <f>(3/(1+('CurrentPor-LH=10 unchanged'!C27+'CurrentPor-LH=10 unchanged'!H27)/100)+103/POWER(1+('CurrentPor-LH=10 unchanged'!D27+'CurrentPor-LH=10 unchanged'!H27)/100,2))*100</f>
        <v>9603.8566869334627</v>
      </c>
      <c r="E27">
        <f>(3/(1+('CurrentPor-LH=10 unchanged'!C27+'CurrentPor-LH=10 unchanged'!I27)/100)+103/POWER(1+('CurrentPor-LH=10 unchanged'!D27+'CurrentPor-LH=10 unchanged'!I27)/100,2))*100</f>
        <v>9577.1750729760297</v>
      </c>
      <c r="F27">
        <f>Portfolio!B$5*'CurrentPor-LH=10 unchanged'!E27</f>
        <v>52143.895533915893</v>
      </c>
      <c r="G27">
        <f>Portfolio!B$6*'CurrentPor-LH=10 unchanged'!F27</f>
        <v>3696.2945087936532</v>
      </c>
      <c r="H27">
        <f>Portfolio!B$7*'CurrentPor-LH=10 unchanged'!J27</f>
        <v>2148.0998964419859</v>
      </c>
      <c r="I27">
        <f t="shared" si="0"/>
        <v>96502.894438419011</v>
      </c>
      <c r="J27">
        <f t="shared" si="1"/>
        <v>2.3055475324508734</v>
      </c>
    </row>
    <row r="28" spans="1:10">
      <c r="A28" s="1">
        <v>45509</v>
      </c>
      <c r="B28">
        <f>(3/(1+('CurrentPor-LH=10 unchanged'!C28)/100)+103/POWER(1+('CurrentPor-LH=10 unchanged'!D28)/100,2))*100</f>
        <v>9707.5857774288397</v>
      </c>
      <c r="C28">
        <f>(3/(1+('CurrentPor-LH=10 unchanged'!C28+'CurrentPor-LH=10 unchanged'!G28)/100)+103/POWER(1+('CurrentPor-LH=10 unchanged'!D28+'CurrentPor-LH=10 unchanged'!G28)/100,2))*100</f>
        <v>9610.3943011807551</v>
      </c>
      <c r="D28">
        <f>(3/(1+('CurrentPor-LH=10 unchanged'!C28+'CurrentPor-LH=10 unchanged'!H28)/100)+103/POWER(1+('CurrentPor-LH=10 unchanged'!D28+'CurrentPor-LH=10 unchanged'!H28)/100,2))*100</f>
        <v>9599.2871741419713</v>
      </c>
      <c r="E28">
        <f>(3/(1+('CurrentPor-LH=10 unchanged'!C28+'CurrentPor-LH=10 unchanged'!I28)/100)+103/POWER(1+('CurrentPor-LH=10 unchanged'!D28+'CurrentPor-LH=10 unchanged'!I28)/100,2))*100</f>
        <v>9593.0288264503997</v>
      </c>
      <c r="F28">
        <f>Portfolio!B$5*'CurrentPor-LH=10 unchanged'!E28</f>
        <v>52143.895533915893</v>
      </c>
      <c r="G28">
        <f>Portfolio!B$6*'CurrentPor-LH=10 unchanged'!F28</f>
        <v>3696.2945087936532</v>
      </c>
      <c r="H28">
        <f>Portfolio!B$7*'CurrentPor-LH=10 unchanged'!J28</f>
        <v>2148.0998964419859</v>
      </c>
      <c r="I28">
        <f t="shared" si="0"/>
        <v>96498.586018353497</v>
      </c>
      <c r="J28">
        <f t="shared" si="1"/>
        <v>43.130531784714549</v>
      </c>
    </row>
    <row r="29" spans="1:10">
      <c r="A29" s="1">
        <v>45510</v>
      </c>
      <c r="B29">
        <f>(3/(1+('CurrentPor-LH=10 unchanged'!C29)/100)+103/POWER(1+('CurrentPor-LH=10 unchanged'!D29)/100,2))*100</f>
        <v>9707.5857774288397</v>
      </c>
      <c r="C29">
        <f>(3/(1+('CurrentPor-LH=10 unchanged'!C29+'CurrentPor-LH=10 unchanged'!G29)/100)+103/POWER(1+('CurrentPor-LH=10 unchanged'!D29+'CurrentPor-LH=10 unchanged'!G29)/100,2))*100</f>
        <v>9610.8409319999428</v>
      </c>
      <c r="D29">
        <f>(3/(1+('CurrentPor-LH=10 unchanged'!C29+'CurrentPor-LH=10 unchanged'!H29)/100)+103/POWER(1+('CurrentPor-LH=10 unchanged'!D29+'CurrentPor-LH=10 unchanged'!H29)/100,2))*100</f>
        <v>9591.877277112786</v>
      </c>
      <c r="E29">
        <f>(3/(1+('CurrentPor-LH=10 unchanged'!C29+'CurrentPor-LH=10 unchanged'!I29)/100)+103/POWER(1+('CurrentPor-LH=10 unchanged'!D29+'CurrentPor-LH=10 unchanged'!I29)/100,2))*100</f>
        <v>9584.5545204923292</v>
      </c>
      <c r="F29">
        <f>Portfolio!B$5*'CurrentPor-LH=10 unchanged'!E29</f>
        <v>52143.895533915893</v>
      </c>
      <c r="G29">
        <f>Portfolio!B$6*'CurrentPor-LH=10 unchanged'!F29</f>
        <v>3696.2945087936532</v>
      </c>
      <c r="H29">
        <f>Portfolio!B$7*'CurrentPor-LH=10 unchanged'!J29</f>
        <v>2148.0998964419859</v>
      </c>
      <c r="I29">
        <f t="shared" si="0"/>
        <v>96483.148446185442</v>
      </c>
      <c r="J29">
        <f t="shared" si="1"/>
        <v>-24.850492381883669</v>
      </c>
    </row>
    <row r="30" spans="1:10">
      <c r="A30" s="1">
        <v>45511</v>
      </c>
      <c r="B30">
        <f>(3/(1+('CurrentPor-LH=10 unchanged'!C30)/100)+103/POWER(1+('CurrentPor-LH=10 unchanged'!D30)/100,2))*100</f>
        <v>9707.5857774288397</v>
      </c>
      <c r="C30">
        <f>(3/(1+('CurrentPor-LH=10 unchanged'!C30+'CurrentPor-LH=10 unchanged'!G30)/100)+103/POWER(1+('CurrentPor-LH=10 unchanged'!D30+'CurrentPor-LH=10 unchanged'!G30)/100,2))*100</f>
        <v>9620.837130164442</v>
      </c>
      <c r="D30">
        <f>(3/(1+('CurrentPor-LH=10 unchanged'!C30+'CurrentPor-LH=10 unchanged'!H30)/100)+103/POWER(1+('CurrentPor-LH=10 unchanged'!D30+'CurrentPor-LH=10 unchanged'!H30)/100,2))*100</f>
        <v>9596.2636434774704</v>
      </c>
      <c r="E30">
        <f>(3/(1+('CurrentPor-LH=10 unchanged'!C30+'CurrentPor-LH=10 unchanged'!I30)/100)+103/POWER(1+('CurrentPor-LH=10 unchanged'!D30+'CurrentPor-LH=10 unchanged'!I30)/100,2))*100</f>
        <v>9577.4296111919321</v>
      </c>
      <c r="F30">
        <f>Portfolio!B$5*'CurrentPor-LH=10 unchanged'!E30</f>
        <v>52143.895533915893</v>
      </c>
      <c r="G30">
        <f>Portfolio!B$6*'CurrentPor-LH=10 unchanged'!F30</f>
        <v>3696.2945087936532</v>
      </c>
      <c r="H30">
        <f>Portfolio!B$7*'CurrentPor-LH=10 unchanged'!J30</f>
        <v>2148.0998964419859</v>
      </c>
      <c r="I30">
        <f t="shared" si="0"/>
        <v>96490.406101414221</v>
      </c>
      <c r="J30">
        <f t="shared" si="1"/>
        <v>-21.550759836361976</v>
      </c>
    </row>
    <row r="31" spans="1:10">
      <c r="A31" s="1">
        <v>45512</v>
      </c>
      <c r="B31">
        <f>(3/(1+('CurrentPor-LH=10 unchanged'!C31)/100)+103/POWER(1+('CurrentPor-LH=10 unchanged'!D31)/100,2))*100</f>
        <v>9707.5857774288397</v>
      </c>
      <c r="C31">
        <f>(3/(1+('CurrentPor-LH=10 unchanged'!C31+'CurrentPor-LH=10 unchanged'!G31)/100)+103/POWER(1+('CurrentPor-LH=10 unchanged'!D31+'CurrentPor-LH=10 unchanged'!G31)/100,2))*100</f>
        <v>9596.8739181984201</v>
      </c>
      <c r="D31">
        <f>(3/(1+('CurrentPor-LH=10 unchanged'!C31+'CurrentPor-LH=10 unchanged'!H31)/100)+103/POWER(1+('CurrentPor-LH=10 unchanged'!D31+'CurrentPor-LH=10 unchanged'!H31)/100,2))*100</f>
        <v>9599.3375593100063</v>
      </c>
      <c r="E31">
        <f>(3/(1+('CurrentPor-LH=10 unchanged'!C31+'CurrentPor-LH=10 unchanged'!I31)/100)+103/POWER(1+('CurrentPor-LH=10 unchanged'!D31+'CurrentPor-LH=10 unchanged'!I31)/100,2))*100</f>
        <v>9561.1781162876941</v>
      </c>
      <c r="F31">
        <f>Portfolio!B$5*'CurrentPor-LH=10 unchanged'!E31</f>
        <v>52143.895533915893</v>
      </c>
      <c r="G31">
        <f>Portfolio!B$6*'CurrentPor-LH=10 unchanged'!F31</f>
        <v>3696.2945087936532</v>
      </c>
      <c r="H31">
        <f>Portfolio!B$7*'CurrentPor-LH=10 unchanged'!J31</f>
        <v>2148.0998964419859</v>
      </c>
      <c r="I31">
        <f t="shared" si="0"/>
        <v>96453.26531037649</v>
      </c>
      <c r="J31">
        <f t="shared" si="1"/>
        <v>-17.764848240811261</v>
      </c>
    </row>
    <row r="32" spans="1:10">
      <c r="A32" s="1">
        <v>45513</v>
      </c>
      <c r="B32">
        <f>(3/(1+('CurrentPor-LH=10 unchanged'!C32)/100)+103/POWER(1+('CurrentPor-LH=10 unchanged'!D32)/100,2))*100</f>
        <v>9707.5857774288397</v>
      </c>
      <c r="C32">
        <f>(3/(1+('CurrentPor-LH=10 unchanged'!C32+'CurrentPor-LH=10 unchanged'!G32)/100)+103/POWER(1+('CurrentPor-LH=10 unchanged'!D32+'CurrentPor-LH=10 unchanged'!G32)/100,2))*100</f>
        <v>9615.4554556448911</v>
      </c>
      <c r="D32">
        <f>(3/(1+('CurrentPor-LH=10 unchanged'!C32+'CurrentPor-LH=10 unchanged'!H32)/100)+103/POWER(1+('CurrentPor-LH=10 unchanged'!D32+'CurrentPor-LH=10 unchanged'!H32)/100,2))*100</f>
        <v>9592.5754135897623</v>
      </c>
      <c r="E32">
        <f>(3/(1+('CurrentPor-LH=10 unchanged'!C32+'CurrentPor-LH=10 unchanged'!I32)/100)+103/POWER(1+('CurrentPor-LH=10 unchanged'!D32+'CurrentPor-LH=10 unchanged'!I32)/100,2))*100</f>
        <v>9580.8587933303934</v>
      </c>
      <c r="F32">
        <f>Portfolio!B$5*'CurrentPor-LH=10 unchanged'!E32</f>
        <v>52143.895533915893</v>
      </c>
      <c r="G32">
        <f>Portfolio!B$6*'CurrentPor-LH=10 unchanged'!F32</f>
        <v>3696.2945087936532</v>
      </c>
      <c r="H32">
        <f>Portfolio!B$7*'CurrentPor-LH=10 unchanged'!J32</f>
        <v>2148.0998964419859</v>
      </c>
      <c r="I32">
        <f t="shared" si="0"/>
        <v>96484.765379145407</v>
      </c>
      <c r="J32">
        <f t="shared" si="1"/>
        <v>5.006220763665624</v>
      </c>
    </row>
    <row r="33" spans="1:10">
      <c r="A33" s="1">
        <v>45516</v>
      </c>
      <c r="B33">
        <f>(3/(1+('CurrentPor-LH=10 unchanged'!C33)/100)+103/POWER(1+('CurrentPor-LH=10 unchanged'!D33)/100,2))*100</f>
        <v>9707.5857774288397</v>
      </c>
      <c r="C33">
        <f>(3/(1+('CurrentPor-LH=10 unchanged'!C33+'CurrentPor-LH=10 unchanged'!G33)/100)+103/POWER(1+('CurrentPor-LH=10 unchanged'!D33+'CurrentPor-LH=10 unchanged'!G33)/100,2))*100</f>
        <v>9623.0314109702977</v>
      </c>
      <c r="D33">
        <f>(3/(1+('CurrentPor-LH=10 unchanged'!C33+'CurrentPor-LH=10 unchanged'!H33)/100)+103/POWER(1+('CurrentPor-LH=10 unchanged'!D33+'CurrentPor-LH=10 unchanged'!H33)/100,2))*100</f>
        <v>9613.3584542878034</v>
      </c>
      <c r="E33">
        <f>(3/(1+('CurrentPor-LH=10 unchanged'!C33+'CurrentPor-LH=10 unchanged'!I33)/100)+103/POWER(1+('CurrentPor-LH=10 unchanged'!D33+'CurrentPor-LH=10 unchanged'!I33)/100,2))*100</f>
        <v>9575.1823876153994</v>
      </c>
      <c r="F33">
        <f>Portfolio!B$5*'CurrentPor-LH=10 unchanged'!E33</f>
        <v>52143.895533915893</v>
      </c>
      <c r="G33">
        <f>Portfolio!B$6*'CurrentPor-LH=10 unchanged'!F33</f>
        <v>3696.2945087936532</v>
      </c>
      <c r="H33">
        <f>Portfolio!B$7*'CurrentPor-LH=10 unchanged'!J33</f>
        <v>2148.0998964419859</v>
      </c>
      <c r="I33">
        <f t="shared" si="0"/>
        <v>96507.447969453875</v>
      </c>
      <c r="J33">
        <f t="shared" si="1"/>
        <v>15.930160768140922</v>
      </c>
    </row>
    <row r="34" spans="1:10">
      <c r="A34" s="1">
        <v>45517</v>
      </c>
      <c r="B34">
        <f>(3/(1+('CurrentPor-LH=10 unchanged'!C34)/100)+103/POWER(1+('CurrentPor-LH=10 unchanged'!D34)/100,2))*100</f>
        <v>9707.5857774288397</v>
      </c>
      <c r="C34">
        <f>(3/(1+('CurrentPor-LH=10 unchanged'!C34+'CurrentPor-LH=10 unchanged'!G34)/100)+103/POWER(1+('CurrentPor-LH=10 unchanged'!D34+'CurrentPor-LH=10 unchanged'!G34)/100,2))*100</f>
        <v>9622.319492228462</v>
      </c>
      <c r="D34">
        <f>(3/(1+('CurrentPor-LH=10 unchanged'!C34+'CurrentPor-LH=10 unchanged'!H34)/100)+103/POWER(1+('CurrentPor-LH=10 unchanged'!D34+'CurrentPor-LH=10 unchanged'!H34)/100,2))*100</f>
        <v>9599.9734912089752</v>
      </c>
      <c r="E34">
        <f>(3/(1+('CurrentPor-LH=10 unchanged'!C34+'CurrentPor-LH=10 unchanged'!I34)/100)+103/POWER(1+('CurrentPor-LH=10 unchanged'!D34+'CurrentPor-LH=10 unchanged'!I34)/100,2))*100</f>
        <v>9584.3147758954219</v>
      </c>
      <c r="F34">
        <f>Portfolio!B$5*'CurrentPor-LH=10 unchanged'!E34</f>
        <v>52143.895533915893</v>
      </c>
      <c r="G34">
        <f>Portfolio!B$6*'CurrentPor-LH=10 unchanged'!F34</f>
        <v>3696.2945087936532</v>
      </c>
      <c r="H34">
        <f>Portfolio!B$7*'CurrentPor-LH=10 unchanged'!J34</f>
        <v>2148.0998964419859</v>
      </c>
      <c r="I34">
        <f t="shared" si="0"/>
        <v>96502.483475913221</v>
      </c>
      <c r="J34">
        <f t="shared" si="1"/>
        <v>30.777076172438683</v>
      </c>
    </row>
    <row r="35" spans="1:10">
      <c r="A35" s="1">
        <v>45518</v>
      </c>
      <c r="B35">
        <f>(3/(1+('CurrentPor-LH=10 unchanged'!C35)/100)+103/POWER(1+('CurrentPor-LH=10 unchanged'!D35)/100,2))*100</f>
        <v>9707.5857774288397</v>
      </c>
      <c r="C35">
        <f>(3/(1+('CurrentPor-LH=10 unchanged'!C35+'CurrentPor-LH=10 unchanged'!G35)/100)+103/POWER(1+('CurrentPor-LH=10 unchanged'!D35+'CurrentPor-LH=10 unchanged'!G35)/100,2))*100</f>
        <v>9617.1282429112161</v>
      </c>
      <c r="D35">
        <f>(3/(1+('CurrentPor-LH=10 unchanged'!C35+'CurrentPor-LH=10 unchanged'!H35)/100)+103/POWER(1+('CurrentPor-LH=10 unchanged'!D35+'CurrentPor-LH=10 unchanged'!H35)/100,2))*100</f>
        <v>9617.4544300445614</v>
      </c>
      <c r="E35">
        <f>(3/(1+('CurrentPor-LH=10 unchanged'!C35+'CurrentPor-LH=10 unchanged'!I35)/100)+103/POWER(1+('CurrentPor-LH=10 unchanged'!D35+'CurrentPor-LH=10 unchanged'!I35)/100,2))*100</f>
        <v>9589.0870386944407</v>
      </c>
      <c r="F35">
        <f>Portfolio!B$5*'CurrentPor-LH=10 unchanged'!E35</f>
        <v>52143.895533915893</v>
      </c>
      <c r="G35">
        <f>Portfolio!B$6*'CurrentPor-LH=10 unchanged'!F35</f>
        <v>3696.2945087936532</v>
      </c>
      <c r="H35">
        <f>Portfolio!B$7*'CurrentPor-LH=10 unchanged'!J35</f>
        <v>2148.0998964419859</v>
      </c>
      <c r="I35">
        <f t="shared" si="0"/>
        <v>96519.545428230587</v>
      </c>
      <c r="J35">
        <f t="shared" si="1"/>
        <v>41.528176702151541</v>
      </c>
    </row>
    <row r="36" spans="1:10">
      <c r="A36" s="1">
        <v>45519</v>
      </c>
      <c r="B36">
        <f>(3/(1+('CurrentPor-LH=10 unchanged'!C36)/100)+103/POWER(1+('CurrentPor-LH=10 unchanged'!D36)/100,2))*100</f>
        <v>9707.5857774288397</v>
      </c>
      <c r="C36">
        <f>(3/(1+('CurrentPor-LH=10 unchanged'!C36+'CurrentPor-LH=10 unchanged'!G36)/100)+103/POWER(1+('CurrentPor-LH=10 unchanged'!D36+'CurrentPor-LH=10 unchanged'!G36)/100,2))*100</f>
        <v>9630.2379964306856</v>
      </c>
      <c r="D36">
        <f>(3/(1+('CurrentPor-LH=10 unchanged'!C36+'CurrentPor-LH=10 unchanged'!H36)/100)+103/POWER(1+('CurrentPor-LH=10 unchanged'!D36+'CurrentPor-LH=10 unchanged'!H36)/100,2))*100</f>
        <v>9606.4378919718929</v>
      </c>
      <c r="E36">
        <f>(3/(1+('CurrentPor-LH=10 unchanged'!C36+'CurrentPor-LH=10 unchanged'!I36)/100)+103/POWER(1+('CurrentPor-LH=10 unchanged'!D36+'CurrentPor-LH=10 unchanged'!I36)/100,2))*100</f>
        <v>9578.468448491707</v>
      </c>
      <c r="F36">
        <f>Portfolio!B$5*'CurrentPor-LH=10 unchanged'!E36</f>
        <v>52143.895533915893</v>
      </c>
      <c r="G36">
        <f>Portfolio!B$6*'CurrentPor-LH=10 unchanged'!F36</f>
        <v>3696.2945087936532</v>
      </c>
      <c r="H36">
        <f>Portfolio!B$7*'CurrentPor-LH=10 unchanged'!J36</f>
        <v>2148.0998964419859</v>
      </c>
      <c r="I36">
        <f t="shared" si="0"/>
        <v>96511.020053474655</v>
      </c>
      <c r="J36">
        <f t="shared" si="1"/>
        <v>12.639110076386714</v>
      </c>
    </row>
    <row r="37" spans="1:10">
      <c r="A37" s="1">
        <v>45520</v>
      </c>
      <c r="B37">
        <f>(3/(1+('CurrentPor-LH=10 unchanged'!C37)/100)+103/POWER(1+('CurrentPor-LH=10 unchanged'!D37)/100,2))*100</f>
        <v>9707.5857774288397</v>
      </c>
      <c r="C37">
        <f>(3/(1+('CurrentPor-LH=10 unchanged'!C37+'CurrentPor-LH=10 unchanged'!G37)/100)+103/POWER(1+('CurrentPor-LH=10 unchanged'!D37+'CurrentPor-LH=10 unchanged'!G37)/100,2))*100</f>
        <v>9620.0063513034584</v>
      </c>
      <c r="D37">
        <f>(3/(1+('CurrentPor-LH=10 unchanged'!C37+'CurrentPor-LH=10 unchanged'!H37)/100)+103/POWER(1+('CurrentPor-LH=10 unchanged'!D37+'CurrentPor-LH=10 unchanged'!H37)/100,2))*100</f>
        <v>9601.8396664140328</v>
      </c>
      <c r="E37">
        <f>(3/(1+('CurrentPor-LH=10 unchanged'!C37+'CurrentPor-LH=10 unchanged'!I37)/100)+103/POWER(1+('CurrentPor-LH=10 unchanged'!D37+'CurrentPor-LH=10 unchanged'!I37)/100,2))*100</f>
        <v>9564.3187110696017</v>
      </c>
      <c r="F37">
        <f>Portfolio!B$5*'CurrentPor-LH=10 unchanged'!E37</f>
        <v>52143.895533915893</v>
      </c>
      <c r="G37">
        <f>Portfolio!B$6*'CurrentPor-LH=10 unchanged'!F37</f>
        <v>3696.2945087936532</v>
      </c>
      <c r="H37">
        <f>Portfolio!B$7*'CurrentPor-LH=10 unchanged'!J37</f>
        <v>2148.0998964419859</v>
      </c>
      <c r="I37">
        <f t="shared" si="0"/>
        <v>96482.040445367471</v>
      </c>
      <c r="J37">
        <f t="shared" si="1"/>
        <v>-20.853993051539874</v>
      </c>
    </row>
    <row r="38" spans="1:10">
      <c r="A38" s="1">
        <v>45523</v>
      </c>
      <c r="B38">
        <f>(3/(1+('CurrentPor-LH=10 unchanged'!C38)/100)+103/POWER(1+('CurrentPor-LH=10 unchanged'!D38)/100,2))*100</f>
        <v>9707.5857774288397</v>
      </c>
      <c r="C38">
        <f>(3/(1+('CurrentPor-LH=10 unchanged'!C38+'CurrentPor-LH=10 unchanged'!G38)/100)+103/POWER(1+('CurrentPor-LH=10 unchanged'!D38+'CurrentPor-LH=10 unchanged'!G38)/100,2))*100</f>
        <v>9612.3205116491426</v>
      </c>
      <c r="D38">
        <f>(3/(1+('CurrentPor-LH=10 unchanged'!C38+'CurrentPor-LH=10 unchanged'!H38)/100)+103/POWER(1+('CurrentPor-LH=10 unchanged'!D38+'CurrentPor-LH=10 unchanged'!H38)/100,2))*100</f>
        <v>9592.6540931823893</v>
      </c>
      <c r="E38">
        <f>(3/(1+('CurrentPor-LH=10 unchanged'!C38+'CurrentPor-LH=10 unchanged'!I38)/100)+103/POWER(1+('CurrentPor-LH=10 unchanged'!D38+'CurrentPor-LH=10 unchanged'!I38)/100,2))*100</f>
        <v>9573.0263628158391</v>
      </c>
      <c r="F38">
        <f>Portfolio!B$5*'CurrentPor-LH=10 unchanged'!E38</f>
        <v>52143.895533915893</v>
      </c>
      <c r="G38">
        <f>Portfolio!B$6*'CurrentPor-LH=10 unchanged'!F38</f>
        <v>3696.2945087936532</v>
      </c>
      <c r="H38">
        <f>Portfolio!B$7*'CurrentPor-LH=10 unchanged'!J38</f>
        <v>2148.0998964419859</v>
      </c>
      <c r="I38">
        <f t="shared" si="0"/>
        <v>96473.87668422774</v>
      </c>
      <c r="J38">
        <f t="shared" si="1"/>
        <v>-24.709334125756868</v>
      </c>
    </row>
    <row r="39" spans="1:10">
      <c r="A39" s="1">
        <v>45524</v>
      </c>
      <c r="B39">
        <f>(3/(1+('CurrentPor-LH=10 unchanged'!C39)/100)+103/POWER(1+('CurrentPor-LH=10 unchanged'!D39)/100,2))*100</f>
        <v>9707.5857774288397</v>
      </c>
      <c r="C39">
        <f>(3/(1+('CurrentPor-LH=10 unchanged'!C39+'CurrentPor-LH=10 unchanged'!G39)/100)+103/POWER(1+('CurrentPor-LH=10 unchanged'!D39+'CurrentPor-LH=10 unchanged'!G39)/100,2))*100</f>
        <v>9619.505271041462</v>
      </c>
      <c r="D39">
        <f>(3/(1+('CurrentPor-LH=10 unchanged'!C39+'CurrentPor-LH=10 unchanged'!H39)/100)+103/POWER(1+('CurrentPor-LH=10 unchanged'!D39+'CurrentPor-LH=10 unchanged'!H39)/100,2))*100</f>
        <v>9625.1736156509251</v>
      </c>
      <c r="E39">
        <f>(3/(1+('CurrentPor-LH=10 unchanged'!C39+'CurrentPor-LH=10 unchanged'!I39)/100)+103/POWER(1+('CurrentPor-LH=10 unchanged'!D39+'CurrentPor-LH=10 unchanged'!I39)/100,2))*100</f>
        <v>9582.6314627629308</v>
      </c>
      <c r="F39">
        <f>Portfolio!B$5*'CurrentPor-LH=10 unchanged'!E39</f>
        <v>52143.895533915893</v>
      </c>
      <c r="G39">
        <f>Portfolio!B$6*'CurrentPor-LH=10 unchanged'!F39</f>
        <v>3696.2945087936532</v>
      </c>
      <c r="H39">
        <f>Portfolio!B$7*'CurrentPor-LH=10 unchanged'!J39</f>
        <v>2148.0998964419859</v>
      </c>
      <c r="I39">
        <f t="shared" si="0"/>
        <v>96523.186066035691</v>
      </c>
      <c r="J39">
        <f t="shared" si="1"/>
        <v>40.03761985024903</v>
      </c>
    </row>
    <row r="40" spans="1:10">
      <c r="A40" s="1">
        <v>45525</v>
      </c>
      <c r="B40">
        <f>(3/(1+('CurrentPor-LH=10 unchanged'!C40)/100)+103/POWER(1+('CurrentPor-LH=10 unchanged'!D40)/100,2))*100</f>
        <v>9707.5857774288397</v>
      </c>
      <c r="C40">
        <f>(3/(1+('CurrentPor-LH=10 unchanged'!C40+'CurrentPor-LH=10 unchanged'!G40)/100)+103/POWER(1+('CurrentPor-LH=10 unchanged'!D40+'CurrentPor-LH=10 unchanged'!G40)/100,2))*100</f>
        <v>9620.9791365195815</v>
      </c>
      <c r="D40">
        <f>(3/(1+('CurrentPor-LH=10 unchanged'!C40+'CurrentPor-LH=10 unchanged'!H40)/100)+103/POWER(1+('CurrentPor-LH=10 unchanged'!D40+'CurrentPor-LH=10 unchanged'!H40)/100,2))*100</f>
        <v>9600.2563841916035</v>
      </c>
      <c r="E40">
        <f>(3/(1+('CurrentPor-LH=10 unchanged'!C40+'CurrentPor-LH=10 unchanged'!I40)/100)+103/POWER(1+('CurrentPor-LH=10 unchanged'!D40+'CurrentPor-LH=10 unchanged'!I40)/100,2))*100</f>
        <v>9574.0649348016141</v>
      </c>
      <c r="F40">
        <f>Portfolio!B$5*'CurrentPor-LH=10 unchanged'!E40</f>
        <v>52143.895533915893</v>
      </c>
      <c r="G40">
        <f>Portfolio!B$6*'CurrentPor-LH=10 unchanged'!F40</f>
        <v>3696.2945087936532</v>
      </c>
      <c r="H40">
        <f>Portfolio!B$7*'CurrentPor-LH=10 unchanged'!J40</f>
        <v>2148.0998964419859</v>
      </c>
      <c r="I40">
        <f t="shared" si="0"/>
        <v>96491.176172093183</v>
      </c>
      <c r="J40">
        <f t="shared" si="1"/>
        <v>0.77007067896192893</v>
      </c>
    </row>
    <row r="41" spans="1:10">
      <c r="A41" s="1">
        <v>45526</v>
      </c>
      <c r="B41">
        <f>(3/(1+('CurrentPor-LH=10 unchanged'!C41)/100)+103/POWER(1+('CurrentPor-LH=10 unchanged'!D41)/100,2))*100</f>
        <v>9707.5857774288397</v>
      </c>
      <c r="C41">
        <f>(3/(1+('CurrentPor-LH=10 unchanged'!C41+'CurrentPor-LH=10 unchanged'!G41)/100)+103/POWER(1+('CurrentPor-LH=10 unchanged'!D41+'CurrentPor-LH=10 unchanged'!G41)/100,2))*100</f>
        <v>9620.7240730903341</v>
      </c>
      <c r="D41">
        <f>(3/(1+('CurrentPor-LH=10 unchanged'!C41+'CurrentPor-LH=10 unchanged'!H41)/100)+103/POWER(1+('CurrentPor-LH=10 unchanged'!D41+'CurrentPor-LH=10 unchanged'!H41)/100,2))*100</f>
        <v>9586.4686258215042</v>
      </c>
      <c r="E41">
        <f>(3/(1+('CurrentPor-LH=10 unchanged'!C41+'CurrentPor-LH=10 unchanged'!I41)/100)+103/POWER(1+('CurrentPor-LH=10 unchanged'!D41+'CurrentPor-LH=10 unchanged'!I41)/100,2))*100</f>
        <v>9588.58430509553</v>
      </c>
      <c r="F41">
        <f>Portfolio!B$5*'CurrentPor-LH=10 unchanged'!E41</f>
        <v>52143.895533915893</v>
      </c>
      <c r="G41">
        <f>Portfolio!B$6*'CurrentPor-LH=10 unchanged'!F41</f>
        <v>3696.2945087936532</v>
      </c>
      <c r="H41">
        <f>Portfolio!B$7*'CurrentPor-LH=10 unchanged'!J41</f>
        <v>2148.0998964419859</v>
      </c>
      <c r="I41">
        <f t="shared" si="0"/>
        <v>96491.65272058775</v>
      </c>
      <c r="J41">
        <f t="shared" si="1"/>
        <v>38.387410211260431</v>
      </c>
    </row>
    <row r="42" spans="1:10">
      <c r="A42" s="1">
        <v>45527</v>
      </c>
      <c r="B42">
        <f>(3/(1+('CurrentPor-LH=10 unchanged'!C42)/100)+103/POWER(1+('CurrentPor-LH=10 unchanged'!D42)/100,2))*100</f>
        <v>9707.5857774288397</v>
      </c>
      <c r="C42">
        <f>(3/(1+('CurrentPor-LH=10 unchanged'!C42+'CurrentPor-LH=10 unchanged'!G42)/100)+103/POWER(1+('CurrentPor-LH=10 unchanged'!D42+'CurrentPor-LH=10 unchanged'!G42)/100,2))*100</f>
        <v>9606.2092307556177</v>
      </c>
      <c r="D42">
        <f>(3/(1+('CurrentPor-LH=10 unchanged'!C42+'CurrentPor-LH=10 unchanged'!H42)/100)+103/POWER(1+('CurrentPor-LH=10 unchanged'!D42+'CurrentPor-LH=10 unchanged'!H42)/100,2))*100</f>
        <v>9600.8553312528566</v>
      </c>
      <c r="E42">
        <f>(3/(1+('CurrentPor-LH=10 unchanged'!C42+'CurrentPor-LH=10 unchanged'!I42)/100)+103/POWER(1+('CurrentPor-LH=10 unchanged'!D42+'CurrentPor-LH=10 unchanged'!I42)/100,2))*100</f>
        <v>9582.9211678215052</v>
      </c>
      <c r="F42">
        <f>Portfolio!B$5*'CurrentPor-LH=10 unchanged'!E42</f>
        <v>52143.895533915893</v>
      </c>
      <c r="G42">
        <f>Portfolio!B$6*'CurrentPor-LH=10 unchanged'!F42</f>
        <v>3696.2945087936532</v>
      </c>
      <c r="H42">
        <f>Portfolio!B$7*'CurrentPor-LH=10 unchanged'!J42</f>
        <v>2148.0998964419859</v>
      </c>
      <c r="I42">
        <f t="shared" si="0"/>
        <v>96485.861446410345</v>
      </c>
      <c r="J42">
        <f t="shared" si="1"/>
        <v>1.0960672649380285</v>
      </c>
    </row>
    <row r="43" spans="1:10">
      <c r="A43" s="1">
        <v>45530</v>
      </c>
      <c r="B43">
        <f>(3/(1+('CurrentPor-LH=10 unchanged'!C43)/100)+103/POWER(1+('CurrentPor-LH=10 unchanged'!D43)/100,2))*100</f>
        <v>9707.5857774288397</v>
      </c>
      <c r="C43">
        <f>(3/(1+('CurrentPor-LH=10 unchanged'!C43+'CurrentPor-LH=10 unchanged'!G43)/100)+103/POWER(1+('CurrentPor-LH=10 unchanged'!D43+'CurrentPor-LH=10 unchanged'!G43)/100,2))*100</f>
        <v>9622.2455595716456</v>
      </c>
      <c r="D43">
        <f>(3/(1+('CurrentPor-LH=10 unchanged'!C43+'CurrentPor-LH=10 unchanged'!H43)/100)+103/POWER(1+('CurrentPor-LH=10 unchanged'!D43+'CurrentPor-LH=10 unchanged'!H43)/100,2))*100</f>
        <v>9603.023883456457</v>
      </c>
      <c r="E43">
        <f>(3/(1+('CurrentPor-LH=10 unchanged'!C43+'CurrentPor-LH=10 unchanged'!I43)/100)+103/POWER(1+('CurrentPor-LH=10 unchanged'!D43+'CurrentPor-LH=10 unchanged'!I43)/100,2))*100</f>
        <v>9592.1647925052803</v>
      </c>
      <c r="F43">
        <f>Portfolio!B$5*'CurrentPor-LH=10 unchanged'!E43</f>
        <v>52143.895533915893</v>
      </c>
      <c r="G43">
        <f>Portfolio!B$6*'CurrentPor-LH=10 unchanged'!F43</f>
        <v>3696.2945087936532</v>
      </c>
      <c r="H43">
        <f>Portfolio!B$7*'CurrentPor-LH=10 unchanged'!J43</f>
        <v>2148.0998964419859</v>
      </c>
      <c r="I43">
        <f t="shared" si="0"/>
        <v>96513.309952113763</v>
      </c>
      <c r="J43">
        <f t="shared" si="1"/>
        <v>5.8619826598878717</v>
      </c>
    </row>
    <row r="44" spans="1:10">
      <c r="A44" s="1">
        <v>45531</v>
      </c>
      <c r="B44">
        <f>(3/(1+('CurrentPor-LH=10 unchanged'!C44)/100)+103/POWER(1+('CurrentPor-LH=10 unchanged'!D44)/100,2))*100</f>
        <v>9707.5857774288397</v>
      </c>
      <c r="C44">
        <f>(3/(1+('CurrentPor-LH=10 unchanged'!C44+'CurrentPor-LH=10 unchanged'!G44)/100)+103/POWER(1+('CurrentPor-LH=10 unchanged'!D44+'CurrentPor-LH=10 unchanged'!G44)/100,2))*100</f>
        <v>9617.8803195458022</v>
      </c>
      <c r="D44">
        <f>(3/(1+('CurrentPor-LH=10 unchanged'!C44+'CurrentPor-LH=10 unchanged'!H44)/100)+103/POWER(1+('CurrentPor-LH=10 unchanged'!D44+'CurrentPor-LH=10 unchanged'!H44)/100,2))*100</f>
        <v>9600.1944563179932</v>
      </c>
      <c r="E44">
        <f>(3/(1+('CurrentPor-LH=10 unchanged'!C44+'CurrentPor-LH=10 unchanged'!I44)/100)+103/POWER(1+('CurrentPor-LH=10 unchanged'!D44+'CurrentPor-LH=10 unchanged'!I44)/100,2))*100</f>
        <v>9574.7536717340699</v>
      </c>
      <c r="F44">
        <f>Portfolio!B$5*'CurrentPor-LH=10 unchanged'!E44</f>
        <v>52143.895533915893</v>
      </c>
      <c r="G44">
        <f>Portfolio!B$6*'CurrentPor-LH=10 unchanged'!F44</f>
        <v>3696.2945087936532</v>
      </c>
      <c r="H44">
        <f>Portfolio!B$7*'CurrentPor-LH=10 unchanged'!J44</f>
        <v>2148.0998964419859</v>
      </c>
      <c r="I44">
        <f t="shared" si="0"/>
        <v>96488.704164178242</v>
      </c>
      <c r="J44">
        <f t="shared" si="1"/>
        <v>-13.779311734979274</v>
      </c>
    </row>
    <row r="45" spans="1:10">
      <c r="A45" s="1">
        <v>45532</v>
      </c>
      <c r="B45">
        <f>(3/(1+('CurrentPor-LH=10 unchanged'!C45)/100)+103/POWER(1+('CurrentPor-LH=10 unchanged'!D45)/100,2))*100</f>
        <v>9707.5857774288397</v>
      </c>
      <c r="C45">
        <f>(3/(1+('CurrentPor-LH=10 unchanged'!C45+'CurrentPor-LH=10 unchanged'!G45)/100)+103/POWER(1+('CurrentPor-LH=10 unchanged'!D45+'CurrentPor-LH=10 unchanged'!G45)/100,2))*100</f>
        <v>9609.535706945433</v>
      </c>
      <c r="D45">
        <f>(3/(1+('CurrentPor-LH=10 unchanged'!C45+'CurrentPor-LH=10 unchanged'!H45)/100)+103/POWER(1+('CurrentPor-LH=10 unchanged'!D45+'CurrentPor-LH=10 unchanged'!H45)/100,2))*100</f>
        <v>9592.1522418989152</v>
      </c>
      <c r="E45">
        <f>(3/(1+('CurrentPor-LH=10 unchanged'!C45+'CurrentPor-LH=10 unchanged'!I45)/100)+103/POWER(1+('CurrentPor-LH=10 unchanged'!D45+'CurrentPor-LH=10 unchanged'!I45)/100,2))*100</f>
        <v>9571.6167387863989</v>
      </c>
      <c r="F45">
        <f>Portfolio!B$5*'CurrentPor-LH=10 unchanged'!E45</f>
        <v>52143.895533915893</v>
      </c>
      <c r="G45">
        <f>Portfolio!B$6*'CurrentPor-LH=10 unchanged'!F45</f>
        <v>3696.2945087936532</v>
      </c>
      <c r="H45">
        <f>Portfolio!B$7*'CurrentPor-LH=10 unchanged'!J45</f>
        <v>2148.0998964419859</v>
      </c>
      <c r="I45">
        <f t="shared" si="0"/>
        <v>96469.180404211118</v>
      </c>
      <c r="J45">
        <f t="shared" si="1"/>
        <v>-50.365024019469274</v>
      </c>
    </row>
    <row r="46" spans="1:10">
      <c r="A46" s="1">
        <v>45533</v>
      </c>
      <c r="B46">
        <f>(3/(1+('CurrentPor-LH=10 unchanged'!C46)/100)+103/POWER(1+('CurrentPor-LH=10 unchanged'!D46)/100,2))*100</f>
        <v>9707.5857774288397</v>
      </c>
      <c r="C46">
        <f>(3/(1+('CurrentPor-LH=10 unchanged'!C46+'CurrentPor-LH=10 unchanged'!G46)/100)+103/POWER(1+('CurrentPor-LH=10 unchanged'!D46+'CurrentPor-LH=10 unchanged'!G46)/100,2))*100</f>
        <v>9620.7403078958214</v>
      </c>
      <c r="D46">
        <f>(3/(1+('CurrentPor-LH=10 unchanged'!C46+'CurrentPor-LH=10 unchanged'!H46)/100)+103/POWER(1+('CurrentPor-LH=10 unchanged'!D46+'CurrentPor-LH=10 unchanged'!H46)/100,2))*100</f>
        <v>9584.8554013354878</v>
      </c>
      <c r="E46">
        <f>(3/(1+('CurrentPor-LH=10 unchanged'!C46+'CurrentPor-LH=10 unchanged'!I46)/100)+103/POWER(1+('CurrentPor-LH=10 unchanged'!D46+'CurrentPor-LH=10 unchanged'!I46)/100,2))*100</f>
        <v>9589.8382987553941</v>
      </c>
      <c r="F46">
        <f>Portfolio!B$5*'CurrentPor-LH=10 unchanged'!E46</f>
        <v>52143.895533915893</v>
      </c>
      <c r="G46">
        <f>Portfolio!B$6*'CurrentPor-LH=10 unchanged'!F46</f>
        <v>3696.2945087936532</v>
      </c>
      <c r="H46">
        <f>Portfolio!B$7*'CurrentPor-LH=10 unchanged'!J46</f>
        <v>2148.0998964419859</v>
      </c>
      <c r="I46">
        <f t="shared" si="0"/>
        <v>96491.309724567065</v>
      </c>
      <c r="J46">
        <f t="shared" si="1"/>
        <v>-19.710328907589428</v>
      </c>
    </row>
    <row r="47" spans="1:10">
      <c r="A47" s="1">
        <v>45534</v>
      </c>
      <c r="B47">
        <f>(3/(1+('CurrentPor-LH=10 unchanged'!C47)/100)+103/POWER(1+('CurrentPor-LH=10 unchanged'!D47)/100,2))*100</f>
        <v>9707.5857774288397</v>
      </c>
      <c r="C47">
        <f>(3/(1+('CurrentPor-LH=10 unchanged'!C47+'CurrentPor-LH=10 unchanged'!G47)/100)+103/POWER(1+('CurrentPor-LH=10 unchanged'!D47+'CurrentPor-LH=10 unchanged'!G47)/100,2))*100</f>
        <v>9603.2823225151369</v>
      </c>
      <c r="D47">
        <f>(3/(1+('CurrentPor-LH=10 unchanged'!C47+'CurrentPor-LH=10 unchanged'!H47)/100)+103/POWER(1+('CurrentPor-LH=10 unchanged'!D47+'CurrentPor-LH=10 unchanged'!H47)/100,2))*100</f>
        <v>9607.4381132118651</v>
      </c>
      <c r="E47">
        <f>(3/(1+('CurrentPor-LH=10 unchanged'!C47+'CurrentPor-LH=10 unchanged'!I47)/100)+103/POWER(1+('CurrentPor-LH=10 unchanged'!D47+'CurrentPor-LH=10 unchanged'!I47)/100,2))*100</f>
        <v>9569.5287104064355</v>
      </c>
      <c r="F47">
        <f>Portfolio!B$5*'CurrentPor-LH=10 unchanged'!E47</f>
        <v>52143.895533915893</v>
      </c>
      <c r="G47">
        <f>Portfolio!B$6*'CurrentPor-LH=10 unchanged'!F47</f>
        <v>3696.2945087936532</v>
      </c>
      <c r="H47">
        <f>Portfolio!B$7*'CurrentPor-LH=10 unchanged'!J47</f>
        <v>2148.0998964419859</v>
      </c>
      <c r="I47">
        <f t="shared" si="0"/>
        <v>96476.124862713812</v>
      </c>
      <c r="J47">
        <f t="shared" si="1"/>
        <v>-5.9155826536589302</v>
      </c>
    </row>
    <row r="48" spans="1:10">
      <c r="A48" s="1">
        <v>45537</v>
      </c>
      <c r="B48">
        <f>(3/(1+('CurrentPor-LH=10 unchanged'!C48)/100)+103/POWER(1+('CurrentPor-LH=10 unchanged'!D48)/100,2))*100</f>
        <v>9707.5857774288397</v>
      </c>
      <c r="C48">
        <f>(3/(1+('CurrentPor-LH=10 unchanged'!C48+'CurrentPor-LH=10 unchanged'!G48)/100)+103/POWER(1+('CurrentPor-LH=10 unchanged'!D48+'CurrentPor-LH=10 unchanged'!G48)/100,2))*100</f>
        <v>9619.8864647175669</v>
      </c>
      <c r="D48">
        <f>(3/(1+('CurrentPor-LH=10 unchanged'!C48+'CurrentPor-LH=10 unchanged'!H48)/100)+103/POWER(1+('CurrentPor-LH=10 unchanged'!D48+'CurrentPor-LH=10 unchanged'!H48)/100,2))*100</f>
        <v>9586.7124610970259</v>
      </c>
      <c r="E48">
        <f>(3/(1+('CurrentPor-LH=10 unchanged'!C48+'CurrentPor-LH=10 unchanged'!I48)/100)+103/POWER(1+('CurrentPor-LH=10 unchanged'!D48+'CurrentPor-LH=10 unchanged'!I48)/100,2))*100</f>
        <v>9590.3003375825592</v>
      </c>
      <c r="F48">
        <f>Portfolio!B$5*'CurrentPor-LH=10 unchanged'!E48</f>
        <v>52143.895533915893</v>
      </c>
      <c r="G48">
        <f>Portfolio!B$6*'CurrentPor-LH=10 unchanged'!F48</f>
        <v>3696.2945087936532</v>
      </c>
      <c r="H48">
        <f>Portfolio!B$7*'CurrentPor-LH=10 unchanged'!J48</f>
        <v>2148.0998964419859</v>
      </c>
      <c r="I48">
        <f t="shared" si="0"/>
        <v>96492.774979977519</v>
      </c>
      <c r="J48">
        <f t="shared" si="1"/>
        <v>18.898295749779209</v>
      </c>
    </row>
    <row r="49" spans="1:10">
      <c r="A49" s="1">
        <v>45538</v>
      </c>
      <c r="B49">
        <f>(3/(1+('CurrentPor-LH=10 unchanged'!C49)/100)+103/POWER(1+('CurrentPor-LH=10 unchanged'!D49)/100,2))*100</f>
        <v>9707.5857774288397</v>
      </c>
      <c r="C49">
        <f>(3/(1+('CurrentPor-LH=10 unchanged'!C49+'CurrentPor-LH=10 unchanged'!G49)/100)+103/POWER(1+('CurrentPor-LH=10 unchanged'!D49+'CurrentPor-LH=10 unchanged'!G49)/100,2))*100</f>
        <v>9621.1116909231405</v>
      </c>
      <c r="D49">
        <f>(3/(1+('CurrentPor-LH=10 unchanged'!C49+'CurrentPor-LH=10 unchanged'!H49)/100)+103/POWER(1+('CurrentPor-LH=10 unchanged'!D49+'CurrentPor-LH=10 unchanged'!H49)/100,2))*100</f>
        <v>9599.3409497911216</v>
      </c>
      <c r="E49">
        <f>(3/(1+('CurrentPor-LH=10 unchanged'!C49+'CurrentPor-LH=10 unchanged'!I49)/100)+103/POWER(1+('CurrentPor-LH=10 unchanged'!D49+'CurrentPor-LH=10 unchanged'!I49)/100,2))*100</f>
        <v>9590.3413399009332</v>
      </c>
      <c r="F49">
        <f>Portfolio!B$5*'CurrentPor-LH=10 unchanged'!E49</f>
        <v>52143.895533915893</v>
      </c>
      <c r="G49">
        <f>Portfolio!B$6*'CurrentPor-LH=10 unchanged'!F49</f>
        <v>3696.2945087936532</v>
      </c>
      <c r="H49">
        <f>Portfolio!B$7*'CurrentPor-LH=10 unchanged'!J49</f>
        <v>2148.0998964419859</v>
      </c>
      <c r="I49">
        <f t="shared" si="0"/>
        <v>96506.669697195568</v>
      </c>
      <c r="J49">
        <f t="shared" si="1"/>
        <v>-16.516368840122595</v>
      </c>
    </row>
    <row r="50" spans="1:10">
      <c r="A50" s="1">
        <v>45539</v>
      </c>
      <c r="B50">
        <f>(3/(1+('CurrentPor-LH=10 unchanged'!C50)/100)+103/POWER(1+('CurrentPor-LH=10 unchanged'!D50)/100,2))*100</f>
        <v>9707.5857774288397</v>
      </c>
      <c r="C50">
        <f>(3/(1+('CurrentPor-LH=10 unchanged'!C50+'CurrentPor-LH=10 unchanged'!G50)/100)+103/POWER(1+('CurrentPor-LH=10 unchanged'!D50+'CurrentPor-LH=10 unchanged'!G50)/100,2))*100</f>
        <v>9623.8039981162929</v>
      </c>
      <c r="D50">
        <f>(3/(1+('CurrentPor-LH=10 unchanged'!C50+'CurrentPor-LH=10 unchanged'!H50)/100)+103/POWER(1+('CurrentPor-LH=10 unchanged'!D50+'CurrentPor-LH=10 unchanged'!H50)/100,2))*100</f>
        <v>9590.2791506943104</v>
      </c>
      <c r="E50">
        <f>(3/(1+('CurrentPor-LH=10 unchanged'!C50+'CurrentPor-LH=10 unchanged'!I50)/100)+103/POWER(1+('CurrentPor-LH=10 unchanged'!D50+'CurrentPor-LH=10 unchanged'!I50)/100,2))*100</f>
        <v>9570.203985553504</v>
      </c>
      <c r="F50">
        <f>Portfolio!B$5*'CurrentPor-LH=10 unchanged'!E50</f>
        <v>52143.895533915893</v>
      </c>
      <c r="G50">
        <f>Portfolio!B$6*'CurrentPor-LH=10 unchanged'!F50</f>
        <v>3696.2945087936532</v>
      </c>
      <c r="H50">
        <f>Portfolio!B$7*'CurrentPor-LH=10 unchanged'!J50</f>
        <v>2148.0998964419859</v>
      </c>
      <c r="I50">
        <f t="shared" si="0"/>
        <v>96480.162850944485</v>
      </c>
      <c r="J50">
        <f t="shared" si="1"/>
        <v>-11.013321148697287</v>
      </c>
    </row>
    <row r="51" spans="1:10">
      <c r="A51" s="1">
        <v>45540</v>
      </c>
      <c r="B51">
        <f>(3/(1+('CurrentPor-LH=10 unchanged'!C51)/100)+103/POWER(1+('CurrentPor-LH=10 unchanged'!D51)/100,2))*100</f>
        <v>9707.5857774288397</v>
      </c>
      <c r="C51">
        <f>(3/(1+('CurrentPor-LH=10 unchanged'!C51+'CurrentPor-LH=10 unchanged'!G51)/100)+103/POWER(1+('CurrentPor-LH=10 unchanged'!D51+'CurrentPor-LH=10 unchanged'!G51)/100,2))*100</f>
        <v>9604.3032717480128</v>
      </c>
      <c r="D51">
        <f>(3/(1+('CurrentPor-LH=10 unchanged'!C51+'CurrentPor-LH=10 unchanged'!H51)/100)+103/POWER(1+('CurrentPor-LH=10 unchanged'!D51+'CurrentPor-LH=10 unchanged'!H51)/100,2))*100</f>
        <v>9608.3797827398648</v>
      </c>
      <c r="E51">
        <f>(3/(1+('CurrentPor-LH=10 unchanged'!C51+'CurrentPor-LH=10 unchanged'!I51)/100)+103/POWER(1+('CurrentPor-LH=10 unchanged'!D51+'CurrentPor-LH=10 unchanged'!I51)/100,2))*100</f>
        <v>9583.1846081654312</v>
      </c>
      <c r="F51">
        <f>Portfolio!B$5*'CurrentPor-LH=10 unchanged'!E51</f>
        <v>52143.895533915893</v>
      </c>
      <c r="G51">
        <f>Portfolio!B$6*'CurrentPor-LH=10 unchanged'!F51</f>
        <v>3696.2945087936532</v>
      </c>
      <c r="H51">
        <f>Portfolio!B$7*'CurrentPor-LH=10 unchanged'!J51</f>
        <v>2148.0998964419859</v>
      </c>
      <c r="I51">
        <f t="shared" si="0"/>
        <v>96491.743379233681</v>
      </c>
      <c r="J51">
        <f t="shared" si="1"/>
        <v>9.0658645931398496E-2</v>
      </c>
    </row>
    <row r="52" spans="1:10">
      <c r="A52" s="1">
        <v>45541</v>
      </c>
      <c r="B52">
        <f>(3/(1+('CurrentPor-LH=10 unchanged'!C52)/100)+103/POWER(1+('CurrentPor-LH=10 unchanged'!D52)/100,2))*100</f>
        <v>9707.5857774288397</v>
      </c>
      <c r="C52">
        <f>(3/(1+('CurrentPor-LH=10 unchanged'!C52+'CurrentPor-LH=10 unchanged'!G52)/100)+103/POWER(1+('CurrentPor-LH=10 unchanged'!D52+'CurrentPor-LH=10 unchanged'!G52)/100,2))*100</f>
        <v>9623.1942740500217</v>
      </c>
      <c r="D52">
        <f>(3/(1+('CurrentPor-LH=10 unchanged'!C52+'CurrentPor-LH=10 unchanged'!H52)/100)+103/POWER(1+('CurrentPor-LH=10 unchanged'!D52+'CurrentPor-LH=10 unchanged'!H52)/100,2))*100</f>
        <v>9604.4624135221475</v>
      </c>
      <c r="E52">
        <f>(3/(1+('CurrentPor-LH=10 unchanged'!C52+'CurrentPor-LH=10 unchanged'!I52)/100)+103/POWER(1+('CurrentPor-LH=10 unchanged'!D52+'CurrentPor-LH=10 unchanged'!I52)/100,2))*100</f>
        <v>9586.3687063495854</v>
      </c>
      <c r="F52">
        <f>Portfolio!B$5*'CurrentPor-LH=10 unchanged'!E52</f>
        <v>52143.895533915893</v>
      </c>
      <c r="G52">
        <f>Portfolio!B$6*'CurrentPor-LH=10 unchanged'!F52</f>
        <v>3696.2945087936532</v>
      </c>
      <c r="H52">
        <f>Portfolio!B$7*'CurrentPor-LH=10 unchanged'!J52</f>
        <v>2148.0998964419859</v>
      </c>
      <c r="I52">
        <f t="shared" si="0"/>
        <v>96509.90111050212</v>
      </c>
      <c r="J52">
        <f t="shared" si="1"/>
        <v>24.039664091775194</v>
      </c>
    </row>
    <row r="53" spans="1:10">
      <c r="A53" s="1">
        <v>45544</v>
      </c>
      <c r="B53">
        <f>(3/(1+('CurrentPor-LH=10 unchanged'!C53)/100)+103/POWER(1+('CurrentPor-LH=10 unchanged'!D53)/100,2))*100</f>
        <v>9707.5857774288397</v>
      </c>
      <c r="C53">
        <f>(3/(1+('CurrentPor-LH=10 unchanged'!C53+'CurrentPor-LH=10 unchanged'!G53)/100)+103/POWER(1+('CurrentPor-LH=10 unchanged'!D53+'CurrentPor-LH=10 unchanged'!G53)/100,2))*100</f>
        <v>9620.5508097506718</v>
      </c>
      <c r="D53">
        <f>(3/(1+('CurrentPor-LH=10 unchanged'!C53+'CurrentPor-LH=10 unchanged'!H53)/100)+103/POWER(1+('CurrentPor-LH=10 unchanged'!D53+'CurrentPor-LH=10 unchanged'!H53)/100,2))*100</f>
        <v>9590.9479606591613</v>
      </c>
      <c r="E53">
        <f>(3/(1+('CurrentPor-LH=10 unchanged'!C53+'CurrentPor-LH=10 unchanged'!I53)/100)+103/POWER(1+('CurrentPor-LH=10 unchanged'!D53+'CurrentPor-LH=10 unchanged'!I53)/100,2))*100</f>
        <v>9583.0441119525622</v>
      </c>
      <c r="F53">
        <f>Portfolio!B$5*'CurrentPor-LH=10 unchanged'!E53</f>
        <v>52143.895533915893</v>
      </c>
      <c r="G53">
        <f>Portfolio!B$6*'CurrentPor-LH=10 unchanged'!F53</f>
        <v>3696.2945087936532</v>
      </c>
      <c r="H53">
        <f>Portfolio!B$7*'CurrentPor-LH=10 unchanged'!J53</f>
        <v>2148.0998964419859</v>
      </c>
      <c r="I53">
        <f t="shared" si="0"/>
        <v>96490.418598942764</v>
      </c>
      <c r="J53">
        <f t="shared" si="1"/>
        <v>-22.891353170998627</v>
      </c>
    </row>
    <row r="54" spans="1:10">
      <c r="A54" s="1">
        <v>45545</v>
      </c>
      <c r="B54">
        <f>(3/(1+('CurrentPor-LH=10 unchanged'!C54)/100)+103/POWER(1+('CurrentPor-LH=10 unchanged'!D54)/100,2))*100</f>
        <v>9707.5857774288397</v>
      </c>
      <c r="C54">
        <f>(3/(1+('CurrentPor-LH=10 unchanged'!C54+'CurrentPor-LH=10 unchanged'!G54)/100)+103/POWER(1+('CurrentPor-LH=10 unchanged'!D54+'CurrentPor-LH=10 unchanged'!G54)/100,2))*100</f>
        <v>9630.8130237128153</v>
      </c>
      <c r="D54">
        <f>(3/(1+('CurrentPor-LH=10 unchanged'!C54+'CurrentPor-LH=10 unchanged'!H54)/100)+103/POWER(1+('CurrentPor-LH=10 unchanged'!D54+'CurrentPor-LH=10 unchanged'!H54)/100,2))*100</f>
        <v>9603.1969077089743</v>
      </c>
      <c r="E54">
        <f>(3/(1+('CurrentPor-LH=10 unchanged'!C54+'CurrentPor-LH=10 unchanged'!I54)/100)+103/POWER(1+('CurrentPor-LH=10 unchanged'!D54+'CurrentPor-LH=10 unchanged'!I54)/100,2))*100</f>
        <v>9566.6917537939989</v>
      </c>
      <c r="F54">
        <f>Portfolio!B$5*'CurrentPor-LH=10 unchanged'!E54</f>
        <v>52143.895533915893</v>
      </c>
      <c r="G54">
        <f>Portfolio!B$6*'CurrentPor-LH=10 unchanged'!F54</f>
        <v>3696.2945087936532</v>
      </c>
      <c r="H54">
        <f>Portfolio!B$7*'CurrentPor-LH=10 unchanged'!J54</f>
        <v>2148.0998964419859</v>
      </c>
      <c r="I54">
        <f t="shared" si="0"/>
        <v>96496.577401796167</v>
      </c>
      <c r="J54">
        <f t="shared" si="1"/>
        <v>7.8732376179250423</v>
      </c>
    </row>
    <row r="55" spans="1:10">
      <c r="A55" s="1">
        <v>45546</v>
      </c>
      <c r="B55">
        <f>(3/(1+('CurrentPor-LH=10 unchanged'!C55)/100)+103/POWER(1+('CurrentPor-LH=10 unchanged'!D55)/100,2))*100</f>
        <v>9707.5857774288397</v>
      </c>
      <c r="C55">
        <f>(3/(1+('CurrentPor-LH=10 unchanged'!C55+'CurrentPor-LH=10 unchanged'!G55)/100)+103/POWER(1+('CurrentPor-LH=10 unchanged'!D55+'CurrentPor-LH=10 unchanged'!G55)/100,2))*100</f>
        <v>9600.7064676520167</v>
      </c>
      <c r="D55">
        <f>(3/(1+('CurrentPor-LH=10 unchanged'!C55+'CurrentPor-LH=10 unchanged'!H55)/100)+103/POWER(1+('CurrentPor-LH=10 unchanged'!D55+'CurrentPor-LH=10 unchanged'!H55)/100,2))*100</f>
        <v>9580.4733691758465</v>
      </c>
      <c r="E55">
        <f>(3/(1+('CurrentPor-LH=10 unchanged'!C55+'CurrentPor-LH=10 unchanged'!I55)/100)+103/POWER(1+('CurrentPor-LH=10 unchanged'!D55+'CurrentPor-LH=10 unchanged'!I55)/100,2))*100</f>
        <v>9603.2309081021631</v>
      </c>
      <c r="F55">
        <f>Portfolio!B$5*'CurrentPor-LH=10 unchanged'!E55</f>
        <v>52143.895533915893</v>
      </c>
      <c r="G55">
        <f>Portfolio!B$6*'CurrentPor-LH=10 unchanged'!F55</f>
        <v>3696.2945087936532</v>
      </c>
      <c r="H55">
        <f>Portfolio!B$7*'CurrentPor-LH=10 unchanged'!J55</f>
        <v>2148.0998964419859</v>
      </c>
      <c r="I55">
        <f t="shared" si="0"/>
        <v>96480.28646151039</v>
      </c>
      <c r="J55">
        <f t="shared" si="1"/>
        <v>11.106057299271924</v>
      </c>
    </row>
    <row r="56" spans="1:10">
      <c r="A56" s="1">
        <v>45547</v>
      </c>
      <c r="B56">
        <f>(3/(1+('CurrentPor-LH=10 unchanged'!C56)/100)+103/POWER(1+('CurrentPor-LH=10 unchanged'!D56)/100,2))*100</f>
        <v>9707.5857774288397</v>
      </c>
      <c r="C56">
        <f>(3/(1+('CurrentPor-LH=10 unchanged'!C56+'CurrentPor-LH=10 unchanged'!G56)/100)+103/POWER(1+('CurrentPor-LH=10 unchanged'!D56+'CurrentPor-LH=10 unchanged'!G56)/100,2))*100</f>
        <v>9610.0043438819812</v>
      </c>
      <c r="D56">
        <f>(3/(1+('CurrentPor-LH=10 unchanged'!C56+'CurrentPor-LH=10 unchanged'!H56)/100)+103/POWER(1+('CurrentPor-LH=10 unchanged'!D56+'CurrentPor-LH=10 unchanged'!H56)/100,2))*100</f>
        <v>9598.1219188947234</v>
      </c>
      <c r="E56">
        <f>(3/(1+('CurrentPor-LH=10 unchanged'!C56+'CurrentPor-LH=10 unchanged'!I56)/100)+103/POWER(1+('CurrentPor-LH=10 unchanged'!D56+'CurrentPor-LH=10 unchanged'!I56)/100,2))*100</f>
        <v>9597.5296176276133</v>
      </c>
      <c r="F56">
        <f>Portfolio!B$5*'CurrentPor-LH=10 unchanged'!E56</f>
        <v>52143.895533915893</v>
      </c>
      <c r="G56">
        <f>Portfolio!B$6*'CurrentPor-LH=10 unchanged'!F56</f>
        <v>3696.2945087936532</v>
      </c>
      <c r="H56">
        <f>Portfolio!B$7*'CurrentPor-LH=10 unchanged'!J56</f>
        <v>2148.0998964419859</v>
      </c>
      <c r="I56">
        <f t="shared" si="0"/>
        <v>96501.5315969847</v>
      </c>
      <c r="J56">
        <f t="shared" si="1"/>
        <v>10.221872417634586</v>
      </c>
    </row>
    <row r="57" spans="1:10">
      <c r="A57" s="1">
        <v>45548</v>
      </c>
      <c r="B57">
        <f>(3/(1+('CurrentPor-LH=10 unchanged'!C57)/100)+103/POWER(1+('CurrentPor-LH=10 unchanged'!D57)/100,2))*100</f>
        <v>9707.5857774288397</v>
      </c>
      <c r="C57">
        <f>(3/(1+('CurrentPor-LH=10 unchanged'!C57+'CurrentPor-LH=10 unchanged'!G57)/100)+103/POWER(1+('CurrentPor-LH=10 unchanged'!D57+'CurrentPor-LH=10 unchanged'!G57)/100,2))*100</f>
        <v>9618.8118138276495</v>
      </c>
      <c r="D57">
        <f>(3/(1+('CurrentPor-LH=10 unchanged'!C57+'CurrentPor-LH=10 unchanged'!H57)/100)+103/POWER(1+('CurrentPor-LH=10 unchanged'!D57+'CurrentPor-LH=10 unchanged'!H57)/100,2))*100</f>
        <v>9603.0799390803713</v>
      </c>
      <c r="E57">
        <f>(3/(1+('CurrentPor-LH=10 unchanged'!C57+'CurrentPor-LH=10 unchanged'!I57)/100)+103/POWER(1+('CurrentPor-LH=10 unchanged'!D57+'CurrentPor-LH=10 unchanged'!I57)/100,2))*100</f>
        <v>9598.7927141535511</v>
      </c>
      <c r="F57">
        <f>Portfolio!B$5*'CurrentPor-LH=10 unchanged'!E57</f>
        <v>52143.895533915893</v>
      </c>
      <c r="G57">
        <f>Portfolio!B$6*'CurrentPor-LH=10 unchanged'!F57</f>
        <v>3696.2945087936532</v>
      </c>
      <c r="H57">
        <f>Portfolio!B$7*'CurrentPor-LH=10 unchanged'!J57</f>
        <v>2148.0998964419859</v>
      </c>
      <c r="I57">
        <f t="shared" si="0"/>
        <v>96516.560183641952</v>
      </c>
      <c r="J57">
        <f t="shared" si="1"/>
        <v>40.435320928139845</v>
      </c>
    </row>
    <row r="58" spans="1:10">
      <c r="A58" s="1">
        <v>45551</v>
      </c>
      <c r="B58">
        <f>(3/(1+('CurrentPor-LH=10 unchanged'!C58)/100)+103/POWER(1+('CurrentPor-LH=10 unchanged'!D58)/100,2))*100</f>
        <v>9707.5857774288397</v>
      </c>
      <c r="C58">
        <f>(3/(1+('CurrentPor-LH=10 unchanged'!C58+'CurrentPor-LH=10 unchanged'!G58)/100)+103/POWER(1+('CurrentPor-LH=10 unchanged'!D58+'CurrentPor-LH=10 unchanged'!G58)/100,2))*100</f>
        <v>9623.2126418042099</v>
      </c>
      <c r="D58">
        <f>(3/(1+('CurrentPor-LH=10 unchanged'!C58+'CurrentPor-LH=10 unchanged'!H58)/100)+103/POWER(1+('CurrentPor-LH=10 unchanged'!D58+'CurrentPor-LH=10 unchanged'!H58)/100,2))*100</f>
        <v>9605.1953984993343</v>
      </c>
      <c r="E58">
        <f>(3/(1+('CurrentPor-LH=10 unchanged'!C58+'CurrentPor-LH=10 unchanged'!I58)/100)+103/POWER(1+('CurrentPor-LH=10 unchanged'!D58+'CurrentPor-LH=10 unchanged'!I58)/100,2))*100</f>
        <v>9559.5181505570472</v>
      </c>
      <c r="F58">
        <f>Portfolio!B$5*'CurrentPor-LH=10 unchanged'!E58</f>
        <v>52143.895533915893</v>
      </c>
      <c r="G58">
        <f>Portfolio!B$6*'CurrentPor-LH=10 unchanged'!F58</f>
        <v>3696.2945087936532</v>
      </c>
      <c r="H58">
        <f>Portfolio!B$7*'CurrentPor-LH=10 unchanged'!J58</f>
        <v>2148.0998964419859</v>
      </c>
      <c r="I58">
        <f t="shared" si="0"/>
        <v>96483.801907440953</v>
      </c>
      <c r="J58">
        <f t="shared" si="1"/>
        <v>-8.9730725365661783</v>
      </c>
    </row>
    <row r="59" spans="1:10">
      <c r="A59" s="1">
        <v>45552</v>
      </c>
      <c r="B59">
        <f>(3/(1+('CurrentPor-LH=10 unchanged'!C59)/100)+103/POWER(1+('CurrentPor-LH=10 unchanged'!D59)/100,2))*100</f>
        <v>9707.5857774288397</v>
      </c>
      <c r="C59">
        <f>(3/(1+('CurrentPor-LH=10 unchanged'!C59+'CurrentPor-LH=10 unchanged'!G59)/100)+103/POWER(1+('CurrentPor-LH=10 unchanged'!D59+'CurrentPor-LH=10 unchanged'!G59)/100,2))*100</f>
        <v>9617.7584473927163</v>
      </c>
      <c r="D59">
        <f>(3/(1+('CurrentPor-LH=10 unchanged'!C59+'CurrentPor-LH=10 unchanged'!H59)/100)+103/POWER(1+('CurrentPor-LH=10 unchanged'!D59+'CurrentPor-LH=10 unchanged'!H59)/100,2))*100</f>
        <v>9598.3132895021263</v>
      </c>
      <c r="E59">
        <f>(3/(1+('CurrentPor-LH=10 unchanged'!C59+'CurrentPor-LH=10 unchanged'!I59)/100)+103/POWER(1+('CurrentPor-LH=10 unchanged'!D59+'CurrentPor-LH=10 unchanged'!I59)/100,2))*100</f>
        <v>9582.4901781625395</v>
      </c>
      <c r="F59">
        <f>Portfolio!B$5*'CurrentPor-LH=10 unchanged'!E59</f>
        <v>52143.895533915893</v>
      </c>
      <c r="G59">
        <f>Portfolio!B$6*'CurrentPor-LH=10 unchanged'!F59</f>
        <v>3696.2945087936532</v>
      </c>
      <c r="H59">
        <f>Portfolio!B$7*'CurrentPor-LH=10 unchanged'!J59</f>
        <v>2148.0998964419859</v>
      </c>
      <c r="I59">
        <f t="shared" si="0"/>
        <v>96494.437631637746</v>
      </c>
      <c r="J59">
        <f t="shared" si="1"/>
        <v>-12.232065557822352</v>
      </c>
    </row>
    <row r="60" spans="1:10">
      <c r="A60" s="1">
        <v>45553</v>
      </c>
      <c r="B60">
        <f>(3/(1+('CurrentPor-LH=10 unchanged'!C60)/100)+103/POWER(1+('CurrentPor-LH=10 unchanged'!D60)/100,2))*100</f>
        <v>9707.5857774288397</v>
      </c>
      <c r="C60">
        <f>(3/(1+('CurrentPor-LH=10 unchanged'!C60+'CurrentPor-LH=10 unchanged'!G60)/100)+103/POWER(1+('CurrentPor-LH=10 unchanged'!D60+'CurrentPor-LH=10 unchanged'!G60)/100,2))*100</f>
        <v>9609.9966404531206</v>
      </c>
      <c r="D60">
        <f>(3/(1+('CurrentPor-LH=10 unchanged'!C60+'CurrentPor-LH=10 unchanged'!H60)/100)+103/POWER(1+('CurrentPor-LH=10 unchanged'!D60+'CurrentPor-LH=10 unchanged'!H60)/100,2))*100</f>
        <v>9608.5822044513552</v>
      </c>
      <c r="E60">
        <f>(3/(1+('CurrentPor-LH=10 unchanged'!C60+'CurrentPor-LH=10 unchanged'!I60)/100)+103/POWER(1+('CurrentPor-LH=10 unchanged'!D60+'CurrentPor-LH=10 unchanged'!I60)/100,2))*100</f>
        <v>9566.4347514590008</v>
      </c>
      <c r="F60">
        <f>Portfolio!B$5*'CurrentPor-LH=10 unchanged'!E60</f>
        <v>52143.895533915893</v>
      </c>
      <c r="G60">
        <f>Portfolio!B$6*'CurrentPor-LH=10 unchanged'!F60</f>
        <v>3696.2945087936532</v>
      </c>
      <c r="H60">
        <f>Portfolio!B$7*'CurrentPor-LH=10 unchanged'!J60</f>
        <v>2148.0998964419859</v>
      </c>
      <c r="I60">
        <f t="shared" si="0"/>
        <v>96480.889312943837</v>
      </c>
      <c r="J60">
        <f t="shared" si="1"/>
        <v>0.72646199935115874</v>
      </c>
    </row>
    <row r="61" spans="1:10">
      <c r="A61" s="1">
        <v>45554</v>
      </c>
      <c r="B61">
        <f>(3/(1+('CurrentPor-LH=10 unchanged'!C61)/100)+103/POWER(1+('CurrentPor-LH=10 unchanged'!D61)/100,2))*100</f>
        <v>9707.5857774288397</v>
      </c>
      <c r="C61">
        <f>(3/(1+('CurrentPor-LH=10 unchanged'!C61+'CurrentPor-LH=10 unchanged'!G61)/100)+103/POWER(1+('CurrentPor-LH=10 unchanged'!D61+'CurrentPor-LH=10 unchanged'!G61)/100,2))*100</f>
        <v>9604.9900886609539</v>
      </c>
      <c r="D61">
        <f>(3/(1+('CurrentPor-LH=10 unchanged'!C61+'CurrentPor-LH=10 unchanged'!H61)/100)+103/POWER(1+('CurrentPor-LH=10 unchanged'!D61+'CurrentPor-LH=10 unchanged'!H61)/100,2))*100</f>
        <v>9597.8726714890636</v>
      </c>
      <c r="E61">
        <f>(3/(1+('CurrentPor-LH=10 unchanged'!C61+'CurrentPor-LH=10 unchanged'!I61)/100)+103/POWER(1+('CurrentPor-LH=10 unchanged'!D61+'CurrentPor-LH=10 unchanged'!I61)/100,2))*100</f>
        <v>9592.7661357415473</v>
      </c>
      <c r="F61">
        <f>Portfolio!B$5*'CurrentPor-LH=10 unchanged'!E61</f>
        <v>52143.895533915893</v>
      </c>
      <c r="G61">
        <f>Portfolio!B$6*'CurrentPor-LH=10 unchanged'!F61</f>
        <v>3696.2945087936532</v>
      </c>
      <c r="H61">
        <f>Portfolio!B$7*'CurrentPor-LH=10 unchanged'!J61</f>
        <v>2148.0998964419859</v>
      </c>
      <c r="I61">
        <f t="shared" si="0"/>
        <v>96491.504612471937</v>
      </c>
      <c r="J61">
        <f t="shared" si="1"/>
        <v>-0.23876676174404565</v>
      </c>
    </row>
    <row r="62" spans="1:10">
      <c r="A62" s="1">
        <v>45555</v>
      </c>
      <c r="B62">
        <f>(3/(1+('CurrentPor-LH=10 unchanged'!C62)/100)+103/POWER(1+('CurrentPor-LH=10 unchanged'!D62)/100,2))*100</f>
        <v>9707.5857774288397</v>
      </c>
      <c r="C62">
        <f>(3/(1+('CurrentPor-LH=10 unchanged'!C62+'CurrentPor-LH=10 unchanged'!G62)/100)+103/POWER(1+('CurrentPor-LH=10 unchanged'!D62+'CurrentPor-LH=10 unchanged'!G62)/100,2))*100</f>
        <v>9612.1891275739981</v>
      </c>
      <c r="D62">
        <f>(3/(1+('CurrentPor-LH=10 unchanged'!C62+'CurrentPor-LH=10 unchanged'!H62)/100)+103/POWER(1+('CurrentPor-LH=10 unchanged'!D62+'CurrentPor-LH=10 unchanged'!H62)/100,2))*100</f>
        <v>9609.1628035345875</v>
      </c>
      <c r="E62">
        <f>(3/(1+('CurrentPor-LH=10 unchanged'!C62+'CurrentPor-LH=10 unchanged'!I62)/100)+103/POWER(1+('CurrentPor-LH=10 unchanged'!D62+'CurrentPor-LH=10 unchanged'!I62)/100,2))*100</f>
        <v>9590.8568916276527</v>
      </c>
      <c r="F62">
        <f>Portfolio!B$5*'CurrentPor-LH=10 unchanged'!E62</f>
        <v>52143.895533915893</v>
      </c>
      <c r="G62">
        <f>Portfolio!B$6*'CurrentPor-LH=10 unchanged'!F62</f>
        <v>3696.2945087936532</v>
      </c>
      <c r="H62">
        <f>Portfolio!B$7*'CurrentPor-LH=10 unchanged'!J62</f>
        <v>2148.0998964419859</v>
      </c>
      <c r="I62">
        <f t="shared" si="0"/>
        <v>96508.084539316609</v>
      </c>
      <c r="J62">
        <f t="shared" si="1"/>
        <v>-1.8165711855108384</v>
      </c>
    </row>
    <row r="63" spans="1:10">
      <c r="A63" s="1">
        <v>45558</v>
      </c>
      <c r="B63">
        <f>(3/(1+('CurrentPor-LH=10 unchanged'!C63)/100)+103/POWER(1+('CurrentPor-LH=10 unchanged'!D63)/100,2))*100</f>
        <v>9707.5857774288397</v>
      </c>
      <c r="C63">
        <f>(3/(1+('CurrentPor-LH=10 unchanged'!C63+'CurrentPor-LH=10 unchanged'!G63)/100)+103/POWER(1+('CurrentPor-LH=10 unchanged'!D63+'CurrentPor-LH=10 unchanged'!G63)/100,2))*100</f>
        <v>9609.2800295972811</v>
      </c>
      <c r="D63">
        <f>(3/(1+('CurrentPor-LH=10 unchanged'!C63+'CurrentPor-LH=10 unchanged'!H63)/100)+103/POWER(1+('CurrentPor-LH=10 unchanged'!D63+'CurrentPor-LH=10 unchanged'!H63)/100,2))*100</f>
        <v>9607.6542927926839</v>
      </c>
      <c r="E63">
        <f>(3/(1+('CurrentPor-LH=10 unchanged'!C63+'CurrentPor-LH=10 unchanged'!I63)/100)+103/POWER(1+('CurrentPor-LH=10 unchanged'!D63+'CurrentPor-LH=10 unchanged'!I63)/100,2))*100</f>
        <v>9595.6143873189121</v>
      </c>
      <c r="F63">
        <f>Portfolio!B$5*'CurrentPor-LH=10 unchanged'!E63</f>
        <v>52143.895533915893</v>
      </c>
      <c r="G63">
        <f>Portfolio!B$6*'CurrentPor-LH=10 unchanged'!F63</f>
        <v>3696.2945087936532</v>
      </c>
      <c r="H63">
        <f>Portfolio!B$7*'CurrentPor-LH=10 unchanged'!J63</f>
        <v>2148.0998964419859</v>
      </c>
      <c r="I63">
        <f t="shared" si="0"/>
        <v>96508.424426289261</v>
      </c>
      <c r="J63">
        <f t="shared" si="1"/>
        <v>18.005827346496517</v>
      </c>
    </row>
    <row r="64" spans="1:10">
      <c r="A64" s="1">
        <v>45559</v>
      </c>
      <c r="B64">
        <f>(3/(1+('CurrentPor-LH=10 unchanged'!C64)/100)+103/POWER(1+('CurrentPor-LH=10 unchanged'!D64)/100,2))*100</f>
        <v>9707.5857774288397</v>
      </c>
      <c r="C64">
        <f>(3/(1+('CurrentPor-LH=10 unchanged'!C64+'CurrentPor-LH=10 unchanged'!G64)/100)+103/POWER(1+('CurrentPor-LH=10 unchanged'!D64+'CurrentPor-LH=10 unchanged'!G64)/100,2))*100</f>
        <v>9596.5014075573017</v>
      </c>
      <c r="D64">
        <f>(3/(1+('CurrentPor-LH=10 unchanged'!C64+'CurrentPor-LH=10 unchanged'!H64)/100)+103/POWER(1+('CurrentPor-LH=10 unchanged'!D64+'CurrentPor-LH=10 unchanged'!H64)/100,2))*100</f>
        <v>9606.4650160202946</v>
      </c>
      <c r="E64">
        <f>(3/(1+('CurrentPor-LH=10 unchanged'!C64+'CurrentPor-LH=10 unchanged'!I64)/100)+103/POWER(1+('CurrentPor-LH=10 unchanged'!D64+'CurrentPor-LH=10 unchanged'!I64)/100,2))*100</f>
        <v>9578.2768582215249</v>
      </c>
      <c r="F64">
        <f>Portfolio!B$5*'CurrentPor-LH=10 unchanged'!E64</f>
        <v>52143.895533915893</v>
      </c>
      <c r="G64">
        <f>Portfolio!B$6*'CurrentPor-LH=10 unchanged'!F64</f>
        <v>3696.2945087936532</v>
      </c>
      <c r="H64">
        <f>Portfolio!B$7*'CurrentPor-LH=10 unchanged'!J64</f>
        <v>2148.0998964419859</v>
      </c>
      <c r="I64">
        <f t="shared" si="0"/>
        <v>96477.11899837949</v>
      </c>
      <c r="J64">
        <f t="shared" si="1"/>
        <v>-19.458403416676447</v>
      </c>
    </row>
    <row r="65" spans="1:10">
      <c r="A65" s="1">
        <v>45560</v>
      </c>
      <c r="B65">
        <f>(3/(1+('CurrentPor-LH=10 unchanged'!C65)/100)+103/POWER(1+('CurrentPor-LH=10 unchanged'!D65)/100,2))*100</f>
        <v>9707.5857774288397</v>
      </c>
      <c r="C65">
        <f>(3/(1+('CurrentPor-LH=10 unchanged'!C65+'CurrentPor-LH=10 unchanged'!G65)/100)+103/POWER(1+('CurrentPor-LH=10 unchanged'!D65+'CurrentPor-LH=10 unchanged'!G65)/100,2))*100</f>
        <v>9623.9002516742512</v>
      </c>
      <c r="D65">
        <f>(3/(1+('CurrentPor-LH=10 unchanged'!C65+'CurrentPor-LH=10 unchanged'!H65)/100)+103/POWER(1+('CurrentPor-LH=10 unchanged'!D65+'CurrentPor-LH=10 unchanged'!H65)/100,2))*100</f>
        <v>9601.1218522517593</v>
      </c>
      <c r="E65">
        <f>(3/(1+('CurrentPor-LH=10 unchanged'!C65+'CurrentPor-LH=10 unchanged'!I65)/100)+103/POWER(1+('CurrentPor-LH=10 unchanged'!D65+'CurrentPor-LH=10 unchanged'!I65)/100,2))*100</f>
        <v>9574.2611146235413</v>
      </c>
      <c r="F65">
        <f>Portfolio!B$5*'CurrentPor-LH=10 unchanged'!E65</f>
        <v>52143.895533915893</v>
      </c>
      <c r="G65">
        <f>Portfolio!B$6*'CurrentPor-LH=10 unchanged'!F65</f>
        <v>3696.2945087936532</v>
      </c>
      <c r="H65">
        <f>Portfolio!B$7*'CurrentPor-LH=10 unchanged'!J65</f>
        <v>2148.0998964419859</v>
      </c>
      <c r="I65">
        <f t="shared" si="0"/>
        <v>96495.158935129919</v>
      </c>
      <c r="J65">
        <f t="shared" si="1"/>
        <v>14.872473619529046</v>
      </c>
    </row>
    <row r="66" spans="1:10">
      <c r="A66" s="1">
        <v>45561</v>
      </c>
      <c r="B66">
        <f>(3/(1+('CurrentPor-LH=10 unchanged'!C66)/100)+103/POWER(1+('CurrentPor-LH=10 unchanged'!D66)/100,2))*100</f>
        <v>9707.5857774288397</v>
      </c>
      <c r="C66">
        <f>(3/(1+('CurrentPor-LH=10 unchanged'!C66+'CurrentPor-LH=10 unchanged'!G66)/100)+103/POWER(1+('CurrentPor-LH=10 unchanged'!D66+'CurrentPor-LH=10 unchanged'!G66)/100,2))*100</f>
        <v>9610.2786031354117</v>
      </c>
      <c r="D66">
        <f>(3/(1+('CurrentPor-LH=10 unchanged'!C66+'CurrentPor-LH=10 unchanged'!H66)/100)+103/POWER(1+('CurrentPor-LH=10 unchanged'!D66+'CurrentPor-LH=10 unchanged'!H66)/100,2))*100</f>
        <v>9605.0009737327418</v>
      </c>
      <c r="E66">
        <f>(3/(1+('CurrentPor-LH=10 unchanged'!C66+'CurrentPor-LH=10 unchanged'!I66)/100)+103/POWER(1+('CurrentPor-LH=10 unchanged'!D66+'CurrentPor-LH=10 unchanged'!I66)/100,2))*100</f>
        <v>9561.1428414668553</v>
      </c>
      <c r="F66">
        <f>Portfolio!B$5*'CurrentPor-LH=10 unchanged'!E66</f>
        <v>52143.895533915893</v>
      </c>
      <c r="G66">
        <f>Portfolio!B$6*'CurrentPor-LH=10 unchanged'!F66</f>
        <v>3696.2945087936532</v>
      </c>
      <c r="H66">
        <f>Portfolio!B$7*'CurrentPor-LH=10 unchanged'!J66</f>
        <v>2148.0998964419859</v>
      </c>
      <c r="I66">
        <f t="shared" si="0"/>
        <v>96472.298134915371</v>
      </c>
      <c r="J66">
        <f t="shared" si="1"/>
        <v>-29.233462069329107</v>
      </c>
    </row>
    <row r="67" spans="1:10">
      <c r="A67" s="1">
        <v>45562</v>
      </c>
      <c r="B67">
        <f>(3/(1+('CurrentPor-LH=10 unchanged'!C67)/100)+103/POWER(1+('CurrentPor-LH=10 unchanged'!D67)/100,2))*100</f>
        <v>9707.5857774288397</v>
      </c>
      <c r="C67">
        <f>(3/(1+('CurrentPor-LH=10 unchanged'!C67+'CurrentPor-LH=10 unchanged'!G67)/100)+103/POWER(1+('CurrentPor-LH=10 unchanged'!D67+'CurrentPor-LH=10 unchanged'!G67)/100,2))*100</f>
        <v>9628.7938168317978</v>
      </c>
      <c r="D67">
        <f>(3/(1+('CurrentPor-LH=10 unchanged'!C67+'CurrentPor-LH=10 unchanged'!H67)/100)+103/POWER(1+('CurrentPor-LH=10 unchanged'!D67+'CurrentPor-LH=10 unchanged'!H67)/100,2))*100</f>
        <v>9588.3722457230124</v>
      </c>
      <c r="E67">
        <f>(3/(1+('CurrentPor-LH=10 unchanged'!C67+'CurrentPor-LH=10 unchanged'!I67)/100)+103/POWER(1+('CurrentPor-LH=10 unchanged'!D67+'CurrentPor-LH=10 unchanged'!I67)/100,2))*100</f>
        <v>9583.5545570456579</v>
      </c>
      <c r="F67">
        <f>Portfolio!B$5*'CurrentPor-LH=10 unchanged'!E67</f>
        <v>52143.895533915893</v>
      </c>
      <c r="G67">
        <f>Portfolio!B$6*'CurrentPor-LH=10 unchanged'!F67</f>
        <v>3696.2945087936532</v>
      </c>
      <c r="H67">
        <f>Portfolio!B$7*'CurrentPor-LH=10 unchanged'!J67</f>
        <v>2148.0998964419859</v>
      </c>
      <c r="I67">
        <f t="shared" si="0"/>
        <v>96496.596336180839</v>
      </c>
      <c r="J67">
        <f t="shared" si="1"/>
        <v>-19.963847461112891</v>
      </c>
    </row>
    <row r="68" spans="1:10">
      <c r="A68" s="1">
        <v>45565</v>
      </c>
      <c r="B68">
        <f>(3/(1+('CurrentPor-LH=10 unchanged'!C68)/100)+103/POWER(1+('CurrentPor-LH=10 unchanged'!D68)/100,2))*100</f>
        <v>9707.5857774288397</v>
      </c>
      <c r="C68">
        <f>(3/(1+('CurrentPor-LH=10 unchanged'!C68+'CurrentPor-LH=10 unchanged'!G68)/100)+103/POWER(1+('CurrentPor-LH=10 unchanged'!D68+'CurrentPor-LH=10 unchanged'!G68)/100,2))*100</f>
        <v>9612.5263804773022</v>
      </c>
      <c r="D68">
        <f>(3/(1+('CurrentPor-LH=10 unchanged'!C68+'CurrentPor-LH=10 unchanged'!H68)/100)+103/POWER(1+('CurrentPor-LH=10 unchanged'!D68+'CurrentPor-LH=10 unchanged'!H68)/100,2))*100</f>
        <v>9604.9964871550255</v>
      </c>
      <c r="E68">
        <f>(3/(1+('CurrentPor-LH=10 unchanged'!C68+'CurrentPor-LH=10 unchanged'!I68)/100)+103/POWER(1+('CurrentPor-LH=10 unchanged'!D68+'CurrentPor-LH=10 unchanged'!I68)/100,2))*100</f>
        <v>9575.6047934174803</v>
      </c>
      <c r="F68">
        <f>Portfolio!B$5*'CurrentPor-LH=10 unchanged'!E68</f>
        <v>52143.895533915893</v>
      </c>
      <c r="G68">
        <f>Portfolio!B$6*'CurrentPor-LH=10 unchanged'!F68</f>
        <v>3696.2945087936532</v>
      </c>
      <c r="H68">
        <f>Portfolio!B$7*'CurrentPor-LH=10 unchanged'!J68</f>
        <v>2148.0998964419859</v>
      </c>
      <c r="I68">
        <f t="shared" ref="I68:I131" si="2">SUM(B68:H68)</f>
        <v>96489.003377630186</v>
      </c>
      <c r="J68">
        <f t="shared" si="1"/>
        <v>5.2014701892330777</v>
      </c>
    </row>
    <row r="69" spans="1:10">
      <c r="A69" s="1">
        <v>45566</v>
      </c>
      <c r="B69">
        <f>(3/(1+('CurrentPor-LH=10 unchanged'!C69)/100)+103/POWER(1+('CurrentPor-LH=10 unchanged'!D69)/100,2))*100</f>
        <v>9707.5857774288397</v>
      </c>
      <c r="C69">
        <f>(3/(1+('CurrentPor-LH=10 unchanged'!C69+'CurrentPor-LH=10 unchanged'!G69)/100)+103/POWER(1+('CurrentPor-LH=10 unchanged'!D69+'CurrentPor-LH=10 unchanged'!G69)/100,2))*100</f>
        <v>9621.532669854947</v>
      </c>
      <c r="D69">
        <f>(3/(1+('CurrentPor-LH=10 unchanged'!C69+'CurrentPor-LH=10 unchanged'!H69)/100)+103/POWER(1+('CurrentPor-LH=10 unchanged'!D69+'CurrentPor-LH=10 unchanged'!H69)/100,2))*100</f>
        <v>9593.7091697801825</v>
      </c>
      <c r="E69">
        <f>(3/(1+('CurrentPor-LH=10 unchanged'!C69+'CurrentPor-LH=10 unchanged'!I69)/100)+103/POWER(1+('CurrentPor-LH=10 unchanged'!D69+'CurrentPor-LH=10 unchanged'!I69)/100,2))*100</f>
        <v>9568.5382968260747</v>
      </c>
      <c r="F69">
        <f>Portfolio!B$5*'CurrentPor-LH=10 unchanged'!E69</f>
        <v>52143.895533915893</v>
      </c>
      <c r="G69">
        <f>Portfolio!B$6*'CurrentPor-LH=10 unchanged'!F69</f>
        <v>3696.2945087936532</v>
      </c>
      <c r="H69">
        <f>Portfolio!B$7*'CurrentPor-LH=10 unchanged'!J69</f>
        <v>2148.0998964419859</v>
      </c>
      <c r="I69">
        <f t="shared" si="2"/>
        <v>96479.655853041579</v>
      </c>
      <c r="J69">
        <f t="shared" si="1"/>
        <v>-14.781778596166987</v>
      </c>
    </row>
    <row r="70" spans="1:10">
      <c r="A70" s="1">
        <v>45567</v>
      </c>
      <c r="B70">
        <f>(3/(1+('CurrentPor-LH=10 unchanged'!C70)/100)+103/POWER(1+('CurrentPor-LH=10 unchanged'!D70)/100,2))*100</f>
        <v>9707.5857774288397</v>
      </c>
      <c r="C70">
        <f>(3/(1+('CurrentPor-LH=10 unchanged'!C70+'CurrentPor-LH=10 unchanged'!G70)/100)+103/POWER(1+('CurrentPor-LH=10 unchanged'!D70+'CurrentPor-LH=10 unchanged'!G70)/100,2))*100</f>
        <v>9625.2882085234742</v>
      </c>
      <c r="D70">
        <f>(3/(1+('CurrentPor-LH=10 unchanged'!C70+'CurrentPor-LH=10 unchanged'!H70)/100)+103/POWER(1+('CurrentPor-LH=10 unchanged'!D70+'CurrentPor-LH=10 unchanged'!H70)/100,2))*100</f>
        <v>9588.4013025872537</v>
      </c>
      <c r="E70">
        <f>(3/(1+('CurrentPor-LH=10 unchanged'!C70+'CurrentPor-LH=10 unchanged'!I70)/100)+103/POWER(1+('CurrentPor-LH=10 unchanged'!D70+'CurrentPor-LH=10 unchanged'!I70)/100,2))*100</f>
        <v>9580.5379779519262</v>
      </c>
      <c r="F70">
        <f>Portfolio!B$5*'CurrentPor-LH=10 unchanged'!E70</f>
        <v>52143.895533915893</v>
      </c>
      <c r="G70">
        <f>Portfolio!B$6*'CurrentPor-LH=10 unchanged'!F70</f>
        <v>3696.2945087936532</v>
      </c>
      <c r="H70">
        <f>Portfolio!B$7*'CurrentPor-LH=10 unchanged'!J70</f>
        <v>2148.0998964419859</v>
      </c>
      <c r="I70">
        <f t="shared" si="2"/>
        <v>96490.103205643027</v>
      </c>
      <c r="J70">
        <f t="shared" si="1"/>
        <v>9.2138926991901826</v>
      </c>
    </row>
    <row r="71" spans="1:10">
      <c r="A71" s="1">
        <v>45568</v>
      </c>
      <c r="B71">
        <f>(3/(1+('CurrentPor-LH=10 unchanged'!C71)/100)+103/POWER(1+('CurrentPor-LH=10 unchanged'!D71)/100,2))*100</f>
        <v>9707.5857774288397</v>
      </c>
      <c r="C71">
        <f>(3/(1+('CurrentPor-LH=10 unchanged'!C71+'CurrentPor-LH=10 unchanged'!G71)/100)+103/POWER(1+('CurrentPor-LH=10 unchanged'!D71+'CurrentPor-LH=10 unchanged'!G71)/100,2))*100</f>
        <v>9616.6943501154183</v>
      </c>
      <c r="D71">
        <f>(3/(1+('CurrentPor-LH=10 unchanged'!C71+'CurrentPor-LH=10 unchanged'!H71)/100)+103/POWER(1+('CurrentPor-LH=10 unchanged'!D71+'CurrentPor-LH=10 unchanged'!H71)/100,2))*100</f>
        <v>9583.3242981650037</v>
      </c>
      <c r="E71">
        <f>(3/(1+('CurrentPor-LH=10 unchanged'!C71+'CurrentPor-LH=10 unchanged'!I71)/100)+103/POWER(1+('CurrentPor-LH=10 unchanged'!D71+'CurrentPor-LH=10 unchanged'!I71)/100,2))*100</f>
        <v>9581.4736577771528</v>
      </c>
      <c r="F71">
        <f>Portfolio!B$5*'CurrentPor-LH=10 unchanged'!E71</f>
        <v>52143.895533915893</v>
      </c>
      <c r="G71">
        <f>Portfolio!B$6*'CurrentPor-LH=10 unchanged'!F71</f>
        <v>3696.2945087936532</v>
      </c>
      <c r="H71">
        <f>Portfolio!B$7*'CurrentPor-LH=10 unchanged'!J71</f>
        <v>2148.0998964419859</v>
      </c>
      <c r="I71">
        <f t="shared" si="2"/>
        <v>96477.368022637951</v>
      </c>
      <c r="J71">
        <f t="shared" si="1"/>
        <v>-14.136589833986363</v>
      </c>
    </row>
    <row r="72" spans="1:10">
      <c r="A72" s="1">
        <v>45569</v>
      </c>
      <c r="B72">
        <f>(3/(1+('CurrentPor-LH=10 unchanged'!C72)/100)+103/POWER(1+('CurrentPor-LH=10 unchanged'!D72)/100,2))*100</f>
        <v>9707.5857774288397</v>
      </c>
      <c r="C72">
        <f>(3/(1+('CurrentPor-LH=10 unchanged'!C72+'CurrentPor-LH=10 unchanged'!G72)/100)+103/POWER(1+('CurrentPor-LH=10 unchanged'!D72+'CurrentPor-LH=10 unchanged'!G72)/100,2))*100</f>
        <v>9620.1589871131655</v>
      </c>
      <c r="D72">
        <f>(3/(1+('CurrentPor-LH=10 unchanged'!C72+'CurrentPor-LH=10 unchanged'!H72)/100)+103/POWER(1+('CurrentPor-LH=10 unchanged'!D72+'CurrentPor-LH=10 unchanged'!H72)/100,2))*100</f>
        <v>9603.8734031010972</v>
      </c>
      <c r="E72">
        <f>(3/(1+('CurrentPor-LH=10 unchanged'!C72+'CurrentPor-LH=10 unchanged'!I72)/100)+103/POWER(1+('CurrentPor-LH=10 unchanged'!D72+'CurrentPor-LH=10 unchanged'!I72)/100,2))*100</f>
        <v>9576.2343633897872</v>
      </c>
      <c r="F72">
        <f>Portfolio!B$5*'CurrentPor-LH=10 unchanged'!E72</f>
        <v>52143.895533915893</v>
      </c>
      <c r="G72">
        <f>Portfolio!B$6*'CurrentPor-LH=10 unchanged'!F72</f>
        <v>3696.2945087936532</v>
      </c>
      <c r="H72">
        <f>Portfolio!B$7*'CurrentPor-LH=10 unchanged'!J72</f>
        <v>2148.0998964419859</v>
      </c>
      <c r="I72">
        <f t="shared" si="2"/>
        <v>96496.142470184408</v>
      </c>
      <c r="J72">
        <f t="shared" si="1"/>
        <v>-11.942069132201141</v>
      </c>
    </row>
    <row r="73" spans="1:10">
      <c r="A73" s="1">
        <v>45572</v>
      </c>
      <c r="B73">
        <f>(3/(1+('CurrentPor-LH=10 unchanged'!C73)/100)+103/POWER(1+('CurrentPor-LH=10 unchanged'!D73)/100,2))*100</f>
        <v>9707.5857774288397</v>
      </c>
      <c r="C73">
        <f>(3/(1+('CurrentPor-LH=10 unchanged'!C73+'CurrentPor-LH=10 unchanged'!G73)/100)+103/POWER(1+('CurrentPor-LH=10 unchanged'!D73+'CurrentPor-LH=10 unchanged'!G73)/100,2))*100</f>
        <v>9632.8304150337244</v>
      </c>
      <c r="D73">
        <f>(3/(1+('CurrentPor-LH=10 unchanged'!C73+'CurrentPor-LH=10 unchanged'!H73)/100)+103/POWER(1+('CurrentPor-LH=10 unchanged'!D73+'CurrentPor-LH=10 unchanged'!H73)/100,2))*100</f>
        <v>9598.8605478081117</v>
      </c>
      <c r="E73">
        <f>(3/(1+('CurrentPor-LH=10 unchanged'!C73+'CurrentPor-LH=10 unchanged'!I73)/100)+103/POWER(1+('CurrentPor-LH=10 unchanged'!D73+'CurrentPor-LH=10 unchanged'!I73)/100,2))*100</f>
        <v>9604.4712629235764</v>
      </c>
      <c r="F73">
        <f>Portfolio!B$5*'CurrentPor-LH=10 unchanged'!E73</f>
        <v>52143.895533915893</v>
      </c>
      <c r="G73">
        <f>Portfolio!B$6*'CurrentPor-LH=10 unchanged'!F73</f>
        <v>3696.2945087936532</v>
      </c>
      <c r="H73">
        <f>Portfolio!B$7*'CurrentPor-LH=10 unchanged'!J73</f>
        <v>2148.0998964419859</v>
      </c>
      <c r="I73">
        <f t="shared" si="2"/>
        <v>96532.037942345793</v>
      </c>
      <c r="J73">
        <f t="shared" si="1"/>
        <v>23.613516056531807</v>
      </c>
    </row>
    <row r="74" spans="1:10">
      <c r="A74" s="1">
        <v>45573</v>
      </c>
      <c r="B74">
        <f>(3/(1+('CurrentPor-LH=10 unchanged'!C74)/100)+103/POWER(1+('CurrentPor-LH=10 unchanged'!D74)/100,2))*100</f>
        <v>9707.5857774288397</v>
      </c>
      <c r="C74">
        <f>(3/(1+('CurrentPor-LH=10 unchanged'!C74+'CurrentPor-LH=10 unchanged'!G74)/100)+103/POWER(1+('CurrentPor-LH=10 unchanged'!D74+'CurrentPor-LH=10 unchanged'!G74)/100,2))*100</f>
        <v>9608.3928695868271</v>
      </c>
      <c r="D74">
        <f>(3/(1+('CurrentPor-LH=10 unchanged'!C74+'CurrentPor-LH=10 unchanged'!H74)/100)+103/POWER(1+('CurrentPor-LH=10 unchanged'!D74+'CurrentPor-LH=10 unchanged'!H74)/100,2))*100</f>
        <v>9621.9436887344073</v>
      </c>
      <c r="E74">
        <f>(3/(1+('CurrentPor-LH=10 unchanged'!C74+'CurrentPor-LH=10 unchanged'!I74)/100)+103/POWER(1+('CurrentPor-LH=10 unchanged'!D74+'CurrentPor-LH=10 unchanged'!I74)/100,2))*100</f>
        <v>9588.1360404990864</v>
      </c>
      <c r="F74">
        <f>Portfolio!B$5*'CurrentPor-LH=10 unchanged'!E74</f>
        <v>52143.895533915893</v>
      </c>
      <c r="G74">
        <f>Portfolio!B$6*'CurrentPor-LH=10 unchanged'!F74</f>
        <v>3696.2945087936532</v>
      </c>
      <c r="H74">
        <f>Portfolio!B$7*'CurrentPor-LH=10 unchanged'!J74</f>
        <v>2148.0998964419859</v>
      </c>
      <c r="I74">
        <f t="shared" si="2"/>
        <v>96514.348315400697</v>
      </c>
      <c r="J74">
        <f t="shared" si="1"/>
        <v>37.229317021206953</v>
      </c>
    </row>
    <row r="75" spans="1:10">
      <c r="A75" s="1">
        <v>45574</v>
      </c>
      <c r="B75">
        <f>(3/(1+('CurrentPor-LH=10 unchanged'!C75)/100)+103/POWER(1+('CurrentPor-LH=10 unchanged'!D75)/100,2))*100</f>
        <v>9707.5857774288397</v>
      </c>
      <c r="C75">
        <f>(3/(1+('CurrentPor-LH=10 unchanged'!C75+'CurrentPor-LH=10 unchanged'!G75)/100)+103/POWER(1+('CurrentPor-LH=10 unchanged'!D75+'CurrentPor-LH=10 unchanged'!G75)/100,2))*100</f>
        <v>9617.9397245896234</v>
      </c>
      <c r="D75">
        <f>(3/(1+('CurrentPor-LH=10 unchanged'!C75+'CurrentPor-LH=10 unchanged'!H75)/100)+103/POWER(1+('CurrentPor-LH=10 unchanged'!D75+'CurrentPor-LH=10 unchanged'!H75)/100,2))*100</f>
        <v>9592.9055718900709</v>
      </c>
      <c r="E75">
        <f>(3/(1+('CurrentPor-LH=10 unchanged'!C75+'CurrentPor-LH=10 unchanged'!I75)/100)+103/POWER(1+('CurrentPor-LH=10 unchanged'!D75+'CurrentPor-LH=10 unchanged'!I75)/100,2))*100</f>
        <v>9575.2181233991287</v>
      </c>
      <c r="F75">
        <f>Portfolio!B$5*'CurrentPor-LH=10 unchanged'!E75</f>
        <v>52143.895533915893</v>
      </c>
      <c r="G75">
        <f>Portfolio!B$6*'CurrentPor-LH=10 unchanged'!F75</f>
        <v>3696.2945087936532</v>
      </c>
      <c r="H75">
        <f>Portfolio!B$7*'CurrentPor-LH=10 unchanged'!J75</f>
        <v>2148.0998964419859</v>
      </c>
      <c r="I75">
        <f t="shared" si="2"/>
        <v>96481.939136459187</v>
      </c>
      <c r="J75">
        <f t="shared" si="1"/>
        <v>-13.219798670732416</v>
      </c>
    </row>
    <row r="76" spans="1:10">
      <c r="A76" s="1">
        <v>45575</v>
      </c>
      <c r="B76">
        <f>(3/(1+('CurrentPor-LH=10 unchanged'!C76)/100)+103/POWER(1+('CurrentPor-LH=10 unchanged'!D76)/100,2))*100</f>
        <v>9707.5857774288397</v>
      </c>
      <c r="C76">
        <f>(3/(1+('CurrentPor-LH=10 unchanged'!C76+'CurrentPor-LH=10 unchanged'!G76)/100)+103/POWER(1+('CurrentPor-LH=10 unchanged'!D76+'CurrentPor-LH=10 unchanged'!G76)/100,2))*100</f>
        <v>9609.2926497854478</v>
      </c>
      <c r="D76">
        <f>(3/(1+('CurrentPor-LH=10 unchanged'!C76+'CurrentPor-LH=10 unchanged'!H76)/100)+103/POWER(1+('CurrentPor-LH=10 unchanged'!D76+'CurrentPor-LH=10 unchanged'!H76)/100,2))*100</f>
        <v>9617.4153814204346</v>
      </c>
      <c r="E76">
        <f>(3/(1+('CurrentPor-LH=10 unchanged'!C76+'CurrentPor-LH=10 unchanged'!I76)/100)+103/POWER(1+('CurrentPor-LH=10 unchanged'!D76+'CurrentPor-LH=10 unchanged'!I76)/100,2))*100</f>
        <v>9599.9362846419954</v>
      </c>
      <c r="F76">
        <f>Portfolio!B$5*'CurrentPor-LH=10 unchanged'!E76</f>
        <v>52143.895533915893</v>
      </c>
      <c r="G76">
        <f>Portfolio!B$6*'CurrentPor-LH=10 unchanged'!F76</f>
        <v>3696.2945087936532</v>
      </c>
      <c r="H76">
        <f>Portfolio!B$7*'CurrentPor-LH=10 unchanged'!J76</f>
        <v>2148.0998964419859</v>
      </c>
      <c r="I76">
        <f t="shared" si="2"/>
        <v>96522.520032428249</v>
      </c>
      <c r="J76">
        <f t="shared" si="1"/>
        <v>50.221897512878058</v>
      </c>
    </row>
    <row r="77" spans="1:10">
      <c r="A77" s="1">
        <v>45576</v>
      </c>
      <c r="B77">
        <f>(3/(1+('CurrentPor-LH=10 unchanged'!C77)/100)+103/POWER(1+('CurrentPor-LH=10 unchanged'!D77)/100,2))*100</f>
        <v>9707.5857774288397</v>
      </c>
      <c r="C77">
        <f>(3/(1+('CurrentPor-LH=10 unchanged'!C77+'CurrentPor-LH=10 unchanged'!G77)/100)+103/POWER(1+('CurrentPor-LH=10 unchanged'!D77+'CurrentPor-LH=10 unchanged'!G77)/100,2))*100</f>
        <v>9610.0306618115028</v>
      </c>
      <c r="D77">
        <f>(3/(1+('CurrentPor-LH=10 unchanged'!C77+'CurrentPor-LH=10 unchanged'!H77)/100)+103/POWER(1+('CurrentPor-LH=10 unchanged'!D77+'CurrentPor-LH=10 unchanged'!H77)/100,2))*100</f>
        <v>9597.5935991703373</v>
      </c>
      <c r="E77">
        <f>(3/(1+('CurrentPor-LH=10 unchanged'!C77+'CurrentPor-LH=10 unchanged'!I77)/100)+103/POWER(1+('CurrentPor-LH=10 unchanged'!D77+'CurrentPor-LH=10 unchanged'!I77)/100,2))*100</f>
        <v>9577.6654859941282</v>
      </c>
      <c r="F77">
        <f>Portfolio!B$5*'CurrentPor-LH=10 unchanged'!E77</f>
        <v>52143.895533915893</v>
      </c>
      <c r="G77">
        <f>Portfolio!B$6*'CurrentPor-LH=10 unchanged'!F77</f>
        <v>3696.2945087936532</v>
      </c>
      <c r="H77">
        <f>Portfolio!B$7*'CurrentPor-LH=10 unchanged'!J77</f>
        <v>2148.0998964419859</v>
      </c>
      <c r="I77">
        <f t="shared" si="2"/>
        <v>96481.165463556346</v>
      </c>
      <c r="J77">
        <f t="shared" si="1"/>
        <v>-15.430872624492622</v>
      </c>
    </row>
    <row r="78" spans="1:10">
      <c r="A78" s="1">
        <v>45579</v>
      </c>
      <c r="B78">
        <f>(3/(1+('CurrentPor-LH=10 unchanged'!C78)/100)+103/POWER(1+('CurrentPor-LH=10 unchanged'!D78)/100,2))*100</f>
        <v>9707.5857774288397</v>
      </c>
      <c r="C78">
        <f>(3/(1+('CurrentPor-LH=10 unchanged'!C78+'CurrentPor-LH=10 unchanged'!G78)/100)+103/POWER(1+('CurrentPor-LH=10 unchanged'!D78+'CurrentPor-LH=10 unchanged'!G78)/100,2))*100</f>
        <v>9618.8104596890516</v>
      </c>
      <c r="D78">
        <f>(3/(1+('CurrentPor-LH=10 unchanged'!C78+'CurrentPor-LH=10 unchanged'!H78)/100)+103/POWER(1+('CurrentPor-LH=10 unchanged'!D78+'CurrentPor-LH=10 unchanged'!H78)/100,2))*100</f>
        <v>9592.8800982188186</v>
      </c>
      <c r="E78">
        <f>(3/(1+('CurrentPor-LH=10 unchanged'!C78+'CurrentPor-LH=10 unchanged'!I78)/100)+103/POWER(1+('CurrentPor-LH=10 unchanged'!D78+'CurrentPor-LH=10 unchanged'!I78)/100,2))*100</f>
        <v>9608.5599751931422</v>
      </c>
      <c r="F78">
        <f>Portfolio!B$5*'CurrentPor-LH=10 unchanged'!E78</f>
        <v>52143.895533915893</v>
      </c>
      <c r="G78">
        <f>Portfolio!B$6*'CurrentPor-LH=10 unchanged'!F78</f>
        <v>3696.2945087936532</v>
      </c>
      <c r="H78">
        <f>Portfolio!B$7*'CurrentPor-LH=10 unchanged'!J78</f>
        <v>2148.0998964419859</v>
      </c>
      <c r="I78">
        <f t="shared" si="2"/>
        <v>96516.126249681387</v>
      </c>
      <c r="J78">
        <f t="shared" ref="J78:J141" si="3">I78-I68</f>
        <v>27.122872051200829</v>
      </c>
    </row>
    <row r="79" spans="1:10">
      <c r="A79" s="1">
        <v>45580</v>
      </c>
      <c r="B79">
        <f>(3/(1+('CurrentPor-LH=10 unchanged'!C79)/100)+103/POWER(1+('CurrentPor-LH=10 unchanged'!D79)/100,2))*100</f>
        <v>9707.5857774288397</v>
      </c>
      <c r="C79">
        <f>(3/(1+('CurrentPor-LH=10 unchanged'!C79+'CurrentPor-LH=10 unchanged'!G79)/100)+103/POWER(1+('CurrentPor-LH=10 unchanged'!D79+'CurrentPor-LH=10 unchanged'!G79)/100,2))*100</f>
        <v>9607.2868927606287</v>
      </c>
      <c r="D79">
        <f>(3/(1+('CurrentPor-LH=10 unchanged'!C79+'CurrentPor-LH=10 unchanged'!H79)/100)+103/POWER(1+('CurrentPor-LH=10 unchanged'!D79+'CurrentPor-LH=10 unchanged'!H79)/100,2))*100</f>
        <v>9613.6355516047024</v>
      </c>
      <c r="E79">
        <f>(3/(1+('CurrentPor-LH=10 unchanged'!C79+'CurrentPor-LH=10 unchanged'!I79)/100)+103/POWER(1+('CurrentPor-LH=10 unchanged'!D79+'CurrentPor-LH=10 unchanged'!I79)/100,2))*100</f>
        <v>9610.9437735107349</v>
      </c>
      <c r="F79">
        <f>Portfolio!B$5*'CurrentPor-LH=10 unchanged'!E79</f>
        <v>52143.895533915893</v>
      </c>
      <c r="G79">
        <f>Portfolio!B$6*'CurrentPor-LH=10 unchanged'!F79</f>
        <v>3696.2945087936532</v>
      </c>
      <c r="H79">
        <f>Portfolio!B$7*'CurrentPor-LH=10 unchanged'!J79</f>
        <v>2148.0998964419859</v>
      </c>
      <c r="I79">
        <f t="shared" si="2"/>
        <v>96527.741934456441</v>
      </c>
      <c r="J79">
        <f t="shared" si="3"/>
        <v>48.086081414861837</v>
      </c>
    </row>
    <row r="80" spans="1:10">
      <c r="A80" s="1">
        <v>45581</v>
      </c>
      <c r="B80">
        <f>(3/(1+('CurrentPor-LH=10 unchanged'!C80)/100)+103/POWER(1+('CurrentPor-LH=10 unchanged'!D80)/100,2))*100</f>
        <v>9707.5857774288397</v>
      </c>
      <c r="C80">
        <f>(3/(1+('CurrentPor-LH=10 unchanged'!C80+'CurrentPor-LH=10 unchanged'!G80)/100)+103/POWER(1+('CurrentPor-LH=10 unchanged'!D80+'CurrentPor-LH=10 unchanged'!G80)/100,2))*100</f>
        <v>9623.887251923552</v>
      </c>
      <c r="D80">
        <f>(3/(1+('CurrentPor-LH=10 unchanged'!C80+'CurrentPor-LH=10 unchanged'!H80)/100)+103/POWER(1+('CurrentPor-LH=10 unchanged'!D80+'CurrentPor-LH=10 unchanged'!H80)/100,2))*100</f>
        <v>9591.7697173829238</v>
      </c>
      <c r="E80">
        <f>(3/(1+('CurrentPor-LH=10 unchanged'!C80+'CurrentPor-LH=10 unchanged'!I80)/100)+103/POWER(1+('CurrentPor-LH=10 unchanged'!D80+'CurrentPor-LH=10 unchanged'!I80)/100,2))*100</f>
        <v>9583.899931588714</v>
      </c>
      <c r="F80">
        <f>Portfolio!B$5*'CurrentPor-LH=10 unchanged'!E80</f>
        <v>52143.895533915893</v>
      </c>
      <c r="G80">
        <f>Portfolio!B$6*'CurrentPor-LH=10 unchanged'!F80</f>
        <v>3696.2945087936532</v>
      </c>
      <c r="H80">
        <f>Portfolio!B$7*'CurrentPor-LH=10 unchanged'!J80</f>
        <v>2148.0998964419859</v>
      </c>
      <c r="I80">
        <f t="shared" si="2"/>
        <v>96495.432617475555</v>
      </c>
      <c r="J80">
        <f t="shared" si="3"/>
        <v>5.3294118325284217</v>
      </c>
    </row>
    <row r="81" spans="1:10">
      <c r="A81" s="1">
        <v>45582</v>
      </c>
      <c r="B81">
        <f>(3/(1+('CurrentPor-LH=10 unchanged'!C81)/100)+103/POWER(1+('CurrentPor-LH=10 unchanged'!D81)/100,2))*100</f>
        <v>9707.5857774288397</v>
      </c>
      <c r="C81">
        <f>(3/(1+('CurrentPor-LH=10 unchanged'!C81+'CurrentPor-LH=10 unchanged'!G81)/100)+103/POWER(1+('CurrentPor-LH=10 unchanged'!D81+'CurrentPor-LH=10 unchanged'!G81)/100,2))*100</f>
        <v>9619.1160382924299</v>
      </c>
      <c r="D81">
        <f>(3/(1+('CurrentPor-LH=10 unchanged'!C81+'CurrentPor-LH=10 unchanged'!H81)/100)+103/POWER(1+('CurrentPor-LH=10 unchanged'!D81+'CurrentPor-LH=10 unchanged'!H81)/100,2))*100</f>
        <v>9607.5592309153362</v>
      </c>
      <c r="E81">
        <f>(3/(1+('CurrentPor-LH=10 unchanged'!C81+'CurrentPor-LH=10 unchanged'!I81)/100)+103/POWER(1+('CurrentPor-LH=10 unchanged'!D81+'CurrentPor-LH=10 unchanged'!I81)/100,2))*100</f>
        <v>9598.6686696571305</v>
      </c>
      <c r="F81">
        <f>Portfolio!B$5*'CurrentPor-LH=10 unchanged'!E81</f>
        <v>52143.895533915893</v>
      </c>
      <c r="G81">
        <f>Portfolio!B$6*'CurrentPor-LH=10 unchanged'!F81</f>
        <v>3696.2945087936532</v>
      </c>
      <c r="H81">
        <f>Portfolio!B$7*'CurrentPor-LH=10 unchanged'!J81</f>
        <v>2148.0998964419859</v>
      </c>
      <c r="I81">
        <f t="shared" si="2"/>
        <v>96521.219655445268</v>
      </c>
      <c r="J81">
        <f t="shared" si="3"/>
        <v>43.851632807316491</v>
      </c>
    </row>
    <row r="82" spans="1:10">
      <c r="A82" s="1">
        <v>45583</v>
      </c>
      <c r="B82">
        <f>(3/(1+('CurrentPor-LH=10 unchanged'!C82)/100)+103/POWER(1+('CurrentPor-LH=10 unchanged'!D82)/100,2))*100</f>
        <v>9707.5857774288397</v>
      </c>
      <c r="C82">
        <f>(3/(1+('CurrentPor-LH=10 unchanged'!C82+'CurrentPor-LH=10 unchanged'!G82)/100)+103/POWER(1+('CurrentPor-LH=10 unchanged'!D82+'CurrentPor-LH=10 unchanged'!G82)/100,2))*100</f>
        <v>9619.056998484506</v>
      </c>
      <c r="D82">
        <f>(3/(1+('CurrentPor-LH=10 unchanged'!C82+'CurrentPor-LH=10 unchanged'!H82)/100)+103/POWER(1+('CurrentPor-LH=10 unchanged'!D82+'CurrentPor-LH=10 unchanged'!H82)/100,2))*100</f>
        <v>9586.7265369157685</v>
      </c>
      <c r="E82">
        <f>(3/(1+('CurrentPor-LH=10 unchanged'!C82+'CurrentPor-LH=10 unchanged'!I82)/100)+103/POWER(1+('CurrentPor-LH=10 unchanged'!D82+'CurrentPor-LH=10 unchanged'!I82)/100,2))*100</f>
        <v>9573.5620619680776</v>
      </c>
      <c r="F82">
        <f>Portfolio!B$5*'CurrentPor-LH=10 unchanged'!E82</f>
        <v>52143.895533915893</v>
      </c>
      <c r="G82">
        <f>Portfolio!B$6*'CurrentPor-LH=10 unchanged'!F82</f>
        <v>3696.2945087936532</v>
      </c>
      <c r="H82">
        <f>Portfolio!B$7*'CurrentPor-LH=10 unchanged'!J82</f>
        <v>2148.0998964419859</v>
      </c>
      <c r="I82">
        <f t="shared" si="2"/>
        <v>96475.221313948728</v>
      </c>
      <c r="J82">
        <f t="shared" si="3"/>
        <v>-20.921156235679518</v>
      </c>
    </row>
    <row r="83" spans="1:10">
      <c r="A83" s="1">
        <v>45586</v>
      </c>
      <c r="B83">
        <f>(3/(1+('CurrentPor-LH=10 unchanged'!C83)/100)+103/POWER(1+('CurrentPor-LH=10 unchanged'!D83)/100,2))*100</f>
        <v>9707.5857774288397</v>
      </c>
      <c r="C83">
        <f>(3/(1+('CurrentPor-LH=10 unchanged'!C83+'CurrentPor-LH=10 unchanged'!G83)/100)+103/POWER(1+('CurrentPor-LH=10 unchanged'!D83+'CurrentPor-LH=10 unchanged'!G83)/100,2))*100</f>
        <v>9601.9153859784456</v>
      </c>
      <c r="D83">
        <f>(3/(1+('CurrentPor-LH=10 unchanged'!C83+'CurrentPor-LH=10 unchanged'!H83)/100)+103/POWER(1+('CurrentPor-LH=10 unchanged'!D83+'CurrentPor-LH=10 unchanged'!H83)/100,2))*100</f>
        <v>9596.1795222532473</v>
      </c>
      <c r="E83">
        <f>(3/(1+('CurrentPor-LH=10 unchanged'!C83+'CurrentPor-LH=10 unchanged'!I83)/100)+103/POWER(1+('CurrentPor-LH=10 unchanged'!D83+'CurrentPor-LH=10 unchanged'!I83)/100,2))*100</f>
        <v>9593.9055291896784</v>
      </c>
      <c r="F83">
        <f>Portfolio!B$5*'CurrentPor-LH=10 unchanged'!E83</f>
        <v>52143.895533915893</v>
      </c>
      <c r="G83">
        <f>Portfolio!B$6*'CurrentPor-LH=10 unchanged'!F83</f>
        <v>3696.2945087936532</v>
      </c>
      <c r="H83">
        <f>Portfolio!B$7*'CurrentPor-LH=10 unchanged'!J83</f>
        <v>2148.0998964419859</v>
      </c>
      <c r="I83">
        <f t="shared" si="2"/>
        <v>96487.876154001744</v>
      </c>
      <c r="J83">
        <f t="shared" si="3"/>
        <v>-44.161788344048546</v>
      </c>
    </row>
    <row r="84" spans="1:10">
      <c r="A84" s="1">
        <v>45587</v>
      </c>
      <c r="B84">
        <f>(3/(1+('CurrentPor-LH=10 unchanged'!C84)/100)+103/POWER(1+('CurrentPor-LH=10 unchanged'!D84)/100,2))*100</f>
        <v>9707.5857774288397</v>
      </c>
      <c r="C84">
        <f>(3/(1+('CurrentPor-LH=10 unchanged'!C84+'CurrentPor-LH=10 unchanged'!G84)/100)+103/POWER(1+('CurrentPor-LH=10 unchanged'!D84+'CurrentPor-LH=10 unchanged'!G84)/100,2))*100</f>
        <v>9629.2129602999812</v>
      </c>
      <c r="D84">
        <f>(3/(1+('CurrentPor-LH=10 unchanged'!C84+'CurrentPor-LH=10 unchanged'!H84)/100)+103/POWER(1+('CurrentPor-LH=10 unchanged'!D84+'CurrentPor-LH=10 unchanged'!H84)/100,2))*100</f>
        <v>9612.6398079572955</v>
      </c>
      <c r="E84">
        <f>(3/(1+('CurrentPor-LH=10 unchanged'!C84+'CurrentPor-LH=10 unchanged'!I84)/100)+103/POWER(1+('CurrentPor-LH=10 unchanged'!D84+'CurrentPor-LH=10 unchanged'!I84)/100,2))*100</f>
        <v>9589.3089214860483</v>
      </c>
      <c r="F84">
        <f>Portfolio!B$5*'CurrentPor-LH=10 unchanged'!E84</f>
        <v>52143.895533915893</v>
      </c>
      <c r="G84">
        <f>Portfolio!B$6*'CurrentPor-LH=10 unchanged'!F84</f>
        <v>3696.2945087936532</v>
      </c>
      <c r="H84">
        <f>Portfolio!B$7*'CurrentPor-LH=10 unchanged'!J84</f>
        <v>2148.0998964419859</v>
      </c>
      <c r="I84">
        <f t="shared" si="2"/>
        <v>96527.037406323696</v>
      </c>
      <c r="J84">
        <f t="shared" si="3"/>
        <v>12.68909092299873</v>
      </c>
    </row>
    <row r="85" spans="1:10">
      <c r="A85" s="1">
        <v>45588</v>
      </c>
      <c r="B85">
        <f>(3/(1+('CurrentPor-LH=10 unchanged'!C85)/100)+103/POWER(1+('CurrentPor-LH=10 unchanged'!D85)/100,2))*100</f>
        <v>9707.5857774288397</v>
      </c>
      <c r="C85">
        <f>(3/(1+('CurrentPor-LH=10 unchanged'!C85+'CurrentPor-LH=10 unchanged'!G85)/100)+103/POWER(1+('CurrentPor-LH=10 unchanged'!D85+'CurrentPor-LH=10 unchanged'!G85)/100,2))*100</f>
        <v>9626.0148425954576</v>
      </c>
      <c r="D85">
        <f>(3/(1+('CurrentPor-LH=10 unchanged'!C85+'CurrentPor-LH=10 unchanged'!H85)/100)+103/POWER(1+('CurrentPor-LH=10 unchanged'!D85+'CurrentPor-LH=10 unchanged'!H85)/100,2))*100</f>
        <v>9608.8898336299826</v>
      </c>
      <c r="E85">
        <f>(3/(1+('CurrentPor-LH=10 unchanged'!C85+'CurrentPor-LH=10 unchanged'!I85)/100)+103/POWER(1+('CurrentPor-LH=10 unchanged'!D85+'CurrentPor-LH=10 unchanged'!I85)/100,2))*100</f>
        <v>9599.5126177847051</v>
      </c>
      <c r="F85">
        <f>Portfolio!B$5*'CurrentPor-LH=10 unchanged'!E85</f>
        <v>52143.895533915893</v>
      </c>
      <c r="G85">
        <f>Portfolio!B$6*'CurrentPor-LH=10 unchanged'!F85</f>
        <v>3696.2945087936532</v>
      </c>
      <c r="H85">
        <f>Portfolio!B$7*'CurrentPor-LH=10 unchanged'!J85</f>
        <v>2148.0998964419859</v>
      </c>
      <c r="I85">
        <f t="shared" si="2"/>
        <v>96530.293010590525</v>
      </c>
      <c r="J85">
        <f t="shared" si="3"/>
        <v>48.353874131338671</v>
      </c>
    </row>
    <row r="86" spans="1:10">
      <c r="A86" s="1">
        <v>45589</v>
      </c>
      <c r="B86">
        <f>(3/(1+('CurrentPor-LH=10 unchanged'!C86)/100)+103/POWER(1+('CurrentPor-LH=10 unchanged'!D86)/100,2))*100</f>
        <v>9707.5857774288397</v>
      </c>
      <c r="C86">
        <f>(3/(1+('CurrentPor-LH=10 unchanged'!C86+'CurrentPor-LH=10 unchanged'!G86)/100)+103/POWER(1+('CurrentPor-LH=10 unchanged'!D86+'CurrentPor-LH=10 unchanged'!G86)/100,2))*100</f>
        <v>9631.6478751228206</v>
      </c>
      <c r="D86">
        <f>(3/(1+('CurrentPor-LH=10 unchanged'!C86+'CurrentPor-LH=10 unchanged'!H86)/100)+103/POWER(1+('CurrentPor-LH=10 unchanged'!D86+'CurrentPor-LH=10 unchanged'!H86)/100,2))*100</f>
        <v>9602.8569600675783</v>
      </c>
      <c r="E86">
        <f>(3/(1+('CurrentPor-LH=10 unchanged'!C86+'CurrentPor-LH=10 unchanged'!I86)/100)+103/POWER(1+('CurrentPor-LH=10 unchanged'!D86+'CurrentPor-LH=10 unchanged'!I86)/100,2))*100</f>
        <v>9571.7917327662271</v>
      </c>
      <c r="F86">
        <f>Portfolio!B$5*'CurrentPor-LH=10 unchanged'!E86</f>
        <v>52143.895533915893</v>
      </c>
      <c r="G86">
        <f>Portfolio!B$6*'CurrentPor-LH=10 unchanged'!F86</f>
        <v>3696.2945087936532</v>
      </c>
      <c r="H86">
        <f>Portfolio!B$7*'CurrentPor-LH=10 unchanged'!J86</f>
        <v>2148.0998964419859</v>
      </c>
      <c r="I86">
        <f t="shared" si="2"/>
        <v>96502.172284536995</v>
      </c>
      <c r="J86">
        <f t="shared" si="3"/>
        <v>-20.347747891253675</v>
      </c>
    </row>
    <row r="87" spans="1:10">
      <c r="A87" s="1">
        <v>45590</v>
      </c>
      <c r="B87">
        <f>(3/(1+('CurrentPor-LH=10 unchanged'!C87)/100)+103/POWER(1+('CurrentPor-LH=10 unchanged'!D87)/100,2))*100</f>
        <v>9707.5857774288397</v>
      </c>
      <c r="C87">
        <f>(3/(1+('CurrentPor-LH=10 unchanged'!C87+'CurrentPor-LH=10 unchanged'!G87)/100)+103/POWER(1+('CurrentPor-LH=10 unchanged'!D87+'CurrentPor-LH=10 unchanged'!G87)/100,2))*100</f>
        <v>9628.0906927244196</v>
      </c>
      <c r="D87">
        <f>(3/(1+('CurrentPor-LH=10 unchanged'!C87+'CurrentPor-LH=10 unchanged'!H87)/100)+103/POWER(1+('CurrentPor-LH=10 unchanged'!D87+'CurrentPor-LH=10 unchanged'!H87)/100,2))*100</f>
        <v>9607.5632202900943</v>
      </c>
      <c r="E87">
        <f>(3/(1+('CurrentPor-LH=10 unchanged'!C87+'CurrentPor-LH=10 unchanged'!I87)/100)+103/POWER(1+('CurrentPor-LH=10 unchanged'!D87+'CurrentPor-LH=10 unchanged'!I87)/100,2))*100</f>
        <v>9602.517451559308</v>
      </c>
      <c r="F87">
        <f>Portfolio!B$5*'CurrentPor-LH=10 unchanged'!E87</f>
        <v>52143.895533915893</v>
      </c>
      <c r="G87">
        <f>Portfolio!B$6*'CurrentPor-LH=10 unchanged'!F87</f>
        <v>3696.2945087936532</v>
      </c>
      <c r="H87">
        <f>Portfolio!B$7*'CurrentPor-LH=10 unchanged'!J87</f>
        <v>2148.0998964419859</v>
      </c>
      <c r="I87">
        <f t="shared" si="2"/>
        <v>96534.047081154204</v>
      </c>
      <c r="J87">
        <f t="shared" si="3"/>
        <v>52.881617597857257</v>
      </c>
    </row>
    <row r="88" spans="1:10">
      <c r="A88" s="1">
        <v>45593</v>
      </c>
      <c r="B88">
        <f>(3/(1+('CurrentPor-LH=10 unchanged'!C88)/100)+103/POWER(1+('CurrentPor-LH=10 unchanged'!D88)/100,2))*100</f>
        <v>9707.5857774288397</v>
      </c>
      <c r="C88">
        <f>(3/(1+('CurrentPor-LH=10 unchanged'!C88+'CurrentPor-LH=10 unchanged'!G88)/100)+103/POWER(1+('CurrentPor-LH=10 unchanged'!D88+'CurrentPor-LH=10 unchanged'!G88)/100,2))*100</f>
        <v>9611.5543752404246</v>
      </c>
      <c r="D88">
        <f>(3/(1+('CurrentPor-LH=10 unchanged'!C88+'CurrentPor-LH=10 unchanged'!H88)/100)+103/POWER(1+('CurrentPor-LH=10 unchanged'!D88+'CurrentPor-LH=10 unchanged'!H88)/100,2))*100</f>
        <v>9588.4316264247045</v>
      </c>
      <c r="E88">
        <f>(3/(1+('CurrentPor-LH=10 unchanged'!C88+'CurrentPor-LH=10 unchanged'!I88)/100)+103/POWER(1+('CurrentPor-LH=10 unchanged'!D88+'CurrentPor-LH=10 unchanged'!I88)/100,2))*100</f>
        <v>9592.3209632982744</v>
      </c>
      <c r="F88">
        <f>Portfolio!B$5*'CurrentPor-LH=10 unchanged'!E88</f>
        <v>52143.895533915893</v>
      </c>
      <c r="G88">
        <f>Portfolio!B$6*'CurrentPor-LH=10 unchanged'!F88</f>
        <v>3696.2945087936532</v>
      </c>
      <c r="H88">
        <f>Portfolio!B$7*'CurrentPor-LH=10 unchanged'!J88</f>
        <v>2148.0998964419859</v>
      </c>
      <c r="I88">
        <f t="shared" si="2"/>
        <v>96488.182681543767</v>
      </c>
      <c r="J88">
        <f t="shared" si="3"/>
        <v>-27.943568137619877</v>
      </c>
    </row>
    <row r="89" spans="1:10">
      <c r="A89" s="1">
        <v>45594</v>
      </c>
      <c r="B89">
        <f>(3/(1+('CurrentPor-LH=10 unchanged'!C89)/100)+103/POWER(1+('CurrentPor-LH=10 unchanged'!D89)/100,2))*100</f>
        <v>9707.5857774288397</v>
      </c>
      <c r="C89">
        <f>(3/(1+('CurrentPor-LH=10 unchanged'!C89+'CurrentPor-LH=10 unchanged'!G89)/100)+103/POWER(1+('CurrentPor-LH=10 unchanged'!D89+'CurrentPor-LH=10 unchanged'!G89)/100,2))*100</f>
        <v>9616.9883154681902</v>
      </c>
      <c r="D89">
        <f>(3/(1+('CurrentPor-LH=10 unchanged'!C89+'CurrentPor-LH=10 unchanged'!H89)/100)+103/POWER(1+('CurrentPor-LH=10 unchanged'!D89+'CurrentPor-LH=10 unchanged'!H89)/100,2))*100</f>
        <v>9603.1810738209624</v>
      </c>
      <c r="E89">
        <f>(3/(1+('CurrentPor-LH=10 unchanged'!C89+'CurrentPor-LH=10 unchanged'!I89)/100)+103/POWER(1+('CurrentPor-LH=10 unchanged'!D89+'CurrentPor-LH=10 unchanged'!I89)/100,2))*100</f>
        <v>9581.8921818048839</v>
      </c>
      <c r="F89">
        <f>Portfolio!B$5*'CurrentPor-LH=10 unchanged'!E89</f>
        <v>52143.895533915893</v>
      </c>
      <c r="G89">
        <f>Portfolio!B$6*'CurrentPor-LH=10 unchanged'!F89</f>
        <v>3696.2945087936532</v>
      </c>
      <c r="H89">
        <f>Portfolio!B$7*'CurrentPor-LH=10 unchanged'!J89</f>
        <v>2148.0998964419859</v>
      </c>
      <c r="I89">
        <f t="shared" si="2"/>
        <v>96497.937287674416</v>
      </c>
      <c r="J89">
        <f t="shared" si="3"/>
        <v>-29.804646782024065</v>
      </c>
    </row>
    <row r="90" spans="1:10">
      <c r="A90" s="1">
        <v>45595</v>
      </c>
      <c r="B90">
        <f>(3/(1+('CurrentPor-LH=10 unchanged'!C90)/100)+103/POWER(1+('CurrentPor-LH=10 unchanged'!D90)/100,2))*100</f>
        <v>9707.5857774288397</v>
      </c>
      <c r="C90">
        <f>(3/(1+('CurrentPor-LH=10 unchanged'!C90+'CurrentPor-LH=10 unchanged'!G90)/100)+103/POWER(1+('CurrentPor-LH=10 unchanged'!D90+'CurrentPor-LH=10 unchanged'!G90)/100,2))*100</f>
        <v>9606.4481695691065</v>
      </c>
      <c r="D90">
        <f>(3/(1+('CurrentPor-LH=10 unchanged'!C90+'CurrentPor-LH=10 unchanged'!H90)/100)+103/POWER(1+('CurrentPor-LH=10 unchanged'!D90+'CurrentPor-LH=10 unchanged'!H90)/100,2))*100</f>
        <v>9591.7648757111601</v>
      </c>
      <c r="E90">
        <f>(3/(1+('CurrentPor-LH=10 unchanged'!C90+'CurrentPor-LH=10 unchanged'!I90)/100)+103/POWER(1+('CurrentPor-LH=10 unchanged'!D90+'CurrentPor-LH=10 unchanged'!I90)/100,2))*100</f>
        <v>9586.1211114799935</v>
      </c>
      <c r="F90">
        <f>Portfolio!B$5*'CurrentPor-LH=10 unchanged'!E90</f>
        <v>52143.895533915893</v>
      </c>
      <c r="G90">
        <f>Portfolio!B$6*'CurrentPor-LH=10 unchanged'!F90</f>
        <v>3696.2945087936532</v>
      </c>
      <c r="H90">
        <f>Portfolio!B$7*'CurrentPor-LH=10 unchanged'!J90</f>
        <v>2148.0998964419859</v>
      </c>
      <c r="I90">
        <f t="shared" si="2"/>
        <v>96480.209873340631</v>
      </c>
      <c r="J90">
        <f t="shared" si="3"/>
        <v>-15.222744134924142</v>
      </c>
    </row>
    <row r="91" spans="1:10">
      <c r="A91" s="1">
        <v>45596</v>
      </c>
      <c r="B91">
        <f>(3/(1+('CurrentPor-LH=10 unchanged'!C91)/100)+103/POWER(1+('CurrentPor-LH=10 unchanged'!D91)/100,2))*100</f>
        <v>9707.5857774288397</v>
      </c>
      <c r="C91">
        <f>(3/(1+('CurrentPor-LH=10 unchanged'!C91+'CurrentPor-LH=10 unchanged'!G91)/100)+103/POWER(1+('CurrentPor-LH=10 unchanged'!D91+'CurrentPor-LH=10 unchanged'!G91)/100,2))*100</f>
        <v>9626.3734212413383</v>
      </c>
      <c r="D91">
        <f>(3/(1+('CurrentPor-LH=10 unchanged'!C91+'CurrentPor-LH=10 unchanged'!H91)/100)+103/POWER(1+('CurrentPor-LH=10 unchanged'!D91+'CurrentPor-LH=10 unchanged'!H91)/100,2))*100</f>
        <v>9591.4161514737589</v>
      </c>
      <c r="E91">
        <f>(3/(1+('CurrentPor-LH=10 unchanged'!C91+'CurrentPor-LH=10 unchanged'!I91)/100)+103/POWER(1+('CurrentPor-LH=10 unchanged'!D91+'CurrentPor-LH=10 unchanged'!I91)/100,2))*100</f>
        <v>9599.5129699269582</v>
      </c>
      <c r="F91">
        <f>Portfolio!B$5*'CurrentPor-LH=10 unchanged'!E91</f>
        <v>52143.895533915893</v>
      </c>
      <c r="G91">
        <f>Portfolio!B$6*'CurrentPor-LH=10 unchanged'!F91</f>
        <v>3696.2945087936532</v>
      </c>
      <c r="H91">
        <f>Portfolio!B$7*'CurrentPor-LH=10 unchanged'!J91</f>
        <v>2148.0998964419859</v>
      </c>
      <c r="I91">
        <f t="shared" si="2"/>
        <v>96513.178259222434</v>
      </c>
      <c r="J91">
        <f t="shared" si="3"/>
        <v>-8.0413962228340097</v>
      </c>
    </row>
    <row r="92" spans="1:10">
      <c r="A92" s="1">
        <v>45597</v>
      </c>
      <c r="B92">
        <f>(3/(1+('CurrentPor-LH=10 unchanged'!C92)/100)+103/POWER(1+('CurrentPor-LH=10 unchanged'!D92)/100,2))*100</f>
        <v>9707.5857774288397</v>
      </c>
      <c r="C92">
        <f>(3/(1+('CurrentPor-LH=10 unchanged'!C92+'CurrentPor-LH=10 unchanged'!G92)/100)+103/POWER(1+('CurrentPor-LH=10 unchanged'!D92+'CurrentPor-LH=10 unchanged'!G92)/100,2))*100</f>
        <v>9602.9829703717533</v>
      </c>
      <c r="D92">
        <f>(3/(1+('CurrentPor-LH=10 unchanged'!C92+'CurrentPor-LH=10 unchanged'!H92)/100)+103/POWER(1+('CurrentPor-LH=10 unchanged'!D92+'CurrentPor-LH=10 unchanged'!H92)/100,2))*100</f>
        <v>9610.5766361259375</v>
      </c>
      <c r="E92">
        <f>(3/(1+('CurrentPor-LH=10 unchanged'!C92+'CurrentPor-LH=10 unchanged'!I92)/100)+103/POWER(1+('CurrentPor-LH=10 unchanged'!D92+'CurrentPor-LH=10 unchanged'!I92)/100,2))*100</f>
        <v>9579.8982780011102</v>
      </c>
      <c r="F92">
        <f>Portfolio!B$5*'CurrentPor-LH=10 unchanged'!E92</f>
        <v>52143.895533915893</v>
      </c>
      <c r="G92">
        <f>Portfolio!B$6*'CurrentPor-LH=10 unchanged'!F92</f>
        <v>3696.2945087936532</v>
      </c>
      <c r="H92">
        <f>Portfolio!B$7*'CurrentPor-LH=10 unchanged'!J92</f>
        <v>2148.0998964419859</v>
      </c>
      <c r="I92">
        <f t="shared" si="2"/>
        <v>96489.333601079168</v>
      </c>
      <c r="J92">
        <f t="shared" si="3"/>
        <v>14.112287130439654</v>
      </c>
    </row>
    <row r="93" spans="1:10">
      <c r="A93" s="1">
        <v>45600</v>
      </c>
      <c r="B93">
        <f>(3/(1+('CurrentPor-LH=10 unchanged'!C93)/100)+103/POWER(1+('CurrentPor-LH=10 unchanged'!D93)/100,2))*100</f>
        <v>9707.5857774288397</v>
      </c>
      <c r="C93">
        <f>(3/(1+('CurrentPor-LH=10 unchanged'!C93+'CurrentPor-LH=10 unchanged'!G93)/100)+103/POWER(1+('CurrentPor-LH=10 unchanged'!D93+'CurrentPor-LH=10 unchanged'!G93)/100,2))*100</f>
        <v>9621.8842668582856</v>
      </c>
      <c r="D93">
        <f>(3/(1+('CurrentPor-LH=10 unchanged'!C93+'CurrentPor-LH=10 unchanged'!H93)/100)+103/POWER(1+('CurrentPor-LH=10 unchanged'!D93+'CurrentPor-LH=10 unchanged'!H93)/100,2))*100</f>
        <v>9579.5431139565317</v>
      </c>
      <c r="E93">
        <f>(3/(1+('CurrentPor-LH=10 unchanged'!C93+'CurrentPor-LH=10 unchanged'!I93)/100)+103/POWER(1+('CurrentPor-LH=10 unchanged'!D93+'CurrentPor-LH=10 unchanged'!I93)/100,2))*100</f>
        <v>9577.8356467337617</v>
      </c>
      <c r="F93">
        <f>Portfolio!B$5*'CurrentPor-LH=10 unchanged'!E93</f>
        <v>52143.895533915893</v>
      </c>
      <c r="G93">
        <f>Portfolio!B$6*'CurrentPor-LH=10 unchanged'!F93</f>
        <v>3696.2945087936532</v>
      </c>
      <c r="H93">
        <f>Portfolio!B$7*'CurrentPor-LH=10 unchanged'!J93</f>
        <v>2148.0998964419859</v>
      </c>
      <c r="I93">
        <f t="shared" si="2"/>
        <v>96475.138744128941</v>
      </c>
      <c r="J93">
        <f t="shared" si="3"/>
        <v>-12.737409872803255</v>
      </c>
    </row>
    <row r="94" spans="1:10">
      <c r="A94" s="1">
        <v>45601</v>
      </c>
      <c r="B94">
        <f>(3/(1+('CurrentPor-LH=10 unchanged'!C94)/100)+103/POWER(1+('CurrentPor-LH=10 unchanged'!D94)/100,2))*100</f>
        <v>9707.5857774288397</v>
      </c>
      <c r="C94">
        <f>(3/(1+('CurrentPor-LH=10 unchanged'!C94+'CurrentPor-LH=10 unchanged'!G94)/100)+103/POWER(1+('CurrentPor-LH=10 unchanged'!D94+'CurrentPor-LH=10 unchanged'!G94)/100,2))*100</f>
        <v>9609.0746548799125</v>
      </c>
      <c r="D94">
        <f>(3/(1+('CurrentPor-LH=10 unchanged'!C94+'CurrentPor-LH=10 unchanged'!H94)/100)+103/POWER(1+('CurrentPor-LH=10 unchanged'!D94+'CurrentPor-LH=10 unchanged'!H94)/100,2))*100</f>
        <v>9593.4968826880904</v>
      </c>
      <c r="E94">
        <f>(3/(1+('CurrentPor-LH=10 unchanged'!C94+'CurrentPor-LH=10 unchanged'!I94)/100)+103/POWER(1+('CurrentPor-LH=10 unchanged'!D94+'CurrentPor-LH=10 unchanged'!I94)/100,2))*100</f>
        <v>9605.1454821940897</v>
      </c>
      <c r="F94">
        <f>Portfolio!B$5*'CurrentPor-LH=10 unchanged'!E94</f>
        <v>52143.895533915893</v>
      </c>
      <c r="G94">
        <f>Portfolio!B$6*'CurrentPor-LH=10 unchanged'!F94</f>
        <v>3696.2945087936532</v>
      </c>
      <c r="H94">
        <f>Portfolio!B$7*'CurrentPor-LH=10 unchanged'!J94</f>
        <v>2148.0998964419859</v>
      </c>
      <c r="I94">
        <f t="shared" si="2"/>
        <v>96503.592736342471</v>
      </c>
      <c r="J94">
        <f t="shared" si="3"/>
        <v>-23.444669981225161</v>
      </c>
    </row>
    <row r="95" spans="1:10">
      <c r="A95" s="1">
        <v>45602</v>
      </c>
      <c r="B95">
        <f>(3/(1+('CurrentPor-LH=10 unchanged'!C95)/100)+103/POWER(1+('CurrentPor-LH=10 unchanged'!D95)/100,2))*100</f>
        <v>9707.5857774288397</v>
      </c>
      <c r="C95">
        <f>(3/(1+('CurrentPor-LH=10 unchanged'!C95+'CurrentPor-LH=10 unchanged'!G95)/100)+103/POWER(1+('CurrentPor-LH=10 unchanged'!D95+'CurrentPor-LH=10 unchanged'!G95)/100,2))*100</f>
        <v>9625.3117159291251</v>
      </c>
      <c r="D95">
        <f>(3/(1+('CurrentPor-LH=10 unchanged'!C95+'CurrentPor-LH=10 unchanged'!H95)/100)+103/POWER(1+('CurrentPor-LH=10 unchanged'!D95+'CurrentPor-LH=10 unchanged'!H95)/100,2))*100</f>
        <v>9591.3513134122859</v>
      </c>
      <c r="E95">
        <f>(3/(1+('CurrentPor-LH=10 unchanged'!C95+'CurrentPor-LH=10 unchanged'!I95)/100)+103/POWER(1+('CurrentPor-LH=10 unchanged'!D95+'CurrentPor-LH=10 unchanged'!I95)/100,2))*100</f>
        <v>9595.0505016242132</v>
      </c>
      <c r="F95">
        <f>Portfolio!B$5*'CurrentPor-LH=10 unchanged'!E95</f>
        <v>52143.895533915893</v>
      </c>
      <c r="G95">
        <f>Portfolio!B$6*'CurrentPor-LH=10 unchanged'!F95</f>
        <v>3696.2945087936532</v>
      </c>
      <c r="H95">
        <f>Portfolio!B$7*'CurrentPor-LH=10 unchanged'!J95</f>
        <v>2148.0998964419859</v>
      </c>
      <c r="I95">
        <f t="shared" si="2"/>
        <v>96507.589247545999</v>
      </c>
      <c r="J95">
        <f t="shared" si="3"/>
        <v>-22.703763044526568</v>
      </c>
    </row>
    <row r="96" spans="1:10">
      <c r="A96" s="1">
        <v>45603</v>
      </c>
      <c r="B96">
        <f>(3/(1+('CurrentPor-LH=10 unchanged'!C96)/100)+103/POWER(1+('CurrentPor-LH=10 unchanged'!D96)/100,2))*100</f>
        <v>9707.5857774288397</v>
      </c>
      <c r="C96">
        <f>(3/(1+('CurrentPor-LH=10 unchanged'!C96+'CurrentPor-LH=10 unchanged'!G96)/100)+103/POWER(1+('CurrentPor-LH=10 unchanged'!D96+'CurrentPor-LH=10 unchanged'!G96)/100,2))*100</f>
        <v>9611.4048490675123</v>
      </c>
      <c r="D96">
        <f>(3/(1+('CurrentPor-LH=10 unchanged'!C96+'CurrentPor-LH=10 unchanged'!H96)/100)+103/POWER(1+('CurrentPor-LH=10 unchanged'!D96+'CurrentPor-LH=10 unchanged'!H96)/100,2))*100</f>
        <v>9593.1732145835758</v>
      </c>
      <c r="E96">
        <f>(3/(1+('CurrentPor-LH=10 unchanged'!C96+'CurrentPor-LH=10 unchanged'!I96)/100)+103/POWER(1+('CurrentPor-LH=10 unchanged'!D96+'CurrentPor-LH=10 unchanged'!I96)/100,2))*100</f>
        <v>9588.3511724056661</v>
      </c>
      <c r="F96">
        <f>Portfolio!B$5*'CurrentPor-LH=10 unchanged'!E96</f>
        <v>52143.895533915893</v>
      </c>
      <c r="G96">
        <f>Portfolio!B$6*'CurrentPor-LH=10 unchanged'!F96</f>
        <v>3696.2945087936532</v>
      </c>
      <c r="H96">
        <f>Portfolio!B$7*'CurrentPor-LH=10 unchanged'!J96</f>
        <v>2148.0998964419859</v>
      </c>
      <c r="I96">
        <f t="shared" si="2"/>
        <v>96488.804952637132</v>
      </c>
      <c r="J96">
        <f t="shared" si="3"/>
        <v>-13.36733189986262</v>
      </c>
    </row>
    <row r="97" spans="1:10">
      <c r="A97" s="1">
        <v>45604</v>
      </c>
      <c r="B97">
        <f>(3/(1+('CurrentPor-LH=10 unchanged'!C97)/100)+103/POWER(1+('CurrentPor-LH=10 unchanged'!D97)/100,2))*100</f>
        <v>9707.5857774288397</v>
      </c>
      <c r="C97">
        <f>(3/(1+('CurrentPor-LH=10 unchanged'!C97+'CurrentPor-LH=10 unchanged'!G97)/100)+103/POWER(1+('CurrentPor-LH=10 unchanged'!D97+'CurrentPor-LH=10 unchanged'!G97)/100,2))*100</f>
        <v>9615.774422939272</v>
      </c>
      <c r="D97">
        <f>(3/(1+('CurrentPor-LH=10 unchanged'!C97+'CurrentPor-LH=10 unchanged'!H97)/100)+103/POWER(1+('CurrentPor-LH=10 unchanged'!D97+'CurrentPor-LH=10 unchanged'!H97)/100,2))*100</f>
        <v>9610.7805573542209</v>
      </c>
      <c r="E97">
        <f>(3/(1+('CurrentPor-LH=10 unchanged'!C97+'CurrentPor-LH=10 unchanged'!I97)/100)+103/POWER(1+('CurrentPor-LH=10 unchanged'!D97+'CurrentPor-LH=10 unchanged'!I97)/100,2))*100</f>
        <v>9561.623364853278</v>
      </c>
      <c r="F97">
        <f>Portfolio!B$5*'CurrentPor-LH=10 unchanged'!E97</f>
        <v>52143.895533915893</v>
      </c>
      <c r="G97">
        <f>Portfolio!B$6*'CurrentPor-LH=10 unchanged'!F97</f>
        <v>3696.2945087936532</v>
      </c>
      <c r="H97">
        <f>Portfolio!B$7*'CurrentPor-LH=10 unchanged'!J97</f>
        <v>2148.0998964419859</v>
      </c>
      <c r="I97">
        <f t="shared" si="2"/>
        <v>96484.054061727147</v>
      </c>
      <c r="J97">
        <f t="shared" si="3"/>
        <v>-49.993019427056424</v>
      </c>
    </row>
    <row r="98" spans="1:10">
      <c r="A98" s="1">
        <v>45607</v>
      </c>
      <c r="B98">
        <f>(3/(1+('CurrentPor-LH=10 unchanged'!C98)/100)+103/POWER(1+('CurrentPor-LH=10 unchanged'!D98)/100,2))*100</f>
        <v>9707.5857774288397</v>
      </c>
      <c r="C98">
        <f>(3/(1+('CurrentPor-LH=10 unchanged'!C98+'CurrentPor-LH=10 unchanged'!G98)/100)+103/POWER(1+('CurrentPor-LH=10 unchanged'!D98+'CurrentPor-LH=10 unchanged'!G98)/100,2))*100</f>
        <v>9608.0962652148701</v>
      </c>
      <c r="D98">
        <f>(3/(1+('CurrentPor-LH=10 unchanged'!C98+'CurrentPor-LH=10 unchanged'!H98)/100)+103/POWER(1+('CurrentPor-LH=10 unchanged'!D98+'CurrentPor-LH=10 unchanged'!H98)/100,2))*100</f>
        <v>9610.2106301654421</v>
      </c>
      <c r="E98">
        <f>(3/(1+('CurrentPor-LH=10 unchanged'!C98+'CurrentPor-LH=10 unchanged'!I98)/100)+103/POWER(1+('CurrentPor-LH=10 unchanged'!D98+'CurrentPor-LH=10 unchanged'!I98)/100,2))*100</f>
        <v>9587.0801806039544</v>
      </c>
      <c r="F98">
        <f>Portfolio!B$5*'CurrentPor-LH=10 unchanged'!E98</f>
        <v>52143.895533915893</v>
      </c>
      <c r="G98">
        <f>Portfolio!B$6*'CurrentPor-LH=10 unchanged'!F98</f>
        <v>3696.2945087936532</v>
      </c>
      <c r="H98">
        <f>Portfolio!B$7*'CurrentPor-LH=10 unchanged'!J98</f>
        <v>2148.0998964419859</v>
      </c>
      <c r="I98">
        <f t="shared" si="2"/>
        <v>96501.262792564637</v>
      </c>
      <c r="J98">
        <f t="shared" si="3"/>
        <v>13.08011102087039</v>
      </c>
    </row>
    <row r="99" spans="1:10">
      <c r="A99" s="1">
        <v>45608</v>
      </c>
      <c r="B99">
        <f>(3/(1+('CurrentPor-LH=10 unchanged'!C99)/100)+103/POWER(1+('CurrentPor-LH=10 unchanged'!D99)/100,2))*100</f>
        <v>9707.5857774288397</v>
      </c>
      <c r="C99">
        <f>(3/(1+('CurrentPor-LH=10 unchanged'!C99+'CurrentPor-LH=10 unchanged'!G99)/100)+103/POWER(1+('CurrentPor-LH=10 unchanged'!D99+'CurrentPor-LH=10 unchanged'!G99)/100,2))*100</f>
        <v>9616.0685832701529</v>
      </c>
      <c r="D99">
        <f>(3/(1+('CurrentPor-LH=10 unchanged'!C99+'CurrentPor-LH=10 unchanged'!H99)/100)+103/POWER(1+('CurrentPor-LH=10 unchanged'!D99+'CurrentPor-LH=10 unchanged'!H99)/100,2))*100</f>
        <v>9614.5692701824719</v>
      </c>
      <c r="E99">
        <f>(3/(1+('CurrentPor-LH=10 unchanged'!C99+'CurrentPor-LH=10 unchanged'!I99)/100)+103/POWER(1+('CurrentPor-LH=10 unchanged'!D99+'CurrentPor-LH=10 unchanged'!I99)/100,2))*100</f>
        <v>9585.4609485353194</v>
      </c>
      <c r="F99">
        <f>Portfolio!B$5*'CurrentPor-LH=10 unchanged'!E99</f>
        <v>52143.895533915893</v>
      </c>
      <c r="G99">
        <f>Portfolio!B$6*'CurrentPor-LH=10 unchanged'!F99</f>
        <v>3696.2945087936532</v>
      </c>
      <c r="H99">
        <f>Portfolio!B$7*'CurrentPor-LH=10 unchanged'!J99</f>
        <v>2148.0998964419859</v>
      </c>
      <c r="I99">
        <f t="shared" si="2"/>
        <v>96511.974518568328</v>
      </c>
      <c r="J99">
        <f t="shared" si="3"/>
        <v>14.037230893911328</v>
      </c>
    </row>
    <row r="100" spans="1:10">
      <c r="A100" s="1">
        <v>45609</v>
      </c>
      <c r="B100">
        <f>(3/(1+('CurrentPor-LH=10 unchanged'!C100)/100)+103/POWER(1+('CurrentPor-LH=10 unchanged'!D100)/100,2))*100</f>
        <v>9707.5857774288397</v>
      </c>
      <c r="C100">
        <f>(3/(1+('CurrentPor-LH=10 unchanged'!C100+'CurrentPor-LH=10 unchanged'!G100)/100)+103/POWER(1+('CurrentPor-LH=10 unchanged'!D100+'CurrentPor-LH=10 unchanged'!G100)/100,2))*100</f>
        <v>9625.4601008866521</v>
      </c>
      <c r="D100">
        <f>(3/(1+('CurrentPor-LH=10 unchanged'!C100+'CurrentPor-LH=10 unchanged'!H100)/100)+103/POWER(1+('CurrentPor-LH=10 unchanged'!D100+'CurrentPor-LH=10 unchanged'!H100)/100,2))*100</f>
        <v>9604.2740746880081</v>
      </c>
      <c r="E100">
        <f>(3/(1+('CurrentPor-LH=10 unchanged'!C100+'CurrentPor-LH=10 unchanged'!I100)/100)+103/POWER(1+('CurrentPor-LH=10 unchanged'!D100+'CurrentPor-LH=10 unchanged'!I100)/100,2))*100</f>
        <v>9589.8510847911421</v>
      </c>
      <c r="F100">
        <f>Portfolio!B$5*'CurrentPor-LH=10 unchanged'!E100</f>
        <v>52143.895533915893</v>
      </c>
      <c r="G100">
        <f>Portfolio!B$6*'CurrentPor-LH=10 unchanged'!F100</f>
        <v>3696.2945087936532</v>
      </c>
      <c r="H100">
        <f>Portfolio!B$7*'CurrentPor-LH=10 unchanged'!J100</f>
        <v>2148.0998964419859</v>
      </c>
      <c r="I100">
        <f t="shared" si="2"/>
        <v>96515.460976946182</v>
      </c>
      <c r="J100">
        <f t="shared" si="3"/>
        <v>35.251103605551179</v>
      </c>
    </row>
    <row r="101" spans="1:10">
      <c r="A101" s="1">
        <v>45610</v>
      </c>
      <c r="B101">
        <f>(3/(1+('CurrentPor-LH=10 unchanged'!C101)/100)+103/POWER(1+('CurrentPor-LH=10 unchanged'!D101)/100,2))*100</f>
        <v>9707.5857774288397</v>
      </c>
      <c r="C101">
        <f>(3/(1+('CurrentPor-LH=10 unchanged'!C101+'CurrentPor-LH=10 unchanged'!G101)/100)+103/POWER(1+('CurrentPor-LH=10 unchanged'!D101+'CurrentPor-LH=10 unchanged'!G101)/100,2))*100</f>
        <v>9606.6197211962553</v>
      </c>
      <c r="D101">
        <f>(3/(1+('CurrentPor-LH=10 unchanged'!C101+'CurrentPor-LH=10 unchanged'!H101)/100)+103/POWER(1+('CurrentPor-LH=10 unchanged'!D101+'CurrentPor-LH=10 unchanged'!H101)/100,2))*100</f>
        <v>9589.5385840026956</v>
      </c>
      <c r="E101">
        <f>(3/(1+('CurrentPor-LH=10 unchanged'!C101+'CurrentPor-LH=10 unchanged'!I101)/100)+103/POWER(1+('CurrentPor-LH=10 unchanged'!D101+'CurrentPor-LH=10 unchanged'!I101)/100,2))*100</f>
        <v>9586.0416101531191</v>
      </c>
      <c r="F101">
        <f>Portfolio!B$5*'CurrentPor-LH=10 unchanged'!E101</f>
        <v>52143.895533915893</v>
      </c>
      <c r="G101">
        <f>Portfolio!B$6*'CurrentPor-LH=10 unchanged'!F101</f>
        <v>3696.2945087936532</v>
      </c>
      <c r="H101">
        <f>Portfolio!B$7*'CurrentPor-LH=10 unchanged'!J101</f>
        <v>2148.0998964419859</v>
      </c>
      <c r="I101">
        <f t="shared" si="2"/>
        <v>96478.075631932428</v>
      </c>
      <c r="J101">
        <f t="shared" si="3"/>
        <v>-35.10262729000533</v>
      </c>
    </row>
    <row r="102" spans="1:10">
      <c r="A102" s="1">
        <v>45611</v>
      </c>
      <c r="B102">
        <f>(3/(1+('CurrentPor-LH=10 unchanged'!C102)/100)+103/POWER(1+('CurrentPor-LH=10 unchanged'!D102)/100,2))*100</f>
        <v>9707.5857774288397</v>
      </c>
      <c r="C102">
        <f>(3/(1+('CurrentPor-LH=10 unchanged'!C102+'CurrentPor-LH=10 unchanged'!G102)/100)+103/POWER(1+('CurrentPor-LH=10 unchanged'!D102+'CurrentPor-LH=10 unchanged'!G102)/100,2))*100</f>
        <v>9592.5807857694181</v>
      </c>
      <c r="D102">
        <f>(3/(1+('CurrentPor-LH=10 unchanged'!C102+'CurrentPor-LH=10 unchanged'!H102)/100)+103/POWER(1+('CurrentPor-LH=10 unchanged'!D102+'CurrentPor-LH=10 unchanged'!H102)/100,2))*100</f>
        <v>9586.5844158522777</v>
      </c>
      <c r="E102">
        <f>(3/(1+('CurrentPor-LH=10 unchanged'!C102+'CurrentPor-LH=10 unchanged'!I102)/100)+103/POWER(1+('CurrentPor-LH=10 unchanged'!D102+'CurrentPor-LH=10 unchanged'!I102)/100,2))*100</f>
        <v>9574.9093144145227</v>
      </c>
      <c r="F102">
        <f>Portfolio!B$5*'CurrentPor-LH=10 unchanged'!E102</f>
        <v>52143.895533915893</v>
      </c>
      <c r="G102">
        <f>Portfolio!B$6*'CurrentPor-LH=10 unchanged'!F102</f>
        <v>3696.2945087936532</v>
      </c>
      <c r="H102">
        <f>Portfolio!B$7*'CurrentPor-LH=10 unchanged'!J102</f>
        <v>2148.0998964419859</v>
      </c>
      <c r="I102">
        <f t="shared" si="2"/>
        <v>96449.950232616582</v>
      </c>
      <c r="J102">
        <f t="shared" si="3"/>
        <v>-39.383368462586077</v>
      </c>
    </row>
    <row r="103" spans="1:10">
      <c r="A103" s="1">
        <v>45614</v>
      </c>
      <c r="B103">
        <f>(3/(1+('CurrentPor-LH=10 unchanged'!C103)/100)+103/POWER(1+('CurrentPor-LH=10 unchanged'!D103)/100,2))*100</f>
        <v>9707.5857774288397</v>
      </c>
      <c r="C103">
        <f>(3/(1+('CurrentPor-LH=10 unchanged'!C103+'CurrentPor-LH=10 unchanged'!G103)/100)+103/POWER(1+('CurrentPor-LH=10 unchanged'!D103+'CurrentPor-LH=10 unchanged'!G103)/100,2))*100</f>
        <v>9610.3191046056672</v>
      </c>
      <c r="D103">
        <f>(3/(1+('CurrentPor-LH=10 unchanged'!C103+'CurrentPor-LH=10 unchanged'!H103)/100)+103/POWER(1+('CurrentPor-LH=10 unchanged'!D103+'CurrentPor-LH=10 unchanged'!H103)/100,2))*100</f>
        <v>9595.3961628176676</v>
      </c>
      <c r="E103">
        <f>(3/(1+('CurrentPor-LH=10 unchanged'!C103+'CurrentPor-LH=10 unchanged'!I103)/100)+103/POWER(1+('CurrentPor-LH=10 unchanged'!D103+'CurrentPor-LH=10 unchanged'!I103)/100,2))*100</f>
        <v>9589.9898273013114</v>
      </c>
      <c r="F103">
        <f>Portfolio!B$5*'CurrentPor-LH=10 unchanged'!E103</f>
        <v>52143.895533915893</v>
      </c>
      <c r="G103">
        <f>Portfolio!B$6*'CurrentPor-LH=10 unchanged'!F103</f>
        <v>3696.2945087936532</v>
      </c>
      <c r="H103">
        <f>Portfolio!B$7*'CurrentPor-LH=10 unchanged'!J103</f>
        <v>2148.0998964419859</v>
      </c>
      <c r="I103">
        <f t="shared" si="2"/>
        <v>96491.580811305015</v>
      </c>
      <c r="J103">
        <f t="shared" si="3"/>
        <v>16.442067176074488</v>
      </c>
    </row>
    <row r="104" spans="1:10">
      <c r="A104" s="1">
        <v>45615</v>
      </c>
      <c r="B104">
        <f>(3/(1+('CurrentPor-LH=10 unchanged'!C104)/100)+103/POWER(1+('CurrentPor-LH=10 unchanged'!D104)/100,2))*100</f>
        <v>9707.5857774288397</v>
      </c>
      <c r="C104">
        <f>(3/(1+('CurrentPor-LH=10 unchanged'!C104+'CurrentPor-LH=10 unchanged'!G104)/100)+103/POWER(1+('CurrentPor-LH=10 unchanged'!D104+'CurrentPor-LH=10 unchanged'!G104)/100,2))*100</f>
        <v>9624.8682696530796</v>
      </c>
      <c r="D104">
        <f>(3/(1+('CurrentPor-LH=10 unchanged'!C104+'CurrentPor-LH=10 unchanged'!H104)/100)+103/POWER(1+('CurrentPor-LH=10 unchanged'!D104+'CurrentPor-LH=10 unchanged'!H104)/100,2))*100</f>
        <v>9579.7393684370145</v>
      </c>
      <c r="E104">
        <f>(3/(1+('CurrentPor-LH=10 unchanged'!C104+'CurrentPor-LH=10 unchanged'!I104)/100)+103/POWER(1+('CurrentPor-LH=10 unchanged'!D104+'CurrentPor-LH=10 unchanged'!I104)/100,2))*100</f>
        <v>9587.0191014337943</v>
      </c>
      <c r="F104">
        <f>Portfolio!B$5*'CurrentPor-LH=10 unchanged'!E104</f>
        <v>52143.895533915893</v>
      </c>
      <c r="G104">
        <f>Portfolio!B$6*'CurrentPor-LH=10 unchanged'!F104</f>
        <v>3696.2945087936532</v>
      </c>
      <c r="H104">
        <f>Portfolio!B$7*'CurrentPor-LH=10 unchanged'!J104</f>
        <v>2148.0998964419859</v>
      </c>
      <c r="I104">
        <f t="shared" si="2"/>
        <v>96487.502456104252</v>
      </c>
      <c r="J104">
        <f t="shared" si="3"/>
        <v>-16.090280238218838</v>
      </c>
    </row>
    <row r="105" spans="1:10">
      <c r="A105" s="1">
        <v>45616</v>
      </c>
      <c r="B105">
        <f>(3/(1+('CurrentPor-LH=10 unchanged'!C105)/100)+103/POWER(1+('CurrentPor-LH=10 unchanged'!D105)/100,2))*100</f>
        <v>9707.5857774288397</v>
      </c>
      <c r="C105">
        <f>(3/(1+('CurrentPor-LH=10 unchanged'!C105+'CurrentPor-LH=10 unchanged'!G105)/100)+103/POWER(1+('CurrentPor-LH=10 unchanged'!D105+'CurrentPor-LH=10 unchanged'!G105)/100,2))*100</f>
        <v>9616.0350544396533</v>
      </c>
      <c r="D105">
        <f>(3/(1+('CurrentPor-LH=10 unchanged'!C105+'CurrentPor-LH=10 unchanged'!H105)/100)+103/POWER(1+('CurrentPor-LH=10 unchanged'!D105+'CurrentPor-LH=10 unchanged'!H105)/100,2))*100</f>
        <v>9602.9408177667756</v>
      </c>
      <c r="E105">
        <f>(3/(1+('CurrentPor-LH=10 unchanged'!C105+'CurrentPor-LH=10 unchanged'!I105)/100)+103/POWER(1+('CurrentPor-LH=10 unchanged'!D105+'CurrentPor-LH=10 unchanged'!I105)/100,2))*100</f>
        <v>9583.1829194477978</v>
      </c>
      <c r="F105">
        <f>Portfolio!B$5*'CurrentPor-LH=10 unchanged'!E105</f>
        <v>52143.895533915893</v>
      </c>
      <c r="G105">
        <f>Portfolio!B$6*'CurrentPor-LH=10 unchanged'!F105</f>
        <v>3696.2945087936532</v>
      </c>
      <c r="H105">
        <f>Portfolio!B$7*'CurrentPor-LH=10 unchanged'!J105</f>
        <v>2148.0998964419859</v>
      </c>
      <c r="I105">
        <f t="shared" si="2"/>
        <v>96498.034508234603</v>
      </c>
      <c r="J105">
        <f t="shared" si="3"/>
        <v>-9.5547393113956787</v>
      </c>
    </row>
    <row r="106" spans="1:10">
      <c r="A106" s="1">
        <v>45617</v>
      </c>
      <c r="B106">
        <f>(3/(1+('CurrentPor-LH=10 unchanged'!C106)/100)+103/POWER(1+('CurrentPor-LH=10 unchanged'!D106)/100,2))*100</f>
        <v>9707.5857774288397</v>
      </c>
      <c r="C106">
        <f>(3/(1+('CurrentPor-LH=10 unchanged'!C106+'CurrentPor-LH=10 unchanged'!G106)/100)+103/POWER(1+('CurrentPor-LH=10 unchanged'!D106+'CurrentPor-LH=10 unchanged'!G106)/100,2))*100</f>
        <v>9622.9645198670078</v>
      </c>
      <c r="D106">
        <f>(3/(1+('CurrentPor-LH=10 unchanged'!C106+'CurrentPor-LH=10 unchanged'!H106)/100)+103/POWER(1+('CurrentPor-LH=10 unchanged'!D106+'CurrentPor-LH=10 unchanged'!H106)/100,2))*100</f>
        <v>9616.6122992005567</v>
      </c>
      <c r="E106">
        <f>(3/(1+('CurrentPor-LH=10 unchanged'!C106+'CurrentPor-LH=10 unchanged'!I106)/100)+103/POWER(1+('CurrentPor-LH=10 unchanged'!D106+'CurrentPor-LH=10 unchanged'!I106)/100,2))*100</f>
        <v>9569.1906946386789</v>
      </c>
      <c r="F106">
        <f>Portfolio!B$5*'CurrentPor-LH=10 unchanged'!E106</f>
        <v>52143.895533915893</v>
      </c>
      <c r="G106">
        <f>Portfolio!B$6*'CurrentPor-LH=10 unchanged'!F106</f>
        <v>3696.2945087936532</v>
      </c>
      <c r="H106">
        <f>Portfolio!B$7*'CurrentPor-LH=10 unchanged'!J106</f>
        <v>2148.0998964419859</v>
      </c>
      <c r="I106">
        <f t="shared" si="2"/>
        <v>96504.643230286616</v>
      </c>
      <c r="J106">
        <f t="shared" si="3"/>
        <v>15.838277649483643</v>
      </c>
    </row>
    <row r="107" spans="1:10">
      <c r="A107" s="1">
        <v>45618</v>
      </c>
      <c r="B107">
        <f>(3/(1+('CurrentPor-LH=10 unchanged'!C107)/100)+103/POWER(1+('CurrentPor-LH=10 unchanged'!D107)/100,2))*100</f>
        <v>9707.5857774288397</v>
      </c>
      <c r="C107">
        <f>(3/(1+('CurrentPor-LH=10 unchanged'!C107+'CurrentPor-LH=10 unchanged'!G107)/100)+103/POWER(1+('CurrentPor-LH=10 unchanged'!D107+'CurrentPor-LH=10 unchanged'!G107)/100,2))*100</f>
        <v>9616.8248135589638</v>
      </c>
      <c r="D107">
        <f>(3/(1+('CurrentPor-LH=10 unchanged'!C107+'CurrentPor-LH=10 unchanged'!H107)/100)+103/POWER(1+('CurrentPor-LH=10 unchanged'!D107+'CurrentPor-LH=10 unchanged'!H107)/100,2))*100</f>
        <v>9607.8694681233392</v>
      </c>
      <c r="E107">
        <f>(3/(1+('CurrentPor-LH=10 unchanged'!C107+'CurrentPor-LH=10 unchanged'!I107)/100)+103/POWER(1+('CurrentPor-LH=10 unchanged'!D107+'CurrentPor-LH=10 unchanged'!I107)/100,2))*100</f>
        <v>9576.7771840324767</v>
      </c>
      <c r="F107">
        <f>Portfolio!B$5*'CurrentPor-LH=10 unchanged'!E107</f>
        <v>52143.895533915893</v>
      </c>
      <c r="G107">
        <f>Portfolio!B$6*'CurrentPor-LH=10 unchanged'!F107</f>
        <v>3696.2945087936532</v>
      </c>
      <c r="H107">
        <f>Portfolio!B$7*'CurrentPor-LH=10 unchanged'!J107</f>
        <v>2148.0998964419859</v>
      </c>
      <c r="I107">
        <f t="shared" si="2"/>
        <v>96497.347182295154</v>
      </c>
      <c r="J107">
        <f t="shared" si="3"/>
        <v>13.293120568006998</v>
      </c>
    </row>
    <row r="108" spans="1:10">
      <c r="A108" s="1">
        <v>45621</v>
      </c>
      <c r="B108">
        <f>(3/(1+('CurrentPor-LH=10 unchanged'!C108)/100)+103/POWER(1+('CurrentPor-LH=10 unchanged'!D108)/100,2))*100</f>
        <v>9707.5857774288397</v>
      </c>
      <c r="C108">
        <f>(3/(1+('CurrentPor-LH=10 unchanged'!C108+'CurrentPor-LH=10 unchanged'!G108)/100)+103/POWER(1+('CurrentPor-LH=10 unchanged'!D108+'CurrentPor-LH=10 unchanged'!G108)/100,2))*100</f>
        <v>9609.5773270111476</v>
      </c>
      <c r="D108">
        <f>(3/(1+('CurrentPor-LH=10 unchanged'!C108+'CurrentPor-LH=10 unchanged'!H108)/100)+103/POWER(1+('CurrentPor-LH=10 unchanged'!D108+'CurrentPor-LH=10 unchanged'!H108)/100,2))*100</f>
        <v>9577.2441200008889</v>
      </c>
      <c r="E108">
        <f>(3/(1+('CurrentPor-LH=10 unchanged'!C108+'CurrentPor-LH=10 unchanged'!I108)/100)+103/POWER(1+('CurrentPor-LH=10 unchanged'!D108+'CurrentPor-LH=10 unchanged'!I108)/100,2))*100</f>
        <v>9572.2414007511579</v>
      </c>
      <c r="F108">
        <f>Portfolio!B$5*'CurrentPor-LH=10 unchanged'!E108</f>
        <v>52143.895533915893</v>
      </c>
      <c r="G108">
        <f>Portfolio!B$6*'CurrentPor-LH=10 unchanged'!F108</f>
        <v>3696.2945087936532</v>
      </c>
      <c r="H108">
        <f>Portfolio!B$7*'CurrentPor-LH=10 unchanged'!J108</f>
        <v>2148.0998964419859</v>
      </c>
      <c r="I108">
        <f t="shared" si="2"/>
        <v>96454.938564343567</v>
      </c>
      <c r="J108">
        <f t="shared" si="3"/>
        <v>-46.324228221070371</v>
      </c>
    </row>
    <row r="109" spans="1:10">
      <c r="A109" s="1">
        <v>45622</v>
      </c>
      <c r="B109">
        <f>(3/(1+('CurrentPor-LH=10 unchanged'!C109)/100)+103/POWER(1+('CurrentPor-LH=10 unchanged'!D109)/100,2))*100</f>
        <v>9707.5857774288397</v>
      </c>
      <c r="C109">
        <f>(3/(1+('CurrentPor-LH=10 unchanged'!C109+'CurrentPor-LH=10 unchanged'!G109)/100)+103/POWER(1+('CurrentPor-LH=10 unchanged'!D109+'CurrentPor-LH=10 unchanged'!G109)/100,2))*100</f>
        <v>9618.525067909577</v>
      </c>
      <c r="D109">
        <f>(3/(1+('CurrentPor-LH=10 unchanged'!C109+'CurrentPor-LH=10 unchanged'!H109)/100)+103/POWER(1+('CurrentPor-LH=10 unchanged'!D109+'CurrentPor-LH=10 unchanged'!H109)/100,2))*100</f>
        <v>9617.7905273520482</v>
      </c>
      <c r="E109">
        <f>(3/(1+('CurrentPor-LH=10 unchanged'!C109+'CurrentPor-LH=10 unchanged'!I109)/100)+103/POWER(1+('CurrentPor-LH=10 unchanged'!D109+'CurrentPor-LH=10 unchanged'!I109)/100,2))*100</f>
        <v>9587.0510719785125</v>
      </c>
      <c r="F109">
        <f>Portfolio!B$5*'CurrentPor-LH=10 unchanged'!E109</f>
        <v>52143.895533915893</v>
      </c>
      <c r="G109">
        <f>Portfolio!B$6*'CurrentPor-LH=10 unchanged'!F109</f>
        <v>3696.2945087936532</v>
      </c>
      <c r="H109">
        <f>Portfolio!B$7*'CurrentPor-LH=10 unchanged'!J109</f>
        <v>2148.0998964419859</v>
      </c>
      <c r="I109">
        <f t="shared" si="2"/>
        <v>96519.242383820514</v>
      </c>
      <c r="J109">
        <f t="shared" si="3"/>
        <v>7.2678652521863114</v>
      </c>
    </row>
    <row r="110" spans="1:10">
      <c r="A110" s="1">
        <v>45623</v>
      </c>
      <c r="B110">
        <f>(3/(1+('CurrentPor-LH=10 unchanged'!C110)/100)+103/POWER(1+('CurrentPor-LH=10 unchanged'!D110)/100,2))*100</f>
        <v>9707.5857774288397</v>
      </c>
      <c r="C110">
        <f>(3/(1+('CurrentPor-LH=10 unchanged'!C110+'CurrentPor-LH=10 unchanged'!G110)/100)+103/POWER(1+('CurrentPor-LH=10 unchanged'!D110+'CurrentPor-LH=10 unchanged'!G110)/100,2))*100</f>
        <v>9614.6315383514211</v>
      </c>
      <c r="D110">
        <f>(3/(1+('CurrentPor-LH=10 unchanged'!C110+'CurrentPor-LH=10 unchanged'!H110)/100)+103/POWER(1+('CurrentPor-LH=10 unchanged'!D110+'CurrentPor-LH=10 unchanged'!H110)/100,2))*100</f>
        <v>9588.9028036913733</v>
      </c>
      <c r="E110">
        <f>(3/(1+('CurrentPor-LH=10 unchanged'!C110+'CurrentPor-LH=10 unchanged'!I110)/100)+103/POWER(1+('CurrentPor-LH=10 unchanged'!D110+'CurrentPor-LH=10 unchanged'!I110)/100,2))*100</f>
        <v>9598.1148903215144</v>
      </c>
      <c r="F110">
        <f>Portfolio!B$5*'CurrentPor-LH=10 unchanged'!E110</f>
        <v>52143.895533915893</v>
      </c>
      <c r="G110">
        <f>Portfolio!B$6*'CurrentPor-LH=10 unchanged'!F110</f>
        <v>3696.2945087936532</v>
      </c>
      <c r="H110">
        <f>Portfolio!B$7*'CurrentPor-LH=10 unchanged'!J110</f>
        <v>2148.0998964419859</v>
      </c>
      <c r="I110">
        <f t="shared" si="2"/>
        <v>96497.524948944672</v>
      </c>
      <c r="J110">
        <f t="shared" si="3"/>
        <v>-17.93602800150984</v>
      </c>
    </row>
    <row r="111" spans="1:10">
      <c r="A111" s="1">
        <v>45624</v>
      </c>
      <c r="B111">
        <f>(3/(1+('CurrentPor-LH=10 unchanged'!C111)/100)+103/POWER(1+('CurrentPor-LH=10 unchanged'!D111)/100,2))*100</f>
        <v>9707.5857774288397</v>
      </c>
      <c r="C111">
        <f>(3/(1+('CurrentPor-LH=10 unchanged'!C111+'CurrentPor-LH=10 unchanged'!G111)/100)+103/POWER(1+('CurrentPor-LH=10 unchanged'!D111+'CurrentPor-LH=10 unchanged'!G111)/100,2))*100</f>
        <v>9616.1558610645861</v>
      </c>
      <c r="D111">
        <f>(3/(1+('CurrentPor-LH=10 unchanged'!C111+'CurrentPor-LH=10 unchanged'!H111)/100)+103/POWER(1+('CurrentPor-LH=10 unchanged'!D111+'CurrentPor-LH=10 unchanged'!H111)/100,2))*100</f>
        <v>9597.7846710584272</v>
      </c>
      <c r="E111">
        <f>(3/(1+('CurrentPor-LH=10 unchanged'!C111+'CurrentPor-LH=10 unchanged'!I111)/100)+103/POWER(1+('CurrentPor-LH=10 unchanged'!D111+'CurrentPor-LH=10 unchanged'!I111)/100,2))*100</f>
        <v>9602.1850632969981</v>
      </c>
      <c r="F111">
        <f>Portfolio!B$5*'CurrentPor-LH=10 unchanged'!E111</f>
        <v>52143.895533915893</v>
      </c>
      <c r="G111">
        <f>Portfolio!B$6*'CurrentPor-LH=10 unchanged'!F111</f>
        <v>3696.2945087936532</v>
      </c>
      <c r="H111">
        <f>Portfolio!B$7*'CurrentPor-LH=10 unchanged'!J111</f>
        <v>2148.0998964419859</v>
      </c>
      <c r="I111">
        <f t="shared" si="2"/>
        <v>96512.001312000371</v>
      </c>
      <c r="J111">
        <f t="shared" si="3"/>
        <v>33.925680067943176</v>
      </c>
    </row>
    <row r="112" spans="1:10">
      <c r="A112" s="1">
        <v>45625</v>
      </c>
      <c r="B112">
        <f>(3/(1+('CurrentPor-LH=10 unchanged'!C112)/100)+103/POWER(1+('CurrentPor-LH=10 unchanged'!D112)/100,2))*100</f>
        <v>9707.5857774288397</v>
      </c>
      <c r="C112">
        <f>(3/(1+('CurrentPor-LH=10 unchanged'!C112+'CurrentPor-LH=10 unchanged'!G112)/100)+103/POWER(1+('CurrentPor-LH=10 unchanged'!D112+'CurrentPor-LH=10 unchanged'!G112)/100,2))*100</f>
        <v>9623.4641835219045</v>
      </c>
      <c r="D112">
        <f>(3/(1+('CurrentPor-LH=10 unchanged'!C112+'CurrentPor-LH=10 unchanged'!H112)/100)+103/POWER(1+('CurrentPor-LH=10 unchanged'!D112+'CurrentPor-LH=10 unchanged'!H112)/100,2))*100</f>
        <v>9601.8429892481527</v>
      </c>
      <c r="E112">
        <f>(3/(1+('CurrentPor-LH=10 unchanged'!C112+'CurrentPor-LH=10 unchanged'!I112)/100)+103/POWER(1+('CurrentPor-LH=10 unchanged'!D112+'CurrentPor-LH=10 unchanged'!I112)/100,2))*100</f>
        <v>9592.4052084011928</v>
      </c>
      <c r="F112">
        <f>Portfolio!B$5*'CurrentPor-LH=10 unchanged'!E112</f>
        <v>52143.895533915893</v>
      </c>
      <c r="G112">
        <f>Portfolio!B$6*'CurrentPor-LH=10 unchanged'!F112</f>
        <v>3696.2945087936532</v>
      </c>
      <c r="H112">
        <f>Portfolio!B$7*'CurrentPor-LH=10 unchanged'!J112</f>
        <v>2148.0998964419859</v>
      </c>
      <c r="I112">
        <f t="shared" si="2"/>
        <v>96513.588097751621</v>
      </c>
      <c r="J112">
        <f t="shared" si="3"/>
        <v>63.637865135038737</v>
      </c>
    </row>
    <row r="113" spans="1:10">
      <c r="A113" s="1">
        <v>45628</v>
      </c>
      <c r="B113">
        <f>(3/(1+('CurrentPor-LH=10 unchanged'!C113)/100)+103/POWER(1+('CurrentPor-LH=10 unchanged'!D113)/100,2))*100</f>
        <v>9707.5857774288397</v>
      </c>
      <c r="C113">
        <f>(3/(1+('CurrentPor-LH=10 unchanged'!C113+'CurrentPor-LH=10 unchanged'!G113)/100)+103/POWER(1+('CurrentPor-LH=10 unchanged'!D113+'CurrentPor-LH=10 unchanged'!G113)/100,2))*100</f>
        <v>9619.2148680576702</v>
      </c>
      <c r="D113">
        <f>(3/(1+('CurrentPor-LH=10 unchanged'!C113+'CurrentPor-LH=10 unchanged'!H113)/100)+103/POWER(1+('CurrentPor-LH=10 unchanged'!D113+'CurrentPor-LH=10 unchanged'!H113)/100,2))*100</f>
        <v>9614.358071609422</v>
      </c>
      <c r="E113">
        <f>(3/(1+('CurrentPor-LH=10 unchanged'!C113+'CurrentPor-LH=10 unchanged'!I113)/100)+103/POWER(1+('CurrentPor-LH=10 unchanged'!D113+'CurrentPor-LH=10 unchanged'!I113)/100,2))*100</f>
        <v>9574.3122057901346</v>
      </c>
      <c r="F113">
        <f>Portfolio!B$5*'CurrentPor-LH=10 unchanged'!E113</f>
        <v>52143.895533915893</v>
      </c>
      <c r="G113">
        <f>Portfolio!B$6*'CurrentPor-LH=10 unchanged'!F113</f>
        <v>3696.2945087936532</v>
      </c>
      <c r="H113">
        <f>Portfolio!B$7*'CurrentPor-LH=10 unchanged'!J113</f>
        <v>2148.0998964419859</v>
      </c>
      <c r="I113">
        <f t="shared" si="2"/>
        <v>96503.760862037598</v>
      </c>
      <c r="J113">
        <f t="shared" si="3"/>
        <v>12.180050732582458</v>
      </c>
    </row>
    <row r="114" spans="1:10">
      <c r="A114" s="1">
        <v>45629</v>
      </c>
      <c r="B114">
        <f>(3/(1+('CurrentPor-LH=10 unchanged'!C114)/100)+103/POWER(1+('CurrentPor-LH=10 unchanged'!D114)/100,2))*100</f>
        <v>9707.5857774288397</v>
      </c>
      <c r="C114">
        <f>(3/(1+('CurrentPor-LH=10 unchanged'!C114+'CurrentPor-LH=10 unchanged'!G114)/100)+103/POWER(1+('CurrentPor-LH=10 unchanged'!D114+'CurrentPor-LH=10 unchanged'!G114)/100,2))*100</f>
        <v>9597.381250832952</v>
      </c>
      <c r="D114">
        <f>(3/(1+('CurrentPor-LH=10 unchanged'!C114+'CurrentPor-LH=10 unchanged'!H114)/100)+103/POWER(1+('CurrentPor-LH=10 unchanged'!D114+'CurrentPor-LH=10 unchanged'!H114)/100,2))*100</f>
        <v>9610.5606026824626</v>
      </c>
      <c r="E114">
        <f>(3/(1+('CurrentPor-LH=10 unchanged'!C114+'CurrentPor-LH=10 unchanged'!I114)/100)+103/POWER(1+('CurrentPor-LH=10 unchanged'!D114+'CurrentPor-LH=10 unchanged'!I114)/100,2))*100</f>
        <v>9589.3187154141906</v>
      </c>
      <c r="F114">
        <f>Portfolio!B$5*'CurrentPor-LH=10 unchanged'!E114</f>
        <v>52143.895533915893</v>
      </c>
      <c r="G114">
        <f>Portfolio!B$6*'CurrentPor-LH=10 unchanged'!F114</f>
        <v>3696.2945087936532</v>
      </c>
      <c r="H114">
        <f>Portfolio!B$7*'CurrentPor-LH=10 unchanged'!J114</f>
        <v>2148.0998964419859</v>
      </c>
      <c r="I114">
        <f t="shared" si="2"/>
        <v>96493.136285509987</v>
      </c>
      <c r="J114">
        <f t="shared" si="3"/>
        <v>5.633829405735014</v>
      </c>
    </row>
    <row r="115" spans="1:10">
      <c r="A115" s="1">
        <v>45630</v>
      </c>
      <c r="B115">
        <f>(3/(1+('CurrentPor-LH=10 unchanged'!C115)/100)+103/POWER(1+('CurrentPor-LH=10 unchanged'!D115)/100,2))*100</f>
        <v>9707.5857774288397</v>
      </c>
      <c r="C115">
        <f>(3/(1+('CurrentPor-LH=10 unchanged'!C115+'CurrentPor-LH=10 unchanged'!G115)/100)+103/POWER(1+('CurrentPor-LH=10 unchanged'!D115+'CurrentPor-LH=10 unchanged'!G115)/100,2))*100</f>
        <v>9614.9831443684398</v>
      </c>
      <c r="D115">
        <f>(3/(1+('CurrentPor-LH=10 unchanged'!C115+'CurrentPor-LH=10 unchanged'!H115)/100)+103/POWER(1+('CurrentPor-LH=10 unchanged'!D115+'CurrentPor-LH=10 unchanged'!H115)/100,2))*100</f>
        <v>9592.7466879405765</v>
      </c>
      <c r="E115">
        <f>(3/(1+('CurrentPor-LH=10 unchanged'!C115+'CurrentPor-LH=10 unchanged'!I115)/100)+103/POWER(1+('CurrentPor-LH=10 unchanged'!D115+'CurrentPor-LH=10 unchanged'!I115)/100,2))*100</f>
        <v>9587.6984778414371</v>
      </c>
      <c r="F115">
        <f>Portfolio!B$5*'CurrentPor-LH=10 unchanged'!E115</f>
        <v>52143.895533915893</v>
      </c>
      <c r="G115">
        <f>Portfolio!B$6*'CurrentPor-LH=10 unchanged'!F115</f>
        <v>3696.2945087936532</v>
      </c>
      <c r="H115">
        <f>Portfolio!B$7*'CurrentPor-LH=10 unchanged'!J115</f>
        <v>2148.0998964419859</v>
      </c>
      <c r="I115">
        <f t="shared" si="2"/>
        <v>96491.304026730824</v>
      </c>
      <c r="J115">
        <f t="shared" si="3"/>
        <v>-6.7304815037787193</v>
      </c>
    </row>
    <row r="116" spans="1:10">
      <c r="A116" s="1">
        <v>45631</v>
      </c>
      <c r="B116">
        <f>(3/(1+('CurrentPor-LH=10 unchanged'!C116)/100)+103/POWER(1+('CurrentPor-LH=10 unchanged'!D116)/100,2))*100</f>
        <v>9707.5857774288397</v>
      </c>
      <c r="C116">
        <f>(3/(1+('CurrentPor-LH=10 unchanged'!C116+'CurrentPor-LH=10 unchanged'!G116)/100)+103/POWER(1+('CurrentPor-LH=10 unchanged'!D116+'CurrentPor-LH=10 unchanged'!G116)/100,2))*100</f>
        <v>9619.6511509167394</v>
      </c>
      <c r="D116">
        <f>(3/(1+('CurrentPor-LH=10 unchanged'!C116+'CurrentPor-LH=10 unchanged'!H116)/100)+103/POWER(1+('CurrentPor-LH=10 unchanged'!D116+'CurrentPor-LH=10 unchanged'!H116)/100,2))*100</f>
        <v>9614.6720592674083</v>
      </c>
      <c r="E116">
        <f>(3/(1+('CurrentPor-LH=10 unchanged'!C116+'CurrentPor-LH=10 unchanged'!I116)/100)+103/POWER(1+('CurrentPor-LH=10 unchanged'!D116+'CurrentPor-LH=10 unchanged'!I116)/100,2))*100</f>
        <v>9589.7049848386268</v>
      </c>
      <c r="F116">
        <f>Portfolio!B$5*'CurrentPor-LH=10 unchanged'!E116</f>
        <v>52143.895533915893</v>
      </c>
      <c r="G116">
        <f>Portfolio!B$6*'CurrentPor-LH=10 unchanged'!F116</f>
        <v>3696.2945087936532</v>
      </c>
      <c r="H116">
        <f>Portfolio!B$7*'CurrentPor-LH=10 unchanged'!J116</f>
        <v>2148.0998964419859</v>
      </c>
      <c r="I116">
        <f t="shared" si="2"/>
        <v>96519.903911603134</v>
      </c>
      <c r="J116">
        <f t="shared" si="3"/>
        <v>15.260681316518458</v>
      </c>
    </row>
    <row r="117" spans="1:10">
      <c r="A117" s="1">
        <v>45632</v>
      </c>
      <c r="B117">
        <f>(3/(1+('CurrentPor-LH=10 unchanged'!C117)/100)+103/POWER(1+('CurrentPor-LH=10 unchanged'!D117)/100,2))*100</f>
        <v>9707.5857774288397</v>
      </c>
      <c r="C117">
        <f>(3/(1+('CurrentPor-LH=10 unchanged'!C117+'CurrentPor-LH=10 unchanged'!G117)/100)+103/POWER(1+('CurrentPor-LH=10 unchanged'!D117+'CurrentPor-LH=10 unchanged'!G117)/100,2))*100</f>
        <v>9613.0216258329601</v>
      </c>
      <c r="D117">
        <f>(3/(1+('CurrentPor-LH=10 unchanged'!C117+'CurrentPor-LH=10 unchanged'!H117)/100)+103/POWER(1+('CurrentPor-LH=10 unchanged'!D117+'CurrentPor-LH=10 unchanged'!H117)/100,2))*100</f>
        <v>9591.6050387404121</v>
      </c>
      <c r="E117">
        <f>(3/(1+('CurrentPor-LH=10 unchanged'!C117+'CurrentPor-LH=10 unchanged'!I117)/100)+103/POWER(1+('CurrentPor-LH=10 unchanged'!D117+'CurrentPor-LH=10 unchanged'!I117)/100,2))*100</f>
        <v>9596.8664729227476</v>
      </c>
      <c r="F117">
        <f>Portfolio!B$5*'CurrentPor-LH=10 unchanged'!E117</f>
        <v>52143.895533915893</v>
      </c>
      <c r="G117">
        <f>Portfolio!B$6*'CurrentPor-LH=10 unchanged'!F117</f>
        <v>3696.2945087936532</v>
      </c>
      <c r="H117">
        <f>Portfolio!B$7*'CurrentPor-LH=10 unchanged'!J117</f>
        <v>2148.0998964419859</v>
      </c>
      <c r="I117">
        <f t="shared" si="2"/>
        <v>96497.368854076485</v>
      </c>
      <c r="J117">
        <f t="shared" si="3"/>
        <v>2.167178133095149E-2</v>
      </c>
    </row>
    <row r="118" spans="1:10">
      <c r="A118" s="1">
        <v>45635</v>
      </c>
      <c r="B118">
        <f>(3/(1+('CurrentPor-LH=10 unchanged'!C118)/100)+103/POWER(1+('CurrentPor-LH=10 unchanged'!D118)/100,2))*100</f>
        <v>9707.5857774288397</v>
      </c>
      <c r="C118">
        <f>(3/(1+('CurrentPor-LH=10 unchanged'!C118+'CurrentPor-LH=10 unchanged'!G118)/100)+103/POWER(1+('CurrentPor-LH=10 unchanged'!D118+'CurrentPor-LH=10 unchanged'!G118)/100,2))*100</f>
        <v>9596.8465594578483</v>
      </c>
      <c r="D118">
        <f>(3/(1+('CurrentPor-LH=10 unchanged'!C118+'CurrentPor-LH=10 unchanged'!H118)/100)+103/POWER(1+('CurrentPor-LH=10 unchanged'!D118+'CurrentPor-LH=10 unchanged'!H118)/100,2))*100</f>
        <v>9601.8455886757529</v>
      </c>
      <c r="E118">
        <f>(3/(1+('CurrentPor-LH=10 unchanged'!C118+'CurrentPor-LH=10 unchanged'!I118)/100)+103/POWER(1+('CurrentPor-LH=10 unchanged'!D118+'CurrentPor-LH=10 unchanged'!I118)/100,2))*100</f>
        <v>9572.999957687498</v>
      </c>
      <c r="F118">
        <f>Portfolio!B$5*'CurrentPor-LH=10 unchanged'!E118</f>
        <v>52143.895533915893</v>
      </c>
      <c r="G118">
        <f>Portfolio!B$6*'CurrentPor-LH=10 unchanged'!F118</f>
        <v>3696.2945087936532</v>
      </c>
      <c r="H118">
        <f>Portfolio!B$7*'CurrentPor-LH=10 unchanged'!J118</f>
        <v>2148.0998964419859</v>
      </c>
      <c r="I118">
        <f t="shared" si="2"/>
        <v>96467.56782240147</v>
      </c>
      <c r="J118">
        <f t="shared" si="3"/>
        <v>12.629258057902916</v>
      </c>
    </row>
    <row r="119" spans="1:10">
      <c r="A119" s="1">
        <v>45636</v>
      </c>
      <c r="B119">
        <f>(3/(1+('CurrentPor-LH=10 unchanged'!C119)/100)+103/POWER(1+('CurrentPor-LH=10 unchanged'!D119)/100,2))*100</f>
        <v>9707.5857774288397</v>
      </c>
      <c r="C119">
        <f>(3/(1+('CurrentPor-LH=10 unchanged'!C119+'CurrentPor-LH=10 unchanged'!G119)/100)+103/POWER(1+('CurrentPor-LH=10 unchanged'!D119+'CurrentPor-LH=10 unchanged'!G119)/100,2))*100</f>
        <v>9623.8127096120734</v>
      </c>
      <c r="D119">
        <f>(3/(1+('CurrentPor-LH=10 unchanged'!C119+'CurrentPor-LH=10 unchanged'!H119)/100)+103/POWER(1+('CurrentPor-LH=10 unchanged'!D119+'CurrentPor-LH=10 unchanged'!H119)/100,2))*100</f>
        <v>9581.9801847414328</v>
      </c>
      <c r="E119">
        <f>(3/(1+('CurrentPor-LH=10 unchanged'!C119+'CurrentPor-LH=10 unchanged'!I119)/100)+103/POWER(1+('CurrentPor-LH=10 unchanged'!D119+'CurrentPor-LH=10 unchanged'!I119)/100,2))*100</f>
        <v>9582.6100231686742</v>
      </c>
      <c r="F119">
        <f>Portfolio!B$5*'CurrentPor-LH=10 unchanged'!E119</f>
        <v>52143.895533915893</v>
      </c>
      <c r="G119">
        <f>Portfolio!B$6*'CurrentPor-LH=10 unchanged'!F119</f>
        <v>3696.2945087936532</v>
      </c>
      <c r="H119">
        <f>Portfolio!B$7*'CurrentPor-LH=10 unchanged'!J119</f>
        <v>2148.0998964419859</v>
      </c>
      <c r="I119">
        <f t="shared" si="2"/>
        <v>96484.278634102549</v>
      </c>
      <c r="J119">
        <f t="shared" si="3"/>
        <v>-34.963749717964674</v>
      </c>
    </row>
    <row r="120" spans="1:10">
      <c r="A120" s="1">
        <v>45637</v>
      </c>
      <c r="B120">
        <f>(3/(1+('CurrentPor-LH=10 unchanged'!C120)/100)+103/POWER(1+('CurrentPor-LH=10 unchanged'!D120)/100,2))*100</f>
        <v>9707.5857774288397</v>
      </c>
      <c r="C120">
        <f>(3/(1+('CurrentPor-LH=10 unchanged'!C120+'CurrentPor-LH=10 unchanged'!G120)/100)+103/POWER(1+('CurrentPor-LH=10 unchanged'!D120+'CurrentPor-LH=10 unchanged'!G120)/100,2))*100</f>
        <v>9604.9411069626749</v>
      </c>
      <c r="D120">
        <f>(3/(1+('CurrentPor-LH=10 unchanged'!C120+'CurrentPor-LH=10 unchanged'!H120)/100)+103/POWER(1+('CurrentPor-LH=10 unchanged'!D120+'CurrentPor-LH=10 unchanged'!H120)/100,2))*100</f>
        <v>9608.9316316764161</v>
      </c>
      <c r="E120">
        <f>(3/(1+('CurrentPor-LH=10 unchanged'!C120+'CurrentPor-LH=10 unchanged'!I120)/100)+103/POWER(1+('CurrentPor-LH=10 unchanged'!D120+'CurrentPor-LH=10 unchanged'!I120)/100,2))*100</f>
        <v>9585.4282070253194</v>
      </c>
      <c r="F120">
        <f>Portfolio!B$5*'CurrentPor-LH=10 unchanged'!E120</f>
        <v>52143.895533915893</v>
      </c>
      <c r="G120">
        <f>Portfolio!B$6*'CurrentPor-LH=10 unchanged'!F120</f>
        <v>3696.2945087936532</v>
      </c>
      <c r="H120">
        <f>Portfolio!B$7*'CurrentPor-LH=10 unchanged'!J120</f>
        <v>2148.0998964419859</v>
      </c>
      <c r="I120">
        <f t="shared" si="2"/>
        <v>96495.17666224479</v>
      </c>
      <c r="J120">
        <f t="shared" si="3"/>
        <v>-2.34828669988201</v>
      </c>
    </row>
    <row r="121" spans="1:10">
      <c r="A121" s="1">
        <v>45638</v>
      </c>
      <c r="B121">
        <f>(3/(1+('CurrentPor-LH=10 unchanged'!C121)/100)+103/POWER(1+('CurrentPor-LH=10 unchanged'!D121)/100,2))*100</f>
        <v>9707.5857774288397</v>
      </c>
      <c r="C121">
        <f>(3/(1+('CurrentPor-LH=10 unchanged'!C121+'CurrentPor-LH=10 unchanged'!G121)/100)+103/POWER(1+('CurrentPor-LH=10 unchanged'!D121+'CurrentPor-LH=10 unchanged'!G121)/100,2))*100</f>
        <v>9601.1490612563503</v>
      </c>
      <c r="D121">
        <f>(3/(1+('CurrentPor-LH=10 unchanged'!C121+'CurrentPor-LH=10 unchanged'!H121)/100)+103/POWER(1+('CurrentPor-LH=10 unchanged'!D121+'CurrentPor-LH=10 unchanged'!H121)/100,2))*100</f>
        <v>9598.2440889395857</v>
      </c>
      <c r="E121">
        <f>(3/(1+('CurrentPor-LH=10 unchanged'!C121+'CurrentPor-LH=10 unchanged'!I121)/100)+103/POWER(1+('CurrentPor-LH=10 unchanged'!D121+'CurrentPor-LH=10 unchanged'!I121)/100,2))*100</f>
        <v>9598.516902635014</v>
      </c>
      <c r="F121">
        <f>Portfolio!B$5*'CurrentPor-LH=10 unchanged'!E121</f>
        <v>52143.895533915893</v>
      </c>
      <c r="G121">
        <f>Portfolio!B$6*'CurrentPor-LH=10 unchanged'!F121</f>
        <v>3696.2945087936532</v>
      </c>
      <c r="H121">
        <f>Portfolio!B$7*'CurrentPor-LH=10 unchanged'!J121</f>
        <v>2148.0998964419859</v>
      </c>
      <c r="I121">
        <f t="shared" si="2"/>
        <v>96493.785769411319</v>
      </c>
      <c r="J121">
        <f t="shared" si="3"/>
        <v>-18.215542589052347</v>
      </c>
    </row>
    <row r="122" spans="1:10">
      <c r="A122" s="1">
        <v>45639</v>
      </c>
      <c r="B122">
        <f>(3/(1+('CurrentPor-LH=10 unchanged'!C122)/100)+103/POWER(1+('CurrentPor-LH=10 unchanged'!D122)/100,2))*100</f>
        <v>9707.5857774288397</v>
      </c>
      <c r="C122">
        <f>(3/(1+('CurrentPor-LH=10 unchanged'!C122+'CurrentPor-LH=10 unchanged'!G122)/100)+103/POWER(1+('CurrentPor-LH=10 unchanged'!D122+'CurrentPor-LH=10 unchanged'!G122)/100,2))*100</f>
        <v>9599.481145368336</v>
      </c>
      <c r="D122">
        <f>(3/(1+('CurrentPor-LH=10 unchanged'!C122+'CurrentPor-LH=10 unchanged'!H122)/100)+103/POWER(1+('CurrentPor-LH=10 unchanged'!D122+'CurrentPor-LH=10 unchanged'!H122)/100,2))*100</f>
        <v>9599.7184687865629</v>
      </c>
      <c r="E122">
        <f>(3/(1+('CurrentPor-LH=10 unchanged'!C122+'CurrentPor-LH=10 unchanged'!I122)/100)+103/POWER(1+('CurrentPor-LH=10 unchanged'!D122+'CurrentPor-LH=10 unchanged'!I122)/100,2))*100</f>
        <v>9585.7277201785073</v>
      </c>
      <c r="F122">
        <f>Portfolio!B$5*'CurrentPor-LH=10 unchanged'!E122</f>
        <v>52143.895533915893</v>
      </c>
      <c r="G122">
        <f>Portfolio!B$6*'CurrentPor-LH=10 unchanged'!F122</f>
        <v>3696.2945087936532</v>
      </c>
      <c r="H122">
        <f>Portfolio!B$7*'CurrentPor-LH=10 unchanged'!J122</f>
        <v>2148.0998964419859</v>
      </c>
      <c r="I122">
        <f t="shared" si="2"/>
        <v>96480.803050913775</v>
      </c>
      <c r="J122">
        <f t="shared" si="3"/>
        <v>-32.785046837845584</v>
      </c>
    </row>
    <row r="123" spans="1:10">
      <c r="A123" s="1">
        <v>45642</v>
      </c>
      <c r="B123">
        <f>(3/(1+('CurrentPor-LH=10 unchanged'!C123)/100)+103/POWER(1+('CurrentPor-LH=10 unchanged'!D123)/100,2))*100</f>
        <v>9707.5857774288397</v>
      </c>
      <c r="C123">
        <f>(3/(1+('CurrentPor-LH=10 unchanged'!C123+'CurrentPor-LH=10 unchanged'!G123)/100)+103/POWER(1+('CurrentPor-LH=10 unchanged'!D123+'CurrentPor-LH=10 unchanged'!G123)/100,2))*100</f>
        <v>9613.0348849106049</v>
      </c>
      <c r="D123">
        <f>(3/(1+('CurrentPor-LH=10 unchanged'!C123+'CurrentPor-LH=10 unchanged'!H123)/100)+103/POWER(1+('CurrentPor-LH=10 unchanged'!D123+'CurrentPor-LH=10 unchanged'!H123)/100,2))*100</f>
        <v>9588.8786683588569</v>
      </c>
      <c r="E123">
        <f>(3/(1+('CurrentPor-LH=10 unchanged'!C123+'CurrentPor-LH=10 unchanged'!I123)/100)+103/POWER(1+('CurrentPor-LH=10 unchanged'!D123+'CurrentPor-LH=10 unchanged'!I123)/100,2))*100</f>
        <v>9568.8339471516283</v>
      </c>
      <c r="F123">
        <f>Portfolio!B$5*'CurrentPor-LH=10 unchanged'!E123</f>
        <v>52143.895533915893</v>
      </c>
      <c r="G123">
        <f>Portfolio!B$6*'CurrentPor-LH=10 unchanged'!F123</f>
        <v>3696.2945087936532</v>
      </c>
      <c r="H123">
        <f>Portfolio!B$7*'CurrentPor-LH=10 unchanged'!J123</f>
        <v>2148.0998964419859</v>
      </c>
      <c r="I123">
        <f t="shared" si="2"/>
        <v>96466.623217001455</v>
      </c>
      <c r="J123">
        <f t="shared" si="3"/>
        <v>-37.137645036142203</v>
      </c>
    </row>
    <row r="124" spans="1:10">
      <c r="A124" s="1">
        <v>45643</v>
      </c>
      <c r="B124">
        <f>(3/(1+('CurrentPor-LH=10 unchanged'!C124)/100)+103/POWER(1+('CurrentPor-LH=10 unchanged'!D124)/100,2))*100</f>
        <v>9707.5857774288397</v>
      </c>
      <c r="C124">
        <f>(3/(1+('CurrentPor-LH=10 unchanged'!C124+'CurrentPor-LH=10 unchanged'!G124)/100)+103/POWER(1+('CurrentPor-LH=10 unchanged'!D124+'CurrentPor-LH=10 unchanged'!G124)/100,2))*100</f>
        <v>9614.5361081264164</v>
      </c>
      <c r="D124">
        <f>(3/(1+('CurrentPor-LH=10 unchanged'!C124+'CurrentPor-LH=10 unchanged'!H124)/100)+103/POWER(1+('CurrentPor-LH=10 unchanged'!D124+'CurrentPor-LH=10 unchanged'!H124)/100,2))*100</f>
        <v>9591.8529187944623</v>
      </c>
      <c r="E124">
        <f>(3/(1+('CurrentPor-LH=10 unchanged'!C124+'CurrentPor-LH=10 unchanged'!I124)/100)+103/POWER(1+('CurrentPor-LH=10 unchanged'!D124+'CurrentPor-LH=10 unchanged'!I124)/100,2))*100</f>
        <v>9593.4639936051062</v>
      </c>
      <c r="F124">
        <f>Portfolio!B$5*'CurrentPor-LH=10 unchanged'!E124</f>
        <v>52143.895533915893</v>
      </c>
      <c r="G124">
        <f>Portfolio!B$6*'CurrentPor-LH=10 unchanged'!F124</f>
        <v>3696.2945087936532</v>
      </c>
      <c r="H124">
        <f>Portfolio!B$7*'CurrentPor-LH=10 unchanged'!J124</f>
        <v>2148.0998964419859</v>
      </c>
      <c r="I124">
        <f t="shared" si="2"/>
        <v>96495.728737106358</v>
      </c>
      <c r="J124">
        <f t="shared" si="3"/>
        <v>2.5924515963706654</v>
      </c>
    </row>
    <row r="125" spans="1:10">
      <c r="A125" s="1">
        <v>45644</v>
      </c>
      <c r="B125">
        <f>(3/(1+('CurrentPor-LH=10 unchanged'!C125)/100)+103/POWER(1+('CurrentPor-LH=10 unchanged'!D125)/100,2))*100</f>
        <v>9707.5857774288397</v>
      </c>
      <c r="C125">
        <f>(3/(1+('CurrentPor-LH=10 unchanged'!C125+'CurrentPor-LH=10 unchanged'!G125)/100)+103/POWER(1+('CurrentPor-LH=10 unchanged'!D125+'CurrentPor-LH=10 unchanged'!G125)/100,2))*100</f>
        <v>9618.9566824062294</v>
      </c>
      <c r="D125">
        <f>(3/(1+('CurrentPor-LH=10 unchanged'!C125+'CurrentPor-LH=10 unchanged'!H125)/100)+103/POWER(1+('CurrentPor-LH=10 unchanged'!D125+'CurrentPor-LH=10 unchanged'!H125)/100,2))*100</f>
        <v>9598.0058200341609</v>
      </c>
      <c r="E125">
        <f>(3/(1+('CurrentPor-LH=10 unchanged'!C125+'CurrentPor-LH=10 unchanged'!I125)/100)+103/POWER(1+('CurrentPor-LH=10 unchanged'!D125+'CurrentPor-LH=10 unchanged'!I125)/100,2))*100</f>
        <v>9569.9819702312489</v>
      </c>
      <c r="F125">
        <f>Portfolio!B$5*'CurrentPor-LH=10 unchanged'!E125</f>
        <v>52143.895533915893</v>
      </c>
      <c r="G125">
        <f>Portfolio!B$6*'CurrentPor-LH=10 unchanged'!F125</f>
        <v>3696.2945087936532</v>
      </c>
      <c r="H125">
        <f>Portfolio!B$7*'CurrentPor-LH=10 unchanged'!J125</f>
        <v>2148.0998964419859</v>
      </c>
      <c r="I125">
        <f t="shared" si="2"/>
        <v>96482.820189252016</v>
      </c>
      <c r="J125">
        <f t="shared" si="3"/>
        <v>-8.4838374788087094</v>
      </c>
    </row>
    <row r="126" spans="1:10">
      <c r="A126" s="1">
        <v>45645</v>
      </c>
      <c r="B126">
        <f>(3/(1+('CurrentPor-LH=10 unchanged'!C126)/100)+103/POWER(1+('CurrentPor-LH=10 unchanged'!D126)/100,2))*100</f>
        <v>9707.5857774288397</v>
      </c>
      <c r="C126">
        <f>(3/(1+('CurrentPor-LH=10 unchanged'!C126+'CurrentPor-LH=10 unchanged'!G126)/100)+103/POWER(1+('CurrentPor-LH=10 unchanged'!D126+'CurrentPor-LH=10 unchanged'!G126)/100,2))*100</f>
        <v>9607.4928352567185</v>
      </c>
      <c r="D126">
        <f>(3/(1+('CurrentPor-LH=10 unchanged'!C126+'CurrentPor-LH=10 unchanged'!H126)/100)+103/POWER(1+('CurrentPor-LH=10 unchanged'!D126+'CurrentPor-LH=10 unchanged'!H126)/100,2))*100</f>
        <v>9607.5433417345503</v>
      </c>
      <c r="E126">
        <f>(3/(1+('CurrentPor-LH=10 unchanged'!C126+'CurrentPor-LH=10 unchanged'!I126)/100)+103/POWER(1+('CurrentPor-LH=10 unchanged'!D126+'CurrentPor-LH=10 unchanged'!I126)/100,2))*100</f>
        <v>9583.5445383447059</v>
      </c>
      <c r="F126">
        <f>Portfolio!B$5*'CurrentPor-LH=10 unchanged'!E126</f>
        <v>52143.895533915893</v>
      </c>
      <c r="G126">
        <f>Portfolio!B$6*'CurrentPor-LH=10 unchanged'!F126</f>
        <v>3696.2945087936532</v>
      </c>
      <c r="H126">
        <f>Portfolio!B$7*'CurrentPor-LH=10 unchanged'!J126</f>
        <v>2148.0998964419859</v>
      </c>
      <c r="I126">
        <f t="shared" si="2"/>
        <v>96494.456431916347</v>
      </c>
      <c r="J126">
        <f t="shared" si="3"/>
        <v>-25.447479686787119</v>
      </c>
    </row>
    <row r="127" spans="1:10">
      <c r="A127" s="1">
        <v>45646</v>
      </c>
      <c r="B127">
        <f>(3/(1+('CurrentPor-LH=10 unchanged'!C127)/100)+103/POWER(1+('CurrentPor-LH=10 unchanged'!D127)/100,2))*100</f>
        <v>9707.5857774288397</v>
      </c>
      <c r="C127">
        <f>(3/(1+('CurrentPor-LH=10 unchanged'!C127+'CurrentPor-LH=10 unchanged'!G127)/100)+103/POWER(1+('CurrentPor-LH=10 unchanged'!D127+'CurrentPor-LH=10 unchanged'!G127)/100,2))*100</f>
        <v>9607.1220789434337</v>
      </c>
      <c r="D127">
        <f>(3/(1+('CurrentPor-LH=10 unchanged'!C127+'CurrentPor-LH=10 unchanged'!H127)/100)+103/POWER(1+('CurrentPor-LH=10 unchanged'!D127+'CurrentPor-LH=10 unchanged'!H127)/100,2))*100</f>
        <v>9597.076535769178</v>
      </c>
      <c r="E127">
        <f>(3/(1+('CurrentPor-LH=10 unchanged'!C127+'CurrentPor-LH=10 unchanged'!I127)/100)+103/POWER(1+('CurrentPor-LH=10 unchanged'!D127+'CurrentPor-LH=10 unchanged'!I127)/100,2))*100</f>
        <v>9596.9888639645633</v>
      </c>
      <c r="F127">
        <f>Portfolio!B$5*'CurrentPor-LH=10 unchanged'!E127</f>
        <v>52143.895533915893</v>
      </c>
      <c r="G127">
        <f>Portfolio!B$6*'CurrentPor-LH=10 unchanged'!F127</f>
        <v>3696.2945087936532</v>
      </c>
      <c r="H127">
        <f>Portfolio!B$7*'CurrentPor-LH=10 unchanged'!J127</f>
        <v>2148.0998964419859</v>
      </c>
      <c r="I127">
        <f t="shared" si="2"/>
        <v>96497.06319525755</v>
      </c>
      <c r="J127">
        <f t="shared" si="3"/>
        <v>-0.30565881893562619</v>
      </c>
    </row>
    <row r="128" spans="1:10">
      <c r="A128" s="1">
        <v>45649</v>
      </c>
      <c r="B128">
        <f>(3/(1+('CurrentPor-LH=10 unchanged'!C128)/100)+103/POWER(1+('CurrentPor-LH=10 unchanged'!D128)/100,2))*100</f>
        <v>9707.5857774288397</v>
      </c>
      <c r="C128">
        <f>(3/(1+('CurrentPor-LH=10 unchanged'!C128+'CurrentPor-LH=10 unchanged'!G128)/100)+103/POWER(1+('CurrentPor-LH=10 unchanged'!D128+'CurrentPor-LH=10 unchanged'!G128)/100,2))*100</f>
        <v>9631.7048456687789</v>
      </c>
      <c r="D128">
        <f>(3/(1+('CurrentPor-LH=10 unchanged'!C128+'CurrentPor-LH=10 unchanged'!H128)/100)+103/POWER(1+('CurrentPor-LH=10 unchanged'!D128+'CurrentPor-LH=10 unchanged'!H128)/100,2))*100</f>
        <v>9592.2244538305968</v>
      </c>
      <c r="E128">
        <f>(3/(1+('CurrentPor-LH=10 unchanged'!C128+'CurrentPor-LH=10 unchanged'!I128)/100)+103/POWER(1+('CurrentPor-LH=10 unchanged'!D128+'CurrentPor-LH=10 unchanged'!I128)/100,2))*100</f>
        <v>9583.3317290103514</v>
      </c>
      <c r="F128">
        <f>Portfolio!B$5*'CurrentPor-LH=10 unchanged'!E128</f>
        <v>52143.895533915893</v>
      </c>
      <c r="G128">
        <f>Portfolio!B$6*'CurrentPor-LH=10 unchanged'!F128</f>
        <v>3696.2945087936532</v>
      </c>
      <c r="H128">
        <f>Portfolio!B$7*'CurrentPor-LH=10 unchanged'!J128</f>
        <v>2148.0998964419859</v>
      </c>
      <c r="I128">
        <f t="shared" si="2"/>
        <v>96503.136745090087</v>
      </c>
      <c r="J128">
        <f t="shared" si="3"/>
        <v>35.568922688617022</v>
      </c>
    </row>
    <row r="129" spans="1:10">
      <c r="A129" s="1">
        <v>45650</v>
      </c>
      <c r="B129">
        <f>(3/(1+('CurrentPor-LH=10 unchanged'!C129)/100)+103/POWER(1+('CurrentPor-LH=10 unchanged'!D129)/100,2))*100</f>
        <v>9707.5857774288397</v>
      </c>
      <c r="C129">
        <f>(3/(1+('CurrentPor-LH=10 unchanged'!C129+'CurrentPor-LH=10 unchanged'!G129)/100)+103/POWER(1+('CurrentPor-LH=10 unchanged'!D129+'CurrentPor-LH=10 unchanged'!G129)/100,2))*100</f>
        <v>9612.6425235026054</v>
      </c>
      <c r="D129">
        <f>(3/(1+('CurrentPor-LH=10 unchanged'!C129+'CurrentPor-LH=10 unchanged'!H129)/100)+103/POWER(1+('CurrentPor-LH=10 unchanged'!D129+'CurrentPor-LH=10 unchanged'!H129)/100,2))*100</f>
        <v>9606.1867388835362</v>
      </c>
      <c r="E129">
        <f>(3/(1+('CurrentPor-LH=10 unchanged'!C129+'CurrentPor-LH=10 unchanged'!I129)/100)+103/POWER(1+('CurrentPor-LH=10 unchanged'!D129+'CurrentPor-LH=10 unchanged'!I129)/100,2))*100</f>
        <v>9571.0968242513409</v>
      </c>
      <c r="F129">
        <f>Portfolio!B$5*'CurrentPor-LH=10 unchanged'!E129</f>
        <v>52143.895533915893</v>
      </c>
      <c r="G129">
        <f>Portfolio!B$6*'CurrentPor-LH=10 unchanged'!F129</f>
        <v>3696.2945087936532</v>
      </c>
      <c r="H129">
        <f>Portfolio!B$7*'CurrentPor-LH=10 unchanged'!J129</f>
        <v>2148.0998964419859</v>
      </c>
      <c r="I129">
        <f t="shared" si="2"/>
        <v>96485.801803217852</v>
      </c>
      <c r="J129">
        <f t="shared" si="3"/>
        <v>1.5231691153021529</v>
      </c>
    </row>
    <row r="130" spans="1:10">
      <c r="A130" s="1">
        <v>45651</v>
      </c>
      <c r="B130">
        <f>(3/(1+('CurrentPor-LH=10 unchanged'!C130)/100)+103/POWER(1+('CurrentPor-LH=10 unchanged'!D130)/100,2))*100</f>
        <v>9707.5857774288397</v>
      </c>
      <c r="C130">
        <f>(3/(1+('CurrentPor-LH=10 unchanged'!C130+'CurrentPor-LH=10 unchanged'!G130)/100)+103/POWER(1+('CurrentPor-LH=10 unchanged'!D130+'CurrentPor-LH=10 unchanged'!G130)/100,2))*100</f>
        <v>9611.789719994973</v>
      </c>
      <c r="D130">
        <f>(3/(1+('CurrentPor-LH=10 unchanged'!C130+'CurrentPor-LH=10 unchanged'!H130)/100)+103/POWER(1+('CurrentPor-LH=10 unchanged'!D130+'CurrentPor-LH=10 unchanged'!H130)/100,2))*100</f>
        <v>9615.7235973101724</v>
      </c>
      <c r="E130">
        <f>(3/(1+('CurrentPor-LH=10 unchanged'!C130+'CurrentPor-LH=10 unchanged'!I130)/100)+103/POWER(1+('CurrentPor-LH=10 unchanged'!D130+'CurrentPor-LH=10 unchanged'!I130)/100,2))*100</f>
        <v>9575.2282359582678</v>
      </c>
      <c r="F130">
        <f>Portfolio!B$5*'CurrentPor-LH=10 unchanged'!E130</f>
        <v>52143.895533915893</v>
      </c>
      <c r="G130">
        <f>Portfolio!B$6*'CurrentPor-LH=10 unchanged'!F130</f>
        <v>3696.2945087936532</v>
      </c>
      <c r="H130">
        <f>Portfolio!B$7*'CurrentPor-LH=10 unchanged'!J130</f>
        <v>2148.0998964419859</v>
      </c>
      <c r="I130">
        <f t="shared" si="2"/>
        <v>96498.617269843773</v>
      </c>
      <c r="J130">
        <f t="shared" si="3"/>
        <v>3.4406075989827514</v>
      </c>
    </row>
    <row r="131" spans="1:10">
      <c r="A131" s="1">
        <v>45652</v>
      </c>
      <c r="B131">
        <f>(3/(1+('CurrentPor-LH=10 unchanged'!C131)/100)+103/POWER(1+('CurrentPor-LH=10 unchanged'!D131)/100,2))*100</f>
        <v>9707.5857774288397</v>
      </c>
      <c r="C131">
        <f>(3/(1+('CurrentPor-LH=10 unchanged'!C131+'CurrentPor-LH=10 unchanged'!G131)/100)+103/POWER(1+('CurrentPor-LH=10 unchanged'!D131+'CurrentPor-LH=10 unchanged'!G131)/100,2))*100</f>
        <v>9629.0784822028691</v>
      </c>
      <c r="D131">
        <f>(3/(1+('CurrentPor-LH=10 unchanged'!C131+'CurrentPor-LH=10 unchanged'!H131)/100)+103/POWER(1+('CurrentPor-LH=10 unchanged'!D131+'CurrentPor-LH=10 unchanged'!H131)/100,2))*100</f>
        <v>9610.0078394579687</v>
      </c>
      <c r="E131">
        <f>(3/(1+('CurrentPor-LH=10 unchanged'!C131+'CurrentPor-LH=10 unchanged'!I131)/100)+103/POWER(1+('CurrentPor-LH=10 unchanged'!D131+'CurrentPor-LH=10 unchanged'!I131)/100,2))*100</f>
        <v>9579.5278199657423</v>
      </c>
      <c r="F131">
        <f>Portfolio!B$5*'CurrentPor-LH=10 unchanged'!E131</f>
        <v>52143.895533915893</v>
      </c>
      <c r="G131">
        <f>Portfolio!B$6*'CurrentPor-LH=10 unchanged'!F131</f>
        <v>3696.2945087936532</v>
      </c>
      <c r="H131">
        <f>Portfolio!B$7*'CurrentPor-LH=10 unchanged'!J131</f>
        <v>2148.0998964419859</v>
      </c>
      <c r="I131">
        <f t="shared" si="2"/>
        <v>96514.489858206958</v>
      </c>
      <c r="J131">
        <f t="shared" si="3"/>
        <v>20.704088795639109</v>
      </c>
    </row>
    <row r="132" spans="1:10">
      <c r="A132" s="1">
        <v>45653</v>
      </c>
      <c r="B132">
        <f>(3/(1+('CurrentPor-LH=10 unchanged'!C132)/100)+103/POWER(1+('CurrentPor-LH=10 unchanged'!D132)/100,2))*100</f>
        <v>9707.5857774288397</v>
      </c>
      <c r="C132">
        <f>(3/(1+('CurrentPor-LH=10 unchanged'!C132+'CurrentPor-LH=10 unchanged'!G132)/100)+103/POWER(1+('CurrentPor-LH=10 unchanged'!D132+'CurrentPor-LH=10 unchanged'!G132)/100,2))*100</f>
        <v>9610.7651969556791</v>
      </c>
      <c r="D132">
        <f>(3/(1+('CurrentPor-LH=10 unchanged'!C132+'CurrentPor-LH=10 unchanged'!H132)/100)+103/POWER(1+('CurrentPor-LH=10 unchanged'!D132+'CurrentPor-LH=10 unchanged'!H132)/100,2))*100</f>
        <v>9616.974122242842</v>
      </c>
      <c r="E132">
        <f>(3/(1+('CurrentPor-LH=10 unchanged'!C132+'CurrentPor-LH=10 unchanged'!I132)/100)+103/POWER(1+('CurrentPor-LH=10 unchanged'!D132+'CurrentPor-LH=10 unchanged'!I132)/100,2))*100</f>
        <v>9559.6759380989533</v>
      </c>
      <c r="F132">
        <f>Portfolio!B$5*'CurrentPor-LH=10 unchanged'!E132</f>
        <v>52143.895533915893</v>
      </c>
      <c r="G132">
        <f>Portfolio!B$6*'CurrentPor-LH=10 unchanged'!F132</f>
        <v>3696.2945087936532</v>
      </c>
      <c r="H132">
        <f>Portfolio!B$7*'CurrentPor-LH=10 unchanged'!J132</f>
        <v>2148.0998964419859</v>
      </c>
      <c r="I132">
        <f t="shared" ref="I132:I195" si="4">SUM(B132:H132)</f>
        <v>96483.29097387784</v>
      </c>
      <c r="J132">
        <f t="shared" si="3"/>
        <v>2.4879229640646372</v>
      </c>
    </row>
    <row r="133" spans="1:10">
      <c r="A133" s="1">
        <v>45656</v>
      </c>
      <c r="B133">
        <f>(3/(1+('CurrentPor-LH=10 unchanged'!C133)/100)+103/POWER(1+('CurrentPor-LH=10 unchanged'!D133)/100,2))*100</f>
        <v>9707.5857774288397</v>
      </c>
      <c r="C133">
        <f>(3/(1+('CurrentPor-LH=10 unchanged'!C133+'CurrentPor-LH=10 unchanged'!G133)/100)+103/POWER(1+('CurrentPor-LH=10 unchanged'!D133+'CurrentPor-LH=10 unchanged'!G133)/100,2))*100</f>
        <v>9616.7218878523308</v>
      </c>
      <c r="D133">
        <f>(3/(1+('CurrentPor-LH=10 unchanged'!C133+'CurrentPor-LH=10 unchanged'!H133)/100)+103/POWER(1+('CurrentPor-LH=10 unchanged'!D133+'CurrentPor-LH=10 unchanged'!H133)/100,2))*100</f>
        <v>9615.9708947416966</v>
      </c>
      <c r="E133">
        <f>(3/(1+('CurrentPor-LH=10 unchanged'!C133+'CurrentPor-LH=10 unchanged'!I133)/100)+103/POWER(1+('CurrentPor-LH=10 unchanged'!D133+'CurrentPor-LH=10 unchanged'!I133)/100,2))*100</f>
        <v>9574.8955319227989</v>
      </c>
      <c r="F133">
        <f>Portfolio!B$5*'CurrentPor-LH=10 unchanged'!E133</f>
        <v>52143.895533915893</v>
      </c>
      <c r="G133">
        <f>Portfolio!B$6*'CurrentPor-LH=10 unchanged'!F133</f>
        <v>3696.2945087936532</v>
      </c>
      <c r="H133">
        <f>Portfolio!B$7*'CurrentPor-LH=10 unchanged'!J133</f>
        <v>2148.0998964419859</v>
      </c>
      <c r="I133">
        <f t="shared" si="4"/>
        <v>96503.464031097203</v>
      </c>
      <c r="J133">
        <f t="shared" si="3"/>
        <v>36.840814095747191</v>
      </c>
    </row>
    <row r="134" spans="1:10">
      <c r="A134" s="1">
        <v>45657</v>
      </c>
      <c r="B134">
        <f>(3/(1+('CurrentPor-LH=10 unchanged'!C134)/100)+103/POWER(1+('CurrentPor-LH=10 unchanged'!D134)/100,2))*100</f>
        <v>9707.5857774288397</v>
      </c>
      <c r="C134">
        <f>(3/(1+('CurrentPor-LH=10 unchanged'!C134+'CurrentPor-LH=10 unchanged'!G134)/100)+103/POWER(1+('CurrentPor-LH=10 unchanged'!D134+'CurrentPor-LH=10 unchanged'!G134)/100,2))*100</f>
        <v>9629.0972277072451</v>
      </c>
      <c r="D134">
        <f>(3/(1+('CurrentPor-LH=10 unchanged'!C134+'CurrentPor-LH=10 unchanged'!H134)/100)+103/POWER(1+('CurrentPor-LH=10 unchanged'!D134+'CurrentPor-LH=10 unchanged'!H134)/100,2))*100</f>
        <v>9606.9834105558039</v>
      </c>
      <c r="E134">
        <f>(3/(1+('CurrentPor-LH=10 unchanged'!C134+'CurrentPor-LH=10 unchanged'!I134)/100)+103/POWER(1+('CurrentPor-LH=10 unchanged'!D134+'CurrentPor-LH=10 unchanged'!I134)/100,2))*100</f>
        <v>9568.1648062486056</v>
      </c>
      <c r="F134">
        <f>Portfolio!B$5*'CurrentPor-LH=10 unchanged'!E134</f>
        <v>52143.895533915893</v>
      </c>
      <c r="G134">
        <f>Portfolio!B$6*'CurrentPor-LH=10 unchanged'!F134</f>
        <v>3696.2945087936532</v>
      </c>
      <c r="H134">
        <f>Portfolio!B$7*'CurrentPor-LH=10 unchanged'!J134</f>
        <v>2148.0998964419859</v>
      </c>
      <c r="I134">
        <f t="shared" si="4"/>
        <v>96500.121161092029</v>
      </c>
      <c r="J134">
        <f t="shared" si="3"/>
        <v>4.3924239856714848</v>
      </c>
    </row>
    <row r="135" spans="1:10">
      <c r="A135" s="1">
        <v>45658</v>
      </c>
      <c r="B135">
        <f>(3/(1+('CurrentPor-LH=10 unchanged'!C135)/100)+103/POWER(1+('CurrentPor-LH=10 unchanged'!D135)/100,2))*100</f>
        <v>9707.5857774288397</v>
      </c>
      <c r="C135">
        <f>(3/(1+('CurrentPor-LH=10 unchanged'!C135+'CurrentPor-LH=10 unchanged'!G135)/100)+103/POWER(1+('CurrentPor-LH=10 unchanged'!D135+'CurrentPor-LH=10 unchanged'!G135)/100,2))*100</f>
        <v>9606.2172348971781</v>
      </c>
      <c r="D135">
        <f>(3/(1+('CurrentPor-LH=10 unchanged'!C135+'CurrentPor-LH=10 unchanged'!H135)/100)+103/POWER(1+('CurrentPor-LH=10 unchanged'!D135+'CurrentPor-LH=10 unchanged'!H135)/100,2))*100</f>
        <v>9583.3556941729948</v>
      </c>
      <c r="E135">
        <f>(3/(1+('CurrentPor-LH=10 unchanged'!C135+'CurrentPor-LH=10 unchanged'!I135)/100)+103/POWER(1+('CurrentPor-LH=10 unchanged'!D135+'CurrentPor-LH=10 unchanged'!I135)/100,2))*100</f>
        <v>9576.4501406326817</v>
      </c>
      <c r="F135">
        <f>Portfolio!B$5*'CurrentPor-LH=10 unchanged'!E135</f>
        <v>52143.895533915893</v>
      </c>
      <c r="G135">
        <f>Portfolio!B$6*'CurrentPor-LH=10 unchanged'!F135</f>
        <v>3696.2945087936532</v>
      </c>
      <c r="H135">
        <f>Portfolio!B$7*'CurrentPor-LH=10 unchanged'!J135</f>
        <v>2148.0998964419859</v>
      </c>
      <c r="I135">
        <f t="shared" si="4"/>
        <v>96461.898786283229</v>
      </c>
      <c r="J135">
        <f t="shared" si="3"/>
        <v>-20.921402968786424</v>
      </c>
    </row>
    <row r="136" spans="1:10">
      <c r="A136" s="1">
        <v>45659</v>
      </c>
      <c r="B136">
        <f>(3/(1+('CurrentPor-LH=10 unchanged'!C136)/100)+103/POWER(1+('CurrentPor-LH=10 unchanged'!D136)/100,2))*100</f>
        <v>9707.5857774288397</v>
      </c>
      <c r="C136">
        <f>(3/(1+('CurrentPor-LH=10 unchanged'!C136+'CurrentPor-LH=10 unchanged'!G136)/100)+103/POWER(1+('CurrentPor-LH=10 unchanged'!D136+'CurrentPor-LH=10 unchanged'!G136)/100,2))*100</f>
        <v>9613.0632094300472</v>
      </c>
      <c r="D136">
        <f>(3/(1+('CurrentPor-LH=10 unchanged'!C136+'CurrentPor-LH=10 unchanged'!H136)/100)+103/POWER(1+('CurrentPor-LH=10 unchanged'!D136+'CurrentPor-LH=10 unchanged'!H136)/100,2))*100</f>
        <v>9591.9880894327471</v>
      </c>
      <c r="E136">
        <f>(3/(1+('CurrentPor-LH=10 unchanged'!C136+'CurrentPor-LH=10 unchanged'!I136)/100)+103/POWER(1+('CurrentPor-LH=10 unchanged'!D136+'CurrentPor-LH=10 unchanged'!I136)/100,2))*100</f>
        <v>9574.7844990282883</v>
      </c>
      <c r="F136">
        <f>Portfolio!B$5*'CurrentPor-LH=10 unchanged'!E136</f>
        <v>52143.895533915893</v>
      </c>
      <c r="G136">
        <f>Portfolio!B$6*'CurrentPor-LH=10 unchanged'!F136</f>
        <v>3696.2945087936532</v>
      </c>
      <c r="H136">
        <f>Portfolio!B$7*'CurrentPor-LH=10 unchanged'!J136</f>
        <v>2148.0998964419859</v>
      </c>
      <c r="I136">
        <f t="shared" si="4"/>
        <v>96475.711514471463</v>
      </c>
      <c r="J136">
        <f t="shared" si="3"/>
        <v>-18.744917444884777</v>
      </c>
    </row>
    <row r="137" spans="1:10">
      <c r="A137" s="1">
        <v>45660</v>
      </c>
      <c r="B137">
        <f>(3/(1+('CurrentPor-LH=10 unchanged'!C137)/100)+103/POWER(1+('CurrentPor-LH=10 unchanged'!D137)/100,2))*100</f>
        <v>9707.5857774288397</v>
      </c>
      <c r="C137">
        <f>(3/(1+('CurrentPor-LH=10 unchanged'!C137+'CurrentPor-LH=10 unchanged'!G137)/100)+103/POWER(1+('CurrentPor-LH=10 unchanged'!D137+'CurrentPor-LH=10 unchanged'!G137)/100,2))*100</f>
        <v>9625.3763088842807</v>
      </c>
      <c r="D137">
        <f>(3/(1+('CurrentPor-LH=10 unchanged'!C137+'CurrentPor-LH=10 unchanged'!H137)/100)+103/POWER(1+('CurrentPor-LH=10 unchanged'!D137+'CurrentPor-LH=10 unchanged'!H137)/100,2))*100</f>
        <v>9599.5041418395922</v>
      </c>
      <c r="E137">
        <f>(3/(1+('CurrentPor-LH=10 unchanged'!C137+'CurrentPor-LH=10 unchanged'!I137)/100)+103/POWER(1+('CurrentPor-LH=10 unchanged'!D137+'CurrentPor-LH=10 unchanged'!I137)/100,2))*100</f>
        <v>9581.9963668513847</v>
      </c>
      <c r="F137">
        <f>Portfolio!B$5*'CurrentPor-LH=10 unchanged'!E137</f>
        <v>52143.895533915893</v>
      </c>
      <c r="G137">
        <f>Portfolio!B$6*'CurrentPor-LH=10 unchanged'!F137</f>
        <v>3696.2945087936532</v>
      </c>
      <c r="H137">
        <f>Portfolio!B$7*'CurrentPor-LH=10 unchanged'!J137</f>
        <v>2148.0998964419859</v>
      </c>
      <c r="I137">
        <f t="shared" si="4"/>
        <v>96502.752534155632</v>
      </c>
      <c r="J137">
        <f t="shared" si="3"/>
        <v>5.6893388980824966</v>
      </c>
    </row>
    <row r="138" spans="1:10">
      <c r="A138" s="1">
        <v>45663</v>
      </c>
      <c r="B138">
        <f>(3/(1+('CurrentPor-LH=10 unchanged'!C138)/100)+103/POWER(1+('CurrentPor-LH=10 unchanged'!D138)/100,2))*100</f>
        <v>9707.5857774288397</v>
      </c>
      <c r="C138">
        <f>(3/(1+('CurrentPor-LH=10 unchanged'!C138+'CurrentPor-LH=10 unchanged'!G138)/100)+103/POWER(1+('CurrentPor-LH=10 unchanged'!D138+'CurrentPor-LH=10 unchanged'!G138)/100,2))*100</f>
        <v>9615.9029900902915</v>
      </c>
      <c r="D138">
        <f>(3/(1+('CurrentPor-LH=10 unchanged'!C138+'CurrentPor-LH=10 unchanged'!H138)/100)+103/POWER(1+('CurrentPor-LH=10 unchanged'!D138+'CurrentPor-LH=10 unchanged'!H138)/100,2))*100</f>
        <v>9600.0610807774174</v>
      </c>
      <c r="E138">
        <f>(3/(1+('CurrentPor-LH=10 unchanged'!C138+'CurrentPor-LH=10 unchanged'!I138)/100)+103/POWER(1+('CurrentPor-LH=10 unchanged'!D138+'CurrentPor-LH=10 unchanged'!I138)/100,2))*100</f>
        <v>9584.0415154456041</v>
      </c>
      <c r="F138">
        <f>Portfolio!B$5*'CurrentPor-LH=10 unchanged'!E138</f>
        <v>52143.895533915893</v>
      </c>
      <c r="G138">
        <f>Portfolio!B$6*'CurrentPor-LH=10 unchanged'!F138</f>
        <v>3696.2945087936532</v>
      </c>
      <c r="H138">
        <f>Portfolio!B$7*'CurrentPor-LH=10 unchanged'!J138</f>
        <v>2148.0998964419859</v>
      </c>
      <c r="I138">
        <f t="shared" si="4"/>
        <v>96495.881302893686</v>
      </c>
      <c r="J138">
        <f t="shared" si="3"/>
        <v>-7.2554421964014182</v>
      </c>
    </row>
    <row r="139" spans="1:10">
      <c r="A139" s="1">
        <v>45664</v>
      </c>
      <c r="B139">
        <f>(3/(1+('CurrentPor-LH=10 unchanged'!C139)/100)+103/POWER(1+('CurrentPor-LH=10 unchanged'!D139)/100,2))*100</f>
        <v>9707.5857774288397</v>
      </c>
      <c r="C139">
        <f>(3/(1+('CurrentPor-LH=10 unchanged'!C139+'CurrentPor-LH=10 unchanged'!G139)/100)+103/POWER(1+('CurrentPor-LH=10 unchanged'!D139+'CurrentPor-LH=10 unchanged'!G139)/100,2))*100</f>
        <v>9632.6296469016943</v>
      </c>
      <c r="D139">
        <f>(3/(1+('CurrentPor-LH=10 unchanged'!C139+'CurrentPor-LH=10 unchanged'!H139)/100)+103/POWER(1+('CurrentPor-LH=10 unchanged'!D139+'CurrentPor-LH=10 unchanged'!H139)/100,2))*100</f>
        <v>9595.0122954645685</v>
      </c>
      <c r="E139">
        <f>(3/(1+('CurrentPor-LH=10 unchanged'!C139+'CurrentPor-LH=10 unchanged'!I139)/100)+103/POWER(1+('CurrentPor-LH=10 unchanged'!D139+'CurrentPor-LH=10 unchanged'!I139)/100,2))*100</f>
        <v>9594.8104301795502</v>
      </c>
      <c r="F139">
        <f>Portfolio!B$5*'CurrentPor-LH=10 unchanged'!E139</f>
        <v>52143.895533915893</v>
      </c>
      <c r="G139">
        <f>Portfolio!B$6*'CurrentPor-LH=10 unchanged'!F139</f>
        <v>3696.2945087936532</v>
      </c>
      <c r="H139">
        <f>Portfolio!B$7*'CurrentPor-LH=10 unchanged'!J139</f>
        <v>2148.0998964419859</v>
      </c>
      <c r="I139">
        <f t="shared" si="4"/>
        <v>96518.328089126197</v>
      </c>
      <c r="J139">
        <f t="shared" si="3"/>
        <v>32.526285908345017</v>
      </c>
    </row>
    <row r="140" spans="1:10">
      <c r="A140" s="1">
        <v>45665</v>
      </c>
      <c r="B140">
        <f>(3/(1+('CurrentPor-LH=10 unchanged'!C140)/100)+103/POWER(1+('CurrentPor-LH=10 unchanged'!D140)/100,2))*100</f>
        <v>9707.5857774288397</v>
      </c>
      <c r="C140">
        <f>(3/(1+('CurrentPor-LH=10 unchanged'!C140+'CurrentPor-LH=10 unchanged'!G140)/100)+103/POWER(1+('CurrentPor-LH=10 unchanged'!D140+'CurrentPor-LH=10 unchanged'!G140)/100,2))*100</f>
        <v>9597.8415303105357</v>
      </c>
      <c r="D140">
        <f>(3/(1+('CurrentPor-LH=10 unchanged'!C140+'CurrentPor-LH=10 unchanged'!H140)/100)+103/POWER(1+('CurrentPor-LH=10 unchanged'!D140+'CurrentPor-LH=10 unchanged'!H140)/100,2))*100</f>
        <v>9610.2706118493825</v>
      </c>
      <c r="E140">
        <f>(3/(1+('CurrentPor-LH=10 unchanged'!C140+'CurrentPor-LH=10 unchanged'!I140)/100)+103/POWER(1+('CurrentPor-LH=10 unchanged'!D140+'CurrentPor-LH=10 unchanged'!I140)/100,2))*100</f>
        <v>9595.037255917945</v>
      </c>
      <c r="F140">
        <f>Portfolio!B$5*'CurrentPor-LH=10 unchanged'!E140</f>
        <v>52143.895533915893</v>
      </c>
      <c r="G140">
        <f>Portfolio!B$6*'CurrentPor-LH=10 unchanged'!F140</f>
        <v>3696.2945087936532</v>
      </c>
      <c r="H140">
        <f>Portfolio!B$7*'CurrentPor-LH=10 unchanged'!J140</f>
        <v>2148.0998964419859</v>
      </c>
      <c r="I140">
        <f t="shared" si="4"/>
        <v>96499.02511465823</v>
      </c>
      <c r="J140">
        <f t="shared" si="3"/>
        <v>0.40784481445734855</v>
      </c>
    </row>
    <row r="141" spans="1:10">
      <c r="A141" s="1">
        <v>45666</v>
      </c>
      <c r="B141">
        <f>(3/(1+('CurrentPor-LH=10 unchanged'!C141)/100)+103/POWER(1+('CurrentPor-LH=10 unchanged'!D141)/100,2))*100</f>
        <v>9707.5857774288397</v>
      </c>
      <c r="C141">
        <f>(3/(1+('CurrentPor-LH=10 unchanged'!C141+'CurrentPor-LH=10 unchanged'!G141)/100)+103/POWER(1+('CurrentPor-LH=10 unchanged'!D141+'CurrentPor-LH=10 unchanged'!G141)/100,2))*100</f>
        <v>9609.6199426934563</v>
      </c>
      <c r="D141">
        <f>(3/(1+('CurrentPor-LH=10 unchanged'!C141+'CurrentPor-LH=10 unchanged'!H141)/100)+103/POWER(1+('CurrentPor-LH=10 unchanged'!D141+'CurrentPor-LH=10 unchanged'!H141)/100,2))*100</f>
        <v>9600.9569611001298</v>
      </c>
      <c r="E141">
        <f>(3/(1+('CurrentPor-LH=10 unchanged'!C141+'CurrentPor-LH=10 unchanged'!I141)/100)+103/POWER(1+('CurrentPor-LH=10 unchanged'!D141+'CurrentPor-LH=10 unchanged'!I141)/100,2))*100</f>
        <v>9582.2471724738989</v>
      </c>
      <c r="F141">
        <f>Portfolio!B$5*'CurrentPor-LH=10 unchanged'!E141</f>
        <v>52143.895533915893</v>
      </c>
      <c r="G141">
        <f>Portfolio!B$6*'CurrentPor-LH=10 unchanged'!F141</f>
        <v>3696.2945087936532</v>
      </c>
      <c r="H141">
        <f>Portfolio!B$7*'CurrentPor-LH=10 unchanged'!J141</f>
        <v>2148.0998964419859</v>
      </c>
      <c r="I141">
        <f t="shared" si="4"/>
        <v>96488.699792847867</v>
      </c>
      <c r="J141">
        <f t="shared" si="3"/>
        <v>-25.790065359091386</v>
      </c>
    </row>
    <row r="142" spans="1:10">
      <c r="A142" s="1">
        <v>45667</v>
      </c>
      <c r="B142">
        <f>(3/(1+('CurrentPor-LH=10 unchanged'!C142)/100)+103/POWER(1+('CurrentPor-LH=10 unchanged'!D142)/100,2))*100</f>
        <v>9707.5857774288397</v>
      </c>
      <c r="C142">
        <f>(3/(1+('CurrentPor-LH=10 unchanged'!C142+'CurrentPor-LH=10 unchanged'!G142)/100)+103/POWER(1+('CurrentPor-LH=10 unchanged'!D142+'CurrentPor-LH=10 unchanged'!G142)/100,2))*100</f>
        <v>9620.4253519279973</v>
      </c>
      <c r="D142">
        <f>(3/(1+('CurrentPor-LH=10 unchanged'!C142+'CurrentPor-LH=10 unchanged'!H142)/100)+103/POWER(1+('CurrentPor-LH=10 unchanged'!D142+'CurrentPor-LH=10 unchanged'!H142)/100,2))*100</f>
        <v>9580.7778046094209</v>
      </c>
      <c r="E142">
        <f>(3/(1+('CurrentPor-LH=10 unchanged'!C142+'CurrentPor-LH=10 unchanged'!I142)/100)+103/POWER(1+('CurrentPor-LH=10 unchanged'!D142+'CurrentPor-LH=10 unchanged'!I142)/100,2))*100</f>
        <v>9577.5786590425887</v>
      </c>
      <c r="F142">
        <f>Portfolio!B$5*'CurrentPor-LH=10 unchanged'!E142</f>
        <v>52143.895533915893</v>
      </c>
      <c r="G142">
        <f>Portfolio!B$6*'CurrentPor-LH=10 unchanged'!F142</f>
        <v>3696.2945087936532</v>
      </c>
      <c r="H142">
        <f>Portfolio!B$7*'CurrentPor-LH=10 unchanged'!J142</f>
        <v>2148.0998964419859</v>
      </c>
      <c r="I142">
        <f t="shared" si="4"/>
        <v>96474.657532160389</v>
      </c>
      <c r="J142">
        <f t="shared" ref="J142:J205" si="5">I142-I132</f>
        <v>-8.6334417174512055</v>
      </c>
    </row>
    <row r="143" spans="1:10">
      <c r="A143" s="1">
        <v>45670</v>
      </c>
      <c r="B143">
        <f>(3/(1+('CurrentPor-LH=10 unchanged'!C143)/100)+103/POWER(1+('CurrentPor-LH=10 unchanged'!D143)/100,2))*100</f>
        <v>9707.5857774288397</v>
      </c>
      <c r="C143">
        <f>(3/(1+('CurrentPor-LH=10 unchanged'!C143+'CurrentPor-LH=10 unchanged'!G143)/100)+103/POWER(1+('CurrentPor-LH=10 unchanged'!D143+'CurrentPor-LH=10 unchanged'!G143)/100,2))*100</f>
        <v>9616.0910641834271</v>
      </c>
      <c r="D143">
        <f>(3/(1+('CurrentPor-LH=10 unchanged'!C143+'CurrentPor-LH=10 unchanged'!H143)/100)+103/POWER(1+('CurrentPor-LH=10 unchanged'!D143+'CurrentPor-LH=10 unchanged'!H143)/100,2))*100</f>
        <v>9593.1280668532836</v>
      </c>
      <c r="E143">
        <f>(3/(1+('CurrentPor-LH=10 unchanged'!C143+'CurrentPor-LH=10 unchanged'!I143)/100)+103/POWER(1+('CurrentPor-LH=10 unchanged'!D143+'CurrentPor-LH=10 unchanged'!I143)/100,2))*100</f>
        <v>9598.5309280284091</v>
      </c>
      <c r="F143">
        <f>Portfolio!B$5*'CurrentPor-LH=10 unchanged'!E143</f>
        <v>52143.895533915893</v>
      </c>
      <c r="G143">
        <f>Portfolio!B$6*'CurrentPor-LH=10 unchanged'!F143</f>
        <v>3696.2945087936532</v>
      </c>
      <c r="H143">
        <f>Portfolio!B$7*'CurrentPor-LH=10 unchanged'!J143</f>
        <v>2148.0998964419859</v>
      </c>
      <c r="I143">
        <f t="shared" si="4"/>
        <v>96503.625775645502</v>
      </c>
      <c r="J143">
        <f t="shared" si="5"/>
        <v>0.16174454829888418</v>
      </c>
    </row>
    <row r="144" spans="1:10">
      <c r="A144" s="1">
        <v>45671</v>
      </c>
      <c r="B144">
        <f>(3/(1+('CurrentPor-LH=10 unchanged'!C144)/100)+103/POWER(1+('CurrentPor-LH=10 unchanged'!D144)/100,2))*100</f>
        <v>9707.5857774288397</v>
      </c>
      <c r="C144">
        <f>(3/(1+('CurrentPor-LH=10 unchanged'!C144+'CurrentPor-LH=10 unchanged'!G144)/100)+103/POWER(1+('CurrentPor-LH=10 unchanged'!D144+'CurrentPor-LH=10 unchanged'!G144)/100,2))*100</f>
        <v>9605.6962293456527</v>
      </c>
      <c r="D144">
        <f>(3/(1+('CurrentPor-LH=10 unchanged'!C144+'CurrentPor-LH=10 unchanged'!H144)/100)+103/POWER(1+('CurrentPor-LH=10 unchanged'!D144+'CurrentPor-LH=10 unchanged'!H144)/100,2))*100</f>
        <v>9599.2502015854407</v>
      </c>
      <c r="E144">
        <f>(3/(1+('CurrentPor-LH=10 unchanged'!C144+'CurrentPor-LH=10 unchanged'!I144)/100)+103/POWER(1+('CurrentPor-LH=10 unchanged'!D144+'CurrentPor-LH=10 unchanged'!I144)/100,2))*100</f>
        <v>9598.2714481066359</v>
      </c>
      <c r="F144">
        <f>Portfolio!B$5*'CurrentPor-LH=10 unchanged'!E144</f>
        <v>52143.895533915893</v>
      </c>
      <c r="G144">
        <f>Portfolio!B$6*'CurrentPor-LH=10 unchanged'!F144</f>
        <v>3696.2945087936532</v>
      </c>
      <c r="H144">
        <f>Portfolio!B$7*'CurrentPor-LH=10 unchanged'!J144</f>
        <v>2148.0998964419859</v>
      </c>
      <c r="I144">
        <f t="shared" si="4"/>
        <v>96499.093595618106</v>
      </c>
      <c r="J144">
        <f t="shared" si="5"/>
        <v>-1.0275654739234596</v>
      </c>
    </row>
    <row r="145" spans="1:10">
      <c r="A145" s="1">
        <v>45672</v>
      </c>
      <c r="B145">
        <f>(3/(1+('CurrentPor-LH=10 unchanged'!C145)/100)+103/POWER(1+('CurrentPor-LH=10 unchanged'!D145)/100,2))*100</f>
        <v>9707.5857774288397</v>
      </c>
      <c r="C145">
        <f>(3/(1+('CurrentPor-LH=10 unchanged'!C145+'CurrentPor-LH=10 unchanged'!G145)/100)+103/POWER(1+('CurrentPor-LH=10 unchanged'!D145+'CurrentPor-LH=10 unchanged'!G145)/100,2))*100</f>
        <v>9591.9834425782265</v>
      </c>
      <c r="D145">
        <f>(3/(1+('CurrentPor-LH=10 unchanged'!C145+'CurrentPor-LH=10 unchanged'!H145)/100)+103/POWER(1+('CurrentPor-LH=10 unchanged'!D145+'CurrentPor-LH=10 unchanged'!H145)/100,2))*100</f>
        <v>9577.8505225995959</v>
      </c>
      <c r="E145">
        <f>(3/(1+('CurrentPor-LH=10 unchanged'!C145+'CurrentPor-LH=10 unchanged'!I145)/100)+103/POWER(1+('CurrentPor-LH=10 unchanged'!D145+'CurrentPor-LH=10 unchanged'!I145)/100,2))*100</f>
        <v>9598.2653176076547</v>
      </c>
      <c r="F145">
        <f>Portfolio!B$5*'CurrentPor-LH=10 unchanged'!E145</f>
        <v>52143.895533915893</v>
      </c>
      <c r="G145">
        <f>Portfolio!B$6*'CurrentPor-LH=10 unchanged'!F145</f>
        <v>3696.2945087936532</v>
      </c>
      <c r="H145">
        <f>Portfolio!B$7*'CurrentPor-LH=10 unchanged'!J145</f>
        <v>2148.0998964419859</v>
      </c>
      <c r="I145">
        <f t="shared" si="4"/>
        <v>96463.974999365848</v>
      </c>
      <c r="J145">
        <f t="shared" si="5"/>
        <v>2.0762130826187786</v>
      </c>
    </row>
    <row r="146" spans="1:10">
      <c r="A146" s="1">
        <v>45673</v>
      </c>
      <c r="B146">
        <f>(3/(1+('CurrentPor-LH=10 unchanged'!C146)/100)+103/POWER(1+('CurrentPor-LH=10 unchanged'!D146)/100,2))*100</f>
        <v>9707.5857774288397</v>
      </c>
      <c r="C146">
        <f>(3/(1+('CurrentPor-LH=10 unchanged'!C146+'CurrentPor-LH=10 unchanged'!G146)/100)+103/POWER(1+('CurrentPor-LH=10 unchanged'!D146+'CurrentPor-LH=10 unchanged'!G146)/100,2))*100</f>
        <v>9603.6446174654557</v>
      </c>
      <c r="D146">
        <f>(3/(1+('CurrentPor-LH=10 unchanged'!C146+'CurrentPor-LH=10 unchanged'!H146)/100)+103/POWER(1+('CurrentPor-LH=10 unchanged'!D146+'CurrentPor-LH=10 unchanged'!H146)/100,2))*100</f>
        <v>9598.0650175526116</v>
      </c>
      <c r="E146">
        <f>(3/(1+('CurrentPor-LH=10 unchanged'!C146+'CurrentPor-LH=10 unchanged'!I146)/100)+103/POWER(1+('CurrentPor-LH=10 unchanged'!D146+'CurrentPor-LH=10 unchanged'!I146)/100,2))*100</f>
        <v>9582.2740235077454</v>
      </c>
      <c r="F146">
        <f>Portfolio!B$5*'CurrentPor-LH=10 unchanged'!E146</f>
        <v>52143.895533915893</v>
      </c>
      <c r="G146">
        <f>Portfolio!B$6*'CurrentPor-LH=10 unchanged'!F146</f>
        <v>3696.2945087936532</v>
      </c>
      <c r="H146">
        <f>Portfolio!B$7*'CurrentPor-LH=10 unchanged'!J146</f>
        <v>2148.0998964419859</v>
      </c>
      <c r="I146">
        <f t="shared" si="4"/>
        <v>96479.859375106185</v>
      </c>
      <c r="J146">
        <f t="shared" si="5"/>
        <v>4.1478606347227469</v>
      </c>
    </row>
    <row r="147" spans="1:10">
      <c r="A147" s="1">
        <v>45674</v>
      </c>
      <c r="B147">
        <f>(3/(1+('CurrentPor-LH=10 unchanged'!C147)/100)+103/POWER(1+('CurrentPor-LH=10 unchanged'!D147)/100,2))*100</f>
        <v>9707.5857774288397</v>
      </c>
      <c r="C147">
        <f>(3/(1+('CurrentPor-LH=10 unchanged'!C147+'CurrentPor-LH=10 unchanged'!G147)/100)+103/POWER(1+('CurrentPor-LH=10 unchanged'!D147+'CurrentPor-LH=10 unchanged'!G147)/100,2))*100</f>
        <v>9632.8020474033674</v>
      </c>
      <c r="D147">
        <f>(3/(1+('CurrentPor-LH=10 unchanged'!C147+'CurrentPor-LH=10 unchanged'!H147)/100)+103/POWER(1+('CurrentPor-LH=10 unchanged'!D147+'CurrentPor-LH=10 unchanged'!H147)/100,2))*100</f>
        <v>9614.1664743669025</v>
      </c>
      <c r="E147">
        <f>(3/(1+('CurrentPor-LH=10 unchanged'!C147+'CurrentPor-LH=10 unchanged'!I147)/100)+103/POWER(1+('CurrentPor-LH=10 unchanged'!D147+'CurrentPor-LH=10 unchanged'!I147)/100,2))*100</f>
        <v>9573.7645674310497</v>
      </c>
      <c r="F147">
        <f>Portfolio!B$5*'CurrentPor-LH=10 unchanged'!E147</f>
        <v>52143.895533915893</v>
      </c>
      <c r="G147">
        <f>Portfolio!B$6*'CurrentPor-LH=10 unchanged'!F147</f>
        <v>3696.2945087936532</v>
      </c>
      <c r="H147">
        <f>Portfolio!B$7*'CurrentPor-LH=10 unchanged'!J147</f>
        <v>2148.0998964419859</v>
      </c>
      <c r="I147">
        <f t="shared" si="4"/>
        <v>96516.608805781681</v>
      </c>
      <c r="J147">
        <f t="shared" si="5"/>
        <v>13.85627162604942</v>
      </c>
    </row>
    <row r="148" spans="1:10">
      <c r="A148" s="1">
        <v>45677</v>
      </c>
      <c r="B148">
        <f>(3/(1+('CurrentPor-LH=10 unchanged'!C148)/100)+103/POWER(1+('CurrentPor-LH=10 unchanged'!D148)/100,2))*100</f>
        <v>9707.5857774288397</v>
      </c>
      <c r="C148">
        <f>(3/(1+('CurrentPor-LH=10 unchanged'!C148+'CurrentPor-LH=10 unchanged'!G148)/100)+103/POWER(1+('CurrentPor-LH=10 unchanged'!D148+'CurrentPor-LH=10 unchanged'!G148)/100,2))*100</f>
        <v>9624.170438023044</v>
      </c>
      <c r="D148">
        <f>(3/(1+('CurrentPor-LH=10 unchanged'!C148+'CurrentPor-LH=10 unchanged'!H148)/100)+103/POWER(1+('CurrentPor-LH=10 unchanged'!D148+'CurrentPor-LH=10 unchanged'!H148)/100,2))*100</f>
        <v>9611.0422053074926</v>
      </c>
      <c r="E148">
        <f>(3/(1+('CurrentPor-LH=10 unchanged'!C148+'CurrentPor-LH=10 unchanged'!I148)/100)+103/POWER(1+('CurrentPor-LH=10 unchanged'!D148+'CurrentPor-LH=10 unchanged'!I148)/100,2))*100</f>
        <v>9583.2620962486326</v>
      </c>
      <c r="F148">
        <f>Portfolio!B$5*'CurrentPor-LH=10 unchanged'!E148</f>
        <v>52143.895533915893</v>
      </c>
      <c r="G148">
        <f>Portfolio!B$6*'CurrentPor-LH=10 unchanged'!F148</f>
        <v>3696.2945087936532</v>
      </c>
      <c r="H148">
        <f>Portfolio!B$7*'CurrentPor-LH=10 unchanged'!J148</f>
        <v>2148.0998964419859</v>
      </c>
      <c r="I148">
        <f t="shared" si="4"/>
        <v>96514.350456159547</v>
      </c>
      <c r="J148">
        <f t="shared" si="5"/>
        <v>18.469153265861678</v>
      </c>
    </row>
    <row r="149" spans="1:10">
      <c r="A149" s="1">
        <v>45678</v>
      </c>
      <c r="B149">
        <f>(3/(1+('CurrentPor-LH=10 unchanged'!C149)/100)+103/POWER(1+('CurrentPor-LH=10 unchanged'!D149)/100,2))*100</f>
        <v>9707.5857774288397</v>
      </c>
      <c r="C149">
        <f>(3/(1+('CurrentPor-LH=10 unchanged'!C149+'CurrentPor-LH=10 unchanged'!G149)/100)+103/POWER(1+('CurrentPor-LH=10 unchanged'!D149+'CurrentPor-LH=10 unchanged'!G149)/100,2))*100</f>
        <v>9599.7919586061653</v>
      </c>
      <c r="D149">
        <f>(3/(1+('CurrentPor-LH=10 unchanged'!C149+'CurrentPor-LH=10 unchanged'!H149)/100)+103/POWER(1+('CurrentPor-LH=10 unchanged'!D149+'CurrentPor-LH=10 unchanged'!H149)/100,2))*100</f>
        <v>9607.1387008109305</v>
      </c>
      <c r="E149">
        <f>(3/(1+('CurrentPor-LH=10 unchanged'!C149+'CurrentPor-LH=10 unchanged'!I149)/100)+103/POWER(1+('CurrentPor-LH=10 unchanged'!D149+'CurrentPor-LH=10 unchanged'!I149)/100,2))*100</f>
        <v>9561.8764688494157</v>
      </c>
      <c r="F149">
        <f>Portfolio!B$5*'CurrentPor-LH=10 unchanged'!E149</f>
        <v>52143.895533915893</v>
      </c>
      <c r="G149">
        <f>Portfolio!B$6*'CurrentPor-LH=10 unchanged'!F149</f>
        <v>3696.2945087936532</v>
      </c>
      <c r="H149">
        <f>Portfolio!B$7*'CurrentPor-LH=10 unchanged'!J149</f>
        <v>2148.0998964419859</v>
      </c>
      <c r="I149">
        <f t="shared" si="4"/>
        <v>96464.682844846873</v>
      </c>
      <c r="J149">
        <f t="shared" si="5"/>
        <v>-53.645244279323379</v>
      </c>
    </row>
    <row r="150" spans="1:10">
      <c r="A150" s="1">
        <v>45679</v>
      </c>
      <c r="B150">
        <f>(3/(1+('CurrentPor-LH=10 unchanged'!C150)/100)+103/POWER(1+('CurrentPor-LH=10 unchanged'!D150)/100,2))*100</f>
        <v>9707.5857774288397</v>
      </c>
      <c r="C150">
        <f>(3/(1+('CurrentPor-LH=10 unchanged'!C150+'CurrentPor-LH=10 unchanged'!G150)/100)+103/POWER(1+('CurrentPor-LH=10 unchanged'!D150+'CurrentPor-LH=10 unchanged'!G150)/100,2))*100</f>
        <v>9596.8288317644474</v>
      </c>
      <c r="D150">
        <f>(3/(1+('CurrentPor-LH=10 unchanged'!C150+'CurrentPor-LH=10 unchanged'!H150)/100)+103/POWER(1+('CurrentPor-LH=10 unchanged'!D150+'CurrentPor-LH=10 unchanged'!H150)/100,2))*100</f>
        <v>9595.3363631587381</v>
      </c>
      <c r="E150">
        <f>(3/(1+('CurrentPor-LH=10 unchanged'!C150+'CurrentPor-LH=10 unchanged'!I150)/100)+103/POWER(1+('CurrentPor-LH=10 unchanged'!D150+'CurrentPor-LH=10 unchanged'!I150)/100,2))*100</f>
        <v>9604.79804415326</v>
      </c>
      <c r="F150">
        <f>Portfolio!B$5*'CurrentPor-LH=10 unchanged'!E150</f>
        <v>52143.895533915893</v>
      </c>
      <c r="G150">
        <f>Portfolio!B$6*'CurrentPor-LH=10 unchanged'!F150</f>
        <v>3696.2945087936532</v>
      </c>
      <c r="H150">
        <f>Portfolio!B$7*'CurrentPor-LH=10 unchanged'!J150</f>
        <v>2148.0998964419859</v>
      </c>
      <c r="I150">
        <f t="shared" si="4"/>
        <v>96492.838955656815</v>
      </c>
      <c r="J150">
        <f t="shared" si="5"/>
        <v>-6.1861590014159447</v>
      </c>
    </row>
    <row r="151" spans="1:10">
      <c r="A151" s="1">
        <v>45680</v>
      </c>
      <c r="B151">
        <f>(3/(1+('CurrentPor-LH=10 unchanged'!C151)/100)+103/POWER(1+('CurrentPor-LH=10 unchanged'!D151)/100,2))*100</f>
        <v>9707.5857774288397</v>
      </c>
      <c r="C151">
        <f>(3/(1+('CurrentPor-LH=10 unchanged'!C151+'CurrentPor-LH=10 unchanged'!G151)/100)+103/POWER(1+('CurrentPor-LH=10 unchanged'!D151+'CurrentPor-LH=10 unchanged'!G151)/100,2))*100</f>
        <v>9624.8026202562251</v>
      </c>
      <c r="D151">
        <f>(3/(1+('CurrentPor-LH=10 unchanged'!C151+'CurrentPor-LH=10 unchanged'!H151)/100)+103/POWER(1+('CurrentPor-LH=10 unchanged'!D151+'CurrentPor-LH=10 unchanged'!H151)/100,2))*100</f>
        <v>9590.2177654821935</v>
      </c>
      <c r="E151">
        <f>(3/(1+('CurrentPor-LH=10 unchanged'!C151+'CurrentPor-LH=10 unchanged'!I151)/100)+103/POWER(1+('CurrentPor-LH=10 unchanged'!D151+'CurrentPor-LH=10 unchanged'!I151)/100,2))*100</f>
        <v>9593.6753871116944</v>
      </c>
      <c r="F151">
        <f>Portfolio!B$5*'CurrentPor-LH=10 unchanged'!E151</f>
        <v>52143.895533915893</v>
      </c>
      <c r="G151">
        <f>Portfolio!B$6*'CurrentPor-LH=10 unchanged'!F151</f>
        <v>3696.2945087936532</v>
      </c>
      <c r="H151">
        <f>Portfolio!B$7*'CurrentPor-LH=10 unchanged'!J151</f>
        <v>2148.0998964419859</v>
      </c>
      <c r="I151">
        <f t="shared" si="4"/>
        <v>96504.571489430484</v>
      </c>
      <c r="J151">
        <f t="shared" si="5"/>
        <v>15.871696582617005</v>
      </c>
    </row>
    <row r="152" spans="1:10">
      <c r="A152" s="1">
        <v>45681</v>
      </c>
      <c r="B152">
        <f>(3/(1+('CurrentPor-LH=10 unchanged'!C152)/100)+103/POWER(1+('CurrentPor-LH=10 unchanged'!D152)/100,2))*100</f>
        <v>9707.5857774288397</v>
      </c>
      <c r="C152">
        <f>(3/(1+('CurrentPor-LH=10 unchanged'!C152+'CurrentPor-LH=10 unchanged'!G152)/100)+103/POWER(1+('CurrentPor-LH=10 unchanged'!D152+'CurrentPor-LH=10 unchanged'!G152)/100,2))*100</f>
        <v>9607.5473767451494</v>
      </c>
      <c r="D152">
        <f>(3/(1+('CurrentPor-LH=10 unchanged'!C152+'CurrentPor-LH=10 unchanged'!H152)/100)+103/POWER(1+('CurrentPor-LH=10 unchanged'!D152+'CurrentPor-LH=10 unchanged'!H152)/100,2))*100</f>
        <v>9593.4059629929925</v>
      </c>
      <c r="E152">
        <f>(3/(1+('CurrentPor-LH=10 unchanged'!C152+'CurrentPor-LH=10 unchanged'!I152)/100)+103/POWER(1+('CurrentPor-LH=10 unchanged'!D152+'CurrentPor-LH=10 unchanged'!I152)/100,2))*100</f>
        <v>9585.0051987282932</v>
      </c>
      <c r="F152">
        <f>Portfolio!B$5*'CurrentPor-LH=10 unchanged'!E152</f>
        <v>52143.895533915893</v>
      </c>
      <c r="G152">
        <f>Portfolio!B$6*'CurrentPor-LH=10 unchanged'!F152</f>
        <v>3696.2945087936532</v>
      </c>
      <c r="H152">
        <f>Portfolio!B$7*'CurrentPor-LH=10 unchanged'!J152</f>
        <v>2148.0998964419859</v>
      </c>
      <c r="I152">
        <f t="shared" si="4"/>
        <v>96481.834255046808</v>
      </c>
      <c r="J152">
        <f t="shared" si="5"/>
        <v>7.1767228864191566</v>
      </c>
    </row>
    <row r="153" spans="1:10">
      <c r="A153" s="1">
        <v>45684</v>
      </c>
      <c r="B153">
        <f>(3/(1+('CurrentPor-LH=10 unchanged'!C153)/100)+103/POWER(1+('CurrentPor-LH=10 unchanged'!D153)/100,2))*100</f>
        <v>9707.5857774288397</v>
      </c>
      <c r="C153">
        <f>(3/(1+('CurrentPor-LH=10 unchanged'!C153+'CurrentPor-LH=10 unchanged'!G153)/100)+103/POWER(1+('CurrentPor-LH=10 unchanged'!D153+'CurrentPor-LH=10 unchanged'!G153)/100,2))*100</f>
        <v>9620.604888744072</v>
      </c>
      <c r="D153">
        <f>(3/(1+('CurrentPor-LH=10 unchanged'!C153+'CurrentPor-LH=10 unchanged'!H153)/100)+103/POWER(1+('CurrentPor-LH=10 unchanged'!D153+'CurrentPor-LH=10 unchanged'!H153)/100,2))*100</f>
        <v>9598.4936760508135</v>
      </c>
      <c r="E153">
        <f>(3/(1+('CurrentPor-LH=10 unchanged'!C153+'CurrentPor-LH=10 unchanged'!I153)/100)+103/POWER(1+('CurrentPor-LH=10 unchanged'!D153+'CurrentPor-LH=10 unchanged'!I153)/100,2))*100</f>
        <v>9601.8794634695678</v>
      </c>
      <c r="F153">
        <f>Portfolio!B$5*'CurrentPor-LH=10 unchanged'!E153</f>
        <v>52143.895533915893</v>
      </c>
      <c r="G153">
        <f>Portfolio!B$6*'CurrentPor-LH=10 unchanged'!F153</f>
        <v>3696.2945087936532</v>
      </c>
      <c r="H153">
        <f>Portfolio!B$7*'CurrentPor-LH=10 unchanged'!J153</f>
        <v>2148.0998964419859</v>
      </c>
      <c r="I153">
        <f t="shared" si="4"/>
        <v>96516.853744844833</v>
      </c>
      <c r="J153">
        <f t="shared" si="5"/>
        <v>13.22796919933171</v>
      </c>
    </row>
    <row r="154" spans="1:10">
      <c r="A154" s="1">
        <v>45685</v>
      </c>
      <c r="B154">
        <f>(3/(1+('CurrentPor-LH=10 unchanged'!C154)/100)+103/POWER(1+('CurrentPor-LH=10 unchanged'!D154)/100,2))*100</f>
        <v>9707.5857774288397</v>
      </c>
      <c r="C154">
        <f>(3/(1+('CurrentPor-LH=10 unchanged'!C154+'CurrentPor-LH=10 unchanged'!G154)/100)+103/POWER(1+('CurrentPor-LH=10 unchanged'!D154+'CurrentPor-LH=10 unchanged'!G154)/100,2))*100</f>
        <v>9627.3773682386836</v>
      </c>
      <c r="D154">
        <f>(3/(1+('CurrentPor-LH=10 unchanged'!C154+'CurrentPor-LH=10 unchanged'!H154)/100)+103/POWER(1+('CurrentPor-LH=10 unchanged'!D154+'CurrentPor-LH=10 unchanged'!H154)/100,2))*100</f>
        <v>9586.2452608971762</v>
      </c>
      <c r="E154">
        <f>(3/(1+('CurrentPor-LH=10 unchanged'!C154+'CurrentPor-LH=10 unchanged'!I154)/100)+103/POWER(1+('CurrentPor-LH=10 unchanged'!D154+'CurrentPor-LH=10 unchanged'!I154)/100,2))*100</f>
        <v>9575.0785028535411</v>
      </c>
      <c r="F154">
        <f>Portfolio!B$5*'CurrentPor-LH=10 unchanged'!E154</f>
        <v>52143.895533915893</v>
      </c>
      <c r="G154">
        <f>Portfolio!B$6*'CurrentPor-LH=10 unchanged'!F154</f>
        <v>3696.2945087936532</v>
      </c>
      <c r="H154">
        <f>Portfolio!B$7*'CurrentPor-LH=10 unchanged'!J154</f>
        <v>2148.0998964419859</v>
      </c>
      <c r="I154">
        <f t="shared" si="4"/>
        <v>96484.576848569777</v>
      </c>
      <c r="J154">
        <f t="shared" si="5"/>
        <v>-14.516747048328398</v>
      </c>
    </row>
    <row r="155" spans="1:10">
      <c r="A155" s="1">
        <v>45686</v>
      </c>
      <c r="B155">
        <f>(3/(1+('CurrentPor-LH=10 unchanged'!C155)/100)+103/POWER(1+('CurrentPor-LH=10 unchanged'!D155)/100,2))*100</f>
        <v>9707.5857774288397</v>
      </c>
      <c r="C155">
        <f>(3/(1+('CurrentPor-LH=10 unchanged'!C155+'CurrentPor-LH=10 unchanged'!G155)/100)+103/POWER(1+('CurrentPor-LH=10 unchanged'!D155+'CurrentPor-LH=10 unchanged'!G155)/100,2))*100</f>
        <v>9599.0088459127328</v>
      </c>
      <c r="D155">
        <f>(3/(1+('CurrentPor-LH=10 unchanged'!C155+'CurrentPor-LH=10 unchanged'!H155)/100)+103/POWER(1+('CurrentPor-LH=10 unchanged'!D155+'CurrentPor-LH=10 unchanged'!H155)/100,2))*100</f>
        <v>9608.8899507807637</v>
      </c>
      <c r="E155">
        <f>(3/(1+('CurrentPor-LH=10 unchanged'!C155+'CurrentPor-LH=10 unchanged'!I155)/100)+103/POWER(1+('CurrentPor-LH=10 unchanged'!D155+'CurrentPor-LH=10 unchanged'!I155)/100,2))*100</f>
        <v>9579.2238093672077</v>
      </c>
      <c r="F155">
        <f>Portfolio!B$5*'CurrentPor-LH=10 unchanged'!E155</f>
        <v>52143.895533915893</v>
      </c>
      <c r="G155">
        <f>Portfolio!B$6*'CurrentPor-LH=10 unchanged'!F155</f>
        <v>3696.2945087936532</v>
      </c>
      <c r="H155">
        <f>Portfolio!B$7*'CurrentPor-LH=10 unchanged'!J155</f>
        <v>2148.0998964419859</v>
      </c>
      <c r="I155">
        <f t="shared" si="4"/>
        <v>96482.998322641084</v>
      </c>
      <c r="J155">
        <f t="shared" si="5"/>
        <v>19.02332327523618</v>
      </c>
    </row>
    <row r="156" spans="1:10">
      <c r="A156" s="1">
        <v>45687</v>
      </c>
      <c r="B156">
        <f>(3/(1+('CurrentPor-LH=10 unchanged'!C156)/100)+103/POWER(1+('CurrentPor-LH=10 unchanged'!D156)/100,2))*100</f>
        <v>9707.5857774288397</v>
      </c>
      <c r="C156">
        <f>(3/(1+('CurrentPor-LH=10 unchanged'!C156+'CurrentPor-LH=10 unchanged'!G156)/100)+103/POWER(1+('CurrentPor-LH=10 unchanged'!D156+'CurrentPor-LH=10 unchanged'!G156)/100,2))*100</f>
        <v>9620.5417530040231</v>
      </c>
      <c r="D156">
        <f>(3/(1+('CurrentPor-LH=10 unchanged'!C156+'CurrentPor-LH=10 unchanged'!H156)/100)+103/POWER(1+('CurrentPor-LH=10 unchanged'!D156+'CurrentPor-LH=10 unchanged'!H156)/100,2))*100</f>
        <v>9606.8894350896953</v>
      </c>
      <c r="E156">
        <f>(3/(1+('CurrentPor-LH=10 unchanged'!C156+'CurrentPor-LH=10 unchanged'!I156)/100)+103/POWER(1+('CurrentPor-LH=10 unchanged'!D156+'CurrentPor-LH=10 unchanged'!I156)/100,2))*100</f>
        <v>9588.2882461911613</v>
      </c>
      <c r="F156">
        <f>Portfolio!B$5*'CurrentPor-LH=10 unchanged'!E156</f>
        <v>52143.895533915893</v>
      </c>
      <c r="G156">
        <f>Portfolio!B$6*'CurrentPor-LH=10 unchanged'!F156</f>
        <v>3696.2945087936532</v>
      </c>
      <c r="H156">
        <f>Portfolio!B$7*'CurrentPor-LH=10 unchanged'!J156</f>
        <v>2148.0998964419859</v>
      </c>
      <c r="I156">
        <f t="shared" si="4"/>
        <v>96511.595150865251</v>
      </c>
      <c r="J156">
        <f t="shared" si="5"/>
        <v>31.735775759065291</v>
      </c>
    </row>
    <row r="157" spans="1:10">
      <c r="A157" s="1">
        <v>45688</v>
      </c>
      <c r="B157">
        <f>(3/(1+('CurrentPor-LH=10 unchanged'!C157)/100)+103/POWER(1+('CurrentPor-LH=10 unchanged'!D157)/100,2))*100</f>
        <v>9707.5857774288397</v>
      </c>
      <c r="C157">
        <f>(3/(1+('CurrentPor-LH=10 unchanged'!C157+'CurrentPor-LH=10 unchanged'!G157)/100)+103/POWER(1+('CurrentPor-LH=10 unchanged'!D157+'CurrentPor-LH=10 unchanged'!G157)/100,2))*100</f>
        <v>9598.806763866136</v>
      </c>
      <c r="D157">
        <f>(3/(1+('CurrentPor-LH=10 unchanged'!C157+'CurrentPor-LH=10 unchanged'!H157)/100)+103/POWER(1+('CurrentPor-LH=10 unchanged'!D157+'CurrentPor-LH=10 unchanged'!H157)/100,2))*100</f>
        <v>9604.1654589247682</v>
      </c>
      <c r="E157">
        <f>(3/(1+('CurrentPor-LH=10 unchanged'!C157+'CurrentPor-LH=10 unchanged'!I157)/100)+103/POWER(1+('CurrentPor-LH=10 unchanged'!D157+'CurrentPor-LH=10 unchanged'!I157)/100,2))*100</f>
        <v>9574.8168682705145</v>
      </c>
      <c r="F157">
        <f>Portfolio!B$5*'CurrentPor-LH=10 unchanged'!E157</f>
        <v>52143.895533915893</v>
      </c>
      <c r="G157">
        <f>Portfolio!B$6*'CurrentPor-LH=10 unchanged'!F157</f>
        <v>3696.2945087936532</v>
      </c>
      <c r="H157">
        <f>Portfolio!B$7*'CurrentPor-LH=10 unchanged'!J157</f>
        <v>2148.0998964419859</v>
      </c>
      <c r="I157">
        <f t="shared" si="4"/>
        <v>96473.664807641791</v>
      </c>
      <c r="J157">
        <f t="shared" si="5"/>
        <v>-42.943998139890027</v>
      </c>
    </row>
    <row r="158" spans="1:10">
      <c r="A158" s="1">
        <v>45691</v>
      </c>
      <c r="B158">
        <f>(3/(1+('CurrentPor-LH=10 unchanged'!C158)/100)+103/POWER(1+('CurrentPor-LH=10 unchanged'!D158)/100,2))*100</f>
        <v>9707.5857774288397</v>
      </c>
      <c r="C158">
        <f>(3/(1+('CurrentPor-LH=10 unchanged'!C158+'CurrentPor-LH=10 unchanged'!G158)/100)+103/POWER(1+('CurrentPor-LH=10 unchanged'!D158+'CurrentPor-LH=10 unchanged'!G158)/100,2))*100</f>
        <v>9607.4613010786834</v>
      </c>
      <c r="D158">
        <f>(3/(1+('CurrentPor-LH=10 unchanged'!C158+'CurrentPor-LH=10 unchanged'!H158)/100)+103/POWER(1+('CurrentPor-LH=10 unchanged'!D158+'CurrentPor-LH=10 unchanged'!H158)/100,2))*100</f>
        <v>9574.9542561372073</v>
      </c>
      <c r="E158">
        <f>(3/(1+('CurrentPor-LH=10 unchanged'!C158+'CurrentPor-LH=10 unchanged'!I158)/100)+103/POWER(1+('CurrentPor-LH=10 unchanged'!D158+'CurrentPor-LH=10 unchanged'!I158)/100,2))*100</f>
        <v>9578.6821202508181</v>
      </c>
      <c r="F158">
        <f>Portfolio!B$5*'CurrentPor-LH=10 unchanged'!E158</f>
        <v>52143.895533915893</v>
      </c>
      <c r="G158">
        <f>Portfolio!B$6*'CurrentPor-LH=10 unchanged'!F158</f>
        <v>3696.2945087936532</v>
      </c>
      <c r="H158">
        <f>Portfolio!B$7*'CurrentPor-LH=10 unchanged'!J158</f>
        <v>2148.0998964419859</v>
      </c>
      <c r="I158">
        <f t="shared" si="4"/>
        <v>96456.973394047076</v>
      </c>
      <c r="J158">
        <f t="shared" si="5"/>
        <v>-57.377062112471322</v>
      </c>
    </row>
    <row r="159" spans="1:10">
      <c r="A159" s="1">
        <v>45692</v>
      </c>
      <c r="B159">
        <f>(3/(1+('CurrentPor-LH=10 unchanged'!C159)/100)+103/POWER(1+('CurrentPor-LH=10 unchanged'!D159)/100,2))*100</f>
        <v>9707.5857774288397</v>
      </c>
      <c r="C159">
        <f>(3/(1+('CurrentPor-LH=10 unchanged'!C159+'CurrentPor-LH=10 unchanged'!G159)/100)+103/POWER(1+('CurrentPor-LH=10 unchanged'!D159+'CurrentPor-LH=10 unchanged'!G159)/100,2))*100</f>
        <v>9602.6273807266443</v>
      </c>
      <c r="D159">
        <f>(3/(1+('CurrentPor-LH=10 unchanged'!C159+'CurrentPor-LH=10 unchanged'!H159)/100)+103/POWER(1+('CurrentPor-LH=10 unchanged'!D159+'CurrentPor-LH=10 unchanged'!H159)/100,2))*100</f>
        <v>9610.9607929832018</v>
      </c>
      <c r="E159">
        <f>(3/(1+('CurrentPor-LH=10 unchanged'!C159+'CurrentPor-LH=10 unchanged'!I159)/100)+103/POWER(1+('CurrentPor-LH=10 unchanged'!D159+'CurrentPor-LH=10 unchanged'!I159)/100,2))*100</f>
        <v>9578.3541301694186</v>
      </c>
      <c r="F159">
        <f>Portfolio!B$5*'CurrentPor-LH=10 unchanged'!E159</f>
        <v>52143.895533915893</v>
      </c>
      <c r="G159">
        <f>Portfolio!B$6*'CurrentPor-LH=10 unchanged'!F159</f>
        <v>3696.2945087936532</v>
      </c>
      <c r="H159">
        <f>Portfolio!B$7*'CurrentPor-LH=10 unchanged'!J159</f>
        <v>2148.0998964419859</v>
      </c>
      <c r="I159">
        <f t="shared" si="4"/>
        <v>96487.818020459628</v>
      </c>
      <c r="J159">
        <f t="shared" si="5"/>
        <v>23.13517561275512</v>
      </c>
    </row>
    <row r="160" spans="1:10">
      <c r="A160" s="1">
        <v>45693</v>
      </c>
      <c r="B160">
        <f>(3/(1+('CurrentPor-LH=10 unchanged'!C160)/100)+103/POWER(1+('CurrentPor-LH=10 unchanged'!D160)/100,2))*100</f>
        <v>9707.5857774288397</v>
      </c>
      <c r="C160">
        <f>(3/(1+('CurrentPor-LH=10 unchanged'!C160+'CurrentPor-LH=10 unchanged'!G160)/100)+103/POWER(1+('CurrentPor-LH=10 unchanged'!D160+'CurrentPor-LH=10 unchanged'!G160)/100,2))*100</f>
        <v>9612.0099071991208</v>
      </c>
      <c r="D160">
        <f>(3/(1+('CurrentPor-LH=10 unchanged'!C160+'CurrentPor-LH=10 unchanged'!H160)/100)+103/POWER(1+('CurrentPor-LH=10 unchanged'!D160+'CurrentPor-LH=10 unchanged'!H160)/100,2))*100</f>
        <v>9588.3272977744127</v>
      </c>
      <c r="E160">
        <f>(3/(1+('CurrentPor-LH=10 unchanged'!C160+'CurrentPor-LH=10 unchanged'!I160)/100)+103/POWER(1+('CurrentPor-LH=10 unchanged'!D160+'CurrentPor-LH=10 unchanged'!I160)/100,2))*100</f>
        <v>9576.8645428300679</v>
      </c>
      <c r="F160">
        <f>Portfolio!B$5*'CurrentPor-LH=10 unchanged'!E160</f>
        <v>52143.895533915893</v>
      </c>
      <c r="G160">
        <f>Portfolio!B$6*'CurrentPor-LH=10 unchanged'!F160</f>
        <v>3696.2945087936532</v>
      </c>
      <c r="H160">
        <f>Portfolio!B$7*'CurrentPor-LH=10 unchanged'!J160</f>
        <v>2148.0998964419859</v>
      </c>
      <c r="I160">
        <f t="shared" si="4"/>
        <v>96473.077464383969</v>
      </c>
      <c r="J160">
        <f t="shared" si="5"/>
        <v>-19.761491272845888</v>
      </c>
    </row>
    <row r="161" spans="1:10">
      <c r="A161" s="1">
        <v>45694</v>
      </c>
      <c r="B161">
        <f>(3/(1+('CurrentPor-LH=10 unchanged'!C161)/100)+103/POWER(1+('CurrentPor-LH=10 unchanged'!D161)/100,2))*100</f>
        <v>9707.5857774288397</v>
      </c>
      <c r="C161">
        <f>(3/(1+('CurrentPor-LH=10 unchanged'!C161+'CurrentPor-LH=10 unchanged'!G161)/100)+103/POWER(1+('CurrentPor-LH=10 unchanged'!D161+'CurrentPor-LH=10 unchanged'!G161)/100,2))*100</f>
        <v>9620.5594224385914</v>
      </c>
      <c r="D161">
        <f>(3/(1+('CurrentPor-LH=10 unchanged'!C161+'CurrentPor-LH=10 unchanged'!H161)/100)+103/POWER(1+('CurrentPor-LH=10 unchanged'!D161+'CurrentPor-LH=10 unchanged'!H161)/100,2))*100</f>
        <v>9596.7892722820907</v>
      </c>
      <c r="E161">
        <f>(3/(1+('CurrentPor-LH=10 unchanged'!C161+'CurrentPor-LH=10 unchanged'!I161)/100)+103/POWER(1+('CurrentPor-LH=10 unchanged'!D161+'CurrentPor-LH=10 unchanged'!I161)/100,2))*100</f>
        <v>9578.2544753178681</v>
      </c>
      <c r="F161">
        <f>Portfolio!B$5*'CurrentPor-LH=10 unchanged'!E161</f>
        <v>52143.895533915893</v>
      </c>
      <c r="G161">
        <f>Portfolio!B$6*'CurrentPor-LH=10 unchanged'!F161</f>
        <v>3696.2945087936532</v>
      </c>
      <c r="H161">
        <f>Portfolio!B$7*'CurrentPor-LH=10 unchanged'!J161</f>
        <v>2148.0998964419859</v>
      </c>
      <c r="I161">
        <f t="shared" si="4"/>
        <v>96491.478886618919</v>
      </c>
      <c r="J161">
        <f t="shared" si="5"/>
        <v>-13.092602811564575</v>
      </c>
    </row>
    <row r="162" spans="1:10">
      <c r="A162" s="1">
        <v>45695</v>
      </c>
      <c r="B162">
        <f>(3/(1+('CurrentPor-LH=10 unchanged'!C162)/100)+103/POWER(1+('CurrentPor-LH=10 unchanged'!D162)/100,2))*100</f>
        <v>9707.5857774288397</v>
      </c>
      <c r="C162">
        <f>(3/(1+('CurrentPor-LH=10 unchanged'!C162+'CurrentPor-LH=10 unchanged'!G162)/100)+103/POWER(1+('CurrentPor-LH=10 unchanged'!D162+'CurrentPor-LH=10 unchanged'!G162)/100,2))*100</f>
        <v>9625.7787994300834</v>
      </c>
      <c r="D162">
        <f>(3/(1+('CurrentPor-LH=10 unchanged'!C162+'CurrentPor-LH=10 unchanged'!H162)/100)+103/POWER(1+('CurrentPor-LH=10 unchanged'!D162+'CurrentPor-LH=10 unchanged'!H162)/100,2))*100</f>
        <v>9593.9799046411517</v>
      </c>
      <c r="E162">
        <f>(3/(1+('CurrentPor-LH=10 unchanged'!C162+'CurrentPor-LH=10 unchanged'!I162)/100)+103/POWER(1+('CurrentPor-LH=10 unchanged'!D162+'CurrentPor-LH=10 unchanged'!I162)/100,2))*100</f>
        <v>9597.7201012021997</v>
      </c>
      <c r="F162">
        <f>Portfolio!B$5*'CurrentPor-LH=10 unchanged'!E162</f>
        <v>52143.895533915893</v>
      </c>
      <c r="G162">
        <f>Portfolio!B$6*'CurrentPor-LH=10 unchanged'!F162</f>
        <v>3696.2945087936532</v>
      </c>
      <c r="H162">
        <f>Portfolio!B$7*'CurrentPor-LH=10 unchanged'!J162</f>
        <v>2148.0998964419859</v>
      </c>
      <c r="I162">
        <f t="shared" si="4"/>
        <v>96513.354521853806</v>
      </c>
      <c r="J162">
        <f t="shared" si="5"/>
        <v>31.520266806997824</v>
      </c>
    </row>
    <row r="163" spans="1:10">
      <c r="A163" s="1">
        <v>45698</v>
      </c>
      <c r="B163">
        <f>(3/(1+('CurrentPor-LH=10 unchanged'!C163)/100)+103/POWER(1+('CurrentPor-LH=10 unchanged'!D163)/100,2))*100</f>
        <v>9707.5857774288397</v>
      </c>
      <c r="C163">
        <f>(3/(1+('CurrentPor-LH=10 unchanged'!C163+'CurrentPor-LH=10 unchanged'!G163)/100)+103/POWER(1+('CurrentPor-LH=10 unchanged'!D163+'CurrentPor-LH=10 unchanged'!G163)/100,2))*100</f>
        <v>9620.8998845404367</v>
      </c>
      <c r="D163">
        <f>(3/(1+('CurrentPor-LH=10 unchanged'!C163+'CurrentPor-LH=10 unchanged'!H163)/100)+103/POWER(1+('CurrentPor-LH=10 unchanged'!D163+'CurrentPor-LH=10 unchanged'!H163)/100,2))*100</f>
        <v>9614.3243230103326</v>
      </c>
      <c r="E163">
        <f>(3/(1+('CurrentPor-LH=10 unchanged'!C163+'CurrentPor-LH=10 unchanged'!I163)/100)+103/POWER(1+('CurrentPor-LH=10 unchanged'!D163+'CurrentPor-LH=10 unchanged'!I163)/100,2))*100</f>
        <v>9607.0845700893678</v>
      </c>
      <c r="F163">
        <f>Portfolio!B$5*'CurrentPor-LH=10 unchanged'!E163</f>
        <v>52143.895533915893</v>
      </c>
      <c r="G163">
        <f>Portfolio!B$6*'CurrentPor-LH=10 unchanged'!F163</f>
        <v>3696.2945087936532</v>
      </c>
      <c r="H163">
        <f>Portfolio!B$7*'CurrentPor-LH=10 unchanged'!J163</f>
        <v>2148.0998964419859</v>
      </c>
      <c r="I163">
        <f t="shared" si="4"/>
        <v>96538.184494220506</v>
      </c>
      <c r="J163">
        <f t="shared" si="5"/>
        <v>21.330749375672895</v>
      </c>
    </row>
    <row r="164" spans="1:10">
      <c r="A164" s="1">
        <v>45699</v>
      </c>
      <c r="B164">
        <f>(3/(1+('CurrentPor-LH=10 unchanged'!C164)/100)+103/POWER(1+('CurrentPor-LH=10 unchanged'!D164)/100,2))*100</f>
        <v>9707.5857774288397</v>
      </c>
      <c r="C164">
        <f>(3/(1+('CurrentPor-LH=10 unchanged'!C164+'CurrentPor-LH=10 unchanged'!G164)/100)+103/POWER(1+('CurrentPor-LH=10 unchanged'!D164+'CurrentPor-LH=10 unchanged'!G164)/100,2))*100</f>
        <v>9616.2801438185779</v>
      </c>
      <c r="D164">
        <f>(3/(1+('CurrentPor-LH=10 unchanged'!C164+'CurrentPor-LH=10 unchanged'!H164)/100)+103/POWER(1+('CurrentPor-LH=10 unchanged'!D164+'CurrentPor-LH=10 unchanged'!H164)/100,2))*100</f>
        <v>9598.2710194588653</v>
      </c>
      <c r="E164">
        <f>(3/(1+('CurrentPor-LH=10 unchanged'!C164+'CurrentPor-LH=10 unchanged'!I164)/100)+103/POWER(1+('CurrentPor-LH=10 unchanged'!D164+'CurrentPor-LH=10 unchanged'!I164)/100,2))*100</f>
        <v>9590.9870337667853</v>
      </c>
      <c r="F164">
        <f>Portfolio!B$5*'CurrentPor-LH=10 unchanged'!E164</f>
        <v>52143.895533915893</v>
      </c>
      <c r="G164">
        <f>Portfolio!B$6*'CurrentPor-LH=10 unchanged'!F164</f>
        <v>3696.2945087936532</v>
      </c>
      <c r="H164">
        <f>Portfolio!B$7*'CurrentPor-LH=10 unchanged'!J164</f>
        <v>2148.0998964419859</v>
      </c>
      <c r="I164">
        <f t="shared" si="4"/>
        <v>96501.413913624609</v>
      </c>
      <c r="J164">
        <f t="shared" si="5"/>
        <v>16.837065054831328</v>
      </c>
    </row>
    <row r="165" spans="1:10">
      <c r="A165" s="1">
        <v>45700</v>
      </c>
      <c r="B165">
        <f>(3/(1+('CurrentPor-LH=10 unchanged'!C165)/100)+103/POWER(1+('CurrentPor-LH=10 unchanged'!D165)/100,2))*100</f>
        <v>9707.5857774288397</v>
      </c>
      <c r="C165">
        <f>(3/(1+('CurrentPor-LH=10 unchanged'!C165+'CurrentPor-LH=10 unchanged'!G165)/100)+103/POWER(1+('CurrentPor-LH=10 unchanged'!D165+'CurrentPor-LH=10 unchanged'!G165)/100,2))*100</f>
        <v>9610.5382216410271</v>
      </c>
      <c r="D165">
        <f>(3/(1+('CurrentPor-LH=10 unchanged'!C165+'CurrentPor-LH=10 unchanged'!H165)/100)+103/POWER(1+('CurrentPor-LH=10 unchanged'!D165+'CurrentPor-LH=10 unchanged'!H165)/100,2))*100</f>
        <v>9592.6322121713474</v>
      </c>
      <c r="E165">
        <f>(3/(1+('CurrentPor-LH=10 unchanged'!C165+'CurrentPor-LH=10 unchanged'!I165)/100)+103/POWER(1+('CurrentPor-LH=10 unchanged'!D165+'CurrentPor-LH=10 unchanged'!I165)/100,2))*100</f>
        <v>9588.3142944193842</v>
      </c>
      <c r="F165">
        <f>Portfolio!B$5*'CurrentPor-LH=10 unchanged'!E165</f>
        <v>52143.895533915893</v>
      </c>
      <c r="G165">
        <f>Portfolio!B$6*'CurrentPor-LH=10 unchanged'!F165</f>
        <v>3696.2945087936532</v>
      </c>
      <c r="H165">
        <f>Portfolio!B$7*'CurrentPor-LH=10 unchanged'!J165</f>
        <v>2148.0998964419859</v>
      </c>
      <c r="I165">
        <f t="shared" si="4"/>
        <v>96487.360444812119</v>
      </c>
      <c r="J165">
        <f t="shared" si="5"/>
        <v>4.3621221710345708</v>
      </c>
    </row>
    <row r="166" spans="1:10">
      <c r="A166" s="1">
        <v>45701</v>
      </c>
      <c r="B166">
        <f>(3/(1+('CurrentPor-LH=10 unchanged'!C166)/100)+103/POWER(1+('CurrentPor-LH=10 unchanged'!D166)/100,2))*100</f>
        <v>9707.5857774288397</v>
      </c>
      <c r="C166">
        <f>(3/(1+('CurrentPor-LH=10 unchanged'!C166+'CurrentPor-LH=10 unchanged'!G166)/100)+103/POWER(1+('CurrentPor-LH=10 unchanged'!D166+'CurrentPor-LH=10 unchanged'!G166)/100,2))*100</f>
        <v>9616.3083129608531</v>
      </c>
      <c r="D166">
        <f>(3/(1+('CurrentPor-LH=10 unchanged'!C166+'CurrentPor-LH=10 unchanged'!H166)/100)+103/POWER(1+('CurrentPor-LH=10 unchanged'!D166+'CurrentPor-LH=10 unchanged'!H166)/100,2))*100</f>
        <v>9612.2962076198528</v>
      </c>
      <c r="E166">
        <f>(3/(1+('CurrentPor-LH=10 unchanged'!C166+'CurrentPor-LH=10 unchanged'!I166)/100)+103/POWER(1+('CurrentPor-LH=10 unchanged'!D166+'CurrentPor-LH=10 unchanged'!I166)/100,2))*100</f>
        <v>9582.5867166866083</v>
      </c>
      <c r="F166">
        <f>Portfolio!B$5*'CurrentPor-LH=10 unchanged'!E166</f>
        <v>52143.895533915893</v>
      </c>
      <c r="G166">
        <f>Portfolio!B$6*'CurrentPor-LH=10 unchanged'!F166</f>
        <v>3696.2945087936532</v>
      </c>
      <c r="H166">
        <f>Portfolio!B$7*'CurrentPor-LH=10 unchanged'!J166</f>
        <v>2148.0998964419859</v>
      </c>
      <c r="I166">
        <f t="shared" si="4"/>
        <v>96507.066953847694</v>
      </c>
      <c r="J166">
        <f t="shared" si="5"/>
        <v>-4.528197017556522</v>
      </c>
    </row>
    <row r="167" spans="1:10">
      <c r="A167" s="1">
        <v>45702</v>
      </c>
      <c r="B167">
        <f>(3/(1+('CurrentPor-LH=10 unchanged'!C167)/100)+103/POWER(1+('CurrentPor-LH=10 unchanged'!D167)/100,2))*100</f>
        <v>9707.5857774288397</v>
      </c>
      <c r="C167">
        <f>(3/(1+('CurrentPor-LH=10 unchanged'!C167+'CurrentPor-LH=10 unchanged'!G167)/100)+103/POWER(1+('CurrentPor-LH=10 unchanged'!D167+'CurrentPor-LH=10 unchanged'!G167)/100,2))*100</f>
        <v>9611.0582943461632</v>
      </c>
      <c r="D167">
        <f>(3/(1+('CurrentPor-LH=10 unchanged'!C167+'CurrentPor-LH=10 unchanged'!H167)/100)+103/POWER(1+('CurrentPor-LH=10 unchanged'!D167+'CurrentPor-LH=10 unchanged'!H167)/100,2))*100</f>
        <v>9595.2910150881671</v>
      </c>
      <c r="E167">
        <f>(3/(1+('CurrentPor-LH=10 unchanged'!C167+'CurrentPor-LH=10 unchanged'!I167)/100)+103/POWER(1+('CurrentPor-LH=10 unchanged'!D167+'CurrentPor-LH=10 unchanged'!I167)/100,2))*100</f>
        <v>9595.0961042987783</v>
      </c>
      <c r="F167">
        <f>Portfolio!B$5*'CurrentPor-LH=10 unchanged'!E167</f>
        <v>52143.895533915893</v>
      </c>
      <c r="G167">
        <f>Portfolio!B$6*'CurrentPor-LH=10 unchanged'!F167</f>
        <v>3696.2945087936532</v>
      </c>
      <c r="H167">
        <f>Portfolio!B$7*'CurrentPor-LH=10 unchanged'!J167</f>
        <v>2148.0998964419859</v>
      </c>
      <c r="I167">
        <f t="shared" si="4"/>
        <v>96497.321130313474</v>
      </c>
      <c r="J167">
        <f t="shared" si="5"/>
        <v>23.656322671682574</v>
      </c>
    </row>
    <row r="168" spans="1:10">
      <c r="A168" s="1">
        <v>45705</v>
      </c>
      <c r="B168">
        <f>(3/(1+('CurrentPor-LH=10 unchanged'!C168)/100)+103/POWER(1+('CurrentPor-LH=10 unchanged'!D168)/100,2))*100</f>
        <v>9707.5857774288397</v>
      </c>
      <c r="C168">
        <f>(3/(1+('CurrentPor-LH=10 unchanged'!C168+'CurrentPor-LH=10 unchanged'!G168)/100)+103/POWER(1+('CurrentPor-LH=10 unchanged'!D168+'CurrentPor-LH=10 unchanged'!G168)/100,2))*100</f>
        <v>9609.8606579564148</v>
      </c>
      <c r="D168">
        <f>(3/(1+('CurrentPor-LH=10 unchanged'!C168+'CurrentPor-LH=10 unchanged'!H168)/100)+103/POWER(1+('CurrentPor-LH=10 unchanged'!D168+'CurrentPor-LH=10 unchanged'!H168)/100,2))*100</f>
        <v>9620.4985225758355</v>
      </c>
      <c r="E168">
        <f>(3/(1+('CurrentPor-LH=10 unchanged'!C168+'CurrentPor-LH=10 unchanged'!I168)/100)+103/POWER(1+('CurrentPor-LH=10 unchanged'!D168+'CurrentPor-LH=10 unchanged'!I168)/100,2))*100</f>
        <v>9566.8403208415184</v>
      </c>
      <c r="F168">
        <f>Portfolio!B$5*'CurrentPor-LH=10 unchanged'!E168</f>
        <v>52143.895533915893</v>
      </c>
      <c r="G168">
        <f>Portfolio!B$6*'CurrentPor-LH=10 unchanged'!F168</f>
        <v>3696.2945087936532</v>
      </c>
      <c r="H168">
        <f>Portfolio!B$7*'CurrentPor-LH=10 unchanged'!J168</f>
        <v>2148.0998964419859</v>
      </c>
      <c r="I168">
        <f t="shared" si="4"/>
        <v>96493.07521795413</v>
      </c>
      <c r="J168">
        <f t="shared" si="5"/>
        <v>36.101823907054495</v>
      </c>
    </row>
    <row r="169" spans="1:10">
      <c r="A169" s="1">
        <v>45706</v>
      </c>
      <c r="B169">
        <f>(3/(1+('CurrentPor-LH=10 unchanged'!C169)/100)+103/POWER(1+('CurrentPor-LH=10 unchanged'!D169)/100,2))*100</f>
        <v>9707.5857774288397</v>
      </c>
      <c r="C169">
        <f>(3/(1+('CurrentPor-LH=10 unchanged'!C169+'CurrentPor-LH=10 unchanged'!G169)/100)+103/POWER(1+('CurrentPor-LH=10 unchanged'!D169+'CurrentPor-LH=10 unchanged'!G169)/100,2))*100</f>
        <v>9600.100891196751</v>
      </c>
      <c r="D169">
        <f>(3/(1+('CurrentPor-LH=10 unchanged'!C169+'CurrentPor-LH=10 unchanged'!H169)/100)+103/POWER(1+('CurrentPor-LH=10 unchanged'!D169+'CurrentPor-LH=10 unchanged'!H169)/100,2))*100</f>
        <v>9599.7481212417733</v>
      </c>
      <c r="E169">
        <f>(3/(1+('CurrentPor-LH=10 unchanged'!C169+'CurrentPor-LH=10 unchanged'!I169)/100)+103/POWER(1+('CurrentPor-LH=10 unchanged'!D169+'CurrentPor-LH=10 unchanged'!I169)/100,2))*100</f>
        <v>9576.81303695118</v>
      </c>
      <c r="F169">
        <f>Portfolio!B$5*'CurrentPor-LH=10 unchanged'!E169</f>
        <v>52143.895533915893</v>
      </c>
      <c r="G169">
        <f>Portfolio!B$6*'CurrentPor-LH=10 unchanged'!F169</f>
        <v>3696.2945087936532</v>
      </c>
      <c r="H169">
        <f>Portfolio!B$7*'CurrentPor-LH=10 unchanged'!J169</f>
        <v>2148.0998964419859</v>
      </c>
      <c r="I169">
        <f t="shared" si="4"/>
        <v>96472.537765970075</v>
      </c>
      <c r="J169">
        <f t="shared" si="5"/>
        <v>-15.280254489553045</v>
      </c>
    </row>
    <row r="170" spans="1:10">
      <c r="A170" s="1">
        <v>45707</v>
      </c>
      <c r="B170">
        <f>(3/(1+('CurrentPor-LH=10 unchanged'!C170)/100)+103/POWER(1+('CurrentPor-LH=10 unchanged'!D170)/100,2))*100</f>
        <v>9707.5857774288397</v>
      </c>
      <c r="C170">
        <f>(3/(1+('CurrentPor-LH=10 unchanged'!C170+'CurrentPor-LH=10 unchanged'!G170)/100)+103/POWER(1+('CurrentPor-LH=10 unchanged'!D170+'CurrentPor-LH=10 unchanged'!G170)/100,2))*100</f>
        <v>9602.5112258327226</v>
      </c>
      <c r="D170">
        <f>(3/(1+('CurrentPor-LH=10 unchanged'!C170+'CurrentPor-LH=10 unchanged'!H170)/100)+103/POWER(1+('CurrentPor-LH=10 unchanged'!D170+'CurrentPor-LH=10 unchanged'!H170)/100,2))*100</f>
        <v>9598.0114325819468</v>
      </c>
      <c r="E170">
        <f>(3/(1+('CurrentPor-LH=10 unchanged'!C170+'CurrentPor-LH=10 unchanged'!I170)/100)+103/POWER(1+('CurrentPor-LH=10 unchanged'!D170+'CurrentPor-LH=10 unchanged'!I170)/100,2))*100</f>
        <v>9571.6787239164696</v>
      </c>
      <c r="F170">
        <f>Portfolio!B$5*'CurrentPor-LH=10 unchanged'!E170</f>
        <v>52143.895533915893</v>
      </c>
      <c r="G170">
        <f>Portfolio!B$6*'CurrentPor-LH=10 unchanged'!F170</f>
        <v>3696.2945087936532</v>
      </c>
      <c r="H170">
        <f>Portfolio!B$7*'CurrentPor-LH=10 unchanged'!J170</f>
        <v>2148.0998964419859</v>
      </c>
      <c r="I170">
        <f t="shared" si="4"/>
        <v>96468.077098911512</v>
      </c>
      <c r="J170">
        <f t="shared" si="5"/>
        <v>-5.000365472456906</v>
      </c>
    </row>
    <row r="171" spans="1:10">
      <c r="A171" s="1">
        <v>45708</v>
      </c>
      <c r="B171">
        <f>(3/(1+('CurrentPor-LH=10 unchanged'!C171)/100)+103/POWER(1+('CurrentPor-LH=10 unchanged'!D171)/100,2))*100</f>
        <v>9707.5857774288397</v>
      </c>
      <c r="C171">
        <f>(3/(1+('CurrentPor-LH=10 unchanged'!C171+'CurrentPor-LH=10 unchanged'!G171)/100)+103/POWER(1+('CurrentPor-LH=10 unchanged'!D171+'CurrentPor-LH=10 unchanged'!G171)/100,2))*100</f>
        <v>9618.2776336149309</v>
      </c>
      <c r="D171">
        <f>(3/(1+('CurrentPor-LH=10 unchanged'!C171+'CurrentPor-LH=10 unchanged'!H171)/100)+103/POWER(1+('CurrentPor-LH=10 unchanged'!D171+'CurrentPor-LH=10 unchanged'!H171)/100,2))*100</f>
        <v>9585.2079079943542</v>
      </c>
      <c r="E171">
        <f>(3/(1+('CurrentPor-LH=10 unchanged'!C171+'CurrentPor-LH=10 unchanged'!I171)/100)+103/POWER(1+('CurrentPor-LH=10 unchanged'!D171+'CurrentPor-LH=10 unchanged'!I171)/100,2))*100</f>
        <v>9578.3234987356172</v>
      </c>
      <c r="F171">
        <f>Portfolio!B$5*'CurrentPor-LH=10 unchanged'!E171</f>
        <v>52143.895533915893</v>
      </c>
      <c r="G171">
        <f>Portfolio!B$6*'CurrentPor-LH=10 unchanged'!F171</f>
        <v>3696.2945087936532</v>
      </c>
      <c r="H171">
        <f>Portfolio!B$7*'CurrentPor-LH=10 unchanged'!J171</f>
        <v>2148.0998964419859</v>
      </c>
      <c r="I171">
        <f t="shared" si="4"/>
        <v>96477.684756925271</v>
      </c>
      <c r="J171">
        <f t="shared" si="5"/>
        <v>-13.794129693647847</v>
      </c>
    </row>
    <row r="172" spans="1:10">
      <c r="A172" s="1">
        <v>45709</v>
      </c>
      <c r="B172">
        <f>(3/(1+('CurrentPor-LH=10 unchanged'!C172)/100)+103/POWER(1+('CurrentPor-LH=10 unchanged'!D172)/100,2))*100</f>
        <v>9707.5857774288397</v>
      </c>
      <c r="C172">
        <f>(3/(1+('CurrentPor-LH=10 unchanged'!C172+'CurrentPor-LH=10 unchanged'!G172)/100)+103/POWER(1+('CurrentPor-LH=10 unchanged'!D172+'CurrentPor-LH=10 unchanged'!G172)/100,2))*100</f>
        <v>9627.129952267429</v>
      </c>
      <c r="D172">
        <f>(3/(1+('CurrentPor-LH=10 unchanged'!C172+'CurrentPor-LH=10 unchanged'!H172)/100)+103/POWER(1+('CurrentPor-LH=10 unchanged'!D172+'CurrentPor-LH=10 unchanged'!H172)/100,2))*100</f>
        <v>9616.8584761855</v>
      </c>
      <c r="E172">
        <f>(3/(1+('CurrentPor-LH=10 unchanged'!C172+'CurrentPor-LH=10 unchanged'!I172)/100)+103/POWER(1+('CurrentPor-LH=10 unchanged'!D172+'CurrentPor-LH=10 unchanged'!I172)/100,2))*100</f>
        <v>9575.9655790757079</v>
      </c>
      <c r="F172">
        <f>Portfolio!B$5*'CurrentPor-LH=10 unchanged'!E172</f>
        <v>52143.895533915893</v>
      </c>
      <c r="G172">
        <f>Portfolio!B$6*'CurrentPor-LH=10 unchanged'!F172</f>
        <v>3696.2945087936532</v>
      </c>
      <c r="H172">
        <f>Portfolio!B$7*'CurrentPor-LH=10 unchanged'!J172</f>
        <v>2148.0998964419859</v>
      </c>
      <c r="I172">
        <f t="shared" si="4"/>
        <v>96515.829724109019</v>
      </c>
      <c r="J172">
        <f t="shared" si="5"/>
        <v>2.4752022552129347</v>
      </c>
    </row>
    <row r="173" spans="1:10">
      <c r="A173" s="1">
        <v>45712</v>
      </c>
      <c r="B173">
        <f>(3/(1+('CurrentPor-LH=10 unchanged'!C173)/100)+103/POWER(1+('CurrentPor-LH=10 unchanged'!D173)/100,2))*100</f>
        <v>9707.5857774288397</v>
      </c>
      <c r="C173">
        <f>(3/(1+('CurrentPor-LH=10 unchanged'!C173+'CurrentPor-LH=10 unchanged'!G173)/100)+103/POWER(1+('CurrentPor-LH=10 unchanged'!D173+'CurrentPor-LH=10 unchanged'!G173)/100,2))*100</f>
        <v>9617.127472882612</v>
      </c>
      <c r="D173">
        <f>(3/(1+('CurrentPor-LH=10 unchanged'!C173+'CurrentPor-LH=10 unchanged'!H173)/100)+103/POWER(1+('CurrentPor-LH=10 unchanged'!D173+'CurrentPor-LH=10 unchanged'!H173)/100,2))*100</f>
        <v>9596.5944240733734</v>
      </c>
      <c r="E173">
        <f>(3/(1+('CurrentPor-LH=10 unchanged'!C173+'CurrentPor-LH=10 unchanged'!I173)/100)+103/POWER(1+('CurrentPor-LH=10 unchanged'!D173+'CurrentPor-LH=10 unchanged'!I173)/100,2))*100</f>
        <v>9594.2164733552054</v>
      </c>
      <c r="F173">
        <f>Portfolio!B$5*'CurrentPor-LH=10 unchanged'!E173</f>
        <v>52143.895533915893</v>
      </c>
      <c r="G173">
        <f>Portfolio!B$6*'CurrentPor-LH=10 unchanged'!F173</f>
        <v>3696.2945087936532</v>
      </c>
      <c r="H173">
        <f>Portfolio!B$7*'CurrentPor-LH=10 unchanged'!J173</f>
        <v>2148.0998964419859</v>
      </c>
      <c r="I173">
        <f t="shared" si="4"/>
        <v>96503.814086891551</v>
      </c>
      <c r="J173">
        <f t="shared" si="5"/>
        <v>-34.37040732895548</v>
      </c>
    </row>
    <row r="174" spans="1:10">
      <c r="A174" s="1">
        <v>45713</v>
      </c>
      <c r="B174">
        <f>(3/(1+('CurrentPor-LH=10 unchanged'!C174)/100)+103/POWER(1+('CurrentPor-LH=10 unchanged'!D174)/100,2))*100</f>
        <v>9707.5857774288397</v>
      </c>
      <c r="C174">
        <f>(3/(1+('CurrentPor-LH=10 unchanged'!C174+'CurrentPor-LH=10 unchanged'!G174)/100)+103/POWER(1+('CurrentPor-LH=10 unchanged'!D174+'CurrentPor-LH=10 unchanged'!G174)/100,2))*100</f>
        <v>9604.5397236708759</v>
      </c>
      <c r="D174">
        <f>(3/(1+('CurrentPor-LH=10 unchanged'!C174+'CurrentPor-LH=10 unchanged'!H174)/100)+103/POWER(1+('CurrentPor-LH=10 unchanged'!D174+'CurrentPor-LH=10 unchanged'!H174)/100,2))*100</f>
        <v>9595.6437700366496</v>
      </c>
      <c r="E174">
        <f>(3/(1+('CurrentPor-LH=10 unchanged'!C174+'CurrentPor-LH=10 unchanged'!I174)/100)+103/POWER(1+('CurrentPor-LH=10 unchanged'!D174+'CurrentPor-LH=10 unchanged'!I174)/100,2))*100</f>
        <v>9593.0224651270892</v>
      </c>
      <c r="F174">
        <f>Portfolio!B$5*'CurrentPor-LH=10 unchanged'!E174</f>
        <v>52143.895533915893</v>
      </c>
      <c r="G174">
        <f>Portfolio!B$6*'CurrentPor-LH=10 unchanged'!F174</f>
        <v>3696.2945087936532</v>
      </c>
      <c r="H174">
        <f>Portfolio!B$7*'CurrentPor-LH=10 unchanged'!J174</f>
        <v>2148.0998964419859</v>
      </c>
      <c r="I174">
        <f t="shared" si="4"/>
        <v>96489.081675414986</v>
      </c>
      <c r="J174">
        <f t="shared" si="5"/>
        <v>-12.332238209623029</v>
      </c>
    </row>
    <row r="175" spans="1:10">
      <c r="A175" s="1">
        <v>45714</v>
      </c>
      <c r="B175">
        <f>(3/(1+('CurrentPor-LH=10 unchanged'!C175)/100)+103/POWER(1+('CurrentPor-LH=10 unchanged'!D175)/100,2))*100</f>
        <v>9707.5857774288397</v>
      </c>
      <c r="C175">
        <f>(3/(1+('CurrentPor-LH=10 unchanged'!C175+'CurrentPor-LH=10 unchanged'!G175)/100)+103/POWER(1+('CurrentPor-LH=10 unchanged'!D175+'CurrentPor-LH=10 unchanged'!G175)/100,2))*100</f>
        <v>9614.6133626899446</v>
      </c>
      <c r="D175">
        <f>(3/(1+('CurrentPor-LH=10 unchanged'!C175+'CurrentPor-LH=10 unchanged'!H175)/100)+103/POWER(1+('CurrentPor-LH=10 unchanged'!D175+'CurrentPor-LH=10 unchanged'!H175)/100,2))*100</f>
        <v>9604.6003057736852</v>
      </c>
      <c r="E175">
        <f>(3/(1+('CurrentPor-LH=10 unchanged'!C175+'CurrentPor-LH=10 unchanged'!I175)/100)+103/POWER(1+('CurrentPor-LH=10 unchanged'!D175+'CurrentPor-LH=10 unchanged'!I175)/100,2))*100</f>
        <v>9585.4037727708328</v>
      </c>
      <c r="F175">
        <f>Portfolio!B$5*'CurrentPor-LH=10 unchanged'!E175</f>
        <v>52143.895533915893</v>
      </c>
      <c r="G175">
        <f>Portfolio!B$6*'CurrentPor-LH=10 unchanged'!F175</f>
        <v>3696.2945087936532</v>
      </c>
      <c r="H175">
        <f>Portfolio!B$7*'CurrentPor-LH=10 unchanged'!J175</f>
        <v>2148.0998964419859</v>
      </c>
      <c r="I175">
        <f t="shared" si="4"/>
        <v>96500.493157814824</v>
      </c>
      <c r="J175">
        <f t="shared" si="5"/>
        <v>13.132713002705714</v>
      </c>
    </row>
    <row r="176" spans="1:10">
      <c r="A176" s="1">
        <v>45715</v>
      </c>
      <c r="B176">
        <f>(3/(1+('CurrentPor-LH=10 unchanged'!C176)/100)+103/POWER(1+('CurrentPor-LH=10 unchanged'!D176)/100,2))*100</f>
        <v>9707.5857774288397</v>
      </c>
      <c r="C176">
        <f>(3/(1+('CurrentPor-LH=10 unchanged'!C176+'CurrentPor-LH=10 unchanged'!G176)/100)+103/POWER(1+('CurrentPor-LH=10 unchanged'!D176+'CurrentPor-LH=10 unchanged'!G176)/100,2))*100</f>
        <v>9624.4619066379946</v>
      </c>
      <c r="D176">
        <f>(3/(1+('CurrentPor-LH=10 unchanged'!C176+'CurrentPor-LH=10 unchanged'!H176)/100)+103/POWER(1+('CurrentPor-LH=10 unchanged'!D176+'CurrentPor-LH=10 unchanged'!H176)/100,2))*100</f>
        <v>9600.2148735667179</v>
      </c>
      <c r="E176">
        <f>(3/(1+('CurrentPor-LH=10 unchanged'!C176+'CurrentPor-LH=10 unchanged'!I176)/100)+103/POWER(1+('CurrentPor-LH=10 unchanged'!D176+'CurrentPor-LH=10 unchanged'!I176)/100,2))*100</f>
        <v>9575.3527144044619</v>
      </c>
      <c r="F176">
        <f>Portfolio!B$5*'CurrentPor-LH=10 unchanged'!E176</f>
        <v>52143.895533915893</v>
      </c>
      <c r="G176">
        <f>Portfolio!B$6*'CurrentPor-LH=10 unchanged'!F176</f>
        <v>3696.2945087936532</v>
      </c>
      <c r="H176">
        <f>Portfolio!B$7*'CurrentPor-LH=10 unchanged'!J176</f>
        <v>2148.0998964419859</v>
      </c>
      <c r="I176">
        <f t="shared" si="4"/>
        <v>96495.905211189543</v>
      </c>
      <c r="J176">
        <f t="shared" si="5"/>
        <v>-11.161742658150615</v>
      </c>
    </row>
    <row r="177" spans="1:10">
      <c r="A177" s="1">
        <v>45716</v>
      </c>
      <c r="B177">
        <f>(3/(1+('CurrentPor-LH=10 unchanged'!C177)/100)+103/POWER(1+('CurrentPor-LH=10 unchanged'!D177)/100,2))*100</f>
        <v>9707.5857774288397</v>
      </c>
      <c r="C177">
        <f>(3/(1+('CurrentPor-LH=10 unchanged'!C177+'CurrentPor-LH=10 unchanged'!G177)/100)+103/POWER(1+('CurrentPor-LH=10 unchanged'!D177+'CurrentPor-LH=10 unchanged'!G177)/100,2))*100</f>
        <v>9615.3472391202995</v>
      </c>
      <c r="D177">
        <f>(3/(1+('CurrentPor-LH=10 unchanged'!C177+'CurrentPor-LH=10 unchanged'!H177)/100)+103/POWER(1+('CurrentPor-LH=10 unchanged'!D177+'CurrentPor-LH=10 unchanged'!H177)/100,2))*100</f>
        <v>9601.3540270927115</v>
      </c>
      <c r="E177">
        <f>(3/(1+('CurrentPor-LH=10 unchanged'!C177+'CurrentPor-LH=10 unchanged'!I177)/100)+103/POWER(1+('CurrentPor-LH=10 unchanged'!D177+'CurrentPor-LH=10 unchanged'!I177)/100,2))*100</f>
        <v>9594.3964790523514</v>
      </c>
      <c r="F177">
        <f>Portfolio!B$5*'CurrentPor-LH=10 unchanged'!E177</f>
        <v>52143.895533915893</v>
      </c>
      <c r="G177">
        <f>Portfolio!B$6*'CurrentPor-LH=10 unchanged'!F177</f>
        <v>3696.2945087936532</v>
      </c>
      <c r="H177">
        <f>Portfolio!B$7*'CurrentPor-LH=10 unchanged'!J177</f>
        <v>2148.0998964419859</v>
      </c>
      <c r="I177">
        <f t="shared" si="4"/>
        <v>96506.97346184573</v>
      </c>
      <c r="J177">
        <f t="shared" si="5"/>
        <v>9.65233153225563</v>
      </c>
    </row>
    <row r="178" spans="1:10">
      <c r="A178" s="1">
        <v>45719</v>
      </c>
      <c r="B178">
        <f>(3/(1+('CurrentPor-LH=10 unchanged'!C178)/100)+103/POWER(1+('CurrentPor-LH=10 unchanged'!D178)/100,2))*100</f>
        <v>9707.5857774288397</v>
      </c>
      <c r="C178">
        <f>(3/(1+('CurrentPor-LH=10 unchanged'!C178+'CurrentPor-LH=10 unchanged'!G178)/100)+103/POWER(1+('CurrentPor-LH=10 unchanged'!D178+'CurrentPor-LH=10 unchanged'!G178)/100,2))*100</f>
        <v>9596.370829357038</v>
      </c>
      <c r="D178">
        <f>(3/(1+('CurrentPor-LH=10 unchanged'!C178+'CurrentPor-LH=10 unchanged'!H178)/100)+103/POWER(1+('CurrentPor-LH=10 unchanged'!D178+'CurrentPor-LH=10 unchanged'!H178)/100,2))*100</f>
        <v>9576.3604800386202</v>
      </c>
      <c r="E178">
        <f>(3/(1+('CurrentPor-LH=10 unchanged'!C178+'CurrentPor-LH=10 unchanged'!I178)/100)+103/POWER(1+('CurrentPor-LH=10 unchanged'!D178+'CurrentPor-LH=10 unchanged'!I178)/100,2))*100</f>
        <v>9585.3651443867329</v>
      </c>
      <c r="F178">
        <f>Portfolio!B$5*'CurrentPor-LH=10 unchanged'!E178</f>
        <v>52143.895533915893</v>
      </c>
      <c r="G178">
        <f>Portfolio!B$6*'CurrentPor-LH=10 unchanged'!F178</f>
        <v>3696.2945087936532</v>
      </c>
      <c r="H178">
        <f>Portfolio!B$7*'CurrentPor-LH=10 unchanged'!J178</f>
        <v>2148.0998964419859</v>
      </c>
      <c r="I178">
        <f t="shared" si="4"/>
        <v>96453.972170362758</v>
      </c>
      <c r="J178">
        <f t="shared" si="5"/>
        <v>-39.10304759137216</v>
      </c>
    </row>
    <row r="179" spans="1:10">
      <c r="A179" s="1">
        <v>45720</v>
      </c>
      <c r="B179">
        <f>(3/(1+('CurrentPor-LH=10 unchanged'!C179)/100)+103/POWER(1+('CurrentPor-LH=10 unchanged'!D179)/100,2))*100</f>
        <v>9707.5857774288397</v>
      </c>
      <c r="C179">
        <f>(3/(1+('CurrentPor-LH=10 unchanged'!C179+'CurrentPor-LH=10 unchanged'!G179)/100)+103/POWER(1+('CurrentPor-LH=10 unchanged'!D179+'CurrentPor-LH=10 unchanged'!G179)/100,2))*100</f>
        <v>9614.0177794864703</v>
      </c>
      <c r="D179">
        <f>(3/(1+('CurrentPor-LH=10 unchanged'!C179+'CurrentPor-LH=10 unchanged'!H179)/100)+103/POWER(1+('CurrentPor-LH=10 unchanged'!D179+'CurrentPor-LH=10 unchanged'!H179)/100,2))*100</f>
        <v>9599.7333843503129</v>
      </c>
      <c r="E179">
        <f>(3/(1+('CurrentPor-LH=10 unchanged'!C179+'CurrentPor-LH=10 unchanged'!I179)/100)+103/POWER(1+('CurrentPor-LH=10 unchanged'!D179+'CurrentPor-LH=10 unchanged'!I179)/100,2))*100</f>
        <v>9580.3591213076488</v>
      </c>
      <c r="F179">
        <f>Portfolio!B$5*'CurrentPor-LH=10 unchanged'!E179</f>
        <v>52143.895533915893</v>
      </c>
      <c r="G179">
        <f>Portfolio!B$6*'CurrentPor-LH=10 unchanged'!F179</f>
        <v>3696.2945087936532</v>
      </c>
      <c r="H179">
        <f>Portfolio!B$7*'CurrentPor-LH=10 unchanged'!J179</f>
        <v>2148.0998964419859</v>
      </c>
      <c r="I179">
        <f t="shared" si="4"/>
        <v>96489.986001724799</v>
      </c>
      <c r="J179">
        <f t="shared" si="5"/>
        <v>17.44823575472401</v>
      </c>
    </row>
    <row r="180" spans="1:10">
      <c r="A180" s="1">
        <v>45721</v>
      </c>
      <c r="B180">
        <f>(3/(1+('CurrentPor-LH=10 unchanged'!C180)/100)+103/POWER(1+('CurrentPor-LH=10 unchanged'!D180)/100,2))*100</f>
        <v>9707.5857774288397</v>
      </c>
      <c r="C180">
        <f>(3/(1+('CurrentPor-LH=10 unchanged'!C180+'CurrentPor-LH=10 unchanged'!G180)/100)+103/POWER(1+('CurrentPor-LH=10 unchanged'!D180+'CurrentPor-LH=10 unchanged'!G180)/100,2))*100</f>
        <v>9614.636780048455</v>
      </c>
      <c r="D180">
        <f>(3/(1+('CurrentPor-LH=10 unchanged'!C180+'CurrentPor-LH=10 unchanged'!H180)/100)+103/POWER(1+('CurrentPor-LH=10 unchanged'!D180+'CurrentPor-LH=10 unchanged'!H180)/100,2))*100</f>
        <v>9599.9199780809195</v>
      </c>
      <c r="E180">
        <f>(3/(1+('CurrentPor-LH=10 unchanged'!C180+'CurrentPor-LH=10 unchanged'!I180)/100)+103/POWER(1+('CurrentPor-LH=10 unchanged'!D180+'CurrentPor-LH=10 unchanged'!I180)/100,2))*100</f>
        <v>9589.2641240967769</v>
      </c>
      <c r="F180">
        <f>Portfolio!B$5*'CurrentPor-LH=10 unchanged'!E180</f>
        <v>52143.895533915893</v>
      </c>
      <c r="G180">
        <f>Portfolio!B$6*'CurrentPor-LH=10 unchanged'!F180</f>
        <v>3696.2945087936532</v>
      </c>
      <c r="H180">
        <f>Portfolio!B$7*'CurrentPor-LH=10 unchanged'!J180</f>
        <v>2148.0998964419859</v>
      </c>
      <c r="I180">
        <f t="shared" si="4"/>
        <v>96499.69659880652</v>
      </c>
      <c r="J180">
        <f t="shared" si="5"/>
        <v>31.61949989500863</v>
      </c>
    </row>
    <row r="181" spans="1:10">
      <c r="A181" s="1">
        <v>45722</v>
      </c>
      <c r="B181">
        <f>(3/(1+('CurrentPor-LH=10 unchanged'!C181)/100)+103/POWER(1+('CurrentPor-LH=10 unchanged'!D181)/100,2))*100</f>
        <v>9707.5857774288397</v>
      </c>
      <c r="C181">
        <f>(3/(1+('CurrentPor-LH=10 unchanged'!C181+'CurrentPor-LH=10 unchanged'!G181)/100)+103/POWER(1+('CurrentPor-LH=10 unchanged'!D181+'CurrentPor-LH=10 unchanged'!G181)/100,2))*100</f>
        <v>9596.979386953486</v>
      </c>
      <c r="D181">
        <f>(3/(1+('CurrentPor-LH=10 unchanged'!C181+'CurrentPor-LH=10 unchanged'!H181)/100)+103/POWER(1+('CurrentPor-LH=10 unchanged'!D181+'CurrentPor-LH=10 unchanged'!H181)/100,2))*100</f>
        <v>9595.5943168648064</v>
      </c>
      <c r="E181">
        <f>(3/(1+('CurrentPor-LH=10 unchanged'!C181+'CurrentPor-LH=10 unchanged'!I181)/100)+103/POWER(1+('CurrentPor-LH=10 unchanged'!D181+'CurrentPor-LH=10 unchanged'!I181)/100,2))*100</f>
        <v>9577.0163640904393</v>
      </c>
      <c r="F181">
        <f>Portfolio!B$5*'CurrentPor-LH=10 unchanged'!E181</f>
        <v>52143.895533915893</v>
      </c>
      <c r="G181">
        <f>Portfolio!B$6*'CurrentPor-LH=10 unchanged'!F181</f>
        <v>3696.2945087936532</v>
      </c>
      <c r="H181">
        <f>Portfolio!B$7*'CurrentPor-LH=10 unchanged'!J181</f>
        <v>2148.0998964419859</v>
      </c>
      <c r="I181">
        <f t="shared" si="4"/>
        <v>96465.465784489104</v>
      </c>
      <c r="J181">
        <f t="shared" si="5"/>
        <v>-12.218972436166951</v>
      </c>
    </row>
    <row r="182" spans="1:10">
      <c r="A182" s="1">
        <v>45723</v>
      </c>
      <c r="B182">
        <f>(3/(1+('CurrentPor-LH=10 unchanged'!C182)/100)+103/POWER(1+('CurrentPor-LH=10 unchanged'!D182)/100,2))*100</f>
        <v>9707.5857774288397</v>
      </c>
      <c r="C182">
        <f>(3/(1+('CurrentPor-LH=10 unchanged'!C182+'CurrentPor-LH=10 unchanged'!G182)/100)+103/POWER(1+('CurrentPor-LH=10 unchanged'!D182+'CurrentPor-LH=10 unchanged'!G182)/100,2))*100</f>
        <v>9623.7865884493403</v>
      </c>
      <c r="D182">
        <f>(3/(1+('CurrentPor-LH=10 unchanged'!C182+'CurrentPor-LH=10 unchanged'!H182)/100)+103/POWER(1+('CurrentPor-LH=10 unchanged'!D182+'CurrentPor-LH=10 unchanged'!H182)/100,2))*100</f>
        <v>9608.2688895160991</v>
      </c>
      <c r="E182">
        <f>(3/(1+('CurrentPor-LH=10 unchanged'!C182+'CurrentPor-LH=10 unchanged'!I182)/100)+103/POWER(1+('CurrentPor-LH=10 unchanged'!D182+'CurrentPor-LH=10 unchanged'!I182)/100,2))*100</f>
        <v>9588.8393062067917</v>
      </c>
      <c r="F182">
        <f>Portfolio!B$5*'CurrentPor-LH=10 unchanged'!E182</f>
        <v>52143.895533915893</v>
      </c>
      <c r="G182">
        <f>Portfolio!B$6*'CurrentPor-LH=10 unchanged'!F182</f>
        <v>3696.2945087936532</v>
      </c>
      <c r="H182">
        <f>Portfolio!B$7*'CurrentPor-LH=10 unchanged'!J182</f>
        <v>2148.0998964419859</v>
      </c>
      <c r="I182">
        <f t="shared" si="4"/>
        <v>96516.770500752595</v>
      </c>
      <c r="J182">
        <f t="shared" si="5"/>
        <v>0.94077664357610047</v>
      </c>
    </row>
    <row r="183" spans="1:10">
      <c r="A183" s="1">
        <v>45726</v>
      </c>
      <c r="B183">
        <f>(3/(1+('CurrentPor-LH=10 unchanged'!C183)/100)+103/POWER(1+('CurrentPor-LH=10 unchanged'!D183)/100,2))*100</f>
        <v>9707.5857774288397</v>
      </c>
      <c r="C183">
        <f>(3/(1+('CurrentPor-LH=10 unchanged'!C183+'CurrentPor-LH=10 unchanged'!G183)/100)+103/POWER(1+('CurrentPor-LH=10 unchanged'!D183+'CurrentPor-LH=10 unchanged'!G183)/100,2))*100</f>
        <v>9606.1949094367337</v>
      </c>
      <c r="D183">
        <f>(3/(1+('CurrentPor-LH=10 unchanged'!C183+'CurrentPor-LH=10 unchanged'!H183)/100)+103/POWER(1+('CurrentPor-LH=10 unchanged'!D183+'CurrentPor-LH=10 unchanged'!H183)/100,2))*100</f>
        <v>9597.2492137468489</v>
      </c>
      <c r="E183">
        <f>(3/(1+('CurrentPor-LH=10 unchanged'!C183+'CurrentPor-LH=10 unchanged'!I183)/100)+103/POWER(1+('CurrentPor-LH=10 unchanged'!D183+'CurrentPor-LH=10 unchanged'!I183)/100,2))*100</f>
        <v>9603.285948944138</v>
      </c>
      <c r="F183">
        <f>Portfolio!B$5*'CurrentPor-LH=10 unchanged'!E183</f>
        <v>52143.895533915893</v>
      </c>
      <c r="G183">
        <f>Portfolio!B$6*'CurrentPor-LH=10 unchanged'!F183</f>
        <v>3696.2945087936532</v>
      </c>
      <c r="H183">
        <f>Portfolio!B$7*'CurrentPor-LH=10 unchanged'!J183</f>
        <v>2148.0998964419859</v>
      </c>
      <c r="I183">
        <f t="shared" si="4"/>
        <v>96502.605788708097</v>
      </c>
      <c r="J183">
        <f t="shared" si="5"/>
        <v>-1.208298183453735</v>
      </c>
    </row>
    <row r="184" spans="1:10">
      <c r="A184" s="1">
        <v>45727</v>
      </c>
      <c r="B184">
        <f>(3/(1+('CurrentPor-LH=10 unchanged'!C184)/100)+103/POWER(1+('CurrentPor-LH=10 unchanged'!D184)/100,2))*100</f>
        <v>9707.5857774288397</v>
      </c>
      <c r="C184">
        <f>(3/(1+('CurrentPor-LH=10 unchanged'!C184+'CurrentPor-LH=10 unchanged'!G184)/100)+103/POWER(1+('CurrentPor-LH=10 unchanged'!D184+'CurrentPor-LH=10 unchanged'!G184)/100,2))*100</f>
        <v>9612.1555638229729</v>
      </c>
      <c r="D184">
        <f>(3/(1+('CurrentPor-LH=10 unchanged'!C184+'CurrentPor-LH=10 unchanged'!H184)/100)+103/POWER(1+('CurrentPor-LH=10 unchanged'!D184+'CurrentPor-LH=10 unchanged'!H184)/100,2))*100</f>
        <v>9612.8147287565134</v>
      </c>
      <c r="E184">
        <f>(3/(1+('CurrentPor-LH=10 unchanged'!C184+'CurrentPor-LH=10 unchanged'!I184)/100)+103/POWER(1+('CurrentPor-LH=10 unchanged'!D184+'CurrentPor-LH=10 unchanged'!I184)/100,2))*100</f>
        <v>9600.3021512268133</v>
      </c>
      <c r="F184">
        <f>Portfolio!B$5*'CurrentPor-LH=10 unchanged'!E184</f>
        <v>52143.895533915893</v>
      </c>
      <c r="G184">
        <f>Portfolio!B$6*'CurrentPor-LH=10 unchanged'!F184</f>
        <v>3696.2945087936532</v>
      </c>
      <c r="H184">
        <f>Portfolio!B$7*'CurrentPor-LH=10 unchanged'!J184</f>
        <v>2148.0998964419859</v>
      </c>
      <c r="I184">
        <f t="shared" si="4"/>
        <v>96521.14816038667</v>
      </c>
      <c r="J184">
        <f t="shared" si="5"/>
        <v>32.066484971684986</v>
      </c>
    </row>
    <row r="185" spans="1:10">
      <c r="A185" s="1">
        <v>45728</v>
      </c>
      <c r="B185">
        <f>(3/(1+('CurrentPor-LH=10 unchanged'!C185)/100)+103/POWER(1+('CurrentPor-LH=10 unchanged'!D185)/100,2))*100</f>
        <v>9707.5857774288397</v>
      </c>
      <c r="C185">
        <f>(3/(1+('CurrentPor-LH=10 unchanged'!C185+'CurrentPor-LH=10 unchanged'!G185)/100)+103/POWER(1+('CurrentPor-LH=10 unchanged'!D185+'CurrentPor-LH=10 unchanged'!G185)/100,2))*100</f>
        <v>9610.7011224535381</v>
      </c>
      <c r="D185">
        <f>(3/(1+('CurrentPor-LH=10 unchanged'!C185+'CurrentPor-LH=10 unchanged'!H185)/100)+103/POWER(1+('CurrentPor-LH=10 unchanged'!D185+'CurrentPor-LH=10 unchanged'!H185)/100,2))*100</f>
        <v>9597.1608804675925</v>
      </c>
      <c r="E185">
        <f>(3/(1+('CurrentPor-LH=10 unchanged'!C185+'CurrentPor-LH=10 unchanged'!I185)/100)+103/POWER(1+('CurrentPor-LH=10 unchanged'!D185+'CurrentPor-LH=10 unchanged'!I185)/100,2))*100</f>
        <v>9567.9014983070174</v>
      </c>
      <c r="F185">
        <f>Portfolio!B$5*'CurrentPor-LH=10 unchanged'!E185</f>
        <v>52143.895533915893</v>
      </c>
      <c r="G185">
        <f>Portfolio!B$6*'CurrentPor-LH=10 unchanged'!F185</f>
        <v>3696.2945087936532</v>
      </c>
      <c r="H185">
        <f>Portfolio!B$7*'CurrentPor-LH=10 unchanged'!J185</f>
        <v>2148.0998964419859</v>
      </c>
      <c r="I185">
        <f t="shared" si="4"/>
        <v>96471.639217808508</v>
      </c>
      <c r="J185">
        <f t="shared" si="5"/>
        <v>-28.853940006316407</v>
      </c>
    </row>
    <row r="186" spans="1:10">
      <c r="A186" s="1">
        <v>45729</v>
      </c>
      <c r="B186">
        <f>(3/(1+('CurrentPor-LH=10 unchanged'!C186)/100)+103/POWER(1+('CurrentPor-LH=10 unchanged'!D186)/100,2))*100</f>
        <v>9707.5857774288397</v>
      </c>
      <c r="C186">
        <f>(3/(1+('CurrentPor-LH=10 unchanged'!C186+'CurrentPor-LH=10 unchanged'!G186)/100)+103/POWER(1+('CurrentPor-LH=10 unchanged'!D186+'CurrentPor-LH=10 unchanged'!G186)/100,2))*100</f>
        <v>9615.3826764656842</v>
      </c>
      <c r="D186">
        <f>(3/(1+('CurrentPor-LH=10 unchanged'!C186+'CurrentPor-LH=10 unchanged'!H186)/100)+103/POWER(1+('CurrentPor-LH=10 unchanged'!D186+'CurrentPor-LH=10 unchanged'!H186)/100,2))*100</f>
        <v>9601.8942548885734</v>
      </c>
      <c r="E186">
        <f>(3/(1+('CurrentPor-LH=10 unchanged'!C186+'CurrentPor-LH=10 unchanged'!I186)/100)+103/POWER(1+('CurrentPor-LH=10 unchanged'!D186+'CurrentPor-LH=10 unchanged'!I186)/100,2))*100</f>
        <v>9592.3519681577436</v>
      </c>
      <c r="F186">
        <f>Portfolio!B$5*'CurrentPor-LH=10 unchanged'!E186</f>
        <v>52143.895533915893</v>
      </c>
      <c r="G186">
        <f>Portfolio!B$6*'CurrentPor-LH=10 unchanged'!F186</f>
        <v>3696.2945087936532</v>
      </c>
      <c r="H186">
        <f>Portfolio!B$7*'CurrentPor-LH=10 unchanged'!J186</f>
        <v>2148.0998964419859</v>
      </c>
      <c r="I186">
        <f t="shared" si="4"/>
        <v>96505.504616092381</v>
      </c>
      <c r="J186">
        <f t="shared" si="5"/>
        <v>9.5994049028377049</v>
      </c>
    </row>
    <row r="187" spans="1:10">
      <c r="A187" s="1">
        <v>45730</v>
      </c>
      <c r="B187">
        <f>(3/(1+('CurrentPor-LH=10 unchanged'!C187)/100)+103/POWER(1+('CurrentPor-LH=10 unchanged'!D187)/100,2))*100</f>
        <v>9707.5857774288397</v>
      </c>
      <c r="C187">
        <f>(3/(1+('CurrentPor-LH=10 unchanged'!C187+'CurrentPor-LH=10 unchanged'!G187)/100)+103/POWER(1+('CurrentPor-LH=10 unchanged'!D187+'CurrentPor-LH=10 unchanged'!G187)/100,2))*100</f>
        <v>9610.4745233360263</v>
      </c>
      <c r="D187">
        <f>(3/(1+('CurrentPor-LH=10 unchanged'!C187+'CurrentPor-LH=10 unchanged'!H187)/100)+103/POWER(1+('CurrentPor-LH=10 unchanged'!D187+'CurrentPor-LH=10 unchanged'!H187)/100,2))*100</f>
        <v>9597.6153586299934</v>
      </c>
      <c r="E187">
        <f>(3/(1+('CurrentPor-LH=10 unchanged'!C187+'CurrentPor-LH=10 unchanged'!I187)/100)+103/POWER(1+('CurrentPor-LH=10 unchanged'!D187+'CurrentPor-LH=10 unchanged'!I187)/100,2))*100</f>
        <v>9556.5899947974722</v>
      </c>
      <c r="F187">
        <f>Portfolio!B$5*'CurrentPor-LH=10 unchanged'!E187</f>
        <v>52143.895533915893</v>
      </c>
      <c r="G187">
        <f>Portfolio!B$6*'CurrentPor-LH=10 unchanged'!F187</f>
        <v>3696.2945087936532</v>
      </c>
      <c r="H187">
        <f>Portfolio!B$7*'CurrentPor-LH=10 unchanged'!J187</f>
        <v>2148.0998964419859</v>
      </c>
      <c r="I187">
        <f t="shared" si="4"/>
        <v>96460.555593343874</v>
      </c>
      <c r="J187">
        <f t="shared" si="5"/>
        <v>-46.417868501855992</v>
      </c>
    </row>
    <row r="188" spans="1:10">
      <c r="A188" s="13">
        <v>45733</v>
      </c>
      <c r="B188">
        <f>(3/(1+('CurrentPor-LH=10 unchanged'!C188)/100)+103/POWER(1+('CurrentPor-LH=10 unchanged'!D188)/100,2))*100</f>
        <v>9707.5857774288397</v>
      </c>
      <c r="C188">
        <f>(3/(1+('CurrentPor-LH=10 unchanged'!C188+'CurrentPor-LH=10 unchanged'!G188)/100)+103/POWER(1+('CurrentPor-LH=10 unchanged'!D188+'CurrentPor-LH=10 unchanged'!G188)/100,2))*100</f>
        <v>9615.7805495236717</v>
      </c>
      <c r="D188">
        <f>(3/(1+('CurrentPor-LH=10 unchanged'!C188+'CurrentPor-LH=10 unchanged'!H188)/100)+103/POWER(1+('CurrentPor-LH=10 unchanged'!D188+'CurrentPor-LH=10 unchanged'!H188)/100,2))*100</f>
        <v>9590.1817309480939</v>
      </c>
      <c r="E188">
        <f>(3/(1+('CurrentPor-LH=10 unchanged'!C188+'CurrentPor-LH=10 unchanged'!I188)/100)+103/POWER(1+('CurrentPor-LH=10 unchanged'!D188+'CurrentPor-LH=10 unchanged'!I188)/100,2))*100</f>
        <v>9589.2580894582061</v>
      </c>
      <c r="F188">
        <f>Portfolio!B$5*'CurrentPor-LH=10 unchanged'!E188</f>
        <v>52143.895533915893</v>
      </c>
      <c r="G188">
        <f>Portfolio!B$6*'CurrentPor-LH=10 unchanged'!F188</f>
        <v>3696.2945087936532</v>
      </c>
      <c r="H188">
        <f>Portfolio!B$7*'CurrentPor-LH=10 unchanged'!J188</f>
        <v>2148.0998964419859</v>
      </c>
      <c r="I188">
        <f t="shared" si="4"/>
        <v>96491.096086510355</v>
      </c>
      <c r="J188">
        <f t="shared" si="5"/>
        <v>37.123916147596901</v>
      </c>
    </row>
    <row r="189" spans="1:10">
      <c r="A189" s="1">
        <v>45734</v>
      </c>
      <c r="B189">
        <f>(3/(1+('CurrentPor-LH=10 unchanged'!C189)/100)+103/POWER(1+('CurrentPor-LH=10 unchanged'!D189)/100,2))*100</f>
        <v>9707.5857774288397</v>
      </c>
      <c r="C189">
        <f>(3/(1+('CurrentPor-LH=10 unchanged'!C189+'CurrentPor-LH=10 unchanged'!G189)/100)+103/POWER(1+('CurrentPor-LH=10 unchanged'!D189+'CurrentPor-LH=10 unchanged'!G189)/100,2))*100</f>
        <v>9620.9078823508898</v>
      </c>
      <c r="D189">
        <f>(3/(1+('CurrentPor-LH=10 unchanged'!C189+'CurrentPor-LH=10 unchanged'!H189)/100)+103/POWER(1+('CurrentPor-LH=10 unchanged'!D189+'CurrentPor-LH=10 unchanged'!H189)/100,2))*100</f>
        <v>9607.9960403492314</v>
      </c>
      <c r="E189">
        <f>(3/(1+('CurrentPor-LH=10 unchanged'!C189+'CurrentPor-LH=10 unchanged'!I189)/100)+103/POWER(1+('CurrentPor-LH=10 unchanged'!D189+'CurrentPor-LH=10 unchanged'!I189)/100,2))*100</f>
        <v>9597.6060240066054</v>
      </c>
      <c r="F189">
        <f>Portfolio!B$5*'CurrentPor-LH=10 unchanged'!E189</f>
        <v>52143.895533915893</v>
      </c>
      <c r="G189">
        <f>Portfolio!B$6*'CurrentPor-LH=10 unchanged'!F189</f>
        <v>3696.2945087936532</v>
      </c>
      <c r="H189">
        <f>Portfolio!B$7*'CurrentPor-LH=10 unchanged'!J189</f>
        <v>2148.0998964419859</v>
      </c>
      <c r="I189">
        <f t="shared" si="4"/>
        <v>96522.385663287088</v>
      </c>
      <c r="J189">
        <f t="shared" si="5"/>
        <v>32.399661562289111</v>
      </c>
    </row>
    <row r="190" spans="1:10">
      <c r="A190" s="1">
        <v>45735</v>
      </c>
      <c r="B190">
        <f>(3/(1+('CurrentPor-LH=10 unchanged'!C190)/100)+103/POWER(1+('CurrentPor-LH=10 unchanged'!D190)/100,2))*100</f>
        <v>9707.5857774288397</v>
      </c>
      <c r="C190">
        <f>(3/(1+('CurrentPor-LH=10 unchanged'!C190+'CurrentPor-LH=10 unchanged'!G190)/100)+103/POWER(1+('CurrentPor-LH=10 unchanged'!D190+'CurrentPor-LH=10 unchanged'!G190)/100,2))*100</f>
        <v>9630.2502994429942</v>
      </c>
      <c r="D190">
        <f>(3/(1+('CurrentPor-LH=10 unchanged'!C190+'CurrentPor-LH=10 unchanged'!H190)/100)+103/POWER(1+('CurrentPor-LH=10 unchanged'!D190+'CurrentPor-LH=10 unchanged'!H190)/100,2))*100</f>
        <v>9621.6701289741068</v>
      </c>
      <c r="E190">
        <f>(3/(1+('CurrentPor-LH=10 unchanged'!C190+'CurrentPor-LH=10 unchanged'!I190)/100)+103/POWER(1+('CurrentPor-LH=10 unchanged'!D190+'CurrentPor-LH=10 unchanged'!I190)/100,2))*100</f>
        <v>9597.8361216698795</v>
      </c>
      <c r="F190">
        <f>Portfolio!B$5*'CurrentPor-LH=10 unchanged'!E190</f>
        <v>52143.895533915893</v>
      </c>
      <c r="G190">
        <f>Portfolio!B$6*'CurrentPor-LH=10 unchanged'!F190</f>
        <v>3696.2945087936532</v>
      </c>
      <c r="H190">
        <f>Portfolio!B$7*'CurrentPor-LH=10 unchanged'!J190</f>
        <v>2148.0998964419859</v>
      </c>
      <c r="I190">
        <f t="shared" si="4"/>
        <v>96545.632266667351</v>
      </c>
      <c r="J190">
        <f t="shared" si="5"/>
        <v>45.935667860831018</v>
      </c>
    </row>
    <row r="191" spans="1:10">
      <c r="A191" s="1">
        <v>45736</v>
      </c>
      <c r="B191">
        <f>(3/(1+('CurrentPor-LH=10 unchanged'!C191)/100)+103/POWER(1+('CurrentPor-LH=10 unchanged'!D191)/100,2))*100</f>
        <v>9707.5857774288397</v>
      </c>
      <c r="C191">
        <f>(3/(1+('CurrentPor-LH=10 unchanged'!C191+'CurrentPor-LH=10 unchanged'!G191)/100)+103/POWER(1+('CurrentPor-LH=10 unchanged'!D191+'CurrentPor-LH=10 unchanged'!G191)/100,2))*100</f>
        <v>9622.0915448849573</v>
      </c>
      <c r="D191">
        <f>(3/(1+('CurrentPor-LH=10 unchanged'!C191+'CurrentPor-LH=10 unchanged'!H191)/100)+103/POWER(1+('CurrentPor-LH=10 unchanged'!D191+'CurrentPor-LH=10 unchanged'!H191)/100,2))*100</f>
        <v>9586.9481289768737</v>
      </c>
      <c r="E191">
        <f>(3/(1+('CurrentPor-LH=10 unchanged'!C191+'CurrentPor-LH=10 unchanged'!I191)/100)+103/POWER(1+('CurrentPor-LH=10 unchanged'!D191+'CurrentPor-LH=10 unchanged'!I191)/100,2))*100</f>
        <v>9579.5719024089885</v>
      </c>
      <c r="F191">
        <f>Portfolio!B$5*'CurrentPor-LH=10 unchanged'!E191</f>
        <v>52143.895533915893</v>
      </c>
      <c r="G191">
        <f>Portfolio!B$6*'CurrentPor-LH=10 unchanged'!F191</f>
        <v>3696.2945087936532</v>
      </c>
      <c r="H191">
        <f>Portfolio!B$7*'CurrentPor-LH=10 unchanged'!J191</f>
        <v>2148.0998964419859</v>
      </c>
      <c r="I191">
        <f t="shared" si="4"/>
        <v>96484.48729285119</v>
      </c>
      <c r="J191">
        <f t="shared" si="5"/>
        <v>19.021508362086024</v>
      </c>
    </row>
    <row r="192" spans="1:10">
      <c r="A192" s="1">
        <v>45737</v>
      </c>
      <c r="B192">
        <f>(3/(1+('CurrentPor-LH=10 unchanged'!C192)/100)+103/POWER(1+('CurrentPor-LH=10 unchanged'!D192)/100,2))*100</f>
        <v>9707.5857774288397</v>
      </c>
      <c r="C192">
        <f>(3/(1+('CurrentPor-LH=10 unchanged'!C192+'CurrentPor-LH=10 unchanged'!G192)/100)+103/POWER(1+('CurrentPor-LH=10 unchanged'!D192+'CurrentPor-LH=10 unchanged'!G192)/100,2))*100</f>
        <v>9604.8777910313256</v>
      </c>
      <c r="D192">
        <f>(3/(1+('CurrentPor-LH=10 unchanged'!C192+'CurrentPor-LH=10 unchanged'!H192)/100)+103/POWER(1+('CurrentPor-LH=10 unchanged'!D192+'CurrentPor-LH=10 unchanged'!H192)/100,2))*100</f>
        <v>9594.7333797965803</v>
      </c>
      <c r="E192">
        <f>(3/(1+('CurrentPor-LH=10 unchanged'!C192+'CurrentPor-LH=10 unchanged'!I192)/100)+103/POWER(1+('CurrentPor-LH=10 unchanged'!D192+'CurrentPor-LH=10 unchanged'!I192)/100,2))*100</f>
        <v>9580.9411701051649</v>
      </c>
      <c r="F192">
        <f>Portfolio!B$5*'CurrentPor-LH=10 unchanged'!E192</f>
        <v>52143.895533915893</v>
      </c>
      <c r="G192">
        <f>Portfolio!B$6*'CurrentPor-LH=10 unchanged'!F192</f>
        <v>3696.2945087936532</v>
      </c>
      <c r="H192">
        <f>Portfolio!B$7*'CurrentPor-LH=10 unchanged'!J192</f>
        <v>2148.0998964419859</v>
      </c>
      <c r="I192">
        <f t="shared" si="4"/>
        <v>96476.428057513447</v>
      </c>
      <c r="J192">
        <f t="shared" si="5"/>
        <v>-40.342443239147542</v>
      </c>
    </row>
    <row r="193" spans="1:10">
      <c r="A193" s="1">
        <v>45740</v>
      </c>
      <c r="B193">
        <f>(3/(1+('CurrentPor-LH=10 unchanged'!C193)/100)+103/POWER(1+('CurrentPor-LH=10 unchanged'!D193)/100,2))*100</f>
        <v>9707.5857774288397</v>
      </c>
      <c r="C193">
        <f>(3/(1+('CurrentPor-LH=10 unchanged'!C193+'CurrentPor-LH=10 unchanged'!G193)/100)+103/POWER(1+('CurrentPor-LH=10 unchanged'!D193+'CurrentPor-LH=10 unchanged'!G193)/100,2))*100</f>
        <v>9618.4941170887578</v>
      </c>
      <c r="D193">
        <f>(3/(1+('CurrentPor-LH=10 unchanged'!C193+'CurrentPor-LH=10 unchanged'!H193)/100)+103/POWER(1+('CurrentPor-LH=10 unchanged'!D193+'CurrentPor-LH=10 unchanged'!H193)/100,2))*100</f>
        <v>9599.05985436841</v>
      </c>
      <c r="E193">
        <f>(3/(1+('CurrentPor-LH=10 unchanged'!C193+'CurrentPor-LH=10 unchanged'!I193)/100)+103/POWER(1+('CurrentPor-LH=10 unchanged'!D193+'CurrentPor-LH=10 unchanged'!I193)/100,2))*100</f>
        <v>9566.9783808950415</v>
      </c>
      <c r="F193">
        <f>Portfolio!B$5*'CurrentPor-LH=10 unchanged'!E193</f>
        <v>52143.895533915893</v>
      </c>
      <c r="G193">
        <f>Portfolio!B$6*'CurrentPor-LH=10 unchanged'!F193</f>
        <v>3696.2945087936532</v>
      </c>
      <c r="H193">
        <f>Portfolio!B$7*'CurrentPor-LH=10 unchanged'!J193</f>
        <v>2148.0998964419859</v>
      </c>
      <c r="I193">
        <f t="shared" si="4"/>
        <v>96480.408068932578</v>
      </c>
      <c r="J193">
        <f t="shared" si="5"/>
        <v>-22.197719775518635</v>
      </c>
    </row>
    <row r="194" spans="1:10">
      <c r="A194" s="1">
        <v>45741</v>
      </c>
      <c r="B194">
        <f>(3/(1+('CurrentPor-LH=10 unchanged'!C194)/100)+103/POWER(1+('CurrentPor-LH=10 unchanged'!D194)/100,2))*100</f>
        <v>9707.5857774288397</v>
      </c>
      <c r="C194">
        <f>(3/(1+('CurrentPor-LH=10 unchanged'!C194+'CurrentPor-LH=10 unchanged'!G194)/100)+103/POWER(1+('CurrentPor-LH=10 unchanged'!D194+'CurrentPor-LH=10 unchanged'!G194)/100,2))*100</f>
        <v>9618.6530191148013</v>
      </c>
      <c r="D194">
        <f>(3/(1+('CurrentPor-LH=10 unchanged'!C194+'CurrentPor-LH=10 unchanged'!H194)/100)+103/POWER(1+('CurrentPor-LH=10 unchanged'!D194+'CurrentPor-LH=10 unchanged'!H194)/100,2))*100</f>
        <v>9590.4055045641071</v>
      </c>
      <c r="E194">
        <f>(3/(1+('CurrentPor-LH=10 unchanged'!C194+'CurrentPor-LH=10 unchanged'!I194)/100)+103/POWER(1+('CurrentPor-LH=10 unchanged'!D194+'CurrentPor-LH=10 unchanged'!I194)/100,2))*100</f>
        <v>9595.1066468859244</v>
      </c>
      <c r="F194">
        <f>Portfolio!B$5*'CurrentPor-LH=10 unchanged'!E194</f>
        <v>52143.895533915893</v>
      </c>
      <c r="G194">
        <f>Portfolio!B$6*'CurrentPor-LH=10 unchanged'!F194</f>
        <v>3696.2945087936532</v>
      </c>
      <c r="H194">
        <f>Portfolio!B$7*'CurrentPor-LH=10 unchanged'!J194</f>
        <v>2148.0998964419859</v>
      </c>
      <c r="I194">
        <f t="shared" si="4"/>
        <v>96500.040887145195</v>
      </c>
      <c r="J194">
        <f t="shared" si="5"/>
        <v>-21.107273241475923</v>
      </c>
    </row>
    <row r="195" spans="1:10">
      <c r="A195" s="1">
        <v>45742</v>
      </c>
      <c r="B195">
        <f>(3/(1+('CurrentPor-LH=10 unchanged'!C195)/100)+103/POWER(1+('CurrentPor-LH=10 unchanged'!D195)/100,2))*100</f>
        <v>9707.5857774288397</v>
      </c>
      <c r="C195">
        <f>(3/(1+('CurrentPor-LH=10 unchanged'!C195+'CurrentPor-LH=10 unchanged'!G195)/100)+103/POWER(1+('CurrentPor-LH=10 unchanged'!D195+'CurrentPor-LH=10 unchanged'!G195)/100,2))*100</f>
        <v>9616.6602475254622</v>
      </c>
      <c r="D195">
        <f>(3/(1+('CurrentPor-LH=10 unchanged'!C195+'CurrentPor-LH=10 unchanged'!H195)/100)+103/POWER(1+('CurrentPor-LH=10 unchanged'!D195+'CurrentPor-LH=10 unchanged'!H195)/100,2))*100</f>
        <v>9593.5253254041691</v>
      </c>
      <c r="E195">
        <f>(3/(1+('CurrentPor-LH=10 unchanged'!C195+'CurrentPor-LH=10 unchanged'!I195)/100)+103/POWER(1+('CurrentPor-LH=10 unchanged'!D195+'CurrentPor-LH=10 unchanged'!I195)/100,2))*100</f>
        <v>9597.8818766610057</v>
      </c>
      <c r="F195">
        <f>Portfolio!B$5*'CurrentPor-LH=10 unchanged'!E195</f>
        <v>52143.895533915893</v>
      </c>
      <c r="G195">
        <f>Portfolio!B$6*'CurrentPor-LH=10 unchanged'!F195</f>
        <v>3696.2945087936532</v>
      </c>
      <c r="H195">
        <f>Portfolio!B$7*'CurrentPor-LH=10 unchanged'!J195</f>
        <v>2148.0998964419859</v>
      </c>
      <c r="I195">
        <f t="shared" si="4"/>
        <v>96503.943166171011</v>
      </c>
      <c r="J195">
        <f t="shared" si="5"/>
        <v>32.303948362503434</v>
      </c>
    </row>
    <row r="196" spans="1:10">
      <c r="A196" s="1">
        <v>45743</v>
      </c>
      <c r="B196">
        <f>(3/(1+('CurrentPor-LH=10 unchanged'!C196)/100)+103/POWER(1+('CurrentPor-LH=10 unchanged'!D196)/100,2))*100</f>
        <v>9707.5857774288397</v>
      </c>
      <c r="C196">
        <f>(3/(1+('CurrentPor-LH=10 unchanged'!C196+'CurrentPor-LH=10 unchanged'!G196)/100)+103/POWER(1+('CurrentPor-LH=10 unchanged'!D196+'CurrentPor-LH=10 unchanged'!G196)/100,2))*100</f>
        <v>9618.2678044066288</v>
      </c>
      <c r="D196">
        <f>(3/(1+('CurrentPor-LH=10 unchanged'!C196+'CurrentPor-LH=10 unchanged'!H196)/100)+103/POWER(1+('CurrentPor-LH=10 unchanged'!D196+'CurrentPor-LH=10 unchanged'!H196)/100,2))*100</f>
        <v>9607.3842468240164</v>
      </c>
      <c r="E196">
        <f>(3/(1+('CurrentPor-LH=10 unchanged'!C196+'CurrentPor-LH=10 unchanged'!I196)/100)+103/POWER(1+('CurrentPor-LH=10 unchanged'!D196+'CurrentPor-LH=10 unchanged'!I196)/100,2))*100</f>
        <v>9593.512268056651</v>
      </c>
      <c r="F196">
        <f>Portfolio!B$5*'CurrentPor-LH=10 unchanged'!E196</f>
        <v>52143.895533915893</v>
      </c>
      <c r="G196">
        <f>Portfolio!B$6*'CurrentPor-LH=10 unchanged'!F196</f>
        <v>3696.2945087936532</v>
      </c>
      <c r="H196">
        <f>Portfolio!B$7*'CurrentPor-LH=10 unchanged'!J196</f>
        <v>2148.0998964419859</v>
      </c>
      <c r="I196">
        <f t="shared" ref="I196:I259" si="6">SUM(B196:H196)</f>
        <v>96515.040035867671</v>
      </c>
      <c r="J196">
        <f t="shared" si="5"/>
        <v>9.5354197752894834</v>
      </c>
    </row>
    <row r="197" spans="1:10">
      <c r="A197" s="1">
        <v>45744</v>
      </c>
      <c r="B197">
        <f>(3/(1+('CurrentPor-LH=10 unchanged'!C197)/100)+103/POWER(1+('CurrentPor-LH=10 unchanged'!D197)/100,2))*100</f>
        <v>9707.5857774288397</v>
      </c>
      <c r="C197">
        <f>(3/(1+('CurrentPor-LH=10 unchanged'!C197+'CurrentPor-LH=10 unchanged'!G197)/100)+103/POWER(1+('CurrentPor-LH=10 unchanged'!D197+'CurrentPor-LH=10 unchanged'!G197)/100,2))*100</f>
        <v>9605.5362628314106</v>
      </c>
      <c r="D197">
        <f>(3/(1+('CurrentPor-LH=10 unchanged'!C197+'CurrentPor-LH=10 unchanged'!H197)/100)+103/POWER(1+('CurrentPor-LH=10 unchanged'!D197+'CurrentPor-LH=10 unchanged'!H197)/100,2))*100</f>
        <v>9594.2827526639267</v>
      </c>
      <c r="E197">
        <f>(3/(1+('CurrentPor-LH=10 unchanged'!C197+'CurrentPor-LH=10 unchanged'!I197)/100)+103/POWER(1+('CurrentPor-LH=10 unchanged'!D197+'CurrentPor-LH=10 unchanged'!I197)/100,2))*100</f>
        <v>9605.8240799477662</v>
      </c>
      <c r="F197">
        <f>Portfolio!B$5*'CurrentPor-LH=10 unchanged'!E197</f>
        <v>52143.895533915893</v>
      </c>
      <c r="G197">
        <f>Portfolio!B$6*'CurrentPor-LH=10 unchanged'!F197</f>
        <v>3696.2945087936532</v>
      </c>
      <c r="H197">
        <f>Portfolio!B$7*'CurrentPor-LH=10 unchanged'!J197</f>
        <v>2148.0998964419859</v>
      </c>
      <c r="I197">
        <f t="shared" si="6"/>
        <v>96501.518812023467</v>
      </c>
      <c r="J197">
        <f t="shared" si="5"/>
        <v>40.96321867959341</v>
      </c>
    </row>
    <row r="198" spans="1:10">
      <c r="A198" s="1">
        <v>45747</v>
      </c>
      <c r="B198">
        <f>(3/(1+('CurrentPor-LH=10 unchanged'!C198)/100)+103/POWER(1+('CurrentPor-LH=10 unchanged'!D198)/100,2))*100</f>
        <v>9707.5857774288397</v>
      </c>
      <c r="C198">
        <f>(3/(1+('CurrentPor-LH=10 unchanged'!C198+'CurrentPor-LH=10 unchanged'!G198)/100)+103/POWER(1+('CurrentPor-LH=10 unchanged'!D198+'CurrentPor-LH=10 unchanged'!G198)/100,2))*100</f>
        <v>9602.9170972186002</v>
      </c>
      <c r="D198">
        <f>(3/(1+('CurrentPor-LH=10 unchanged'!C198+'CurrentPor-LH=10 unchanged'!H198)/100)+103/POWER(1+('CurrentPor-LH=10 unchanged'!D198+'CurrentPor-LH=10 unchanged'!H198)/100,2))*100</f>
        <v>9605.4231600387629</v>
      </c>
      <c r="E198">
        <f>(3/(1+('CurrentPor-LH=10 unchanged'!C198+'CurrentPor-LH=10 unchanged'!I198)/100)+103/POWER(1+('CurrentPor-LH=10 unchanged'!D198+'CurrentPor-LH=10 unchanged'!I198)/100,2))*100</f>
        <v>9574.2395176244208</v>
      </c>
      <c r="F198">
        <f>Portfolio!B$5*'CurrentPor-LH=10 unchanged'!E198</f>
        <v>52143.895533915893</v>
      </c>
      <c r="G198">
        <f>Portfolio!B$6*'CurrentPor-LH=10 unchanged'!F198</f>
        <v>3696.2945087936532</v>
      </c>
      <c r="H198">
        <f>Portfolio!B$7*'CurrentPor-LH=10 unchanged'!J198</f>
        <v>2148.0998964419859</v>
      </c>
      <c r="I198">
        <f t="shared" si="6"/>
        <v>96478.455491462155</v>
      </c>
      <c r="J198">
        <f t="shared" si="5"/>
        <v>-12.640595048200339</v>
      </c>
    </row>
    <row r="199" spans="1:10">
      <c r="A199" s="1">
        <v>45748</v>
      </c>
      <c r="B199">
        <f>(3/(1+('CurrentPor-LH=10 unchanged'!C199)/100)+103/POWER(1+('CurrentPor-LH=10 unchanged'!D199)/100,2))*100</f>
        <v>9707.5857774288397</v>
      </c>
      <c r="C199">
        <f>(3/(1+('CurrentPor-LH=10 unchanged'!C199+'CurrentPor-LH=10 unchanged'!G199)/100)+103/POWER(1+('CurrentPor-LH=10 unchanged'!D199+'CurrentPor-LH=10 unchanged'!G199)/100,2))*100</f>
        <v>9618.4272731057499</v>
      </c>
      <c r="D199">
        <f>(3/(1+('CurrentPor-LH=10 unchanged'!C199+'CurrentPor-LH=10 unchanged'!H199)/100)+103/POWER(1+('CurrentPor-LH=10 unchanged'!D199+'CurrentPor-LH=10 unchanged'!H199)/100,2))*100</f>
        <v>9600.4432844289277</v>
      </c>
      <c r="E199">
        <f>(3/(1+('CurrentPor-LH=10 unchanged'!C199+'CurrentPor-LH=10 unchanged'!I199)/100)+103/POWER(1+('CurrentPor-LH=10 unchanged'!D199+'CurrentPor-LH=10 unchanged'!I199)/100,2))*100</f>
        <v>9604.3289785749912</v>
      </c>
      <c r="F199">
        <f>Portfolio!B$5*'CurrentPor-LH=10 unchanged'!E199</f>
        <v>52143.895533915893</v>
      </c>
      <c r="G199">
        <f>Portfolio!B$6*'CurrentPor-LH=10 unchanged'!F199</f>
        <v>3696.2945087936532</v>
      </c>
      <c r="H199">
        <f>Portfolio!B$7*'CurrentPor-LH=10 unchanged'!J199</f>
        <v>2148.0998964419859</v>
      </c>
      <c r="I199">
        <f t="shared" si="6"/>
        <v>96519.075252690047</v>
      </c>
      <c r="J199">
        <f t="shared" si="5"/>
        <v>-3.3104105970414821</v>
      </c>
    </row>
    <row r="200" spans="1:10">
      <c r="A200" s="1">
        <v>45749</v>
      </c>
      <c r="B200">
        <f>(3/(1+('CurrentPor-LH=10 unchanged'!C200)/100)+103/POWER(1+('CurrentPor-LH=10 unchanged'!D200)/100,2))*100</f>
        <v>9707.5857774288397</v>
      </c>
      <c r="C200">
        <f>(3/(1+('CurrentPor-LH=10 unchanged'!C200+'CurrentPor-LH=10 unchanged'!G200)/100)+103/POWER(1+('CurrentPor-LH=10 unchanged'!D200+'CurrentPor-LH=10 unchanged'!G200)/100,2))*100</f>
        <v>9607.2964471079758</v>
      </c>
      <c r="D200">
        <f>(3/(1+('CurrentPor-LH=10 unchanged'!C200+'CurrentPor-LH=10 unchanged'!H200)/100)+103/POWER(1+('CurrentPor-LH=10 unchanged'!D200+'CurrentPor-LH=10 unchanged'!H200)/100,2))*100</f>
        <v>9591.3128444723789</v>
      </c>
      <c r="E200">
        <f>(3/(1+('CurrentPor-LH=10 unchanged'!C200+'CurrentPor-LH=10 unchanged'!I200)/100)+103/POWER(1+('CurrentPor-LH=10 unchanged'!D200+'CurrentPor-LH=10 unchanged'!I200)/100,2))*100</f>
        <v>9584.0197129333137</v>
      </c>
      <c r="F200">
        <f>Portfolio!B$5*'CurrentPor-LH=10 unchanged'!E200</f>
        <v>52143.895533915893</v>
      </c>
      <c r="G200">
        <f>Portfolio!B$6*'CurrentPor-LH=10 unchanged'!F200</f>
        <v>3696.2945087936532</v>
      </c>
      <c r="H200">
        <f>Portfolio!B$7*'CurrentPor-LH=10 unchanged'!J200</f>
        <v>2148.0998964419859</v>
      </c>
      <c r="I200">
        <f t="shared" si="6"/>
        <v>96478.504721094025</v>
      </c>
      <c r="J200">
        <f t="shared" si="5"/>
        <v>-67.127545573326643</v>
      </c>
    </row>
    <row r="201" spans="1:10">
      <c r="A201" s="1">
        <v>45750</v>
      </c>
      <c r="B201">
        <f>(3/(1+('CurrentPor-LH=10 unchanged'!C201)/100)+103/POWER(1+('CurrentPor-LH=10 unchanged'!D201)/100,2))*100</f>
        <v>9707.5857774288397</v>
      </c>
      <c r="C201">
        <f>(3/(1+('CurrentPor-LH=10 unchanged'!C201+'CurrentPor-LH=10 unchanged'!G201)/100)+103/POWER(1+('CurrentPor-LH=10 unchanged'!D201+'CurrentPor-LH=10 unchanged'!G201)/100,2))*100</f>
        <v>9611.9652374203906</v>
      </c>
      <c r="D201">
        <f>(3/(1+('CurrentPor-LH=10 unchanged'!C201+'CurrentPor-LH=10 unchanged'!H201)/100)+103/POWER(1+('CurrentPor-LH=10 unchanged'!D201+'CurrentPor-LH=10 unchanged'!H201)/100,2))*100</f>
        <v>9601.9283451545634</v>
      </c>
      <c r="E201">
        <f>(3/(1+('CurrentPor-LH=10 unchanged'!C201+'CurrentPor-LH=10 unchanged'!I201)/100)+103/POWER(1+('CurrentPor-LH=10 unchanged'!D201+'CurrentPor-LH=10 unchanged'!I201)/100,2))*100</f>
        <v>9596.2826920747411</v>
      </c>
      <c r="F201">
        <f>Portfolio!B$5*'CurrentPor-LH=10 unchanged'!E201</f>
        <v>52143.895533915893</v>
      </c>
      <c r="G201">
        <f>Portfolio!B$6*'CurrentPor-LH=10 unchanged'!F201</f>
        <v>3696.2945087936532</v>
      </c>
      <c r="H201">
        <f>Portfolio!B$7*'CurrentPor-LH=10 unchanged'!J201</f>
        <v>2148.0998964419859</v>
      </c>
      <c r="I201">
        <f t="shared" si="6"/>
        <v>96506.051991230066</v>
      </c>
      <c r="J201">
        <f t="shared" si="5"/>
        <v>21.564698378875619</v>
      </c>
    </row>
    <row r="202" spans="1:10">
      <c r="A202" s="1">
        <v>45751</v>
      </c>
      <c r="B202">
        <f>(3/(1+('CurrentPor-LH=10 unchanged'!C202)/100)+103/POWER(1+('CurrentPor-LH=10 unchanged'!D202)/100,2))*100</f>
        <v>9707.5857774288397</v>
      </c>
      <c r="C202">
        <f>(3/(1+('CurrentPor-LH=10 unchanged'!C202+'CurrentPor-LH=10 unchanged'!G202)/100)+103/POWER(1+('CurrentPor-LH=10 unchanged'!D202+'CurrentPor-LH=10 unchanged'!G202)/100,2))*100</f>
        <v>9612.4899112358598</v>
      </c>
      <c r="D202">
        <f>(3/(1+('CurrentPor-LH=10 unchanged'!C202+'CurrentPor-LH=10 unchanged'!H202)/100)+103/POWER(1+('CurrentPor-LH=10 unchanged'!D202+'CurrentPor-LH=10 unchanged'!H202)/100,2))*100</f>
        <v>9594.2588089714263</v>
      </c>
      <c r="E202">
        <f>(3/(1+('CurrentPor-LH=10 unchanged'!C202+'CurrentPor-LH=10 unchanged'!I202)/100)+103/POWER(1+('CurrentPor-LH=10 unchanged'!D202+'CurrentPor-LH=10 unchanged'!I202)/100,2))*100</f>
        <v>9566.297220702867</v>
      </c>
      <c r="F202">
        <f>Portfolio!B$5*'CurrentPor-LH=10 unchanged'!E202</f>
        <v>52143.895533915893</v>
      </c>
      <c r="G202">
        <f>Portfolio!B$6*'CurrentPor-LH=10 unchanged'!F202</f>
        <v>3696.2945087936532</v>
      </c>
      <c r="H202">
        <f>Portfolio!B$7*'CurrentPor-LH=10 unchanged'!J202</f>
        <v>2148.0998964419859</v>
      </c>
      <c r="I202">
        <f t="shared" si="6"/>
        <v>96468.921657490529</v>
      </c>
      <c r="J202">
        <f t="shared" si="5"/>
        <v>-7.50640002291766</v>
      </c>
    </row>
    <row r="203" spans="1:10">
      <c r="A203" s="1">
        <v>45754</v>
      </c>
      <c r="B203">
        <f>(3/(1+('CurrentPor-LH=10 unchanged'!C203)/100)+103/POWER(1+('CurrentPor-LH=10 unchanged'!D203)/100,2))*100</f>
        <v>9707.5857774288397</v>
      </c>
      <c r="C203">
        <f>(3/(1+('CurrentPor-LH=10 unchanged'!C203+'CurrentPor-LH=10 unchanged'!G203)/100)+103/POWER(1+('CurrentPor-LH=10 unchanged'!D203+'CurrentPor-LH=10 unchanged'!G203)/100,2))*100</f>
        <v>9634.9718358118935</v>
      </c>
      <c r="D203">
        <f>(3/(1+('CurrentPor-LH=10 unchanged'!C203+'CurrentPor-LH=10 unchanged'!H203)/100)+103/POWER(1+('CurrentPor-LH=10 unchanged'!D203+'CurrentPor-LH=10 unchanged'!H203)/100,2))*100</f>
        <v>9617.3713605007088</v>
      </c>
      <c r="E203">
        <f>(3/(1+('CurrentPor-LH=10 unchanged'!C203+'CurrentPor-LH=10 unchanged'!I203)/100)+103/POWER(1+('CurrentPor-LH=10 unchanged'!D203+'CurrentPor-LH=10 unchanged'!I203)/100,2))*100</f>
        <v>9583.3199530551301</v>
      </c>
      <c r="F203">
        <f>Portfolio!B$5*'CurrentPor-LH=10 unchanged'!E203</f>
        <v>52143.895533915893</v>
      </c>
      <c r="G203">
        <f>Portfolio!B$6*'CurrentPor-LH=10 unchanged'!F203</f>
        <v>3696.2945087936532</v>
      </c>
      <c r="H203">
        <f>Portfolio!B$7*'CurrentPor-LH=10 unchanged'!J203</f>
        <v>2148.0998964419859</v>
      </c>
      <c r="I203">
        <f t="shared" si="6"/>
        <v>96531.53886594811</v>
      </c>
      <c r="J203">
        <f t="shared" si="5"/>
        <v>51.130797015532153</v>
      </c>
    </row>
    <row r="204" spans="1:10">
      <c r="A204" s="1">
        <v>45755</v>
      </c>
      <c r="B204">
        <f>(3/(1+('CurrentPor-LH=10 unchanged'!C204)/100)+103/POWER(1+('CurrentPor-LH=10 unchanged'!D204)/100,2))*100</f>
        <v>9707.5857774288397</v>
      </c>
      <c r="C204">
        <f>(3/(1+('CurrentPor-LH=10 unchanged'!C204+'CurrentPor-LH=10 unchanged'!G204)/100)+103/POWER(1+('CurrentPor-LH=10 unchanged'!D204+'CurrentPor-LH=10 unchanged'!G204)/100,2))*100</f>
        <v>9607.2524405912227</v>
      </c>
      <c r="D204">
        <f>(3/(1+('CurrentPor-LH=10 unchanged'!C204+'CurrentPor-LH=10 unchanged'!H204)/100)+103/POWER(1+('CurrentPor-LH=10 unchanged'!D204+'CurrentPor-LH=10 unchanged'!H204)/100,2))*100</f>
        <v>9585.304414453818</v>
      </c>
      <c r="E204">
        <f>(3/(1+('CurrentPor-LH=10 unchanged'!C204+'CurrentPor-LH=10 unchanged'!I204)/100)+103/POWER(1+('CurrentPor-LH=10 unchanged'!D204+'CurrentPor-LH=10 unchanged'!I204)/100,2))*100</f>
        <v>9589.3712012098749</v>
      </c>
      <c r="F204">
        <f>Portfolio!B$5*'CurrentPor-LH=10 unchanged'!E204</f>
        <v>52143.895533915893</v>
      </c>
      <c r="G204">
        <f>Portfolio!B$6*'CurrentPor-LH=10 unchanged'!F204</f>
        <v>3696.2945087936532</v>
      </c>
      <c r="H204">
        <f>Portfolio!B$7*'CurrentPor-LH=10 unchanged'!J204</f>
        <v>2148.0998964419859</v>
      </c>
      <c r="I204">
        <f t="shared" si="6"/>
        <v>96477.803772835279</v>
      </c>
      <c r="J204">
        <f t="shared" si="5"/>
        <v>-22.237114309915341</v>
      </c>
    </row>
    <row r="205" spans="1:10">
      <c r="A205" s="1">
        <v>45756</v>
      </c>
      <c r="B205">
        <f>(3/(1+('CurrentPor-LH=10 unchanged'!C205)/100)+103/POWER(1+('CurrentPor-LH=10 unchanged'!D205)/100,2))*100</f>
        <v>9707.5857774288397</v>
      </c>
      <c r="C205">
        <f>(3/(1+('CurrentPor-LH=10 unchanged'!C205+'CurrentPor-LH=10 unchanged'!G205)/100)+103/POWER(1+('CurrentPor-LH=10 unchanged'!D205+'CurrentPor-LH=10 unchanged'!G205)/100,2))*100</f>
        <v>9620.8865531484171</v>
      </c>
      <c r="D205">
        <f>(3/(1+('CurrentPor-LH=10 unchanged'!C205+'CurrentPor-LH=10 unchanged'!H205)/100)+103/POWER(1+('CurrentPor-LH=10 unchanged'!D205+'CurrentPor-LH=10 unchanged'!H205)/100,2))*100</f>
        <v>9599.6951239519767</v>
      </c>
      <c r="E205">
        <f>(3/(1+('CurrentPor-LH=10 unchanged'!C205+'CurrentPor-LH=10 unchanged'!I205)/100)+103/POWER(1+('CurrentPor-LH=10 unchanged'!D205+'CurrentPor-LH=10 unchanged'!I205)/100,2))*100</f>
        <v>9594.5449984779607</v>
      </c>
      <c r="F205">
        <f>Portfolio!B$5*'CurrentPor-LH=10 unchanged'!E205</f>
        <v>52143.895533915893</v>
      </c>
      <c r="G205">
        <f>Portfolio!B$6*'CurrentPor-LH=10 unchanged'!F205</f>
        <v>3696.2945087936532</v>
      </c>
      <c r="H205">
        <f>Portfolio!B$7*'CurrentPor-LH=10 unchanged'!J205</f>
        <v>2148.0998964419859</v>
      </c>
      <c r="I205">
        <f t="shared" si="6"/>
        <v>96511.002392158727</v>
      </c>
      <c r="J205">
        <f t="shared" si="5"/>
        <v>7.059225987715763</v>
      </c>
    </row>
    <row r="206" spans="1:10">
      <c r="A206" s="1">
        <v>45757</v>
      </c>
      <c r="B206">
        <f>(3/(1+('CurrentPor-LH=10 unchanged'!C206)/100)+103/POWER(1+('CurrentPor-LH=10 unchanged'!D206)/100,2))*100</f>
        <v>9707.5857774288397</v>
      </c>
      <c r="C206">
        <f>(3/(1+('CurrentPor-LH=10 unchanged'!C206+'CurrentPor-LH=10 unchanged'!G206)/100)+103/POWER(1+('CurrentPor-LH=10 unchanged'!D206+'CurrentPor-LH=10 unchanged'!G206)/100,2))*100</f>
        <v>9608.5974006193392</v>
      </c>
      <c r="D206">
        <f>(3/(1+('CurrentPor-LH=10 unchanged'!C206+'CurrentPor-LH=10 unchanged'!H206)/100)+103/POWER(1+('CurrentPor-LH=10 unchanged'!D206+'CurrentPor-LH=10 unchanged'!H206)/100,2))*100</f>
        <v>9603.2688926107458</v>
      </c>
      <c r="E206">
        <f>(3/(1+('CurrentPor-LH=10 unchanged'!C206+'CurrentPor-LH=10 unchanged'!I206)/100)+103/POWER(1+('CurrentPor-LH=10 unchanged'!D206+'CurrentPor-LH=10 unchanged'!I206)/100,2))*100</f>
        <v>9574.3661645693555</v>
      </c>
      <c r="F206">
        <f>Portfolio!B$5*'CurrentPor-LH=10 unchanged'!E206</f>
        <v>52143.895533915893</v>
      </c>
      <c r="G206">
        <f>Portfolio!B$6*'CurrentPor-LH=10 unchanged'!F206</f>
        <v>3696.2945087936532</v>
      </c>
      <c r="H206">
        <f>Portfolio!B$7*'CurrentPor-LH=10 unchanged'!J206</f>
        <v>2148.0998964419859</v>
      </c>
      <c r="I206">
        <f t="shared" si="6"/>
        <v>96482.108174379813</v>
      </c>
      <c r="J206">
        <f t="shared" ref="J206:J263" si="7">I206-I196</f>
        <v>-32.931861487857532</v>
      </c>
    </row>
    <row r="207" spans="1:10">
      <c r="A207" s="1">
        <v>45758</v>
      </c>
      <c r="B207">
        <f>(3/(1+('CurrentPor-LH=10 unchanged'!C207)/100)+103/POWER(1+('CurrentPor-LH=10 unchanged'!D207)/100,2))*100</f>
        <v>9707.5857774288397</v>
      </c>
      <c r="C207">
        <f>(3/(1+('CurrentPor-LH=10 unchanged'!C207+'CurrentPor-LH=10 unchanged'!G207)/100)+103/POWER(1+('CurrentPor-LH=10 unchanged'!D207+'CurrentPor-LH=10 unchanged'!G207)/100,2))*100</f>
        <v>9599.8640055385313</v>
      </c>
      <c r="D207">
        <f>(3/(1+('CurrentPor-LH=10 unchanged'!C207+'CurrentPor-LH=10 unchanged'!H207)/100)+103/POWER(1+('CurrentPor-LH=10 unchanged'!D207+'CurrentPor-LH=10 unchanged'!H207)/100,2))*100</f>
        <v>9602.8867591751532</v>
      </c>
      <c r="E207">
        <f>(3/(1+('CurrentPor-LH=10 unchanged'!C207+'CurrentPor-LH=10 unchanged'!I207)/100)+103/POWER(1+('CurrentPor-LH=10 unchanged'!D207+'CurrentPor-LH=10 unchanged'!I207)/100,2))*100</f>
        <v>9580.8463983977254</v>
      </c>
      <c r="F207">
        <f>Portfolio!B$5*'CurrentPor-LH=10 unchanged'!E207</f>
        <v>52143.895533915893</v>
      </c>
      <c r="G207">
        <f>Portfolio!B$6*'CurrentPor-LH=10 unchanged'!F207</f>
        <v>3696.2945087936532</v>
      </c>
      <c r="H207">
        <f>Portfolio!B$7*'CurrentPor-LH=10 unchanged'!J207</f>
        <v>2148.0998964419859</v>
      </c>
      <c r="I207">
        <f t="shared" si="6"/>
        <v>96479.472879691792</v>
      </c>
      <c r="J207">
        <f t="shared" si="7"/>
        <v>-22.045932331675431</v>
      </c>
    </row>
    <row r="208" spans="1:10">
      <c r="A208" s="1">
        <v>45761</v>
      </c>
      <c r="B208">
        <f>(3/(1+('CurrentPor-LH=10 unchanged'!C208)/100)+103/POWER(1+('CurrentPor-LH=10 unchanged'!D208)/100,2))*100</f>
        <v>9707.5857774288397</v>
      </c>
      <c r="C208">
        <f>(3/(1+('CurrentPor-LH=10 unchanged'!C208+'CurrentPor-LH=10 unchanged'!G208)/100)+103/POWER(1+('CurrentPor-LH=10 unchanged'!D208+'CurrentPor-LH=10 unchanged'!G208)/100,2))*100</f>
        <v>9630.8652929256277</v>
      </c>
      <c r="D208">
        <f>(3/(1+('CurrentPor-LH=10 unchanged'!C208+'CurrentPor-LH=10 unchanged'!H208)/100)+103/POWER(1+('CurrentPor-LH=10 unchanged'!D208+'CurrentPor-LH=10 unchanged'!H208)/100,2))*100</f>
        <v>9598.3119700894895</v>
      </c>
      <c r="E208">
        <f>(3/(1+('CurrentPor-LH=10 unchanged'!C208+'CurrentPor-LH=10 unchanged'!I208)/100)+103/POWER(1+('CurrentPor-LH=10 unchanged'!D208+'CurrentPor-LH=10 unchanged'!I208)/100,2))*100</f>
        <v>9560.0837518491226</v>
      </c>
      <c r="F208">
        <f>Portfolio!B$5*'CurrentPor-LH=10 unchanged'!E208</f>
        <v>52143.895533915893</v>
      </c>
      <c r="G208">
        <f>Portfolio!B$6*'CurrentPor-LH=10 unchanged'!F208</f>
        <v>3696.2945087936532</v>
      </c>
      <c r="H208">
        <f>Portfolio!B$7*'CurrentPor-LH=10 unchanged'!J208</f>
        <v>2148.0998964419859</v>
      </c>
      <c r="I208">
        <f t="shared" si="6"/>
        <v>96485.136731444611</v>
      </c>
      <c r="J208">
        <f t="shared" si="7"/>
        <v>6.681239982455736</v>
      </c>
    </row>
    <row r="209" spans="1:10">
      <c r="A209" s="1">
        <v>45762</v>
      </c>
      <c r="B209">
        <f>(3/(1+('CurrentPor-LH=10 unchanged'!C209)/100)+103/POWER(1+('CurrentPor-LH=10 unchanged'!D209)/100,2))*100</f>
        <v>9707.5857774288397</v>
      </c>
      <c r="C209">
        <f>(3/(1+('CurrentPor-LH=10 unchanged'!C209+'CurrentPor-LH=10 unchanged'!G209)/100)+103/POWER(1+('CurrentPor-LH=10 unchanged'!D209+'CurrentPor-LH=10 unchanged'!G209)/100,2))*100</f>
        <v>9612.6044470489542</v>
      </c>
      <c r="D209">
        <f>(3/(1+('CurrentPor-LH=10 unchanged'!C209+'CurrentPor-LH=10 unchanged'!H209)/100)+103/POWER(1+('CurrentPor-LH=10 unchanged'!D209+'CurrentPor-LH=10 unchanged'!H209)/100,2))*100</f>
        <v>9601.4820896872588</v>
      </c>
      <c r="E209">
        <f>(3/(1+('CurrentPor-LH=10 unchanged'!C209+'CurrentPor-LH=10 unchanged'!I209)/100)+103/POWER(1+('CurrentPor-LH=10 unchanged'!D209+'CurrentPor-LH=10 unchanged'!I209)/100,2))*100</f>
        <v>9580.2486579575962</v>
      </c>
      <c r="F209">
        <f>Portfolio!B$5*'CurrentPor-LH=10 unchanged'!E209</f>
        <v>52143.895533915893</v>
      </c>
      <c r="G209">
        <f>Portfolio!B$6*'CurrentPor-LH=10 unchanged'!F209</f>
        <v>3696.2945087936532</v>
      </c>
      <c r="H209">
        <f>Portfolio!B$7*'CurrentPor-LH=10 unchanged'!J209</f>
        <v>2148.0998964419859</v>
      </c>
      <c r="I209">
        <f t="shared" si="6"/>
        <v>96490.210911274175</v>
      </c>
      <c r="J209">
        <f t="shared" si="7"/>
        <v>-28.864341415872332</v>
      </c>
    </row>
    <row r="210" spans="1:10">
      <c r="A210" s="1">
        <v>45763</v>
      </c>
      <c r="B210">
        <f>(3/(1+('CurrentPor-LH=10 unchanged'!C210)/100)+103/POWER(1+('CurrentPor-LH=10 unchanged'!D210)/100,2))*100</f>
        <v>9707.5857774288397</v>
      </c>
      <c r="C210">
        <f>(3/(1+('CurrentPor-LH=10 unchanged'!C210+'CurrentPor-LH=10 unchanged'!G210)/100)+103/POWER(1+('CurrentPor-LH=10 unchanged'!D210+'CurrentPor-LH=10 unchanged'!G210)/100,2))*100</f>
        <v>9617.1492774703656</v>
      </c>
      <c r="D210">
        <f>(3/(1+('CurrentPor-LH=10 unchanged'!C210+'CurrentPor-LH=10 unchanged'!H210)/100)+103/POWER(1+('CurrentPor-LH=10 unchanged'!D210+'CurrentPor-LH=10 unchanged'!H210)/100,2))*100</f>
        <v>9594.4735986264932</v>
      </c>
      <c r="E210">
        <f>(3/(1+('CurrentPor-LH=10 unchanged'!C210+'CurrentPor-LH=10 unchanged'!I210)/100)+103/POWER(1+('CurrentPor-LH=10 unchanged'!D210+'CurrentPor-LH=10 unchanged'!I210)/100,2))*100</f>
        <v>9582.5568860344702</v>
      </c>
      <c r="F210">
        <f>Portfolio!B$5*'CurrentPor-LH=10 unchanged'!E210</f>
        <v>52143.895533915893</v>
      </c>
      <c r="G210">
        <f>Portfolio!B$6*'CurrentPor-LH=10 unchanged'!F210</f>
        <v>3696.2945087936532</v>
      </c>
      <c r="H210">
        <f>Portfolio!B$7*'CurrentPor-LH=10 unchanged'!J210</f>
        <v>2148.0998964419859</v>
      </c>
      <c r="I210">
        <f t="shared" si="6"/>
        <v>96490.0554787117</v>
      </c>
      <c r="J210">
        <f t="shared" si="7"/>
        <v>11.550757617675117</v>
      </c>
    </row>
    <row r="211" spans="1:10">
      <c r="A211" s="1">
        <v>45764</v>
      </c>
      <c r="B211">
        <f>(3/(1+('CurrentPor-LH=10 unchanged'!C211)/100)+103/POWER(1+('CurrentPor-LH=10 unchanged'!D211)/100,2))*100</f>
        <v>9707.5857774288397</v>
      </c>
      <c r="C211">
        <f>(3/(1+('CurrentPor-LH=10 unchanged'!C211+'CurrentPor-LH=10 unchanged'!G211)/100)+103/POWER(1+('CurrentPor-LH=10 unchanged'!D211+'CurrentPor-LH=10 unchanged'!G211)/100,2))*100</f>
        <v>9602.6260318446148</v>
      </c>
      <c r="D211">
        <f>(3/(1+('CurrentPor-LH=10 unchanged'!C211+'CurrentPor-LH=10 unchanged'!H211)/100)+103/POWER(1+('CurrentPor-LH=10 unchanged'!D211+'CurrentPor-LH=10 unchanged'!H211)/100,2))*100</f>
        <v>9607.7607332794487</v>
      </c>
      <c r="E211">
        <f>(3/(1+('CurrentPor-LH=10 unchanged'!C211+'CurrentPor-LH=10 unchanged'!I211)/100)+103/POWER(1+('CurrentPor-LH=10 unchanged'!D211+'CurrentPor-LH=10 unchanged'!I211)/100,2))*100</f>
        <v>9588.2605122606528</v>
      </c>
      <c r="F211">
        <f>Portfolio!B$5*'CurrentPor-LH=10 unchanged'!E211</f>
        <v>52143.895533915893</v>
      </c>
      <c r="G211">
        <f>Portfolio!B$6*'CurrentPor-LH=10 unchanged'!F211</f>
        <v>3696.2945087936532</v>
      </c>
      <c r="H211">
        <f>Portfolio!B$7*'CurrentPor-LH=10 unchanged'!J211</f>
        <v>2148.0998964419859</v>
      </c>
      <c r="I211">
        <f t="shared" si="6"/>
        <v>96494.522993965089</v>
      </c>
      <c r="J211">
        <f t="shared" si="7"/>
        <v>-11.528997264977079</v>
      </c>
    </row>
    <row r="212" spans="1:10">
      <c r="A212" s="1">
        <v>45765</v>
      </c>
      <c r="B212">
        <f>(3/(1+('CurrentPor-LH=10 unchanged'!C212)/100)+103/POWER(1+('CurrentPor-LH=10 unchanged'!D212)/100,2))*100</f>
        <v>9707.5857774288397</v>
      </c>
      <c r="C212">
        <f>(3/(1+('CurrentPor-LH=10 unchanged'!C212+'CurrentPor-LH=10 unchanged'!G212)/100)+103/POWER(1+('CurrentPor-LH=10 unchanged'!D212+'CurrentPor-LH=10 unchanged'!G212)/100,2))*100</f>
        <v>9603.9165430369176</v>
      </c>
      <c r="D212">
        <f>(3/(1+('CurrentPor-LH=10 unchanged'!C212+'CurrentPor-LH=10 unchanged'!H212)/100)+103/POWER(1+('CurrentPor-LH=10 unchanged'!D212+'CurrentPor-LH=10 unchanged'!H212)/100,2))*100</f>
        <v>9599.8710065448122</v>
      </c>
      <c r="E212">
        <f>(3/(1+('CurrentPor-LH=10 unchanged'!C212+'CurrentPor-LH=10 unchanged'!I212)/100)+103/POWER(1+('CurrentPor-LH=10 unchanged'!D212+'CurrentPor-LH=10 unchanged'!I212)/100,2))*100</f>
        <v>9588.9558904481692</v>
      </c>
      <c r="F212">
        <f>Portfolio!B$5*'CurrentPor-LH=10 unchanged'!E212</f>
        <v>52143.895533915893</v>
      </c>
      <c r="G212">
        <f>Portfolio!B$6*'CurrentPor-LH=10 unchanged'!F212</f>
        <v>3696.2945087936532</v>
      </c>
      <c r="H212">
        <f>Portfolio!B$7*'CurrentPor-LH=10 unchanged'!J212</f>
        <v>2148.0998964419859</v>
      </c>
      <c r="I212">
        <f t="shared" si="6"/>
        <v>96488.619156610264</v>
      </c>
      <c r="J212">
        <f t="shared" si="7"/>
        <v>19.697499119734857</v>
      </c>
    </row>
    <row r="213" spans="1:10">
      <c r="A213" s="1">
        <v>45768</v>
      </c>
      <c r="B213">
        <f>(3/(1+('CurrentPor-LH=10 unchanged'!C213)/100)+103/POWER(1+('CurrentPor-LH=10 unchanged'!D213)/100,2))*100</f>
        <v>9707.5857774288397</v>
      </c>
      <c r="C213">
        <f>(3/(1+('CurrentPor-LH=10 unchanged'!C213+'CurrentPor-LH=10 unchanged'!G213)/100)+103/POWER(1+('CurrentPor-LH=10 unchanged'!D213+'CurrentPor-LH=10 unchanged'!G213)/100,2))*100</f>
        <v>9612.662726576189</v>
      </c>
      <c r="D213">
        <f>(3/(1+('CurrentPor-LH=10 unchanged'!C213+'CurrentPor-LH=10 unchanged'!H213)/100)+103/POWER(1+('CurrentPor-LH=10 unchanged'!D213+'CurrentPor-LH=10 unchanged'!H213)/100,2))*100</f>
        <v>9592.362474861151</v>
      </c>
      <c r="E213">
        <f>(3/(1+('CurrentPor-LH=10 unchanged'!C213+'CurrentPor-LH=10 unchanged'!I213)/100)+103/POWER(1+('CurrentPor-LH=10 unchanged'!D213+'CurrentPor-LH=10 unchanged'!I213)/100,2))*100</f>
        <v>9598.4157720027233</v>
      </c>
      <c r="F213">
        <f>Portfolio!B$5*'CurrentPor-LH=10 unchanged'!E213</f>
        <v>52143.895533915893</v>
      </c>
      <c r="G213">
        <f>Portfolio!B$6*'CurrentPor-LH=10 unchanged'!F213</f>
        <v>3696.2945087936532</v>
      </c>
      <c r="H213">
        <f>Portfolio!B$7*'CurrentPor-LH=10 unchanged'!J213</f>
        <v>2148.0998964419859</v>
      </c>
      <c r="I213">
        <f t="shared" si="6"/>
        <v>96499.316690020438</v>
      </c>
      <c r="J213">
        <f t="shared" si="7"/>
        <v>-32.222175927672652</v>
      </c>
    </row>
    <row r="214" spans="1:10">
      <c r="A214" s="1">
        <v>45769</v>
      </c>
      <c r="B214">
        <f>(3/(1+('CurrentPor-LH=10 unchanged'!C214)/100)+103/POWER(1+('CurrentPor-LH=10 unchanged'!D214)/100,2))*100</f>
        <v>9707.5857774288397</v>
      </c>
      <c r="C214">
        <f>(3/(1+('CurrentPor-LH=10 unchanged'!C214+'CurrentPor-LH=10 unchanged'!G214)/100)+103/POWER(1+('CurrentPor-LH=10 unchanged'!D214+'CurrentPor-LH=10 unchanged'!G214)/100,2))*100</f>
        <v>9601.5948043760964</v>
      </c>
      <c r="D214">
        <f>(3/(1+('CurrentPor-LH=10 unchanged'!C214+'CurrentPor-LH=10 unchanged'!H214)/100)+103/POWER(1+('CurrentPor-LH=10 unchanged'!D214+'CurrentPor-LH=10 unchanged'!H214)/100,2))*100</f>
        <v>9596.5130751926426</v>
      </c>
      <c r="E214">
        <f>(3/(1+('CurrentPor-LH=10 unchanged'!C214+'CurrentPor-LH=10 unchanged'!I214)/100)+103/POWER(1+('CurrentPor-LH=10 unchanged'!D214+'CurrentPor-LH=10 unchanged'!I214)/100,2))*100</f>
        <v>9574.0016744813965</v>
      </c>
      <c r="F214">
        <f>Portfolio!B$5*'CurrentPor-LH=10 unchanged'!E214</f>
        <v>52143.895533915893</v>
      </c>
      <c r="G214">
        <f>Portfolio!B$6*'CurrentPor-LH=10 unchanged'!F214</f>
        <v>3696.2945087936532</v>
      </c>
      <c r="H214">
        <f>Portfolio!B$7*'CurrentPor-LH=10 unchanged'!J214</f>
        <v>2148.0998964419859</v>
      </c>
      <c r="I214">
        <f t="shared" si="6"/>
        <v>96467.98527063051</v>
      </c>
      <c r="J214">
        <f t="shared" si="7"/>
        <v>-9.8185022047691746</v>
      </c>
    </row>
    <row r="215" spans="1:10">
      <c r="A215" s="1">
        <v>45770</v>
      </c>
      <c r="B215">
        <f>(3/(1+('CurrentPor-LH=10 unchanged'!C215)/100)+103/POWER(1+('CurrentPor-LH=10 unchanged'!D215)/100,2))*100</f>
        <v>9707.5857774288397</v>
      </c>
      <c r="C215">
        <f>(3/(1+('CurrentPor-LH=10 unchanged'!C215+'CurrentPor-LH=10 unchanged'!G215)/100)+103/POWER(1+('CurrentPor-LH=10 unchanged'!D215+'CurrentPor-LH=10 unchanged'!G215)/100,2))*100</f>
        <v>9618.3490104269604</v>
      </c>
      <c r="D215">
        <f>(3/(1+('CurrentPor-LH=10 unchanged'!C215+'CurrentPor-LH=10 unchanged'!H215)/100)+103/POWER(1+('CurrentPor-LH=10 unchanged'!D215+'CurrentPor-LH=10 unchanged'!H215)/100,2))*100</f>
        <v>9600.0751206636287</v>
      </c>
      <c r="E215">
        <f>(3/(1+('CurrentPor-LH=10 unchanged'!C215+'CurrentPor-LH=10 unchanged'!I215)/100)+103/POWER(1+('CurrentPor-LH=10 unchanged'!D215+'CurrentPor-LH=10 unchanged'!I215)/100,2))*100</f>
        <v>9578.8215550486748</v>
      </c>
      <c r="F215">
        <f>Portfolio!B$5*'CurrentPor-LH=10 unchanged'!E215</f>
        <v>52143.895533915893</v>
      </c>
      <c r="G215">
        <f>Portfolio!B$6*'CurrentPor-LH=10 unchanged'!F215</f>
        <v>3696.2945087936532</v>
      </c>
      <c r="H215">
        <f>Portfolio!B$7*'CurrentPor-LH=10 unchanged'!J215</f>
        <v>2148.0998964419859</v>
      </c>
      <c r="I215">
        <f t="shared" si="6"/>
        <v>96493.121402719626</v>
      </c>
      <c r="J215">
        <f t="shared" si="7"/>
        <v>-17.88098943910154</v>
      </c>
    </row>
    <row r="216" spans="1:10">
      <c r="A216" s="1">
        <v>45771</v>
      </c>
      <c r="B216">
        <f>(3/(1+('CurrentPor-LH=10 unchanged'!C216)/100)+103/POWER(1+('CurrentPor-LH=10 unchanged'!D216)/100,2))*100</f>
        <v>9707.5857774288397</v>
      </c>
      <c r="C216">
        <f>(3/(1+('CurrentPor-LH=10 unchanged'!C216+'CurrentPor-LH=10 unchanged'!G216)/100)+103/POWER(1+('CurrentPor-LH=10 unchanged'!D216+'CurrentPor-LH=10 unchanged'!G216)/100,2))*100</f>
        <v>9621.2766411232387</v>
      </c>
      <c r="D216">
        <f>(3/(1+('CurrentPor-LH=10 unchanged'!C216+'CurrentPor-LH=10 unchanged'!H216)/100)+103/POWER(1+('CurrentPor-LH=10 unchanged'!D216+'CurrentPor-LH=10 unchanged'!H216)/100,2))*100</f>
        <v>9574.8708815213213</v>
      </c>
      <c r="E216">
        <f>(3/(1+('CurrentPor-LH=10 unchanged'!C216+'CurrentPor-LH=10 unchanged'!I216)/100)+103/POWER(1+('CurrentPor-LH=10 unchanged'!D216+'CurrentPor-LH=10 unchanged'!I216)/100,2))*100</f>
        <v>9571.338688744112</v>
      </c>
      <c r="F216">
        <f>Portfolio!B$5*'CurrentPor-LH=10 unchanged'!E216</f>
        <v>52143.895533915893</v>
      </c>
      <c r="G216">
        <f>Portfolio!B$6*'CurrentPor-LH=10 unchanged'!F216</f>
        <v>3696.2945087936532</v>
      </c>
      <c r="H216">
        <f>Portfolio!B$7*'CurrentPor-LH=10 unchanged'!J216</f>
        <v>2148.0998964419859</v>
      </c>
      <c r="I216">
        <f t="shared" si="6"/>
        <v>96463.361927969047</v>
      </c>
      <c r="J216">
        <f t="shared" si="7"/>
        <v>-18.746246410766616</v>
      </c>
    </row>
    <row r="217" spans="1:10">
      <c r="A217" s="1">
        <v>45772</v>
      </c>
      <c r="B217">
        <f>(3/(1+('CurrentPor-LH=10 unchanged'!C217)/100)+103/POWER(1+('CurrentPor-LH=10 unchanged'!D217)/100,2))*100</f>
        <v>9707.5857774288397</v>
      </c>
      <c r="C217">
        <f>(3/(1+('CurrentPor-LH=10 unchanged'!C217+'CurrentPor-LH=10 unchanged'!G217)/100)+103/POWER(1+('CurrentPor-LH=10 unchanged'!D217+'CurrentPor-LH=10 unchanged'!G217)/100,2))*100</f>
        <v>9616.906275521902</v>
      </c>
      <c r="D217">
        <f>(3/(1+('CurrentPor-LH=10 unchanged'!C217+'CurrentPor-LH=10 unchanged'!H217)/100)+103/POWER(1+('CurrentPor-LH=10 unchanged'!D217+'CurrentPor-LH=10 unchanged'!H217)/100,2))*100</f>
        <v>9609.0113978747941</v>
      </c>
      <c r="E217">
        <f>(3/(1+('CurrentPor-LH=10 unchanged'!C217+'CurrentPor-LH=10 unchanged'!I217)/100)+103/POWER(1+('CurrentPor-LH=10 unchanged'!D217+'CurrentPor-LH=10 unchanged'!I217)/100,2))*100</f>
        <v>9564.9972332803336</v>
      </c>
      <c r="F217">
        <f>Portfolio!B$5*'CurrentPor-LH=10 unchanged'!E217</f>
        <v>52143.895533915893</v>
      </c>
      <c r="G217">
        <f>Portfolio!B$6*'CurrentPor-LH=10 unchanged'!F217</f>
        <v>3696.2945087936532</v>
      </c>
      <c r="H217">
        <f>Portfolio!B$7*'CurrentPor-LH=10 unchanged'!J217</f>
        <v>2148.0998964419859</v>
      </c>
      <c r="I217">
        <f t="shared" si="6"/>
        <v>96486.790623257402</v>
      </c>
      <c r="J217">
        <f t="shared" si="7"/>
        <v>7.3177435656107264</v>
      </c>
    </row>
    <row r="218" spans="1:10">
      <c r="A218" s="1">
        <v>45775</v>
      </c>
      <c r="B218">
        <f>(3/(1+('CurrentPor-LH=10 unchanged'!C218)/100)+103/POWER(1+('CurrentPor-LH=10 unchanged'!D218)/100,2))*100</f>
        <v>9707.5857774288397</v>
      </c>
      <c r="C218">
        <f>(3/(1+('CurrentPor-LH=10 unchanged'!C218+'CurrentPor-LH=10 unchanged'!G218)/100)+103/POWER(1+('CurrentPor-LH=10 unchanged'!D218+'CurrentPor-LH=10 unchanged'!G218)/100,2))*100</f>
        <v>9615.5278471715155</v>
      </c>
      <c r="D218">
        <f>(3/(1+('CurrentPor-LH=10 unchanged'!C218+'CurrentPor-LH=10 unchanged'!H218)/100)+103/POWER(1+('CurrentPor-LH=10 unchanged'!D218+'CurrentPor-LH=10 unchanged'!H218)/100,2))*100</f>
        <v>9587.1688829250379</v>
      </c>
      <c r="E218">
        <f>(3/(1+('CurrentPor-LH=10 unchanged'!C218+'CurrentPor-LH=10 unchanged'!I218)/100)+103/POWER(1+('CurrentPor-LH=10 unchanged'!D218+'CurrentPor-LH=10 unchanged'!I218)/100,2))*100</f>
        <v>9568.3619975594156</v>
      </c>
      <c r="F218">
        <f>Portfolio!B$5*'CurrentPor-LH=10 unchanged'!E218</f>
        <v>52143.895533915893</v>
      </c>
      <c r="G218">
        <f>Portfolio!B$6*'CurrentPor-LH=10 unchanged'!F218</f>
        <v>3696.2945087936532</v>
      </c>
      <c r="H218">
        <f>Portfolio!B$7*'CurrentPor-LH=10 unchanged'!J218</f>
        <v>2148.0998964419859</v>
      </c>
      <c r="I218">
        <f t="shared" si="6"/>
        <v>96466.934444236351</v>
      </c>
      <c r="J218">
        <f t="shared" si="7"/>
        <v>-18.202287208259804</v>
      </c>
    </row>
    <row r="219" spans="1:10">
      <c r="A219" s="1">
        <v>45776</v>
      </c>
      <c r="B219">
        <f>(3/(1+('CurrentPor-LH=10 unchanged'!C219)/100)+103/POWER(1+('CurrentPor-LH=10 unchanged'!D219)/100,2))*100</f>
        <v>9707.5857774288397</v>
      </c>
      <c r="C219">
        <f>(3/(1+('CurrentPor-LH=10 unchanged'!C219+'CurrentPor-LH=10 unchanged'!G219)/100)+103/POWER(1+('CurrentPor-LH=10 unchanged'!D219+'CurrentPor-LH=10 unchanged'!G219)/100,2))*100</f>
        <v>9618.1345271876089</v>
      </c>
      <c r="D219">
        <f>(3/(1+('CurrentPor-LH=10 unchanged'!C219+'CurrentPor-LH=10 unchanged'!H219)/100)+103/POWER(1+('CurrentPor-LH=10 unchanged'!D219+'CurrentPor-LH=10 unchanged'!H219)/100,2))*100</f>
        <v>9612.3992999632464</v>
      </c>
      <c r="E219">
        <f>(3/(1+('CurrentPor-LH=10 unchanged'!C219+'CurrentPor-LH=10 unchanged'!I219)/100)+103/POWER(1+('CurrentPor-LH=10 unchanged'!D219+'CurrentPor-LH=10 unchanged'!I219)/100,2))*100</f>
        <v>9583.07679334557</v>
      </c>
      <c r="F219">
        <f>Portfolio!B$5*'CurrentPor-LH=10 unchanged'!E219</f>
        <v>52143.895533915893</v>
      </c>
      <c r="G219">
        <f>Portfolio!B$6*'CurrentPor-LH=10 unchanged'!F219</f>
        <v>3696.2945087936532</v>
      </c>
      <c r="H219">
        <f>Portfolio!B$7*'CurrentPor-LH=10 unchanged'!J219</f>
        <v>2148.0998964419859</v>
      </c>
      <c r="I219">
        <f t="shared" si="6"/>
        <v>96509.4863370768</v>
      </c>
      <c r="J219">
        <f t="shared" si="7"/>
        <v>19.27542580262525</v>
      </c>
    </row>
    <row r="220" spans="1:10">
      <c r="A220" s="1">
        <v>45777</v>
      </c>
      <c r="B220">
        <f>(3/(1+('CurrentPor-LH=10 unchanged'!C220)/100)+103/POWER(1+('CurrentPor-LH=10 unchanged'!D220)/100,2))*100</f>
        <v>9707.5857774288397</v>
      </c>
      <c r="C220">
        <f>(3/(1+('CurrentPor-LH=10 unchanged'!C220+'CurrentPor-LH=10 unchanged'!G220)/100)+103/POWER(1+('CurrentPor-LH=10 unchanged'!D220+'CurrentPor-LH=10 unchanged'!G220)/100,2))*100</f>
        <v>9617.6570355676286</v>
      </c>
      <c r="D220">
        <f>(3/(1+('CurrentPor-LH=10 unchanged'!C220+'CurrentPor-LH=10 unchanged'!H220)/100)+103/POWER(1+('CurrentPor-LH=10 unchanged'!D220+'CurrentPor-LH=10 unchanged'!H220)/100,2))*100</f>
        <v>9618.824973961664</v>
      </c>
      <c r="E220">
        <f>(3/(1+('CurrentPor-LH=10 unchanged'!C220+'CurrentPor-LH=10 unchanged'!I220)/100)+103/POWER(1+('CurrentPor-LH=10 unchanged'!D220+'CurrentPor-LH=10 unchanged'!I220)/100,2))*100</f>
        <v>9589.0555331349078</v>
      </c>
      <c r="F220">
        <f>Portfolio!B$5*'CurrentPor-LH=10 unchanged'!E220</f>
        <v>52143.895533915893</v>
      </c>
      <c r="G220">
        <f>Portfolio!B$6*'CurrentPor-LH=10 unchanged'!F220</f>
        <v>3696.2945087936532</v>
      </c>
      <c r="H220">
        <f>Portfolio!B$7*'CurrentPor-LH=10 unchanged'!J220</f>
        <v>2148.0998964419859</v>
      </c>
      <c r="I220">
        <f t="shared" si="6"/>
        <v>96521.413259244568</v>
      </c>
      <c r="J220">
        <f t="shared" si="7"/>
        <v>31.357780532867764</v>
      </c>
    </row>
    <row r="221" spans="1:10">
      <c r="A221" s="1">
        <v>45778</v>
      </c>
      <c r="B221">
        <f>(3/(1+('CurrentPor-LH=10 unchanged'!C221)/100)+103/POWER(1+('CurrentPor-LH=10 unchanged'!D221)/100,2))*100</f>
        <v>9707.5857774288397</v>
      </c>
      <c r="C221">
        <f>(3/(1+('CurrentPor-LH=10 unchanged'!C221+'CurrentPor-LH=10 unchanged'!G221)/100)+103/POWER(1+('CurrentPor-LH=10 unchanged'!D221+'CurrentPor-LH=10 unchanged'!G221)/100,2))*100</f>
        <v>9606.0162111308819</v>
      </c>
      <c r="D221">
        <f>(3/(1+('CurrentPor-LH=10 unchanged'!C221+'CurrentPor-LH=10 unchanged'!H221)/100)+103/POWER(1+('CurrentPor-LH=10 unchanged'!D221+'CurrentPor-LH=10 unchanged'!H221)/100,2))*100</f>
        <v>9601.6160256959756</v>
      </c>
      <c r="E221">
        <f>(3/(1+('CurrentPor-LH=10 unchanged'!C221+'CurrentPor-LH=10 unchanged'!I221)/100)+103/POWER(1+('CurrentPor-LH=10 unchanged'!D221+'CurrentPor-LH=10 unchanged'!I221)/100,2))*100</f>
        <v>9602.1762351557063</v>
      </c>
      <c r="F221">
        <f>Portfolio!B$5*'CurrentPor-LH=10 unchanged'!E221</f>
        <v>52143.895533915893</v>
      </c>
      <c r="G221">
        <f>Portfolio!B$6*'CurrentPor-LH=10 unchanged'!F221</f>
        <v>3696.2945087936532</v>
      </c>
      <c r="H221">
        <f>Portfolio!B$7*'CurrentPor-LH=10 unchanged'!J221</f>
        <v>2148.0998964419859</v>
      </c>
      <c r="I221">
        <f t="shared" si="6"/>
        <v>96505.684188562926</v>
      </c>
      <c r="J221">
        <f t="shared" si="7"/>
        <v>11.161194597836584</v>
      </c>
    </row>
    <row r="222" spans="1:10">
      <c r="A222" s="1">
        <v>45779</v>
      </c>
      <c r="B222">
        <f>(3/(1+('CurrentPor-LH=10 unchanged'!C222)/100)+103/POWER(1+('CurrentPor-LH=10 unchanged'!D222)/100,2))*100</f>
        <v>9707.5857774288397</v>
      </c>
      <c r="C222">
        <f>(3/(1+('CurrentPor-LH=10 unchanged'!C222+'CurrentPor-LH=10 unchanged'!G222)/100)+103/POWER(1+('CurrentPor-LH=10 unchanged'!D222+'CurrentPor-LH=10 unchanged'!G222)/100,2))*100</f>
        <v>9605.3545427884947</v>
      </c>
      <c r="D222">
        <f>(3/(1+('CurrentPor-LH=10 unchanged'!C222+'CurrentPor-LH=10 unchanged'!H222)/100)+103/POWER(1+('CurrentPor-LH=10 unchanged'!D222+'CurrentPor-LH=10 unchanged'!H222)/100,2))*100</f>
        <v>9603.2604147304446</v>
      </c>
      <c r="E222">
        <f>(3/(1+('CurrentPor-LH=10 unchanged'!C222+'CurrentPor-LH=10 unchanged'!I222)/100)+103/POWER(1+('CurrentPor-LH=10 unchanged'!D222+'CurrentPor-LH=10 unchanged'!I222)/100,2))*100</f>
        <v>9579.9676664463095</v>
      </c>
      <c r="F222">
        <f>Portfolio!B$5*'CurrentPor-LH=10 unchanged'!E222</f>
        <v>52143.895533915893</v>
      </c>
      <c r="G222">
        <f>Portfolio!B$6*'CurrentPor-LH=10 unchanged'!F222</f>
        <v>3696.2945087936532</v>
      </c>
      <c r="H222">
        <f>Portfolio!B$7*'CurrentPor-LH=10 unchanged'!J222</f>
        <v>2148.0998964419859</v>
      </c>
      <c r="I222">
        <f t="shared" si="6"/>
        <v>96484.458340545621</v>
      </c>
      <c r="J222">
        <f t="shared" si="7"/>
        <v>-4.1608160646428587</v>
      </c>
    </row>
    <row r="223" spans="1:10">
      <c r="A223" s="1">
        <v>45782</v>
      </c>
      <c r="B223">
        <f>(3/(1+('CurrentPor-LH=10 unchanged'!C223)/100)+103/POWER(1+('CurrentPor-LH=10 unchanged'!D223)/100,2))*100</f>
        <v>9707.5857774288397</v>
      </c>
      <c r="C223">
        <f>(3/(1+('CurrentPor-LH=10 unchanged'!C223+'CurrentPor-LH=10 unchanged'!G223)/100)+103/POWER(1+('CurrentPor-LH=10 unchanged'!D223+'CurrentPor-LH=10 unchanged'!G223)/100,2))*100</f>
        <v>9617.7010763719591</v>
      </c>
      <c r="D223">
        <f>(3/(1+('CurrentPor-LH=10 unchanged'!C223+'CurrentPor-LH=10 unchanged'!H223)/100)+103/POWER(1+('CurrentPor-LH=10 unchanged'!D223+'CurrentPor-LH=10 unchanged'!H223)/100,2))*100</f>
        <v>9592.9199905162041</v>
      </c>
      <c r="E223">
        <f>(3/(1+('CurrentPor-LH=10 unchanged'!C223+'CurrentPor-LH=10 unchanged'!I223)/100)+103/POWER(1+('CurrentPor-LH=10 unchanged'!D223+'CurrentPor-LH=10 unchanged'!I223)/100,2))*100</f>
        <v>9580.1346776542978</v>
      </c>
      <c r="F223">
        <f>Portfolio!B$5*'CurrentPor-LH=10 unchanged'!E223</f>
        <v>52143.895533915893</v>
      </c>
      <c r="G223">
        <f>Portfolio!B$6*'CurrentPor-LH=10 unchanged'!F223</f>
        <v>3696.2945087936532</v>
      </c>
      <c r="H223">
        <f>Portfolio!B$7*'CurrentPor-LH=10 unchanged'!J223</f>
        <v>2148.0998964419859</v>
      </c>
      <c r="I223">
        <f t="shared" si="6"/>
        <v>96486.63146112283</v>
      </c>
      <c r="J223">
        <f t="shared" si="7"/>
        <v>-12.685228897607885</v>
      </c>
    </row>
    <row r="224" spans="1:10">
      <c r="A224" s="1">
        <v>45783</v>
      </c>
      <c r="B224">
        <f>(3/(1+('CurrentPor-LH=10 unchanged'!C224)/100)+103/POWER(1+('CurrentPor-LH=10 unchanged'!D224)/100,2))*100</f>
        <v>9707.5857774288397</v>
      </c>
      <c r="C224">
        <f>(3/(1+('CurrentPor-LH=10 unchanged'!C224+'CurrentPor-LH=10 unchanged'!G224)/100)+103/POWER(1+('CurrentPor-LH=10 unchanged'!D224+'CurrentPor-LH=10 unchanged'!G224)/100,2))*100</f>
        <v>9610.9157877357793</v>
      </c>
      <c r="D224">
        <f>(3/(1+('CurrentPor-LH=10 unchanged'!C224+'CurrentPor-LH=10 unchanged'!H224)/100)+103/POWER(1+('CurrentPor-LH=10 unchanged'!D224+'CurrentPor-LH=10 unchanged'!H224)/100,2))*100</f>
        <v>9599.7539439954089</v>
      </c>
      <c r="E224">
        <f>(3/(1+('CurrentPor-LH=10 unchanged'!C224+'CurrentPor-LH=10 unchanged'!I224)/100)+103/POWER(1+('CurrentPor-LH=10 unchanged'!D224+'CurrentPor-LH=10 unchanged'!I224)/100,2))*100</f>
        <v>9575.7117053808579</v>
      </c>
      <c r="F224">
        <f>Portfolio!B$5*'CurrentPor-LH=10 unchanged'!E224</f>
        <v>52143.895533915893</v>
      </c>
      <c r="G224">
        <f>Portfolio!B$6*'CurrentPor-LH=10 unchanged'!F224</f>
        <v>3696.2945087936532</v>
      </c>
      <c r="H224">
        <f>Portfolio!B$7*'CurrentPor-LH=10 unchanged'!J224</f>
        <v>2148.0998964419859</v>
      </c>
      <c r="I224">
        <f t="shared" si="6"/>
        <v>96482.257153692408</v>
      </c>
      <c r="J224">
        <f t="shared" si="7"/>
        <v>14.271883061897825</v>
      </c>
    </row>
    <row r="225" spans="1:10">
      <c r="A225" s="1">
        <v>45784</v>
      </c>
      <c r="B225">
        <f>(3/(1+('CurrentPor-LH=10 unchanged'!C225)/100)+103/POWER(1+('CurrentPor-LH=10 unchanged'!D225)/100,2))*100</f>
        <v>9707.5857774288397</v>
      </c>
      <c r="C225">
        <f>(3/(1+('CurrentPor-LH=10 unchanged'!C225+'CurrentPor-LH=10 unchanged'!G225)/100)+103/POWER(1+('CurrentPor-LH=10 unchanged'!D225+'CurrentPor-LH=10 unchanged'!G225)/100,2))*100</f>
        <v>9621.9859377504836</v>
      </c>
      <c r="D225">
        <f>(3/(1+('CurrentPor-LH=10 unchanged'!C225+'CurrentPor-LH=10 unchanged'!H225)/100)+103/POWER(1+('CurrentPor-LH=10 unchanged'!D225+'CurrentPor-LH=10 unchanged'!H225)/100,2))*100</f>
        <v>9600.1719729848392</v>
      </c>
      <c r="E225">
        <f>(3/(1+('CurrentPor-LH=10 unchanged'!C225+'CurrentPor-LH=10 unchanged'!I225)/100)+103/POWER(1+('CurrentPor-LH=10 unchanged'!D225+'CurrentPor-LH=10 unchanged'!I225)/100,2))*100</f>
        <v>9586.7872422010187</v>
      </c>
      <c r="F225">
        <f>Portfolio!B$5*'CurrentPor-LH=10 unchanged'!E225</f>
        <v>52143.895533915893</v>
      </c>
      <c r="G225">
        <f>Portfolio!B$6*'CurrentPor-LH=10 unchanged'!F225</f>
        <v>3696.2945087936532</v>
      </c>
      <c r="H225">
        <f>Portfolio!B$7*'CurrentPor-LH=10 unchanged'!J225</f>
        <v>2148.0998964419859</v>
      </c>
      <c r="I225">
        <f t="shared" si="6"/>
        <v>96504.820869516712</v>
      </c>
      <c r="J225">
        <f t="shared" si="7"/>
        <v>11.699466797086643</v>
      </c>
    </row>
    <row r="226" spans="1:10">
      <c r="A226" s="1">
        <v>45785</v>
      </c>
      <c r="B226">
        <f>(3/(1+('CurrentPor-LH=10 unchanged'!C226)/100)+103/POWER(1+('CurrentPor-LH=10 unchanged'!D226)/100,2))*100</f>
        <v>9707.5857774288397</v>
      </c>
      <c r="C226">
        <f>(3/(1+('CurrentPor-LH=10 unchanged'!C226+'CurrentPor-LH=10 unchanged'!G226)/100)+103/POWER(1+('CurrentPor-LH=10 unchanged'!D226+'CurrentPor-LH=10 unchanged'!G226)/100,2))*100</f>
        <v>9609.5511586294324</v>
      </c>
      <c r="D226">
        <f>(3/(1+('CurrentPor-LH=10 unchanged'!C226+'CurrentPor-LH=10 unchanged'!H226)/100)+103/POWER(1+('CurrentPor-LH=10 unchanged'!D226+'CurrentPor-LH=10 unchanged'!H226)/100,2))*100</f>
        <v>9597.8051680672215</v>
      </c>
      <c r="E226">
        <f>(3/(1+('CurrentPor-LH=10 unchanged'!C226+'CurrentPor-LH=10 unchanged'!I226)/100)+103/POWER(1+('CurrentPor-LH=10 unchanged'!D226+'CurrentPor-LH=10 unchanged'!I226)/100,2))*100</f>
        <v>9589.0739632985569</v>
      </c>
      <c r="F226">
        <f>Portfolio!B$5*'CurrentPor-LH=10 unchanged'!E226</f>
        <v>52143.895533915893</v>
      </c>
      <c r="G226">
        <f>Portfolio!B$6*'CurrentPor-LH=10 unchanged'!F226</f>
        <v>3696.2945087936532</v>
      </c>
      <c r="H226">
        <f>Portfolio!B$7*'CurrentPor-LH=10 unchanged'!J226</f>
        <v>2148.0998964419859</v>
      </c>
      <c r="I226">
        <f t="shared" si="6"/>
        <v>96492.306006575571</v>
      </c>
      <c r="J226">
        <f t="shared" si="7"/>
        <v>28.944078606524272</v>
      </c>
    </row>
    <row r="227" spans="1:10">
      <c r="A227" s="1">
        <v>45786</v>
      </c>
      <c r="B227">
        <f>(3/(1+('CurrentPor-LH=10 unchanged'!C227)/100)+103/POWER(1+('CurrentPor-LH=10 unchanged'!D227)/100,2))*100</f>
        <v>9707.5857774288397</v>
      </c>
      <c r="C227">
        <f>(3/(1+('CurrentPor-LH=10 unchanged'!C227+'CurrentPor-LH=10 unchanged'!G227)/100)+103/POWER(1+('CurrentPor-LH=10 unchanged'!D227+'CurrentPor-LH=10 unchanged'!G227)/100,2))*100</f>
        <v>9600.4849750547073</v>
      </c>
      <c r="D227">
        <f>(3/(1+('CurrentPor-LH=10 unchanged'!C227+'CurrentPor-LH=10 unchanged'!H227)/100)+103/POWER(1+('CurrentPor-LH=10 unchanged'!D227+'CurrentPor-LH=10 unchanged'!H227)/100,2))*100</f>
        <v>9609.1248870239269</v>
      </c>
      <c r="E227">
        <f>(3/(1+('CurrentPor-LH=10 unchanged'!C227+'CurrentPor-LH=10 unchanged'!I227)/100)+103/POWER(1+('CurrentPor-LH=10 unchanged'!D227+'CurrentPor-LH=10 unchanged'!I227)/100,2))*100</f>
        <v>9592.5744248146493</v>
      </c>
      <c r="F227">
        <f>Portfolio!B$5*'CurrentPor-LH=10 unchanged'!E227</f>
        <v>52143.895533915893</v>
      </c>
      <c r="G227">
        <f>Portfolio!B$6*'CurrentPor-LH=10 unchanged'!F227</f>
        <v>3696.2945087936532</v>
      </c>
      <c r="H227">
        <f>Portfolio!B$7*'CurrentPor-LH=10 unchanged'!J227</f>
        <v>2148.0998964419859</v>
      </c>
      <c r="I227">
        <f t="shared" si="6"/>
        <v>96498.060003473656</v>
      </c>
      <c r="J227">
        <f t="shared" si="7"/>
        <v>11.269380216253921</v>
      </c>
    </row>
    <row r="228" spans="1:10">
      <c r="A228" s="1">
        <v>45789</v>
      </c>
      <c r="B228">
        <f>(3/(1+('CurrentPor-LH=10 unchanged'!C228)/100)+103/POWER(1+('CurrentPor-LH=10 unchanged'!D228)/100,2))*100</f>
        <v>9707.5857774288397</v>
      </c>
      <c r="C228">
        <f>(3/(1+('CurrentPor-LH=10 unchanged'!C228+'CurrentPor-LH=10 unchanged'!G228)/100)+103/POWER(1+('CurrentPor-LH=10 unchanged'!D228+'CurrentPor-LH=10 unchanged'!G228)/100,2))*100</f>
        <v>9616.6987850668447</v>
      </c>
      <c r="D228">
        <f>(3/(1+('CurrentPor-LH=10 unchanged'!C228+'CurrentPor-LH=10 unchanged'!H228)/100)+103/POWER(1+('CurrentPor-LH=10 unchanged'!D228+'CurrentPor-LH=10 unchanged'!H228)/100,2))*100</f>
        <v>9612.9573344534037</v>
      </c>
      <c r="E228">
        <f>(3/(1+('CurrentPor-LH=10 unchanged'!C228+'CurrentPor-LH=10 unchanged'!I228)/100)+103/POWER(1+('CurrentPor-LH=10 unchanged'!D228+'CurrentPor-LH=10 unchanged'!I228)/100,2))*100</f>
        <v>9608.1366977708349</v>
      </c>
      <c r="F228">
        <f>Portfolio!B$5*'CurrentPor-LH=10 unchanged'!E228</f>
        <v>52143.895533915893</v>
      </c>
      <c r="G228">
        <f>Portfolio!B$6*'CurrentPor-LH=10 unchanged'!F228</f>
        <v>3696.2945087936532</v>
      </c>
      <c r="H228">
        <f>Portfolio!B$7*'CurrentPor-LH=10 unchanged'!J228</f>
        <v>2148.0998964419859</v>
      </c>
      <c r="I228">
        <f t="shared" si="6"/>
        <v>96533.66853387146</v>
      </c>
      <c r="J228">
        <f t="shared" si="7"/>
        <v>66.73408963510883</v>
      </c>
    </row>
    <row r="229" spans="1:10">
      <c r="A229" s="1">
        <v>45790</v>
      </c>
      <c r="B229">
        <f>(3/(1+('CurrentPor-LH=10 unchanged'!C229)/100)+103/POWER(1+('CurrentPor-LH=10 unchanged'!D229)/100,2))*100</f>
        <v>9707.5857774288397</v>
      </c>
      <c r="C229">
        <f>(3/(1+('CurrentPor-LH=10 unchanged'!C229+'CurrentPor-LH=10 unchanged'!G229)/100)+103/POWER(1+('CurrentPor-LH=10 unchanged'!D229+'CurrentPor-LH=10 unchanged'!G229)/100,2))*100</f>
        <v>9613.3823110330104</v>
      </c>
      <c r="D229">
        <f>(3/(1+('CurrentPor-LH=10 unchanged'!C229+'CurrentPor-LH=10 unchanged'!H229)/100)+103/POWER(1+('CurrentPor-LH=10 unchanged'!D229+'CurrentPor-LH=10 unchanged'!H229)/100,2))*100</f>
        <v>9592.4972756452225</v>
      </c>
      <c r="E229">
        <f>(3/(1+('CurrentPor-LH=10 unchanged'!C229+'CurrentPor-LH=10 unchanged'!I229)/100)+103/POWER(1+('CurrentPor-LH=10 unchanged'!D229+'CurrentPor-LH=10 unchanged'!I229)/100,2))*100</f>
        <v>9604.3911890708969</v>
      </c>
      <c r="F229">
        <f>Portfolio!B$5*'CurrentPor-LH=10 unchanged'!E229</f>
        <v>52143.895533915893</v>
      </c>
      <c r="G229">
        <f>Portfolio!B$6*'CurrentPor-LH=10 unchanged'!F229</f>
        <v>3696.2945087936532</v>
      </c>
      <c r="H229">
        <f>Portfolio!B$7*'CurrentPor-LH=10 unchanged'!J229</f>
        <v>2148.0998964419859</v>
      </c>
      <c r="I229">
        <f t="shared" si="6"/>
        <v>96506.146492329499</v>
      </c>
      <c r="J229">
        <f t="shared" si="7"/>
        <v>-3.3398447473009583</v>
      </c>
    </row>
    <row r="230" spans="1:10">
      <c r="A230" s="1">
        <v>45791</v>
      </c>
      <c r="B230">
        <f>(3/(1+('CurrentPor-LH=10 unchanged'!C230)/100)+103/POWER(1+('CurrentPor-LH=10 unchanged'!D230)/100,2))*100</f>
        <v>9707.5857774288397</v>
      </c>
      <c r="C230">
        <f>(3/(1+('CurrentPor-LH=10 unchanged'!C230+'CurrentPor-LH=10 unchanged'!G230)/100)+103/POWER(1+('CurrentPor-LH=10 unchanged'!D230+'CurrentPor-LH=10 unchanged'!G230)/100,2))*100</f>
        <v>9610.3148162799589</v>
      </c>
      <c r="D230">
        <f>(3/(1+('CurrentPor-LH=10 unchanged'!C230+'CurrentPor-LH=10 unchanged'!H230)/100)+103/POWER(1+('CurrentPor-LH=10 unchanged'!D230+'CurrentPor-LH=10 unchanged'!H230)/100,2))*100</f>
        <v>9578.105454624294</v>
      </c>
      <c r="E230">
        <f>(3/(1+('CurrentPor-LH=10 unchanged'!C230+'CurrentPor-LH=10 unchanged'!I230)/100)+103/POWER(1+('CurrentPor-LH=10 unchanged'!D230+'CurrentPor-LH=10 unchanged'!I230)/100,2))*100</f>
        <v>9579.7086211593887</v>
      </c>
      <c r="F230">
        <f>Portfolio!B$5*'CurrentPor-LH=10 unchanged'!E230</f>
        <v>52143.895533915893</v>
      </c>
      <c r="G230">
        <f>Portfolio!B$6*'CurrentPor-LH=10 unchanged'!F230</f>
        <v>3696.2945087936532</v>
      </c>
      <c r="H230">
        <f>Portfolio!B$7*'CurrentPor-LH=10 unchanged'!J230</f>
        <v>2148.0998964419859</v>
      </c>
      <c r="I230">
        <f t="shared" si="6"/>
        <v>96464.004608644012</v>
      </c>
      <c r="J230">
        <f t="shared" si="7"/>
        <v>-57.40865060055512</v>
      </c>
    </row>
    <row r="231" spans="1:10">
      <c r="A231" s="1">
        <v>45792</v>
      </c>
      <c r="B231">
        <f>(3/(1+('CurrentPor-LH=10 unchanged'!C231)/100)+103/POWER(1+('CurrentPor-LH=10 unchanged'!D231)/100,2))*100</f>
        <v>9707.5857774288397</v>
      </c>
      <c r="C231">
        <f>(3/(1+('CurrentPor-LH=10 unchanged'!C231+'CurrentPor-LH=10 unchanged'!G231)/100)+103/POWER(1+('CurrentPor-LH=10 unchanged'!D231+'CurrentPor-LH=10 unchanged'!G231)/100,2))*100</f>
        <v>9609.2894436580409</v>
      </c>
      <c r="D231">
        <f>(3/(1+('CurrentPor-LH=10 unchanged'!C231+'CurrentPor-LH=10 unchanged'!H231)/100)+103/POWER(1+('CurrentPor-LH=10 unchanged'!D231+'CurrentPor-LH=10 unchanged'!H231)/100,2))*100</f>
        <v>9595.3554930720566</v>
      </c>
      <c r="E231">
        <f>(3/(1+('CurrentPor-LH=10 unchanged'!C231+'CurrentPor-LH=10 unchanged'!I231)/100)+103/POWER(1+('CurrentPor-LH=10 unchanged'!D231+'CurrentPor-LH=10 unchanged'!I231)/100,2))*100</f>
        <v>9601.3268974643361</v>
      </c>
      <c r="F231">
        <f>Portfolio!B$5*'CurrentPor-LH=10 unchanged'!E231</f>
        <v>52143.895533915893</v>
      </c>
      <c r="G231">
        <f>Portfolio!B$6*'CurrentPor-LH=10 unchanged'!F231</f>
        <v>3696.2945087936532</v>
      </c>
      <c r="H231">
        <f>Portfolio!B$7*'CurrentPor-LH=10 unchanged'!J231</f>
        <v>2148.0998964419859</v>
      </c>
      <c r="I231">
        <f t="shared" si="6"/>
        <v>96501.847550774793</v>
      </c>
      <c r="J231">
        <f t="shared" si="7"/>
        <v>-3.8366377881320659</v>
      </c>
    </row>
    <row r="232" spans="1:10">
      <c r="A232" s="1">
        <v>45793</v>
      </c>
      <c r="B232">
        <f>(3/(1+('CurrentPor-LH=10 unchanged'!C232)/100)+103/POWER(1+('CurrentPor-LH=10 unchanged'!D232)/100,2))*100</f>
        <v>9707.5857774288397</v>
      </c>
      <c r="C232">
        <f>(3/(1+('CurrentPor-LH=10 unchanged'!C232+'CurrentPor-LH=10 unchanged'!G232)/100)+103/POWER(1+('CurrentPor-LH=10 unchanged'!D232+'CurrentPor-LH=10 unchanged'!G232)/100,2))*100</f>
        <v>9617.1018104964878</v>
      </c>
      <c r="D232">
        <f>(3/(1+('CurrentPor-LH=10 unchanged'!C232+'CurrentPor-LH=10 unchanged'!H232)/100)+103/POWER(1+('CurrentPor-LH=10 unchanged'!D232+'CurrentPor-LH=10 unchanged'!H232)/100,2))*100</f>
        <v>9609.6272170161847</v>
      </c>
      <c r="E232">
        <f>(3/(1+('CurrentPor-LH=10 unchanged'!C232+'CurrentPor-LH=10 unchanged'!I232)/100)+103/POWER(1+('CurrentPor-LH=10 unchanged'!D232+'CurrentPor-LH=10 unchanged'!I232)/100,2))*100</f>
        <v>9581.9690737215078</v>
      </c>
      <c r="F232">
        <f>Portfolio!B$5*'CurrentPor-LH=10 unchanged'!E232</f>
        <v>52143.895533915893</v>
      </c>
      <c r="G232">
        <f>Portfolio!B$6*'CurrentPor-LH=10 unchanged'!F232</f>
        <v>3696.2945087936532</v>
      </c>
      <c r="H232">
        <f>Portfolio!B$7*'CurrentPor-LH=10 unchanged'!J232</f>
        <v>2148.0998964419859</v>
      </c>
      <c r="I232">
        <f t="shared" si="6"/>
        <v>96504.57381781454</v>
      </c>
      <c r="J232">
        <f t="shared" si="7"/>
        <v>20.115477268918767</v>
      </c>
    </row>
    <row r="233" spans="1:10">
      <c r="A233" s="1">
        <v>45796</v>
      </c>
      <c r="B233">
        <f>(3/(1+('CurrentPor-LH=10 unchanged'!C233)/100)+103/POWER(1+('CurrentPor-LH=10 unchanged'!D233)/100,2))*100</f>
        <v>9707.5857774288397</v>
      </c>
      <c r="C233">
        <f>(3/(1+('CurrentPor-LH=10 unchanged'!C233+'CurrentPor-LH=10 unchanged'!G233)/100)+103/POWER(1+('CurrentPor-LH=10 unchanged'!D233+'CurrentPor-LH=10 unchanged'!G233)/100,2))*100</f>
        <v>9610.4889415979742</v>
      </c>
      <c r="D233">
        <f>(3/(1+('CurrentPor-LH=10 unchanged'!C233+'CurrentPor-LH=10 unchanged'!H233)/100)+103/POWER(1+('CurrentPor-LH=10 unchanged'!D233+'CurrentPor-LH=10 unchanged'!H233)/100,2))*100</f>
        <v>9590.5172816951799</v>
      </c>
      <c r="E233">
        <f>(3/(1+('CurrentPor-LH=10 unchanged'!C233+'CurrentPor-LH=10 unchanged'!I233)/100)+103/POWER(1+('CurrentPor-LH=10 unchanged'!D233+'CurrentPor-LH=10 unchanged'!I233)/100,2))*100</f>
        <v>9569.2267198995778</v>
      </c>
      <c r="F233">
        <f>Portfolio!B$5*'CurrentPor-LH=10 unchanged'!E233</f>
        <v>52143.895533915893</v>
      </c>
      <c r="G233">
        <f>Portfolio!B$6*'CurrentPor-LH=10 unchanged'!F233</f>
        <v>3696.2945087936532</v>
      </c>
      <c r="H233">
        <f>Portfolio!B$7*'CurrentPor-LH=10 unchanged'!J233</f>
        <v>2148.0998964419859</v>
      </c>
      <c r="I233">
        <f t="shared" si="6"/>
        <v>96466.108659773105</v>
      </c>
      <c r="J233">
        <f t="shared" si="7"/>
        <v>-20.522801349725341</v>
      </c>
    </row>
    <row r="234" spans="1:10">
      <c r="A234" s="1">
        <v>45797</v>
      </c>
      <c r="B234">
        <f>(3/(1+('CurrentPor-LH=10 unchanged'!C234)/100)+103/POWER(1+('CurrentPor-LH=10 unchanged'!D234)/100,2))*100</f>
        <v>9707.5857774288397</v>
      </c>
      <c r="C234">
        <f>(3/(1+('CurrentPor-LH=10 unchanged'!C234+'CurrentPor-LH=10 unchanged'!G234)/100)+103/POWER(1+('CurrentPor-LH=10 unchanged'!D234+'CurrentPor-LH=10 unchanged'!G234)/100,2))*100</f>
        <v>9621.1739891568268</v>
      </c>
      <c r="D234">
        <f>(3/(1+('CurrentPor-LH=10 unchanged'!C234+'CurrentPor-LH=10 unchanged'!H234)/100)+103/POWER(1+('CurrentPor-LH=10 unchanged'!D234+'CurrentPor-LH=10 unchanged'!H234)/100,2))*100</f>
        <v>9597.9623464855722</v>
      </c>
      <c r="E234">
        <f>(3/(1+('CurrentPor-LH=10 unchanged'!C234+'CurrentPor-LH=10 unchanged'!I234)/100)+103/POWER(1+('CurrentPor-LH=10 unchanged'!D234+'CurrentPor-LH=10 unchanged'!I234)/100,2))*100</f>
        <v>9581.4267616700872</v>
      </c>
      <c r="F234">
        <f>Portfolio!B$5*'CurrentPor-LH=10 unchanged'!E234</f>
        <v>52143.895533915893</v>
      </c>
      <c r="G234">
        <f>Portfolio!B$6*'CurrentPor-LH=10 unchanged'!F234</f>
        <v>3696.2945087936532</v>
      </c>
      <c r="H234">
        <f>Portfolio!B$7*'CurrentPor-LH=10 unchanged'!J234</f>
        <v>2148.0998964419859</v>
      </c>
      <c r="I234">
        <f t="shared" si="6"/>
        <v>96496.438813892848</v>
      </c>
      <c r="J234">
        <f t="shared" si="7"/>
        <v>14.181660200440092</v>
      </c>
    </row>
    <row r="235" spans="1:10">
      <c r="A235" s="1">
        <v>45798</v>
      </c>
      <c r="B235">
        <f>(3/(1+('CurrentPor-LH=10 unchanged'!C235)/100)+103/POWER(1+('CurrentPor-LH=10 unchanged'!D235)/100,2))*100</f>
        <v>9707.5857774288397</v>
      </c>
      <c r="C235">
        <f>(3/(1+('CurrentPor-LH=10 unchanged'!C235+'CurrentPor-LH=10 unchanged'!G235)/100)+103/POWER(1+('CurrentPor-LH=10 unchanged'!D235+'CurrentPor-LH=10 unchanged'!G235)/100,2))*100</f>
        <v>9610.7119523746369</v>
      </c>
      <c r="D235">
        <f>(3/(1+('CurrentPor-LH=10 unchanged'!C235+'CurrentPor-LH=10 unchanged'!H235)/100)+103/POWER(1+('CurrentPor-LH=10 unchanged'!D235+'CurrentPor-LH=10 unchanged'!H235)/100,2))*100</f>
        <v>9592.122274024674</v>
      </c>
      <c r="E235">
        <f>(3/(1+('CurrentPor-LH=10 unchanged'!C235+'CurrentPor-LH=10 unchanged'!I235)/100)+103/POWER(1+('CurrentPor-LH=10 unchanged'!D235+'CurrentPor-LH=10 unchanged'!I235)/100,2))*100</f>
        <v>9595.6029597249562</v>
      </c>
      <c r="F235">
        <f>Portfolio!B$5*'CurrentPor-LH=10 unchanged'!E235</f>
        <v>52143.895533915893</v>
      </c>
      <c r="G235">
        <f>Portfolio!B$6*'CurrentPor-LH=10 unchanged'!F235</f>
        <v>3696.2945087936532</v>
      </c>
      <c r="H235">
        <f>Portfolio!B$7*'CurrentPor-LH=10 unchanged'!J235</f>
        <v>2148.0998964419859</v>
      </c>
      <c r="I235">
        <f t="shared" si="6"/>
        <v>96494.312902704638</v>
      </c>
      <c r="J235">
        <f t="shared" si="7"/>
        <v>-10.507966812074301</v>
      </c>
    </row>
    <row r="236" spans="1:10">
      <c r="A236" s="1">
        <v>45799</v>
      </c>
      <c r="B236">
        <f>(3/(1+('CurrentPor-LH=10 unchanged'!C236)/100)+103/POWER(1+('CurrentPor-LH=10 unchanged'!D236)/100,2))*100</f>
        <v>9707.5857774288397</v>
      </c>
      <c r="C236">
        <f>(3/(1+('CurrentPor-LH=10 unchanged'!C236+'CurrentPor-LH=10 unchanged'!G236)/100)+103/POWER(1+('CurrentPor-LH=10 unchanged'!D236+'CurrentPor-LH=10 unchanged'!G236)/100,2))*100</f>
        <v>9624.0740918768715</v>
      </c>
      <c r="D236">
        <f>(3/(1+('CurrentPor-LH=10 unchanged'!C236+'CurrentPor-LH=10 unchanged'!H236)/100)+103/POWER(1+('CurrentPor-LH=10 unchanged'!D236+'CurrentPor-LH=10 unchanged'!H236)/100,2))*100</f>
        <v>9595.5558428866134</v>
      </c>
      <c r="E236">
        <f>(3/(1+('CurrentPor-LH=10 unchanged'!C236+'CurrentPor-LH=10 unchanged'!I236)/100)+103/POWER(1+('CurrentPor-LH=10 unchanged'!D236+'CurrentPor-LH=10 unchanged'!I236)/100,2))*100</f>
        <v>9579.699866358982</v>
      </c>
      <c r="F236">
        <f>Portfolio!B$5*'CurrentPor-LH=10 unchanged'!E236</f>
        <v>52143.895533915893</v>
      </c>
      <c r="G236">
        <f>Portfolio!B$6*'CurrentPor-LH=10 unchanged'!F236</f>
        <v>3696.2945087936532</v>
      </c>
      <c r="H236">
        <f>Portfolio!B$7*'CurrentPor-LH=10 unchanged'!J236</f>
        <v>2148.0998964419859</v>
      </c>
      <c r="I236">
        <f t="shared" si="6"/>
        <v>96495.205517702838</v>
      </c>
      <c r="J236">
        <f t="shared" si="7"/>
        <v>2.8995111272670329</v>
      </c>
    </row>
    <row r="237" spans="1:10">
      <c r="A237" s="1">
        <v>45800</v>
      </c>
      <c r="B237">
        <f>(3/(1+('CurrentPor-LH=10 unchanged'!C237)/100)+103/POWER(1+('CurrentPor-LH=10 unchanged'!D237)/100,2))*100</f>
        <v>9707.5857774288397</v>
      </c>
      <c r="C237">
        <f>(3/(1+('CurrentPor-LH=10 unchanged'!C237+'CurrentPor-LH=10 unchanged'!G237)/100)+103/POWER(1+('CurrentPor-LH=10 unchanged'!D237+'CurrentPor-LH=10 unchanged'!G237)/100,2))*100</f>
        <v>9624.9180801302864</v>
      </c>
      <c r="D237">
        <f>(3/(1+('CurrentPor-LH=10 unchanged'!C237+'CurrentPor-LH=10 unchanged'!H237)/100)+103/POWER(1+('CurrentPor-LH=10 unchanged'!D237+'CurrentPor-LH=10 unchanged'!H237)/100,2))*100</f>
        <v>9573.6898972544241</v>
      </c>
      <c r="E237">
        <f>(3/(1+('CurrentPor-LH=10 unchanged'!C237+'CurrentPor-LH=10 unchanged'!I237)/100)+103/POWER(1+('CurrentPor-LH=10 unchanged'!D237+'CurrentPor-LH=10 unchanged'!I237)/100,2))*100</f>
        <v>9570.9461275553749</v>
      </c>
      <c r="F237">
        <f>Portfolio!B$5*'CurrentPor-LH=10 unchanged'!E237</f>
        <v>52143.895533915893</v>
      </c>
      <c r="G237">
        <f>Portfolio!B$6*'CurrentPor-LH=10 unchanged'!F237</f>
        <v>3696.2945087936532</v>
      </c>
      <c r="H237">
        <f>Portfolio!B$7*'CurrentPor-LH=10 unchanged'!J237</f>
        <v>2148.0998964419859</v>
      </c>
      <c r="I237">
        <f t="shared" si="6"/>
        <v>96465.429821520447</v>
      </c>
      <c r="J237">
        <f t="shared" si="7"/>
        <v>-32.630181953209103</v>
      </c>
    </row>
    <row r="238" spans="1:10">
      <c r="A238" s="1">
        <v>45803</v>
      </c>
      <c r="B238">
        <f>(3/(1+('CurrentPor-LH=10 unchanged'!C238)/100)+103/POWER(1+('CurrentPor-LH=10 unchanged'!D238)/100,2))*100</f>
        <v>9707.5857774288397</v>
      </c>
      <c r="C238">
        <f>(3/(1+('CurrentPor-LH=10 unchanged'!C238+'CurrentPor-LH=10 unchanged'!G238)/100)+103/POWER(1+('CurrentPor-LH=10 unchanged'!D238+'CurrentPor-LH=10 unchanged'!G238)/100,2))*100</f>
        <v>9599.4296730716196</v>
      </c>
      <c r="D238">
        <f>(3/(1+('CurrentPor-LH=10 unchanged'!C238+'CurrentPor-LH=10 unchanged'!H238)/100)+103/POWER(1+('CurrentPor-LH=10 unchanged'!D238+'CurrentPor-LH=10 unchanged'!H238)/100,2))*100</f>
        <v>9606.626461151207</v>
      </c>
      <c r="E238">
        <f>(3/(1+('CurrentPor-LH=10 unchanged'!C238+'CurrentPor-LH=10 unchanged'!I238)/100)+103/POWER(1+('CurrentPor-LH=10 unchanged'!D238+'CurrentPor-LH=10 unchanged'!I238)/100,2))*100</f>
        <v>9573.4998134274629</v>
      </c>
      <c r="F238">
        <f>Portfolio!B$5*'CurrentPor-LH=10 unchanged'!E238</f>
        <v>52143.895533915893</v>
      </c>
      <c r="G238">
        <f>Portfolio!B$6*'CurrentPor-LH=10 unchanged'!F238</f>
        <v>3696.2945087936532</v>
      </c>
      <c r="H238">
        <f>Portfolio!B$7*'CurrentPor-LH=10 unchanged'!J238</f>
        <v>2148.0998964419859</v>
      </c>
      <c r="I238">
        <f t="shared" si="6"/>
        <v>96475.431664230666</v>
      </c>
      <c r="J238">
        <f t="shared" si="7"/>
        <v>-58.236869640793884</v>
      </c>
    </row>
    <row r="239" spans="1:10">
      <c r="A239" s="1">
        <v>45804</v>
      </c>
      <c r="B239">
        <f>(3/(1+('CurrentPor-LH=10 unchanged'!C239)/100)+103/POWER(1+('CurrentPor-LH=10 unchanged'!D239)/100,2))*100</f>
        <v>9707.5857774288397</v>
      </c>
      <c r="C239">
        <f>(3/(1+('CurrentPor-LH=10 unchanged'!C239+'CurrentPor-LH=10 unchanged'!G239)/100)+103/POWER(1+('CurrentPor-LH=10 unchanged'!D239+'CurrentPor-LH=10 unchanged'!G239)/100,2))*100</f>
        <v>9610.1684700564056</v>
      </c>
      <c r="D239">
        <f>(3/(1+('CurrentPor-LH=10 unchanged'!C239+'CurrentPor-LH=10 unchanged'!H239)/100)+103/POWER(1+('CurrentPor-LH=10 unchanged'!D239+'CurrentPor-LH=10 unchanged'!H239)/100,2))*100</f>
        <v>9606.6661210218208</v>
      </c>
      <c r="E239">
        <f>(3/(1+('CurrentPor-LH=10 unchanged'!C239+'CurrentPor-LH=10 unchanged'!I239)/100)+103/POWER(1+('CurrentPor-LH=10 unchanged'!D239+'CurrentPor-LH=10 unchanged'!I239)/100,2))*100</f>
        <v>9542.1363574169991</v>
      </c>
      <c r="F239">
        <f>Portfolio!B$5*'CurrentPor-LH=10 unchanged'!E239</f>
        <v>52143.895533915893</v>
      </c>
      <c r="G239">
        <f>Portfolio!B$6*'CurrentPor-LH=10 unchanged'!F239</f>
        <v>3696.2945087936532</v>
      </c>
      <c r="H239">
        <f>Portfolio!B$7*'CurrentPor-LH=10 unchanged'!J239</f>
        <v>2148.0998964419859</v>
      </c>
      <c r="I239">
        <f t="shared" si="6"/>
        <v>96454.846665075587</v>
      </c>
      <c r="J239">
        <f t="shared" si="7"/>
        <v>-51.299827253911644</v>
      </c>
    </row>
    <row r="240" spans="1:10">
      <c r="A240" s="1">
        <v>45805</v>
      </c>
      <c r="B240">
        <f>(3/(1+('CurrentPor-LH=10 unchanged'!C240)/100)+103/POWER(1+('CurrentPor-LH=10 unchanged'!D240)/100,2))*100</f>
        <v>9707.5857774288397</v>
      </c>
      <c r="C240">
        <f>(3/(1+('CurrentPor-LH=10 unchanged'!C240+'CurrentPor-LH=10 unchanged'!G240)/100)+103/POWER(1+('CurrentPor-LH=10 unchanged'!D240+'CurrentPor-LH=10 unchanged'!G240)/100,2))*100</f>
        <v>9618.99459687116</v>
      </c>
      <c r="D240">
        <f>(3/(1+('CurrentPor-LH=10 unchanged'!C240+'CurrentPor-LH=10 unchanged'!H240)/100)+103/POWER(1+('CurrentPor-LH=10 unchanged'!D240+'CurrentPor-LH=10 unchanged'!H240)/100,2))*100</f>
        <v>9587.7124416595288</v>
      </c>
      <c r="E240">
        <f>(3/(1+('CurrentPor-LH=10 unchanged'!C240+'CurrentPor-LH=10 unchanged'!I240)/100)+103/POWER(1+('CurrentPor-LH=10 unchanged'!D240+'CurrentPor-LH=10 unchanged'!I240)/100,2))*100</f>
        <v>9588.3540548551664</v>
      </c>
      <c r="F240">
        <f>Portfolio!B$5*'CurrentPor-LH=10 unchanged'!E240</f>
        <v>52143.895533915893</v>
      </c>
      <c r="G240">
        <f>Portfolio!B$6*'CurrentPor-LH=10 unchanged'!F240</f>
        <v>3696.2945087936532</v>
      </c>
      <c r="H240">
        <f>Portfolio!B$7*'CurrentPor-LH=10 unchanged'!J240</f>
        <v>2148.0998964419859</v>
      </c>
      <c r="I240">
        <f t="shared" si="6"/>
        <v>96490.936809966224</v>
      </c>
      <c r="J240">
        <f t="shared" si="7"/>
        <v>26.932201322211768</v>
      </c>
    </row>
    <row r="241" spans="1:10">
      <c r="A241" s="1">
        <v>45806</v>
      </c>
      <c r="B241">
        <f>(3/(1+('CurrentPor-LH=10 unchanged'!C241)/100)+103/POWER(1+('CurrentPor-LH=10 unchanged'!D241)/100,2))*100</f>
        <v>9707.5857774288397</v>
      </c>
      <c r="C241">
        <f>(3/(1+('CurrentPor-LH=10 unchanged'!C241+'CurrentPor-LH=10 unchanged'!G241)/100)+103/POWER(1+('CurrentPor-LH=10 unchanged'!D241+'CurrentPor-LH=10 unchanged'!G241)/100,2))*100</f>
        <v>9613.9033937767072</v>
      </c>
      <c r="D241">
        <f>(3/(1+('CurrentPor-LH=10 unchanged'!C241+'CurrentPor-LH=10 unchanged'!H241)/100)+103/POWER(1+('CurrentPor-LH=10 unchanged'!D241+'CurrentPor-LH=10 unchanged'!H241)/100,2))*100</f>
        <v>9598.3868747017186</v>
      </c>
      <c r="E241">
        <f>(3/(1+('CurrentPor-LH=10 unchanged'!C241+'CurrentPor-LH=10 unchanged'!I241)/100)+103/POWER(1+('CurrentPor-LH=10 unchanged'!D241+'CurrentPor-LH=10 unchanged'!I241)/100,2))*100</f>
        <v>9591.8349539607079</v>
      </c>
      <c r="F241">
        <f>Portfolio!B$5*'CurrentPor-LH=10 unchanged'!E241</f>
        <v>52143.895533915893</v>
      </c>
      <c r="G241">
        <f>Portfolio!B$6*'CurrentPor-LH=10 unchanged'!F241</f>
        <v>3696.2945087936532</v>
      </c>
      <c r="H241">
        <f>Portfolio!B$7*'CurrentPor-LH=10 unchanged'!J241</f>
        <v>2148.0998964419859</v>
      </c>
      <c r="I241">
        <f t="shared" si="6"/>
        <v>96500.000939019505</v>
      </c>
      <c r="J241">
        <f t="shared" si="7"/>
        <v>-1.8466117552889045</v>
      </c>
    </row>
    <row r="242" spans="1:10">
      <c r="A242" s="1">
        <v>45807</v>
      </c>
      <c r="B242">
        <f>(3/(1+('CurrentPor-LH=10 unchanged'!C242)/100)+103/POWER(1+('CurrentPor-LH=10 unchanged'!D242)/100,2))*100</f>
        <v>9707.5857774288397</v>
      </c>
      <c r="C242">
        <f>(3/(1+('CurrentPor-LH=10 unchanged'!C242+'CurrentPor-LH=10 unchanged'!G242)/100)+103/POWER(1+('CurrentPor-LH=10 unchanged'!D242+'CurrentPor-LH=10 unchanged'!G242)/100,2))*100</f>
        <v>9625.4161334138735</v>
      </c>
      <c r="D242">
        <f>(3/(1+('CurrentPor-LH=10 unchanged'!C242+'CurrentPor-LH=10 unchanged'!H242)/100)+103/POWER(1+('CurrentPor-LH=10 unchanged'!D242+'CurrentPor-LH=10 unchanged'!H242)/100,2))*100</f>
        <v>9599.1313625298044</v>
      </c>
      <c r="E242">
        <f>(3/(1+('CurrentPor-LH=10 unchanged'!C242+'CurrentPor-LH=10 unchanged'!I242)/100)+103/POWER(1+('CurrentPor-LH=10 unchanged'!D242+'CurrentPor-LH=10 unchanged'!I242)/100,2))*100</f>
        <v>9588.7917258984944</v>
      </c>
      <c r="F242">
        <f>Portfolio!B$5*'CurrentPor-LH=10 unchanged'!E242</f>
        <v>52143.895533915893</v>
      </c>
      <c r="G242">
        <f>Portfolio!B$6*'CurrentPor-LH=10 unchanged'!F242</f>
        <v>3696.2945087936532</v>
      </c>
      <c r="H242">
        <f>Portfolio!B$7*'CurrentPor-LH=10 unchanged'!J242</f>
        <v>2148.0998964419859</v>
      </c>
      <c r="I242">
        <f t="shared" si="6"/>
        <v>96509.214938422549</v>
      </c>
      <c r="J242">
        <f t="shared" si="7"/>
        <v>4.6411206080083502</v>
      </c>
    </row>
    <row r="243" spans="1:10">
      <c r="A243" s="1">
        <v>45810</v>
      </c>
      <c r="B243">
        <f>(3/(1+('CurrentPor-LH=10 unchanged'!C243)/100)+103/POWER(1+('CurrentPor-LH=10 unchanged'!D243)/100,2))*100</f>
        <v>9707.5857774288397</v>
      </c>
      <c r="C243">
        <f>(3/(1+('CurrentPor-LH=10 unchanged'!C243+'CurrentPor-LH=10 unchanged'!G243)/100)+103/POWER(1+('CurrentPor-LH=10 unchanged'!D243+'CurrentPor-LH=10 unchanged'!G243)/100,2))*100</f>
        <v>9612.5836003423738</v>
      </c>
      <c r="D243">
        <f>(3/(1+('CurrentPor-LH=10 unchanged'!C243+'CurrentPor-LH=10 unchanged'!H243)/100)+103/POWER(1+('CurrentPor-LH=10 unchanged'!D243+'CurrentPor-LH=10 unchanged'!H243)/100,2))*100</f>
        <v>9604.9633613182559</v>
      </c>
      <c r="E243">
        <f>(3/(1+('CurrentPor-LH=10 unchanged'!C243+'CurrentPor-LH=10 unchanged'!I243)/100)+103/POWER(1+('CurrentPor-LH=10 unchanged'!D243+'CurrentPor-LH=10 unchanged'!I243)/100,2))*100</f>
        <v>9570.1156985625712</v>
      </c>
      <c r="F243">
        <f>Portfolio!B$5*'CurrentPor-LH=10 unchanged'!E243</f>
        <v>52143.895533915893</v>
      </c>
      <c r="G243">
        <f>Portfolio!B$6*'CurrentPor-LH=10 unchanged'!F243</f>
        <v>3696.2945087936532</v>
      </c>
      <c r="H243">
        <f>Portfolio!B$7*'CurrentPor-LH=10 unchanged'!J243</f>
        <v>2148.0998964419859</v>
      </c>
      <c r="I243">
        <f t="shared" si="6"/>
        <v>96483.538376803583</v>
      </c>
      <c r="J243">
        <f t="shared" si="7"/>
        <v>17.429717030478059</v>
      </c>
    </row>
    <row r="244" spans="1:10">
      <c r="A244" s="1">
        <v>45811</v>
      </c>
      <c r="B244">
        <f>(3/(1+('CurrentPor-LH=10 unchanged'!C244)/100)+103/POWER(1+('CurrentPor-LH=10 unchanged'!D244)/100,2))*100</f>
        <v>9707.5857774288397</v>
      </c>
      <c r="C244">
        <f>(3/(1+('CurrentPor-LH=10 unchanged'!C244+'CurrentPor-LH=10 unchanged'!G244)/100)+103/POWER(1+('CurrentPor-LH=10 unchanged'!D244+'CurrentPor-LH=10 unchanged'!G244)/100,2))*100</f>
        <v>9610.7949022363537</v>
      </c>
      <c r="D244">
        <f>(3/(1+('CurrentPor-LH=10 unchanged'!C244+'CurrentPor-LH=10 unchanged'!H244)/100)+103/POWER(1+('CurrentPor-LH=10 unchanged'!D244+'CurrentPor-LH=10 unchanged'!H244)/100,2))*100</f>
        <v>9611.590742659404</v>
      </c>
      <c r="E244">
        <f>(3/(1+('CurrentPor-LH=10 unchanged'!C244+'CurrentPor-LH=10 unchanged'!I244)/100)+103/POWER(1+('CurrentPor-LH=10 unchanged'!D244+'CurrentPor-LH=10 unchanged'!I244)/100,2))*100</f>
        <v>9572.6075377841116</v>
      </c>
      <c r="F244">
        <f>Portfolio!B$5*'CurrentPor-LH=10 unchanged'!E244</f>
        <v>52143.895533915893</v>
      </c>
      <c r="G244">
        <f>Portfolio!B$6*'CurrentPor-LH=10 unchanged'!F244</f>
        <v>3696.2945087936532</v>
      </c>
      <c r="H244">
        <f>Portfolio!B$7*'CurrentPor-LH=10 unchanged'!J244</f>
        <v>2148.0998964419859</v>
      </c>
      <c r="I244">
        <f t="shared" si="6"/>
        <v>96490.86889926024</v>
      </c>
      <c r="J244">
        <f t="shared" si="7"/>
        <v>-5.5699146326078335</v>
      </c>
    </row>
    <row r="245" spans="1:10">
      <c r="A245" s="1">
        <v>45812</v>
      </c>
      <c r="B245">
        <f>(3/(1+('CurrentPor-LH=10 unchanged'!C245)/100)+103/POWER(1+('CurrentPor-LH=10 unchanged'!D245)/100,2))*100</f>
        <v>9707.5857774288397</v>
      </c>
      <c r="C245">
        <f>(3/(1+('CurrentPor-LH=10 unchanged'!C245+'CurrentPor-LH=10 unchanged'!G245)/100)+103/POWER(1+('CurrentPor-LH=10 unchanged'!D245+'CurrentPor-LH=10 unchanged'!G245)/100,2))*100</f>
        <v>9618.2044676139903</v>
      </c>
      <c r="D245">
        <f>(3/(1+('CurrentPor-LH=10 unchanged'!C245+'CurrentPor-LH=10 unchanged'!H245)/100)+103/POWER(1+('CurrentPor-LH=10 unchanged'!D245+'CurrentPor-LH=10 unchanged'!H245)/100,2))*100</f>
        <v>9598.5911506667453</v>
      </c>
      <c r="E245">
        <f>(3/(1+('CurrentPor-LH=10 unchanged'!C245+'CurrentPor-LH=10 unchanged'!I245)/100)+103/POWER(1+('CurrentPor-LH=10 unchanged'!D245+'CurrentPor-LH=10 unchanged'!I245)/100,2))*100</f>
        <v>9590.569955629373</v>
      </c>
      <c r="F245">
        <f>Portfolio!B$5*'CurrentPor-LH=10 unchanged'!E245</f>
        <v>52143.895533915893</v>
      </c>
      <c r="G245">
        <f>Portfolio!B$6*'CurrentPor-LH=10 unchanged'!F245</f>
        <v>3696.2945087936532</v>
      </c>
      <c r="H245">
        <f>Portfolio!B$7*'CurrentPor-LH=10 unchanged'!J245</f>
        <v>2148.0998964419859</v>
      </c>
      <c r="I245">
        <f t="shared" si="6"/>
        <v>96503.241290490478</v>
      </c>
      <c r="J245">
        <f t="shared" si="7"/>
        <v>8.9283877858397318</v>
      </c>
    </row>
    <row r="246" spans="1:10">
      <c r="A246" s="1">
        <v>45813</v>
      </c>
      <c r="B246">
        <f>(3/(1+('CurrentPor-LH=10 unchanged'!C246)/100)+103/POWER(1+('CurrentPor-LH=10 unchanged'!D246)/100,2))*100</f>
        <v>9707.5857774288397</v>
      </c>
      <c r="C246">
        <f>(3/(1+('CurrentPor-LH=10 unchanged'!C246+'CurrentPor-LH=10 unchanged'!G246)/100)+103/POWER(1+('CurrentPor-LH=10 unchanged'!D246+'CurrentPor-LH=10 unchanged'!G246)/100,2))*100</f>
        <v>9612.3421398179962</v>
      </c>
      <c r="D246">
        <f>(3/(1+('CurrentPor-LH=10 unchanged'!C246+'CurrentPor-LH=10 unchanged'!H246)/100)+103/POWER(1+('CurrentPor-LH=10 unchanged'!D246+'CurrentPor-LH=10 unchanged'!H246)/100,2))*100</f>
        <v>9589.6233012548473</v>
      </c>
      <c r="E246">
        <f>(3/(1+('CurrentPor-LH=10 unchanged'!C246+'CurrentPor-LH=10 unchanged'!I246)/100)+103/POWER(1+('CurrentPor-LH=10 unchanged'!D246+'CurrentPor-LH=10 unchanged'!I246)/100,2))*100</f>
        <v>9591.6073825056264</v>
      </c>
      <c r="F246">
        <f>Portfolio!B$5*'CurrentPor-LH=10 unchanged'!E246</f>
        <v>52143.895533915893</v>
      </c>
      <c r="G246">
        <f>Portfolio!B$6*'CurrentPor-LH=10 unchanged'!F246</f>
        <v>3696.2945087936532</v>
      </c>
      <c r="H246">
        <f>Portfolio!B$7*'CurrentPor-LH=10 unchanged'!J246</f>
        <v>2148.0998964419859</v>
      </c>
      <c r="I246">
        <f t="shared" si="6"/>
        <v>96489.448540158846</v>
      </c>
      <c r="J246">
        <f t="shared" si="7"/>
        <v>-5.7569775439915247</v>
      </c>
    </row>
    <row r="247" spans="1:10">
      <c r="A247" s="1">
        <v>45814</v>
      </c>
      <c r="B247">
        <f>(3/(1+('CurrentPor-LH=10 unchanged'!C247)/100)+103/POWER(1+('CurrentPor-LH=10 unchanged'!D247)/100,2))*100</f>
        <v>9707.5857774288397</v>
      </c>
      <c r="C247">
        <f>(3/(1+('CurrentPor-LH=10 unchanged'!C247+'CurrentPor-LH=10 unchanged'!G247)/100)+103/POWER(1+('CurrentPor-LH=10 unchanged'!D247+'CurrentPor-LH=10 unchanged'!G247)/100,2))*100</f>
        <v>9617.0693947829204</v>
      </c>
      <c r="D247">
        <f>(3/(1+('CurrentPor-LH=10 unchanged'!C247+'CurrentPor-LH=10 unchanged'!H247)/100)+103/POWER(1+('CurrentPor-LH=10 unchanged'!D247+'CurrentPor-LH=10 unchanged'!H247)/100,2))*100</f>
        <v>9606.1838073545041</v>
      </c>
      <c r="E247">
        <f>(3/(1+('CurrentPor-LH=10 unchanged'!C247+'CurrentPor-LH=10 unchanged'!I247)/100)+103/POWER(1+('CurrentPor-LH=10 unchanged'!D247+'CurrentPor-LH=10 unchanged'!I247)/100,2))*100</f>
        <v>9591.4190622700244</v>
      </c>
      <c r="F247">
        <f>Portfolio!B$5*'CurrentPor-LH=10 unchanged'!E247</f>
        <v>52143.895533915893</v>
      </c>
      <c r="G247">
        <f>Portfolio!B$6*'CurrentPor-LH=10 unchanged'!F247</f>
        <v>3696.2945087936532</v>
      </c>
      <c r="H247">
        <f>Portfolio!B$7*'CurrentPor-LH=10 unchanged'!J247</f>
        <v>2148.0998964419859</v>
      </c>
      <c r="I247">
        <f t="shared" si="6"/>
        <v>96510.547980987816</v>
      </c>
      <c r="J247">
        <f t="shared" si="7"/>
        <v>45.118159467368969</v>
      </c>
    </row>
    <row r="248" spans="1:10">
      <c r="A248" s="1">
        <v>45817</v>
      </c>
      <c r="B248">
        <f>(3/(1+('CurrentPor-LH=10 unchanged'!C248)/100)+103/POWER(1+('CurrentPor-LH=10 unchanged'!D248)/100,2))*100</f>
        <v>9707.5857774288397</v>
      </c>
      <c r="C248">
        <f>(3/(1+('CurrentPor-LH=10 unchanged'!C248+'CurrentPor-LH=10 unchanged'!G248)/100)+103/POWER(1+('CurrentPor-LH=10 unchanged'!D248+'CurrentPor-LH=10 unchanged'!G248)/100,2))*100</f>
        <v>9600.6055538915498</v>
      </c>
      <c r="D248">
        <f>(3/(1+('CurrentPor-LH=10 unchanged'!C248+'CurrentPor-LH=10 unchanged'!H248)/100)+103/POWER(1+('CurrentPor-LH=10 unchanged'!D248+'CurrentPor-LH=10 unchanged'!H248)/100,2))*100</f>
        <v>9600.3996326312554</v>
      </c>
      <c r="E248">
        <f>(3/(1+('CurrentPor-LH=10 unchanged'!C248+'CurrentPor-LH=10 unchanged'!I248)/100)+103/POWER(1+('CurrentPor-LH=10 unchanged'!D248+'CurrentPor-LH=10 unchanged'!I248)/100,2))*100</f>
        <v>9589.8730168927523</v>
      </c>
      <c r="F248">
        <f>Portfolio!B$5*'CurrentPor-LH=10 unchanged'!E248</f>
        <v>52143.895533915893</v>
      </c>
      <c r="G248">
        <f>Portfolio!B$6*'CurrentPor-LH=10 unchanged'!F248</f>
        <v>3696.2945087936532</v>
      </c>
      <c r="H248">
        <f>Portfolio!B$7*'CurrentPor-LH=10 unchanged'!J248</f>
        <v>2148.0998964419859</v>
      </c>
      <c r="I248">
        <f t="shared" si="6"/>
        <v>96486.753919995928</v>
      </c>
      <c r="J248">
        <f t="shared" si="7"/>
        <v>11.322255765262526</v>
      </c>
    </row>
    <row r="249" spans="1:10">
      <c r="A249" s="1">
        <v>45818</v>
      </c>
      <c r="B249">
        <f>(3/(1+('CurrentPor-LH=10 unchanged'!C249)/100)+103/POWER(1+('CurrentPor-LH=10 unchanged'!D249)/100,2))*100</f>
        <v>9707.5857774288397</v>
      </c>
      <c r="C249">
        <f>(3/(1+('CurrentPor-LH=10 unchanged'!C249+'CurrentPor-LH=10 unchanged'!G249)/100)+103/POWER(1+('CurrentPor-LH=10 unchanged'!D249+'CurrentPor-LH=10 unchanged'!G249)/100,2))*100</f>
        <v>9615.4336965359762</v>
      </c>
      <c r="D249">
        <f>(3/(1+('CurrentPor-LH=10 unchanged'!C249+'CurrentPor-LH=10 unchanged'!H249)/100)+103/POWER(1+('CurrentPor-LH=10 unchanged'!D249+'CurrentPor-LH=10 unchanged'!H249)/100,2))*100</f>
        <v>9592.2508943256871</v>
      </c>
      <c r="E249">
        <f>(3/(1+('CurrentPor-LH=10 unchanged'!C249+'CurrentPor-LH=10 unchanged'!I249)/100)+103/POWER(1+('CurrentPor-LH=10 unchanged'!D249+'CurrentPor-LH=10 unchanged'!I249)/100,2))*100</f>
        <v>9602.2079674607048</v>
      </c>
      <c r="F249">
        <f>Portfolio!B$5*'CurrentPor-LH=10 unchanged'!E249</f>
        <v>52143.895533915893</v>
      </c>
      <c r="G249">
        <f>Portfolio!B$6*'CurrentPor-LH=10 unchanged'!F249</f>
        <v>3696.2945087936532</v>
      </c>
      <c r="H249">
        <f>Portfolio!B$7*'CurrentPor-LH=10 unchanged'!J249</f>
        <v>2148.0998964419859</v>
      </c>
      <c r="I249">
        <f t="shared" si="6"/>
        <v>96505.76827490273</v>
      </c>
      <c r="J249">
        <f t="shared" si="7"/>
        <v>50.921609827142674</v>
      </c>
    </row>
    <row r="250" spans="1:10">
      <c r="A250" s="1">
        <v>45819</v>
      </c>
      <c r="B250">
        <f>(3/(1+('CurrentPor-LH=10 unchanged'!C250)/100)+103/POWER(1+('CurrentPor-LH=10 unchanged'!D250)/100,2))*100</f>
        <v>9707.5857774288397</v>
      </c>
      <c r="C250">
        <f>(3/(1+('CurrentPor-LH=10 unchanged'!C250+'CurrentPor-LH=10 unchanged'!G250)/100)+103/POWER(1+('CurrentPor-LH=10 unchanged'!D250+'CurrentPor-LH=10 unchanged'!G250)/100,2))*100</f>
        <v>9619.5479803123617</v>
      </c>
      <c r="D250">
        <f>(3/(1+('CurrentPor-LH=10 unchanged'!C250+'CurrentPor-LH=10 unchanged'!H250)/100)+103/POWER(1+('CurrentPor-LH=10 unchanged'!D250+'CurrentPor-LH=10 unchanged'!H250)/100,2))*100</f>
        <v>9591.4939918914934</v>
      </c>
      <c r="E250">
        <f>(3/(1+('CurrentPor-LH=10 unchanged'!C250+'CurrentPor-LH=10 unchanged'!I250)/100)+103/POWER(1+('CurrentPor-LH=10 unchanged'!D250+'CurrentPor-LH=10 unchanged'!I250)/100,2))*100</f>
        <v>9576.0937379574352</v>
      </c>
      <c r="F250">
        <f>Portfolio!B$5*'CurrentPor-LH=10 unchanged'!E250</f>
        <v>52143.895533915893</v>
      </c>
      <c r="G250">
        <f>Portfolio!B$6*'CurrentPor-LH=10 unchanged'!F250</f>
        <v>3696.2945087936532</v>
      </c>
      <c r="H250">
        <f>Portfolio!B$7*'CurrentPor-LH=10 unchanged'!J250</f>
        <v>2148.0998964419859</v>
      </c>
      <c r="I250">
        <f t="shared" si="6"/>
        <v>96483.01142674165</v>
      </c>
      <c r="J250">
        <f t="shared" si="7"/>
        <v>-7.9253832245740341</v>
      </c>
    </row>
    <row r="251" spans="1:10">
      <c r="A251" s="1">
        <v>45820</v>
      </c>
      <c r="B251">
        <f>(3/(1+('CurrentPor-LH=10 unchanged'!C251)/100)+103/POWER(1+('CurrentPor-LH=10 unchanged'!D251)/100,2))*100</f>
        <v>9707.5857774288397</v>
      </c>
      <c r="C251">
        <f>(3/(1+('CurrentPor-LH=10 unchanged'!C251+'CurrentPor-LH=10 unchanged'!G251)/100)+103/POWER(1+('CurrentPor-LH=10 unchanged'!D251+'CurrentPor-LH=10 unchanged'!G251)/100,2))*100</f>
        <v>9623.7893664719759</v>
      </c>
      <c r="D251">
        <f>(3/(1+('CurrentPor-LH=10 unchanged'!C251+'CurrentPor-LH=10 unchanged'!H251)/100)+103/POWER(1+('CurrentPor-LH=10 unchanged'!D251+'CurrentPor-LH=10 unchanged'!H251)/100,2))*100</f>
        <v>9602.5404212290723</v>
      </c>
      <c r="E251">
        <f>(3/(1+('CurrentPor-LH=10 unchanged'!C251+'CurrentPor-LH=10 unchanged'!I251)/100)+103/POWER(1+('CurrentPor-LH=10 unchanged'!D251+'CurrentPor-LH=10 unchanged'!I251)/100,2))*100</f>
        <v>9595.9490514904428</v>
      </c>
      <c r="F251">
        <f>Portfolio!B$5*'CurrentPor-LH=10 unchanged'!E251</f>
        <v>52143.895533915893</v>
      </c>
      <c r="G251">
        <f>Portfolio!B$6*'CurrentPor-LH=10 unchanged'!F251</f>
        <v>3696.2945087936532</v>
      </c>
      <c r="H251">
        <f>Portfolio!B$7*'CurrentPor-LH=10 unchanged'!J251</f>
        <v>2148.0998964419859</v>
      </c>
      <c r="I251">
        <f t="shared" si="6"/>
        <v>96518.154555771864</v>
      </c>
      <c r="J251">
        <f t="shared" si="7"/>
        <v>18.153616752359085</v>
      </c>
    </row>
    <row r="252" spans="1:10">
      <c r="A252" s="1">
        <v>45821</v>
      </c>
      <c r="B252">
        <f>(3/(1+('CurrentPor-LH=10 unchanged'!C252)/100)+103/POWER(1+('CurrentPor-LH=10 unchanged'!D252)/100,2))*100</f>
        <v>9707.5857774288397</v>
      </c>
      <c r="C252">
        <f>(3/(1+('CurrentPor-LH=10 unchanged'!C252+'CurrentPor-LH=10 unchanged'!G252)/100)+103/POWER(1+('CurrentPor-LH=10 unchanged'!D252+'CurrentPor-LH=10 unchanged'!G252)/100,2))*100</f>
        <v>9610.633976005116</v>
      </c>
      <c r="D252">
        <f>(3/(1+('CurrentPor-LH=10 unchanged'!C252+'CurrentPor-LH=10 unchanged'!H252)/100)+103/POWER(1+('CurrentPor-LH=10 unchanged'!D252+'CurrentPor-LH=10 unchanged'!H252)/100,2))*100</f>
        <v>9611.4827681820207</v>
      </c>
      <c r="E252">
        <f>(3/(1+('CurrentPor-LH=10 unchanged'!C252+'CurrentPor-LH=10 unchanged'!I252)/100)+103/POWER(1+('CurrentPor-LH=10 unchanged'!D252+'CurrentPor-LH=10 unchanged'!I252)/100,2))*100</f>
        <v>9584.8250213334341</v>
      </c>
      <c r="F252">
        <f>Portfolio!B$5*'CurrentPor-LH=10 unchanged'!E252</f>
        <v>52143.895533915893</v>
      </c>
      <c r="G252">
        <f>Portfolio!B$6*'CurrentPor-LH=10 unchanged'!F252</f>
        <v>3696.2945087936532</v>
      </c>
      <c r="H252">
        <f>Portfolio!B$7*'CurrentPor-LH=10 unchanged'!J252</f>
        <v>2148.0998964419859</v>
      </c>
      <c r="I252">
        <f t="shared" si="6"/>
        <v>96502.817482100945</v>
      </c>
      <c r="J252">
        <f t="shared" si="7"/>
        <v>-6.3974563216033857</v>
      </c>
    </row>
    <row r="253" spans="1:10">
      <c r="A253" s="1">
        <v>45824</v>
      </c>
      <c r="B253">
        <f>(3/(1+('CurrentPor-LH=10 unchanged'!C253)/100)+103/POWER(1+('CurrentPor-LH=10 unchanged'!D253)/100,2))*100</f>
        <v>9707.5857774288397</v>
      </c>
      <c r="C253">
        <f>(3/(1+('CurrentPor-LH=10 unchanged'!C253+'CurrentPor-LH=10 unchanged'!G253)/100)+103/POWER(1+('CurrentPor-LH=10 unchanged'!D253+'CurrentPor-LH=10 unchanged'!G253)/100,2))*100</f>
        <v>9615.9279564686349</v>
      </c>
      <c r="D253">
        <f>(3/(1+('CurrentPor-LH=10 unchanged'!C253+'CurrentPor-LH=10 unchanged'!H253)/100)+103/POWER(1+('CurrentPor-LH=10 unchanged'!D253+'CurrentPor-LH=10 unchanged'!H253)/100,2))*100</f>
        <v>9609.5384354515227</v>
      </c>
      <c r="E253">
        <f>(3/(1+('CurrentPor-LH=10 unchanged'!C253+'CurrentPor-LH=10 unchanged'!I253)/100)+103/POWER(1+('CurrentPor-LH=10 unchanged'!D253+'CurrentPor-LH=10 unchanged'!I253)/100,2))*100</f>
        <v>9585.8814055839593</v>
      </c>
      <c r="F253">
        <f>Portfolio!B$5*'CurrentPor-LH=10 unchanged'!E253</f>
        <v>52143.895533915893</v>
      </c>
      <c r="G253">
        <f>Portfolio!B$6*'CurrentPor-LH=10 unchanged'!F253</f>
        <v>3696.2945087936532</v>
      </c>
      <c r="H253">
        <f>Portfolio!B$7*'CurrentPor-LH=10 unchanged'!J253</f>
        <v>2148.0998964419859</v>
      </c>
      <c r="I253">
        <f t="shared" si="6"/>
        <v>96507.223514084486</v>
      </c>
      <c r="J253">
        <f t="shared" si="7"/>
        <v>23.685137280903291</v>
      </c>
    </row>
    <row r="254" spans="1:10">
      <c r="A254" s="1">
        <v>45825</v>
      </c>
      <c r="B254">
        <f>(3/(1+('CurrentPor-LH=10 unchanged'!C254)/100)+103/POWER(1+('CurrentPor-LH=10 unchanged'!D254)/100,2))*100</f>
        <v>9707.5857774288397</v>
      </c>
      <c r="C254">
        <f>(3/(1+('CurrentPor-LH=10 unchanged'!C254+'CurrentPor-LH=10 unchanged'!G254)/100)+103/POWER(1+('CurrentPor-LH=10 unchanged'!D254+'CurrentPor-LH=10 unchanged'!G254)/100,2))*100</f>
        <v>9623.3326860959278</v>
      </c>
      <c r="D254">
        <f>(3/(1+('CurrentPor-LH=10 unchanged'!C254+'CurrentPor-LH=10 unchanged'!H254)/100)+103/POWER(1+('CurrentPor-LH=10 unchanged'!D254+'CurrentPor-LH=10 unchanged'!H254)/100,2))*100</f>
        <v>9604.2406206722244</v>
      </c>
      <c r="E254">
        <f>(3/(1+('CurrentPor-LH=10 unchanged'!C254+'CurrentPor-LH=10 unchanged'!I254)/100)+103/POWER(1+('CurrentPor-LH=10 unchanged'!D254+'CurrentPor-LH=10 unchanged'!I254)/100,2))*100</f>
        <v>9588.5699250861398</v>
      </c>
      <c r="F254">
        <f>Portfolio!B$5*'CurrentPor-LH=10 unchanged'!E254</f>
        <v>52143.895533915893</v>
      </c>
      <c r="G254">
        <f>Portfolio!B$6*'CurrentPor-LH=10 unchanged'!F254</f>
        <v>3696.2945087936532</v>
      </c>
      <c r="H254">
        <f>Portfolio!B$7*'CurrentPor-LH=10 unchanged'!J254</f>
        <v>2148.0998964419859</v>
      </c>
      <c r="I254">
        <f t="shared" si="6"/>
        <v>96512.018948434663</v>
      </c>
      <c r="J254">
        <f t="shared" si="7"/>
        <v>21.150049174422747</v>
      </c>
    </row>
    <row r="255" spans="1:10">
      <c r="A255" s="1">
        <v>45826</v>
      </c>
      <c r="B255">
        <f>(3/(1+('CurrentPor-LH=10 unchanged'!C255)/100)+103/POWER(1+('CurrentPor-LH=10 unchanged'!D255)/100,2))*100</f>
        <v>9707.5857774288397</v>
      </c>
      <c r="C255">
        <f>(3/(1+('CurrentPor-LH=10 unchanged'!C255+'CurrentPor-LH=10 unchanged'!G255)/100)+103/POWER(1+('CurrentPor-LH=10 unchanged'!D255+'CurrentPor-LH=10 unchanged'!G255)/100,2))*100</f>
        <v>9604.2657882432613</v>
      </c>
      <c r="D255">
        <f>(3/(1+('CurrentPor-LH=10 unchanged'!C255+'CurrentPor-LH=10 unchanged'!H255)/100)+103/POWER(1+('CurrentPor-LH=10 unchanged'!D255+'CurrentPor-LH=10 unchanged'!H255)/100,2))*100</f>
        <v>9588.4035454696404</v>
      </c>
      <c r="E255">
        <f>(3/(1+('CurrentPor-LH=10 unchanged'!C255+'CurrentPor-LH=10 unchanged'!I255)/100)+103/POWER(1+('CurrentPor-LH=10 unchanged'!D255+'CurrentPor-LH=10 unchanged'!I255)/100,2))*100</f>
        <v>9599.3574296519437</v>
      </c>
      <c r="F255">
        <f>Portfolio!B$5*'CurrentPor-LH=10 unchanged'!E255</f>
        <v>52143.895533915893</v>
      </c>
      <c r="G255">
        <f>Portfolio!B$6*'CurrentPor-LH=10 unchanged'!F255</f>
        <v>3696.2945087936532</v>
      </c>
      <c r="H255">
        <f>Portfolio!B$7*'CurrentPor-LH=10 unchanged'!J255</f>
        <v>2148.0998964419859</v>
      </c>
      <c r="I255">
        <f t="shared" si="6"/>
        <v>96487.902479945216</v>
      </c>
      <c r="J255">
        <f t="shared" si="7"/>
        <v>-15.338810545261367</v>
      </c>
    </row>
    <row r="256" spans="1:10">
      <c r="A256" s="1">
        <v>45827</v>
      </c>
      <c r="B256">
        <f>(3/(1+('CurrentPor-LH=10 unchanged'!C256)/100)+103/POWER(1+('CurrentPor-LH=10 unchanged'!D256)/100,2))*100</f>
        <v>9707.5857774288397</v>
      </c>
      <c r="C256">
        <f>(3/(1+('CurrentPor-LH=10 unchanged'!C256+'CurrentPor-LH=10 unchanged'!G256)/100)+103/POWER(1+('CurrentPor-LH=10 unchanged'!D256+'CurrentPor-LH=10 unchanged'!G256)/100,2))*100</f>
        <v>9632.1282890499697</v>
      </c>
      <c r="D256">
        <f>(3/(1+('CurrentPor-LH=10 unchanged'!C256+'CurrentPor-LH=10 unchanged'!H256)/100)+103/POWER(1+('CurrentPor-LH=10 unchanged'!D256+'CurrentPor-LH=10 unchanged'!H256)/100,2))*100</f>
        <v>9603.4229415018126</v>
      </c>
      <c r="E256">
        <f>(3/(1+('CurrentPor-LH=10 unchanged'!C256+'CurrentPor-LH=10 unchanged'!I256)/100)+103/POWER(1+('CurrentPor-LH=10 unchanged'!D256+'CurrentPor-LH=10 unchanged'!I256)/100,2))*100</f>
        <v>9575.0325397319502</v>
      </c>
      <c r="F256">
        <f>Portfolio!B$5*'CurrentPor-LH=10 unchanged'!E256</f>
        <v>52143.895533915893</v>
      </c>
      <c r="G256">
        <f>Portfolio!B$6*'CurrentPor-LH=10 unchanged'!F256</f>
        <v>3696.2945087936532</v>
      </c>
      <c r="H256">
        <f>Portfolio!B$7*'CurrentPor-LH=10 unchanged'!J256</f>
        <v>2148.0998964419859</v>
      </c>
      <c r="I256">
        <f t="shared" si="6"/>
        <v>96506.459486864114</v>
      </c>
      <c r="J256">
        <f t="shared" si="7"/>
        <v>17.010946705267997</v>
      </c>
    </row>
    <row r="257" spans="1:10">
      <c r="A257" s="1">
        <v>45828</v>
      </c>
      <c r="B257">
        <f>(3/(1+('CurrentPor-LH=10 unchanged'!C257)/100)+103/POWER(1+('CurrentPor-LH=10 unchanged'!D257)/100,2))*100</f>
        <v>9707.5857774288397</v>
      </c>
      <c r="C257">
        <f>(3/(1+('CurrentPor-LH=10 unchanged'!C257+'CurrentPor-LH=10 unchanged'!G257)/100)+103/POWER(1+('CurrentPor-LH=10 unchanged'!D257+'CurrentPor-LH=10 unchanged'!G257)/100,2))*100</f>
        <v>9622.5217019527081</v>
      </c>
      <c r="D257">
        <f>(3/(1+('CurrentPor-LH=10 unchanged'!C257+'CurrentPor-LH=10 unchanged'!H257)/100)+103/POWER(1+('CurrentPor-LH=10 unchanged'!D257+'CurrentPor-LH=10 unchanged'!H257)/100,2))*100</f>
        <v>9588.8351424397151</v>
      </c>
      <c r="E257">
        <f>(3/(1+('CurrentPor-LH=10 unchanged'!C257+'CurrentPor-LH=10 unchanged'!I257)/100)+103/POWER(1+('CurrentPor-LH=10 unchanged'!D257+'CurrentPor-LH=10 unchanged'!I257)/100,2))*100</f>
        <v>9588.4765331043127</v>
      </c>
      <c r="F257">
        <f>Portfolio!B$5*'CurrentPor-LH=10 unchanged'!E257</f>
        <v>52143.895533915893</v>
      </c>
      <c r="G257">
        <f>Portfolio!B$6*'CurrentPor-LH=10 unchanged'!F257</f>
        <v>3696.2945087936532</v>
      </c>
      <c r="H257">
        <f>Portfolio!B$7*'CurrentPor-LH=10 unchanged'!J257</f>
        <v>2148.0998964419859</v>
      </c>
      <c r="I257">
        <f t="shared" si="6"/>
        <v>96495.709094077101</v>
      </c>
      <c r="J257">
        <f t="shared" si="7"/>
        <v>-14.838886910714791</v>
      </c>
    </row>
    <row r="258" spans="1:10">
      <c r="A258" s="1">
        <v>45831</v>
      </c>
      <c r="B258">
        <f>(3/(1+('CurrentPor-LH=10 unchanged'!C258)/100)+103/POWER(1+('CurrentPor-LH=10 unchanged'!D258)/100,2))*100</f>
        <v>9707.5857774288397</v>
      </c>
      <c r="C258">
        <f>(3/(1+('CurrentPor-LH=10 unchanged'!C258+'CurrentPor-LH=10 unchanged'!G258)/100)+103/POWER(1+('CurrentPor-LH=10 unchanged'!D258+'CurrentPor-LH=10 unchanged'!G258)/100,2))*100</f>
        <v>9590.3351335122534</v>
      </c>
      <c r="D258">
        <f>(3/(1+('CurrentPor-LH=10 unchanged'!C258+'CurrentPor-LH=10 unchanged'!H258)/100)+103/POWER(1+('CurrentPor-LH=10 unchanged'!D258+'CurrentPor-LH=10 unchanged'!H258)/100,2))*100</f>
        <v>9607.1313346841762</v>
      </c>
      <c r="E258">
        <f>(3/(1+('CurrentPor-LH=10 unchanged'!C258+'CurrentPor-LH=10 unchanged'!I258)/100)+103/POWER(1+('CurrentPor-LH=10 unchanged'!D258+'CurrentPor-LH=10 unchanged'!I258)/100,2))*100</f>
        <v>9566.6513597430076</v>
      </c>
      <c r="F258">
        <f>Portfolio!B$5*'CurrentPor-LH=10 unchanged'!E258</f>
        <v>52143.895533915893</v>
      </c>
      <c r="G258">
        <f>Portfolio!B$6*'CurrentPor-LH=10 unchanged'!F258</f>
        <v>3696.2945087936532</v>
      </c>
      <c r="H258">
        <f>Portfolio!B$7*'CurrentPor-LH=10 unchanged'!J258</f>
        <v>2148.0998964419859</v>
      </c>
      <c r="I258">
        <f t="shared" si="6"/>
        <v>96459.993544519806</v>
      </c>
      <c r="J258">
        <f t="shared" si="7"/>
        <v>-26.760375476122135</v>
      </c>
    </row>
    <row r="259" spans="1:10">
      <c r="A259" s="1">
        <v>45832</v>
      </c>
      <c r="B259">
        <f>(3/(1+('CurrentPor-LH=10 unchanged'!C259)/100)+103/POWER(1+('CurrentPor-LH=10 unchanged'!D259)/100,2))*100</f>
        <v>9707.5857774288397</v>
      </c>
      <c r="C259">
        <f>(3/(1+('CurrentPor-LH=10 unchanged'!C259+'CurrentPor-LH=10 unchanged'!G259)/100)+103/POWER(1+('CurrentPor-LH=10 unchanged'!D259+'CurrentPor-LH=10 unchanged'!G259)/100,2))*100</f>
        <v>9608.4377057397214</v>
      </c>
      <c r="D259">
        <f>(3/(1+('CurrentPor-LH=10 unchanged'!C259+'CurrentPor-LH=10 unchanged'!H259)/100)+103/POWER(1+('CurrentPor-LH=10 unchanged'!D259+'CurrentPor-LH=10 unchanged'!H259)/100,2))*100</f>
        <v>9598.2751818665038</v>
      </c>
      <c r="E259">
        <f>(3/(1+('CurrentPor-LH=10 unchanged'!C259+'CurrentPor-LH=10 unchanged'!I259)/100)+103/POWER(1+('CurrentPor-LH=10 unchanged'!D259+'CurrentPor-LH=10 unchanged'!I259)/100,2))*100</f>
        <v>9567.6461248609321</v>
      </c>
      <c r="F259">
        <f>Portfolio!B$5*'CurrentPor-LH=10 unchanged'!E259</f>
        <v>52143.895533915893</v>
      </c>
      <c r="G259">
        <f>Portfolio!B$6*'CurrentPor-LH=10 unchanged'!F259</f>
        <v>3696.2945087936532</v>
      </c>
      <c r="H259">
        <f>Portfolio!B$7*'CurrentPor-LH=10 unchanged'!J259</f>
        <v>2148.0998964419859</v>
      </c>
      <c r="I259">
        <f t="shared" si="6"/>
        <v>96470.23472904753</v>
      </c>
      <c r="J259">
        <f t="shared" si="7"/>
        <v>-35.533545855199918</v>
      </c>
    </row>
    <row r="260" spans="1:10">
      <c r="A260" s="1">
        <v>45833</v>
      </c>
      <c r="B260">
        <f>(3/(1+('CurrentPor-LH=10 unchanged'!C260)/100)+103/POWER(1+('CurrentPor-LH=10 unchanged'!D260)/100,2))*100</f>
        <v>9707.5857774288397</v>
      </c>
      <c r="C260">
        <f>(3/(1+('CurrentPor-LH=10 unchanged'!C260+'CurrentPor-LH=10 unchanged'!G260)/100)+103/POWER(1+('CurrentPor-LH=10 unchanged'!D260+'CurrentPor-LH=10 unchanged'!G260)/100,2))*100</f>
        <v>9620.7821578899184</v>
      </c>
      <c r="D260">
        <f>(3/(1+('CurrentPor-LH=10 unchanged'!C260+'CurrentPor-LH=10 unchanged'!H260)/100)+103/POWER(1+('CurrentPor-LH=10 unchanged'!D260+'CurrentPor-LH=10 unchanged'!H260)/100,2))*100</f>
        <v>9593.4446853727804</v>
      </c>
      <c r="E260">
        <f>(3/(1+('CurrentPor-LH=10 unchanged'!C260+'CurrentPor-LH=10 unchanged'!I260)/100)+103/POWER(1+('CurrentPor-LH=10 unchanged'!D260+'CurrentPor-LH=10 unchanged'!I260)/100,2))*100</f>
        <v>9576.146416414138</v>
      </c>
      <c r="F260">
        <f>Portfolio!B$5*'CurrentPor-LH=10 unchanged'!E260</f>
        <v>52143.895533915893</v>
      </c>
      <c r="G260">
        <f>Portfolio!B$6*'CurrentPor-LH=10 unchanged'!F260</f>
        <v>3696.2945087936532</v>
      </c>
      <c r="H260">
        <f>Portfolio!B$7*'CurrentPor-LH=10 unchanged'!J260</f>
        <v>2148.0998964419859</v>
      </c>
      <c r="I260">
        <f t="shared" ref="I260:I263" si="8">SUM(B260:H260)</f>
        <v>96486.248976257208</v>
      </c>
      <c r="J260">
        <f t="shared" si="7"/>
        <v>3.2375495155574754</v>
      </c>
    </row>
    <row r="261" spans="1:10">
      <c r="A261" s="1">
        <v>45834</v>
      </c>
      <c r="B261">
        <f>(3/(1+('CurrentPor-LH=10 unchanged'!C261)/100)+103/POWER(1+('CurrentPor-LH=10 unchanged'!D261)/100,2))*100</f>
        <v>9707.5857774288397</v>
      </c>
      <c r="C261">
        <f>(3/(1+('CurrentPor-LH=10 unchanged'!C261+'CurrentPor-LH=10 unchanged'!G261)/100)+103/POWER(1+('CurrentPor-LH=10 unchanged'!D261+'CurrentPor-LH=10 unchanged'!G261)/100,2))*100</f>
        <v>9606.4001904745892</v>
      </c>
      <c r="D261">
        <f>(3/(1+('CurrentPor-LH=10 unchanged'!C261+'CurrentPor-LH=10 unchanged'!H261)/100)+103/POWER(1+('CurrentPor-LH=10 unchanged'!D261+'CurrentPor-LH=10 unchanged'!H261)/100,2))*100</f>
        <v>9589.7878952367464</v>
      </c>
      <c r="E261">
        <f>(3/(1+('CurrentPor-LH=10 unchanged'!C261+'CurrentPor-LH=10 unchanged'!I261)/100)+103/POWER(1+('CurrentPor-LH=10 unchanged'!D261+'CurrentPor-LH=10 unchanged'!I261)/100,2))*100</f>
        <v>9597.7681175900307</v>
      </c>
      <c r="F261">
        <f>Portfolio!B$5*'CurrentPor-LH=10 unchanged'!E261</f>
        <v>52143.895533915893</v>
      </c>
      <c r="G261">
        <f>Portfolio!B$6*'CurrentPor-LH=10 unchanged'!F261</f>
        <v>3696.2945087936532</v>
      </c>
      <c r="H261">
        <f>Portfolio!B$7*'CurrentPor-LH=10 unchanged'!J261</f>
        <v>2148.0998964419859</v>
      </c>
      <c r="I261">
        <f t="shared" si="8"/>
        <v>96489.831919881733</v>
      </c>
      <c r="J261">
        <f t="shared" si="7"/>
        <v>-28.322635890130186</v>
      </c>
    </row>
    <row r="262" spans="1:10">
      <c r="A262" s="1">
        <v>45835</v>
      </c>
      <c r="B262">
        <f>(3/(1+('CurrentPor-LH=10 unchanged'!C262)/100)+103/POWER(1+('CurrentPor-LH=10 unchanged'!D262)/100,2))*100</f>
        <v>9707.5857774288397</v>
      </c>
      <c r="C262">
        <f>(3/(1+('CurrentPor-LH=10 unchanged'!C262+'CurrentPor-LH=10 unchanged'!G262)/100)+103/POWER(1+('CurrentPor-LH=10 unchanged'!D262+'CurrentPor-LH=10 unchanged'!G262)/100,2))*100</f>
        <v>9607.7873276791779</v>
      </c>
      <c r="D262">
        <f>(3/(1+('CurrentPor-LH=10 unchanged'!C262+'CurrentPor-LH=10 unchanged'!H262)/100)+103/POWER(1+('CurrentPor-LH=10 unchanged'!D262+'CurrentPor-LH=10 unchanged'!H262)/100,2))*100</f>
        <v>9572.2538466841106</v>
      </c>
      <c r="E262">
        <f>(3/(1+('CurrentPor-LH=10 unchanged'!C262+'CurrentPor-LH=10 unchanged'!I262)/100)+103/POWER(1+('CurrentPor-LH=10 unchanged'!D262+'CurrentPor-LH=10 unchanged'!I262)/100,2))*100</f>
        <v>9581.1661296490092</v>
      </c>
      <c r="F262">
        <f>Portfolio!B$5*'CurrentPor-LH=10 unchanged'!E262</f>
        <v>52143.895533915893</v>
      </c>
      <c r="G262">
        <f>Portfolio!B$6*'CurrentPor-LH=10 unchanged'!F262</f>
        <v>3696.2945087936532</v>
      </c>
      <c r="H262">
        <f>Portfolio!B$7*'CurrentPor-LH=10 unchanged'!J262</f>
        <v>2148.0998964419859</v>
      </c>
      <c r="I262">
        <f t="shared" si="8"/>
        <v>96457.083020592676</v>
      </c>
      <c r="J262">
        <f t="shared" si="7"/>
        <v>-45.734461508269305</v>
      </c>
    </row>
    <row r="263" spans="1:10">
      <c r="A263" s="1">
        <v>45838</v>
      </c>
      <c r="B263">
        <f>(3/(1+('CurrentPor-LH=10 unchanged'!C263)/100)+103/POWER(1+('CurrentPor-LH=10 unchanged'!D263)/100,2))*100</f>
        <v>9707.5857774288397</v>
      </c>
      <c r="C263">
        <f>(3/(1+('CurrentPor-LH=10 unchanged'!C263+'CurrentPor-LH=10 unchanged'!G263)/100)+103/POWER(1+('CurrentPor-LH=10 unchanged'!D263+'CurrentPor-LH=10 unchanged'!G263)/100,2))*100</f>
        <v>9599.903241215392</v>
      </c>
      <c r="D263">
        <f>(3/(1+('CurrentPor-LH=10 unchanged'!C263+'CurrentPor-LH=10 unchanged'!H263)/100)+103/POWER(1+('CurrentPor-LH=10 unchanged'!D263+'CurrentPor-LH=10 unchanged'!H263)/100,2))*100</f>
        <v>9591.1646952462615</v>
      </c>
      <c r="E263">
        <f>(3/(1+('CurrentPor-LH=10 unchanged'!C263+'CurrentPor-LH=10 unchanged'!I263)/100)+103/POWER(1+('CurrentPor-LH=10 unchanged'!D263+'CurrentPor-LH=10 unchanged'!I263)/100,2))*100</f>
        <v>9593.7302485209475</v>
      </c>
      <c r="F263">
        <f>Portfolio!B$5*'CurrentPor-LH=10 unchanged'!E263</f>
        <v>52143.895533915893</v>
      </c>
      <c r="G263">
        <f>Portfolio!B$6*'CurrentPor-LH=10 unchanged'!F263</f>
        <v>3696.2945087936532</v>
      </c>
      <c r="H263">
        <f>Portfolio!B$7*'CurrentPor-LH=10 unchanged'!J263</f>
        <v>2148.0998964419859</v>
      </c>
      <c r="I263">
        <f t="shared" si="8"/>
        <v>96480.673901562972</v>
      </c>
      <c r="J263">
        <f t="shared" si="7"/>
        <v>-26.549612521514064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6C34-D226-46B6-8EB4-18ECF1A087D0}">
  <dimension ref="A1:L263"/>
  <sheetViews>
    <sheetView topLeftCell="D1" workbookViewId="0">
      <selection activeCell="C6" sqref="C6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(3/(1+('CurrentPor-LH=20 unchanged'!C3)/100)+103/POWER(1+('CurrentPor-LH=20 unchanged'!D3)/100,2))*100</f>
        <v>9707.5857774288397</v>
      </c>
      <c r="C3">
        <f>(3/(1+('CurrentPor-LH=20 unchanged'!C3+'CurrentPor-LH=20 unchanged'!G3)/100)+103/POWER(1+('CurrentPor-LH=20 unchanged'!D3+'CurrentPor-LH=20 unchanged'!G3)/100,2))*100</f>
        <v>9614.9673582483465</v>
      </c>
      <c r="D3">
        <f>(3/(1+('CurrentPor-LH=20 unchanged'!C3+'CurrentPor-LH=20 unchanged'!H3)/100)+103/POWER(1+('CurrentPor-LH=20 unchanged'!D3+'CurrentPor-LH=20 unchanged'!H3)/100,2))*100</f>
        <v>9608.4831707255853</v>
      </c>
      <c r="E3">
        <f>(3/(1+('CurrentPor-LH=20 unchanged'!C3+'CurrentPor-LH=20 unchanged'!I3)/100)+103/POWER(1+('CurrentPor-LH=20 unchanged'!D3+'CurrentPor-LH=20 unchanged'!I3)/100,2))*100</f>
        <v>9575.1589567325373</v>
      </c>
      <c r="F3">
        <f>Portfolio!B$5*'CurrentPor-LH=20 unchanged'!E3</f>
        <v>52143.895533915893</v>
      </c>
      <c r="G3">
        <f>Portfolio!B$6*'CurrentPor-LH=20 unchanged'!F3</f>
        <v>3696.2945087936532</v>
      </c>
      <c r="H3">
        <f>Portfolio!B$7*'CurrentPor-LH=20 unchanged'!J3</f>
        <v>2148.0998964419859</v>
      </c>
      <c r="I3">
        <f>SUM(B3:H3)</f>
        <v>96494.485202286844</v>
      </c>
      <c r="K3" s="8">
        <f>_xlfn.PERCENTILE.INC(J13:J263, 0.025)</f>
        <v>-42.755109347417601</v>
      </c>
      <c r="L3">
        <f>AVERAGEIF(J13:J263, "&lt;="&amp;K3,J13:J263)</f>
        <v>-47.550712730086943</v>
      </c>
    </row>
    <row r="4" spans="1:12">
      <c r="A4" s="1">
        <v>45475</v>
      </c>
      <c r="B4">
        <f>(3/(1+('CurrentPor-LH=20 unchanged'!C4)/100)+103/POWER(1+('CurrentPor-LH=20 unchanged'!D4)/100,2))*100</f>
        <v>9707.5857774288397</v>
      </c>
      <c r="C4">
        <f>(3/(1+('CurrentPor-LH=20 unchanged'!C4+'CurrentPor-LH=20 unchanged'!G4)/100)+103/POWER(1+('CurrentPor-LH=20 unchanged'!D4+'CurrentPor-LH=20 unchanged'!G4)/100,2))*100</f>
        <v>9614.9673582483465</v>
      </c>
      <c r="D4">
        <f>(3/(1+('CurrentPor-LH=20 unchanged'!C4+'CurrentPor-LH=20 unchanged'!H4)/100)+103/POWER(1+('CurrentPor-LH=20 unchanged'!D4+'CurrentPor-LH=20 unchanged'!H4)/100,2))*100</f>
        <v>9580.8441477768902</v>
      </c>
      <c r="E4">
        <f>(3/(1+('CurrentPor-LH=20 unchanged'!C4+'CurrentPor-LH=20 unchanged'!I4)/100)+103/POWER(1+('CurrentPor-LH=20 unchanged'!D4+'CurrentPor-LH=20 unchanged'!I4)/100,2))*100</f>
        <v>9608.173991835838</v>
      </c>
      <c r="F4">
        <f>Portfolio!B$5*'CurrentPor-LH=20 unchanged'!E4</f>
        <v>52143.895533915893</v>
      </c>
      <c r="G4">
        <f>Portfolio!B$6*'CurrentPor-LH=20 unchanged'!F4</f>
        <v>3696.2945087936532</v>
      </c>
      <c r="H4">
        <f>Portfolio!B$7*'CurrentPor-LH=20 unchanged'!J4</f>
        <v>2148.0998964419859</v>
      </c>
      <c r="I4">
        <f t="shared" ref="I4:I67" si="0">SUM(B4:H4)</f>
        <v>96499.861214441436</v>
      </c>
    </row>
    <row r="5" spans="1:12">
      <c r="A5" s="1">
        <v>45476</v>
      </c>
      <c r="B5">
        <f>(3/(1+('CurrentPor-LH=20 unchanged'!C5)/100)+103/POWER(1+('CurrentPor-LH=20 unchanged'!D5)/100,2))*100</f>
        <v>9707.5857774288397</v>
      </c>
      <c r="C5">
        <f>(3/(1+('CurrentPor-LH=20 unchanged'!C5+'CurrentPor-LH=20 unchanged'!G5)/100)+103/POWER(1+('CurrentPor-LH=20 unchanged'!D5+'CurrentPor-LH=20 unchanged'!G5)/100,2))*100</f>
        <v>9614.9673582483465</v>
      </c>
      <c r="D5">
        <f>(3/(1+('CurrentPor-LH=20 unchanged'!C5+'CurrentPor-LH=20 unchanged'!H5)/100)+103/POWER(1+('CurrentPor-LH=20 unchanged'!D5+'CurrentPor-LH=20 unchanged'!H5)/100,2))*100</f>
        <v>9601.22363881622</v>
      </c>
      <c r="E5">
        <f>(3/(1+('CurrentPor-LH=20 unchanged'!C5+'CurrentPor-LH=20 unchanged'!I5)/100)+103/POWER(1+('CurrentPor-LH=20 unchanged'!D5+'CurrentPor-LH=20 unchanged'!I5)/100,2))*100</f>
        <v>9571.7256625780628</v>
      </c>
      <c r="F5">
        <f>Portfolio!B$5*'CurrentPor-LH=20 unchanged'!E5</f>
        <v>52143.895533915893</v>
      </c>
      <c r="G5">
        <f>Portfolio!B$6*'CurrentPor-LH=20 unchanged'!F5</f>
        <v>3696.2945087936532</v>
      </c>
      <c r="H5">
        <f>Portfolio!B$7*'CurrentPor-LH=20 unchanged'!J5</f>
        <v>2148.0998964419859</v>
      </c>
      <c r="I5">
        <f t="shared" si="0"/>
        <v>96483.792376223006</v>
      </c>
    </row>
    <row r="6" spans="1:12">
      <c r="A6" s="1">
        <v>45477</v>
      </c>
      <c r="B6">
        <f>(3/(1+('CurrentPor-LH=20 unchanged'!C6)/100)+103/POWER(1+('CurrentPor-LH=20 unchanged'!D6)/100,2))*100</f>
        <v>9707.5857774288397</v>
      </c>
      <c r="C6">
        <f>(3/(1+('CurrentPor-LH=20 unchanged'!C6+'CurrentPor-LH=20 unchanged'!G6)/100)+103/POWER(1+('CurrentPor-LH=20 unchanged'!D6+'CurrentPor-LH=20 unchanged'!G6)/100,2))*100</f>
        <v>9614.9673582483465</v>
      </c>
      <c r="D6">
        <f>(3/(1+('CurrentPor-LH=20 unchanged'!C6+'CurrentPor-LH=20 unchanged'!H6)/100)+103/POWER(1+('CurrentPor-LH=20 unchanged'!D6+'CurrentPor-LH=20 unchanged'!H6)/100,2))*100</f>
        <v>9595.6039308750369</v>
      </c>
      <c r="E6">
        <f>(3/(1+('CurrentPor-LH=20 unchanged'!C6+'CurrentPor-LH=20 unchanged'!I6)/100)+103/POWER(1+('CurrentPor-LH=20 unchanged'!D6+'CurrentPor-LH=20 unchanged'!I6)/100,2))*100</f>
        <v>9573.1692951556051</v>
      </c>
      <c r="F6">
        <f>Portfolio!B$5*'CurrentPor-LH=20 unchanged'!E6</f>
        <v>52143.895533915893</v>
      </c>
      <c r="G6">
        <f>Portfolio!B$6*'CurrentPor-LH=20 unchanged'!F6</f>
        <v>3696.2945087936532</v>
      </c>
      <c r="H6">
        <f>Portfolio!B$7*'CurrentPor-LH=20 unchanged'!J6</f>
        <v>2148.0998964419859</v>
      </c>
      <c r="I6">
        <f t="shared" si="0"/>
        <v>96479.616300859358</v>
      </c>
    </row>
    <row r="7" spans="1:12">
      <c r="A7" s="1">
        <v>45478</v>
      </c>
      <c r="B7">
        <f>(3/(1+('CurrentPor-LH=20 unchanged'!C7)/100)+103/POWER(1+('CurrentPor-LH=20 unchanged'!D7)/100,2))*100</f>
        <v>9707.5857774288397</v>
      </c>
      <c r="C7">
        <f>(3/(1+('CurrentPor-LH=20 unchanged'!C7+'CurrentPor-LH=20 unchanged'!G7)/100)+103/POWER(1+('CurrentPor-LH=20 unchanged'!D7+'CurrentPor-LH=20 unchanged'!G7)/100,2))*100</f>
        <v>9614.9673582483465</v>
      </c>
      <c r="D7">
        <f>(3/(1+('CurrentPor-LH=20 unchanged'!C7+'CurrentPor-LH=20 unchanged'!H7)/100)+103/POWER(1+('CurrentPor-LH=20 unchanged'!D7+'CurrentPor-LH=20 unchanged'!H7)/100,2))*100</f>
        <v>9601.6076030073982</v>
      </c>
      <c r="E7">
        <f>(3/(1+('CurrentPor-LH=20 unchanged'!C7+'CurrentPor-LH=20 unchanged'!I7)/100)+103/POWER(1+('CurrentPor-LH=20 unchanged'!D7+'CurrentPor-LH=20 unchanged'!I7)/100,2))*100</f>
        <v>9599.2036041801457</v>
      </c>
      <c r="F7">
        <f>Portfolio!B$5*'CurrentPor-LH=20 unchanged'!E7</f>
        <v>52143.895533915893</v>
      </c>
      <c r="G7">
        <f>Portfolio!B$6*'CurrentPor-LH=20 unchanged'!F7</f>
        <v>3696.2945087936532</v>
      </c>
      <c r="H7">
        <f>Portfolio!B$7*'CurrentPor-LH=20 unchanged'!J7</f>
        <v>2148.0998964419859</v>
      </c>
      <c r="I7">
        <f t="shared" si="0"/>
        <v>96511.654282016258</v>
      </c>
    </row>
    <row r="8" spans="1:12">
      <c r="A8" s="1">
        <v>45481</v>
      </c>
      <c r="B8">
        <f>(3/(1+('CurrentPor-LH=20 unchanged'!C8)/100)+103/POWER(1+('CurrentPor-LH=20 unchanged'!D8)/100,2))*100</f>
        <v>9707.5857774288397</v>
      </c>
      <c r="C8">
        <f>(3/(1+('CurrentPor-LH=20 unchanged'!C8+'CurrentPor-LH=20 unchanged'!G8)/100)+103/POWER(1+('CurrentPor-LH=20 unchanged'!D8+'CurrentPor-LH=20 unchanged'!G8)/100,2))*100</f>
        <v>9614.9673582483465</v>
      </c>
      <c r="D8">
        <f>(3/(1+('CurrentPor-LH=20 unchanged'!C8+'CurrentPor-LH=20 unchanged'!H8)/100)+103/POWER(1+('CurrentPor-LH=20 unchanged'!D8+'CurrentPor-LH=20 unchanged'!H8)/100,2))*100</f>
        <v>9592.1520262195118</v>
      </c>
      <c r="E8">
        <f>(3/(1+('CurrentPor-LH=20 unchanged'!C8+'CurrentPor-LH=20 unchanged'!I8)/100)+103/POWER(1+('CurrentPor-LH=20 unchanged'!D8+'CurrentPor-LH=20 unchanged'!I8)/100,2))*100</f>
        <v>9583.7286656073411</v>
      </c>
      <c r="F8">
        <f>Portfolio!B$5*'CurrentPor-LH=20 unchanged'!E8</f>
        <v>52143.895533915893</v>
      </c>
      <c r="G8">
        <f>Portfolio!B$6*'CurrentPor-LH=20 unchanged'!F8</f>
        <v>3696.2945087936532</v>
      </c>
      <c r="H8">
        <f>Portfolio!B$7*'CurrentPor-LH=20 unchanged'!J8</f>
        <v>2148.0998964419859</v>
      </c>
      <c r="I8">
        <f t="shared" si="0"/>
        <v>96486.723766655559</v>
      </c>
    </row>
    <row r="9" spans="1:12">
      <c r="A9" s="1">
        <v>45482</v>
      </c>
      <c r="B9">
        <f>(3/(1+('CurrentPor-LH=20 unchanged'!C9)/100)+103/POWER(1+('CurrentPor-LH=20 unchanged'!D9)/100,2))*100</f>
        <v>9707.5857774288397</v>
      </c>
      <c r="C9">
        <f>(3/(1+('CurrentPor-LH=20 unchanged'!C9+'CurrentPor-LH=20 unchanged'!G9)/100)+103/POWER(1+('CurrentPor-LH=20 unchanged'!D9+'CurrentPor-LH=20 unchanged'!G9)/100,2))*100</f>
        <v>9614.9673582483465</v>
      </c>
      <c r="D9">
        <f>(3/(1+('CurrentPor-LH=20 unchanged'!C9+'CurrentPor-LH=20 unchanged'!H9)/100)+103/POWER(1+('CurrentPor-LH=20 unchanged'!D9+'CurrentPor-LH=20 unchanged'!H9)/100,2))*100</f>
        <v>9604.5887903685471</v>
      </c>
      <c r="E9">
        <f>(3/(1+('CurrentPor-LH=20 unchanged'!C9+'CurrentPor-LH=20 unchanged'!I9)/100)+103/POWER(1+('CurrentPor-LH=20 unchanged'!D9+'CurrentPor-LH=20 unchanged'!I9)/100,2))*100</f>
        <v>9584.4408794337596</v>
      </c>
      <c r="F9">
        <f>Portfolio!B$5*'CurrentPor-LH=20 unchanged'!E9</f>
        <v>52143.895533915893</v>
      </c>
      <c r="G9">
        <f>Portfolio!B$6*'CurrentPor-LH=20 unchanged'!F9</f>
        <v>3696.2945087936532</v>
      </c>
      <c r="H9">
        <f>Portfolio!B$7*'CurrentPor-LH=20 unchanged'!J9</f>
        <v>2148.0998964419859</v>
      </c>
      <c r="I9">
        <f t="shared" si="0"/>
        <v>96499.872744631022</v>
      </c>
    </row>
    <row r="10" spans="1:12">
      <c r="A10" s="1">
        <v>45483</v>
      </c>
      <c r="B10">
        <f>(3/(1+('CurrentPor-LH=20 unchanged'!C10)/100)+103/POWER(1+('CurrentPor-LH=20 unchanged'!D10)/100,2))*100</f>
        <v>9707.5857774288397</v>
      </c>
      <c r="C10">
        <f>(3/(1+('CurrentPor-LH=20 unchanged'!C10+'CurrentPor-LH=20 unchanged'!G10)/100)+103/POWER(1+('CurrentPor-LH=20 unchanged'!D10+'CurrentPor-LH=20 unchanged'!G10)/100,2))*100</f>
        <v>9614.9673582483465</v>
      </c>
      <c r="D10">
        <f>(3/(1+('CurrentPor-LH=20 unchanged'!C10+'CurrentPor-LH=20 unchanged'!H10)/100)+103/POWER(1+('CurrentPor-LH=20 unchanged'!D10+'CurrentPor-LH=20 unchanged'!H10)/100,2))*100</f>
        <v>9612.1495728840819</v>
      </c>
      <c r="E10">
        <f>(3/(1+('CurrentPor-LH=20 unchanged'!C10+'CurrentPor-LH=20 unchanged'!I10)/100)+103/POWER(1+('CurrentPor-LH=20 unchanged'!D10+'CurrentPor-LH=20 unchanged'!I10)/100,2))*100</f>
        <v>9581.614250157294</v>
      </c>
      <c r="F10">
        <f>Portfolio!B$5*'CurrentPor-LH=20 unchanged'!E10</f>
        <v>52143.895533915893</v>
      </c>
      <c r="G10">
        <f>Portfolio!B$6*'CurrentPor-LH=20 unchanged'!F10</f>
        <v>3696.2945087936532</v>
      </c>
      <c r="H10">
        <f>Portfolio!B$7*'CurrentPor-LH=20 unchanged'!J10</f>
        <v>2148.0998964419859</v>
      </c>
      <c r="I10">
        <f t="shared" si="0"/>
        <v>96504.606897870093</v>
      </c>
    </row>
    <row r="11" spans="1:12">
      <c r="A11" s="1">
        <v>45484</v>
      </c>
      <c r="B11">
        <f>(3/(1+('CurrentPor-LH=20 unchanged'!C11)/100)+103/POWER(1+('CurrentPor-LH=20 unchanged'!D11)/100,2))*100</f>
        <v>9707.5857774288397</v>
      </c>
      <c r="C11">
        <f>(3/(1+('CurrentPor-LH=20 unchanged'!C11+'CurrentPor-LH=20 unchanged'!G11)/100)+103/POWER(1+('CurrentPor-LH=20 unchanged'!D11+'CurrentPor-LH=20 unchanged'!G11)/100,2))*100</f>
        <v>9614.9673582483465</v>
      </c>
      <c r="D11">
        <f>(3/(1+('CurrentPor-LH=20 unchanged'!C11+'CurrentPor-LH=20 unchanged'!H11)/100)+103/POWER(1+('CurrentPor-LH=20 unchanged'!D11+'CurrentPor-LH=20 unchanged'!H11)/100,2))*100</f>
        <v>9591.2438499943146</v>
      </c>
      <c r="E11">
        <f>(3/(1+('CurrentPor-LH=20 unchanged'!C11+'CurrentPor-LH=20 unchanged'!I11)/100)+103/POWER(1+('CurrentPor-LH=20 unchanged'!D11+'CurrentPor-LH=20 unchanged'!I11)/100,2))*100</f>
        <v>9583.1691170728209</v>
      </c>
      <c r="F11">
        <f>Portfolio!B$5*'CurrentPor-LH=20 unchanged'!E11</f>
        <v>52143.895533915893</v>
      </c>
      <c r="G11">
        <f>Portfolio!B$6*'CurrentPor-LH=20 unchanged'!F11</f>
        <v>3696.2945087936532</v>
      </c>
      <c r="H11">
        <f>Portfolio!B$7*'CurrentPor-LH=20 unchanged'!J11</f>
        <v>2148.0998964419859</v>
      </c>
      <c r="I11">
        <f t="shared" si="0"/>
        <v>96485.256041895846</v>
      </c>
    </row>
    <row r="12" spans="1:12">
      <c r="A12" s="1">
        <v>45485</v>
      </c>
      <c r="B12">
        <f>(3/(1+('CurrentPor-LH=20 unchanged'!C12)/100)+103/POWER(1+('CurrentPor-LH=20 unchanged'!D12)/100,2))*100</f>
        <v>9707.5857774288397</v>
      </c>
      <c r="C12">
        <f>(3/(1+('CurrentPor-LH=20 unchanged'!C12+'CurrentPor-LH=20 unchanged'!G12)/100)+103/POWER(1+('CurrentPor-LH=20 unchanged'!D12+'CurrentPor-LH=20 unchanged'!G12)/100,2))*100</f>
        <v>9614.9673582483465</v>
      </c>
      <c r="D12">
        <f>(3/(1+('CurrentPor-LH=20 unchanged'!C12+'CurrentPor-LH=20 unchanged'!H12)/100)+103/POWER(1+('CurrentPor-LH=20 unchanged'!D12+'CurrentPor-LH=20 unchanged'!H12)/100,2))*100</f>
        <v>9603.4225779589524</v>
      </c>
      <c r="E12">
        <f>(3/(1+('CurrentPor-LH=20 unchanged'!C12+'CurrentPor-LH=20 unchanged'!I12)/100)+103/POWER(1+('CurrentPor-LH=20 unchanged'!D12+'CurrentPor-LH=20 unchanged'!I12)/100,2))*100</f>
        <v>9571.1820794582345</v>
      </c>
      <c r="F12">
        <f>Portfolio!B$5*'CurrentPor-LH=20 unchanged'!E12</f>
        <v>52143.895533915893</v>
      </c>
      <c r="G12">
        <f>Portfolio!B$6*'CurrentPor-LH=20 unchanged'!F12</f>
        <v>3696.2945087936532</v>
      </c>
      <c r="H12">
        <f>Portfolio!B$7*'CurrentPor-LH=20 unchanged'!J12</f>
        <v>2148.0998964419859</v>
      </c>
      <c r="I12">
        <f t="shared" si="0"/>
        <v>96485.447732245913</v>
      </c>
    </row>
    <row r="13" spans="1:12">
      <c r="A13" s="1">
        <v>45488</v>
      </c>
      <c r="B13">
        <f>(3/(1+('CurrentPor-LH=20 unchanged'!C13)/100)+103/POWER(1+('CurrentPor-LH=20 unchanged'!D13)/100,2))*100</f>
        <v>9707.5857774288397</v>
      </c>
      <c r="C13">
        <f>(3/(1+('CurrentPor-LH=20 unchanged'!C13+'CurrentPor-LH=20 unchanged'!G13)/100)+103/POWER(1+('CurrentPor-LH=20 unchanged'!D13+'CurrentPor-LH=20 unchanged'!G13)/100,2))*100</f>
        <v>9614.9673582483465</v>
      </c>
      <c r="D13">
        <f>(3/(1+('CurrentPor-LH=20 unchanged'!C13+'CurrentPor-LH=20 unchanged'!H13)/100)+103/POWER(1+('CurrentPor-LH=20 unchanged'!D13+'CurrentPor-LH=20 unchanged'!H13)/100,2))*100</f>
        <v>9602.4186278269481</v>
      </c>
      <c r="E13">
        <f>(3/(1+('CurrentPor-LH=20 unchanged'!C13+'CurrentPor-LH=20 unchanged'!I13)/100)+103/POWER(1+('CurrentPor-LH=20 unchanged'!D13+'CurrentPor-LH=20 unchanged'!I13)/100,2))*100</f>
        <v>9585.2315882898347</v>
      </c>
      <c r="F13">
        <f>Portfolio!B$5*'CurrentPor-LH=20 unchanged'!E13</f>
        <v>52143.895533915893</v>
      </c>
      <c r="G13">
        <f>Portfolio!B$6*'CurrentPor-LH=20 unchanged'!F13</f>
        <v>3696.2945087936532</v>
      </c>
      <c r="H13">
        <f>Portfolio!B$7*'CurrentPor-LH=20 unchanged'!J13</f>
        <v>2148.0998964419859</v>
      </c>
      <c r="I13">
        <f t="shared" si="0"/>
        <v>96498.493290945495</v>
      </c>
      <c r="J13">
        <f>I13-I3</f>
        <v>4.0080886586511042</v>
      </c>
    </row>
    <row r="14" spans="1:12">
      <c r="A14" s="1">
        <v>45489</v>
      </c>
      <c r="B14">
        <f>(3/(1+('CurrentPor-LH=20 unchanged'!C14)/100)+103/POWER(1+('CurrentPor-LH=20 unchanged'!D14)/100,2))*100</f>
        <v>9707.5857774288397</v>
      </c>
      <c r="C14">
        <f>(3/(1+('CurrentPor-LH=20 unchanged'!C14+'CurrentPor-LH=20 unchanged'!G14)/100)+103/POWER(1+('CurrentPor-LH=20 unchanged'!D14+'CurrentPor-LH=20 unchanged'!G14)/100,2))*100</f>
        <v>9614.9673582483465</v>
      </c>
      <c r="D14">
        <f>(3/(1+('CurrentPor-LH=20 unchanged'!C14+'CurrentPor-LH=20 unchanged'!H14)/100)+103/POWER(1+('CurrentPor-LH=20 unchanged'!D14+'CurrentPor-LH=20 unchanged'!H14)/100,2))*100</f>
        <v>9587.8584087562595</v>
      </c>
      <c r="E14">
        <f>(3/(1+('CurrentPor-LH=20 unchanged'!C14+'CurrentPor-LH=20 unchanged'!I14)/100)+103/POWER(1+('CurrentPor-LH=20 unchanged'!D14+'CurrentPor-LH=20 unchanged'!I14)/100,2))*100</f>
        <v>9589.7520846498719</v>
      </c>
      <c r="F14">
        <f>Portfolio!B$5*'CurrentPor-LH=20 unchanged'!E14</f>
        <v>52143.895533915893</v>
      </c>
      <c r="G14">
        <f>Portfolio!B$6*'CurrentPor-LH=20 unchanged'!F14</f>
        <v>3696.2945087936532</v>
      </c>
      <c r="H14">
        <f>Portfolio!B$7*'CurrentPor-LH=20 unchanged'!J14</f>
        <v>2148.0998964419859</v>
      </c>
      <c r="I14">
        <f t="shared" si="0"/>
        <v>96488.453568234851</v>
      </c>
      <c r="J14">
        <f t="shared" ref="J14:J77" si="1">I14-I4</f>
        <v>-11.407646206585923</v>
      </c>
    </row>
    <row r="15" spans="1:12">
      <c r="A15" s="1">
        <v>45490</v>
      </c>
      <c r="B15">
        <f>(3/(1+('CurrentPor-LH=20 unchanged'!C15)/100)+103/POWER(1+('CurrentPor-LH=20 unchanged'!D15)/100,2))*100</f>
        <v>9707.5857774288397</v>
      </c>
      <c r="C15">
        <f>(3/(1+('CurrentPor-LH=20 unchanged'!C15+'CurrentPor-LH=20 unchanged'!G15)/100)+103/POWER(1+('CurrentPor-LH=20 unchanged'!D15+'CurrentPor-LH=20 unchanged'!G15)/100,2))*100</f>
        <v>9614.9673582483465</v>
      </c>
      <c r="D15">
        <f>(3/(1+('CurrentPor-LH=20 unchanged'!C15+'CurrentPor-LH=20 unchanged'!H15)/100)+103/POWER(1+('CurrentPor-LH=20 unchanged'!D15+'CurrentPor-LH=20 unchanged'!H15)/100,2))*100</f>
        <v>9605.176526888763</v>
      </c>
      <c r="E15">
        <f>(3/(1+('CurrentPor-LH=20 unchanged'!C15+'CurrentPor-LH=20 unchanged'!I15)/100)+103/POWER(1+('CurrentPor-LH=20 unchanged'!D15+'CurrentPor-LH=20 unchanged'!I15)/100,2))*100</f>
        <v>9586.7422146760127</v>
      </c>
      <c r="F15">
        <f>Portfolio!B$5*'CurrentPor-LH=20 unchanged'!E15</f>
        <v>52143.895533915893</v>
      </c>
      <c r="G15">
        <f>Portfolio!B$6*'CurrentPor-LH=20 unchanged'!F15</f>
        <v>3696.2945087936532</v>
      </c>
      <c r="H15">
        <f>Portfolio!B$7*'CurrentPor-LH=20 unchanged'!J15</f>
        <v>2148.0998964419859</v>
      </c>
      <c r="I15">
        <f t="shared" si="0"/>
        <v>96502.761816393497</v>
      </c>
      <c r="J15">
        <f t="shared" si="1"/>
        <v>18.969440170490998</v>
      </c>
    </row>
    <row r="16" spans="1:12">
      <c r="A16" s="1">
        <v>45491</v>
      </c>
      <c r="B16">
        <f>(3/(1+('CurrentPor-LH=20 unchanged'!C16)/100)+103/POWER(1+('CurrentPor-LH=20 unchanged'!D16)/100,2))*100</f>
        <v>9707.5857774288397</v>
      </c>
      <c r="C16">
        <f>(3/(1+('CurrentPor-LH=20 unchanged'!C16+'CurrentPor-LH=20 unchanged'!G16)/100)+103/POWER(1+('CurrentPor-LH=20 unchanged'!D16+'CurrentPor-LH=20 unchanged'!G16)/100,2))*100</f>
        <v>9614.9673582483465</v>
      </c>
      <c r="D16">
        <f>(3/(1+('CurrentPor-LH=20 unchanged'!C16+'CurrentPor-LH=20 unchanged'!H16)/100)+103/POWER(1+('CurrentPor-LH=20 unchanged'!D16+'CurrentPor-LH=20 unchanged'!H16)/100,2))*100</f>
        <v>9592.6654639924182</v>
      </c>
      <c r="E16">
        <f>(3/(1+('CurrentPor-LH=20 unchanged'!C16+'CurrentPor-LH=20 unchanged'!I16)/100)+103/POWER(1+('CurrentPor-LH=20 unchanged'!D16+'CurrentPor-LH=20 unchanged'!I16)/100,2))*100</f>
        <v>9583.5216954183179</v>
      </c>
      <c r="F16">
        <f>Portfolio!B$5*'CurrentPor-LH=20 unchanged'!E16</f>
        <v>52143.895533915893</v>
      </c>
      <c r="G16">
        <f>Portfolio!B$6*'CurrentPor-LH=20 unchanged'!F16</f>
        <v>3696.2945087936532</v>
      </c>
      <c r="H16">
        <f>Portfolio!B$7*'CurrentPor-LH=20 unchanged'!J16</f>
        <v>2148.0998964419859</v>
      </c>
      <c r="I16">
        <f t="shared" si="0"/>
        <v>96487.030234239457</v>
      </c>
      <c r="J16">
        <f t="shared" si="1"/>
        <v>7.4139333800994791</v>
      </c>
    </row>
    <row r="17" spans="1:10">
      <c r="A17" s="1">
        <v>45492</v>
      </c>
      <c r="B17">
        <f>(3/(1+('CurrentPor-LH=20 unchanged'!C17)/100)+103/POWER(1+('CurrentPor-LH=20 unchanged'!D17)/100,2))*100</f>
        <v>9707.5857774288397</v>
      </c>
      <c r="C17">
        <f>(3/(1+('CurrentPor-LH=20 unchanged'!C17+'CurrentPor-LH=20 unchanged'!G17)/100)+103/POWER(1+('CurrentPor-LH=20 unchanged'!D17+'CurrentPor-LH=20 unchanged'!G17)/100,2))*100</f>
        <v>9614.9673582483465</v>
      </c>
      <c r="D17">
        <f>(3/(1+('CurrentPor-LH=20 unchanged'!C17+'CurrentPor-LH=20 unchanged'!H17)/100)+103/POWER(1+('CurrentPor-LH=20 unchanged'!D17+'CurrentPor-LH=20 unchanged'!H17)/100,2))*100</f>
        <v>9619.3350978902836</v>
      </c>
      <c r="E17">
        <f>(3/(1+('CurrentPor-LH=20 unchanged'!C17+'CurrentPor-LH=20 unchanged'!I17)/100)+103/POWER(1+('CurrentPor-LH=20 unchanged'!D17+'CurrentPor-LH=20 unchanged'!I17)/100,2))*100</f>
        <v>9573.6858060706818</v>
      </c>
      <c r="F17">
        <f>Portfolio!B$5*'CurrentPor-LH=20 unchanged'!E17</f>
        <v>52143.895533915893</v>
      </c>
      <c r="G17">
        <f>Portfolio!B$6*'CurrentPor-LH=20 unchanged'!F17</f>
        <v>3696.2945087936532</v>
      </c>
      <c r="H17">
        <f>Portfolio!B$7*'CurrentPor-LH=20 unchanged'!J17</f>
        <v>2148.0998964419859</v>
      </c>
      <c r="I17">
        <f t="shared" si="0"/>
        <v>96503.863978789683</v>
      </c>
      <c r="J17">
        <f t="shared" si="1"/>
        <v>-7.7903032265749061</v>
      </c>
    </row>
    <row r="18" spans="1:10">
      <c r="A18" s="1">
        <v>45495</v>
      </c>
      <c r="B18">
        <f>(3/(1+('CurrentPor-LH=20 unchanged'!C18)/100)+103/POWER(1+('CurrentPor-LH=20 unchanged'!D18)/100,2))*100</f>
        <v>9707.5857774288397</v>
      </c>
      <c r="C18">
        <f>(3/(1+('CurrentPor-LH=20 unchanged'!C18+'CurrentPor-LH=20 unchanged'!G18)/100)+103/POWER(1+('CurrentPor-LH=20 unchanged'!D18+'CurrentPor-LH=20 unchanged'!G18)/100,2))*100</f>
        <v>9614.9673582483465</v>
      </c>
      <c r="D18">
        <f>(3/(1+('CurrentPor-LH=20 unchanged'!C18+'CurrentPor-LH=20 unchanged'!H18)/100)+103/POWER(1+('CurrentPor-LH=20 unchanged'!D18+'CurrentPor-LH=20 unchanged'!H18)/100,2))*100</f>
        <v>9590.2114202214016</v>
      </c>
      <c r="E18">
        <f>(3/(1+('CurrentPor-LH=20 unchanged'!C18+'CurrentPor-LH=20 unchanged'!I18)/100)+103/POWER(1+('CurrentPor-LH=20 unchanged'!D18+'CurrentPor-LH=20 unchanged'!I18)/100,2))*100</f>
        <v>9555.1196803116018</v>
      </c>
      <c r="F18">
        <f>Portfolio!B$5*'CurrentPor-LH=20 unchanged'!E18</f>
        <v>52143.895533915893</v>
      </c>
      <c r="G18">
        <f>Portfolio!B$6*'CurrentPor-LH=20 unchanged'!F18</f>
        <v>3696.2945087936532</v>
      </c>
      <c r="H18">
        <f>Portfolio!B$7*'CurrentPor-LH=20 unchanged'!J18</f>
        <v>2148.0998964419859</v>
      </c>
      <c r="I18">
        <f t="shared" si="0"/>
        <v>96456.174175361724</v>
      </c>
      <c r="J18">
        <f t="shared" si="1"/>
        <v>-30.549591293834965</v>
      </c>
    </row>
    <row r="19" spans="1:10">
      <c r="A19" s="1">
        <v>45496</v>
      </c>
      <c r="B19">
        <f>(3/(1+('CurrentPor-LH=20 unchanged'!C19)/100)+103/POWER(1+('CurrentPor-LH=20 unchanged'!D19)/100,2))*100</f>
        <v>9707.5857774288397</v>
      </c>
      <c r="C19">
        <f>(3/(1+('CurrentPor-LH=20 unchanged'!C19+'CurrentPor-LH=20 unchanged'!G19)/100)+103/POWER(1+('CurrentPor-LH=20 unchanged'!D19+'CurrentPor-LH=20 unchanged'!G19)/100,2))*100</f>
        <v>9614.9673582483465</v>
      </c>
      <c r="D19">
        <f>(3/(1+('CurrentPor-LH=20 unchanged'!C19+'CurrentPor-LH=20 unchanged'!H19)/100)+103/POWER(1+('CurrentPor-LH=20 unchanged'!D19+'CurrentPor-LH=20 unchanged'!H19)/100,2))*100</f>
        <v>9613.0848737011438</v>
      </c>
      <c r="E19">
        <f>(3/(1+('CurrentPor-LH=20 unchanged'!C19+'CurrentPor-LH=20 unchanged'!I19)/100)+103/POWER(1+('CurrentPor-LH=20 unchanged'!D19+'CurrentPor-LH=20 unchanged'!I19)/100,2))*100</f>
        <v>9576.8191548123305</v>
      </c>
      <c r="F19">
        <f>Portfolio!B$5*'CurrentPor-LH=20 unchanged'!E19</f>
        <v>52143.895533915893</v>
      </c>
      <c r="G19">
        <f>Portfolio!B$6*'CurrentPor-LH=20 unchanged'!F19</f>
        <v>3696.2945087936532</v>
      </c>
      <c r="H19">
        <f>Portfolio!B$7*'CurrentPor-LH=20 unchanged'!J19</f>
        <v>2148.0998964419859</v>
      </c>
      <c r="I19">
        <f t="shared" si="0"/>
        <v>96500.74710334219</v>
      </c>
      <c r="J19">
        <f t="shared" si="1"/>
        <v>0.8743587111675879</v>
      </c>
    </row>
    <row r="20" spans="1:10">
      <c r="A20" s="1">
        <v>45497</v>
      </c>
      <c r="B20">
        <f>(3/(1+('CurrentPor-LH=20 unchanged'!C20)/100)+103/POWER(1+('CurrentPor-LH=20 unchanged'!D20)/100,2))*100</f>
        <v>9707.5857774288397</v>
      </c>
      <c r="C20">
        <f>(3/(1+('CurrentPor-LH=20 unchanged'!C20+'CurrentPor-LH=20 unchanged'!G20)/100)+103/POWER(1+('CurrentPor-LH=20 unchanged'!D20+'CurrentPor-LH=20 unchanged'!G20)/100,2))*100</f>
        <v>9614.9673582483465</v>
      </c>
      <c r="D20">
        <f>(3/(1+('CurrentPor-LH=20 unchanged'!C20+'CurrentPor-LH=20 unchanged'!H20)/100)+103/POWER(1+('CurrentPor-LH=20 unchanged'!D20+'CurrentPor-LH=20 unchanged'!H20)/100,2))*100</f>
        <v>9599.4376936194167</v>
      </c>
      <c r="E20">
        <f>(3/(1+('CurrentPor-LH=20 unchanged'!C20+'CurrentPor-LH=20 unchanged'!I20)/100)+103/POWER(1+('CurrentPor-LH=20 unchanged'!D20+'CurrentPor-LH=20 unchanged'!I20)/100,2))*100</f>
        <v>9588.418014477551</v>
      </c>
      <c r="F20">
        <f>Portfolio!B$5*'CurrentPor-LH=20 unchanged'!E20</f>
        <v>52143.895533915893</v>
      </c>
      <c r="G20">
        <f>Portfolio!B$6*'CurrentPor-LH=20 unchanged'!F20</f>
        <v>3696.2945087936532</v>
      </c>
      <c r="H20">
        <f>Portfolio!B$7*'CurrentPor-LH=20 unchanged'!J20</f>
        <v>2148.0998964419859</v>
      </c>
      <c r="I20">
        <f t="shared" si="0"/>
        <v>96498.698782925683</v>
      </c>
      <c r="J20">
        <f t="shared" si="1"/>
        <v>-5.9081149444100447</v>
      </c>
    </row>
    <row r="21" spans="1:10">
      <c r="A21" s="1">
        <v>45498</v>
      </c>
      <c r="B21">
        <f>(3/(1+('CurrentPor-LH=20 unchanged'!C21)/100)+103/POWER(1+('CurrentPor-LH=20 unchanged'!D21)/100,2))*100</f>
        <v>9707.5857774288397</v>
      </c>
      <c r="C21">
        <f>(3/(1+('CurrentPor-LH=20 unchanged'!C21+'CurrentPor-LH=20 unchanged'!G21)/100)+103/POWER(1+('CurrentPor-LH=20 unchanged'!D21+'CurrentPor-LH=20 unchanged'!G21)/100,2))*100</f>
        <v>9614.9673582483465</v>
      </c>
      <c r="D21">
        <f>(3/(1+('CurrentPor-LH=20 unchanged'!C21+'CurrentPor-LH=20 unchanged'!H21)/100)+103/POWER(1+('CurrentPor-LH=20 unchanged'!D21+'CurrentPor-LH=20 unchanged'!H21)/100,2))*100</f>
        <v>9583.6202520318457</v>
      </c>
      <c r="E21">
        <f>(3/(1+('CurrentPor-LH=20 unchanged'!C21+'CurrentPor-LH=20 unchanged'!I21)/100)+103/POWER(1+('CurrentPor-LH=20 unchanged'!D21+'CurrentPor-LH=20 unchanged'!I21)/100,2))*100</f>
        <v>9576.5609483933495</v>
      </c>
      <c r="F21">
        <f>Portfolio!B$5*'CurrentPor-LH=20 unchanged'!E21</f>
        <v>52143.895533915893</v>
      </c>
      <c r="G21">
        <f>Portfolio!B$6*'CurrentPor-LH=20 unchanged'!F21</f>
        <v>3696.2945087936532</v>
      </c>
      <c r="H21">
        <f>Portfolio!B$7*'CurrentPor-LH=20 unchanged'!J21</f>
        <v>2148.0998964419859</v>
      </c>
      <c r="I21">
        <f t="shared" si="0"/>
        <v>96471.02427525392</v>
      </c>
      <c r="J21">
        <f t="shared" si="1"/>
        <v>-14.231766641925788</v>
      </c>
    </row>
    <row r="22" spans="1:10">
      <c r="A22" s="1">
        <v>45499</v>
      </c>
      <c r="B22">
        <f>(3/(1+('CurrentPor-LH=20 unchanged'!C22)/100)+103/POWER(1+('CurrentPor-LH=20 unchanged'!D22)/100,2))*100</f>
        <v>9707.5857774288397</v>
      </c>
      <c r="C22">
        <f>(3/(1+('CurrentPor-LH=20 unchanged'!C22+'CurrentPor-LH=20 unchanged'!G22)/100)+103/POWER(1+('CurrentPor-LH=20 unchanged'!D22+'CurrentPor-LH=20 unchanged'!G22)/100,2))*100</f>
        <v>9614.9673582483465</v>
      </c>
      <c r="D22">
        <f>(3/(1+('CurrentPor-LH=20 unchanged'!C22+'CurrentPor-LH=20 unchanged'!H22)/100)+103/POWER(1+('CurrentPor-LH=20 unchanged'!D22+'CurrentPor-LH=20 unchanged'!H22)/100,2))*100</f>
        <v>9604.2643099340457</v>
      </c>
      <c r="E22">
        <f>(3/(1+('CurrentPor-LH=20 unchanged'!C22+'CurrentPor-LH=20 unchanged'!I22)/100)+103/POWER(1+('CurrentPor-LH=20 unchanged'!D22+'CurrentPor-LH=20 unchanged'!I22)/100,2))*100</f>
        <v>9575.8653890155892</v>
      </c>
      <c r="F22">
        <f>Portfolio!B$5*'CurrentPor-LH=20 unchanged'!E22</f>
        <v>52143.895533915893</v>
      </c>
      <c r="G22">
        <f>Portfolio!B$6*'CurrentPor-LH=20 unchanged'!F22</f>
        <v>3696.2945087936532</v>
      </c>
      <c r="H22">
        <f>Portfolio!B$7*'CurrentPor-LH=20 unchanged'!J22</f>
        <v>2148.0998964419859</v>
      </c>
      <c r="I22">
        <f t="shared" si="0"/>
        <v>96490.972773778354</v>
      </c>
      <c r="J22">
        <f t="shared" si="1"/>
        <v>5.5250415324408095</v>
      </c>
    </row>
    <row r="23" spans="1:10">
      <c r="A23" s="1">
        <v>45502</v>
      </c>
      <c r="B23">
        <f>(3/(1+('CurrentPor-LH=20 unchanged'!C23)/100)+103/POWER(1+('CurrentPor-LH=20 unchanged'!D23)/100,2))*100</f>
        <v>9707.5857774288397</v>
      </c>
      <c r="C23">
        <f>(3/(1+('CurrentPor-LH=20 unchanged'!C23+'CurrentPor-LH=20 unchanged'!G23)/100)+103/POWER(1+('CurrentPor-LH=20 unchanged'!D23+'CurrentPor-LH=20 unchanged'!G23)/100,2))*100</f>
        <v>9614.9673582483465</v>
      </c>
      <c r="D23">
        <f>(3/(1+('CurrentPor-LH=20 unchanged'!C23+'CurrentPor-LH=20 unchanged'!H23)/100)+103/POWER(1+('CurrentPor-LH=20 unchanged'!D23+'CurrentPor-LH=20 unchanged'!H23)/100,2))*100</f>
        <v>9585.7793957065187</v>
      </c>
      <c r="E23">
        <f>(3/(1+('CurrentPor-LH=20 unchanged'!C23+'CurrentPor-LH=20 unchanged'!I23)/100)+103/POWER(1+('CurrentPor-LH=20 unchanged'!D23+'CurrentPor-LH=20 unchanged'!I23)/100,2))*100</f>
        <v>9605.8920067133713</v>
      </c>
      <c r="F23">
        <f>Portfolio!B$5*'CurrentPor-LH=20 unchanged'!E23</f>
        <v>52143.895533915893</v>
      </c>
      <c r="G23">
        <f>Portfolio!B$6*'CurrentPor-LH=20 unchanged'!F23</f>
        <v>3696.2945087936532</v>
      </c>
      <c r="H23">
        <f>Portfolio!B$7*'CurrentPor-LH=20 unchanged'!J23</f>
        <v>2148.0998964419859</v>
      </c>
      <c r="I23">
        <f t="shared" si="0"/>
        <v>96502.514477248609</v>
      </c>
      <c r="J23">
        <f t="shared" si="1"/>
        <v>4.0211863031145185</v>
      </c>
    </row>
    <row r="24" spans="1:10">
      <c r="A24" s="1">
        <v>45503</v>
      </c>
      <c r="B24">
        <f>(3/(1+('CurrentPor-LH=20 unchanged'!C24)/100)+103/POWER(1+('CurrentPor-LH=20 unchanged'!D24)/100,2))*100</f>
        <v>9707.5857774288397</v>
      </c>
      <c r="C24">
        <f>(3/(1+('CurrentPor-LH=20 unchanged'!C24+'CurrentPor-LH=20 unchanged'!G24)/100)+103/POWER(1+('CurrentPor-LH=20 unchanged'!D24+'CurrentPor-LH=20 unchanged'!G24)/100,2))*100</f>
        <v>9614.9673582483465</v>
      </c>
      <c r="D24">
        <f>(3/(1+('CurrentPor-LH=20 unchanged'!C24+'CurrentPor-LH=20 unchanged'!H24)/100)+103/POWER(1+('CurrentPor-LH=20 unchanged'!D24+'CurrentPor-LH=20 unchanged'!H24)/100,2))*100</f>
        <v>9587.741782847821</v>
      </c>
      <c r="E24">
        <f>(3/(1+('CurrentPor-LH=20 unchanged'!C24+'CurrentPor-LH=20 unchanged'!I24)/100)+103/POWER(1+('CurrentPor-LH=20 unchanged'!D24+'CurrentPor-LH=20 unchanged'!I24)/100,2))*100</f>
        <v>9570.3761758867622</v>
      </c>
      <c r="F24">
        <f>Portfolio!B$5*'CurrentPor-LH=20 unchanged'!E24</f>
        <v>52143.895533915893</v>
      </c>
      <c r="G24">
        <f>Portfolio!B$6*'CurrentPor-LH=20 unchanged'!F24</f>
        <v>3696.2945087936532</v>
      </c>
      <c r="H24">
        <f>Portfolio!B$7*'CurrentPor-LH=20 unchanged'!J24</f>
        <v>2148.0998964419859</v>
      </c>
      <c r="I24">
        <f t="shared" si="0"/>
        <v>96468.96103356329</v>
      </c>
      <c r="J24">
        <f t="shared" si="1"/>
        <v>-19.492534671560861</v>
      </c>
    </row>
    <row r="25" spans="1:10">
      <c r="A25" s="1">
        <v>45504</v>
      </c>
      <c r="B25">
        <f>(3/(1+('CurrentPor-LH=20 unchanged'!C25)/100)+103/POWER(1+('CurrentPor-LH=20 unchanged'!D25)/100,2))*100</f>
        <v>9707.5857774288397</v>
      </c>
      <c r="C25">
        <f>(3/(1+('CurrentPor-LH=20 unchanged'!C25+'CurrentPor-LH=20 unchanged'!G25)/100)+103/POWER(1+('CurrentPor-LH=20 unchanged'!D25+'CurrentPor-LH=20 unchanged'!G25)/100,2))*100</f>
        <v>9614.9673582483465</v>
      </c>
      <c r="D25">
        <f>(3/(1+('CurrentPor-LH=20 unchanged'!C25+'CurrentPor-LH=20 unchanged'!H25)/100)+103/POWER(1+('CurrentPor-LH=20 unchanged'!D25+'CurrentPor-LH=20 unchanged'!H25)/100,2))*100</f>
        <v>9587.0261108158466</v>
      </c>
      <c r="E25">
        <f>(3/(1+('CurrentPor-LH=20 unchanged'!C25+'CurrentPor-LH=20 unchanged'!I25)/100)+103/POWER(1+('CurrentPor-LH=20 unchanged'!D25+'CurrentPor-LH=20 unchanged'!I25)/100,2))*100</f>
        <v>9585.2215346639932</v>
      </c>
      <c r="F25">
        <f>Portfolio!B$5*'CurrentPor-LH=20 unchanged'!E25</f>
        <v>52143.895533915893</v>
      </c>
      <c r="G25">
        <f>Portfolio!B$6*'CurrentPor-LH=20 unchanged'!F25</f>
        <v>3696.2945087936532</v>
      </c>
      <c r="H25">
        <f>Portfolio!B$7*'CurrentPor-LH=20 unchanged'!J25</f>
        <v>2148.0998964419859</v>
      </c>
      <c r="I25">
        <f t="shared" si="0"/>
        <v>96483.090720308552</v>
      </c>
      <c r="J25">
        <f t="shared" si="1"/>
        <v>-19.67109608494502</v>
      </c>
    </row>
    <row r="26" spans="1:10">
      <c r="A26" s="1">
        <v>45505</v>
      </c>
      <c r="B26">
        <f>(3/(1+('CurrentPor-LH=20 unchanged'!C26)/100)+103/POWER(1+('CurrentPor-LH=20 unchanged'!D26)/100,2))*100</f>
        <v>9707.5857774288397</v>
      </c>
      <c r="C26">
        <f>(3/(1+('CurrentPor-LH=20 unchanged'!C26+'CurrentPor-LH=20 unchanged'!G26)/100)+103/POWER(1+('CurrentPor-LH=20 unchanged'!D26+'CurrentPor-LH=20 unchanged'!G26)/100,2))*100</f>
        <v>9614.9673582483465</v>
      </c>
      <c r="D26">
        <f>(3/(1+('CurrentPor-LH=20 unchanged'!C26+'CurrentPor-LH=20 unchanged'!H26)/100)+103/POWER(1+('CurrentPor-LH=20 unchanged'!D26+'CurrentPor-LH=20 unchanged'!H26)/100,2))*100</f>
        <v>9598.5854776543893</v>
      </c>
      <c r="E26">
        <f>(3/(1+('CurrentPor-LH=20 unchanged'!C26+'CurrentPor-LH=20 unchanged'!I26)/100)+103/POWER(1+('CurrentPor-LH=20 unchanged'!D26+'CurrentPor-LH=20 unchanged'!I26)/100,2))*100</f>
        <v>9591.7347651572181</v>
      </c>
      <c r="F26">
        <f>Portfolio!B$5*'CurrentPor-LH=20 unchanged'!E26</f>
        <v>52143.895533915893</v>
      </c>
      <c r="G26">
        <f>Portfolio!B$6*'CurrentPor-LH=20 unchanged'!F26</f>
        <v>3696.2945087936532</v>
      </c>
      <c r="H26">
        <f>Portfolio!B$7*'CurrentPor-LH=20 unchanged'!J26</f>
        <v>2148.0998964419859</v>
      </c>
      <c r="I26">
        <f t="shared" si="0"/>
        <v>96501.163317640327</v>
      </c>
      <c r="J26">
        <f t="shared" si="1"/>
        <v>14.133083400869509</v>
      </c>
    </row>
    <row r="27" spans="1:10">
      <c r="A27" s="1">
        <v>45506</v>
      </c>
      <c r="B27">
        <f>(3/(1+('CurrentPor-LH=20 unchanged'!C27)/100)+103/POWER(1+('CurrentPor-LH=20 unchanged'!D27)/100,2))*100</f>
        <v>9707.5857774288397</v>
      </c>
      <c r="C27">
        <f>(3/(1+('CurrentPor-LH=20 unchanged'!C27+'CurrentPor-LH=20 unchanged'!G27)/100)+103/POWER(1+('CurrentPor-LH=20 unchanged'!D27+'CurrentPor-LH=20 unchanged'!G27)/100,2))*100</f>
        <v>9614.9673582483465</v>
      </c>
      <c r="D27">
        <f>(3/(1+('CurrentPor-LH=20 unchanged'!C27+'CurrentPor-LH=20 unchanged'!H27)/100)+103/POWER(1+('CurrentPor-LH=20 unchanged'!D27+'CurrentPor-LH=20 unchanged'!H27)/100,2))*100</f>
        <v>9603.8566869334627</v>
      </c>
      <c r="E27">
        <f>(3/(1+('CurrentPor-LH=20 unchanged'!C27+'CurrentPor-LH=20 unchanged'!I27)/100)+103/POWER(1+('CurrentPor-LH=20 unchanged'!D27+'CurrentPor-LH=20 unchanged'!I27)/100,2))*100</f>
        <v>9577.1750729760297</v>
      </c>
      <c r="F27">
        <f>Portfolio!B$5*'CurrentPor-LH=20 unchanged'!E27</f>
        <v>52143.895533915893</v>
      </c>
      <c r="G27">
        <f>Portfolio!B$6*'CurrentPor-LH=20 unchanged'!F27</f>
        <v>3696.2945087936532</v>
      </c>
      <c r="H27">
        <f>Portfolio!B$7*'CurrentPor-LH=20 unchanged'!J27</f>
        <v>2148.0998964419859</v>
      </c>
      <c r="I27">
        <f t="shared" si="0"/>
        <v>96491.874834738221</v>
      </c>
      <c r="J27">
        <f t="shared" si="1"/>
        <v>-11.989144051462063</v>
      </c>
    </row>
    <row r="28" spans="1:10">
      <c r="A28" s="1">
        <v>45509</v>
      </c>
      <c r="B28">
        <f>(3/(1+('CurrentPor-LH=20 unchanged'!C28)/100)+103/POWER(1+('CurrentPor-LH=20 unchanged'!D28)/100,2))*100</f>
        <v>9707.5857774288397</v>
      </c>
      <c r="C28">
        <f>(3/(1+('CurrentPor-LH=20 unchanged'!C28+'CurrentPor-LH=20 unchanged'!G28)/100)+103/POWER(1+('CurrentPor-LH=20 unchanged'!D28+'CurrentPor-LH=20 unchanged'!G28)/100,2))*100</f>
        <v>9614.9673582483465</v>
      </c>
      <c r="D28">
        <f>(3/(1+('CurrentPor-LH=20 unchanged'!C28+'CurrentPor-LH=20 unchanged'!H28)/100)+103/POWER(1+('CurrentPor-LH=20 unchanged'!D28+'CurrentPor-LH=20 unchanged'!H28)/100,2))*100</f>
        <v>9599.2871741419713</v>
      </c>
      <c r="E28">
        <f>(3/(1+('CurrentPor-LH=20 unchanged'!C28+'CurrentPor-LH=20 unchanged'!I28)/100)+103/POWER(1+('CurrentPor-LH=20 unchanged'!D28+'CurrentPor-LH=20 unchanged'!I28)/100,2))*100</f>
        <v>9593.0288264503997</v>
      </c>
      <c r="F28">
        <f>Portfolio!B$5*'CurrentPor-LH=20 unchanged'!E28</f>
        <v>52143.895533915893</v>
      </c>
      <c r="G28">
        <f>Portfolio!B$6*'CurrentPor-LH=20 unchanged'!F28</f>
        <v>3696.2945087936532</v>
      </c>
      <c r="H28">
        <f>Portfolio!B$7*'CurrentPor-LH=20 unchanged'!J28</f>
        <v>2148.0998964419859</v>
      </c>
      <c r="I28">
        <f t="shared" si="0"/>
        <v>96503.159075421092</v>
      </c>
      <c r="J28">
        <f t="shared" si="1"/>
        <v>46.984900059367646</v>
      </c>
    </row>
    <row r="29" spans="1:10">
      <c r="A29" s="1">
        <v>45510</v>
      </c>
      <c r="B29">
        <f>(3/(1+('CurrentPor-LH=20 unchanged'!C29)/100)+103/POWER(1+('CurrentPor-LH=20 unchanged'!D29)/100,2))*100</f>
        <v>9707.5857774288397</v>
      </c>
      <c r="C29">
        <f>(3/(1+('CurrentPor-LH=20 unchanged'!C29+'CurrentPor-LH=20 unchanged'!G29)/100)+103/POWER(1+('CurrentPor-LH=20 unchanged'!D29+'CurrentPor-LH=20 unchanged'!G29)/100,2))*100</f>
        <v>9614.9673582483465</v>
      </c>
      <c r="D29">
        <f>(3/(1+('CurrentPor-LH=20 unchanged'!C29+'CurrentPor-LH=20 unchanged'!H29)/100)+103/POWER(1+('CurrentPor-LH=20 unchanged'!D29+'CurrentPor-LH=20 unchanged'!H29)/100,2))*100</f>
        <v>9591.877277112786</v>
      </c>
      <c r="E29">
        <f>(3/(1+('CurrentPor-LH=20 unchanged'!C29+'CurrentPor-LH=20 unchanged'!I29)/100)+103/POWER(1+('CurrentPor-LH=20 unchanged'!D29+'CurrentPor-LH=20 unchanged'!I29)/100,2))*100</f>
        <v>9584.5545204923292</v>
      </c>
      <c r="F29">
        <f>Portfolio!B$5*'CurrentPor-LH=20 unchanged'!E29</f>
        <v>52143.895533915893</v>
      </c>
      <c r="G29">
        <f>Portfolio!B$6*'CurrentPor-LH=20 unchanged'!F29</f>
        <v>3696.2945087936532</v>
      </c>
      <c r="H29">
        <f>Portfolio!B$7*'CurrentPor-LH=20 unchanged'!J29</f>
        <v>2148.0998964419859</v>
      </c>
      <c r="I29">
        <f t="shared" si="0"/>
        <v>96487.274872433845</v>
      </c>
      <c r="J29">
        <f t="shared" si="1"/>
        <v>-13.4722309083445</v>
      </c>
    </row>
    <row r="30" spans="1:10">
      <c r="A30" s="1">
        <v>45511</v>
      </c>
      <c r="B30">
        <f>(3/(1+('CurrentPor-LH=20 unchanged'!C30)/100)+103/POWER(1+('CurrentPor-LH=20 unchanged'!D30)/100,2))*100</f>
        <v>9707.5857774288397</v>
      </c>
      <c r="C30">
        <f>(3/(1+('CurrentPor-LH=20 unchanged'!C30+'CurrentPor-LH=20 unchanged'!G30)/100)+103/POWER(1+('CurrentPor-LH=20 unchanged'!D30+'CurrentPor-LH=20 unchanged'!G30)/100,2))*100</f>
        <v>9614.9673582483465</v>
      </c>
      <c r="D30">
        <f>(3/(1+('CurrentPor-LH=20 unchanged'!C30+'CurrentPor-LH=20 unchanged'!H30)/100)+103/POWER(1+('CurrentPor-LH=20 unchanged'!D30+'CurrentPor-LH=20 unchanged'!H30)/100,2))*100</f>
        <v>9596.2636434774704</v>
      </c>
      <c r="E30">
        <f>(3/(1+('CurrentPor-LH=20 unchanged'!C30+'CurrentPor-LH=20 unchanged'!I30)/100)+103/POWER(1+('CurrentPor-LH=20 unchanged'!D30+'CurrentPor-LH=20 unchanged'!I30)/100,2))*100</f>
        <v>9577.4296111919321</v>
      </c>
      <c r="F30">
        <f>Portfolio!B$5*'CurrentPor-LH=20 unchanged'!E30</f>
        <v>52143.895533915893</v>
      </c>
      <c r="G30">
        <f>Portfolio!B$6*'CurrentPor-LH=20 unchanged'!F30</f>
        <v>3696.2945087936532</v>
      </c>
      <c r="H30">
        <f>Portfolio!B$7*'CurrentPor-LH=20 unchanged'!J30</f>
        <v>2148.0998964419859</v>
      </c>
      <c r="I30">
        <f t="shared" si="0"/>
        <v>96484.536329498122</v>
      </c>
      <c r="J30">
        <f t="shared" si="1"/>
        <v>-14.162453427561559</v>
      </c>
    </row>
    <row r="31" spans="1:10">
      <c r="A31" s="1">
        <v>45512</v>
      </c>
      <c r="B31">
        <f>(3/(1+('CurrentPor-LH=20 unchanged'!C31)/100)+103/POWER(1+('CurrentPor-LH=20 unchanged'!D31)/100,2))*100</f>
        <v>9707.5857774288397</v>
      </c>
      <c r="C31">
        <f>(3/(1+('CurrentPor-LH=20 unchanged'!C31+'CurrentPor-LH=20 unchanged'!G31)/100)+103/POWER(1+('CurrentPor-LH=20 unchanged'!D31+'CurrentPor-LH=20 unchanged'!G31)/100,2))*100</f>
        <v>9614.9673582483465</v>
      </c>
      <c r="D31">
        <f>(3/(1+('CurrentPor-LH=20 unchanged'!C31+'CurrentPor-LH=20 unchanged'!H31)/100)+103/POWER(1+('CurrentPor-LH=20 unchanged'!D31+'CurrentPor-LH=20 unchanged'!H31)/100,2))*100</f>
        <v>9599.3375593100063</v>
      </c>
      <c r="E31">
        <f>(3/(1+('CurrentPor-LH=20 unchanged'!C31+'CurrentPor-LH=20 unchanged'!I31)/100)+103/POWER(1+('CurrentPor-LH=20 unchanged'!D31+'CurrentPor-LH=20 unchanged'!I31)/100,2))*100</f>
        <v>9561.1781162876941</v>
      </c>
      <c r="F31">
        <f>Portfolio!B$5*'CurrentPor-LH=20 unchanged'!E31</f>
        <v>52143.895533915893</v>
      </c>
      <c r="G31">
        <f>Portfolio!B$6*'CurrentPor-LH=20 unchanged'!F31</f>
        <v>3696.2945087936532</v>
      </c>
      <c r="H31">
        <f>Portfolio!B$7*'CurrentPor-LH=20 unchanged'!J31</f>
        <v>2148.0998964419859</v>
      </c>
      <c r="I31">
        <f t="shared" si="0"/>
        <v>96471.358750426429</v>
      </c>
      <c r="J31">
        <f t="shared" si="1"/>
        <v>0.33447517250897363</v>
      </c>
    </row>
    <row r="32" spans="1:10">
      <c r="A32" s="1">
        <v>45513</v>
      </c>
      <c r="B32">
        <f>(3/(1+('CurrentPor-LH=20 unchanged'!C32)/100)+103/POWER(1+('CurrentPor-LH=20 unchanged'!D32)/100,2))*100</f>
        <v>9707.5857774288397</v>
      </c>
      <c r="C32">
        <f>(3/(1+('CurrentPor-LH=20 unchanged'!C32+'CurrentPor-LH=20 unchanged'!G32)/100)+103/POWER(1+('CurrentPor-LH=20 unchanged'!D32+'CurrentPor-LH=20 unchanged'!G32)/100,2))*100</f>
        <v>9614.9673582483465</v>
      </c>
      <c r="D32">
        <f>(3/(1+('CurrentPor-LH=20 unchanged'!C32+'CurrentPor-LH=20 unchanged'!H32)/100)+103/POWER(1+('CurrentPor-LH=20 unchanged'!D32+'CurrentPor-LH=20 unchanged'!H32)/100,2))*100</f>
        <v>9592.5754135897623</v>
      </c>
      <c r="E32">
        <f>(3/(1+('CurrentPor-LH=20 unchanged'!C32+'CurrentPor-LH=20 unchanged'!I32)/100)+103/POWER(1+('CurrentPor-LH=20 unchanged'!D32+'CurrentPor-LH=20 unchanged'!I32)/100,2))*100</f>
        <v>9580.8587933303934</v>
      </c>
      <c r="F32">
        <f>Portfolio!B$5*'CurrentPor-LH=20 unchanged'!E32</f>
        <v>52143.895533915893</v>
      </c>
      <c r="G32">
        <f>Portfolio!B$6*'CurrentPor-LH=20 unchanged'!F32</f>
        <v>3696.2945087936532</v>
      </c>
      <c r="H32">
        <f>Portfolio!B$7*'CurrentPor-LH=20 unchanged'!J32</f>
        <v>2148.0998964419859</v>
      </c>
      <c r="I32">
        <f t="shared" si="0"/>
        <v>96484.277281748873</v>
      </c>
      <c r="J32">
        <f t="shared" si="1"/>
        <v>-6.6954920294811018</v>
      </c>
    </row>
    <row r="33" spans="1:10">
      <c r="A33" s="1">
        <v>45516</v>
      </c>
      <c r="B33">
        <f>(3/(1+('CurrentPor-LH=20 unchanged'!C33)/100)+103/POWER(1+('CurrentPor-LH=20 unchanged'!D33)/100,2))*100</f>
        <v>9707.5857774288397</v>
      </c>
      <c r="C33">
        <f>(3/(1+('CurrentPor-LH=20 unchanged'!C33+'CurrentPor-LH=20 unchanged'!G33)/100)+103/POWER(1+('CurrentPor-LH=20 unchanged'!D33+'CurrentPor-LH=20 unchanged'!G33)/100,2))*100</f>
        <v>9614.9673582483465</v>
      </c>
      <c r="D33">
        <f>(3/(1+('CurrentPor-LH=20 unchanged'!C33+'CurrentPor-LH=20 unchanged'!H33)/100)+103/POWER(1+('CurrentPor-LH=20 unchanged'!D33+'CurrentPor-LH=20 unchanged'!H33)/100,2))*100</f>
        <v>9613.3584542878034</v>
      </c>
      <c r="E33">
        <f>(3/(1+('CurrentPor-LH=20 unchanged'!C33+'CurrentPor-LH=20 unchanged'!I33)/100)+103/POWER(1+('CurrentPor-LH=20 unchanged'!D33+'CurrentPor-LH=20 unchanged'!I33)/100,2))*100</f>
        <v>9575.1823876153994</v>
      </c>
      <c r="F33">
        <f>Portfolio!B$5*'CurrentPor-LH=20 unchanged'!E33</f>
        <v>52143.895533915893</v>
      </c>
      <c r="G33">
        <f>Portfolio!B$6*'CurrentPor-LH=20 unchanged'!F33</f>
        <v>3696.2945087936532</v>
      </c>
      <c r="H33">
        <f>Portfolio!B$7*'CurrentPor-LH=20 unchanged'!J33</f>
        <v>2148.0998964419859</v>
      </c>
      <c r="I33">
        <f t="shared" si="0"/>
        <v>96499.383916731924</v>
      </c>
      <c r="J33">
        <f t="shared" si="1"/>
        <v>-3.1305605166853638</v>
      </c>
    </row>
    <row r="34" spans="1:10">
      <c r="A34" s="1">
        <v>45517</v>
      </c>
      <c r="B34">
        <f>(3/(1+('CurrentPor-LH=20 unchanged'!C34)/100)+103/POWER(1+('CurrentPor-LH=20 unchanged'!D34)/100,2))*100</f>
        <v>9707.5857774288397</v>
      </c>
      <c r="C34">
        <f>(3/(1+('CurrentPor-LH=20 unchanged'!C34+'CurrentPor-LH=20 unchanged'!G34)/100)+103/POWER(1+('CurrentPor-LH=20 unchanged'!D34+'CurrentPor-LH=20 unchanged'!G34)/100,2))*100</f>
        <v>9614.9673582483465</v>
      </c>
      <c r="D34">
        <f>(3/(1+('CurrentPor-LH=20 unchanged'!C34+'CurrentPor-LH=20 unchanged'!H34)/100)+103/POWER(1+('CurrentPor-LH=20 unchanged'!D34+'CurrentPor-LH=20 unchanged'!H34)/100,2))*100</f>
        <v>9599.9734912089752</v>
      </c>
      <c r="E34">
        <f>(3/(1+('CurrentPor-LH=20 unchanged'!C34+'CurrentPor-LH=20 unchanged'!I34)/100)+103/POWER(1+('CurrentPor-LH=20 unchanged'!D34+'CurrentPor-LH=20 unchanged'!I34)/100,2))*100</f>
        <v>9584.3147758954219</v>
      </c>
      <c r="F34">
        <f>Portfolio!B$5*'CurrentPor-LH=20 unchanged'!E34</f>
        <v>52143.895533915893</v>
      </c>
      <c r="G34">
        <f>Portfolio!B$6*'CurrentPor-LH=20 unchanged'!F34</f>
        <v>3696.2945087936532</v>
      </c>
      <c r="H34">
        <f>Portfolio!B$7*'CurrentPor-LH=20 unchanged'!J34</f>
        <v>2148.0998964419859</v>
      </c>
      <c r="I34">
        <f t="shared" si="0"/>
        <v>96495.131341933113</v>
      </c>
      <c r="J34">
        <f t="shared" si="1"/>
        <v>26.170308369823033</v>
      </c>
    </row>
    <row r="35" spans="1:10">
      <c r="A35" s="1">
        <v>45518</v>
      </c>
      <c r="B35">
        <f>(3/(1+('CurrentPor-LH=20 unchanged'!C35)/100)+103/POWER(1+('CurrentPor-LH=20 unchanged'!D35)/100,2))*100</f>
        <v>9707.5857774288397</v>
      </c>
      <c r="C35">
        <f>(3/(1+('CurrentPor-LH=20 unchanged'!C35+'CurrentPor-LH=20 unchanged'!G35)/100)+103/POWER(1+('CurrentPor-LH=20 unchanged'!D35+'CurrentPor-LH=20 unchanged'!G35)/100,2))*100</f>
        <v>9614.9673582483465</v>
      </c>
      <c r="D35">
        <f>(3/(1+('CurrentPor-LH=20 unchanged'!C35+'CurrentPor-LH=20 unchanged'!H35)/100)+103/POWER(1+('CurrentPor-LH=20 unchanged'!D35+'CurrentPor-LH=20 unchanged'!H35)/100,2))*100</f>
        <v>9617.4544300445614</v>
      </c>
      <c r="E35">
        <f>(3/(1+('CurrentPor-LH=20 unchanged'!C35+'CurrentPor-LH=20 unchanged'!I35)/100)+103/POWER(1+('CurrentPor-LH=20 unchanged'!D35+'CurrentPor-LH=20 unchanged'!I35)/100,2))*100</f>
        <v>9589.0870386944407</v>
      </c>
      <c r="F35">
        <f>Portfolio!B$5*'CurrentPor-LH=20 unchanged'!E35</f>
        <v>52143.895533915893</v>
      </c>
      <c r="G35">
        <f>Portfolio!B$6*'CurrentPor-LH=20 unchanged'!F35</f>
        <v>3696.2945087936532</v>
      </c>
      <c r="H35">
        <f>Portfolio!B$7*'CurrentPor-LH=20 unchanged'!J35</f>
        <v>2148.0998964419859</v>
      </c>
      <c r="I35">
        <f t="shared" si="0"/>
        <v>96517.384543567707</v>
      </c>
      <c r="J35">
        <f t="shared" si="1"/>
        <v>34.293823259155033</v>
      </c>
    </row>
    <row r="36" spans="1:10">
      <c r="A36" s="1">
        <v>45519</v>
      </c>
      <c r="B36">
        <f>(3/(1+('CurrentPor-LH=20 unchanged'!C36)/100)+103/POWER(1+('CurrentPor-LH=20 unchanged'!D36)/100,2))*100</f>
        <v>9707.5857774288397</v>
      </c>
      <c r="C36">
        <f>(3/(1+('CurrentPor-LH=20 unchanged'!C36+'CurrentPor-LH=20 unchanged'!G36)/100)+103/POWER(1+('CurrentPor-LH=20 unchanged'!D36+'CurrentPor-LH=20 unchanged'!G36)/100,2))*100</f>
        <v>9614.9673582483465</v>
      </c>
      <c r="D36">
        <f>(3/(1+('CurrentPor-LH=20 unchanged'!C36+'CurrentPor-LH=20 unchanged'!H36)/100)+103/POWER(1+('CurrentPor-LH=20 unchanged'!D36+'CurrentPor-LH=20 unchanged'!H36)/100,2))*100</f>
        <v>9606.4378919718929</v>
      </c>
      <c r="E36">
        <f>(3/(1+('CurrentPor-LH=20 unchanged'!C36+'CurrentPor-LH=20 unchanged'!I36)/100)+103/POWER(1+('CurrentPor-LH=20 unchanged'!D36+'CurrentPor-LH=20 unchanged'!I36)/100,2))*100</f>
        <v>9578.468448491707</v>
      </c>
      <c r="F36">
        <f>Portfolio!B$5*'CurrentPor-LH=20 unchanged'!E36</f>
        <v>52143.895533915893</v>
      </c>
      <c r="G36">
        <f>Portfolio!B$6*'CurrentPor-LH=20 unchanged'!F36</f>
        <v>3696.2945087936532</v>
      </c>
      <c r="H36">
        <f>Portfolio!B$7*'CurrentPor-LH=20 unchanged'!J36</f>
        <v>2148.0998964419859</v>
      </c>
      <c r="I36">
        <f t="shared" si="0"/>
        <v>96495.749415292317</v>
      </c>
      <c r="J36">
        <f t="shared" si="1"/>
        <v>-5.4139023480092874</v>
      </c>
    </row>
    <row r="37" spans="1:10">
      <c r="A37" s="1">
        <v>45520</v>
      </c>
      <c r="B37">
        <f>(3/(1+('CurrentPor-LH=20 unchanged'!C37)/100)+103/POWER(1+('CurrentPor-LH=20 unchanged'!D37)/100,2))*100</f>
        <v>9707.5857774288397</v>
      </c>
      <c r="C37">
        <f>(3/(1+('CurrentPor-LH=20 unchanged'!C37+'CurrentPor-LH=20 unchanged'!G37)/100)+103/POWER(1+('CurrentPor-LH=20 unchanged'!D37+'CurrentPor-LH=20 unchanged'!G37)/100,2))*100</f>
        <v>9614.9673582483465</v>
      </c>
      <c r="D37">
        <f>(3/(1+('CurrentPor-LH=20 unchanged'!C37+'CurrentPor-LH=20 unchanged'!H37)/100)+103/POWER(1+('CurrentPor-LH=20 unchanged'!D37+'CurrentPor-LH=20 unchanged'!H37)/100,2))*100</f>
        <v>9601.8396664140328</v>
      </c>
      <c r="E37">
        <f>(3/(1+('CurrentPor-LH=20 unchanged'!C37+'CurrentPor-LH=20 unchanged'!I37)/100)+103/POWER(1+('CurrentPor-LH=20 unchanged'!D37+'CurrentPor-LH=20 unchanged'!I37)/100,2))*100</f>
        <v>9564.3187110696017</v>
      </c>
      <c r="F37">
        <f>Portfolio!B$5*'CurrentPor-LH=20 unchanged'!E37</f>
        <v>52143.895533915893</v>
      </c>
      <c r="G37">
        <f>Portfolio!B$6*'CurrentPor-LH=20 unchanged'!F37</f>
        <v>3696.2945087936532</v>
      </c>
      <c r="H37">
        <f>Portfolio!B$7*'CurrentPor-LH=20 unchanged'!J37</f>
        <v>2148.0998964419859</v>
      </c>
      <c r="I37">
        <f t="shared" si="0"/>
        <v>96477.001452312354</v>
      </c>
      <c r="J37">
        <f t="shared" si="1"/>
        <v>-14.873382425867021</v>
      </c>
    </row>
    <row r="38" spans="1:10">
      <c r="A38" s="1">
        <v>45523</v>
      </c>
      <c r="B38">
        <f>(3/(1+('CurrentPor-LH=20 unchanged'!C38)/100)+103/POWER(1+('CurrentPor-LH=20 unchanged'!D38)/100,2))*100</f>
        <v>9707.5857774288397</v>
      </c>
      <c r="C38">
        <f>(3/(1+('CurrentPor-LH=20 unchanged'!C38+'CurrentPor-LH=20 unchanged'!G38)/100)+103/POWER(1+('CurrentPor-LH=20 unchanged'!D38+'CurrentPor-LH=20 unchanged'!G38)/100,2))*100</f>
        <v>9614.9673582483465</v>
      </c>
      <c r="D38">
        <f>(3/(1+('CurrentPor-LH=20 unchanged'!C38+'CurrentPor-LH=20 unchanged'!H38)/100)+103/POWER(1+('CurrentPor-LH=20 unchanged'!D38+'CurrentPor-LH=20 unchanged'!H38)/100,2))*100</f>
        <v>9592.6540931823893</v>
      </c>
      <c r="E38">
        <f>(3/(1+('CurrentPor-LH=20 unchanged'!C38+'CurrentPor-LH=20 unchanged'!I38)/100)+103/POWER(1+('CurrentPor-LH=20 unchanged'!D38+'CurrentPor-LH=20 unchanged'!I38)/100,2))*100</f>
        <v>9573.0263628158391</v>
      </c>
      <c r="F38">
        <f>Portfolio!B$5*'CurrentPor-LH=20 unchanged'!E38</f>
        <v>52143.895533915893</v>
      </c>
      <c r="G38">
        <f>Portfolio!B$6*'CurrentPor-LH=20 unchanged'!F38</f>
        <v>3696.2945087936532</v>
      </c>
      <c r="H38">
        <f>Portfolio!B$7*'CurrentPor-LH=20 unchanged'!J38</f>
        <v>2148.0998964419859</v>
      </c>
      <c r="I38">
        <f t="shared" si="0"/>
        <v>96476.523530826948</v>
      </c>
      <c r="J38">
        <f t="shared" si="1"/>
        <v>-26.635544594144449</v>
      </c>
    </row>
    <row r="39" spans="1:10">
      <c r="A39" s="1">
        <v>45524</v>
      </c>
      <c r="B39">
        <f>(3/(1+('CurrentPor-LH=20 unchanged'!C39)/100)+103/POWER(1+('CurrentPor-LH=20 unchanged'!D39)/100,2))*100</f>
        <v>9707.5857774288397</v>
      </c>
      <c r="C39">
        <f>(3/(1+('CurrentPor-LH=20 unchanged'!C39+'CurrentPor-LH=20 unchanged'!G39)/100)+103/POWER(1+('CurrentPor-LH=20 unchanged'!D39+'CurrentPor-LH=20 unchanged'!G39)/100,2))*100</f>
        <v>9614.9673582483465</v>
      </c>
      <c r="D39">
        <f>(3/(1+('CurrentPor-LH=20 unchanged'!C39+'CurrentPor-LH=20 unchanged'!H39)/100)+103/POWER(1+('CurrentPor-LH=20 unchanged'!D39+'CurrentPor-LH=20 unchanged'!H39)/100,2))*100</f>
        <v>9625.1736156509251</v>
      </c>
      <c r="E39">
        <f>(3/(1+('CurrentPor-LH=20 unchanged'!C39+'CurrentPor-LH=20 unchanged'!I39)/100)+103/POWER(1+('CurrentPor-LH=20 unchanged'!D39+'CurrentPor-LH=20 unchanged'!I39)/100,2))*100</f>
        <v>9582.6314627629308</v>
      </c>
      <c r="F39">
        <f>Portfolio!B$5*'CurrentPor-LH=20 unchanged'!E39</f>
        <v>52143.895533915893</v>
      </c>
      <c r="G39">
        <f>Portfolio!B$6*'CurrentPor-LH=20 unchanged'!F39</f>
        <v>3696.2945087936532</v>
      </c>
      <c r="H39">
        <f>Portfolio!B$7*'CurrentPor-LH=20 unchanged'!J39</f>
        <v>2148.0998964419859</v>
      </c>
      <c r="I39">
        <f t="shared" si="0"/>
        <v>96518.648153242582</v>
      </c>
      <c r="J39">
        <f t="shared" si="1"/>
        <v>31.373280808737036</v>
      </c>
    </row>
    <row r="40" spans="1:10">
      <c r="A40" s="1">
        <v>45525</v>
      </c>
      <c r="B40">
        <f>(3/(1+('CurrentPor-LH=20 unchanged'!C40)/100)+103/POWER(1+('CurrentPor-LH=20 unchanged'!D40)/100,2))*100</f>
        <v>9707.5857774288397</v>
      </c>
      <c r="C40">
        <f>(3/(1+('CurrentPor-LH=20 unchanged'!C40+'CurrentPor-LH=20 unchanged'!G40)/100)+103/POWER(1+('CurrentPor-LH=20 unchanged'!D40+'CurrentPor-LH=20 unchanged'!G40)/100,2))*100</f>
        <v>9614.9673582483465</v>
      </c>
      <c r="D40">
        <f>(3/(1+('CurrentPor-LH=20 unchanged'!C40+'CurrentPor-LH=20 unchanged'!H40)/100)+103/POWER(1+('CurrentPor-LH=20 unchanged'!D40+'CurrentPor-LH=20 unchanged'!H40)/100,2))*100</f>
        <v>9600.2563841916035</v>
      </c>
      <c r="E40">
        <f>(3/(1+('CurrentPor-LH=20 unchanged'!C40+'CurrentPor-LH=20 unchanged'!I40)/100)+103/POWER(1+('CurrentPor-LH=20 unchanged'!D40+'CurrentPor-LH=20 unchanged'!I40)/100,2))*100</f>
        <v>9574.0649348016141</v>
      </c>
      <c r="F40">
        <f>Portfolio!B$5*'CurrentPor-LH=20 unchanged'!E40</f>
        <v>52143.895533915893</v>
      </c>
      <c r="G40">
        <f>Portfolio!B$6*'CurrentPor-LH=20 unchanged'!F40</f>
        <v>3696.2945087936532</v>
      </c>
      <c r="H40">
        <f>Portfolio!B$7*'CurrentPor-LH=20 unchanged'!J40</f>
        <v>2148.0998964419859</v>
      </c>
      <c r="I40">
        <f t="shared" si="0"/>
        <v>96485.164393821935</v>
      </c>
      <c r="J40">
        <f t="shared" si="1"/>
        <v>0.62806432381330524</v>
      </c>
    </row>
    <row r="41" spans="1:10">
      <c r="A41" s="1">
        <v>45526</v>
      </c>
      <c r="B41">
        <f>(3/(1+('CurrentPor-LH=20 unchanged'!C41)/100)+103/POWER(1+('CurrentPor-LH=20 unchanged'!D41)/100,2))*100</f>
        <v>9707.5857774288397</v>
      </c>
      <c r="C41">
        <f>(3/(1+('CurrentPor-LH=20 unchanged'!C41+'CurrentPor-LH=20 unchanged'!G41)/100)+103/POWER(1+('CurrentPor-LH=20 unchanged'!D41+'CurrentPor-LH=20 unchanged'!G41)/100,2))*100</f>
        <v>9614.9673582483465</v>
      </c>
      <c r="D41">
        <f>(3/(1+('CurrentPor-LH=20 unchanged'!C41+'CurrentPor-LH=20 unchanged'!H41)/100)+103/POWER(1+('CurrentPor-LH=20 unchanged'!D41+'CurrentPor-LH=20 unchanged'!H41)/100,2))*100</f>
        <v>9586.4686258215042</v>
      </c>
      <c r="E41">
        <f>(3/(1+('CurrentPor-LH=20 unchanged'!C41+'CurrentPor-LH=20 unchanged'!I41)/100)+103/POWER(1+('CurrentPor-LH=20 unchanged'!D41+'CurrentPor-LH=20 unchanged'!I41)/100,2))*100</f>
        <v>9588.58430509553</v>
      </c>
      <c r="F41">
        <f>Portfolio!B$5*'CurrentPor-LH=20 unchanged'!E41</f>
        <v>52143.895533915893</v>
      </c>
      <c r="G41">
        <f>Portfolio!B$6*'CurrentPor-LH=20 unchanged'!F41</f>
        <v>3696.2945087936532</v>
      </c>
      <c r="H41">
        <f>Portfolio!B$7*'CurrentPor-LH=20 unchanged'!J41</f>
        <v>2148.0998964419859</v>
      </c>
      <c r="I41">
        <f t="shared" si="0"/>
        <v>96485.896005745759</v>
      </c>
      <c r="J41">
        <f t="shared" si="1"/>
        <v>14.537255319330143</v>
      </c>
    </row>
    <row r="42" spans="1:10">
      <c r="A42" s="1">
        <v>45527</v>
      </c>
      <c r="B42">
        <f>(3/(1+('CurrentPor-LH=20 unchanged'!C42)/100)+103/POWER(1+('CurrentPor-LH=20 unchanged'!D42)/100,2))*100</f>
        <v>9707.5857774288397</v>
      </c>
      <c r="C42">
        <f>(3/(1+('CurrentPor-LH=20 unchanged'!C42+'CurrentPor-LH=20 unchanged'!G42)/100)+103/POWER(1+('CurrentPor-LH=20 unchanged'!D42+'CurrentPor-LH=20 unchanged'!G42)/100,2))*100</f>
        <v>9614.9673582483465</v>
      </c>
      <c r="D42">
        <f>(3/(1+('CurrentPor-LH=20 unchanged'!C42+'CurrentPor-LH=20 unchanged'!H42)/100)+103/POWER(1+('CurrentPor-LH=20 unchanged'!D42+'CurrentPor-LH=20 unchanged'!H42)/100,2))*100</f>
        <v>9600.8553312528566</v>
      </c>
      <c r="E42">
        <f>(3/(1+('CurrentPor-LH=20 unchanged'!C42+'CurrentPor-LH=20 unchanged'!I42)/100)+103/POWER(1+('CurrentPor-LH=20 unchanged'!D42+'CurrentPor-LH=20 unchanged'!I42)/100,2))*100</f>
        <v>9582.9211678215052</v>
      </c>
      <c r="F42">
        <f>Portfolio!B$5*'CurrentPor-LH=20 unchanged'!E42</f>
        <v>52143.895533915893</v>
      </c>
      <c r="G42">
        <f>Portfolio!B$6*'CurrentPor-LH=20 unchanged'!F42</f>
        <v>3696.2945087936532</v>
      </c>
      <c r="H42">
        <f>Portfolio!B$7*'CurrentPor-LH=20 unchanged'!J42</f>
        <v>2148.0998964419859</v>
      </c>
      <c r="I42">
        <f t="shared" si="0"/>
        <v>96494.619573903081</v>
      </c>
      <c r="J42">
        <f t="shared" si="1"/>
        <v>10.342292154207826</v>
      </c>
    </row>
    <row r="43" spans="1:10">
      <c r="A43" s="1">
        <v>45530</v>
      </c>
      <c r="B43">
        <f>(3/(1+('CurrentPor-LH=20 unchanged'!C43)/100)+103/POWER(1+('CurrentPor-LH=20 unchanged'!D43)/100,2))*100</f>
        <v>9707.5857774288397</v>
      </c>
      <c r="C43">
        <f>(3/(1+('CurrentPor-LH=20 unchanged'!C43+'CurrentPor-LH=20 unchanged'!G43)/100)+103/POWER(1+('CurrentPor-LH=20 unchanged'!D43+'CurrentPor-LH=20 unchanged'!G43)/100,2))*100</f>
        <v>9614.9673582483465</v>
      </c>
      <c r="D43">
        <f>(3/(1+('CurrentPor-LH=20 unchanged'!C43+'CurrentPor-LH=20 unchanged'!H43)/100)+103/POWER(1+('CurrentPor-LH=20 unchanged'!D43+'CurrentPor-LH=20 unchanged'!H43)/100,2))*100</f>
        <v>9603.023883456457</v>
      </c>
      <c r="E43">
        <f>(3/(1+('CurrentPor-LH=20 unchanged'!C43+'CurrentPor-LH=20 unchanged'!I43)/100)+103/POWER(1+('CurrentPor-LH=20 unchanged'!D43+'CurrentPor-LH=20 unchanged'!I43)/100,2))*100</f>
        <v>9592.1647925052803</v>
      </c>
      <c r="F43">
        <f>Portfolio!B$5*'CurrentPor-LH=20 unchanged'!E43</f>
        <v>52143.895533915893</v>
      </c>
      <c r="G43">
        <f>Portfolio!B$6*'CurrentPor-LH=20 unchanged'!F43</f>
        <v>3696.2945087936532</v>
      </c>
      <c r="H43">
        <f>Portfolio!B$7*'CurrentPor-LH=20 unchanged'!J43</f>
        <v>2148.0998964419859</v>
      </c>
      <c r="I43">
        <f t="shared" si="0"/>
        <v>96506.031750790455</v>
      </c>
      <c r="J43">
        <f t="shared" si="1"/>
        <v>6.6478340585308615</v>
      </c>
    </row>
    <row r="44" spans="1:10">
      <c r="A44" s="1">
        <v>45531</v>
      </c>
      <c r="B44">
        <f>(3/(1+('CurrentPor-LH=20 unchanged'!C44)/100)+103/POWER(1+('CurrentPor-LH=20 unchanged'!D44)/100,2))*100</f>
        <v>9707.5857774288397</v>
      </c>
      <c r="C44">
        <f>(3/(1+('CurrentPor-LH=20 unchanged'!C44+'CurrentPor-LH=20 unchanged'!G44)/100)+103/POWER(1+('CurrentPor-LH=20 unchanged'!D44+'CurrentPor-LH=20 unchanged'!G44)/100,2))*100</f>
        <v>9614.9673582483465</v>
      </c>
      <c r="D44">
        <f>(3/(1+('CurrentPor-LH=20 unchanged'!C44+'CurrentPor-LH=20 unchanged'!H44)/100)+103/POWER(1+('CurrentPor-LH=20 unchanged'!D44+'CurrentPor-LH=20 unchanged'!H44)/100,2))*100</f>
        <v>9600.1944563179932</v>
      </c>
      <c r="E44">
        <f>(3/(1+('CurrentPor-LH=20 unchanged'!C44+'CurrentPor-LH=20 unchanged'!I44)/100)+103/POWER(1+('CurrentPor-LH=20 unchanged'!D44+'CurrentPor-LH=20 unchanged'!I44)/100,2))*100</f>
        <v>9574.7536717340699</v>
      </c>
      <c r="F44">
        <f>Portfolio!B$5*'CurrentPor-LH=20 unchanged'!E44</f>
        <v>52143.895533915893</v>
      </c>
      <c r="G44">
        <f>Portfolio!B$6*'CurrentPor-LH=20 unchanged'!F44</f>
        <v>3696.2945087936532</v>
      </c>
      <c r="H44">
        <f>Portfolio!B$7*'CurrentPor-LH=20 unchanged'!J44</f>
        <v>2148.0998964419859</v>
      </c>
      <c r="I44">
        <f t="shared" si="0"/>
        <v>96485.791202880777</v>
      </c>
      <c r="J44">
        <f t="shared" si="1"/>
        <v>-9.3401390523358714</v>
      </c>
    </row>
    <row r="45" spans="1:10">
      <c r="A45" s="1">
        <v>45532</v>
      </c>
      <c r="B45">
        <f>(3/(1+('CurrentPor-LH=20 unchanged'!C45)/100)+103/POWER(1+('CurrentPor-LH=20 unchanged'!D45)/100,2))*100</f>
        <v>9707.5857774288397</v>
      </c>
      <c r="C45">
        <f>(3/(1+('CurrentPor-LH=20 unchanged'!C45+'CurrentPor-LH=20 unchanged'!G45)/100)+103/POWER(1+('CurrentPor-LH=20 unchanged'!D45+'CurrentPor-LH=20 unchanged'!G45)/100,2))*100</f>
        <v>9614.9673582483465</v>
      </c>
      <c r="D45">
        <f>(3/(1+('CurrentPor-LH=20 unchanged'!C45+'CurrentPor-LH=20 unchanged'!H45)/100)+103/POWER(1+('CurrentPor-LH=20 unchanged'!D45+'CurrentPor-LH=20 unchanged'!H45)/100,2))*100</f>
        <v>9592.1522418989152</v>
      </c>
      <c r="E45">
        <f>(3/(1+('CurrentPor-LH=20 unchanged'!C45+'CurrentPor-LH=20 unchanged'!I45)/100)+103/POWER(1+('CurrentPor-LH=20 unchanged'!D45+'CurrentPor-LH=20 unchanged'!I45)/100,2))*100</f>
        <v>9571.6167387863989</v>
      </c>
      <c r="F45">
        <f>Portfolio!B$5*'CurrentPor-LH=20 unchanged'!E45</f>
        <v>52143.895533915893</v>
      </c>
      <c r="G45">
        <f>Portfolio!B$6*'CurrentPor-LH=20 unchanged'!F45</f>
        <v>3696.2945087936532</v>
      </c>
      <c r="H45">
        <f>Portfolio!B$7*'CurrentPor-LH=20 unchanged'!J45</f>
        <v>2148.0998964419859</v>
      </c>
      <c r="I45">
        <f t="shared" si="0"/>
        <v>96474.612055514022</v>
      </c>
      <c r="J45">
        <f t="shared" si="1"/>
        <v>-42.772488053684356</v>
      </c>
    </row>
    <row r="46" spans="1:10">
      <c r="A46" s="1">
        <v>45533</v>
      </c>
      <c r="B46">
        <f>(3/(1+('CurrentPor-LH=20 unchanged'!C46)/100)+103/POWER(1+('CurrentPor-LH=20 unchanged'!D46)/100,2))*100</f>
        <v>9707.5857774288397</v>
      </c>
      <c r="C46">
        <f>(3/(1+('CurrentPor-LH=20 unchanged'!C46+'CurrentPor-LH=20 unchanged'!G46)/100)+103/POWER(1+('CurrentPor-LH=20 unchanged'!D46+'CurrentPor-LH=20 unchanged'!G46)/100,2))*100</f>
        <v>9614.9673582483465</v>
      </c>
      <c r="D46">
        <f>(3/(1+('CurrentPor-LH=20 unchanged'!C46+'CurrentPor-LH=20 unchanged'!H46)/100)+103/POWER(1+('CurrentPor-LH=20 unchanged'!D46+'CurrentPor-LH=20 unchanged'!H46)/100,2))*100</f>
        <v>9584.8554013354878</v>
      </c>
      <c r="E46">
        <f>(3/(1+('CurrentPor-LH=20 unchanged'!C46+'CurrentPor-LH=20 unchanged'!I46)/100)+103/POWER(1+('CurrentPor-LH=20 unchanged'!D46+'CurrentPor-LH=20 unchanged'!I46)/100,2))*100</f>
        <v>9589.8382987553941</v>
      </c>
      <c r="F46">
        <f>Portfolio!B$5*'CurrentPor-LH=20 unchanged'!E46</f>
        <v>52143.895533915893</v>
      </c>
      <c r="G46">
        <f>Portfolio!B$6*'CurrentPor-LH=20 unchanged'!F46</f>
        <v>3696.2945087936532</v>
      </c>
      <c r="H46">
        <f>Portfolio!B$7*'CurrentPor-LH=20 unchanged'!J46</f>
        <v>2148.0998964419859</v>
      </c>
      <c r="I46">
        <f t="shared" si="0"/>
        <v>96485.536774919601</v>
      </c>
      <c r="J46">
        <f t="shared" si="1"/>
        <v>-10.212640372716123</v>
      </c>
    </row>
    <row r="47" spans="1:10">
      <c r="A47" s="1">
        <v>45534</v>
      </c>
      <c r="B47">
        <f>(3/(1+('CurrentPor-LH=20 unchanged'!C47)/100)+103/POWER(1+('CurrentPor-LH=20 unchanged'!D47)/100,2))*100</f>
        <v>9707.5857774288397</v>
      </c>
      <c r="C47">
        <f>(3/(1+('CurrentPor-LH=20 unchanged'!C47+'CurrentPor-LH=20 unchanged'!G47)/100)+103/POWER(1+('CurrentPor-LH=20 unchanged'!D47+'CurrentPor-LH=20 unchanged'!G47)/100,2))*100</f>
        <v>9614.9673582483465</v>
      </c>
      <c r="D47">
        <f>(3/(1+('CurrentPor-LH=20 unchanged'!C47+'CurrentPor-LH=20 unchanged'!H47)/100)+103/POWER(1+('CurrentPor-LH=20 unchanged'!D47+'CurrentPor-LH=20 unchanged'!H47)/100,2))*100</f>
        <v>9607.4381132118651</v>
      </c>
      <c r="E47">
        <f>(3/(1+('CurrentPor-LH=20 unchanged'!C47+'CurrentPor-LH=20 unchanged'!I47)/100)+103/POWER(1+('CurrentPor-LH=20 unchanged'!D47+'CurrentPor-LH=20 unchanged'!I47)/100,2))*100</f>
        <v>9569.5287104064355</v>
      </c>
      <c r="F47">
        <f>Portfolio!B$5*'CurrentPor-LH=20 unchanged'!E47</f>
        <v>52143.895533915893</v>
      </c>
      <c r="G47">
        <f>Portfolio!B$6*'CurrentPor-LH=20 unchanged'!F47</f>
        <v>3696.2945087936532</v>
      </c>
      <c r="H47">
        <f>Portfolio!B$7*'CurrentPor-LH=20 unchanged'!J47</f>
        <v>2148.0998964419859</v>
      </c>
      <c r="I47">
        <f t="shared" si="0"/>
        <v>96487.809898447027</v>
      </c>
      <c r="J47">
        <f t="shared" si="1"/>
        <v>10.808446134673432</v>
      </c>
    </row>
    <row r="48" spans="1:10">
      <c r="A48" s="1">
        <v>45537</v>
      </c>
      <c r="B48">
        <f>(3/(1+('CurrentPor-LH=20 unchanged'!C48)/100)+103/POWER(1+('CurrentPor-LH=20 unchanged'!D48)/100,2))*100</f>
        <v>9707.5857774288397</v>
      </c>
      <c r="C48">
        <f>(3/(1+('CurrentPor-LH=20 unchanged'!C48+'CurrentPor-LH=20 unchanged'!G48)/100)+103/POWER(1+('CurrentPor-LH=20 unchanged'!D48+'CurrentPor-LH=20 unchanged'!G48)/100,2))*100</f>
        <v>9614.9673582483465</v>
      </c>
      <c r="D48">
        <f>(3/(1+('CurrentPor-LH=20 unchanged'!C48+'CurrentPor-LH=20 unchanged'!H48)/100)+103/POWER(1+('CurrentPor-LH=20 unchanged'!D48+'CurrentPor-LH=20 unchanged'!H48)/100,2))*100</f>
        <v>9586.7124610970259</v>
      </c>
      <c r="E48">
        <f>(3/(1+('CurrentPor-LH=20 unchanged'!C48+'CurrentPor-LH=20 unchanged'!I48)/100)+103/POWER(1+('CurrentPor-LH=20 unchanged'!D48+'CurrentPor-LH=20 unchanged'!I48)/100,2))*100</f>
        <v>9590.3003375825592</v>
      </c>
      <c r="F48">
        <f>Portfolio!B$5*'CurrentPor-LH=20 unchanged'!E48</f>
        <v>52143.895533915893</v>
      </c>
      <c r="G48">
        <f>Portfolio!B$6*'CurrentPor-LH=20 unchanged'!F48</f>
        <v>3696.2945087936532</v>
      </c>
      <c r="H48">
        <f>Portfolio!B$7*'CurrentPor-LH=20 unchanged'!J48</f>
        <v>2148.0998964419859</v>
      </c>
      <c r="I48">
        <f t="shared" si="0"/>
        <v>96487.855873508306</v>
      </c>
      <c r="J48">
        <f t="shared" si="1"/>
        <v>11.332342681358568</v>
      </c>
    </row>
    <row r="49" spans="1:10">
      <c r="A49" s="1">
        <v>45538</v>
      </c>
      <c r="B49">
        <f>(3/(1+('CurrentPor-LH=20 unchanged'!C49)/100)+103/POWER(1+('CurrentPor-LH=20 unchanged'!D49)/100,2))*100</f>
        <v>9707.5857774288397</v>
      </c>
      <c r="C49">
        <f>(3/(1+('CurrentPor-LH=20 unchanged'!C49+'CurrentPor-LH=20 unchanged'!G49)/100)+103/POWER(1+('CurrentPor-LH=20 unchanged'!D49+'CurrentPor-LH=20 unchanged'!G49)/100,2))*100</f>
        <v>9614.9673582483465</v>
      </c>
      <c r="D49">
        <f>(3/(1+('CurrentPor-LH=20 unchanged'!C49+'CurrentPor-LH=20 unchanged'!H49)/100)+103/POWER(1+('CurrentPor-LH=20 unchanged'!D49+'CurrentPor-LH=20 unchanged'!H49)/100,2))*100</f>
        <v>9599.3409497911216</v>
      </c>
      <c r="E49">
        <f>(3/(1+('CurrentPor-LH=20 unchanged'!C49+'CurrentPor-LH=20 unchanged'!I49)/100)+103/POWER(1+('CurrentPor-LH=20 unchanged'!D49+'CurrentPor-LH=20 unchanged'!I49)/100,2))*100</f>
        <v>9590.3413399009332</v>
      </c>
      <c r="F49">
        <f>Portfolio!B$5*'CurrentPor-LH=20 unchanged'!E49</f>
        <v>52143.895533915893</v>
      </c>
      <c r="G49">
        <f>Portfolio!B$6*'CurrentPor-LH=20 unchanged'!F49</f>
        <v>3696.2945087936532</v>
      </c>
      <c r="H49">
        <f>Portfolio!B$7*'CurrentPor-LH=20 unchanged'!J49</f>
        <v>2148.0998964419859</v>
      </c>
      <c r="I49">
        <f t="shared" si="0"/>
        <v>96500.52536452077</v>
      </c>
      <c r="J49">
        <f t="shared" si="1"/>
        <v>-18.122788721811958</v>
      </c>
    </row>
    <row r="50" spans="1:10">
      <c r="A50" s="1">
        <v>45539</v>
      </c>
      <c r="B50">
        <f>(3/(1+('CurrentPor-LH=20 unchanged'!C50)/100)+103/POWER(1+('CurrentPor-LH=20 unchanged'!D50)/100,2))*100</f>
        <v>9707.5857774288397</v>
      </c>
      <c r="C50">
        <f>(3/(1+('CurrentPor-LH=20 unchanged'!C50+'CurrentPor-LH=20 unchanged'!G50)/100)+103/POWER(1+('CurrentPor-LH=20 unchanged'!D50+'CurrentPor-LH=20 unchanged'!G50)/100,2))*100</f>
        <v>9614.9673582483465</v>
      </c>
      <c r="D50">
        <f>(3/(1+('CurrentPor-LH=20 unchanged'!C50+'CurrentPor-LH=20 unchanged'!H50)/100)+103/POWER(1+('CurrentPor-LH=20 unchanged'!D50+'CurrentPor-LH=20 unchanged'!H50)/100,2))*100</f>
        <v>9590.2791506943104</v>
      </c>
      <c r="E50">
        <f>(3/(1+('CurrentPor-LH=20 unchanged'!C50+'CurrentPor-LH=20 unchanged'!I50)/100)+103/POWER(1+('CurrentPor-LH=20 unchanged'!D50+'CurrentPor-LH=20 unchanged'!I50)/100,2))*100</f>
        <v>9570.203985553504</v>
      </c>
      <c r="F50">
        <f>Portfolio!B$5*'CurrentPor-LH=20 unchanged'!E50</f>
        <v>52143.895533915893</v>
      </c>
      <c r="G50">
        <f>Portfolio!B$6*'CurrentPor-LH=20 unchanged'!F50</f>
        <v>3696.2945087936532</v>
      </c>
      <c r="H50">
        <f>Portfolio!B$7*'CurrentPor-LH=20 unchanged'!J50</f>
        <v>2148.0998964419859</v>
      </c>
      <c r="I50">
        <f t="shared" si="0"/>
        <v>96471.326211076535</v>
      </c>
      <c r="J50">
        <f t="shared" si="1"/>
        <v>-13.838182745399536</v>
      </c>
    </row>
    <row r="51" spans="1:10">
      <c r="A51" s="1">
        <v>45540</v>
      </c>
      <c r="B51">
        <f>(3/(1+('CurrentPor-LH=20 unchanged'!C51)/100)+103/POWER(1+('CurrentPor-LH=20 unchanged'!D51)/100,2))*100</f>
        <v>9707.5857774288397</v>
      </c>
      <c r="C51">
        <f>(3/(1+('CurrentPor-LH=20 unchanged'!C51+'CurrentPor-LH=20 unchanged'!G51)/100)+103/POWER(1+('CurrentPor-LH=20 unchanged'!D51+'CurrentPor-LH=20 unchanged'!G51)/100,2))*100</f>
        <v>9614.9673582483465</v>
      </c>
      <c r="D51">
        <f>(3/(1+('CurrentPor-LH=20 unchanged'!C51+'CurrentPor-LH=20 unchanged'!H51)/100)+103/POWER(1+('CurrentPor-LH=20 unchanged'!D51+'CurrentPor-LH=20 unchanged'!H51)/100,2))*100</f>
        <v>9608.3797827398648</v>
      </c>
      <c r="E51">
        <f>(3/(1+('CurrentPor-LH=20 unchanged'!C51+'CurrentPor-LH=20 unchanged'!I51)/100)+103/POWER(1+('CurrentPor-LH=20 unchanged'!D51+'CurrentPor-LH=20 unchanged'!I51)/100,2))*100</f>
        <v>9583.1846081654312</v>
      </c>
      <c r="F51">
        <f>Portfolio!B$5*'CurrentPor-LH=20 unchanged'!E51</f>
        <v>52143.895533915893</v>
      </c>
      <c r="G51">
        <f>Portfolio!B$6*'CurrentPor-LH=20 unchanged'!F51</f>
        <v>3696.2945087936532</v>
      </c>
      <c r="H51">
        <f>Portfolio!B$7*'CurrentPor-LH=20 unchanged'!J51</f>
        <v>2148.0998964419859</v>
      </c>
      <c r="I51">
        <f t="shared" si="0"/>
        <v>96502.40746573401</v>
      </c>
      <c r="J51">
        <f t="shared" si="1"/>
        <v>16.511459988250863</v>
      </c>
    </row>
    <row r="52" spans="1:10">
      <c r="A52" s="1">
        <v>45541</v>
      </c>
      <c r="B52">
        <f>(3/(1+('CurrentPor-LH=20 unchanged'!C52)/100)+103/POWER(1+('CurrentPor-LH=20 unchanged'!D52)/100,2))*100</f>
        <v>9707.5857774288397</v>
      </c>
      <c r="C52">
        <f>(3/(1+('CurrentPor-LH=20 unchanged'!C52+'CurrentPor-LH=20 unchanged'!G52)/100)+103/POWER(1+('CurrentPor-LH=20 unchanged'!D52+'CurrentPor-LH=20 unchanged'!G52)/100,2))*100</f>
        <v>9614.9673582483465</v>
      </c>
      <c r="D52">
        <f>(3/(1+('CurrentPor-LH=20 unchanged'!C52+'CurrentPor-LH=20 unchanged'!H52)/100)+103/POWER(1+('CurrentPor-LH=20 unchanged'!D52+'CurrentPor-LH=20 unchanged'!H52)/100,2))*100</f>
        <v>9604.4624135221475</v>
      </c>
      <c r="E52">
        <f>(3/(1+('CurrentPor-LH=20 unchanged'!C52+'CurrentPor-LH=20 unchanged'!I52)/100)+103/POWER(1+('CurrentPor-LH=20 unchanged'!D52+'CurrentPor-LH=20 unchanged'!I52)/100,2))*100</f>
        <v>9586.3687063495854</v>
      </c>
      <c r="F52">
        <f>Portfolio!B$5*'CurrentPor-LH=20 unchanged'!E52</f>
        <v>52143.895533915893</v>
      </c>
      <c r="G52">
        <f>Portfolio!B$6*'CurrentPor-LH=20 unchanged'!F52</f>
        <v>3696.2945087936532</v>
      </c>
      <c r="H52">
        <f>Portfolio!B$7*'CurrentPor-LH=20 unchanged'!J52</f>
        <v>2148.0998964419859</v>
      </c>
      <c r="I52">
        <f t="shared" si="0"/>
        <v>96501.674194700448</v>
      </c>
      <c r="J52">
        <f t="shared" si="1"/>
        <v>7.0546207973675337</v>
      </c>
    </row>
    <row r="53" spans="1:10">
      <c r="A53" s="1">
        <v>45544</v>
      </c>
      <c r="B53">
        <f>(3/(1+('CurrentPor-LH=20 unchanged'!C53)/100)+103/POWER(1+('CurrentPor-LH=20 unchanged'!D53)/100,2))*100</f>
        <v>9707.5857774288397</v>
      </c>
      <c r="C53">
        <f>(3/(1+('CurrentPor-LH=20 unchanged'!C53+'CurrentPor-LH=20 unchanged'!G53)/100)+103/POWER(1+('CurrentPor-LH=20 unchanged'!D53+'CurrentPor-LH=20 unchanged'!G53)/100,2))*100</f>
        <v>9614.9673582483465</v>
      </c>
      <c r="D53">
        <f>(3/(1+('CurrentPor-LH=20 unchanged'!C53+'CurrentPor-LH=20 unchanged'!H53)/100)+103/POWER(1+('CurrentPor-LH=20 unchanged'!D53+'CurrentPor-LH=20 unchanged'!H53)/100,2))*100</f>
        <v>9590.9479606591613</v>
      </c>
      <c r="E53">
        <f>(3/(1+('CurrentPor-LH=20 unchanged'!C53+'CurrentPor-LH=20 unchanged'!I53)/100)+103/POWER(1+('CurrentPor-LH=20 unchanged'!D53+'CurrentPor-LH=20 unchanged'!I53)/100,2))*100</f>
        <v>9583.0441119525622</v>
      </c>
      <c r="F53">
        <f>Portfolio!B$5*'CurrentPor-LH=20 unchanged'!E53</f>
        <v>52143.895533915893</v>
      </c>
      <c r="G53">
        <f>Portfolio!B$6*'CurrentPor-LH=20 unchanged'!F53</f>
        <v>3696.2945087936532</v>
      </c>
      <c r="H53">
        <f>Portfolio!B$7*'CurrentPor-LH=20 unchanged'!J53</f>
        <v>2148.0998964419859</v>
      </c>
      <c r="I53">
        <f t="shared" si="0"/>
        <v>96484.835147440448</v>
      </c>
      <c r="J53">
        <f t="shared" si="1"/>
        <v>-21.196603350006626</v>
      </c>
    </row>
    <row r="54" spans="1:10">
      <c r="A54" s="1">
        <v>45545</v>
      </c>
      <c r="B54">
        <f>(3/(1+('CurrentPor-LH=20 unchanged'!C54)/100)+103/POWER(1+('CurrentPor-LH=20 unchanged'!D54)/100,2))*100</f>
        <v>9707.5857774288397</v>
      </c>
      <c r="C54">
        <f>(3/(1+('CurrentPor-LH=20 unchanged'!C54+'CurrentPor-LH=20 unchanged'!G54)/100)+103/POWER(1+('CurrentPor-LH=20 unchanged'!D54+'CurrentPor-LH=20 unchanged'!G54)/100,2))*100</f>
        <v>9614.9673582483465</v>
      </c>
      <c r="D54">
        <f>(3/(1+('CurrentPor-LH=20 unchanged'!C54+'CurrentPor-LH=20 unchanged'!H54)/100)+103/POWER(1+('CurrentPor-LH=20 unchanged'!D54+'CurrentPor-LH=20 unchanged'!H54)/100,2))*100</f>
        <v>9603.1969077089743</v>
      </c>
      <c r="E54">
        <f>(3/(1+('CurrentPor-LH=20 unchanged'!C54+'CurrentPor-LH=20 unchanged'!I54)/100)+103/POWER(1+('CurrentPor-LH=20 unchanged'!D54+'CurrentPor-LH=20 unchanged'!I54)/100,2))*100</f>
        <v>9566.6917537939989</v>
      </c>
      <c r="F54">
        <f>Portfolio!B$5*'CurrentPor-LH=20 unchanged'!E54</f>
        <v>52143.895533915893</v>
      </c>
      <c r="G54">
        <f>Portfolio!B$6*'CurrentPor-LH=20 unchanged'!F54</f>
        <v>3696.2945087936532</v>
      </c>
      <c r="H54">
        <f>Portfolio!B$7*'CurrentPor-LH=20 unchanged'!J54</f>
        <v>2148.0998964419859</v>
      </c>
      <c r="I54">
        <f t="shared" si="0"/>
        <v>96480.731736331698</v>
      </c>
      <c r="J54">
        <f t="shared" si="1"/>
        <v>-5.0594665490789339</v>
      </c>
    </row>
    <row r="55" spans="1:10">
      <c r="A55" s="1">
        <v>45546</v>
      </c>
      <c r="B55">
        <f>(3/(1+('CurrentPor-LH=20 unchanged'!C55)/100)+103/POWER(1+('CurrentPor-LH=20 unchanged'!D55)/100,2))*100</f>
        <v>9707.5857774288397</v>
      </c>
      <c r="C55">
        <f>(3/(1+('CurrentPor-LH=20 unchanged'!C55+'CurrentPor-LH=20 unchanged'!G55)/100)+103/POWER(1+('CurrentPor-LH=20 unchanged'!D55+'CurrentPor-LH=20 unchanged'!G55)/100,2))*100</f>
        <v>9614.9673582483465</v>
      </c>
      <c r="D55">
        <f>(3/(1+('CurrentPor-LH=20 unchanged'!C55+'CurrentPor-LH=20 unchanged'!H55)/100)+103/POWER(1+('CurrentPor-LH=20 unchanged'!D55+'CurrentPor-LH=20 unchanged'!H55)/100,2))*100</f>
        <v>9580.4733691758465</v>
      </c>
      <c r="E55">
        <f>(3/(1+('CurrentPor-LH=20 unchanged'!C55+'CurrentPor-LH=20 unchanged'!I55)/100)+103/POWER(1+('CurrentPor-LH=20 unchanged'!D55+'CurrentPor-LH=20 unchanged'!I55)/100,2))*100</f>
        <v>9603.2309081021631</v>
      </c>
      <c r="F55">
        <f>Portfolio!B$5*'CurrentPor-LH=20 unchanged'!E55</f>
        <v>52143.895533915893</v>
      </c>
      <c r="G55">
        <f>Portfolio!B$6*'CurrentPor-LH=20 unchanged'!F55</f>
        <v>3696.2945087936532</v>
      </c>
      <c r="H55">
        <f>Portfolio!B$7*'CurrentPor-LH=20 unchanged'!J55</f>
        <v>2148.0998964419859</v>
      </c>
      <c r="I55">
        <f t="shared" si="0"/>
        <v>96494.547352106732</v>
      </c>
      <c r="J55">
        <f t="shared" si="1"/>
        <v>19.935296592710074</v>
      </c>
    </row>
    <row r="56" spans="1:10">
      <c r="A56" s="1">
        <v>45547</v>
      </c>
      <c r="B56">
        <f>(3/(1+('CurrentPor-LH=20 unchanged'!C56)/100)+103/POWER(1+('CurrentPor-LH=20 unchanged'!D56)/100,2))*100</f>
        <v>9707.5857774288397</v>
      </c>
      <c r="C56">
        <f>(3/(1+('CurrentPor-LH=20 unchanged'!C56+'CurrentPor-LH=20 unchanged'!G56)/100)+103/POWER(1+('CurrentPor-LH=20 unchanged'!D56+'CurrentPor-LH=20 unchanged'!G56)/100,2))*100</f>
        <v>9614.9673582483465</v>
      </c>
      <c r="D56">
        <f>(3/(1+('CurrentPor-LH=20 unchanged'!C56+'CurrentPor-LH=20 unchanged'!H56)/100)+103/POWER(1+('CurrentPor-LH=20 unchanged'!D56+'CurrentPor-LH=20 unchanged'!H56)/100,2))*100</f>
        <v>9598.1219188947234</v>
      </c>
      <c r="E56">
        <f>(3/(1+('CurrentPor-LH=20 unchanged'!C56+'CurrentPor-LH=20 unchanged'!I56)/100)+103/POWER(1+('CurrentPor-LH=20 unchanged'!D56+'CurrentPor-LH=20 unchanged'!I56)/100,2))*100</f>
        <v>9597.5296176276133</v>
      </c>
      <c r="F56">
        <f>Portfolio!B$5*'CurrentPor-LH=20 unchanged'!E56</f>
        <v>52143.895533915893</v>
      </c>
      <c r="G56">
        <f>Portfolio!B$6*'CurrentPor-LH=20 unchanged'!F56</f>
        <v>3696.2945087936532</v>
      </c>
      <c r="H56">
        <f>Portfolio!B$7*'CurrentPor-LH=20 unchanged'!J56</f>
        <v>2148.0998964419859</v>
      </c>
      <c r="I56">
        <f t="shared" si="0"/>
        <v>96506.494611351067</v>
      </c>
      <c r="J56">
        <f t="shared" si="1"/>
        <v>20.957836431465694</v>
      </c>
    </row>
    <row r="57" spans="1:10">
      <c r="A57" s="1">
        <v>45548</v>
      </c>
      <c r="B57">
        <f>(3/(1+('CurrentPor-LH=20 unchanged'!C57)/100)+103/POWER(1+('CurrentPor-LH=20 unchanged'!D57)/100,2))*100</f>
        <v>9707.5857774288397</v>
      </c>
      <c r="C57">
        <f>(3/(1+('CurrentPor-LH=20 unchanged'!C57+'CurrentPor-LH=20 unchanged'!G57)/100)+103/POWER(1+('CurrentPor-LH=20 unchanged'!D57+'CurrentPor-LH=20 unchanged'!G57)/100,2))*100</f>
        <v>9614.9673582483465</v>
      </c>
      <c r="D57">
        <f>(3/(1+('CurrentPor-LH=20 unchanged'!C57+'CurrentPor-LH=20 unchanged'!H57)/100)+103/POWER(1+('CurrentPor-LH=20 unchanged'!D57+'CurrentPor-LH=20 unchanged'!H57)/100,2))*100</f>
        <v>9603.0799390803713</v>
      </c>
      <c r="E57">
        <f>(3/(1+('CurrentPor-LH=20 unchanged'!C57+'CurrentPor-LH=20 unchanged'!I57)/100)+103/POWER(1+('CurrentPor-LH=20 unchanged'!D57+'CurrentPor-LH=20 unchanged'!I57)/100,2))*100</f>
        <v>9598.7927141535511</v>
      </c>
      <c r="F57">
        <f>Portfolio!B$5*'CurrentPor-LH=20 unchanged'!E57</f>
        <v>52143.895533915893</v>
      </c>
      <c r="G57">
        <f>Portfolio!B$6*'CurrentPor-LH=20 unchanged'!F57</f>
        <v>3696.2945087936532</v>
      </c>
      <c r="H57">
        <f>Portfolio!B$7*'CurrentPor-LH=20 unchanged'!J57</f>
        <v>2148.0998964419859</v>
      </c>
      <c r="I57">
        <f t="shared" si="0"/>
        <v>96512.715728062627</v>
      </c>
      <c r="J57">
        <f t="shared" si="1"/>
        <v>24.905829615599941</v>
      </c>
    </row>
    <row r="58" spans="1:10">
      <c r="A58" s="1">
        <v>45551</v>
      </c>
      <c r="B58">
        <f>(3/(1+('CurrentPor-LH=20 unchanged'!C58)/100)+103/POWER(1+('CurrentPor-LH=20 unchanged'!D58)/100,2))*100</f>
        <v>9707.5857774288397</v>
      </c>
      <c r="C58">
        <f>(3/(1+('CurrentPor-LH=20 unchanged'!C58+'CurrentPor-LH=20 unchanged'!G58)/100)+103/POWER(1+('CurrentPor-LH=20 unchanged'!D58+'CurrentPor-LH=20 unchanged'!G58)/100,2))*100</f>
        <v>9614.9673582483465</v>
      </c>
      <c r="D58">
        <f>(3/(1+('CurrentPor-LH=20 unchanged'!C58+'CurrentPor-LH=20 unchanged'!H58)/100)+103/POWER(1+('CurrentPor-LH=20 unchanged'!D58+'CurrentPor-LH=20 unchanged'!H58)/100,2))*100</f>
        <v>9605.1953984993343</v>
      </c>
      <c r="E58">
        <f>(3/(1+('CurrentPor-LH=20 unchanged'!C58+'CurrentPor-LH=20 unchanged'!I58)/100)+103/POWER(1+('CurrentPor-LH=20 unchanged'!D58+'CurrentPor-LH=20 unchanged'!I58)/100,2))*100</f>
        <v>9559.5181505570472</v>
      </c>
      <c r="F58">
        <f>Portfolio!B$5*'CurrentPor-LH=20 unchanged'!E58</f>
        <v>52143.895533915893</v>
      </c>
      <c r="G58">
        <f>Portfolio!B$6*'CurrentPor-LH=20 unchanged'!F58</f>
        <v>3696.2945087936532</v>
      </c>
      <c r="H58">
        <f>Portfolio!B$7*'CurrentPor-LH=20 unchanged'!J58</f>
        <v>2148.0998964419859</v>
      </c>
      <c r="I58">
        <f t="shared" si="0"/>
        <v>96475.556623885102</v>
      </c>
      <c r="J58">
        <f t="shared" si="1"/>
        <v>-12.29924962320365</v>
      </c>
    </row>
    <row r="59" spans="1:10">
      <c r="A59" s="1">
        <v>45552</v>
      </c>
      <c r="B59">
        <f>(3/(1+('CurrentPor-LH=20 unchanged'!C59)/100)+103/POWER(1+('CurrentPor-LH=20 unchanged'!D59)/100,2))*100</f>
        <v>9707.5857774288397</v>
      </c>
      <c r="C59">
        <f>(3/(1+('CurrentPor-LH=20 unchanged'!C59+'CurrentPor-LH=20 unchanged'!G59)/100)+103/POWER(1+('CurrentPor-LH=20 unchanged'!D59+'CurrentPor-LH=20 unchanged'!G59)/100,2))*100</f>
        <v>9614.9673582483465</v>
      </c>
      <c r="D59">
        <f>(3/(1+('CurrentPor-LH=20 unchanged'!C59+'CurrentPor-LH=20 unchanged'!H59)/100)+103/POWER(1+('CurrentPor-LH=20 unchanged'!D59+'CurrentPor-LH=20 unchanged'!H59)/100,2))*100</f>
        <v>9598.3132895021263</v>
      </c>
      <c r="E59">
        <f>(3/(1+('CurrentPor-LH=20 unchanged'!C59+'CurrentPor-LH=20 unchanged'!I59)/100)+103/POWER(1+('CurrentPor-LH=20 unchanged'!D59+'CurrentPor-LH=20 unchanged'!I59)/100,2))*100</f>
        <v>9582.4901781625395</v>
      </c>
      <c r="F59">
        <f>Portfolio!B$5*'CurrentPor-LH=20 unchanged'!E59</f>
        <v>52143.895533915893</v>
      </c>
      <c r="G59">
        <f>Portfolio!B$6*'CurrentPor-LH=20 unchanged'!F59</f>
        <v>3696.2945087936532</v>
      </c>
      <c r="H59">
        <f>Portfolio!B$7*'CurrentPor-LH=20 unchanged'!J59</f>
        <v>2148.0998964419859</v>
      </c>
      <c r="I59">
        <f t="shared" si="0"/>
        <v>96491.646542493385</v>
      </c>
      <c r="J59">
        <f t="shared" si="1"/>
        <v>-8.8788220273854677</v>
      </c>
    </row>
    <row r="60" spans="1:10">
      <c r="A60" s="1">
        <v>45553</v>
      </c>
      <c r="B60">
        <f>(3/(1+('CurrentPor-LH=20 unchanged'!C60)/100)+103/POWER(1+('CurrentPor-LH=20 unchanged'!D60)/100,2))*100</f>
        <v>9707.5857774288397</v>
      </c>
      <c r="C60">
        <f>(3/(1+('CurrentPor-LH=20 unchanged'!C60+'CurrentPor-LH=20 unchanged'!G60)/100)+103/POWER(1+('CurrentPor-LH=20 unchanged'!D60+'CurrentPor-LH=20 unchanged'!G60)/100,2))*100</f>
        <v>9614.9673582483465</v>
      </c>
      <c r="D60">
        <f>(3/(1+('CurrentPor-LH=20 unchanged'!C60+'CurrentPor-LH=20 unchanged'!H60)/100)+103/POWER(1+('CurrentPor-LH=20 unchanged'!D60+'CurrentPor-LH=20 unchanged'!H60)/100,2))*100</f>
        <v>9608.5822044513552</v>
      </c>
      <c r="E60">
        <f>(3/(1+('CurrentPor-LH=20 unchanged'!C60+'CurrentPor-LH=20 unchanged'!I60)/100)+103/POWER(1+('CurrentPor-LH=20 unchanged'!D60+'CurrentPor-LH=20 unchanged'!I60)/100,2))*100</f>
        <v>9566.4347514590008</v>
      </c>
      <c r="F60">
        <f>Portfolio!B$5*'CurrentPor-LH=20 unchanged'!E60</f>
        <v>52143.895533915893</v>
      </c>
      <c r="G60">
        <f>Portfolio!B$6*'CurrentPor-LH=20 unchanged'!F60</f>
        <v>3696.2945087936532</v>
      </c>
      <c r="H60">
        <f>Portfolio!B$7*'CurrentPor-LH=20 unchanged'!J60</f>
        <v>2148.0998964419859</v>
      </c>
      <c r="I60">
        <f t="shared" si="0"/>
        <v>96485.860030739073</v>
      </c>
      <c r="J60">
        <f t="shared" si="1"/>
        <v>14.533819662538008</v>
      </c>
    </row>
    <row r="61" spans="1:10">
      <c r="A61" s="1">
        <v>45554</v>
      </c>
      <c r="B61">
        <f>(3/(1+('CurrentPor-LH=20 unchanged'!C61)/100)+103/POWER(1+('CurrentPor-LH=20 unchanged'!D61)/100,2))*100</f>
        <v>9707.5857774288397</v>
      </c>
      <c r="C61">
        <f>(3/(1+('CurrentPor-LH=20 unchanged'!C61+'CurrentPor-LH=20 unchanged'!G61)/100)+103/POWER(1+('CurrentPor-LH=20 unchanged'!D61+'CurrentPor-LH=20 unchanged'!G61)/100,2))*100</f>
        <v>9614.9673582483465</v>
      </c>
      <c r="D61">
        <f>(3/(1+('CurrentPor-LH=20 unchanged'!C61+'CurrentPor-LH=20 unchanged'!H61)/100)+103/POWER(1+('CurrentPor-LH=20 unchanged'!D61+'CurrentPor-LH=20 unchanged'!H61)/100,2))*100</f>
        <v>9597.8726714890636</v>
      </c>
      <c r="E61">
        <f>(3/(1+('CurrentPor-LH=20 unchanged'!C61+'CurrentPor-LH=20 unchanged'!I61)/100)+103/POWER(1+('CurrentPor-LH=20 unchanged'!D61+'CurrentPor-LH=20 unchanged'!I61)/100,2))*100</f>
        <v>9592.7661357415473</v>
      </c>
      <c r="F61">
        <f>Portfolio!B$5*'CurrentPor-LH=20 unchanged'!E61</f>
        <v>52143.895533915893</v>
      </c>
      <c r="G61">
        <f>Portfolio!B$6*'CurrentPor-LH=20 unchanged'!F61</f>
        <v>3696.2945087936532</v>
      </c>
      <c r="H61">
        <f>Portfolio!B$7*'CurrentPor-LH=20 unchanged'!J61</f>
        <v>2148.0998964419859</v>
      </c>
      <c r="I61">
        <f t="shared" si="0"/>
        <v>96501.481882059321</v>
      </c>
      <c r="J61">
        <f t="shared" si="1"/>
        <v>-0.92558367468882352</v>
      </c>
    </row>
    <row r="62" spans="1:10">
      <c r="A62" s="1">
        <v>45555</v>
      </c>
      <c r="B62">
        <f>(3/(1+('CurrentPor-LH=20 unchanged'!C62)/100)+103/POWER(1+('CurrentPor-LH=20 unchanged'!D62)/100,2))*100</f>
        <v>9707.5857774288397</v>
      </c>
      <c r="C62">
        <f>(3/(1+('CurrentPor-LH=20 unchanged'!C62+'CurrentPor-LH=20 unchanged'!G62)/100)+103/POWER(1+('CurrentPor-LH=20 unchanged'!D62+'CurrentPor-LH=20 unchanged'!G62)/100,2))*100</f>
        <v>9614.9673582483465</v>
      </c>
      <c r="D62">
        <f>(3/(1+('CurrentPor-LH=20 unchanged'!C62+'CurrentPor-LH=20 unchanged'!H62)/100)+103/POWER(1+('CurrentPor-LH=20 unchanged'!D62+'CurrentPor-LH=20 unchanged'!H62)/100,2))*100</f>
        <v>9609.1628035345875</v>
      </c>
      <c r="E62">
        <f>(3/(1+('CurrentPor-LH=20 unchanged'!C62+'CurrentPor-LH=20 unchanged'!I62)/100)+103/POWER(1+('CurrentPor-LH=20 unchanged'!D62+'CurrentPor-LH=20 unchanged'!I62)/100,2))*100</f>
        <v>9590.8568916276527</v>
      </c>
      <c r="F62">
        <f>Portfolio!B$5*'CurrentPor-LH=20 unchanged'!E62</f>
        <v>52143.895533915893</v>
      </c>
      <c r="G62">
        <f>Portfolio!B$6*'CurrentPor-LH=20 unchanged'!F62</f>
        <v>3696.2945087936532</v>
      </c>
      <c r="H62">
        <f>Portfolio!B$7*'CurrentPor-LH=20 unchanged'!J62</f>
        <v>2148.0998964419859</v>
      </c>
      <c r="I62">
        <f t="shared" si="0"/>
        <v>96510.86276999097</v>
      </c>
      <c r="J62">
        <f t="shared" si="1"/>
        <v>9.1885752905218396</v>
      </c>
    </row>
    <row r="63" spans="1:10">
      <c r="A63" s="1">
        <v>45558</v>
      </c>
      <c r="B63">
        <f>(3/(1+('CurrentPor-LH=20 unchanged'!C63)/100)+103/POWER(1+('CurrentPor-LH=20 unchanged'!D63)/100,2))*100</f>
        <v>9707.5857774288397</v>
      </c>
      <c r="C63">
        <f>(3/(1+('CurrentPor-LH=20 unchanged'!C63+'CurrentPor-LH=20 unchanged'!G63)/100)+103/POWER(1+('CurrentPor-LH=20 unchanged'!D63+'CurrentPor-LH=20 unchanged'!G63)/100,2))*100</f>
        <v>9614.9673582483465</v>
      </c>
      <c r="D63">
        <f>(3/(1+('CurrentPor-LH=20 unchanged'!C63+'CurrentPor-LH=20 unchanged'!H63)/100)+103/POWER(1+('CurrentPor-LH=20 unchanged'!D63+'CurrentPor-LH=20 unchanged'!H63)/100,2))*100</f>
        <v>9607.6542927926839</v>
      </c>
      <c r="E63">
        <f>(3/(1+('CurrentPor-LH=20 unchanged'!C63+'CurrentPor-LH=20 unchanged'!I63)/100)+103/POWER(1+('CurrentPor-LH=20 unchanged'!D63+'CurrentPor-LH=20 unchanged'!I63)/100,2))*100</f>
        <v>9595.6143873189121</v>
      </c>
      <c r="F63">
        <f>Portfolio!B$5*'CurrentPor-LH=20 unchanged'!E63</f>
        <v>52143.895533915893</v>
      </c>
      <c r="G63">
        <f>Portfolio!B$6*'CurrentPor-LH=20 unchanged'!F63</f>
        <v>3696.2945087936532</v>
      </c>
      <c r="H63">
        <f>Portfolio!B$7*'CurrentPor-LH=20 unchanged'!J63</f>
        <v>2148.0998964419859</v>
      </c>
      <c r="I63">
        <f t="shared" si="0"/>
        <v>96514.111754940313</v>
      </c>
      <c r="J63">
        <f t="shared" si="1"/>
        <v>29.276607499865349</v>
      </c>
    </row>
    <row r="64" spans="1:10">
      <c r="A64" s="1">
        <v>45559</v>
      </c>
      <c r="B64">
        <f>(3/(1+('CurrentPor-LH=20 unchanged'!C64)/100)+103/POWER(1+('CurrentPor-LH=20 unchanged'!D64)/100,2))*100</f>
        <v>9707.5857774288397</v>
      </c>
      <c r="C64">
        <f>(3/(1+('CurrentPor-LH=20 unchanged'!C64+'CurrentPor-LH=20 unchanged'!G64)/100)+103/POWER(1+('CurrentPor-LH=20 unchanged'!D64+'CurrentPor-LH=20 unchanged'!G64)/100,2))*100</f>
        <v>9614.9673582483465</v>
      </c>
      <c r="D64">
        <f>(3/(1+('CurrentPor-LH=20 unchanged'!C64+'CurrentPor-LH=20 unchanged'!H64)/100)+103/POWER(1+('CurrentPor-LH=20 unchanged'!D64+'CurrentPor-LH=20 unchanged'!H64)/100,2))*100</f>
        <v>9606.4650160202946</v>
      </c>
      <c r="E64">
        <f>(3/(1+('CurrentPor-LH=20 unchanged'!C64+'CurrentPor-LH=20 unchanged'!I64)/100)+103/POWER(1+('CurrentPor-LH=20 unchanged'!D64+'CurrentPor-LH=20 unchanged'!I64)/100,2))*100</f>
        <v>9578.2768582215249</v>
      </c>
      <c r="F64">
        <f>Portfolio!B$5*'CurrentPor-LH=20 unchanged'!E64</f>
        <v>52143.895533915893</v>
      </c>
      <c r="G64">
        <f>Portfolio!B$6*'CurrentPor-LH=20 unchanged'!F64</f>
        <v>3696.2945087936532</v>
      </c>
      <c r="H64">
        <f>Portfolio!B$7*'CurrentPor-LH=20 unchanged'!J64</f>
        <v>2148.0998964419859</v>
      </c>
      <c r="I64">
        <f t="shared" si="0"/>
        <v>96495.584949070544</v>
      </c>
      <c r="J64">
        <f t="shared" si="1"/>
        <v>14.853212738846196</v>
      </c>
    </row>
    <row r="65" spans="1:10">
      <c r="A65" s="1">
        <v>45560</v>
      </c>
      <c r="B65">
        <f>(3/(1+('CurrentPor-LH=20 unchanged'!C65)/100)+103/POWER(1+('CurrentPor-LH=20 unchanged'!D65)/100,2))*100</f>
        <v>9707.5857774288397</v>
      </c>
      <c r="C65">
        <f>(3/(1+('CurrentPor-LH=20 unchanged'!C65+'CurrentPor-LH=20 unchanged'!G65)/100)+103/POWER(1+('CurrentPor-LH=20 unchanged'!D65+'CurrentPor-LH=20 unchanged'!G65)/100,2))*100</f>
        <v>9614.9673582483465</v>
      </c>
      <c r="D65">
        <f>(3/(1+('CurrentPor-LH=20 unchanged'!C65+'CurrentPor-LH=20 unchanged'!H65)/100)+103/POWER(1+('CurrentPor-LH=20 unchanged'!D65+'CurrentPor-LH=20 unchanged'!H65)/100,2))*100</f>
        <v>9601.1218522517593</v>
      </c>
      <c r="E65">
        <f>(3/(1+('CurrentPor-LH=20 unchanged'!C65+'CurrentPor-LH=20 unchanged'!I65)/100)+103/POWER(1+('CurrentPor-LH=20 unchanged'!D65+'CurrentPor-LH=20 unchanged'!I65)/100,2))*100</f>
        <v>9574.2611146235413</v>
      </c>
      <c r="F65">
        <f>Portfolio!B$5*'CurrentPor-LH=20 unchanged'!E65</f>
        <v>52143.895533915893</v>
      </c>
      <c r="G65">
        <f>Portfolio!B$6*'CurrentPor-LH=20 unchanged'!F65</f>
        <v>3696.2945087936532</v>
      </c>
      <c r="H65">
        <f>Portfolio!B$7*'CurrentPor-LH=20 unchanged'!J65</f>
        <v>2148.0998964419859</v>
      </c>
      <c r="I65">
        <f t="shared" si="0"/>
        <v>96486.226041704023</v>
      </c>
      <c r="J65">
        <f t="shared" si="1"/>
        <v>-8.3213104027090594</v>
      </c>
    </row>
    <row r="66" spans="1:10">
      <c r="A66" s="1">
        <v>45561</v>
      </c>
      <c r="B66">
        <f>(3/(1+('CurrentPor-LH=20 unchanged'!C66)/100)+103/POWER(1+('CurrentPor-LH=20 unchanged'!D66)/100,2))*100</f>
        <v>9707.5857774288397</v>
      </c>
      <c r="C66">
        <f>(3/(1+('CurrentPor-LH=20 unchanged'!C66+'CurrentPor-LH=20 unchanged'!G66)/100)+103/POWER(1+('CurrentPor-LH=20 unchanged'!D66+'CurrentPor-LH=20 unchanged'!G66)/100,2))*100</f>
        <v>9614.9673582483465</v>
      </c>
      <c r="D66">
        <f>(3/(1+('CurrentPor-LH=20 unchanged'!C66+'CurrentPor-LH=20 unchanged'!H66)/100)+103/POWER(1+('CurrentPor-LH=20 unchanged'!D66+'CurrentPor-LH=20 unchanged'!H66)/100,2))*100</f>
        <v>9605.0009737327418</v>
      </c>
      <c r="E66">
        <f>(3/(1+('CurrentPor-LH=20 unchanged'!C66+'CurrentPor-LH=20 unchanged'!I66)/100)+103/POWER(1+('CurrentPor-LH=20 unchanged'!D66+'CurrentPor-LH=20 unchanged'!I66)/100,2))*100</f>
        <v>9561.1428414668553</v>
      </c>
      <c r="F66">
        <f>Portfolio!B$5*'CurrentPor-LH=20 unchanged'!E66</f>
        <v>52143.895533915893</v>
      </c>
      <c r="G66">
        <f>Portfolio!B$6*'CurrentPor-LH=20 unchanged'!F66</f>
        <v>3696.2945087936532</v>
      </c>
      <c r="H66">
        <f>Portfolio!B$7*'CurrentPor-LH=20 unchanged'!J66</f>
        <v>2148.0998964419859</v>
      </c>
      <c r="I66">
        <f t="shared" si="0"/>
        <v>96476.986890028304</v>
      </c>
      <c r="J66">
        <f t="shared" si="1"/>
        <v>-29.507721322763246</v>
      </c>
    </row>
    <row r="67" spans="1:10">
      <c r="A67" s="1">
        <v>45562</v>
      </c>
      <c r="B67">
        <f>(3/(1+('CurrentPor-LH=20 unchanged'!C67)/100)+103/POWER(1+('CurrentPor-LH=20 unchanged'!D67)/100,2))*100</f>
        <v>9707.5857774288397</v>
      </c>
      <c r="C67">
        <f>(3/(1+('CurrentPor-LH=20 unchanged'!C67+'CurrentPor-LH=20 unchanged'!G67)/100)+103/POWER(1+('CurrentPor-LH=20 unchanged'!D67+'CurrentPor-LH=20 unchanged'!G67)/100,2))*100</f>
        <v>9614.9673582483465</v>
      </c>
      <c r="D67">
        <f>(3/(1+('CurrentPor-LH=20 unchanged'!C67+'CurrentPor-LH=20 unchanged'!H67)/100)+103/POWER(1+('CurrentPor-LH=20 unchanged'!D67+'CurrentPor-LH=20 unchanged'!H67)/100,2))*100</f>
        <v>9588.3722457230124</v>
      </c>
      <c r="E67">
        <f>(3/(1+('CurrentPor-LH=20 unchanged'!C67+'CurrentPor-LH=20 unchanged'!I67)/100)+103/POWER(1+('CurrentPor-LH=20 unchanged'!D67+'CurrentPor-LH=20 unchanged'!I67)/100,2))*100</f>
        <v>9583.5545570456579</v>
      </c>
      <c r="F67">
        <f>Portfolio!B$5*'CurrentPor-LH=20 unchanged'!E67</f>
        <v>52143.895533915893</v>
      </c>
      <c r="G67">
        <f>Portfolio!B$6*'CurrentPor-LH=20 unchanged'!F67</f>
        <v>3696.2945087936532</v>
      </c>
      <c r="H67">
        <f>Portfolio!B$7*'CurrentPor-LH=20 unchanged'!J67</f>
        <v>2148.0998964419859</v>
      </c>
      <c r="I67">
        <f t="shared" si="0"/>
        <v>96482.769877597384</v>
      </c>
      <c r="J67">
        <f t="shared" si="1"/>
        <v>-29.945850465242984</v>
      </c>
    </row>
    <row r="68" spans="1:10">
      <c r="A68" s="1">
        <v>45565</v>
      </c>
      <c r="B68">
        <f>(3/(1+('CurrentPor-LH=20 unchanged'!C68)/100)+103/POWER(1+('CurrentPor-LH=20 unchanged'!D68)/100,2))*100</f>
        <v>9707.5857774288397</v>
      </c>
      <c r="C68">
        <f>(3/(1+('CurrentPor-LH=20 unchanged'!C68+'CurrentPor-LH=20 unchanged'!G68)/100)+103/POWER(1+('CurrentPor-LH=20 unchanged'!D68+'CurrentPor-LH=20 unchanged'!G68)/100,2))*100</f>
        <v>9614.9673582483465</v>
      </c>
      <c r="D68">
        <f>(3/(1+('CurrentPor-LH=20 unchanged'!C68+'CurrentPor-LH=20 unchanged'!H68)/100)+103/POWER(1+('CurrentPor-LH=20 unchanged'!D68+'CurrentPor-LH=20 unchanged'!H68)/100,2))*100</f>
        <v>9604.9964871550255</v>
      </c>
      <c r="E68">
        <f>(3/(1+('CurrentPor-LH=20 unchanged'!C68+'CurrentPor-LH=20 unchanged'!I68)/100)+103/POWER(1+('CurrentPor-LH=20 unchanged'!D68+'CurrentPor-LH=20 unchanged'!I68)/100,2))*100</f>
        <v>9575.6047934174803</v>
      </c>
      <c r="F68">
        <f>Portfolio!B$5*'CurrentPor-LH=20 unchanged'!E68</f>
        <v>52143.895533915893</v>
      </c>
      <c r="G68">
        <f>Portfolio!B$6*'CurrentPor-LH=20 unchanged'!F68</f>
        <v>3696.2945087936532</v>
      </c>
      <c r="H68">
        <f>Portfolio!B$7*'CurrentPor-LH=20 unchanged'!J68</f>
        <v>2148.0998964419859</v>
      </c>
      <c r="I68">
        <f t="shared" ref="I68:I131" si="2">SUM(B68:H68)</f>
        <v>96491.444355401225</v>
      </c>
      <c r="J68">
        <f t="shared" si="1"/>
        <v>15.887731516122585</v>
      </c>
    </row>
    <row r="69" spans="1:10">
      <c r="A69" s="1">
        <v>45566</v>
      </c>
      <c r="B69">
        <f>(3/(1+('CurrentPor-LH=20 unchanged'!C69)/100)+103/POWER(1+('CurrentPor-LH=20 unchanged'!D69)/100,2))*100</f>
        <v>9707.5857774288397</v>
      </c>
      <c r="C69">
        <f>(3/(1+('CurrentPor-LH=20 unchanged'!C69+'CurrentPor-LH=20 unchanged'!G69)/100)+103/POWER(1+('CurrentPor-LH=20 unchanged'!D69+'CurrentPor-LH=20 unchanged'!G69)/100,2))*100</f>
        <v>9614.9673582483465</v>
      </c>
      <c r="D69">
        <f>(3/(1+('CurrentPor-LH=20 unchanged'!C69+'CurrentPor-LH=20 unchanged'!H69)/100)+103/POWER(1+('CurrentPor-LH=20 unchanged'!D69+'CurrentPor-LH=20 unchanged'!H69)/100,2))*100</f>
        <v>9593.7091697801825</v>
      </c>
      <c r="E69">
        <f>(3/(1+('CurrentPor-LH=20 unchanged'!C69+'CurrentPor-LH=20 unchanged'!I69)/100)+103/POWER(1+('CurrentPor-LH=20 unchanged'!D69+'CurrentPor-LH=20 unchanged'!I69)/100,2))*100</f>
        <v>9568.5382968260747</v>
      </c>
      <c r="F69">
        <f>Portfolio!B$5*'CurrentPor-LH=20 unchanged'!E69</f>
        <v>52143.895533915893</v>
      </c>
      <c r="G69">
        <f>Portfolio!B$6*'CurrentPor-LH=20 unchanged'!F69</f>
        <v>3696.2945087936532</v>
      </c>
      <c r="H69">
        <f>Portfolio!B$7*'CurrentPor-LH=20 unchanged'!J69</f>
        <v>2148.0998964419859</v>
      </c>
      <c r="I69">
        <f t="shared" si="2"/>
        <v>96473.090541434984</v>
      </c>
      <c r="J69">
        <f t="shared" si="1"/>
        <v>-18.556001058401307</v>
      </c>
    </row>
    <row r="70" spans="1:10">
      <c r="A70" s="1">
        <v>45567</v>
      </c>
      <c r="B70">
        <f>(3/(1+('CurrentPor-LH=20 unchanged'!C70)/100)+103/POWER(1+('CurrentPor-LH=20 unchanged'!D70)/100,2))*100</f>
        <v>9707.5857774288397</v>
      </c>
      <c r="C70">
        <f>(3/(1+('CurrentPor-LH=20 unchanged'!C70+'CurrentPor-LH=20 unchanged'!G70)/100)+103/POWER(1+('CurrentPor-LH=20 unchanged'!D70+'CurrentPor-LH=20 unchanged'!G70)/100,2))*100</f>
        <v>9614.9673582483465</v>
      </c>
      <c r="D70">
        <f>(3/(1+('CurrentPor-LH=20 unchanged'!C70+'CurrentPor-LH=20 unchanged'!H70)/100)+103/POWER(1+('CurrentPor-LH=20 unchanged'!D70+'CurrentPor-LH=20 unchanged'!H70)/100,2))*100</f>
        <v>9588.4013025872537</v>
      </c>
      <c r="E70">
        <f>(3/(1+('CurrentPor-LH=20 unchanged'!C70+'CurrentPor-LH=20 unchanged'!I70)/100)+103/POWER(1+('CurrentPor-LH=20 unchanged'!D70+'CurrentPor-LH=20 unchanged'!I70)/100,2))*100</f>
        <v>9580.5379779519262</v>
      </c>
      <c r="F70">
        <f>Portfolio!B$5*'CurrentPor-LH=20 unchanged'!E70</f>
        <v>52143.895533915893</v>
      </c>
      <c r="G70">
        <f>Portfolio!B$6*'CurrentPor-LH=20 unchanged'!F70</f>
        <v>3696.2945087936532</v>
      </c>
      <c r="H70">
        <f>Portfolio!B$7*'CurrentPor-LH=20 unchanged'!J70</f>
        <v>2148.0998964419859</v>
      </c>
      <c r="I70">
        <f t="shared" si="2"/>
        <v>96479.78235536789</v>
      </c>
      <c r="J70">
        <f t="shared" si="1"/>
        <v>-6.0776753711834317</v>
      </c>
    </row>
    <row r="71" spans="1:10">
      <c r="A71" s="1">
        <v>45568</v>
      </c>
      <c r="B71">
        <f>(3/(1+('CurrentPor-LH=20 unchanged'!C71)/100)+103/POWER(1+('CurrentPor-LH=20 unchanged'!D71)/100,2))*100</f>
        <v>9707.5857774288397</v>
      </c>
      <c r="C71">
        <f>(3/(1+('CurrentPor-LH=20 unchanged'!C71+'CurrentPor-LH=20 unchanged'!G71)/100)+103/POWER(1+('CurrentPor-LH=20 unchanged'!D71+'CurrentPor-LH=20 unchanged'!G71)/100,2))*100</f>
        <v>9614.9673582483465</v>
      </c>
      <c r="D71">
        <f>(3/(1+('CurrentPor-LH=20 unchanged'!C71+'CurrentPor-LH=20 unchanged'!H71)/100)+103/POWER(1+('CurrentPor-LH=20 unchanged'!D71+'CurrentPor-LH=20 unchanged'!H71)/100,2))*100</f>
        <v>9583.3242981650037</v>
      </c>
      <c r="E71">
        <f>(3/(1+('CurrentPor-LH=20 unchanged'!C71+'CurrentPor-LH=20 unchanged'!I71)/100)+103/POWER(1+('CurrentPor-LH=20 unchanged'!D71+'CurrentPor-LH=20 unchanged'!I71)/100,2))*100</f>
        <v>9581.4736577771528</v>
      </c>
      <c r="F71">
        <f>Portfolio!B$5*'CurrentPor-LH=20 unchanged'!E71</f>
        <v>52143.895533915893</v>
      </c>
      <c r="G71">
        <f>Portfolio!B$6*'CurrentPor-LH=20 unchanged'!F71</f>
        <v>3696.2945087936532</v>
      </c>
      <c r="H71">
        <f>Portfolio!B$7*'CurrentPor-LH=20 unchanged'!J71</f>
        <v>2148.0998964419859</v>
      </c>
      <c r="I71">
        <f t="shared" si="2"/>
        <v>96475.641030770872</v>
      </c>
      <c r="J71">
        <f t="shared" si="1"/>
        <v>-25.840851288448903</v>
      </c>
    </row>
    <row r="72" spans="1:10">
      <c r="A72" s="1">
        <v>45569</v>
      </c>
      <c r="B72">
        <f>(3/(1+('CurrentPor-LH=20 unchanged'!C72)/100)+103/POWER(1+('CurrentPor-LH=20 unchanged'!D72)/100,2))*100</f>
        <v>9707.5857774288397</v>
      </c>
      <c r="C72">
        <f>(3/(1+('CurrentPor-LH=20 unchanged'!C72+'CurrentPor-LH=20 unchanged'!G72)/100)+103/POWER(1+('CurrentPor-LH=20 unchanged'!D72+'CurrentPor-LH=20 unchanged'!G72)/100,2))*100</f>
        <v>9614.9673582483465</v>
      </c>
      <c r="D72">
        <f>(3/(1+('CurrentPor-LH=20 unchanged'!C72+'CurrentPor-LH=20 unchanged'!H72)/100)+103/POWER(1+('CurrentPor-LH=20 unchanged'!D72+'CurrentPor-LH=20 unchanged'!H72)/100,2))*100</f>
        <v>9603.8734031010972</v>
      </c>
      <c r="E72">
        <f>(3/(1+('CurrentPor-LH=20 unchanged'!C72+'CurrentPor-LH=20 unchanged'!I72)/100)+103/POWER(1+('CurrentPor-LH=20 unchanged'!D72+'CurrentPor-LH=20 unchanged'!I72)/100,2))*100</f>
        <v>9576.2343633897872</v>
      </c>
      <c r="F72">
        <f>Portfolio!B$5*'CurrentPor-LH=20 unchanged'!E72</f>
        <v>52143.895533915893</v>
      </c>
      <c r="G72">
        <f>Portfolio!B$6*'CurrentPor-LH=20 unchanged'!F72</f>
        <v>3696.2945087936532</v>
      </c>
      <c r="H72">
        <f>Portfolio!B$7*'CurrentPor-LH=20 unchanged'!J72</f>
        <v>2148.0998964419859</v>
      </c>
      <c r="I72">
        <f t="shared" si="2"/>
        <v>96490.950841319602</v>
      </c>
      <c r="J72">
        <f t="shared" si="1"/>
        <v>-19.911928671368514</v>
      </c>
    </row>
    <row r="73" spans="1:10">
      <c r="A73" s="1">
        <v>45572</v>
      </c>
      <c r="B73">
        <f>(3/(1+('CurrentPor-LH=20 unchanged'!C73)/100)+103/POWER(1+('CurrentPor-LH=20 unchanged'!D73)/100,2))*100</f>
        <v>9707.5857774288397</v>
      </c>
      <c r="C73">
        <f>(3/(1+('CurrentPor-LH=20 unchanged'!C73+'CurrentPor-LH=20 unchanged'!G73)/100)+103/POWER(1+('CurrentPor-LH=20 unchanged'!D73+'CurrentPor-LH=20 unchanged'!G73)/100,2))*100</f>
        <v>9614.9673582483465</v>
      </c>
      <c r="D73">
        <f>(3/(1+('CurrentPor-LH=20 unchanged'!C73+'CurrentPor-LH=20 unchanged'!H73)/100)+103/POWER(1+('CurrentPor-LH=20 unchanged'!D73+'CurrentPor-LH=20 unchanged'!H73)/100,2))*100</f>
        <v>9598.8605478081117</v>
      </c>
      <c r="E73">
        <f>(3/(1+('CurrentPor-LH=20 unchanged'!C73+'CurrentPor-LH=20 unchanged'!I73)/100)+103/POWER(1+('CurrentPor-LH=20 unchanged'!D73+'CurrentPor-LH=20 unchanged'!I73)/100,2))*100</f>
        <v>9604.4712629235764</v>
      </c>
      <c r="F73">
        <f>Portfolio!B$5*'CurrentPor-LH=20 unchanged'!E73</f>
        <v>52143.895533915893</v>
      </c>
      <c r="G73">
        <f>Portfolio!B$6*'CurrentPor-LH=20 unchanged'!F73</f>
        <v>3696.2945087936532</v>
      </c>
      <c r="H73">
        <f>Portfolio!B$7*'CurrentPor-LH=20 unchanged'!J73</f>
        <v>2148.0998964419859</v>
      </c>
      <c r="I73">
        <f t="shared" si="2"/>
        <v>96514.174885560395</v>
      </c>
      <c r="J73">
        <f t="shared" si="1"/>
        <v>6.3130620081210509E-2</v>
      </c>
    </row>
    <row r="74" spans="1:10">
      <c r="A74" s="1">
        <v>45573</v>
      </c>
      <c r="B74">
        <f>(3/(1+('CurrentPor-LH=20 unchanged'!C74)/100)+103/POWER(1+('CurrentPor-LH=20 unchanged'!D74)/100,2))*100</f>
        <v>9707.5857774288397</v>
      </c>
      <c r="C74">
        <f>(3/(1+('CurrentPor-LH=20 unchanged'!C74+'CurrentPor-LH=20 unchanged'!G74)/100)+103/POWER(1+('CurrentPor-LH=20 unchanged'!D74+'CurrentPor-LH=20 unchanged'!G74)/100,2))*100</f>
        <v>9614.9673582483465</v>
      </c>
      <c r="D74">
        <f>(3/(1+('CurrentPor-LH=20 unchanged'!C74+'CurrentPor-LH=20 unchanged'!H74)/100)+103/POWER(1+('CurrentPor-LH=20 unchanged'!D74+'CurrentPor-LH=20 unchanged'!H74)/100,2))*100</f>
        <v>9621.9436887344073</v>
      </c>
      <c r="E74">
        <f>(3/(1+('CurrentPor-LH=20 unchanged'!C74+'CurrentPor-LH=20 unchanged'!I74)/100)+103/POWER(1+('CurrentPor-LH=20 unchanged'!D74+'CurrentPor-LH=20 unchanged'!I74)/100,2))*100</f>
        <v>9588.1360404990864</v>
      </c>
      <c r="F74">
        <f>Portfolio!B$5*'CurrentPor-LH=20 unchanged'!E74</f>
        <v>52143.895533915893</v>
      </c>
      <c r="G74">
        <f>Portfolio!B$6*'CurrentPor-LH=20 unchanged'!F74</f>
        <v>3696.2945087936532</v>
      </c>
      <c r="H74">
        <f>Portfolio!B$7*'CurrentPor-LH=20 unchanged'!J74</f>
        <v>2148.0998964419859</v>
      </c>
      <c r="I74">
        <f t="shared" si="2"/>
        <v>96520.922804062211</v>
      </c>
      <c r="J74">
        <f t="shared" si="1"/>
        <v>25.337854991666973</v>
      </c>
    </row>
    <row r="75" spans="1:10">
      <c r="A75" s="1">
        <v>45574</v>
      </c>
      <c r="B75">
        <f>(3/(1+('CurrentPor-LH=20 unchanged'!C75)/100)+103/POWER(1+('CurrentPor-LH=20 unchanged'!D75)/100,2))*100</f>
        <v>9707.5857774288397</v>
      </c>
      <c r="C75">
        <f>(3/(1+('CurrentPor-LH=20 unchanged'!C75+'CurrentPor-LH=20 unchanged'!G75)/100)+103/POWER(1+('CurrentPor-LH=20 unchanged'!D75+'CurrentPor-LH=20 unchanged'!G75)/100,2))*100</f>
        <v>9614.9673582483465</v>
      </c>
      <c r="D75">
        <f>(3/(1+('CurrentPor-LH=20 unchanged'!C75+'CurrentPor-LH=20 unchanged'!H75)/100)+103/POWER(1+('CurrentPor-LH=20 unchanged'!D75+'CurrentPor-LH=20 unchanged'!H75)/100,2))*100</f>
        <v>9592.9055718900709</v>
      </c>
      <c r="E75">
        <f>(3/(1+('CurrentPor-LH=20 unchanged'!C75+'CurrentPor-LH=20 unchanged'!I75)/100)+103/POWER(1+('CurrentPor-LH=20 unchanged'!D75+'CurrentPor-LH=20 unchanged'!I75)/100,2))*100</f>
        <v>9575.2181233991287</v>
      </c>
      <c r="F75">
        <f>Portfolio!B$5*'CurrentPor-LH=20 unchanged'!E75</f>
        <v>52143.895533915893</v>
      </c>
      <c r="G75">
        <f>Portfolio!B$6*'CurrentPor-LH=20 unchanged'!F75</f>
        <v>3696.2945087936532</v>
      </c>
      <c r="H75">
        <f>Portfolio!B$7*'CurrentPor-LH=20 unchanged'!J75</f>
        <v>2148.0998964419859</v>
      </c>
      <c r="I75">
        <f t="shared" si="2"/>
        <v>96478.966770117913</v>
      </c>
      <c r="J75">
        <f t="shared" si="1"/>
        <v>-7.2592715861101169</v>
      </c>
    </row>
    <row r="76" spans="1:10">
      <c r="A76" s="1">
        <v>45575</v>
      </c>
      <c r="B76">
        <f>(3/(1+('CurrentPor-LH=20 unchanged'!C76)/100)+103/POWER(1+('CurrentPor-LH=20 unchanged'!D76)/100,2))*100</f>
        <v>9707.5857774288397</v>
      </c>
      <c r="C76">
        <f>(3/(1+('CurrentPor-LH=20 unchanged'!C76+'CurrentPor-LH=20 unchanged'!G76)/100)+103/POWER(1+('CurrentPor-LH=20 unchanged'!D76+'CurrentPor-LH=20 unchanged'!G76)/100,2))*100</f>
        <v>9614.9673582483465</v>
      </c>
      <c r="D76">
        <f>(3/(1+('CurrentPor-LH=20 unchanged'!C76+'CurrentPor-LH=20 unchanged'!H76)/100)+103/POWER(1+('CurrentPor-LH=20 unchanged'!D76+'CurrentPor-LH=20 unchanged'!H76)/100,2))*100</f>
        <v>9617.4153814204346</v>
      </c>
      <c r="E76">
        <f>(3/(1+('CurrentPor-LH=20 unchanged'!C76+'CurrentPor-LH=20 unchanged'!I76)/100)+103/POWER(1+('CurrentPor-LH=20 unchanged'!D76+'CurrentPor-LH=20 unchanged'!I76)/100,2))*100</f>
        <v>9599.9362846419954</v>
      </c>
      <c r="F76">
        <f>Portfolio!B$5*'CurrentPor-LH=20 unchanged'!E76</f>
        <v>52143.895533915893</v>
      </c>
      <c r="G76">
        <f>Portfolio!B$6*'CurrentPor-LH=20 unchanged'!F76</f>
        <v>3696.2945087936532</v>
      </c>
      <c r="H76">
        <f>Portfolio!B$7*'CurrentPor-LH=20 unchanged'!J76</f>
        <v>2148.0998964419859</v>
      </c>
      <c r="I76">
        <f t="shared" si="2"/>
        <v>96528.194740891151</v>
      </c>
      <c r="J76">
        <f t="shared" si="1"/>
        <v>51.207850862847408</v>
      </c>
    </row>
    <row r="77" spans="1:10">
      <c r="A77" s="1">
        <v>45576</v>
      </c>
      <c r="B77">
        <f>(3/(1+('CurrentPor-LH=20 unchanged'!C77)/100)+103/POWER(1+('CurrentPor-LH=20 unchanged'!D77)/100,2))*100</f>
        <v>9707.5857774288397</v>
      </c>
      <c r="C77">
        <f>(3/(1+('CurrentPor-LH=20 unchanged'!C77+'CurrentPor-LH=20 unchanged'!G77)/100)+103/POWER(1+('CurrentPor-LH=20 unchanged'!D77+'CurrentPor-LH=20 unchanged'!G77)/100,2))*100</f>
        <v>9614.9673582483465</v>
      </c>
      <c r="D77">
        <f>(3/(1+('CurrentPor-LH=20 unchanged'!C77+'CurrentPor-LH=20 unchanged'!H77)/100)+103/POWER(1+('CurrentPor-LH=20 unchanged'!D77+'CurrentPor-LH=20 unchanged'!H77)/100,2))*100</f>
        <v>9597.5935991703373</v>
      </c>
      <c r="E77">
        <f>(3/(1+('CurrentPor-LH=20 unchanged'!C77+'CurrentPor-LH=20 unchanged'!I77)/100)+103/POWER(1+('CurrentPor-LH=20 unchanged'!D77+'CurrentPor-LH=20 unchanged'!I77)/100,2))*100</f>
        <v>9577.6654859941282</v>
      </c>
      <c r="F77">
        <f>Portfolio!B$5*'CurrentPor-LH=20 unchanged'!E77</f>
        <v>52143.895533915893</v>
      </c>
      <c r="G77">
        <f>Portfolio!B$6*'CurrentPor-LH=20 unchanged'!F77</f>
        <v>3696.2945087936532</v>
      </c>
      <c r="H77">
        <f>Portfolio!B$7*'CurrentPor-LH=20 unchanged'!J77</f>
        <v>2148.0998964419859</v>
      </c>
      <c r="I77">
        <f t="shared" si="2"/>
        <v>96486.102159993185</v>
      </c>
      <c r="J77">
        <f t="shared" si="1"/>
        <v>3.3322823958005756</v>
      </c>
    </row>
    <row r="78" spans="1:10">
      <c r="A78" s="1">
        <v>45579</v>
      </c>
      <c r="B78">
        <f>(3/(1+('CurrentPor-LH=20 unchanged'!C78)/100)+103/POWER(1+('CurrentPor-LH=20 unchanged'!D78)/100,2))*100</f>
        <v>9707.5857774288397</v>
      </c>
      <c r="C78">
        <f>(3/(1+('CurrentPor-LH=20 unchanged'!C78+'CurrentPor-LH=20 unchanged'!G78)/100)+103/POWER(1+('CurrentPor-LH=20 unchanged'!D78+'CurrentPor-LH=20 unchanged'!G78)/100,2))*100</f>
        <v>9614.9673582483465</v>
      </c>
      <c r="D78">
        <f>(3/(1+('CurrentPor-LH=20 unchanged'!C78+'CurrentPor-LH=20 unchanged'!H78)/100)+103/POWER(1+('CurrentPor-LH=20 unchanged'!D78+'CurrentPor-LH=20 unchanged'!H78)/100,2))*100</f>
        <v>9592.8800982188186</v>
      </c>
      <c r="E78">
        <f>(3/(1+('CurrentPor-LH=20 unchanged'!C78+'CurrentPor-LH=20 unchanged'!I78)/100)+103/POWER(1+('CurrentPor-LH=20 unchanged'!D78+'CurrentPor-LH=20 unchanged'!I78)/100,2))*100</f>
        <v>9608.5599751931422</v>
      </c>
      <c r="F78">
        <f>Portfolio!B$5*'CurrentPor-LH=20 unchanged'!E78</f>
        <v>52143.895533915893</v>
      </c>
      <c r="G78">
        <f>Portfolio!B$6*'CurrentPor-LH=20 unchanged'!F78</f>
        <v>3696.2945087936532</v>
      </c>
      <c r="H78">
        <f>Portfolio!B$7*'CurrentPor-LH=20 unchanged'!J78</f>
        <v>2148.0998964419859</v>
      </c>
      <c r="I78">
        <f t="shared" si="2"/>
        <v>96512.283148240676</v>
      </c>
      <c r="J78">
        <f t="shared" ref="J78:J141" si="3">I78-I68</f>
        <v>20.838792839451344</v>
      </c>
    </row>
    <row r="79" spans="1:10">
      <c r="A79" s="1">
        <v>45580</v>
      </c>
      <c r="B79">
        <f>(3/(1+('CurrentPor-LH=20 unchanged'!C79)/100)+103/POWER(1+('CurrentPor-LH=20 unchanged'!D79)/100,2))*100</f>
        <v>9707.5857774288397</v>
      </c>
      <c r="C79">
        <f>(3/(1+('CurrentPor-LH=20 unchanged'!C79+'CurrentPor-LH=20 unchanged'!G79)/100)+103/POWER(1+('CurrentPor-LH=20 unchanged'!D79+'CurrentPor-LH=20 unchanged'!G79)/100,2))*100</f>
        <v>9614.9673582483465</v>
      </c>
      <c r="D79">
        <f>(3/(1+('CurrentPor-LH=20 unchanged'!C79+'CurrentPor-LH=20 unchanged'!H79)/100)+103/POWER(1+('CurrentPor-LH=20 unchanged'!D79+'CurrentPor-LH=20 unchanged'!H79)/100,2))*100</f>
        <v>9613.6355516047024</v>
      </c>
      <c r="E79">
        <f>(3/(1+('CurrentPor-LH=20 unchanged'!C79+'CurrentPor-LH=20 unchanged'!I79)/100)+103/POWER(1+('CurrentPor-LH=20 unchanged'!D79+'CurrentPor-LH=20 unchanged'!I79)/100,2))*100</f>
        <v>9610.9437735107349</v>
      </c>
      <c r="F79">
        <f>Portfolio!B$5*'CurrentPor-LH=20 unchanged'!E79</f>
        <v>52143.895533915893</v>
      </c>
      <c r="G79">
        <f>Portfolio!B$6*'CurrentPor-LH=20 unchanged'!F79</f>
        <v>3696.2945087936532</v>
      </c>
      <c r="H79">
        <f>Portfolio!B$7*'CurrentPor-LH=20 unchanged'!J79</f>
        <v>2148.0998964419859</v>
      </c>
      <c r="I79">
        <f t="shared" si="2"/>
        <v>96535.422399944146</v>
      </c>
      <c r="J79">
        <f t="shared" si="3"/>
        <v>62.331858509161975</v>
      </c>
    </row>
    <row r="80" spans="1:10">
      <c r="A80" s="1">
        <v>45581</v>
      </c>
      <c r="B80">
        <f>(3/(1+('CurrentPor-LH=20 unchanged'!C80)/100)+103/POWER(1+('CurrentPor-LH=20 unchanged'!D80)/100,2))*100</f>
        <v>9707.5857774288397</v>
      </c>
      <c r="C80">
        <f>(3/(1+('CurrentPor-LH=20 unchanged'!C80+'CurrentPor-LH=20 unchanged'!G80)/100)+103/POWER(1+('CurrentPor-LH=20 unchanged'!D80+'CurrentPor-LH=20 unchanged'!G80)/100,2))*100</f>
        <v>9614.9673582483465</v>
      </c>
      <c r="D80">
        <f>(3/(1+('CurrentPor-LH=20 unchanged'!C80+'CurrentPor-LH=20 unchanged'!H80)/100)+103/POWER(1+('CurrentPor-LH=20 unchanged'!D80+'CurrentPor-LH=20 unchanged'!H80)/100,2))*100</f>
        <v>9591.7697173829238</v>
      </c>
      <c r="E80">
        <f>(3/(1+('CurrentPor-LH=20 unchanged'!C80+'CurrentPor-LH=20 unchanged'!I80)/100)+103/POWER(1+('CurrentPor-LH=20 unchanged'!D80+'CurrentPor-LH=20 unchanged'!I80)/100,2))*100</f>
        <v>9583.899931588714</v>
      </c>
      <c r="F80">
        <f>Portfolio!B$5*'CurrentPor-LH=20 unchanged'!E80</f>
        <v>52143.895533915893</v>
      </c>
      <c r="G80">
        <f>Portfolio!B$6*'CurrentPor-LH=20 unchanged'!F80</f>
        <v>3696.2945087936532</v>
      </c>
      <c r="H80">
        <f>Portfolio!B$7*'CurrentPor-LH=20 unchanged'!J80</f>
        <v>2148.0998964419859</v>
      </c>
      <c r="I80">
        <f t="shared" si="2"/>
        <v>96486.512723800362</v>
      </c>
      <c r="J80">
        <f t="shared" si="3"/>
        <v>6.73036843247246</v>
      </c>
    </row>
    <row r="81" spans="1:10">
      <c r="A81" s="1">
        <v>45582</v>
      </c>
      <c r="B81">
        <f>(3/(1+('CurrentPor-LH=20 unchanged'!C81)/100)+103/POWER(1+('CurrentPor-LH=20 unchanged'!D81)/100,2))*100</f>
        <v>9707.5857774288397</v>
      </c>
      <c r="C81">
        <f>(3/(1+('CurrentPor-LH=20 unchanged'!C81+'CurrentPor-LH=20 unchanged'!G81)/100)+103/POWER(1+('CurrentPor-LH=20 unchanged'!D81+'CurrentPor-LH=20 unchanged'!G81)/100,2))*100</f>
        <v>9614.9673582483465</v>
      </c>
      <c r="D81">
        <f>(3/(1+('CurrentPor-LH=20 unchanged'!C81+'CurrentPor-LH=20 unchanged'!H81)/100)+103/POWER(1+('CurrentPor-LH=20 unchanged'!D81+'CurrentPor-LH=20 unchanged'!H81)/100,2))*100</f>
        <v>9607.5592309153362</v>
      </c>
      <c r="E81">
        <f>(3/(1+('CurrentPor-LH=20 unchanged'!C81+'CurrentPor-LH=20 unchanged'!I81)/100)+103/POWER(1+('CurrentPor-LH=20 unchanged'!D81+'CurrentPor-LH=20 unchanged'!I81)/100,2))*100</f>
        <v>9598.6686696571305</v>
      </c>
      <c r="F81">
        <f>Portfolio!B$5*'CurrentPor-LH=20 unchanged'!E81</f>
        <v>52143.895533915893</v>
      </c>
      <c r="G81">
        <f>Portfolio!B$6*'CurrentPor-LH=20 unchanged'!F81</f>
        <v>3696.2945087936532</v>
      </c>
      <c r="H81">
        <f>Portfolio!B$7*'CurrentPor-LH=20 unchanged'!J81</f>
        <v>2148.0998964419859</v>
      </c>
      <c r="I81">
        <f t="shared" si="2"/>
        <v>96517.070975401191</v>
      </c>
      <c r="J81">
        <f t="shared" si="3"/>
        <v>41.429944630319369</v>
      </c>
    </row>
    <row r="82" spans="1:10">
      <c r="A82" s="1">
        <v>45583</v>
      </c>
      <c r="B82">
        <f>(3/(1+('CurrentPor-LH=20 unchanged'!C82)/100)+103/POWER(1+('CurrentPor-LH=20 unchanged'!D82)/100,2))*100</f>
        <v>9707.5857774288397</v>
      </c>
      <c r="C82">
        <f>(3/(1+('CurrentPor-LH=20 unchanged'!C82+'CurrentPor-LH=20 unchanged'!G82)/100)+103/POWER(1+('CurrentPor-LH=20 unchanged'!D82+'CurrentPor-LH=20 unchanged'!G82)/100,2))*100</f>
        <v>9614.9673582483465</v>
      </c>
      <c r="D82">
        <f>(3/(1+('CurrentPor-LH=20 unchanged'!C82+'CurrentPor-LH=20 unchanged'!H82)/100)+103/POWER(1+('CurrentPor-LH=20 unchanged'!D82+'CurrentPor-LH=20 unchanged'!H82)/100,2))*100</f>
        <v>9586.7265369157685</v>
      </c>
      <c r="E82">
        <f>(3/(1+('CurrentPor-LH=20 unchanged'!C82+'CurrentPor-LH=20 unchanged'!I82)/100)+103/POWER(1+('CurrentPor-LH=20 unchanged'!D82+'CurrentPor-LH=20 unchanged'!I82)/100,2))*100</f>
        <v>9573.5620619680776</v>
      </c>
      <c r="F82">
        <f>Portfolio!B$5*'CurrentPor-LH=20 unchanged'!E82</f>
        <v>52143.895533915893</v>
      </c>
      <c r="G82">
        <f>Portfolio!B$6*'CurrentPor-LH=20 unchanged'!F82</f>
        <v>3696.2945087936532</v>
      </c>
      <c r="H82">
        <f>Portfolio!B$7*'CurrentPor-LH=20 unchanged'!J82</f>
        <v>2148.0998964419859</v>
      </c>
      <c r="I82">
        <f t="shared" si="2"/>
        <v>96471.13167371256</v>
      </c>
      <c r="J82">
        <f t="shared" si="3"/>
        <v>-19.819167607041891</v>
      </c>
    </row>
    <row r="83" spans="1:10">
      <c r="A83" s="1">
        <v>45586</v>
      </c>
      <c r="B83">
        <f>(3/(1+('CurrentPor-LH=20 unchanged'!C83)/100)+103/POWER(1+('CurrentPor-LH=20 unchanged'!D83)/100,2))*100</f>
        <v>9707.5857774288397</v>
      </c>
      <c r="C83">
        <f>(3/(1+('CurrentPor-LH=20 unchanged'!C83+'CurrentPor-LH=20 unchanged'!G83)/100)+103/POWER(1+('CurrentPor-LH=20 unchanged'!D83+'CurrentPor-LH=20 unchanged'!G83)/100,2))*100</f>
        <v>9614.9673582483465</v>
      </c>
      <c r="D83">
        <f>(3/(1+('CurrentPor-LH=20 unchanged'!C83+'CurrentPor-LH=20 unchanged'!H83)/100)+103/POWER(1+('CurrentPor-LH=20 unchanged'!D83+'CurrentPor-LH=20 unchanged'!H83)/100,2))*100</f>
        <v>9596.1795222532473</v>
      </c>
      <c r="E83">
        <f>(3/(1+('CurrentPor-LH=20 unchanged'!C83+'CurrentPor-LH=20 unchanged'!I83)/100)+103/POWER(1+('CurrentPor-LH=20 unchanged'!D83+'CurrentPor-LH=20 unchanged'!I83)/100,2))*100</f>
        <v>9593.9055291896784</v>
      </c>
      <c r="F83">
        <f>Portfolio!B$5*'CurrentPor-LH=20 unchanged'!E83</f>
        <v>52143.895533915893</v>
      </c>
      <c r="G83">
        <f>Portfolio!B$6*'CurrentPor-LH=20 unchanged'!F83</f>
        <v>3696.2945087936532</v>
      </c>
      <c r="H83">
        <f>Portfolio!B$7*'CurrentPor-LH=20 unchanged'!J83</f>
        <v>2148.0998964419859</v>
      </c>
      <c r="I83">
        <f t="shared" si="2"/>
        <v>96500.928126271654</v>
      </c>
      <c r="J83">
        <f t="shared" si="3"/>
        <v>-13.246759288740577</v>
      </c>
    </row>
    <row r="84" spans="1:10">
      <c r="A84" s="1">
        <v>45587</v>
      </c>
      <c r="B84">
        <f>(3/(1+('CurrentPor-LH=20 unchanged'!C84)/100)+103/POWER(1+('CurrentPor-LH=20 unchanged'!D84)/100,2))*100</f>
        <v>9707.5857774288397</v>
      </c>
      <c r="C84">
        <f>(3/(1+('CurrentPor-LH=20 unchanged'!C84+'CurrentPor-LH=20 unchanged'!G84)/100)+103/POWER(1+('CurrentPor-LH=20 unchanged'!D84+'CurrentPor-LH=20 unchanged'!G84)/100,2))*100</f>
        <v>9614.9673582483465</v>
      </c>
      <c r="D84">
        <f>(3/(1+('CurrentPor-LH=20 unchanged'!C84+'CurrentPor-LH=20 unchanged'!H84)/100)+103/POWER(1+('CurrentPor-LH=20 unchanged'!D84+'CurrentPor-LH=20 unchanged'!H84)/100,2))*100</f>
        <v>9612.6398079572955</v>
      </c>
      <c r="E84">
        <f>(3/(1+('CurrentPor-LH=20 unchanged'!C84+'CurrentPor-LH=20 unchanged'!I84)/100)+103/POWER(1+('CurrentPor-LH=20 unchanged'!D84+'CurrentPor-LH=20 unchanged'!I84)/100,2))*100</f>
        <v>9589.3089214860483</v>
      </c>
      <c r="F84">
        <f>Portfolio!B$5*'CurrentPor-LH=20 unchanged'!E84</f>
        <v>52143.895533915893</v>
      </c>
      <c r="G84">
        <f>Portfolio!B$6*'CurrentPor-LH=20 unchanged'!F84</f>
        <v>3696.2945087936532</v>
      </c>
      <c r="H84">
        <f>Portfolio!B$7*'CurrentPor-LH=20 unchanged'!J84</f>
        <v>2148.0998964419859</v>
      </c>
      <c r="I84">
        <f t="shared" si="2"/>
        <v>96512.791804272056</v>
      </c>
      <c r="J84">
        <f t="shared" si="3"/>
        <v>-8.1309997901553288</v>
      </c>
    </row>
    <row r="85" spans="1:10">
      <c r="A85" s="1">
        <v>45588</v>
      </c>
      <c r="B85">
        <f>(3/(1+('CurrentPor-LH=20 unchanged'!C85)/100)+103/POWER(1+('CurrentPor-LH=20 unchanged'!D85)/100,2))*100</f>
        <v>9707.5857774288397</v>
      </c>
      <c r="C85">
        <f>(3/(1+('CurrentPor-LH=20 unchanged'!C85+'CurrentPor-LH=20 unchanged'!G85)/100)+103/POWER(1+('CurrentPor-LH=20 unchanged'!D85+'CurrentPor-LH=20 unchanged'!G85)/100,2))*100</f>
        <v>9614.9673582483465</v>
      </c>
      <c r="D85">
        <f>(3/(1+('CurrentPor-LH=20 unchanged'!C85+'CurrentPor-LH=20 unchanged'!H85)/100)+103/POWER(1+('CurrentPor-LH=20 unchanged'!D85+'CurrentPor-LH=20 unchanged'!H85)/100,2))*100</f>
        <v>9608.8898336299826</v>
      </c>
      <c r="E85">
        <f>(3/(1+('CurrentPor-LH=20 unchanged'!C85+'CurrentPor-LH=20 unchanged'!I85)/100)+103/POWER(1+('CurrentPor-LH=20 unchanged'!D85+'CurrentPor-LH=20 unchanged'!I85)/100,2))*100</f>
        <v>9599.5126177847051</v>
      </c>
      <c r="F85">
        <f>Portfolio!B$5*'CurrentPor-LH=20 unchanged'!E85</f>
        <v>52143.895533915893</v>
      </c>
      <c r="G85">
        <f>Portfolio!B$6*'CurrentPor-LH=20 unchanged'!F85</f>
        <v>3696.2945087936532</v>
      </c>
      <c r="H85">
        <f>Portfolio!B$7*'CurrentPor-LH=20 unchanged'!J85</f>
        <v>2148.0998964419859</v>
      </c>
      <c r="I85">
        <f t="shared" si="2"/>
        <v>96519.245526243394</v>
      </c>
      <c r="J85">
        <f t="shared" si="3"/>
        <v>40.278756125480868</v>
      </c>
    </row>
    <row r="86" spans="1:10">
      <c r="A86" s="1">
        <v>45589</v>
      </c>
      <c r="B86">
        <f>(3/(1+('CurrentPor-LH=20 unchanged'!C86)/100)+103/POWER(1+('CurrentPor-LH=20 unchanged'!D86)/100,2))*100</f>
        <v>9707.5857774288397</v>
      </c>
      <c r="C86">
        <f>(3/(1+('CurrentPor-LH=20 unchanged'!C86+'CurrentPor-LH=20 unchanged'!G86)/100)+103/POWER(1+('CurrentPor-LH=20 unchanged'!D86+'CurrentPor-LH=20 unchanged'!G86)/100,2))*100</f>
        <v>9614.9673582483465</v>
      </c>
      <c r="D86">
        <f>(3/(1+('CurrentPor-LH=20 unchanged'!C86+'CurrentPor-LH=20 unchanged'!H86)/100)+103/POWER(1+('CurrentPor-LH=20 unchanged'!D86+'CurrentPor-LH=20 unchanged'!H86)/100,2))*100</f>
        <v>9602.8569600675783</v>
      </c>
      <c r="E86">
        <f>(3/(1+('CurrentPor-LH=20 unchanged'!C86+'CurrentPor-LH=20 unchanged'!I86)/100)+103/POWER(1+('CurrentPor-LH=20 unchanged'!D86+'CurrentPor-LH=20 unchanged'!I86)/100,2))*100</f>
        <v>9571.7917327662271</v>
      </c>
      <c r="F86">
        <f>Portfolio!B$5*'CurrentPor-LH=20 unchanged'!E86</f>
        <v>52143.895533915893</v>
      </c>
      <c r="G86">
        <f>Portfolio!B$6*'CurrentPor-LH=20 unchanged'!F86</f>
        <v>3696.2945087936532</v>
      </c>
      <c r="H86">
        <f>Portfolio!B$7*'CurrentPor-LH=20 unchanged'!J86</f>
        <v>2148.0998964419859</v>
      </c>
      <c r="I86">
        <f t="shared" si="2"/>
        <v>96485.491767662534</v>
      </c>
      <c r="J86">
        <f t="shared" si="3"/>
        <v>-42.702973228617338</v>
      </c>
    </row>
    <row r="87" spans="1:10">
      <c r="A87" s="1">
        <v>45590</v>
      </c>
      <c r="B87">
        <f>(3/(1+('CurrentPor-LH=20 unchanged'!C87)/100)+103/POWER(1+('CurrentPor-LH=20 unchanged'!D87)/100,2))*100</f>
        <v>9707.5857774288397</v>
      </c>
      <c r="C87">
        <f>(3/(1+('CurrentPor-LH=20 unchanged'!C87+'CurrentPor-LH=20 unchanged'!G87)/100)+103/POWER(1+('CurrentPor-LH=20 unchanged'!D87+'CurrentPor-LH=20 unchanged'!G87)/100,2))*100</f>
        <v>9614.9673582483465</v>
      </c>
      <c r="D87">
        <f>(3/(1+('CurrentPor-LH=20 unchanged'!C87+'CurrentPor-LH=20 unchanged'!H87)/100)+103/POWER(1+('CurrentPor-LH=20 unchanged'!D87+'CurrentPor-LH=20 unchanged'!H87)/100,2))*100</f>
        <v>9607.5632202900943</v>
      </c>
      <c r="E87">
        <f>(3/(1+('CurrentPor-LH=20 unchanged'!C87+'CurrentPor-LH=20 unchanged'!I87)/100)+103/POWER(1+('CurrentPor-LH=20 unchanged'!D87+'CurrentPor-LH=20 unchanged'!I87)/100,2))*100</f>
        <v>9602.517451559308</v>
      </c>
      <c r="F87">
        <f>Portfolio!B$5*'CurrentPor-LH=20 unchanged'!E87</f>
        <v>52143.895533915893</v>
      </c>
      <c r="G87">
        <f>Portfolio!B$6*'CurrentPor-LH=20 unchanged'!F87</f>
        <v>3696.2945087936532</v>
      </c>
      <c r="H87">
        <f>Portfolio!B$7*'CurrentPor-LH=20 unchanged'!J87</f>
        <v>2148.0998964419859</v>
      </c>
      <c r="I87">
        <f t="shared" si="2"/>
        <v>96520.92374667812</v>
      </c>
      <c r="J87">
        <f t="shared" si="3"/>
        <v>34.821586684935028</v>
      </c>
    </row>
    <row r="88" spans="1:10">
      <c r="A88" s="1">
        <v>45593</v>
      </c>
      <c r="B88">
        <f>(3/(1+('CurrentPor-LH=20 unchanged'!C88)/100)+103/POWER(1+('CurrentPor-LH=20 unchanged'!D88)/100,2))*100</f>
        <v>9707.5857774288397</v>
      </c>
      <c r="C88">
        <f>(3/(1+('CurrentPor-LH=20 unchanged'!C88+'CurrentPor-LH=20 unchanged'!G88)/100)+103/POWER(1+('CurrentPor-LH=20 unchanged'!D88+'CurrentPor-LH=20 unchanged'!G88)/100,2))*100</f>
        <v>9614.9673582483465</v>
      </c>
      <c r="D88">
        <f>(3/(1+('CurrentPor-LH=20 unchanged'!C88+'CurrentPor-LH=20 unchanged'!H88)/100)+103/POWER(1+('CurrentPor-LH=20 unchanged'!D88+'CurrentPor-LH=20 unchanged'!H88)/100,2))*100</f>
        <v>9588.4316264247045</v>
      </c>
      <c r="E88">
        <f>(3/(1+('CurrentPor-LH=20 unchanged'!C88+'CurrentPor-LH=20 unchanged'!I88)/100)+103/POWER(1+('CurrentPor-LH=20 unchanged'!D88+'CurrentPor-LH=20 unchanged'!I88)/100,2))*100</f>
        <v>9592.3209632982744</v>
      </c>
      <c r="F88">
        <f>Portfolio!B$5*'CurrentPor-LH=20 unchanged'!E88</f>
        <v>52143.895533915893</v>
      </c>
      <c r="G88">
        <f>Portfolio!B$6*'CurrentPor-LH=20 unchanged'!F88</f>
        <v>3696.2945087936532</v>
      </c>
      <c r="H88">
        <f>Portfolio!B$7*'CurrentPor-LH=20 unchanged'!J88</f>
        <v>2148.0998964419859</v>
      </c>
      <c r="I88">
        <f t="shared" si="2"/>
        <v>96491.5956645517</v>
      </c>
      <c r="J88">
        <f t="shared" si="3"/>
        <v>-20.687483688976499</v>
      </c>
    </row>
    <row r="89" spans="1:10">
      <c r="A89" s="1">
        <v>45594</v>
      </c>
      <c r="B89">
        <f>(3/(1+('CurrentPor-LH=20 unchanged'!C89)/100)+103/POWER(1+('CurrentPor-LH=20 unchanged'!D89)/100,2))*100</f>
        <v>9707.5857774288397</v>
      </c>
      <c r="C89">
        <f>(3/(1+('CurrentPor-LH=20 unchanged'!C89+'CurrentPor-LH=20 unchanged'!G89)/100)+103/POWER(1+('CurrentPor-LH=20 unchanged'!D89+'CurrentPor-LH=20 unchanged'!G89)/100,2))*100</f>
        <v>9614.9673582483465</v>
      </c>
      <c r="D89">
        <f>(3/(1+('CurrentPor-LH=20 unchanged'!C89+'CurrentPor-LH=20 unchanged'!H89)/100)+103/POWER(1+('CurrentPor-LH=20 unchanged'!D89+'CurrentPor-LH=20 unchanged'!H89)/100,2))*100</f>
        <v>9603.1810738209624</v>
      </c>
      <c r="E89">
        <f>(3/(1+('CurrentPor-LH=20 unchanged'!C89+'CurrentPor-LH=20 unchanged'!I89)/100)+103/POWER(1+('CurrentPor-LH=20 unchanged'!D89+'CurrentPor-LH=20 unchanged'!I89)/100,2))*100</f>
        <v>9581.8921818048839</v>
      </c>
      <c r="F89">
        <f>Portfolio!B$5*'CurrentPor-LH=20 unchanged'!E89</f>
        <v>52143.895533915893</v>
      </c>
      <c r="G89">
        <f>Portfolio!B$6*'CurrentPor-LH=20 unchanged'!F89</f>
        <v>3696.2945087936532</v>
      </c>
      <c r="H89">
        <f>Portfolio!B$7*'CurrentPor-LH=20 unchanged'!J89</f>
        <v>2148.0998964419859</v>
      </c>
      <c r="I89">
        <f t="shared" si="2"/>
        <v>96495.916330454565</v>
      </c>
      <c r="J89">
        <f t="shared" si="3"/>
        <v>-39.506069489580113</v>
      </c>
    </row>
    <row r="90" spans="1:10">
      <c r="A90" s="1">
        <v>45595</v>
      </c>
      <c r="B90">
        <f>(3/(1+('CurrentPor-LH=20 unchanged'!C90)/100)+103/POWER(1+('CurrentPor-LH=20 unchanged'!D90)/100,2))*100</f>
        <v>9707.5857774288397</v>
      </c>
      <c r="C90">
        <f>(3/(1+('CurrentPor-LH=20 unchanged'!C90+'CurrentPor-LH=20 unchanged'!G90)/100)+103/POWER(1+('CurrentPor-LH=20 unchanged'!D90+'CurrentPor-LH=20 unchanged'!G90)/100,2))*100</f>
        <v>9614.9673582483465</v>
      </c>
      <c r="D90">
        <f>(3/(1+('CurrentPor-LH=20 unchanged'!C90+'CurrentPor-LH=20 unchanged'!H90)/100)+103/POWER(1+('CurrentPor-LH=20 unchanged'!D90+'CurrentPor-LH=20 unchanged'!H90)/100,2))*100</f>
        <v>9591.7648757111601</v>
      </c>
      <c r="E90">
        <f>(3/(1+('CurrentPor-LH=20 unchanged'!C90+'CurrentPor-LH=20 unchanged'!I90)/100)+103/POWER(1+('CurrentPor-LH=20 unchanged'!D90+'CurrentPor-LH=20 unchanged'!I90)/100,2))*100</f>
        <v>9586.1211114799935</v>
      </c>
      <c r="F90">
        <f>Portfolio!B$5*'CurrentPor-LH=20 unchanged'!E90</f>
        <v>52143.895533915893</v>
      </c>
      <c r="G90">
        <f>Portfolio!B$6*'CurrentPor-LH=20 unchanged'!F90</f>
        <v>3696.2945087936532</v>
      </c>
      <c r="H90">
        <f>Portfolio!B$7*'CurrentPor-LH=20 unchanged'!J90</f>
        <v>2148.0998964419859</v>
      </c>
      <c r="I90">
        <f t="shared" si="2"/>
        <v>96488.729062019862</v>
      </c>
      <c r="J90">
        <f t="shared" si="3"/>
        <v>2.2163382194994483</v>
      </c>
    </row>
    <row r="91" spans="1:10">
      <c r="A91" s="1">
        <v>45596</v>
      </c>
      <c r="B91">
        <f>(3/(1+('CurrentPor-LH=20 unchanged'!C91)/100)+103/POWER(1+('CurrentPor-LH=20 unchanged'!D91)/100,2))*100</f>
        <v>9707.5857774288397</v>
      </c>
      <c r="C91">
        <f>(3/(1+('CurrentPor-LH=20 unchanged'!C91+'CurrentPor-LH=20 unchanged'!G91)/100)+103/POWER(1+('CurrentPor-LH=20 unchanged'!D91+'CurrentPor-LH=20 unchanged'!G91)/100,2))*100</f>
        <v>9614.9673582483465</v>
      </c>
      <c r="D91">
        <f>(3/(1+('CurrentPor-LH=20 unchanged'!C91+'CurrentPor-LH=20 unchanged'!H91)/100)+103/POWER(1+('CurrentPor-LH=20 unchanged'!D91+'CurrentPor-LH=20 unchanged'!H91)/100,2))*100</f>
        <v>9591.4161514737589</v>
      </c>
      <c r="E91">
        <f>(3/(1+('CurrentPor-LH=20 unchanged'!C91+'CurrentPor-LH=20 unchanged'!I91)/100)+103/POWER(1+('CurrentPor-LH=20 unchanged'!D91+'CurrentPor-LH=20 unchanged'!I91)/100,2))*100</f>
        <v>9599.5129699269582</v>
      </c>
      <c r="F91">
        <f>Portfolio!B$5*'CurrentPor-LH=20 unchanged'!E91</f>
        <v>52143.895533915893</v>
      </c>
      <c r="G91">
        <f>Portfolio!B$6*'CurrentPor-LH=20 unchanged'!F91</f>
        <v>3696.2945087936532</v>
      </c>
      <c r="H91">
        <f>Portfolio!B$7*'CurrentPor-LH=20 unchanged'!J91</f>
        <v>2148.0998964419859</v>
      </c>
      <c r="I91">
        <f t="shared" si="2"/>
        <v>96501.772196229445</v>
      </c>
      <c r="J91">
        <f t="shared" si="3"/>
        <v>-15.298779171745991</v>
      </c>
    </row>
    <row r="92" spans="1:10">
      <c r="A92" s="1">
        <v>45597</v>
      </c>
      <c r="B92">
        <f>(3/(1+('CurrentPor-LH=20 unchanged'!C92)/100)+103/POWER(1+('CurrentPor-LH=20 unchanged'!D92)/100,2))*100</f>
        <v>9707.5857774288397</v>
      </c>
      <c r="C92">
        <f>(3/(1+('CurrentPor-LH=20 unchanged'!C92+'CurrentPor-LH=20 unchanged'!G92)/100)+103/POWER(1+('CurrentPor-LH=20 unchanged'!D92+'CurrentPor-LH=20 unchanged'!G92)/100,2))*100</f>
        <v>9614.9673582483465</v>
      </c>
      <c r="D92">
        <f>(3/(1+('CurrentPor-LH=20 unchanged'!C92+'CurrentPor-LH=20 unchanged'!H92)/100)+103/POWER(1+('CurrentPor-LH=20 unchanged'!D92+'CurrentPor-LH=20 unchanged'!H92)/100,2))*100</f>
        <v>9610.5766361259375</v>
      </c>
      <c r="E92">
        <f>(3/(1+('CurrentPor-LH=20 unchanged'!C92+'CurrentPor-LH=20 unchanged'!I92)/100)+103/POWER(1+('CurrentPor-LH=20 unchanged'!D92+'CurrentPor-LH=20 unchanged'!I92)/100,2))*100</f>
        <v>9579.8982780011102</v>
      </c>
      <c r="F92">
        <f>Portfolio!B$5*'CurrentPor-LH=20 unchanged'!E92</f>
        <v>52143.895533915893</v>
      </c>
      <c r="G92">
        <f>Portfolio!B$6*'CurrentPor-LH=20 unchanged'!F92</f>
        <v>3696.2945087936532</v>
      </c>
      <c r="H92">
        <f>Portfolio!B$7*'CurrentPor-LH=20 unchanged'!J92</f>
        <v>2148.0998964419859</v>
      </c>
      <c r="I92">
        <f t="shared" si="2"/>
        <v>96501.317988955765</v>
      </c>
      <c r="J92">
        <f t="shared" si="3"/>
        <v>30.186315243205172</v>
      </c>
    </row>
    <row r="93" spans="1:10">
      <c r="A93" s="1">
        <v>45600</v>
      </c>
      <c r="B93">
        <f>(3/(1+('CurrentPor-LH=20 unchanged'!C93)/100)+103/POWER(1+('CurrentPor-LH=20 unchanged'!D93)/100,2))*100</f>
        <v>9707.5857774288397</v>
      </c>
      <c r="C93">
        <f>(3/(1+('CurrentPor-LH=20 unchanged'!C93+'CurrentPor-LH=20 unchanged'!G93)/100)+103/POWER(1+('CurrentPor-LH=20 unchanged'!D93+'CurrentPor-LH=20 unchanged'!G93)/100,2))*100</f>
        <v>9614.9673582483465</v>
      </c>
      <c r="D93">
        <f>(3/(1+('CurrentPor-LH=20 unchanged'!C93+'CurrentPor-LH=20 unchanged'!H93)/100)+103/POWER(1+('CurrentPor-LH=20 unchanged'!D93+'CurrentPor-LH=20 unchanged'!H93)/100,2))*100</f>
        <v>9579.5431139565317</v>
      </c>
      <c r="E93">
        <f>(3/(1+('CurrentPor-LH=20 unchanged'!C93+'CurrentPor-LH=20 unchanged'!I93)/100)+103/POWER(1+('CurrentPor-LH=20 unchanged'!D93+'CurrentPor-LH=20 unchanged'!I93)/100,2))*100</f>
        <v>9577.8356467337617</v>
      </c>
      <c r="F93">
        <f>Portfolio!B$5*'CurrentPor-LH=20 unchanged'!E93</f>
        <v>52143.895533915893</v>
      </c>
      <c r="G93">
        <f>Portfolio!B$6*'CurrentPor-LH=20 unchanged'!F93</f>
        <v>3696.2945087936532</v>
      </c>
      <c r="H93">
        <f>Portfolio!B$7*'CurrentPor-LH=20 unchanged'!J93</f>
        <v>2148.0998964419859</v>
      </c>
      <c r="I93">
        <f t="shared" si="2"/>
        <v>96468.221835518998</v>
      </c>
      <c r="J93">
        <f t="shared" si="3"/>
        <v>-32.706290752656059</v>
      </c>
    </row>
    <row r="94" spans="1:10">
      <c r="A94" s="1">
        <v>45601</v>
      </c>
      <c r="B94">
        <f>(3/(1+('CurrentPor-LH=20 unchanged'!C94)/100)+103/POWER(1+('CurrentPor-LH=20 unchanged'!D94)/100,2))*100</f>
        <v>9707.5857774288397</v>
      </c>
      <c r="C94">
        <f>(3/(1+('CurrentPor-LH=20 unchanged'!C94+'CurrentPor-LH=20 unchanged'!G94)/100)+103/POWER(1+('CurrentPor-LH=20 unchanged'!D94+'CurrentPor-LH=20 unchanged'!G94)/100,2))*100</f>
        <v>9614.9673582483465</v>
      </c>
      <c r="D94">
        <f>(3/(1+('CurrentPor-LH=20 unchanged'!C94+'CurrentPor-LH=20 unchanged'!H94)/100)+103/POWER(1+('CurrentPor-LH=20 unchanged'!D94+'CurrentPor-LH=20 unchanged'!H94)/100,2))*100</f>
        <v>9593.4968826880904</v>
      </c>
      <c r="E94">
        <f>(3/(1+('CurrentPor-LH=20 unchanged'!C94+'CurrentPor-LH=20 unchanged'!I94)/100)+103/POWER(1+('CurrentPor-LH=20 unchanged'!D94+'CurrentPor-LH=20 unchanged'!I94)/100,2))*100</f>
        <v>9605.1454821940897</v>
      </c>
      <c r="F94">
        <f>Portfolio!B$5*'CurrentPor-LH=20 unchanged'!E94</f>
        <v>52143.895533915893</v>
      </c>
      <c r="G94">
        <f>Portfolio!B$6*'CurrentPor-LH=20 unchanged'!F94</f>
        <v>3696.2945087936532</v>
      </c>
      <c r="H94">
        <f>Portfolio!B$7*'CurrentPor-LH=20 unchanged'!J94</f>
        <v>2148.0998964419859</v>
      </c>
      <c r="I94">
        <f t="shared" si="2"/>
        <v>96509.485439710887</v>
      </c>
      <c r="J94">
        <f t="shared" si="3"/>
        <v>-3.3063645611691754</v>
      </c>
    </row>
    <row r="95" spans="1:10">
      <c r="A95" s="1">
        <v>45602</v>
      </c>
      <c r="B95">
        <f>(3/(1+('CurrentPor-LH=20 unchanged'!C95)/100)+103/POWER(1+('CurrentPor-LH=20 unchanged'!D95)/100,2))*100</f>
        <v>9707.5857774288397</v>
      </c>
      <c r="C95">
        <f>(3/(1+('CurrentPor-LH=20 unchanged'!C95+'CurrentPor-LH=20 unchanged'!G95)/100)+103/POWER(1+('CurrentPor-LH=20 unchanged'!D95+'CurrentPor-LH=20 unchanged'!G95)/100,2))*100</f>
        <v>9614.9673582483465</v>
      </c>
      <c r="D95">
        <f>(3/(1+('CurrentPor-LH=20 unchanged'!C95+'CurrentPor-LH=20 unchanged'!H95)/100)+103/POWER(1+('CurrentPor-LH=20 unchanged'!D95+'CurrentPor-LH=20 unchanged'!H95)/100,2))*100</f>
        <v>9591.3513134122859</v>
      </c>
      <c r="E95">
        <f>(3/(1+('CurrentPor-LH=20 unchanged'!C95+'CurrentPor-LH=20 unchanged'!I95)/100)+103/POWER(1+('CurrentPor-LH=20 unchanged'!D95+'CurrentPor-LH=20 unchanged'!I95)/100,2))*100</f>
        <v>9595.0505016242132</v>
      </c>
      <c r="F95">
        <f>Portfolio!B$5*'CurrentPor-LH=20 unchanged'!E95</f>
        <v>52143.895533915893</v>
      </c>
      <c r="G95">
        <f>Portfolio!B$6*'CurrentPor-LH=20 unchanged'!F95</f>
        <v>3696.2945087936532</v>
      </c>
      <c r="H95">
        <f>Portfolio!B$7*'CurrentPor-LH=20 unchanged'!J95</f>
        <v>2148.0998964419859</v>
      </c>
      <c r="I95">
        <f t="shared" si="2"/>
        <v>96497.244889865207</v>
      </c>
      <c r="J95">
        <f t="shared" si="3"/>
        <v>-22.000636378186755</v>
      </c>
    </row>
    <row r="96" spans="1:10">
      <c r="A96" s="1">
        <v>45603</v>
      </c>
      <c r="B96">
        <f>(3/(1+('CurrentPor-LH=20 unchanged'!C96)/100)+103/POWER(1+('CurrentPor-LH=20 unchanged'!D96)/100,2))*100</f>
        <v>9707.5857774288397</v>
      </c>
      <c r="C96">
        <f>(3/(1+('CurrentPor-LH=20 unchanged'!C96+'CurrentPor-LH=20 unchanged'!G96)/100)+103/POWER(1+('CurrentPor-LH=20 unchanged'!D96+'CurrentPor-LH=20 unchanged'!G96)/100,2))*100</f>
        <v>9614.9673582483465</v>
      </c>
      <c r="D96">
        <f>(3/(1+('CurrentPor-LH=20 unchanged'!C96+'CurrentPor-LH=20 unchanged'!H96)/100)+103/POWER(1+('CurrentPor-LH=20 unchanged'!D96+'CurrentPor-LH=20 unchanged'!H96)/100,2))*100</f>
        <v>9593.1732145835758</v>
      </c>
      <c r="E96">
        <f>(3/(1+('CurrentPor-LH=20 unchanged'!C96+'CurrentPor-LH=20 unchanged'!I96)/100)+103/POWER(1+('CurrentPor-LH=20 unchanged'!D96+'CurrentPor-LH=20 unchanged'!I96)/100,2))*100</f>
        <v>9588.3511724056661</v>
      </c>
      <c r="F96">
        <f>Portfolio!B$5*'CurrentPor-LH=20 unchanged'!E96</f>
        <v>52143.895533915893</v>
      </c>
      <c r="G96">
        <f>Portfolio!B$6*'CurrentPor-LH=20 unchanged'!F96</f>
        <v>3696.2945087936532</v>
      </c>
      <c r="H96">
        <f>Portfolio!B$7*'CurrentPor-LH=20 unchanged'!J96</f>
        <v>2148.0998964419859</v>
      </c>
      <c r="I96">
        <f t="shared" si="2"/>
        <v>96492.367461817965</v>
      </c>
      <c r="J96">
        <f t="shared" si="3"/>
        <v>6.8756941554311197</v>
      </c>
    </row>
    <row r="97" spans="1:10">
      <c r="A97" s="1">
        <v>45604</v>
      </c>
      <c r="B97">
        <f>(3/(1+('CurrentPor-LH=20 unchanged'!C97)/100)+103/POWER(1+('CurrentPor-LH=20 unchanged'!D97)/100,2))*100</f>
        <v>9707.5857774288397</v>
      </c>
      <c r="C97">
        <f>(3/(1+('CurrentPor-LH=20 unchanged'!C97+'CurrentPor-LH=20 unchanged'!G97)/100)+103/POWER(1+('CurrentPor-LH=20 unchanged'!D97+'CurrentPor-LH=20 unchanged'!G97)/100,2))*100</f>
        <v>9614.9673582483465</v>
      </c>
      <c r="D97">
        <f>(3/(1+('CurrentPor-LH=20 unchanged'!C97+'CurrentPor-LH=20 unchanged'!H97)/100)+103/POWER(1+('CurrentPor-LH=20 unchanged'!D97+'CurrentPor-LH=20 unchanged'!H97)/100,2))*100</f>
        <v>9610.7805573542209</v>
      </c>
      <c r="E97">
        <f>(3/(1+('CurrentPor-LH=20 unchanged'!C97+'CurrentPor-LH=20 unchanged'!I97)/100)+103/POWER(1+('CurrentPor-LH=20 unchanged'!D97+'CurrentPor-LH=20 unchanged'!I97)/100,2))*100</f>
        <v>9561.623364853278</v>
      </c>
      <c r="F97">
        <f>Portfolio!B$5*'CurrentPor-LH=20 unchanged'!E97</f>
        <v>52143.895533915893</v>
      </c>
      <c r="G97">
        <f>Portfolio!B$6*'CurrentPor-LH=20 unchanged'!F97</f>
        <v>3696.2945087936532</v>
      </c>
      <c r="H97">
        <f>Portfolio!B$7*'CurrentPor-LH=20 unchanged'!J97</f>
        <v>2148.0998964419859</v>
      </c>
      <c r="I97">
        <f t="shared" si="2"/>
        <v>96483.246997036214</v>
      </c>
      <c r="J97">
        <f t="shared" si="3"/>
        <v>-37.676749641905189</v>
      </c>
    </row>
    <row r="98" spans="1:10">
      <c r="A98" s="1">
        <v>45607</v>
      </c>
      <c r="B98">
        <f>(3/(1+('CurrentPor-LH=20 unchanged'!C98)/100)+103/POWER(1+('CurrentPor-LH=20 unchanged'!D98)/100,2))*100</f>
        <v>9707.5857774288397</v>
      </c>
      <c r="C98">
        <f>(3/(1+('CurrentPor-LH=20 unchanged'!C98+'CurrentPor-LH=20 unchanged'!G98)/100)+103/POWER(1+('CurrentPor-LH=20 unchanged'!D98+'CurrentPor-LH=20 unchanged'!G98)/100,2))*100</f>
        <v>9614.9673582483465</v>
      </c>
      <c r="D98">
        <f>(3/(1+('CurrentPor-LH=20 unchanged'!C98+'CurrentPor-LH=20 unchanged'!H98)/100)+103/POWER(1+('CurrentPor-LH=20 unchanged'!D98+'CurrentPor-LH=20 unchanged'!H98)/100,2))*100</f>
        <v>9610.2106301654421</v>
      </c>
      <c r="E98">
        <f>(3/(1+('CurrentPor-LH=20 unchanged'!C98+'CurrentPor-LH=20 unchanged'!I98)/100)+103/POWER(1+('CurrentPor-LH=20 unchanged'!D98+'CurrentPor-LH=20 unchanged'!I98)/100,2))*100</f>
        <v>9587.0801806039544</v>
      </c>
      <c r="F98">
        <f>Portfolio!B$5*'CurrentPor-LH=20 unchanged'!E98</f>
        <v>52143.895533915893</v>
      </c>
      <c r="G98">
        <f>Portfolio!B$6*'CurrentPor-LH=20 unchanged'!F98</f>
        <v>3696.2945087936532</v>
      </c>
      <c r="H98">
        <f>Portfolio!B$7*'CurrentPor-LH=20 unchanged'!J98</f>
        <v>2148.0998964419859</v>
      </c>
      <c r="I98">
        <f t="shared" si="2"/>
        <v>96508.133885598116</v>
      </c>
      <c r="J98">
        <f t="shared" si="3"/>
        <v>16.538221046415856</v>
      </c>
    </row>
    <row r="99" spans="1:10">
      <c r="A99" s="1">
        <v>45608</v>
      </c>
      <c r="B99">
        <f>(3/(1+('CurrentPor-LH=20 unchanged'!C99)/100)+103/POWER(1+('CurrentPor-LH=20 unchanged'!D99)/100,2))*100</f>
        <v>9707.5857774288397</v>
      </c>
      <c r="C99">
        <f>(3/(1+('CurrentPor-LH=20 unchanged'!C99+'CurrentPor-LH=20 unchanged'!G99)/100)+103/POWER(1+('CurrentPor-LH=20 unchanged'!D99+'CurrentPor-LH=20 unchanged'!G99)/100,2))*100</f>
        <v>9614.9673582483465</v>
      </c>
      <c r="D99">
        <f>(3/(1+('CurrentPor-LH=20 unchanged'!C99+'CurrentPor-LH=20 unchanged'!H99)/100)+103/POWER(1+('CurrentPor-LH=20 unchanged'!D99+'CurrentPor-LH=20 unchanged'!H99)/100,2))*100</f>
        <v>9614.5692701824719</v>
      </c>
      <c r="E99">
        <f>(3/(1+('CurrentPor-LH=20 unchanged'!C99+'CurrentPor-LH=20 unchanged'!I99)/100)+103/POWER(1+('CurrentPor-LH=20 unchanged'!D99+'CurrentPor-LH=20 unchanged'!I99)/100,2))*100</f>
        <v>9585.4609485353194</v>
      </c>
      <c r="F99">
        <f>Portfolio!B$5*'CurrentPor-LH=20 unchanged'!E99</f>
        <v>52143.895533915893</v>
      </c>
      <c r="G99">
        <f>Portfolio!B$6*'CurrentPor-LH=20 unchanged'!F99</f>
        <v>3696.2945087936532</v>
      </c>
      <c r="H99">
        <f>Portfolio!B$7*'CurrentPor-LH=20 unchanged'!J99</f>
        <v>2148.0998964419859</v>
      </c>
      <c r="I99">
        <f t="shared" si="2"/>
        <v>96510.873293546509</v>
      </c>
      <c r="J99">
        <f t="shared" si="3"/>
        <v>14.95696309194318</v>
      </c>
    </row>
    <row r="100" spans="1:10">
      <c r="A100" s="1">
        <v>45609</v>
      </c>
      <c r="B100">
        <f>(3/(1+('CurrentPor-LH=20 unchanged'!C100)/100)+103/POWER(1+('CurrentPor-LH=20 unchanged'!D100)/100,2))*100</f>
        <v>9707.5857774288397</v>
      </c>
      <c r="C100">
        <f>(3/(1+('CurrentPor-LH=20 unchanged'!C100+'CurrentPor-LH=20 unchanged'!G100)/100)+103/POWER(1+('CurrentPor-LH=20 unchanged'!D100+'CurrentPor-LH=20 unchanged'!G100)/100,2))*100</f>
        <v>9614.9673582483465</v>
      </c>
      <c r="D100">
        <f>(3/(1+('CurrentPor-LH=20 unchanged'!C100+'CurrentPor-LH=20 unchanged'!H100)/100)+103/POWER(1+('CurrentPor-LH=20 unchanged'!D100+'CurrentPor-LH=20 unchanged'!H100)/100,2))*100</f>
        <v>9604.2740746880081</v>
      </c>
      <c r="E100">
        <f>(3/(1+('CurrentPor-LH=20 unchanged'!C100+'CurrentPor-LH=20 unchanged'!I100)/100)+103/POWER(1+('CurrentPor-LH=20 unchanged'!D100+'CurrentPor-LH=20 unchanged'!I100)/100,2))*100</f>
        <v>9589.8510847911421</v>
      </c>
      <c r="F100">
        <f>Portfolio!B$5*'CurrentPor-LH=20 unchanged'!E100</f>
        <v>52143.895533915893</v>
      </c>
      <c r="G100">
        <f>Portfolio!B$6*'CurrentPor-LH=20 unchanged'!F100</f>
        <v>3696.2945087936532</v>
      </c>
      <c r="H100">
        <f>Portfolio!B$7*'CurrentPor-LH=20 unchanged'!J100</f>
        <v>2148.0998964419859</v>
      </c>
      <c r="I100">
        <f t="shared" si="2"/>
        <v>96504.968234307875</v>
      </c>
      <c r="J100">
        <f t="shared" si="3"/>
        <v>16.239172288012924</v>
      </c>
    </row>
    <row r="101" spans="1:10">
      <c r="A101" s="1">
        <v>45610</v>
      </c>
      <c r="B101">
        <f>(3/(1+('CurrentPor-LH=20 unchanged'!C101)/100)+103/POWER(1+('CurrentPor-LH=20 unchanged'!D101)/100,2))*100</f>
        <v>9707.5857774288397</v>
      </c>
      <c r="C101">
        <f>(3/(1+('CurrentPor-LH=20 unchanged'!C101+'CurrentPor-LH=20 unchanged'!G101)/100)+103/POWER(1+('CurrentPor-LH=20 unchanged'!D101+'CurrentPor-LH=20 unchanged'!G101)/100,2))*100</f>
        <v>9614.9673582483465</v>
      </c>
      <c r="D101">
        <f>(3/(1+('CurrentPor-LH=20 unchanged'!C101+'CurrentPor-LH=20 unchanged'!H101)/100)+103/POWER(1+('CurrentPor-LH=20 unchanged'!D101+'CurrentPor-LH=20 unchanged'!H101)/100,2))*100</f>
        <v>9589.5385840026956</v>
      </c>
      <c r="E101">
        <f>(3/(1+('CurrentPor-LH=20 unchanged'!C101+'CurrentPor-LH=20 unchanged'!I101)/100)+103/POWER(1+('CurrentPor-LH=20 unchanged'!D101+'CurrentPor-LH=20 unchanged'!I101)/100,2))*100</f>
        <v>9586.0416101531191</v>
      </c>
      <c r="F101">
        <f>Portfolio!B$5*'CurrentPor-LH=20 unchanged'!E101</f>
        <v>52143.895533915893</v>
      </c>
      <c r="G101">
        <f>Portfolio!B$6*'CurrentPor-LH=20 unchanged'!F101</f>
        <v>3696.2945087936532</v>
      </c>
      <c r="H101">
        <f>Portfolio!B$7*'CurrentPor-LH=20 unchanged'!J101</f>
        <v>2148.0998964419859</v>
      </c>
      <c r="I101">
        <f t="shared" si="2"/>
        <v>96486.423268984523</v>
      </c>
      <c r="J101">
        <f t="shared" si="3"/>
        <v>-15.348927244922379</v>
      </c>
    </row>
    <row r="102" spans="1:10">
      <c r="A102" s="1">
        <v>45611</v>
      </c>
      <c r="B102">
        <f>(3/(1+('CurrentPor-LH=20 unchanged'!C102)/100)+103/POWER(1+('CurrentPor-LH=20 unchanged'!D102)/100,2))*100</f>
        <v>9707.5857774288397</v>
      </c>
      <c r="C102">
        <f>(3/(1+('CurrentPor-LH=20 unchanged'!C102+'CurrentPor-LH=20 unchanged'!G102)/100)+103/POWER(1+('CurrentPor-LH=20 unchanged'!D102+'CurrentPor-LH=20 unchanged'!G102)/100,2))*100</f>
        <v>9614.9673582483465</v>
      </c>
      <c r="D102">
        <f>(3/(1+('CurrentPor-LH=20 unchanged'!C102+'CurrentPor-LH=20 unchanged'!H102)/100)+103/POWER(1+('CurrentPor-LH=20 unchanged'!D102+'CurrentPor-LH=20 unchanged'!H102)/100,2))*100</f>
        <v>9586.5844158522777</v>
      </c>
      <c r="E102">
        <f>(3/(1+('CurrentPor-LH=20 unchanged'!C102+'CurrentPor-LH=20 unchanged'!I102)/100)+103/POWER(1+('CurrentPor-LH=20 unchanged'!D102+'CurrentPor-LH=20 unchanged'!I102)/100,2))*100</f>
        <v>9574.9093144145227</v>
      </c>
      <c r="F102">
        <f>Portfolio!B$5*'CurrentPor-LH=20 unchanged'!E102</f>
        <v>52143.895533915893</v>
      </c>
      <c r="G102">
        <f>Portfolio!B$6*'CurrentPor-LH=20 unchanged'!F102</f>
        <v>3696.2945087936532</v>
      </c>
      <c r="H102">
        <f>Portfolio!B$7*'CurrentPor-LH=20 unchanged'!J102</f>
        <v>2148.0998964419859</v>
      </c>
      <c r="I102">
        <f t="shared" si="2"/>
        <v>96472.336805095518</v>
      </c>
      <c r="J102">
        <f t="shared" si="3"/>
        <v>-28.981183860247256</v>
      </c>
    </row>
    <row r="103" spans="1:10">
      <c r="A103" s="1">
        <v>45614</v>
      </c>
      <c r="B103">
        <f>(3/(1+('CurrentPor-LH=20 unchanged'!C103)/100)+103/POWER(1+('CurrentPor-LH=20 unchanged'!D103)/100,2))*100</f>
        <v>9707.5857774288397</v>
      </c>
      <c r="C103">
        <f>(3/(1+('CurrentPor-LH=20 unchanged'!C103+'CurrentPor-LH=20 unchanged'!G103)/100)+103/POWER(1+('CurrentPor-LH=20 unchanged'!D103+'CurrentPor-LH=20 unchanged'!G103)/100,2))*100</f>
        <v>9614.9673582483465</v>
      </c>
      <c r="D103">
        <f>(3/(1+('CurrentPor-LH=20 unchanged'!C103+'CurrentPor-LH=20 unchanged'!H103)/100)+103/POWER(1+('CurrentPor-LH=20 unchanged'!D103+'CurrentPor-LH=20 unchanged'!H103)/100,2))*100</f>
        <v>9595.3961628176676</v>
      </c>
      <c r="E103">
        <f>(3/(1+('CurrentPor-LH=20 unchanged'!C103+'CurrentPor-LH=20 unchanged'!I103)/100)+103/POWER(1+('CurrentPor-LH=20 unchanged'!D103+'CurrentPor-LH=20 unchanged'!I103)/100,2))*100</f>
        <v>9589.9898273013114</v>
      </c>
      <c r="F103">
        <f>Portfolio!B$5*'CurrentPor-LH=20 unchanged'!E103</f>
        <v>52143.895533915893</v>
      </c>
      <c r="G103">
        <f>Portfolio!B$6*'CurrentPor-LH=20 unchanged'!F103</f>
        <v>3696.2945087936532</v>
      </c>
      <c r="H103">
        <f>Portfolio!B$7*'CurrentPor-LH=20 unchanged'!J103</f>
        <v>2148.0998964419859</v>
      </c>
      <c r="I103">
        <f t="shared" si="2"/>
        <v>96496.229064947693</v>
      </c>
      <c r="J103">
        <f t="shared" si="3"/>
        <v>28.0072294286947</v>
      </c>
    </row>
    <row r="104" spans="1:10">
      <c r="A104" s="1">
        <v>45615</v>
      </c>
      <c r="B104">
        <f>(3/(1+('CurrentPor-LH=20 unchanged'!C104)/100)+103/POWER(1+('CurrentPor-LH=20 unchanged'!D104)/100,2))*100</f>
        <v>9707.5857774288397</v>
      </c>
      <c r="C104">
        <f>(3/(1+('CurrentPor-LH=20 unchanged'!C104+'CurrentPor-LH=20 unchanged'!G104)/100)+103/POWER(1+('CurrentPor-LH=20 unchanged'!D104+'CurrentPor-LH=20 unchanged'!G104)/100,2))*100</f>
        <v>9614.9673582483465</v>
      </c>
      <c r="D104">
        <f>(3/(1+('CurrentPor-LH=20 unchanged'!C104+'CurrentPor-LH=20 unchanged'!H104)/100)+103/POWER(1+('CurrentPor-LH=20 unchanged'!D104+'CurrentPor-LH=20 unchanged'!H104)/100,2))*100</f>
        <v>9579.7393684370145</v>
      </c>
      <c r="E104">
        <f>(3/(1+('CurrentPor-LH=20 unchanged'!C104+'CurrentPor-LH=20 unchanged'!I104)/100)+103/POWER(1+('CurrentPor-LH=20 unchanged'!D104+'CurrentPor-LH=20 unchanged'!I104)/100,2))*100</f>
        <v>9587.0191014337943</v>
      </c>
      <c r="F104">
        <f>Portfolio!B$5*'CurrentPor-LH=20 unchanged'!E104</f>
        <v>52143.895533915893</v>
      </c>
      <c r="G104">
        <f>Portfolio!B$6*'CurrentPor-LH=20 unchanged'!F104</f>
        <v>3696.2945087936532</v>
      </c>
      <c r="H104">
        <f>Portfolio!B$7*'CurrentPor-LH=20 unchanged'!J104</f>
        <v>2148.0998964419859</v>
      </c>
      <c r="I104">
        <f t="shared" si="2"/>
        <v>96477.60154469953</v>
      </c>
      <c r="J104">
        <f t="shared" si="3"/>
        <v>-31.883895011356799</v>
      </c>
    </row>
    <row r="105" spans="1:10">
      <c r="A105" s="1">
        <v>45616</v>
      </c>
      <c r="B105">
        <f>(3/(1+('CurrentPor-LH=20 unchanged'!C105)/100)+103/POWER(1+('CurrentPor-LH=20 unchanged'!D105)/100,2))*100</f>
        <v>9707.5857774288397</v>
      </c>
      <c r="C105">
        <f>(3/(1+('CurrentPor-LH=20 unchanged'!C105+'CurrentPor-LH=20 unchanged'!G105)/100)+103/POWER(1+('CurrentPor-LH=20 unchanged'!D105+'CurrentPor-LH=20 unchanged'!G105)/100,2))*100</f>
        <v>9614.9673582483465</v>
      </c>
      <c r="D105">
        <f>(3/(1+('CurrentPor-LH=20 unchanged'!C105+'CurrentPor-LH=20 unchanged'!H105)/100)+103/POWER(1+('CurrentPor-LH=20 unchanged'!D105+'CurrentPor-LH=20 unchanged'!H105)/100,2))*100</f>
        <v>9602.9408177667756</v>
      </c>
      <c r="E105">
        <f>(3/(1+('CurrentPor-LH=20 unchanged'!C105+'CurrentPor-LH=20 unchanged'!I105)/100)+103/POWER(1+('CurrentPor-LH=20 unchanged'!D105+'CurrentPor-LH=20 unchanged'!I105)/100,2))*100</f>
        <v>9583.1829194477978</v>
      </c>
      <c r="F105">
        <f>Portfolio!B$5*'CurrentPor-LH=20 unchanged'!E105</f>
        <v>52143.895533915893</v>
      </c>
      <c r="G105">
        <f>Portfolio!B$6*'CurrentPor-LH=20 unchanged'!F105</f>
        <v>3696.2945087936532</v>
      </c>
      <c r="H105">
        <f>Portfolio!B$7*'CurrentPor-LH=20 unchanged'!J105</f>
        <v>2148.0998964419859</v>
      </c>
      <c r="I105">
        <f t="shared" si="2"/>
        <v>96496.966812043291</v>
      </c>
      <c r="J105">
        <f t="shared" si="3"/>
        <v>-0.27807782191666774</v>
      </c>
    </row>
    <row r="106" spans="1:10">
      <c r="A106" s="1">
        <v>45617</v>
      </c>
      <c r="B106">
        <f>(3/(1+('CurrentPor-LH=20 unchanged'!C106)/100)+103/POWER(1+('CurrentPor-LH=20 unchanged'!D106)/100,2))*100</f>
        <v>9707.5857774288397</v>
      </c>
      <c r="C106">
        <f>(3/(1+('CurrentPor-LH=20 unchanged'!C106+'CurrentPor-LH=20 unchanged'!G106)/100)+103/POWER(1+('CurrentPor-LH=20 unchanged'!D106+'CurrentPor-LH=20 unchanged'!G106)/100,2))*100</f>
        <v>9614.9673582483465</v>
      </c>
      <c r="D106">
        <f>(3/(1+('CurrentPor-LH=20 unchanged'!C106+'CurrentPor-LH=20 unchanged'!H106)/100)+103/POWER(1+('CurrentPor-LH=20 unchanged'!D106+'CurrentPor-LH=20 unchanged'!H106)/100,2))*100</f>
        <v>9616.6122992005567</v>
      </c>
      <c r="E106">
        <f>(3/(1+('CurrentPor-LH=20 unchanged'!C106+'CurrentPor-LH=20 unchanged'!I106)/100)+103/POWER(1+('CurrentPor-LH=20 unchanged'!D106+'CurrentPor-LH=20 unchanged'!I106)/100,2))*100</f>
        <v>9569.1906946386789</v>
      </c>
      <c r="F106">
        <f>Portfolio!B$5*'CurrentPor-LH=20 unchanged'!E106</f>
        <v>52143.895533915893</v>
      </c>
      <c r="G106">
        <f>Portfolio!B$6*'CurrentPor-LH=20 unchanged'!F106</f>
        <v>3696.2945087936532</v>
      </c>
      <c r="H106">
        <f>Portfolio!B$7*'CurrentPor-LH=20 unchanged'!J106</f>
        <v>2148.0998964419859</v>
      </c>
      <c r="I106">
        <f t="shared" si="2"/>
        <v>96496.646068667949</v>
      </c>
      <c r="J106">
        <f t="shared" si="3"/>
        <v>4.2786068499844987</v>
      </c>
    </row>
    <row r="107" spans="1:10">
      <c r="A107" s="1">
        <v>45618</v>
      </c>
      <c r="B107">
        <f>(3/(1+('CurrentPor-LH=20 unchanged'!C107)/100)+103/POWER(1+('CurrentPor-LH=20 unchanged'!D107)/100,2))*100</f>
        <v>9707.5857774288397</v>
      </c>
      <c r="C107">
        <f>(3/(1+('CurrentPor-LH=20 unchanged'!C107+'CurrentPor-LH=20 unchanged'!G107)/100)+103/POWER(1+('CurrentPor-LH=20 unchanged'!D107+'CurrentPor-LH=20 unchanged'!G107)/100,2))*100</f>
        <v>9614.9673582483465</v>
      </c>
      <c r="D107">
        <f>(3/(1+('CurrentPor-LH=20 unchanged'!C107+'CurrentPor-LH=20 unchanged'!H107)/100)+103/POWER(1+('CurrentPor-LH=20 unchanged'!D107+'CurrentPor-LH=20 unchanged'!H107)/100,2))*100</f>
        <v>9607.8694681233392</v>
      </c>
      <c r="E107">
        <f>(3/(1+('CurrentPor-LH=20 unchanged'!C107+'CurrentPor-LH=20 unchanged'!I107)/100)+103/POWER(1+('CurrentPor-LH=20 unchanged'!D107+'CurrentPor-LH=20 unchanged'!I107)/100,2))*100</f>
        <v>9576.7771840324767</v>
      </c>
      <c r="F107">
        <f>Portfolio!B$5*'CurrentPor-LH=20 unchanged'!E107</f>
        <v>52143.895533915893</v>
      </c>
      <c r="G107">
        <f>Portfolio!B$6*'CurrentPor-LH=20 unchanged'!F107</f>
        <v>3696.2945087936532</v>
      </c>
      <c r="H107">
        <f>Portfolio!B$7*'CurrentPor-LH=20 unchanged'!J107</f>
        <v>2148.0998964419859</v>
      </c>
      <c r="I107">
        <f t="shared" si="2"/>
        <v>96495.489726984539</v>
      </c>
      <c r="J107">
        <f t="shared" si="3"/>
        <v>12.242729948324268</v>
      </c>
    </row>
    <row r="108" spans="1:10">
      <c r="A108" s="1">
        <v>45621</v>
      </c>
      <c r="B108">
        <f>(3/(1+('CurrentPor-LH=20 unchanged'!C108)/100)+103/POWER(1+('CurrentPor-LH=20 unchanged'!D108)/100,2))*100</f>
        <v>9707.5857774288397</v>
      </c>
      <c r="C108">
        <f>(3/(1+('CurrentPor-LH=20 unchanged'!C108+'CurrentPor-LH=20 unchanged'!G108)/100)+103/POWER(1+('CurrentPor-LH=20 unchanged'!D108+'CurrentPor-LH=20 unchanged'!G108)/100,2))*100</f>
        <v>9614.9673582483465</v>
      </c>
      <c r="D108">
        <f>(3/(1+('CurrentPor-LH=20 unchanged'!C108+'CurrentPor-LH=20 unchanged'!H108)/100)+103/POWER(1+('CurrentPor-LH=20 unchanged'!D108+'CurrentPor-LH=20 unchanged'!H108)/100,2))*100</f>
        <v>9577.2441200008889</v>
      </c>
      <c r="E108">
        <f>(3/(1+('CurrentPor-LH=20 unchanged'!C108+'CurrentPor-LH=20 unchanged'!I108)/100)+103/POWER(1+('CurrentPor-LH=20 unchanged'!D108+'CurrentPor-LH=20 unchanged'!I108)/100,2))*100</f>
        <v>9572.2414007511579</v>
      </c>
      <c r="F108">
        <f>Portfolio!B$5*'CurrentPor-LH=20 unchanged'!E108</f>
        <v>52143.895533915893</v>
      </c>
      <c r="G108">
        <f>Portfolio!B$6*'CurrentPor-LH=20 unchanged'!F108</f>
        <v>3696.2945087936532</v>
      </c>
      <c r="H108">
        <f>Portfolio!B$7*'CurrentPor-LH=20 unchanged'!J108</f>
        <v>2148.0998964419859</v>
      </c>
      <c r="I108">
        <f t="shared" si="2"/>
        <v>96460.328595580751</v>
      </c>
      <c r="J108">
        <f t="shared" si="3"/>
        <v>-47.805290017364314</v>
      </c>
    </row>
    <row r="109" spans="1:10">
      <c r="A109" s="1">
        <v>45622</v>
      </c>
      <c r="B109">
        <f>(3/(1+('CurrentPor-LH=20 unchanged'!C109)/100)+103/POWER(1+('CurrentPor-LH=20 unchanged'!D109)/100,2))*100</f>
        <v>9707.5857774288397</v>
      </c>
      <c r="C109">
        <f>(3/(1+('CurrentPor-LH=20 unchanged'!C109+'CurrentPor-LH=20 unchanged'!G109)/100)+103/POWER(1+('CurrentPor-LH=20 unchanged'!D109+'CurrentPor-LH=20 unchanged'!G109)/100,2))*100</f>
        <v>9614.9673582483465</v>
      </c>
      <c r="D109">
        <f>(3/(1+('CurrentPor-LH=20 unchanged'!C109+'CurrentPor-LH=20 unchanged'!H109)/100)+103/POWER(1+('CurrentPor-LH=20 unchanged'!D109+'CurrentPor-LH=20 unchanged'!H109)/100,2))*100</f>
        <v>9617.7905273520482</v>
      </c>
      <c r="E109">
        <f>(3/(1+('CurrentPor-LH=20 unchanged'!C109+'CurrentPor-LH=20 unchanged'!I109)/100)+103/POWER(1+('CurrentPor-LH=20 unchanged'!D109+'CurrentPor-LH=20 unchanged'!I109)/100,2))*100</f>
        <v>9587.0510719785125</v>
      </c>
      <c r="F109">
        <f>Portfolio!B$5*'CurrentPor-LH=20 unchanged'!E109</f>
        <v>52143.895533915893</v>
      </c>
      <c r="G109">
        <f>Portfolio!B$6*'CurrentPor-LH=20 unchanged'!F109</f>
        <v>3696.2945087936532</v>
      </c>
      <c r="H109">
        <f>Portfolio!B$7*'CurrentPor-LH=20 unchanged'!J109</f>
        <v>2148.0998964419859</v>
      </c>
      <c r="I109">
        <f t="shared" si="2"/>
        <v>96515.684674159289</v>
      </c>
      <c r="J109">
        <f t="shared" si="3"/>
        <v>4.81138061278034</v>
      </c>
    </row>
    <row r="110" spans="1:10">
      <c r="A110" s="1">
        <v>45623</v>
      </c>
      <c r="B110">
        <f>(3/(1+('CurrentPor-LH=20 unchanged'!C110)/100)+103/POWER(1+('CurrentPor-LH=20 unchanged'!D110)/100,2))*100</f>
        <v>9707.5857774288397</v>
      </c>
      <c r="C110">
        <f>(3/(1+('CurrentPor-LH=20 unchanged'!C110+'CurrentPor-LH=20 unchanged'!G110)/100)+103/POWER(1+('CurrentPor-LH=20 unchanged'!D110+'CurrentPor-LH=20 unchanged'!G110)/100,2))*100</f>
        <v>9614.9673582483465</v>
      </c>
      <c r="D110">
        <f>(3/(1+('CurrentPor-LH=20 unchanged'!C110+'CurrentPor-LH=20 unchanged'!H110)/100)+103/POWER(1+('CurrentPor-LH=20 unchanged'!D110+'CurrentPor-LH=20 unchanged'!H110)/100,2))*100</f>
        <v>9588.9028036913733</v>
      </c>
      <c r="E110">
        <f>(3/(1+('CurrentPor-LH=20 unchanged'!C110+'CurrentPor-LH=20 unchanged'!I110)/100)+103/POWER(1+('CurrentPor-LH=20 unchanged'!D110+'CurrentPor-LH=20 unchanged'!I110)/100,2))*100</f>
        <v>9598.1148903215144</v>
      </c>
      <c r="F110">
        <f>Portfolio!B$5*'CurrentPor-LH=20 unchanged'!E110</f>
        <v>52143.895533915893</v>
      </c>
      <c r="G110">
        <f>Portfolio!B$6*'CurrentPor-LH=20 unchanged'!F110</f>
        <v>3696.2945087936532</v>
      </c>
      <c r="H110">
        <f>Portfolio!B$7*'CurrentPor-LH=20 unchanged'!J110</f>
        <v>2148.0998964419859</v>
      </c>
      <c r="I110">
        <f t="shared" si="2"/>
        <v>96497.860768841594</v>
      </c>
      <c r="J110">
        <f t="shared" si="3"/>
        <v>-7.1074654662807006</v>
      </c>
    </row>
    <row r="111" spans="1:10">
      <c r="A111" s="1">
        <v>45624</v>
      </c>
      <c r="B111">
        <f>(3/(1+('CurrentPor-LH=20 unchanged'!C111)/100)+103/POWER(1+('CurrentPor-LH=20 unchanged'!D111)/100,2))*100</f>
        <v>9707.5857774288397</v>
      </c>
      <c r="C111">
        <f>(3/(1+('CurrentPor-LH=20 unchanged'!C111+'CurrentPor-LH=20 unchanged'!G111)/100)+103/POWER(1+('CurrentPor-LH=20 unchanged'!D111+'CurrentPor-LH=20 unchanged'!G111)/100,2))*100</f>
        <v>9614.9673582483465</v>
      </c>
      <c r="D111">
        <f>(3/(1+('CurrentPor-LH=20 unchanged'!C111+'CurrentPor-LH=20 unchanged'!H111)/100)+103/POWER(1+('CurrentPor-LH=20 unchanged'!D111+'CurrentPor-LH=20 unchanged'!H111)/100,2))*100</f>
        <v>9597.7846710584272</v>
      </c>
      <c r="E111">
        <f>(3/(1+('CurrentPor-LH=20 unchanged'!C111+'CurrentPor-LH=20 unchanged'!I111)/100)+103/POWER(1+('CurrentPor-LH=20 unchanged'!D111+'CurrentPor-LH=20 unchanged'!I111)/100,2))*100</f>
        <v>9602.1850632969981</v>
      </c>
      <c r="F111">
        <f>Portfolio!B$5*'CurrentPor-LH=20 unchanged'!E111</f>
        <v>52143.895533915893</v>
      </c>
      <c r="G111">
        <f>Portfolio!B$6*'CurrentPor-LH=20 unchanged'!F111</f>
        <v>3696.2945087936532</v>
      </c>
      <c r="H111">
        <f>Portfolio!B$7*'CurrentPor-LH=20 unchanged'!J111</f>
        <v>2148.0998964419859</v>
      </c>
      <c r="I111">
        <f t="shared" si="2"/>
        <v>96510.81280918415</v>
      </c>
      <c r="J111">
        <f t="shared" si="3"/>
        <v>24.389540199626936</v>
      </c>
    </row>
    <row r="112" spans="1:10">
      <c r="A112" s="1">
        <v>45625</v>
      </c>
      <c r="B112">
        <f>(3/(1+('CurrentPor-LH=20 unchanged'!C112)/100)+103/POWER(1+('CurrentPor-LH=20 unchanged'!D112)/100,2))*100</f>
        <v>9707.5857774288397</v>
      </c>
      <c r="C112">
        <f>(3/(1+('CurrentPor-LH=20 unchanged'!C112+'CurrentPor-LH=20 unchanged'!G112)/100)+103/POWER(1+('CurrentPor-LH=20 unchanged'!D112+'CurrentPor-LH=20 unchanged'!G112)/100,2))*100</f>
        <v>9614.9673582483465</v>
      </c>
      <c r="D112">
        <f>(3/(1+('CurrentPor-LH=20 unchanged'!C112+'CurrentPor-LH=20 unchanged'!H112)/100)+103/POWER(1+('CurrentPor-LH=20 unchanged'!D112+'CurrentPor-LH=20 unchanged'!H112)/100,2))*100</f>
        <v>9601.8429892481527</v>
      </c>
      <c r="E112">
        <f>(3/(1+('CurrentPor-LH=20 unchanged'!C112+'CurrentPor-LH=20 unchanged'!I112)/100)+103/POWER(1+('CurrentPor-LH=20 unchanged'!D112+'CurrentPor-LH=20 unchanged'!I112)/100,2))*100</f>
        <v>9592.4052084011928</v>
      </c>
      <c r="F112">
        <f>Portfolio!B$5*'CurrentPor-LH=20 unchanged'!E112</f>
        <v>52143.895533915893</v>
      </c>
      <c r="G112">
        <f>Portfolio!B$6*'CurrentPor-LH=20 unchanged'!F112</f>
        <v>3696.2945087936532</v>
      </c>
      <c r="H112">
        <f>Portfolio!B$7*'CurrentPor-LH=20 unchanged'!J112</f>
        <v>2148.0998964419859</v>
      </c>
      <c r="I112">
        <f t="shared" si="2"/>
        <v>96505.091272478065</v>
      </c>
      <c r="J112">
        <f t="shared" si="3"/>
        <v>32.754467382546864</v>
      </c>
    </row>
    <row r="113" spans="1:10">
      <c r="A113" s="1">
        <v>45628</v>
      </c>
      <c r="B113">
        <f>(3/(1+('CurrentPor-LH=20 unchanged'!C113)/100)+103/POWER(1+('CurrentPor-LH=20 unchanged'!D113)/100,2))*100</f>
        <v>9707.5857774288397</v>
      </c>
      <c r="C113">
        <f>(3/(1+('CurrentPor-LH=20 unchanged'!C113+'CurrentPor-LH=20 unchanged'!G113)/100)+103/POWER(1+('CurrentPor-LH=20 unchanged'!D113+'CurrentPor-LH=20 unchanged'!G113)/100,2))*100</f>
        <v>9614.9673582483465</v>
      </c>
      <c r="D113">
        <f>(3/(1+('CurrentPor-LH=20 unchanged'!C113+'CurrentPor-LH=20 unchanged'!H113)/100)+103/POWER(1+('CurrentPor-LH=20 unchanged'!D113+'CurrentPor-LH=20 unchanged'!H113)/100,2))*100</f>
        <v>9614.358071609422</v>
      </c>
      <c r="E113">
        <f>(3/(1+('CurrentPor-LH=20 unchanged'!C113+'CurrentPor-LH=20 unchanged'!I113)/100)+103/POWER(1+('CurrentPor-LH=20 unchanged'!D113+'CurrentPor-LH=20 unchanged'!I113)/100,2))*100</f>
        <v>9574.3122057901346</v>
      </c>
      <c r="F113">
        <f>Portfolio!B$5*'CurrentPor-LH=20 unchanged'!E113</f>
        <v>52143.895533915893</v>
      </c>
      <c r="G113">
        <f>Portfolio!B$6*'CurrentPor-LH=20 unchanged'!F113</f>
        <v>3696.2945087936532</v>
      </c>
      <c r="H113">
        <f>Portfolio!B$7*'CurrentPor-LH=20 unchanged'!J113</f>
        <v>2148.0998964419859</v>
      </c>
      <c r="I113">
        <f t="shared" si="2"/>
        <v>96499.513352228285</v>
      </c>
      <c r="J113">
        <f t="shared" si="3"/>
        <v>3.2842872805922525</v>
      </c>
    </row>
    <row r="114" spans="1:10">
      <c r="A114" s="1">
        <v>45629</v>
      </c>
      <c r="B114">
        <f>(3/(1+('CurrentPor-LH=20 unchanged'!C114)/100)+103/POWER(1+('CurrentPor-LH=20 unchanged'!D114)/100,2))*100</f>
        <v>9707.5857774288397</v>
      </c>
      <c r="C114">
        <f>(3/(1+('CurrentPor-LH=20 unchanged'!C114+'CurrentPor-LH=20 unchanged'!G114)/100)+103/POWER(1+('CurrentPor-LH=20 unchanged'!D114+'CurrentPor-LH=20 unchanged'!G114)/100,2))*100</f>
        <v>9614.9673582483465</v>
      </c>
      <c r="D114">
        <f>(3/(1+('CurrentPor-LH=20 unchanged'!C114+'CurrentPor-LH=20 unchanged'!H114)/100)+103/POWER(1+('CurrentPor-LH=20 unchanged'!D114+'CurrentPor-LH=20 unchanged'!H114)/100,2))*100</f>
        <v>9610.5606026824626</v>
      </c>
      <c r="E114">
        <f>(3/(1+('CurrentPor-LH=20 unchanged'!C114+'CurrentPor-LH=20 unchanged'!I114)/100)+103/POWER(1+('CurrentPor-LH=20 unchanged'!D114+'CurrentPor-LH=20 unchanged'!I114)/100,2))*100</f>
        <v>9589.3187154141906</v>
      </c>
      <c r="F114">
        <f>Portfolio!B$5*'CurrentPor-LH=20 unchanged'!E114</f>
        <v>52143.895533915893</v>
      </c>
      <c r="G114">
        <f>Portfolio!B$6*'CurrentPor-LH=20 unchanged'!F114</f>
        <v>3696.2945087936532</v>
      </c>
      <c r="H114">
        <f>Portfolio!B$7*'CurrentPor-LH=20 unchanged'!J114</f>
        <v>2148.0998964419859</v>
      </c>
      <c r="I114">
        <f t="shared" si="2"/>
        <v>96510.722392925367</v>
      </c>
      <c r="J114">
        <f t="shared" si="3"/>
        <v>33.120848225837108</v>
      </c>
    </row>
    <row r="115" spans="1:10">
      <c r="A115" s="1">
        <v>45630</v>
      </c>
      <c r="B115">
        <f>(3/(1+('CurrentPor-LH=20 unchanged'!C115)/100)+103/POWER(1+('CurrentPor-LH=20 unchanged'!D115)/100,2))*100</f>
        <v>9707.5857774288397</v>
      </c>
      <c r="C115">
        <f>(3/(1+('CurrentPor-LH=20 unchanged'!C115+'CurrentPor-LH=20 unchanged'!G115)/100)+103/POWER(1+('CurrentPor-LH=20 unchanged'!D115+'CurrentPor-LH=20 unchanged'!G115)/100,2))*100</f>
        <v>9614.9673582483465</v>
      </c>
      <c r="D115">
        <f>(3/(1+('CurrentPor-LH=20 unchanged'!C115+'CurrentPor-LH=20 unchanged'!H115)/100)+103/POWER(1+('CurrentPor-LH=20 unchanged'!D115+'CurrentPor-LH=20 unchanged'!H115)/100,2))*100</f>
        <v>9592.7466879405765</v>
      </c>
      <c r="E115">
        <f>(3/(1+('CurrentPor-LH=20 unchanged'!C115+'CurrentPor-LH=20 unchanged'!I115)/100)+103/POWER(1+('CurrentPor-LH=20 unchanged'!D115+'CurrentPor-LH=20 unchanged'!I115)/100,2))*100</f>
        <v>9587.6984778414371</v>
      </c>
      <c r="F115">
        <f>Portfolio!B$5*'CurrentPor-LH=20 unchanged'!E115</f>
        <v>52143.895533915893</v>
      </c>
      <c r="G115">
        <f>Portfolio!B$6*'CurrentPor-LH=20 unchanged'!F115</f>
        <v>3696.2945087936532</v>
      </c>
      <c r="H115">
        <f>Portfolio!B$7*'CurrentPor-LH=20 unchanged'!J115</f>
        <v>2148.0998964419859</v>
      </c>
      <c r="I115">
        <f t="shared" si="2"/>
        <v>96491.288240610724</v>
      </c>
      <c r="J115">
        <f t="shared" si="3"/>
        <v>-5.6785714325669687</v>
      </c>
    </row>
    <row r="116" spans="1:10">
      <c r="A116" s="1">
        <v>45631</v>
      </c>
      <c r="B116">
        <f>(3/(1+('CurrentPor-LH=20 unchanged'!C116)/100)+103/POWER(1+('CurrentPor-LH=20 unchanged'!D116)/100,2))*100</f>
        <v>9707.5857774288397</v>
      </c>
      <c r="C116">
        <f>(3/(1+('CurrentPor-LH=20 unchanged'!C116+'CurrentPor-LH=20 unchanged'!G116)/100)+103/POWER(1+('CurrentPor-LH=20 unchanged'!D116+'CurrentPor-LH=20 unchanged'!G116)/100,2))*100</f>
        <v>9614.9673582483465</v>
      </c>
      <c r="D116">
        <f>(3/(1+('CurrentPor-LH=20 unchanged'!C116+'CurrentPor-LH=20 unchanged'!H116)/100)+103/POWER(1+('CurrentPor-LH=20 unchanged'!D116+'CurrentPor-LH=20 unchanged'!H116)/100,2))*100</f>
        <v>9614.6720592674083</v>
      </c>
      <c r="E116">
        <f>(3/(1+('CurrentPor-LH=20 unchanged'!C116+'CurrentPor-LH=20 unchanged'!I116)/100)+103/POWER(1+('CurrentPor-LH=20 unchanged'!D116+'CurrentPor-LH=20 unchanged'!I116)/100,2))*100</f>
        <v>9589.7049848386268</v>
      </c>
      <c r="F116">
        <f>Portfolio!B$5*'CurrentPor-LH=20 unchanged'!E116</f>
        <v>52143.895533915893</v>
      </c>
      <c r="G116">
        <f>Portfolio!B$6*'CurrentPor-LH=20 unchanged'!F116</f>
        <v>3696.2945087936532</v>
      </c>
      <c r="H116">
        <f>Portfolio!B$7*'CurrentPor-LH=20 unchanged'!J116</f>
        <v>2148.0998964419859</v>
      </c>
      <c r="I116">
        <f t="shared" si="2"/>
        <v>96515.22011893474</v>
      </c>
      <c r="J116">
        <f t="shared" si="3"/>
        <v>18.574050266790437</v>
      </c>
    </row>
    <row r="117" spans="1:10">
      <c r="A117" s="1">
        <v>45632</v>
      </c>
      <c r="B117">
        <f>(3/(1+('CurrentPor-LH=20 unchanged'!C117)/100)+103/POWER(1+('CurrentPor-LH=20 unchanged'!D117)/100,2))*100</f>
        <v>9707.5857774288397</v>
      </c>
      <c r="C117">
        <f>(3/(1+('CurrentPor-LH=20 unchanged'!C117+'CurrentPor-LH=20 unchanged'!G117)/100)+103/POWER(1+('CurrentPor-LH=20 unchanged'!D117+'CurrentPor-LH=20 unchanged'!G117)/100,2))*100</f>
        <v>9614.9673582483465</v>
      </c>
      <c r="D117">
        <f>(3/(1+('CurrentPor-LH=20 unchanged'!C117+'CurrentPor-LH=20 unchanged'!H117)/100)+103/POWER(1+('CurrentPor-LH=20 unchanged'!D117+'CurrentPor-LH=20 unchanged'!H117)/100,2))*100</f>
        <v>9591.6050387404121</v>
      </c>
      <c r="E117">
        <f>(3/(1+('CurrentPor-LH=20 unchanged'!C117+'CurrentPor-LH=20 unchanged'!I117)/100)+103/POWER(1+('CurrentPor-LH=20 unchanged'!D117+'CurrentPor-LH=20 unchanged'!I117)/100,2))*100</f>
        <v>9596.8664729227476</v>
      </c>
      <c r="F117">
        <f>Portfolio!B$5*'CurrentPor-LH=20 unchanged'!E117</f>
        <v>52143.895533915893</v>
      </c>
      <c r="G117">
        <f>Portfolio!B$6*'CurrentPor-LH=20 unchanged'!F117</f>
        <v>3696.2945087936532</v>
      </c>
      <c r="H117">
        <f>Portfolio!B$7*'CurrentPor-LH=20 unchanged'!J117</f>
        <v>2148.0998964419859</v>
      </c>
      <c r="I117">
        <f t="shared" si="2"/>
        <v>96499.314586491877</v>
      </c>
      <c r="J117">
        <f t="shared" si="3"/>
        <v>3.8248595073382603</v>
      </c>
    </row>
    <row r="118" spans="1:10">
      <c r="A118" s="1">
        <v>45635</v>
      </c>
      <c r="B118">
        <f>(3/(1+('CurrentPor-LH=20 unchanged'!C118)/100)+103/POWER(1+('CurrentPor-LH=20 unchanged'!D118)/100,2))*100</f>
        <v>9707.5857774288397</v>
      </c>
      <c r="C118">
        <f>(3/(1+('CurrentPor-LH=20 unchanged'!C118+'CurrentPor-LH=20 unchanged'!G118)/100)+103/POWER(1+('CurrentPor-LH=20 unchanged'!D118+'CurrentPor-LH=20 unchanged'!G118)/100,2))*100</f>
        <v>9614.9673582483465</v>
      </c>
      <c r="D118">
        <f>(3/(1+('CurrentPor-LH=20 unchanged'!C118+'CurrentPor-LH=20 unchanged'!H118)/100)+103/POWER(1+('CurrentPor-LH=20 unchanged'!D118+'CurrentPor-LH=20 unchanged'!H118)/100,2))*100</f>
        <v>9601.8455886757529</v>
      </c>
      <c r="E118">
        <f>(3/(1+('CurrentPor-LH=20 unchanged'!C118+'CurrentPor-LH=20 unchanged'!I118)/100)+103/POWER(1+('CurrentPor-LH=20 unchanged'!D118+'CurrentPor-LH=20 unchanged'!I118)/100,2))*100</f>
        <v>9572.999957687498</v>
      </c>
      <c r="F118">
        <f>Portfolio!B$5*'CurrentPor-LH=20 unchanged'!E118</f>
        <v>52143.895533915893</v>
      </c>
      <c r="G118">
        <f>Portfolio!B$6*'CurrentPor-LH=20 unchanged'!F118</f>
        <v>3696.2945087936532</v>
      </c>
      <c r="H118">
        <f>Portfolio!B$7*'CurrentPor-LH=20 unchanged'!J118</f>
        <v>2148.0998964419859</v>
      </c>
      <c r="I118">
        <f t="shared" si="2"/>
        <v>96485.688621191963</v>
      </c>
      <c r="J118">
        <f t="shared" si="3"/>
        <v>25.360025611211313</v>
      </c>
    </row>
    <row r="119" spans="1:10">
      <c r="A119" s="1">
        <v>45636</v>
      </c>
      <c r="B119">
        <f>(3/(1+('CurrentPor-LH=20 unchanged'!C119)/100)+103/POWER(1+('CurrentPor-LH=20 unchanged'!D119)/100,2))*100</f>
        <v>9707.5857774288397</v>
      </c>
      <c r="C119">
        <f>(3/(1+('CurrentPor-LH=20 unchanged'!C119+'CurrentPor-LH=20 unchanged'!G119)/100)+103/POWER(1+('CurrentPor-LH=20 unchanged'!D119+'CurrentPor-LH=20 unchanged'!G119)/100,2))*100</f>
        <v>9614.9673582483465</v>
      </c>
      <c r="D119">
        <f>(3/(1+('CurrentPor-LH=20 unchanged'!C119+'CurrentPor-LH=20 unchanged'!H119)/100)+103/POWER(1+('CurrentPor-LH=20 unchanged'!D119+'CurrentPor-LH=20 unchanged'!H119)/100,2))*100</f>
        <v>9581.9801847414328</v>
      </c>
      <c r="E119">
        <f>(3/(1+('CurrentPor-LH=20 unchanged'!C119+'CurrentPor-LH=20 unchanged'!I119)/100)+103/POWER(1+('CurrentPor-LH=20 unchanged'!D119+'CurrentPor-LH=20 unchanged'!I119)/100,2))*100</f>
        <v>9582.6100231686742</v>
      </c>
      <c r="F119">
        <f>Portfolio!B$5*'CurrentPor-LH=20 unchanged'!E119</f>
        <v>52143.895533915893</v>
      </c>
      <c r="G119">
        <f>Portfolio!B$6*'CurrentPor-LH=20 unchanged'!F119</f>
        <v>3696.2945087936532</v>
      </c>
      <c r="H119">
        <f>Portfolio!B$7*'CurrentPor-LH=20 unchanged'!J119</f>
        <v>2148.0998964419859</v>
      </c>
      <c r="I119">
        <f t="shared" si="2"/>
        <v>96475.433282738828</v>
      </c>
      <c r="J119">
        <f t="shared" si="3"/>
        <v>-40.251391420461005</v>
      </c>
    </row>
    <row r="120" spans="1:10">
      <c r="A120" s="1">
        <v>45637</v>
      </c>
      <c r="B120">
        <f>(3/(1+('CurrentPor-LH=20 unchanged'!C120)/100)+103/POWER(1+('CurrentPor-LH=20 unchanged'!D120)/100,2))*100</f>
        <v>9707.5857774288397</v>
      </c>
      <c r="C120">
        <f>(3/(1+('CurrentPor-LH=20 unchanged'!C120+'CurrentPor-LH=20 unchanged'!G120)/100)+103/POWER(1+('CurrentPor-LH=20 unchanged'!D120+'CurrentPor-LH=20 unchanged'!G120)/100,2))*100</f>
        <v>9614.9673582483465</v>
      </c>
      <c r="D120">
        <f>(3/(1+('CurrentPor-LH=20 unchanged'!C120+'CurrentPor-LH=20 unchanged'!H120)/100)+103/POWER(1+('CurrentPor-LH=20 unchanged'!D120+'CurrentPor-LH=20 unchanged'!H120)/100,2))*100</f>
        <v>9608.9316316764161</v>
      </c>
      <c r="E120">
        <f>(3/(1+('CurrentPor-LH=20 unchanged'!C120+'CurrentPor-LH=20 unchanged'!I120)/100)+103/POWER(1+('CurrentPor-LH=20 unchanged'!D120+'CurrentPor-LH=20 unchanged'!I120)/100,2))*100</f>
        <v>9585.4282070253194</v>
      </c>
      <c r="F120">
        <f>Portfolio!B$5*'CurrentPor-LH=20 unchanged'!E120</f>
        <v>52143.895533915893</v>
      </c>
      <c r="G120">
        <f>Portfolio!B$6*'CurrentPor-LH=20 unchanged'!F120</f>
        <v>3696.2945087936532</v>
      </c>
      <c r="H120">
        <f>Portfolio!B$7*'CurrentPor-LH=20 unchanged'!J120</f>
        <v>2148.0998964419859</v>
      </c>
      <c r="I120">
        <f t="shared" si="2"/>
        <v>96505.202913530447</v>
      </c>
      <c r="J120">
        <f t="shared" si="3"/>
        <v>7.3421446888532955</v>
      </c>
    </row>
    <row r="121" spans="1:10">
      <c r="A121" s="1">
        <v>45638</v>
      </c>
      <c r="B121">
        <f>(3/(1+('CurrentPor-LH=20 unchanged'!C121)/100)+103/POWER(1+('CurrentPor-LH=20 unchanged'!D121)/100,2))*100</f>
        <v>9707.5857774288397</v>
      </c>
      <c r="C121">
        <f>(3/(1+('CurrentPor-LH=20 unchanged'!C121+'CurrentPor-LH=20 unchanged'!G121)/100)+103/POWER(1+('CurrentPor-LH=20 unchanged'!D121+'CurrentPor-LH=20 unchanged'!G121)/100,2))*100</f>
        <v>9614.9673582483465</v>
      </c>
      <c r="D121">
        <f>(3/(1+('CurrentPor-LH=20 unchanged'!C121+'CurrentPor-LH=20 unchanged'!H121)/100)+103/POWER(1+('CurrentPor-LH=20 unchanged'!D121+'CurrentPor-LH=20 unchanged'!H121)/100,2))*100</f>
        <v>9598.2440889395857</v>
      </c>
      <c r="E121">
        <f>(3/(1+('CurrentPor-LH=20 unchanged'!C121+'CurrentPor-LH=20 unchanged'!I121)/100)+103/POWER(1+('CurrentPor-LH=20 unchanged'!D121+'CurrentPor-LH=20 unchanged'!I121)/100,2))*100</f>
        <v>9598.516902635014</v>
      </c>
      <c r="F121">
        <f>Portfolio!B$5*'CurrentPor-LH=20 unchanged'!E121</f>
        <v>52143.895533915893</v>
      </c>
      <c r="G121">
        <f>Portfolio!B$6*'CurrentPor-LH=20 unchanged'!F121</f>
        <v>3696.2945087936532</v>
      </c>
      <c r="H121">
        <f>Portfolio!B$7*'CurrentPor-LH=20 unchanged'!J121</f>
        <v>2148.0998964419859</v>
      </c>
      <c r="I121">
        <f t="shared" si="2"/>
        <v>96507.604066403306</v>
      </c>
      <c r="J121">
        <f t="shared" si="3"/>
        <v>-3.2087427808437496</v>
      </c>
    </row>
    <row r="122" spans="1:10">
      <c r="A122" s="1">
        <v>45639</v>
      </c>
      <c r="B122">
        <f>(3/(1+('CurrentPor-LH=20 unchanged'!C122)/100)+103/POWER(1+('CurrentPor-LH=20 unchanged'!D122)/100,2))*100</f>
        <v>9707.5857774288397</v>
      </c>
      <c r="C122">
        <f>(3/(1+('CurrentPor-LH=20 unchanged'!C122+'CurrentPor-LH=20 unchanged'!G122)/100)+103/POWER(1+('CurrentPor-LH=20 unchanged'!D122+'CurrentPor-LH=20 unchanged'!G122)/100,2))*100</f>
        <v>9614.9673582483465</v>
      </c>
      <c r="D122">
        <f>(3/(1+('CurrentPor-LH=20 unchanged'!C122+'CurrentPor-LH=20 unchanged'!H122)/100)+103/POWER(1+('CurrentPor-LH=20 unchanged'!D122+'CurrentPor-LH=20 unchanged'!H122)/100,2))*100</f>
        <v>9599.7184687865629</v>
      </c>
      <c r="E122">
        <f>(3/(1+('CurrentPor-LH=20 unchanged'!C122+'CurrentPor-LH=20 unchanged'!I122)/100)+103/POWER(1+('CurrentPor-LH=20 unchanged'!D122+'CurrentPor-LH=20 unchanged'!I122)/100,2))*100</f>
        <v>9585.7277201785073</v>
      </c>
      <c r="F122">
        <f>Portfolio!B$5*'CurrentPor-LH=20 unchanged'!E122</f>
        <v>52143.895533915893</v>
      </c>
      <c r="G122">
        <f>Portfolio!B$6*'CurrentPor-LH=20 unchanged'!F122</f>
        <v>3696.2945087936532</v>
      </c>
      <c r="H122">
        <f>Portfolio!B$7*'CurrentPor-LH=20 unchanged'!J122</f>
        <v>2148.0998964419859</v>
      </c>
      <c r="I122">
        <f t="shared" si="2"/>
        <v>96496.289263793777</v>
      </c>
      <c r="J122">
        <f t="shared" si="3"/>
        <v>-8.8020086842880119</v>
      </c>
    </row>
    <row r="123" spans="1:10">
      <c r="A123" s="1">
        <v>45642</v>
      </c>
      <c r="B123">
        <f>(3/(1+('CurrentPor-LH=20 unchanged'!C123)/100)+103/POWER(1+('CurrentPor-LH=20 unchanged'!D123)/100,2))*100</f>
        <v>9707.5857774288397</v>
      </c>
      <c r="C123">
        <f>(3/(1+('CurrentPor-LH=20 unchanged'!C123+'CurrentPor-LH=20 unchanged'!G123)/100)+103/POWER(1+('CurrentPor-LH=20 unchanged'!D123+'CurrentPor-LH=20 unchanged'!G123)/100,2))*100</f>
        <v>9614.9673582483465</v>
      </c>
      <c r="D123">
        <f>(3/(1+('CurrentPor-LH=20 unchanged'!C123+'CurrentPor-LH=20 unchanged'!H123)/100)+103/POWER(1+('CurrentPor-LH=20 unchanged'!D123+'CurrentPor-LH=20 unchanged'!H123)/100,2))*100</f>
        <v>9588.8786683588569</v>
      </c>
      <c r="E123">
        <f>(3/(1+('CurrentPor-LH=20 unchanged'!C123+'CurrentPor-LH=20 unchanged'!I123)/100)+103/POWER(1+('CurrentPor-LH=20 unchanged'!D123+'CurrentPor-LH=20 unchanged'!I123)/100,2))*100</f>
        <v>9568.8339471516283</v>
      </c>
      <c r="F123">
        <f>Portfolio!B$5*'CurrentPor-LH=20 unchanged'!E123</f>
        <v>52143.895533915893</v>
      </c>
      <c r="G123">
        <f>Portfolio!B$6*'CurrentPor-LH=20 unchanged'!F123</f>
        <v>3696.2945087936532</v>
      </c>
      <c r="H123">
        <f>Portfolio!B$7*'CurrentPor-LH=20 unchanged'!J123</f>
        <v>2148.0998964419859</v>
      </c>
      <c r="I123">
        <f t="shared" si="2"/>
        <v>96468.555690339199</v>
      </c>
      <c r="J123">
        <f t="shared" si="3"/>
        <v>-30.957661889086012</v>
      </c>
    </row>
    <row r="124" spans="1:10">
      <c r="A124" s="1">
        <v>45643</v>
      </c>
      <c r="B124">
        <f>(3/(1+('CurrentPor-LH=20 unchanged'!C124)/100)+103/POWER(1+('CurrentPor-LH=20 unchanged'!D124)/100,2))*100</f>
        <v>9707.5857774288397</v>
      </c>
      <c r="C124">
        <f>(3/(1+('CurrentPor-LH=20 unchanged'!C124+'CurrentPor-LH=20 unchanged'!G124)/100)+103/POWER(1+('CurrentPor-LH=20 unchanged'!D124+'CurrentPor-LH=20 unchanged'!G124)/100,2))*100</f>
        <v>9614.9673582483465</v>
      </c>
      <c r="D124">
        <f>(3/(1+('CurrentPor-LH=20 unchanged'!C124+'CurrentPor-LH=20 unchanged'!H124)/100)+103/POWER(1+('CurrentPor-LH=20 unchanged'!D124+'CurrentPor-LH=20 unchanged'!H124)/100,2))*100</f>
        <v>9591.8529187944623</v>
      </c>
      <c r="E124">
        <f>(3/(1+('CurrentPor-LH=20 unchanged'!C124+'CurrentPor-LH=20 unchanged'!I124)/100)+103/POWER(1+('CurrentPor-LH=20 unchanged'!D124+'CurrentPor-LH=20 unchanged'!I124)/100,2))*100</f>
        <v>9593.4639936051062</v>
      </c>
      <c r="F124">
        <f>Portfolio!B$5*'CurrentPor-LH=20 unchanged'!E124</f>
        <v>52143.895533915893</v>
      </c>
      <c r="G124">
        <f>Portfolio!B$6*'CurrentPor-LH=20 unchanged'!F124</f>
        <v>3696.2945087936532</v>
      </c>
      <c r="H124">
        <f>Portfolio!B$7*'CurrentPor-LH=20 unchanged'!J124</f>
        <v>2148.0998964419859</v>
      </c>
      <c r="I124">
        <f t="shared" si="2"/>
        <v>96496.159987228297</v>
      </c>
      <c r="J124">
        <f t="shared" si="3"/>
        <v>-14.562405697070062</v>
      </c>
    </row>
    <row r="125" spans="1:10">
      <c r="A125" s="1">
        <v>45644</v>
      </c>
      <c r="B125">
        <f>(3/(1+('CurrentPor-LH=20 unchanged'!C125)/100)+103/POWER(1+('CurrentPor-LH=20 unchanged'!D125)/100,2))*100</f>
        <v>9707.5857774288397</v>
      </c>
      <c r="C125">
        <f>(3/(1+('CurrentPor-LH=20 unchanged'!C125+'CurrentPor-LH=20 unchanged'!G125)/100)+103/POWER(1+('CurrentPor-LH=20 unchanged'!D125+'CurrentPor-LH=20 unchanged'!G125)/100,2))*100</f>
        <v>9614.9673582483465</v>
      </c>
      <c r="D125">
        <f>(3/(1+('CurrentPor-LH=20 unchanged'!C125+'CurrentPor-LH=20 unchanged'!H125)/100)+103/POWER(1+('CurrentPor-LH=20 unchanged'!D125+'CurrentPor-LH=20 unchanged'!H125)/100,2))*100</f>
        <v>9598.0058200341609</v>
      </c>
      <c r="E125">
        <f>(3/(1+('CurrentPor-LH=20 unchanged'!C125+'CurrentPor-LH=20 unchanged'!I125)/100)+103/POWER(1+('CurrentPor-LH=20 unchanged'!D125+'CurrentPor-LH=20 unchanged'!I125)/100,2))*100</f>
        <v>9569.9819702312489</v>
      </c>
      <c r="F125">
        <f>Portfolio!B$5*'CurrentPor-LH=20 unchanged'!E125</f>
        <v>52143.895533915893</v>
      </c>
      <c r="G125">
        <f>Portfolio!B$6*'CurrentPor-LH=20 unchanged'!F125</f>
        <v>3696.2945087936532</v>
      </c>
      <c r="H125">
        <f>Portfolio!B$7*'CurrentPor-LH=20 unchanged'!J125</f>
        <v>2148.0998964419859</v>
      </c>
      <c r="I125">
        <f t="shared" si="2"/>
        <v>96478.830865094133</v>
      </c>
      <c r="J125">
        <f t="shared" si="3"/>
        <v>-12.457375516591128</v>
      </c>
    </row>
    <row r="126" spans="1:10">
      <c r="A126" s="1">
        <v>45645</v>
      </c>
      <c r="B126">
        <f>(3/(1+('CurrentPor-LH=20 unchanged'!C126)/100)+103/POWER(1+('CurrentPor-LH=20 unchanged'!D126)/100,2))*100</f>
        <v>9707.5857774288397</v>
      </c>
      <c r="C126">
        <f>(3/(1+('CurrentPor-LH=20 unchanged'!C126+'CurrentPor-LH=20 unchanged'!G126)/100)+103/POWER(1+('CurrentPor-LH=20 unchanged'!D126+'CurrentPor-LH=20 unchanged'!G126)/100,2))*100</f>
        <v>9614.9673582483465</v>
      </c>
      <c r="D126">
        <f>(3/(1+('CurrentPor-LH=20 unchanged'!C126+'CurrentPor-LH=20 unchanged'!H126)/100)+103/POWER(1+('CurrentPor-LH=20 unchanged'!D126+'CurrentPor-LH=20 unchanged'!H126)/100,2))*100</f>
        <v>9607.5433417345503</v>
      </c>
      <c r="E126">
        <f>(3/(1+('CurrentPor-LH=20 unchanged'!C126+'CurrentPor-LH=20 unchanged'!I126)/100)+103/POWER(1+('CurrentPor-LH=20 unchanged'!D126+'CurrentPor-LH=20 unchanged'!I126)/100,2))*100</f>
        <v>9583.5445383447059</v>
      </c>
      <c r="F126">
        <f>Portfolio!B$5*'CurrentPor-LH=20 unchanged'!E126</f>
        <v>52143.895533915893</v>
      </c>
      <c r="G126">
        <f>Portfolio!B$6*'CurrentPor-LH=20 unchanged'!F126</f>
        <v>3696.2945087936532</v>
      </c>
      <c r="H126">
        <f>Portfolio!B$7*'CurrentPor-LH=20 unchanged'!J126</f>
        <v>2148.0998964419859</v>
      </c>
      <c r="I126">
        <f t="shared" si="2"/>
        <v>96501.930954907977</v>
      </c>
      <c r="J126">
        <f t="shared" si="3"/>
        <v>-13.289164026762592</v>
      </c>
    </row>
    <row r="127" spans="1:10">
      <c r="A127" s="1">
        <v>45646</v>
      </c>
      <c r="B127">
        <f>(3/(1+('CurrentPor-LH=20 unchanged'!C127)/100)+103/POWER(1+('CurrentPor-LH=20 unchanged'!D127)/100,2))*100</f>
        <v>9707.5857774288397</v>
      </c>
      <c r="C127">
        <f>(3/(1+('CurrentPor-LH=20 unchanged'!C127+'CurrentPor-LH=20 unchanged'!G127)/100)+103/POWER(1+('CurrentPor-LH=20 unchanged'!D127+'CurrentPor-LH=20 unchanged'!G127)/100,2))*100</f>
        <v>9614.9673582483465</v>
      </c>
      <c r="D127">
        <f>(3/(1+('CurrentPor-LH=20 unchanged'!C127+'CurrentPor-LH=20 unchanged'!H127)/100)+103/POWER(1+('CurrentPor-LH=20 unchanged'!D127+'CurrentPor-LH=20 unchanged'!H127)/100,2))*100</f>
        <v>9597.076535769178</v>
      </c>
      <c r="E127">
        <f>(3/(1+('CurrentPor-LH=20 unchanged'!C127+'CurrentPor-LH=20 unchanged'!I127)/100)+103/POWER(1+('CurrentPor-LH=20 unchanged'!D127+'CurrentPor-LH=20 unchanged'!I127)/100,2))*100</f>
        <v>9596.9888639645633</v>
      </c>
      <c r="F127">
        <f>Portfolio!B$5*'CurrentPor-LH=20 unchanged'!E127</f>
        <v>52143.895533915893</v>
      </c>
      <c r="G127">
        <f>Portfolio!B$6*'CurrentPor-LH=20 unchanged'!F127</f>
        <v>3696.2945087936532</v>
      </c>
      <c r="H127">
        <f>Portfolio!B$7*'CurrentPor-LH=20 unchanged'!J127</f>
        <v>2148.0998964419859</v>
      </c>
      <c r="I127">
        <f t="shared" si="2"/>
        <v>96504.908474562457</v>
      </c>
      <c r="J127">
        <f t="shared" si="3"/>
        <v>5.593888070579851</v>
      </c>
    </row>
    <row r="128" spans="1:10">
      <c r="A128" s="1">
        <v>45649</v>
      </c>
      <c r="B128">
        <f>(3/(1+('CurrentPor-LH=20 unchanged'!C128)/100)+103/POWER(1+('CurrentPor-LH=20 unchanged'!D128)/100,2))*100</f>
        <v>9707.5857774288397</v>
      </c>
      <c r="C128">
        <f>(3/(1+('CurrentPor-LH=20 unchanged'!C128+'CurrentPor-LH=20 unchanged'!G128)/100)+103/POWER(1+('CurrentPor-LH=20 unchanged'!D128+'CurrentPor-LH=20 unchanged'!G128)/100,2))*100</f>
        <v>9614.9673582483465</v>
      </c>
      <c r="D128">
        <f>(3/(1+('CurrentPor-LH=20 unchanged'!C128+'CurrentPor-LH=20 unchanged'!H128)/100)+103/POWER(1+('CurrentPor-LH=20 unchanged'!D128+'CurrentPor-LH=20 unchanged'!H128)/100,2))*100</f>
        <v>9592.2244538305968</v>
      </c>
      <c r="E128">
        <f>(3/(1+('CurrentPor-LH=20 unchanged'!C128+'CurrentPor-LH=20 unchanged'!I128)/100)+103/POWER(1+('CurrentPor-LH=20 unchanged'!D128+'CurrentPor-LH=20 unchanged'!I128)/100,2))*100</f>
        <v>9583.3317290103514</v>
      </c>
      <c r="F128">
        <f>Portfolio!B$5*'CurrentPor-LH=20 unchanged'!E128</f>
        <v>52143.895533915893</v>
      </c>
      <c r="G128">
        <f>Portfolio!B$6*'CurrentPor-LH=20 unchanged'!F128</f>
        <v>3696.2945087936532</v>
      </c>
      <c r="H128">
        <f>Portfolio!B$7*'CurrentPor-LH=20 unchanged'!J128</f>
        <v>2148.0998964419859</v>
      </c>
      <c r="I128">
        <f t="shared" si="2"/>
        <v>96486.399257669676</v>
      </c>
      <c r="J128">
        <f t="shared" si="3"/>
        <v>0.71063647771370597</v>
      </c>
    </row>
    <row r="129" spans="1:10">
      <c r="A129" s="1">
        <v>45650</v>
      </c>
      <c r="B129">
        <f>(3/(1+('CurrentPor-LH=20 unchanged'!C129)/100)+103/POWER(1+('CurrentPor-LH=20 unchanged'!D129)/100,2))*100</f>
        <v>9707.5857774288397</v>
      </c>
      <c r="C129">
        <f>(3/(1+('CurrentPor-LH=20 unchanged'!C129+'CurrentPor-LH=20 unchanged'!G129)/100)+103/POWER(1+('CurrentPor-LH=20 unchanged'!D129+'CurrentPor-LH=20 unchanged'!G129)/100,2))*100</f>
        <v>9614.9673582483465</v>
      </c>
      <c r="D129">
        <f>(3/(1+('CurrentPor-LH=20 unchanged'!C129+'CurrentPor-LH=20 unchanged'!H129)/100)+103/POWER(1+('CurrentPor-LH=20 unchanged'!D129+'CurrentPor-LH=20 unchanged'!H129)/100,2))*100</f>
        <v>9606.1867388835362</v>
      </c>
      <c r="E129">
        <f>(3/(1+('CurrentPor-LH=20 unchanged'!C129+'CurrentPor-LH=20 unchanged'!I129)/100)+103/POWER(1+('CurrentPor-LH=20 unchanged'!D129+'CurrentPor-LH=20 unchanged'!I129)/100,2))*100</f>
        <v>9571.0968242513409</v>
      </c>
      <c r="F129">
        <f>Portfolio!B$5*'CurrentPor-LH=20 unchanged'!E129</f>
        <v>52143.895533915893</v>
      </c>
      <c r="G129">
        <f>Portfolio!B$6*'CurrentPor-LH=20 unchanged'!F129</f>
        <v>3696.2945087936532</v>
      </c>
      <c r="H129">
        <f>Portfolio!B$7*'CurrentPor-LH=20 unchanged'!J129</f>
        <v>2148.0998964419859</v>
      </c>
      <c r="I129">
        <f t="shared" si="2"/>
        <v>96488.126637963593</v>
      </c>
      <c r="J129">
        <f t="shared" si="3"/>
        <v>12.693355224764673</v>
      </c>
    </row>
    <row r="130" spans="1:10">
      <c r="A130" s="1">
        <v>45651</v>
      </c>
      <c r="B130">
        <f>(3/(1+('CurrentPor-LH=20 unchanged'!C130)/100)+103/POWER(1+('CurrentPor-LH=20 unchanged'!D130)/100,2))*100</f>
        <v>9707.5857774288397</v>
      </c>
      <c r="C130">
        <f>(3/(1+('CurrentPor-LH=20 unchanged'!C130+'CurrentPor-LH=20 unchanged'!G130)/100)+103/POWER(1+('CurrentPor-LH=20 unchanged'!D130+'CurrentPor-LH=20 unchanged'!G130)/100,2))*100</f>
        <v>9614.9673582483465</v>
      </c>
      <c r="D130">
        <f>(3/(1+('CurrentPor-LH=20 unchanged'!C130+'CurrentPor-LH=20 unchanged'!H130)/100)+103/POWER(1+('CurrentPor-LH=20 unchanged'!D130+'CurrentPor-LH=20 unchanged'!H130)/100,2))*100</f>
        <v>9615.7235973101724</v>
      </c>
      <c r="E130">
        <f>(3/(1+('CurrentPor-LH=20 unchanged'!C130+'CurrentPor-LH=20 unchanged'!I130)/100)+103/POWER(1+('CurrentPor-LH=20 unchanged'!D130+'CurrentPor-LH=20 unchanged'!I130)/100,2))*100</f>
        <v>9575.2282359582678</v>
      </c>
      <c r="F130">
        <f>Portfolio!B$5*'CurrentPor-LH=20 unchanged'!E130</f>
        <v>52143.895533915893</v>
      </c>
      <c r="G130">
        <f>Portfolio!B$6*'CurrentPor-LH=20 unchanged'!F130</f>
        <v>3696.2945087936532</v>
      </c>
      <c r="H130">
        <f>Portfolio!B$7*'CurrentPor-LH=20 unchanged'!J130</f>
        <v>2148.0998964419859</v>
      </c>
      <c r="I130">
        <f t="shared" si="2"/>
        <v>96501.794908097159</v>
      </c>
      <c r="J130">
        <f t="shared" si="3"/>
        <v>-3.4080054332880536</v>
      </c>
    </row>
    <row r="131" spans="1:10">
      <c r="A131" s="1">
        <v>45652</v>
      </c>
      <c r="B131">
        <f>(3/(1+('CurrentPor-LH=20 unchanged'!C131)/100)+103/POWER(1+('CurrentPor-LH=20 unchanged'!D131)/100,2))*100</f>
        <v>9707.5857774288397</v>
      </c>
      <c r="C131">
        <f>(3/(1+('CurrentPor-LH=20 unchanged'!C131+'CurrentPor-LH=20 unchanged'!G131)/100)+103/POWER(1+('CurrentPor-LH=20 unchanged'!D131+'CurrentPor-LH=20 unchanged'!G131)/100,2))*100</f>
        <v>9614.9673582483465</v>
      </c>
      <c r="D131">
        <f>(3/(1+('CurrentPor-LH=20 unchanged'!C131+'CurrentPor-LH=20 unchanged'!H131)/100)+103/POWER(1+('CurrentPor-LH=20 unchanged'!D131+'CurrentPor-LH=20 unchanged'!H131)/100,2))*100</f>
        <v>9610.0078394579687</v>
      </c>
      <c r="E131">
        <f>(3/(1+('CurrentPor-LH=20 unchanged'!C131+'CurrentPor-LH=20 unchanged'!I131)/100)+103/POWER(1+('CurrentPor-LH=20 unchanged'!D131+'CurrentPor-LH=20 unchanged'!I131)/100,2))*100</f>
        <v>9579.5278199657423</v>
      </c>
      <c r="F131">
        <f>Portfolio!B$5*'CurrentPor-LH=20 unchanged'!E131</f>
        <v>52143.895533915893</v>
      </c>
      <c r="G131">
        <f>Portfolio!B$6*'CurrentPor-LH=20 unchanged'!F131</f>
        <v>3696.2945087936532</v>
      </c>
      <c r="H131">
        <f>Portfolio!B$7*'CurrentPor-LH=20 unchanged'!J131</f>
        <v>2148.0998964419859</v>
      </c>
      <c r="I131">
        <f t="shared" si="2"/>
        <v>96500.37873425243</v>
      </c>
      <c r="J131">
        <f t="shared" si="3"/>
        <v>-7.2253321508760564</v>
      </c>
    </row>
    <row r="132" spans="1:10">
      <c r="A132" s="1">
        <v>45653</v>
      </c>
      <c r="B132">
        <f>(3/(1+('CurrentPor-LH=20 unchanged'!C132)/100)+103/POWER(1+('CurrentPor-LH=20 unchanged'!D132)/100,2))*100</f>
        <v>9707.5857774288397</v>
      </c>
      <c r="C132">
        <f>(3/(1+('CurrentPor-LH=20 unchanged'!C132+'CurrentPor-LH=20 unchanged'!G132)/100)+103/POWER(1+('CurrentPor-LH=20 unchanged'!D132+'CurrentPor-LH=20 unchanged'!G132)/100,2))*100</f>
        <v>9614.9673582483465</v>
      </c>
      <c r="D132">
        <f>(3/(1+('CurrentPor-LH=20 unchanged'!C132+'CurrentPor-LH=20 unchanged'!H132)/100)+103/POWER(1+('CurrentPor-LH=20 unchanged'!D132+'CurrentPor-LH=20 unchanged'!H132)/100,2))*100</f>
        <v>9616.974122242842</v>
      </c>
      <c r="E132">
        <f>(3/(1+('CurrentPor-LH=20 unchanged'!C132+'CurrentPor-LH=20 unchanged'!I132)/100)+103/POWER(1+('CurrentPor-LH=20 unchanged'!D132+'CurrentPor-LH=20 unchanged'!I132)/100,2))*100</f>
        <v>9559.6759380989533</v>
      </c>
      <c r="F132">
        <f>Portfolio!B$5*'CurrentPor-LH=20 unchanged'!E132</f>
        <v>52143.895533915893</v>
      </c>
      <c r="G132">
        <f>Portfolio!B$6*'CurrentPor-LH=20 unchanged'!F132</f>
        <v>3696.2945087936532</v>
      </c>
      <c r="H132">
        <f>Portfolio!B$7*'CurrentPor-LH=20 unchanged'!J132</f>
        <v>2148.0998964419859</v>
      </c>
      <c r="I132">
        <f t="shared" ref="I132:I195" si="4">SUM(B132:H132)</f>
        <v>96487.493135170502</v>
      </c>
      <c r="J132">
        <f t="shared" si="3"/>
        <v>-8.7961286232748535</v>
      </c>
    </row>
    <row r="133" spans="1:10">
      <c r="A133" s="1">
        <v>45656</v>
      </c>
      <c r="B133">
        <f>(3/(1+('CurrentPor-LH=20 unchanged'!C133)/100)+103/POWER(1+('CurrentPor-LH=20 unchanged'!D133)/100,2))*100</f>
        <v>9707.5857774288397</v>
      </c>
      <c r="C133">
        <f>(3/(1+('CurrentPor-LH=20 unchanged'!C133+'CurrentPor-LH=20 unchanged'!G133)/100)+103/POWER(1+('CurrentPor-LH=20 unchanged'!D133+'CurrentPor-LH=20 unchanged'!G133)/100,2))*100</f>
        <v>9614.9673582483465</v>
      </c>
      <c r="D133">
        <f>(3/(1+('CurrentPor-LH=20 unchanged'!C133+'CurrentPor-LH=20 unchanged'!H133)/100)+103/POWER(1+('CurrentPor-LH=20 unchanged'!D133+'CurrentPor-LH=20 unchanged'!H133)/100,2))*100</f>
        <v>9615.9708947416966</v>
      </c>
      <c r="E133">
        <f>(3/(1+('CurrentPor-LH=20 unchanged'!C133+'CurrentPor-LH=20 unchanged'!I133)/100)+103/POWER(1+('CurrentPor-LH=20 unchanged'!D133+'CurrentPor-LH=20 unchanged'!I133)/100,2))*100</f>
        <v>9574.8955319227989</v>
      </c>
      <c r="F133">
        <f>Portfolio!B$5*'CurrentPor-LH=20 unchanged'!E133</f>
        <v>52143.895533915893</v>
      </c>
      <c r="G133">
        <f>Portfolio!B$6*'CurrentPor-LH=20 unchanged'!F133</f>
        <v>3696.2945087936532</v>
      </c>
      <c r="H133">
        <f>Portfolio!B$7*'CurrentPor-LH=20 unchanged'!J133</f>
        <v>2148.0998964419859</v>
      </c>
      <c r="I133">
        <f t="shared" si="4"/>
        <v>96501.709501493213</v>
      </c>
      <c r="J133">
        <f t="shared" si="3"/>
        <v>33.153811154013965</v>
      </c>
    </row>
    <row r="134" spans="1:10">
      <c r="A134" s="1">
        <v>45657</v>
      </c>
      <c r="B134">
        <f>(3/(1+('CurrentPor-LH=20 unchanged'!C134)/100)+103/POWER(1+('CurrentPor-LH=20 unchanged'!D134)/100,2))*100</f>
        <v>9707.5857774288397</v>
      </c>
      <c r="C134">
        <f>(3/(1+('CurrentPor-LH=20 unchanged'!C134+'CurrentPor-LH=20 unchanged'!G134)/100)+103/POWER(1+('CurrentPor-LH=20 unchanged'!D134+'CurrentPor-LH=20 unchanged'!G134)/100,2))*100</f>
        <v>9614.9673582483465</v>
      </c>
      <c r="D134">
        <f>(3/(1+('CurrentPor-LH=20 unchanged'!C134+'CurrentPor-LH=20 unchanged'!H134)/100)+103/POWER(1+('CurrentPor-LH=20 unchanged'!D134+'CurrentPor-LH=20 unchanged'!H134)/100,2))*100</f>
        <v>9606.9834105558039</v>
      </c>
      <c r="E134">
        <f>(3/(1+('CurrentPor-LH=20 unchanged'!C134+'CurrentPor-LH=20 unchanged'!I134)/100)+103/POWER(1+('CurrentPor-LH=20 unchanged'!D134+'CurrentPor-LH=20 unchanged'!I134)/100,2))*100</f>
        <v>9568.1648062486056</v>
      </c>
      <c r="F134">
        <f>Portfolio!B$5*'CurrentPor-LH=20 unchanged'!E134</f>
        <v>52143.895533915893</v>
      </c>
      <c r="G134">
        <f>Portfolio!B$6*'CurrentPor-LH=20 unchanged'!F134</f>
        <v>3696.2945087936532</v>
      </c>
      <c r="H134">
        <f>Portfolio!B$7*'CurrentPor-LH=20 unchanged'!J134</f>
        <v>2148.0998964419859</v>
      </c>
      <c r="I134">
        <f t="shared" si="4"/>
        <v>96485.991291633123</v>
      </c>
      <c r="J134">
        <f t="shared" si="3"/>
        <v>-10.168695595173631</v>
      </c>
    </row>
    <row r="135" spans="1:10">
      <c r="A135" s="1">
        <v>45658</v>
      </c>
      <c r="B135">
        <f>(3/(1+('CurrentPor-LH=20 unchanged'!C135)/100)+103/POWER(1+('CurrentPor-LH=20 unchanged'!D135)/100,2))*100</f>
        <v>9707.5857774288397</v>
      </c>
      <c r="C135">
        <f>(3/(1+('CurrentPor-LH=20 unchanged'!C135+'CurrentPor-LH=20 unchanged'!G135)/100)+103/POWER(1+('CurrentPor-LH=20 unchanged'!D135+'CurrentPor-LH=20 unchanged'!G135)/100,2))*100</f>
        <v>9614.9673582483465</v>
      </c>
      <c r="D135">
        <f>(3/(1+('CurrentPor-LH=20 unchanged'!C135+'CurrentPor-LH=20 unchanged'!H135)/100)+103/POWER(1+('CurrentPor-LH=20 unchanged'!D135+'CurrentPor-LH=20 unchanged'!H135)/100,2))*100</f>
        <v>9583.3556941729948</v>
      </c>
      <c r="E135">
        <f>(3/(1+('CurrentPor-LH=20 unchanged'!C135+'CurrentPor-LH=20 unchanged'!I135)/100)+103/POWER(1+('CurrentPor-LH=20 unchanged'!D135+'CurrentPor-LH=20 unchanged'!I135)/100,2))*100</f>
        <v>9576.4501406326817</v>
      </c>
      <c r="F135">
        <f>Portfolio!B$5*'CurrentPor-LH=20 unchanged'!E135</f>
        <v>52143.895533915893</v>
      </c>
      <c r="G135">
        <f>Portfolio!B$6*'CurrentPor-LH=20 unchanged'!F135</f>
        <v>3696.2945087936532</v>
      </c>
      <c r="H135">
        <f>Portfolio!B$7*'CurrentPor-LH=20 unchanged'!J135</f>
        <v>2148.0998964419859</v>
      </c>
      <c r="I135">
        <f t="shared" si="4"/>
        <v>96470.648909634401</v>
      </c>
      <c r="J135">
        <f t="shared" si="3"/>
        <v>-8.1819554597313982</v>
      </c>
    </row>
    <row r="136" spans="1:10">
      <c r="A136" s="1">
        <v>45659</v>
      </c>
      <c r="B136">
        <f>(3/(1+('CurrentPor-LH=20 unchanged'!C136)/100)+103/POWER(1+('CurrentPor-LH=20 unchanged'!D136)/100,2))*100</f>
        <v>9707.5857774288397</v>
      </c>
      <c r="C136">
        <f>(3/(1+('CurrentPor-LH=20 unchanged'!C136+'CurrentPor-LH=20 unchanged'!G136)/100)+103/POWER(1+('CurrentPor-LH=20 unchanged'!D136+'CurrentPor-LH=20 unchanged'!G136)/100,2))*100</f>
        <v>9614.9673582483465</v>
      </c>
      <c r="D136">
        <f>(3/(1+('CurrentPor-LH=20 unchanged'!C136+'CurrentPor-LH=20 unchanged'!H136)/100)+103/POWER(1+('CurrentPor-LH=20 unchanged'!D136+'CurrentPor-LH=20 unchanged'!H136)/100,2))*100</f>
        <v>9591.9880894327471</v>
      </c>
      <c r="E136">
        <f>(3/(1+('CurrentPor-LH=20 unchanged'!C136+'CurrentPor-LH=20 unchanged'!I136)/100)+103/POWER(1+('CurrentPor-LH=20 unchanged'!D136+'CurrentPor-LH=20 unchanged'!I136)/100,2))*100</f>
        <v>9574.7844990282883</v>
      </c>
      <c r="F136">
        <f>Portfolio!B$5*'CurrentPor-LH=20 unchanged'!E136</f>
        <v>52143.895533915893</v>
      </c>
      <c r="G136">
        <f>Portfolio!B$6*'CurrentPor-LH=20 unchanged'!F136</f>
        <v>3696.2945087936532</v>
      </c>
      <c r="H136">
        <f>Portfolio!B$7*'CurrentPor-LH=20 unchanged'!J136</f>
        <v>2148.0998964419859</v>
      </c>
      <c r="I136">
        <f t="shared" si="4"/>
        <v>96477.615663289747</v>
      </c>
      <c r="J136">
        <f t="shared" si="3"/>
        <v>-24.315291618229821</v>
      </c>
    </row>
    <row r="137" spans="1:10">
      <c r="A137" s="1">
        <v>45660</v>
      </c>
      <c r="B137">
        <f>(3/(1+('CurrentPor-LH=20 unchanged'!C137)/100)+103/POWER(1+('CurrentPor-LH=20 unchanged'!D137)/100,2))*100</f>
        <v>9707.5857774288397</v>
      </c>
      <c r="C137">
        <f>(3/(1+('CurrentPor-LH=20 unchanged'!C137+'CurrentPor-LH=20 unchanged'!G137)/100)+103/POWER(1+('CurrentPor-LH=20 unchanged'!D137+'CurrentPor-LH=20 unchanged'!G137)/100,2))*100</f>
        <v>9614.9673582483465</v>
      </c>
      <c r="D137">
        <f>(3/(1+('CurrentPor-LH=20 unchanged'!C137+'CurrentPor-LH=20 unchanged'!H137)/100)+103/POWER(1+('CurrentPor-LH=20 unchanged'!D137+'CurrentPor-LH=20 unchanged'!H137)/100,2))*100</f>
        <v>9599.5041418395922</v>
      </c>
      <c r="E137">
        <f>(3/(1+('CurrentPor-LH=20 unchanged'!C137+'CurrentPor-LH=20 unchanged'!I137)/100)+103/POWER(1+('CurrentPor-LH=20 unchanged'!D137+'CurrentPor-LH=20 unchanged'!I137)/100,2))*100</f>
        <v>9581.9963668513847</v>
      </c>
      <c r="F137">
        <f>Portfolio!B$5*'CurrentPor-LH=20 unchanged'!E137</f>
        <v>52143.895533915893</v>
      </c>
      <c r="G137">
        <f>Portfolio!B$6*'CurrentPor-LH=20 unchanged'!F137</f>
        <v>3696.2945087936532</v>
      </c>
      <c r="H137">
        <f>Portfolio!B$7*'CurrentPor-LH=20 unchanged'!J137</f>
        <v>2148.0998964419859</v>
      </c>
      <c r="I137">
        <f t="shared" si="4"/>
        <v>96492.343583519701</v>
      </c>
      <c r="J137">
        <f t="shared" si="3"/>
        <v>-12.564891042755335</v>
      </c>
    </row>
    <row r="138" spans="1:10">
      <c r="A138" s="1">
        <v>45663</v>
      </c>
      <c r="B138">
        <f>(3/(1+('CurrentPor-LH=20 unchanged'!C138)/100)+103/POWER(1+('CurrentPor-LH=20 unchanged'!D138)/100,2))*100</f>
        <v>9707.5857774288397</v>
      </c>
      <c r="C138">
        <f>(3/(1+('CurrentPor-LH=20 unchanged'!C138+'CurrentPor-LH=20 unchanged'!G138)/100)+103/POWER(1+('CurrentPor-LH=20 unchanged'!D138+'CurrentPor-LH=20 unchanged'!G138)/100,2))*100</f>
        <v>9614.9673582483465</v>
      </c>
      <c r="D138">
        <f>(3/(1+('CurrentPor-LH=20 unchanged'!C138+'CurrentPor-LH=20 unchanged'!H138)/100)+103/POWER(1+('CurrentPor-LH=20 unchanged'!D138+'CurrentPor-LH=20 unchanged'!H138)/100,2))*100</f>
        <v>9600.0610807774174</v>
      </c>
      <c r="E138">
        <f>(3/(1+('CurrentPor-LH=20 unchanged'!C138+'CurrentPor-LH=20 unchanged'!I138)/100)+103/POWER(1+('CurrentPor-LH=20 unchanged'!D138+'CurrentPor-LH=20 unchanged'!I138)/100,2))*100</f>
        <v>9584.0415154456041</v>
      </c>
      <c r="F138">
        <f>Portfolio!B$5*'CurrentPor-LH=20 unchanged'!E138</f>
        <v>52143.895533915893</v>
      </c>
      <c r="G138">
        <f>Portfolio!B$6*'CurrentPor-LH=20 unchanged'!F138</f>
        <v>3696.2945087936532</v>
      </c>
      <c r="H138">
        <f>Portfolio!B$7*'CurrentPor-LH=20 unchanged'!J138</f>
        <v>2148.0998964419859</v>
      </c>
      <c r="I138">
        <f t="shared" si="4"/>
        <v>96494.945671051741</v>
      </c>
      <c r="J138">
        <f t="shared" si="3"/>
        <v>8.5464133820642019</v>
      </c>
    </row>
    <row r="139" spans="1:10">
      <c r="A139" s="1">
        <v>45664</v>
      </c>
      <c r="B139">
        <f>(3/(1+('CurrentPor-LH=20 unchanged'!C139)/100)+103/POWER(1+('CurrentPor-LH=20 unchanged'!D139)/100,2))*100</f>
        <v>9707.5857774288397</v>
      </c>
      <c r="C139">
        <f>(3/(1+('CurrentPor-LH=20 unchanged'!C139+'CurrentPor-LH=20 unchanged'!G139)/100)+103/POWER(1+('CurrentPor-LH=20 unchanged'!D139+'CurrentPor-LH=20 unchanged'!G139)/100,2))*100</f>
        <v>9614.9673582483465</v>
      </c>
      <c r="D139">
        <f>(3/(1+('CurrentPor-LH=20 unchanged'!C139+'CurrentPor-LH=20 unchanged'!H139)/100)+103/POWER(1+('CurrentPor-LH=20 unchanged'!D139+'CurrentPor-LH=20 unchanged'!H139)/100,2))*100</f>
        <v>9595.0122954645685</v>
      </c>
      <c r="E139">
        <f>(3/(1+('CurrentPor-LH=20 unchanged'!C139+'CurrentPor-LH=20 unchanged'!I139)/100)+103/POWER(1+('CurrentPor-LH=20 unchanged'!D139+'CurrentPor-LH=20 unchanged'!I139)/100,2))*100</f>
        <v>9594.8104301795502</v>
      </c>
      <c r="F139">
        <f>Portfolio!B$5*'CurrentPor-LH=20 unchanged'!E139</f>
        <v>52143.895533915893</v>
      </c>
      <c r="G139">
        <f>Portfolio!B$6*'CurrentPor-LH=20 unchanged'!F139</f>
        <v>3696.2945087936532</v>
      </c>
      <c r="H139">
        <f>Portfolio!B$7*'CurrentPor-LH=20 unchanged'!J139</f>
        <v>2148.0998964419859</v>
      </c>
      <c r="I139">
        <f t="shared" si="4"/>
        <v>96500.665800472823</v>
      </c>
      <c r="J139">
        <f t="shared" si="3"/>
        <v>12.539162509230664</v>
      </c>
    </row>
    <row r="140" spans="1:10">
      <c r="A140" s="1">
        <v>45665</v>
      </c>
      <c r="B140">
        <f>(3/(1+('CurrentPor-LH=20 unchanged'!C140)/100)+103/POWER(1+('CurrentPor-LH=20 unchanged'!D140)/100,2))*100</f>
        <v>9707.5857774288397</v>
      </c>
      <c r="C140">
        <f>(3/(1+('CurrentPor-LH=20 unchanged'!C140+'CurrentPor-LH=20 unchanged'!G140)/100)+103/POWER(1+('CurrentPor-LH=20 unchanged'!D140+'CurrentPor-LH=20 unchanged'!G140)/100,2))*100</f>
        <v>9614.9673582483465</v>
      </c>
      <c r="D140">
        <f>(3/(1+('CurrentPor-LH=20 unchanged'!C140+'CurrentPor-LH=20 unchanged'!H140)/100)+103/POWER(1+('CurrentPor-LH=20 unchanged'!D140+'CurrentPor-LH=20 unchanged'!H140)/100,2))*100</f>
        <v>9610.2706118493825</v>
      </c>
      <c r="E140">
        <f>(3/(1+('CurrentPor-LH=20 unchanged'!C140+'CurrentPor-LH=20 unchanged'!I140)/100)+103/POWER(1+('CurrentPor-LH=20 unchanged'!D140+'CurrentPor-LH=20 unchanged'!I140)/100,2))*100</f>
        <v>9595.037255917945</v>
      </c>
      <c r="F140">
        <f>Portfolio!B$5*'CurrentPor-LH=20 unchanged'!E140</f>
        <v>52143.895533915893</v>
      </c>
      <c r="G140">
        <f>Portfolio!B$6*'CurrentPor-LH=20 unchanged'!F140</f>
        <v>3696.2945087936532</v>
      </c>
      <c r="H140">
        <f>Portfolio!B$7*'CurrentPor-LH=20 unchanged'!J140</f>
        <v>2148.0998964419859</v>
      </c>
      <c r="I140">
        <f t="shared" si="4"/>
        <v>96516.150942596039</v>
      </c>
      <c r="J140">
        <f t="shared" si="3"/>
        <v>14.356034498880035</v>
      </c>
    </row>
    <row r="141" spans="1:10">
      <c r="A141" s="1">
        <v>45666</v>
      </c>
      <c r="B141">
        <f>(3/(1+('CurrentPor-LH=20 unchanged'!C141)/100)+103/POWER(1+('CurrentPor-LH=20 unchanged'!D141)/100,2))*100</f>
        <v>9707.5857774288397</v>
      </c>
      <c r="C141">
        <f>(3/(1+('CurrentPor-LH=20 unchanged'!C141+'CurrentPor-LH=20 unchanged'!G141)/100)+103/POWER(1+('CurrentPor-LH=20 unchanged'!D141+'CurrentPor-LH=20 unchanged'!G141)/100,2))*100</f>
        <v>9614.9673582483465</v>
      </c>
      <c r="D141">
        <f>(3/(1+('CurrentPor-LH=20 unchanged'!C141+'CurrentPor-LH=20 unchanged'!H141)/100)+103/POWER(1+('CurrentPor-LH=20 unchanged'!D141+'CurrentPor-LH=20 unchanged'!H141)/100,2))*100</f>
        <v>9600.9569611001298</v>
      </c>
      <c r="E141">
        <f>(3/(1+('CurrentPor-LH=20 unchanged'!C141+'CurrentPor-LH=20 unchanged'!I141)/100)+103/POWER(1+('CurrentPor-LH=20 unchanged'!D141+'CurrentPor-LH=20 unchanged'!I141)/100,2))*100</f>
        <v>9582.2471724738989</v>
      </c>
      <c r="F141">
        <f>Portfolio!B$5*'CurrentPor-LH=20 unchanged'!E141</f>
        <v>52143.895533915893</v>
      </c>
      <c r="G141">
        <f>Portfolio!B$6*'CurrentPor-LH=20 unchanged'!F141</f>
        <v>3696.2945087936532</v>
      </c>
      <c r="H141">
        <f>Portfolio!B$7*'CurrentPor-LH=20 unchanged'!J141</f>
        <v>2148.0998964419859</v>
      </c>
      <c r="I141">
        <f t="shared" si="4"/>
        <v>96494.047208402757</v>
      </c>
      <c r="J141">
        <f t="shared" si="3"/>
        <v>-6.3315258496731985</v>
      </c>
    </row>
    <row r="142" spans="1:10">
      <c r="A142" s="1">
        <v>45667</v>
      </c>
      <c r="B142">
        <f>(3/(1+('CurrentPor-LH=20 unchanged'!C142)/100)+103/POWER(1+('CurrentPor-LH=20 unchanged'!D142)/100,2))*100</f>
        <v>9707.5857774288397</v>
      </c>
      <c r="C142">
        <f>(3/(1+('CurrentPor-LH=20 unchanged'!C142+'CurrentPor-LH=20 unchanged'!G142)/100)+103/POWER(1+('CurrentPor-LH=20 unchanged'!D142+'CurrentPor-LH=20 unchanged'!G142)/100,2))*100</f>
        <v>9614.9673582483465</v>
      </c>
      <c r="D142">
        <f>(3/(1+('CurrentPor-LH=20 unchanged'!C142+'CurrentPor-LH=20 unchanged'!H142)/100)+103/POWER(1+('CurrentPor-LH=20 unchanged'!D142+'CurrentPor-LH=20 unchanged'!H142)/100,2))*100</f>
        <v>9580.7778046094209</v>
      </c>
      <c r="E142">
        <f>(3/(1+('CurrentPor-LH=20 unchanged'!C142+'CurrentPor-LH=20 unchanged'!I142)/100)+103/POWER(1+('CurrentPor-LH=20 unchanged'!D142+'CurrentPor-LH=20 unchanged'!I142)/100,2))*100</f>
        <v>9577.5786590425887</v>
      </c>
      <c r="F142">
        <f>Portfolio!B$5*'CurrentPor-LH=20 unchanged'!E142</f>
        <v>52143.895533915893</v>
      </c>
      <c r="G142">
        <f>Portfolio!B$6*'CurrentPor-LH=20 unchanged'!F142</f>
        <v>3696.2945087936532</v>
      </c>
      <c r="H142">
        <f>Portfolio!B$7*'CurrentPor-LH=20 unchanged'!J142</f>
        <v>2148.0998964419859</v>
      </c>
      <c r="I142">
        <f t="shared" si="4"/>
        <v>96469.199538480738</v>
      </c>
      <c r="J142">
        <f t="shared" ref="J142:J205" si="5">I142-I132</f>
        <v>-18.293596689763945</v>
      </c>
    </row>
    <row r="143" spans="1:10">
      <c r="A143" s="1">
        <v>45670</v>
      </c>
      <c r="B143">
        <f>(3/(1+('CurrentPor-LH=20 unchanged'!C143)/100)+103/POWER(1+('CurrentPor-LH=20 unchanged'!D143)/100,2))*100</f>
        <v>9707.5857774288397</v>
      </c>
      <c r="C143">
        <f>(3/(1+('CurrentPor-LH=20 unchanged'!C143+'CurrentPor-LH=20 unchanged'!G143)/100)+103/POWER(1+('CurrentPor-LH=20 unchanged'!D143+'CurrentPor-LH=20 unchanged'!G143)/100,2))*100</f>
        <v>9614.9673582483465</v>
      </c>
      <c r="D143">
        <f>(3/(1+('CurrentPor-LH=20 unchanged'!C143+'CurrentPor-LH=20 unchanged'!H143)/100)+103/POWER(1+('CurrentPor-LH=20 unchanged'!D143+'CurrentPor-LH=20 unchanged'!H143)/100,2))*100</f>
        <v>9593.1280668532836</v>
      </c>
      <c r="E143">
        <f>(3/(1+('CurrentPor-LH=20 unchanged'!C143+'CurrentPor-LH=20 unchanged'!I143)/100)+103/POWER(1+('CurrentPor-LH=20 unchanged'!D143+'CurrentPor-LH=20 unchanged'!I143)/100,2))*100</f>
        <v>9598.5309280284091</v>
      </c>
      <c r="F143">
        <f>Portfolio!B$5*'CurrentPor-LH=20 unchanged'!E143</f>
        <v>52143.895533915893</v>
      </c>
      <c r="G143">
        <f>Portfolio!B$6*'CurrentPor-LH=20 unchanged'!F143</f>
        <v>3696.2945087936532</v>
      </c>
      <c r="H143">
        <f>Portfolio!B$7*'CurrentPor-LH=20 unchanged'!J143</f>
        <v>2148.0998964419859</v>
      </c>
      <c r="I143">
        <f t="shared" si="4"/>
        <v>96502.502069710419</v>
      </c>
      <c r="J143">
        <f t="shared" si="5"/>
        <v>0.79256821720628068</v>
      </c>
    </row>
    <row r="144" spans="1:10">
      <c r="A144" s="1">
        <v>45671</v>
      </c>
      <c r="B144">
        <f>(3/(1+('CurrentPor-LH=20 unchanged'!C144)/100)+103/POWER(1+('CurrentPor-LH=20 unchanged'!D144)/100,2))*100</f>
        <v>9707.5857774288397</v>
      </c>
      <c r="C144">
        <f>(3/(1+('CurrentPor-LH=20 unchanged'!C144+'CurrentPor-LH=20 unchanged'!G144)/100)+103/POWER(1+('CurrentPor-LH=20 unchanged'!D144+'CurrentPor-LH=20 unchanged'!G144)/100,2))*100</f>
        <v>9614.9673582483465</v>
      </c>
      <c r="D144">
        <f>(3/(1+('CurrentPor-LH=20 unchanged'!C144+'CurrentPor-LH=20 unchanged'!H144)/100)+103/POWER(1+('CurrentPor-LH=20 unchanged'!D144+'CurrentPor-LH=20 unchanged'!H144)/100,2))*100</f>
        <v>9599.2502015854407</v>
      </c>
      <c r="E144">
        <f>(3/(1+('CurrentPor-LH=20 unchanged'!C144+'CurrentPor-LH=20 unchanged'!I144)/100)+103/POWER(1+('CurrentPor-LH=20 unchanged'!D144+'CurrentPor-LH=20 unchanged'!I144)/100,2))*100</f>
        <v>9598.2714481066359</v>
      </c>
      <c r="F144">
        <f>Portfolio!B$5*'CurrentPor-LH=20 unchanged'!E144</f>
        <v>52143.895533915893</v>
      </c>
      <c r="G144">
        <f>Portfolio!B$6*'CurrentPor-LH=20 unchanged'!F144</f>
        <v>3696.2945087936532</v>
      </c>
      <c r="H144">
        <f>Portfolio!B$7*'CurrentPor-LH=20 unchanged'!J144</f>
        <v>2148.0998964419859</v>
      </c>
      <c r="I144">
        <f t="shared" si="4"/>
        <v>96508.364724520783</v>
      </c>
      <c r="J144">
        <f t="shared" si="5"/>
        <v>22.373432887659874</v>
      </c>
    </row>
    <row r="145" spans="1:10">
      <c r="A145" s="1">
        <v>45672</v>
      </c>
      <c r="B145">
        <f>(3/(1+('CurrentPor-LH=20 unchanged'!C145)/100)+103/POWER(1+('CurrentPor-LH=20 unchanged'!D145)/100,2))*100</f>
        <v>9707.5857774288397</v>
      </c>
      <c r="C145">
        <f>(3/(1+('CurrentPor-LH=20 unchanged'!C145+'CurrentPor-LH=20 unchanged'!G145)/100)+103/POWER(1+('CurrentPor-LH=20 unchanged'!D145+'CurrentPor-LH=20 unchanged'!G145)/100,2))*100</f>
        <v>9614.9673582483465</v>
      </c>
      <c r="D145">
        <f>(3/(1+('CurrentPor-LH=20 unchanged'!C145+'CurrentPor-LH=20 unchanged'!H145)/100)+103/POWER(1+('CurrentPor-LH=20 unchanged'!D145+'CurrentPor-LH=20 unchanged'!H145)/100,2))*100</f>
        <v>9577.8505225995959</v>
      </c>
      <c r="E145">
        <f>(3/(1+('CurrentPor-LH=20 unchanged'!C145+'CurrentPor-LH=20 unchanged'!I145)/100)+103/POWER(1+('CurrentPor-LH=20 unchanged'!D145+'CurrentPor-LH=20 unchanged'!I145)/100,2))*100</f>
        <v>9598.2653176076547</v>
      </c>
      <c r="F145">
        <f>Portfolio!B$5*'CurrentPor-LH=20 unchanged'!E145</f>
        <v>52143.895533915893</v>
      </c>
      <c r="G145">
        <f>Portfolio!B$6*'CurrentPor-LH=20 unchanged'!F145</f>
        <v>3696.2945087936532</v>
      </c>
      <c r="H145">
        <f>Portfolio!B$7*'CurrentPor-LH=20 unchanged'!J145</f>
        <v>2148.0998964419859</v>
      </c>
      <c r="I145">
        <f t="shared" si="4"/>
        <v>96486.958915035968</v>
      </c>
      <c r="J145">
        <f t="shared" si="5"/>
        <v>16.310005401566741</v>
      </c>
    </row>
    <row r="146" spans="1:10">
      <c r="A146" s="1">
        <v>45673</v>
      </c>
      <c r="B146">
        <f>(3/(1+('CurrentPor-LH=20 unchanged'!C146)/100)+103/POWER(1+('CurrentPor-LH=20 unchanged'!D146)/100,2))*100</f>
        <v>9707.5857774288397</v>
      </c>
      <c r="C146">
        <f>(3/(1+('CurrentPor-LH=20 unchanged'!C146+'CurrentPor-LH=20 unchanged'!G146)/100)+103/POWER(1+('CurrentPor-LH=20 unchanged'!D146+'CurrentPor-LH=20 unchanged'!G146)/100,2))*100</f>
        <v>9614.9673582483465</v>
      </c>
      <c r="D146">
        <f>(3/(1+('CurrentPor-LH=20 unchanged'!C146+'CurrentPor-LH=20 unchanged'!H146)/100)+103/POWER(1+('CurrentPor-LH=20 unchanged'!D146+'CurrentPor-LH=20 unchanged'!H146)/100,2))*100</f>
        <v>9598.0650175526116</v>
      </c>
      <c r="E146">
        <f>(3/(1+('CurrentPor-LH=20 unchanged'!C146+'CurrentPor-LH=20 unchanged'!I146)/100)+103/POWER(1+('CurrentPor-LH=20 unchanged'!D146+'CurrentPor-LH=20 unchanged'!I146)/100,2))*100</f>
        <v>9582.2740235077454</v>
      </c>
      <c r="F146">
        <f>Portfolio!B$5*'CurrentPor-LH=20 unchanged'!E146</f>
        <v>52143.895533915893</v>
      </c>
      <c r="G146">
        <f>Portfolio!B$6*'CurrentPor-LH=20 unchanged'!F146</f>
        <v>3696.2945087936532</v>
      </c>
      <c r="H146">
        <f>Portfolio!B$7*'CurrentPor-LH=20 unchanged'!J146</f>
        <v>2148.0998964419859</v>
      </c>
      <c r="I146">
        <f t="shared" si="4"/>
        <v>96491.182115889082</v>
      </c>
      <c r="J146">
        <f t="shared" si="5"/>
        <v>13.566452599334298</v>
      </c>
    </row>
    <row r="147" spans="1:10">
      <c r="A147" s="1">
        <v>45674</v>
      </c>
      <c r="B147">
        <f>(3/(1+('CurrentPor-LH=20 unchanged'!C147)/100)+103/POWER(1+('CurrentPor-LH=20 unchanged'!D147)/100,2))*100</f>
        <v>9707.5857774288397</v>
      </c>
      <c r="C147">
        <f>(3/(1+('CurrentPor-LH=20 unchanged'!C147+'CurrentPor-LH=20 unchanged'!G147)/100)+103/POWER(1+('CurrentPor-LH=20 unchanged'!D147+'CurrentPor-LH=20 unchanged'!G147)/100,2))*100</f>
        <v>9614.9673582483465</v>
      </c>
      <c r="D147">
        <f>(3/(1+('CurrentPor-LH=20 unchanged'!C147+'CurrentPor-LH=20 unchanged'!H147)/100)+103/POWER(1+('CurrentPor-LH=20 unchanged'!D147+'CurrentPor-LH=20 unchanged'!H147)/100,2))*100</f>
        <v>9614.1664743669025</v>
      </c>
      <c r="E147">
        <f>(3/(1+('CurrentPor-LH=20 unchanged'!C147+'CurrentPor-LH=20 unchanged'!I147)/100)+103/POWER(1+('CurrentPor-LH=20 unchanged'!D147+'CurrentPor-LH=20 unchanged'!I147)/100,2))*100</f>
        <v>9573.7645674310497</v>
      </c>
      <c r="F147">
        <f>Portfolio!B$5*'CurrentPor-LH=20 unchanged'!E147</f>
        <v>52143.895533915893</v>
      </c>
      <c r="G147">
        <f>Portfolio!B$6*'CurrentPor-LH=20 unchanged'!F147</f>
        <v>3696.2945087936532</v>
      </c>
      <c r="H147">
        <f>Portfolio!B$7*'CurrentPor-LH=20 unchanged'!J147</f>
        <v>2148.0998964419859</v>
      </c>
      <c r="I147">
        <f t="shared" si="4"/>
        <v>96498.774116626664</v>
      </c>
      <c r="J147">
        <f t="shared" si="5"/>
        <v>6.4305331069626845</v>
      </c>
    </row>
    <row r="148" spans="1:10">
      <c r="A148" s="1">
        <v>45677</v>
      </c>
      <c r="B148">
        <f>(3/(1+('CurrentPor-LH=20 unchanged'!C148)/100)+103/POWER(1+('CurrentPor-LH=20 unchanged'!D148)/100,2))*100</f>
        <v>9707.5857774288397</v>
      </c>
      <c r="C148">
        <f>(3/(1+('CurrentPor-LH=20 unchanged'!C148+'CurrentPor-LH=20 unchanged'!G148)/100)+103/POWER(1+('CurrentPor-LH=20 unchanged'!D148+'CurrentPor-LH=20 unchanged'!G148)/100,2))*100</f>
        <v>9614.9673582483465</v>
      </c>
      <c r="D148">
        <f>(3/(1+('CurrentPor-LH=20 unchanged'!C148+'CurrentPor-LH=20 unchanged'!H148)/100)+103/POWER(1+('CurrentPor-LH=20 unchanged'!D148+'CurrentPor-LH=20 unchanged'!H148)/100,2))*100</f>
        <v>9611.0422053074926</v>
      </c>
      <c r="E148">
        <f>(3/(1+('CurrentPor-LH=20 unchanged'!C148+'CurrentPor-LH=20 unchanged'!I148)/100)+103/POWER(1+('CurrentPor-LH=20 unchanged'!D148+'CurrentPor-LH=20 unchanged'!I148)/100,2))*100</f>
        <v>9583.2620962486326</v>
      </c>
      <c r="F148">
        <f>Portfolio!B$5*'CurrentPor-LH=20 unchanged'!E148</f>
        <v>52143.895533915893</v>
      </c>
      <c r="G148">
        <f>Portfolio!B$6*'CurrentPor-LH=20 unchanged'!F148</f>
        <v>3696.2945087936532</v>
      </c>
      <c r="H148">
        <f>Portfolio!B$7*'CurrentPor-LH=20 unchanged'!J148</f>
        <v>2148.0998964419859</v>
      </c>
      <c r="I148">
        <f t="shared" si="4"/>
        <v>96505.147376384833</v>
      </c>
      <c r="J148">
        <f t="shared" si="5"/>
        <v>10.201705333092832</v>
      </c>
    </row>
    <row r="149" spans="1:10">
      <c r="A149" s="1">
        <v>45678</v>
      </c>
      <c r="B149">
        <f>(3/(1+('CurrentPor-LH=20 unchanged'!C149)/100)+103/POWER(1+('CurrentPor-LH=20 unchanged'!D149)/100,2))*100</f>
        <v>9707.5857774288397</v>
      </c>
      <c r="C149">
        <f>(3/(1+('CurrentPor-LH=20 unchanged'!C149+'CurrentPor-LH=20 unchanged'!G149)/100)+103/POWER(1+('CurrentPor-LH=20 unchanged'!D149+'CurrentPor-LH=20 unchanged'!G149)/100,2))*100</f>
        <v>9614.9673582483465</v>
      </c>
      <c r="D149">
        <f>(3/(1+('CurrentPor-LH=20 unchanged'!C149+'CurrentPor-LH=20 unchanged'!H149)/100)+103/POWER(1+('CurrentPor-LH=20 unchanged'!D149+'CurrentPor-LH=20 unchanged'!H149)/100,2))*100</f>
        <v>9607.1387008109305</v>
      </c>
      <c r="E149">
        <f>(3/(1+('CurrentPor-LH=20 unchanged'!C149+'CurrentPor-LH=20 unchanged'!I149)/100)+103/POWER(1+('CurrentPor-LH=20 unchanged'!D149+'CurrentPor-LH=20 unchanged'!I149)/100,2))*100</f>
        <v>9561.8764688494157</v>
      </c>
      <c r="F149">
        <f>Portfolio!B$5*'CurrentPor-LH=20 unchanged'!E149</f>
        <v>52143.895533915893</v>
      </c>
      <c r="G149">
        <f>Portfolio!B$6*'CurrentPor-LH=20 unchanged'!F149</f>
        <v>3696.2945087936532</v>
      </c>
      <c r="H149">
        <f>Portfolio!B$7*'CurrentPor-LH=20 unchanged'!J149</f>
        <v>2148.0998964419859</v>
      </c>
      <c r="I149">
        <f t="shared" si="4"/>
        <v>96479.858244489064</v>
      </c>
      <c r="J149">
        <f t="shared" si="5"/>
        <v>-20.807555983759812</v>
      </c>
    </row>
    <row r="150" spans="1:10">
      <c r="A150" s="1">
        <v>45679</v>
      </c>
      <c r="B150">
        <f>(3/(1+('CurrentPor-LH=20 unchanged'!C150)/100)+103/POWER(1+('CurrentPor-LH=20 unchanged'!D150)/100,2))*100</f>
        <v>9707.5857774288397</v>
      </c>
      <c r="C150">
        <f>(3/(1+('CurrentPor-LH=20 unchanged'!C150+'CurrentPor-LH=20 unchanged'!G150)/100)+103/POWER(1+('CurrentPor-LH=20 unchanged'!D150+'CurrentPor-LH=20 unchanged'!G150)/100,2))*100</f>
        <v>9614.9673582483465</v>
      </c>
      <c r="D150">
        <f>(3/(1+('CurrentPor-LH=20 unchanged'!C150+'CurrentPor-LH=20 unchanged'!H150)/100)+103/POWER(1+('CurrentPor-LH=20 unchanged'!D150+'CurrentPor-LH=20 unchanged'!H150)/100,2))*100</f>
        <v>9595.3363631587381</v>
      </c>
      <c r="E150">
        <f>(3/(1+('CurrentPor-LH=20 unchanged'!C150+'CurrentPor-LH=20 unchanged'!I150)/100)+103/POWER(1+('CurrentPor-LH=20 unchanged'!D150+'CurrentPor-LH=20 unchanged'!I150)/100,2))*100</f>
        <v>9604.79804415326</v>
      </c>
      <c r="F150">
        <f>Portfolio!B$5*'CurrentPor-LH=20 unchanged'!E150</f>
        <v>52143.895533915893</v>
      </c>
      <c r="G150">
        <f>Portfolio!B$6*'CurrentPor-LH=20 unchanged'!F150</f>
        <v>3696.2945087936532</v>
      </c>
      <c r="H150">
        <f>Portfolio!B$7*'CurrentPor-LH=20 unchanged'!J150</f>
        <v>2148.0998964419859</v>
      </c>
      <c r="I150">
        <f t="shared" si="4"/>
        <v>96510.977482140719</v>
      </c>
      <c r="J150">
        <f t="shared" si="5"/>
        <v>-5.1734604553203098</v>
      </c>
    </row>
    <row r="151" spans="1:10">
      <c r="A151" s="1">
        <v>45680</v>
      </c>
      <c r="B151">
        <f>(3/(1+('CurrentPor-LH=20 unchanged'!C151)/100)+103/POWER(1+('CurrentPor-LH=20 unchanged'!D151)/100,2))*100</f>
        <v>9707.5857774288397</v>
      </c>
      <c r="C151">
        <f>(3/(1+('CurrentPor-LH=20 unchanged'!C151+'CurrentPor-LH=20 unchanged'!G151)/100)+103/POWER(1+('CurrentPor-LH=20 unchanged'!D151+'CurrentPor-LH=20 unchanged'!G151)/100,2))*100</f>
        <v>9614.9673582483465</v>
      </c>
      <c r="D151">
        <f>(3/(1+('CurrentPor-LH=20 unchanged'!C151+'CurrentPor-LH=20 unchanged'!H151)/100)+103/POWER(1+('CurrentPor-LH=20 unchanged'!D151+'CurrentPor-LH=20 unchanged'!H151)/100,2))*100</f>
        <v>9590.2177654821935</v>
      </c>
      <c r="E151">
        <f>(3/(1+('CurrentPor-LH=20 unchanged'!C151+'CurrentPor-LH=20 unchanged'!I151)/100)+103/POWER(1+('CurrentPor-LH=20 unchanged'!D151+'CurrentPor-LH=20 unchanged'!I151)/100,2))*100</f>
        <v>9593.6753871116944</v>
      </c>
      <c r="F151">
        <f>Portfolio!B$5*'CurrentPor-LH=20 unchanged'!E151</f>
        <v>52143.895533915893</v>
      </c>
      <c r="G151">
        <f>Portfolio!B$6*'CurrentPor-LH=20 unchanged'!F151</f>
        <v>3696.2945087936532</v>
      </c>
      <c r="H151">
        <f>Portfolio!B$7*'CurrentPor-LH=20 unchanged'!J151</f>
        <v>2148.0998964419859</v>
      </c>
      <c r="I151">
        <f t="shared" si="4"/>
        <v>96494.736227422603</v>
      </c>
      <c r="J151">
        <f t="shared" si="5"/>
        <v>0.68901901984645519</v>
      </c>
    </row>
    <row r="152" spans="1:10">
      <c r="A152" s="1">
        <v>45681</v>
      </c>
      <c r="B152">
        <f>(3/(1+('CurrentPor-LH=20 unchanged'!C152)/100)+103/POWER(1+('CurrentPor-LH=20 unchanged'!D152)/100,2))*100</f>
        <v>9707.5857774288397</v>
      </c>
      <c r="C152">
        <f>(3/(1+('CurrentPor-LH=20 unchanged'!C152+'CurrentPor-LH=20 unchanged'!G152)/100)+103/POWER(1+('CurrentPor-LH=20 unchanged'!D152+'CurrentPor-LH=20 unchanged'!G152)/100,2))*100</f>
        <v>9614.9673582483465</v>
      </c>
      <c r="D152">
        <f>(3/(1+('CurrentPor-LH=20 unchanged'!C152+'CurrentPor-LH=20 unchanged'!H152)/100)+103/POWER(1+('CurrentPor-LH=20 unchanged'!D152+'CurrentPor-LH=20 unchanged'!H152)/100,2))*100</f>
        <v>9593.4059629929925</v>
      </c>
      <c r="E152">
        <f>(3/(1+('CurrentPor-LH=20 unchanged'!C152+'CurrentPor-LH=20 unchanged'!I152)/100)+103/POWER(1+('CurrentPor-LH=20 unchanged'!D152+'CurrentPor-LH=20 unchanged'!I152)/100,2))*100</f>
        <v>9585.0051987282932</v>
      </c>
      <c r="F152">
        <f>Portfolio!B$5*'CurrentPor-LH=20 unchanged'!E152</f>
        <v>52143.895533915893</v>
      </c>
      <c r="G152">
        <f>Portfolio!B$6*'CurrentPor-LH=20 unchanged'!F152</f>
        <v>3696.2945087936532</v>
      </c>
      <c r="H152">
        <f>Portfolio!B$7*'CurrentPor-LH=20 unchanged'!J152</f>
        <v>2148.0998964419859</v>
      </c>
      <c r="I152">
        <f t="shared" si="4"/>
        <v>96489.254236549998</v>
      </c>
      <c r="J152">
        <f t="shared" si="5"/>
        <v>20.054698069259757</v>
      </c>
    </row>
    <row r="153" spans="1:10">
      <c r="A153" s="1">
        <v>45684</v>
      </c>
      <c r="B153">
        <f>(3/(1+('CurrentPor-LH=20 unchanged'!C153)/100)+103/POWER(1+('CurrentPor-LH=20 unchanged'!D153)/100,2))*100</f>
        <v>9707.5857774288397</v>
      </c>
      <c r="C153">
        <f>(3/(1+('CurrentPor-LH=20 unchanged'!C153+'CurrentPor-LH=20 unchanged'!G153)/100)+103/POWER(1+('CurrentPor-LH=20 unchanged'!D153+'CurrentPor-LH=20 unchanged'!G153)/100,2))*100</f>
        <v>9614.9673582483465</v>
      </c>
      <c r="D153">
        <f>(3/(1+('CurrentPor-LH=20 unchanged'!C153+'CurrentPor-LH=20 unchanged'!H153)/100)+103/POWER(1+('CurrentPor-LH=20 unchanged'!D153+'CurrentPor-LH=20 unchanged'!H153)/100,2))*100</f>
        <v>9598.4936760508135</v>
      </c>
      <c r="E153">
        <f>(3/(1+('CurrentPor-LH=20 unchanged'!C153+'CurrentPor-LH=20 unchanged'!I153)/100)+103/POWER(1+('CurrentPor-LH=20 unchanged'!D153+'CurrentPor-LH=20 unchanged'!I153)/100,2))*100</f>
        <v>9601.8794634695678</v>
      </c>
      <c r="F153">
        <f>Portfolio!B$5*'CurrentPor-LH=20 unchanged'!E153</f>
        <v>52143.895533915893</v>
      </c>
      <c r="G153">
        <f>Portfolio!B$6*'CurrentPor-LH=20 unchanged'!F153</f>
        <v>3696.2945087936532</v>
      </c>
      <c r="H153">
        <f>Portfolio!B$7*'CurrentPor-LH=20 unchanged'!J153</f>
        <v>2148.0998964419859</v>
      </c>
      <c r="I153">
        <f t="shared" si="4"/>
        <v>96511.2162143491</v>
      </c>
      <c r="J153">
        <f t="shared" si="5"/>
        <v>8.7141446386813186</v>
      </c>
    </row>
    <row r="154" spans="1:10">
      <c r="A154" s="1">
        <v>45685</v>
      </c>
      <c r="B154">
        <f>(3/(1+('CurrentPor-LH=20 unchanged'!C154)/100)+103/POWER(1+('CurrentPor-LH=20 unchanged'!D154)/100,2))*100</f>
        <v>9707.5857774288397</v>
      </c>
      <c r="C154">
        <f>(3/(1+('CurrentPor-LH=20 unchanged'!C154+'CurrentPor-LH=20 unchanged'!G154)/100)+103/POWER(1+('CurrentPor-LH=20 unchanged'!D154+'CurrentPor-LH=20 unchanged'!G154)/100,2))*100</f>
        <v>9614.9673582483465</v>
      </c>
      <c r="D154">
        <f>(3/(1+('CurrentPor-LH=20 unchanged'!C154+'CurrentPor-LH=20 unchanged'!H154)/100)+103/POWER(1+('CurrentPor-LH=20 unchanged'!D154+'CurrentPor-LH=20 unchanged'!H154)/100,2))*100</f>
        <v>9586.2452608971762</v>
      </c>
      <c r="E154">
        <f>(3/(1+('CurrentPor-LH=20 unchanged'!C154+'CurrentPor-LH=20 unchanged'!I154)/100)+103/POWER(1+('CurrentPor-LH=20 unchanged'!D154+'CurrentPor-LH=20 unchanged'!I154)/100,2))*100</f>
        <v>9575.0785028535411</v>
      </c>
      <c r="F154">
        <f>Portfolio!B$5*'CurrentPor-LH=20 unchanged'!E154</f>
        <v>52143.895533915893</v>
      </c>
      <c r="G154">
        <f>Portfolio!B$6*'CurrentPor-LH=20 unchanged'!F154</f>
        <v>3696.2945087936532</v>
      </c>
      <c r="H154">
        <f>Portfolio!B$7*'CurrentPor-LH=20 unchanged'!J154</f>
        <v>2148.0998964419859</v>
      </c>
      <c r="I154">
        <f t="shared" si="4"/>
        <v>96472.166838579433</v>
      </c>
      <c r="J154">
        <f t="shared" si="5"/>
        <v>-36.197885941350251</v>
      </c>
    </row>
    <row r="155" spans="1:10">
      <c r="A155" s="1">
        <v>45686</v>
      </c>
      <c r="B155">
        <f>(3/(1+('CurrentPor-LH=20 unchanged'!C155)/100)+103/POWER(1+('CurrentPor-LH=20 unchanged'!D155)/100,2))*100</f>
        <v>9707.5857774288397</v>
      </c>
      <c r="C155">
        <f>(3/(1+('CurrentPor-LH=20 unchanged'!C155+'CurrentPor-LH=20 unchanged'!G155)/100)+103/POWER(1+('CurrentPor-LH=20 unchanged'!D155+'CurrentPor-LH=20 unchanged'!G155)/100,2))*100</f>
        <v>9614.9673582483465</v>
      </c>
      <c r="D155">
        <f>(3/(1+('CurrentPor-LH=20 unchanged'!C155+'CurrentPor-LH=20 unchanged'!H155)/100)+103/POWER(1+('CurrentPor-LH=20 unchanged'!D155+'CurrentPor-LH=20 unchanged'!H155)/100,2))*100</f>
        <v>9608.8899507807637</v>
      </c>
      <c r="E155">
        <f>(3/(1+('CurrentPor-LH=20 unchanged'!C155+'CurrentPor-LH=20 unchanged'!I155)/100)+103/POWER(1+('CurrentPor-LH=20 unchanged'!D155+'CurrentPor-LH=20 unchanged'!I155)/100,2))*100</f>
        <v>9579.2238093672077</v>
      </c>
      <c r="F155">
        <f>Portfolio!B$5*'CurrentPor-LH=20 unchanged'!E155</f>
        <v>52143.895533915893</v>
      </c>
      <c r="G155">
        <f>Portfolio!B$6*'CurrentPor-LH=20 unchanged'!F155</f>
        <v>3696.2945087936532</v>
      </c>
      <c r="H155">
        <f>Portfolio!B$7*'CurrentPor-LH=20 unchanged'!J155</f>
        <v>2148.0998964419859</v>
      </c>
      <c r="I155">
        <f t="shared" si="4"/>
        <v>96498.956834976692</v>
      </c>
      <c r="J155">
        <f t="shared" si="5"/>
        <v>11.997919940724387</v>
      </c>
    </row>
    <row r="156" spans="1:10">
      <c r="A156" s="1">
        <v>45687</v>
      </c>
      <c r="B156">
        <f>(3/(1+('CurrentPor-LH=20 unchanged'!C156)/100)+103/POWER(1+('CurrentPor-LH=20 unchanged'!D156)/100,2))*100</f>
        <v>9707.5857774288397</v>
      </c>
      <c r="C156">
        <f>(3/(1+('CurrentPor-LH=20 unchanged'!C156+'CurrentPor-LH=20 unchanged'!G156)/100)+103/POWER(1+('CurrentPor-LH=20 unchanged'!D156+'CurrentPor-LH=20 unchanged'!G156)/100,2))*100</f>
        <v>9614.9673582483465</v>
      </c>
      <c r="D156">
        <f>(3/(1+('CurrentPor-LH=20 unchanged'!C156+'CurrentPor-LH=20 unchanged'!H156)/100)+103/POWER(1+('CurrentPor-LH=20 unchanged'!D156+'CurrentPor-LH=20 unchanged'!H156)/100,2))*100</f>
        <v>9606.8894350896953</v>
      </c>
      <c r="E156">
        <f>(3/(1+('CurrentPor-LH=20 unchanged'!C156+'CurrentPor-LH=20 unchanged'!I156)/100)+103/POWER(1+('CurrentPor-LH=20 unchanged'!D156+'CurrentPor-LH=20 unchanged'!I156)/100,2))*100</f>
        <v>9588.2882461911613</v>
      </c>
      <c r="F156">
        <f>Portfolio!B$5*'CurrentPor-LH=20 unchanged'!E156</f>
        <v>52143.895533915893</v>
      </c>
      <c r="G156">
        <f>Portfolio!B$6*'CurrentPor-LH=20 unchanged'!F156</f>
        <v>3696.2945087936532</v>
      </c>
      <c r="H156">
        <f>Portfolio!B$7*'CurrentPor-LH=20 unchanged'!J156</f>
        <v>2148.0998964419859</v>
      </c>
      <c r="I156">
        <f t="shared" si="4"/>
        <v>96506.020756109574</v>
      </c>
      <c r="J156">
        <f t="shared" si="5"/>
        <v>14.83864022049238</v>
      </c>
    </row>
    <row r="157" spans="1:10">
      <c r="A157" s="1">
        <v>45688</v>
      </c>
      <c r="B157">
        <f>(3/(1+('CurrentPor-LH=20 unchanged'!C157)/100)+103/POWER(1+('CurrentPor-LH=20 unchanged'!D157)/100,2))*100</f>
        <v>9707.5857774288397</v>
      </c>
      <c r="C157">
        <f>(3/(1+('CurrentPor-LH=20 unchanged'!C157+'CurrentPor-LH=20 unchanged'!G157)/100)+103/POWER(1+('CurrentPor-LH=20 unchanged'!D157+'CurrentPor-LH=20 unchanged'!G157)/100,2))*100</f>
        <v>9614.9673582483465</v>
      </c>
      <c r="D157">
        <f>(3/(1+('CurrentPor-LH=20 unchanged'!C157+'CurrentPor-LH=20 unchanged'!H157)/100)+103/POWER(1+('CurrentPor-LH=20 unchanged'!D157+'CurrentPor-LH=20 unchanged'!H157)/100,2))*100</f>
        <v>9604.1654589247682</v>
      </c>
      <c r="E157">
        <f>(3/(1+('CurrentPor-LH=20 unchanged'!C157+'CurrentPor-LH=20 unchanged'!I157)/100)+103/POWER(1+('CurrentPor-LH=20 unchanged'!D157+'CurrentPor-LH=20 unchanged'!I157)/100,2))*100</f>
        <v>9574.8168682705145</v>
      </c>
      <c r="F157">
        <f>Portfolio!B$5*'CurrentPor-LH=20 unchanged'!E157</f>
        <v>52143.895533915893</v>
      </c>
      <c r="G157">
        <f>Portfolio!B$6*'CurrentPor-LH=20 unchanged'!F157</f>
        <v>3696.2945087936532</v>
      </c>
      <c r="H157">
        <f>Portfolio!B$7*'CurrentPor-LH=20 unchanged'!J157</f>
        <v>2148.0998964419859</v>
      </c>
      <c r="I157">
        <f t="shared" si="4"/>
        <v>96489.825402023998</v>
      </c>
      <c r="J157">
        <f t="shared" si="5"/>
        <v>-8.9487146026658593</v>
      </c>
    </row>
    <row r="158" spans="1:10">
      <c r="A158" s="1">
        <v>45691</v>
      </c>
      <c r="B158">
        <f>(3/(1+('CurrentPor-LH=20 unchanged'!C158)/100)+103/POWER(1+('CurrentPor-LH=20 unchanged'!D158)/100,2))*100</f>
        <v>9707.5857774288397</v>
      </c>
      <c r="C158">
        <f>(3/(1+('CurrentPor-LH=20 unchanged'!C158+'CurrentPor-LH=20 unchanged'!G158)/100)+103/POWER(1+('CurrentPor-LH=20 unchanged'!D158+'CurrentPor-LH=20 unchanged'!G158)/100,2))*100</f>
        <v>9614.9673582483465</v>
      </c>
      <c r="D158">
        <f>(3/(1+('CurrentPor-LH=20 unchanged'!C158+'CurrentPor-LH=20 unchanged'!H158)/100)+103/POWER(1+('CurrentPor-LH=20 unchanged'!D158+'CurrentPor-LH=20 unchanged'!H158)/100,2))*100</f>
        <v>9574.9542561372073</v>
      </c>
      <c r="E158">
        <f>(3/(1+('CurrentPor-LH=20 unchanged'!C158+'CurrentPor-LH=20 unchanged'!I158)/100)+103/POWER(1+('CurrentPor-LH=20 unchanged'!D158+'CurrentPor-LH=20 unchanged'!I158)/100,2))*100</f>
        <v>9578.6821202508181</v>
      </c>
      <c r="F158">
        <f>Portfolio!B$5*'CurrentPor-LH=20 unchanged'!E158</f>
        <v>52143.895533915893</v>
      </c>
      <c r="G158">
        <f>Portfolio!B$6*'CurrentPor-LH=20 unchanged'!F158</f>
        <v>3696.2945087936532</v>
      </c>
      <c r="H158">
        <f>Portfolio!B$7*'CurrentPor-LH=20 unchanged'!J158</f>
        <v>2148.0998964419859</v>
      </c>
      <c r="I158">
        <f t="shared" si="4"/>
        <v>96464.479451216743</v>
      </c>
      <c r="J158">
        <f t="shared" si="5"/>
        <v>-40.667925168090733</v>
      </c>
    </row>
    <row r="159" spans="1:10">
      <c r="A159" s="1">
        <v>45692</v>
      </c>
      <c r="B159">
        <f>(3/(1+('CurrentPor-LH=20 unchanged'!C159)/100)+103/POWER(1+('CurrentPor-LH=20 unchanged'!D159)/100,2))*100</f>
        <v>9707.5857774288397</v>
      </c>
      <c r="C159">
        <f>(3/(1+('CurrentPor-LH=20 unchanged'!C159+'CurrentPor-LH=20 unchanged'!G159)/100)+103/POWER(1+('CurrentPor-LH=20 unchanged'!D159+'CurrentPor-LH=20 unchanged'!G159)/100,2))*100</f>
        <v>9614.9673582483465</v>
      </c>
      <c r="D159">
        <f>(3/(1+('CurrentPor-LH=20 unchanged'!C159+'CurrentPor-LH=20 unchanged'!H159)/100)+103/POWER(1+('CurrentPor-LH=20 unchanged'!D159+'CurrentPor-LH=20 unchanged'!H159)/100,2))*100</f>
        <v>9610.9607929832018</v>
      </c>
      <c r="E159">
        <f>(3/(1+('CurrentPor-LH=20 unchanged'!C159+'CurrentPor-LH=20 unchanged'!I159)/100)+103/POWER(1+('CurrentPor-LH=20 unchanged'!D159+'CurrentPor-LH=20 unchanged'!I159)/100,2))*100</f>
        <v>9578.3541301694186</v>
      </c>
      <c r="F159">
        <f>Portfolio!B$5*'CurrentPor-LH=20 unchanged'!E159</f>
        <v>52143.895533915893</v>
      </c>
      <c r="G159">
        <f>Portfolio!B$6*'CurrentPor-LH=20 unchanged'!F159</f>
        <v>3696.2945087936532</v>
      </c>
      <c r="H159">
        <f>Portfolio!B$7*'CurrentPor-LH=20 unchanged'!J159</f>
        <v>2148.0998964419859</v>
      </c>
      <c r="I159">
        <f t="shared" si="4"/>
        <v>96500.15799798134</v>
      </c>
      <c r="J159">
        <f t="shared" si="5"/>
        <v>20.299753492276068</v>
      </c>
    </row>
    <row r="160" spans="1:10">
      <c r="A160" s="1">
        <v>45693</v>
      </c>
      <c r="B160">
        <f>(3/(1+('CurrentPor-LH=20 unchanged'!C160)/100)+103/POWER(1+('CurrentPor-LH=20 unchanged'!D160)/100,2))*100</f>
        <v>9707.5857774288397</v>
      </c>
      <c r="C160">
        <f>(3/(1+('CurrentPor-LH=20 unchanged'!C160+'CurrentPor-LH=20 unchanged'!G160)/100)+103/POWER(1+('CurrentPor-LH=20 unchanged'!D160+'CurrentPor-LH=20 unchanged'!G160)/100,2))*100</f>
        <v>9614.9673582483465</v>
      </c>
      <c r="D160">
        <f>(3/(1+('CurrentPor-LH=20 unchanged'!C160+'CurrentPor-LH=20 unchanged'!H160)/100)+103/POWER(1+('CurrentPor-LH=20 unchanged'!D160+'CurrentPor-LH=20 unchanged'!H160)/100,2))*100</f>
        <v>9588.3272977744127</v>
      </c>
      <c r="E160">
        <f>(3/(1+('CurrentPor-LH=20 unchanged'!C160+'CurrentPor-LH=20 unchanged'!I160)/100)+103/POWER(1+('CurrentPor-LH=20 unchanged'!D160+'CurrentPor-LH=20 unchanged'!I160)/100,2))*100</f>
        <v>9576.8645428300679</v>
      </c>
      <c r="F160">
        <f>Portfolio!B$5*'CurrentPor-LH=20 unchanged'!E160</f>
        <v>52143.895533915893</v>
      </c>
      <c r="G160">
        <f>Portfolio!B$6*'CurrentPor-LH=20 unchanged'!F160</f>
        <v>3696.2945087936532</v>
      </c>
      <c r="H160">
        <f>Portfolio!B$7*'CurrentPor-LH=20 unchanged'!J160</f>
        <v>2148.0998964419859</v>
      </c>
      <c r="I160">
        <f t="shared" si="4"/>
        <v>96476.034915433193</v>
      </c>
      <c r="J160">
        <f t="shared" si="5"/>
        <v>-34.942566707526566</v>
      </c>
    </row>
    <row r="161" spans="1:10">
      <c r="A161" s="1">
        <v>45694</v>
      </c>
      <c r="B161">
        <f>(3/(1+('CurrentPor-LH=20 unchanged'!C161)/100)+103/POWER(1+('CurrentPor-LH=20 unchanged'!D161)/100,2))*100</f>
        <v>9707.5857774288397</v>
      </c>
      <c r="C161">
        <f>(3/(1+('CurrentPor-LH=20 unchanged'!C161+'CurrentPor-LH=20 unchanged'!G161)/100)+103/POWER(1+('CurrentPor-LH=20 unchanged'!D161+'CurrentPor-LH=20 unchanged'!G161)/100,2))*100</f>
        <v>9614.9673582483465</v>
      </c>
      <c r="D161">
        <f>(3/(1+('CurrentPor-LH=20 unchanged'!C161+'CurrentPor-LH=20 unchanged'!H161)/100)+103/POWER(1+('CurrentPor-LH=20 unchanged'!D161+'CurrentPor-LH=20 unchanged'!H161)/100,2))*100</f>
        <v>9596.7892722820907</v>
      </c>
      <c r="E161">
        <f>(3/(1+('CurrentPor-LH=20 unchanged'!C161+'CurrentPor-LH=20 unchanged'!I161)/100)+103/POWER(1+('CurrentPor-LH=20 unchanged'!D161+'CurrentPor-LH=20 unchanged'!I161)/100,2))*100</f>
        <v>9578.2544753178681</v>
      </c>
      <c r="F161">
        <f>Portfolio!B$5*'CurrentPor-LH=20 unchanged'!E161</f>
        <v>52143.895533915893</v>
      </c>
      <c r="G161">
        <f>Portfolio!B$6*'CurrentPor-LH=20 unchanged'!F161</f>
        <v>3696.2945087936532</v>
      </c>
      <c r="H161">
        <f>Portfolio!B$7*'CurrentPor-LH=20 unchanged'!J161</f>
        <v>2148.0998964419859</v>
      </c>
      <c r="I161">
        <f t="shared" si="4"/>
        <v>96485.886822428685</v>
      </c>
      <c r="J161">
        <f t="shared" si="5"/>
        <v>-8.8494049939181423</v>
      </c>
    </row>
    <row r="162" spans="1:10">
      <c r="A162" s="1">
        <v>45695</v>
      </c>
      <c r="B162">
        <f>(3/(1+('CurrentPor-LH=20 unchanged'!C162)/100)+103/POWER(1+('CurrentPor-LH=20 unchanged'!D162)/100,2))*100</f>
        <v>9707.5857774288397</v>
      </c>
      <c r="C162">
        <f>(3/(1+('CurrentPor-LH=20 unchanged'!C162+'CurrentPor-LH=20 unchanged'!G162)/100)+103/POWER(1+('CurrentPor-LH=20 unchanged'!D162+'CurrentPor-LH=20 unchanged'!G162)/100,2))*100</f>
        <v>9614.9673582483465</v>
      </c>
      <c r="D162">
        <f>(3/(1+('CurrentPor-LH=20 unchanged'!C162+'CurrentPor-LH=20 unchanged'!H162)/100)+103/POWER(1+('CurrentPor-LH=20 unchanged'!D162+'CurrentPor-LH=20 unchanged'!H162)/100,2))*100</f>
        <v>9593.9799046411517</v>
      </c>
      <c r="E162">
        <f>(3/(1+('CurrentPor-LH=20 unchanged'!C162+'CurrentPor-LH=20 unchanged'!I162)/100)+103/POWER(1+('CurrentPor-LH=20 unchanged'!D162+'CurrentPor-LH=20 unchanged'!I162)/100,2))*100</f>
        <v>9597.7201012021997</v>
      </c>
      <c r="F162">
        <f>Portfolio!B$5*'CurrentPor-LH=20 unchanged'!E162</f>
        <v>52143.895533915893</v>
      </c>
      <c r="G162">
        <f>Portfolio!B$6*'CurrentPor-LH=20 unchanged'!F162</f>
        <v>3696.2945087936532</v>
      </c>
      <c r="H162">
        <f>Portfolio!B$7*'CurrentPor-LH=20 unchanged'!J162</f>
        <v>2148.0998964419859</v>
      </c>
      <c r="I162">
        <f t="shared" si="4"/>
        <v>96502.543080672069</v>
      </c>
      <c r="J162">
        <f t="shared" si="5"/>
        <v>13.288844122071168</v>
      </c>
    </row>
    <row r="163" spans="1:10">
      <c r="A163" s="1">
        <v>45698</v>
      </c>
      <c r="B163">
        <f>(3/(1+('CurrentPor-LH=20 unchanged'!C163)/100)+103/POWER(1+('CurrentPor-LH=20 unchanged'!D163)/100,2))*100</f>
        <v>9707.5857774288397</v>
      </c>
      <c r="C163">
        <f>(3/(1+('CurrentPor-LH=20 unchanged'!C163+'CurrentPor-LH=20 unchanged'!G163)/100)+103/POWER(1+('CurrentPor-LH=20 unchanged'!D163+'CurrentPor-LH=20 unchanged'!G163)/100,2))*100</f>
        <v>9614.9673582483465</v>
      </c>
      <c r="D163">
        <f>(3/(1+('CurrentPor-LH=20 unchanged'!C163+'CurrentPor-LH=20 unchanged'!H163)/100)+103/POWER(1+('CurrentPor-LH=20 unchanged'!D163+'CurrentPor-LH=20 unchanged'!H163)/100,2))*100</f>
        <v>9614.3243230103326</v>
      </c>
      <c r="E163">
        <f>(3/(1+('CurrentPor-LH=20 unchanged'!C163+'CurrentPor-LH=20 unchanged'!I163)/100)+103/POWER(1+('CurrentPor-LH=20 unchanged'!D163+'CurrentPor-LH=20 unchanged'!I163)/100,2))*100</f>
        <v>9607.0845700893678</v>
      </c>
      <c r="F163">
        <f>Portfolio!B$5*'CurrentPor-LH=20 unchanged'!E163</f>
        <v>52143.895533915893</v>
      </c>
      <c r="G163">
        <f>Portfolio!B$6*'CurrentPor-LH=20 unchanged'!F163</f>
        <v>3696.2945087936532</v>
      </c>
      <c r="H163">
        <f>Portfolio!B$7*'CurrentPor-LH=20 unchanged'!J163</f>
        <v>2148.0998964419859</v>
      </c>
      <c r="I163">
        <f t="shared" si="4"/>
        <v>96532.251967928416</v>
      </c>
      <c r="J163">
        <f t="shared" si="5"/>
        <v>21.035753579315497</v>
      </c>
    </row>
    <row r="164" spans="1:10">
      <c r="A164" s="1">
        <v>45699</v>
      </c>
      <c r="B164">
        <f>(3/(1+('CurrentPor-LH=20 unchanged'!C164)/100)+103/POWER(1+('CurrentPor-LH=20 unchanged'!D164)/100,2))*100</f>
        <v>9707.5857774288397</v>
      </c>
      <c r="C164">
        <f>(3/(1+('CurrentPor-LH=20 unchanged'!C164+'CurrentPor-LH=20 unchanged'!G164)/100)+103/POWER(1+('CurrentPor-LH=20 unchanged'!D164+'CurrentPor-LH=20 unchanged'!G164)/100,2))*100</f>
        <v>9614.9673582483465</v>
      </c>
      <c r="D164">
        <f>(3/(1+('CurrentPor-LH=20 unchanged'!C164+'CurrentPor-LH=20 unchanged'!H164)/100)+103/POWER(1+('CurrentPor-LH=20 unchanged'!D164+'CurrentPor-LH=20 unchanged'!H164)/100,2))*100</f>
        <v>9598.2710194588653</v>
      </c>
      <c r="E164">
        <f>(3/(1+('CurrentPor-LH=20 unchanged'!C164+'CurrentPor-LH=20 unchanged'!I164)/100)+103/POWER(1+('CurrentPor-LH=20 unchanged'!D164+'CurrentPor-LH=20 unchanged'!I164)/100,2))*100</f>
        <v>9590.9870337667853</v>
      </c>
      <c r="F164">
        <f>Portfolio!B$5*'CurrentPor-LH=20 unchanged'!E164</f>
        <v>52143.895533915893</v>
      </c>
      <c r="G164">
        <f>Portfolio!B$6*'CurrentPor-LH=20 unchanged'!F164</f>
        <v>3696.2945087936532</v>
      </c>
      <c r="H164">
        <f>Portfolio!B$7*'CurrentPor-LH=20 unchanged'!J164</f>
        <v>2148.0998964419859</v>
      </c>
      <c r="I164">
        <f t="shared" si="4"/>
        <v>96500.101128054361</v>
      </c>
      <c r="J164">
        <f t="shared" si="5"/>
        <v>27.934289474927937</v>
      </c>
    </row>
    <row r="165" spans="1:10">
      <c r="A165" s="1">
        <v>45700</v>
      </c>
      <c r="B165">
        <f>(3/(1+('CurrentPor-LH=20 unchanged'!C165)/100)+103/POWER(1+('CurrentPor-LH=20 unchanged'!D165)/100,2))*100</f>
        <v>9707.5857774288397</v>
      </c>
      <c r="C165">
        <f>(3/(1+('CurrentPor-LH=20 unchanged'!C165+'CurrentPor-LH=20 unchanged'!G165)/100)+103/POWER(1+('CurrentPor-LH=20 unchanged'!D165+'CurrentPor-LH=20 unchanged'!G165)/100,2))*100</f>
        <v>9614.9673582483465</v>
      </c>
      <c r="D165">
        <f>(3/(1+('CurrentPor-LH=20 unchanged'!C165+'CurrentPor-LH=20 unchanged'!H165)/100)+103/POWER(1+('CurrentPor-LH=20 unchanged'!D165+'CurrentPor-LH=20 unchanged'!H165)/100,2))*100</f>
        <v>9592.6322121713474</v>
      </c>
      <c r="E165">
        <f>(3/(1+('CurrentPor-LH=20 unchanged'!C165+'CurrentPor-LH=20 unchanged'!I165)/100)+103/POWER(1+('CurrentPor-LH=20 unchanged'!D165+'CurrentPor-LH=20 unchanged'!I165)/100,2))*100</f>
        <v>9588.3142944193842</v>
      </c>
      <c r="F165">
        <f>Portfolio!B$5*'CurrentPor-LH=20 unchanged'!E165</f>
        <v>52143.895533915893</v>
      </c>
      <c r="G165">
        <f>Portfolio!B$6*'CurrentPor-LH=20 unchanged'!F165</f>
        <v>3696.2945087936532</v>
      </c>
      <c r="H165">
        <f>Portfolio!B$7*'CurrentPor-LH=20 unchanged'!J165</f>
        <v>2148.0998964419859</v>
      </c>
      <c r="I165">
        <f t="shared" si="4"/>
        <v>96491.789581419449</v>
      </c>
      <c r="J165">
        <f t="shared" si="5"/>
        <v>-7.1672535572433844</v>
      </c>
    </row>
    <row r="166" spans="1:10">
      <c r="A166" s="1">
        <v>45701</v>
      </c>
      <c r="B166">
        <f>(3/(1+('CurrentPor-LH=20 unchanged'!C166)/100)+103/POWER(1+('CurrentPor-LH=20 unchanged'!D166)/100,2))*100</f>
        <v>9707.5857774288397</v>
      </c>
      <c r="C166">
        <f>(3/(1+('CurrentPor-LH=20 unchanged'!C166+'CurrentPor-LH=20 unchanged'!G166)/100)+103/POWER(1+('CurrentPor-LH=20 unchanged'!D166+'CurrentPor-LH=20 unchanged'!G166)/100,2))*100</f>
        <v>9614.9673582483465</v>
      </c>
      <c r="D166">
        <f>(3/(1+('CurrentPor-LH=20 unchanged'!C166+'CurrentPor-LH=20 unchanged'!H166)/100)+103/POWER(1+('CurrentPor-LH=20 unchanged'!D166+'CurrentPor-LH=20 unchanged'!H166)/100,2))*100</f>
        <v>9612.2962076198528</v>
      </c>
      <c r="E166">
        <f>(3/(1+('CurrentPor-LH=20 unchanged'!C166+'CurrentPor-LH=20 unchanged'!I166)/100)+103/POWER(1+('CurrentPor-LH=20 unchanged'!D166+'CurrentPor-LH=20 unchanged'!I166)/100,2))*100</f>
        <v>9582.5867166866083</v>
      </c>
      <c r="F166">
        <f>Portfolio!B$5*'CurrentPor-LH=20 unchanged'!E166</f>
        <v>52143.895533915893</v>
      </c>
      <c r="G166">
        <f>Portfolio!B$6*'CurrentPor-LH=20 unchanged'!F166</f>
        <v>3696.2945087936532</v>
      </c>
      <c r="H166">
        <f>Portfolio!B$7*'CurrentPor-LH=20 unchanged'!J166</f>
        <v>2148.0998964419859</v>
      </c>
      <c r="I166">
        <f t="shared" si="4"/>
        <v>96505.725999135189</v>
      </c>
      <c r="J166">
        <f t="shared" si="5"/>
        <v>-0.29475697438465431</v>
      </c>
    </row>
    <row r="167" spans="1:10">
      <c r="A167" s="1">
        <v>45702</v>
      </c>
      <c r="B167">
        <f>(3/(1+('CurrentPor-LH=20 unchanged'!C167)/100)+103/POWER(1+('CurrentPor-LH=20 unchanged'!D167)/100,2))*100</f>
        <v>9707.5857774288397</v>
      </c>
      <c r="C167">
        <f>(3/(1+('CurrentPor-LH=20 unchanged'!C167+'CurrentPor-LH=20 unchanged'!G167)/100)+103/POWER(1+('CurrentPor-LH=20 unchanged'!D167+'CurrentPor-LH=20 unchanged'!G167)/100,2))*100</f>
        <v>9614.9673582483465</v>
      </c>
      <c r="D167">
        <f>(3/(1+('CurrentPor-LH=20 unchanged'!C167+'CurrentPor-LH=20 unchanged'!H167)/100)+103/POWER(1+('CurrentPor-LH=20 unchanged'!D167+'CurrentPor-LH=20 unchanged'!H167)/100,2))*100</f>
        <v>9595.2910150881671</v>
      </c>
      <c r="E167">
        <f>(3/(1+('CurrentPor-LH=20 unchanged'!C167+'CurrentPor-LH=20 unchanged'!I167)/100)+103/POWER(1+('CurrentPor-LH=20 unchanged'!D167+'CurrentPor-LH=20 unchanged'!I167)/100,2))*100</f>
        <v>9595.0961042987783</v>
      </c>
      <c r="F167">
        <f>Portfolio!B$5*'CurrentPor-LH=20 unchanged'!E167</f>
        <v>52143.895533915893</v>
      </c>
      <c r="G167">
        <f>Portfolio!B$6*'CurrentPor-LH=20 unchanged'!F167</f>
        <v>3696.2945087936532</v>
      </c>
      <c r="H167">
        <f>Portfolio!B$7*'CurrentPor-LH=20 unchanged'!J167</f>
        <v>2148.0998964419859</v>
      </c>
      <c r="I167">
        <f t="shared" si="4"/>
        <v>96501.230194215663</v>
      </c>
      <c r="J167">
        <f t="shared" si="5"/>
        <v>11.404792191664455</v>
      </c>
    </row>
    <row r="168" spans="1:10">
      <c r="A168" s="1">
        <v>45705</v>
      </c>
      <c r="B168">
        <f>(3/(1+('CurrentPor-LH=20 unchanged'!C168)/100)+103/POWER(1+('CurrentPor-LH=20 unchanged'!D168)/100,2))*100</f>
        <v>9707.5857774288397</v>
      </c>
      <c r="C168">
        <f>(3/(1+('CurrentPor-LH=20 unchanged'!C168+'CurrentPor-LH=20 unchanged'!G168)/100)+103/POWER(1+('CurrentPor-LH=20 unchanged'!D168+'CurrentPor-LH=20 unchanged'!G168)/100,2))*100</f>
        <v>9614.9673582483465</v>
      </c>
      <c r="D168">
        <f>(3/(1+('CurrentPor-LH=20 unchanged'!C168+'CurrentPor-LH=20 unchanged'!H168)/100)+103/POWER(1+('CurrentPor-LH=20 unchanged'!D168+'CurrentPor-LH=20 unchanged'!H168)/100,2))*100</f>
        <v>9620.4985225758355</v>
      </c>
      <c r="E168">
        <f>(3/(1+('CurrentPor-LH=20 unchanged'!C168+'CurrentPor-LH=20 unchanged'!I168)/100)+103/POWER(1+('CurrentPor-LH=20 unchanged'!D168+'CurrentPor-LH=20 unchanged'!I168)/100,2))*100</f>
        <v>9566.8403208415184</v>
      </c>
      <c r="F168">
        <f>Portfolio!B$5*'CurrentPor-LH=20 unchanged'!E168</f>
        <v>52143.895533915893</v>
      </c>
      <c r="G168">
        <f>Portfolio!B$6*'CurrentPor-LH=20 unchanged'!F168</f>
        <v>3696.2945087936532</v>
      </c>
      <c r="H168">
        <f>Portfolio!B$7*'CurrentPor-LH=20 unchanged'!J168</f>
        <v>2148.0998964419859</v>
      </c>
      <c r="I168">
        <f t="shared" si="4"/>
        <v>96498.181918246075</v>
      </c>
      <c r="J168">
        <f t="shared" si="5"/>
        <v>33.702467029332183</v>
      </c>
    </row>
    <row r="169" spans="1:10">
      <c r="A169" s="1">
        <v>45706</v>
      </c>
      <c r="B169">
        <f>(3/(1+('CurrentPor-LH=20 unchanged'!C169)/100)+103/POWER(1+('CurrentPor-LH=20 unchanged'!D169)/100,2))*100</f>
        <v>9707.5857774288397</v>
      </c>
      <c r="C169">
        <f>(3/(1+('CurrentPor-LH=20 unchanged'!C169+'CurrentPor-LH=20 unchanged'!G169)/100)+103/POWER(1+('CurrentPor-LH=20 unchanged'!D169+'CurrentPor-LH=20 unchanged'!G169)/100,2))*100</f>
        <v>9614.9673582483465</v>
      </c>
      <c r="D169">
        <f>(3/(1+('CurrentPor-LH=20 unchanged'!C169+'CurrentPor-LH=20 unchanged'!H169)/100)+103/POWER(1+('CurrentPor-LH=20 unchanged'!D169+'CurrentPor-LH=20 unchanged'!H169)/100,2))*100</f>
        <v>9599.7481212417733</v>
      </c>
      <c r="E169">
        <f>(3/(1+('CurrentPor-LH=20 unchanged'!C169+'CurrentPor-LH=20 unchanged'!I169)/100)+103/POWER(1+('CurrentPor-LH=20 unchanged'!D169+'CurrentPor-LH=20 unchanged'!I169)/100,2))*100</f>
        <v>9576.81303695118</v>
      </c>
      <c r="F169">
        <f>Portfolio!B$5*'CurrentPor-LH=20 unchanged'!E169</f>
        <v>52143.895533915893</v>
      </c>
      <c r="G169">
        <f>Portfolio!B$6*'CurrentPor-LH=20 unchanged'!F169</f>
        <v>3696.2945087936532</v>
      </c>
      <c r="H169">
        <f>Portfolio!B$7*'CurrentPor-LH=20 unchanged'!J169</f>
        <v>2148.0998964419859</v>
      </c>
      <c r="I169">
        <f t="shared" si="4"/>
        <v>96487.404233021676</v>
      </c>
      <c r="J169">
        <f t="shared" si="5"/>
        <v>-12.753764959663386</v>
      </c>
    </row>
    <row r="170" spans="1:10">
      <c r="A170" s="1">
        <v>45707</v>
      </c>
      <c r="B170">
        <f>(3/(1+('CurrentPor-LH=20 unchanged'!C170)/100)+103/POWER(1+('CurrentPor-LH=20 unchanged'!D170)/100,2))*100</f>
        <v>9707.5857774288397</v>
      </c>
      <c r="C170">
        <f>(3/(1+('CurrentPor-LH=20 unchanged'!C170+'CurrentPor-LH=20 unchanged'!G170)/100)+103/POWER(1+('CurrentPor-LH=20 unchanged'!D170+'CurrentPor-LH=20 unchanged'!G170)/100,2))*100</f>
        <v>9614.9673582483465</v>
      </c>
      <c r="D170">
        <f>(3/(1+('CurrentPor-LH=20 unchanged'!C170+'CurrentPor-LH=20 unchanged'!H170)/100)+103/POWER(1+('CurrentPor-LH=20 unchanged'!D170+'CurrentPor-LH=20 unchanged'!H170)/100,2))*100</f>
        <v>9598.0114325819468</v>
      </c>
      <c r="E170">
        <f>(3/(1+('CurrentPor-LH=20 unchanged'!C170+'CurrentPor-LH=20 unchanged'!I170)/100)+103/POWER(1+('CurrentPor-LH=20 unchanged'!D170+'CurrentPor-LH=20 unchanged'!I170)/100,2))*100</f>
        <v>9571.6787239164696</v>
      </c>
      <c r="F170">
        <f>Portfolio!B$5*'CurrentPor-LH=20 unchanged'!E170</f>
        <v>52143.895533915893</v>
      </c>
      <c r="G170">
        <f>Portfolio!B$6*'CurrentPor-LH=20 unchanged'!F170</f>
        <v>3696.2945087936532</v>
      </c>
      <c r="H170">
        <f>Portfolio!B$7*'CurrentPor-LH=20 unchanged'!J170</f>
        <v>2148.0998964419859</v>
      </c>
      <c r="I170">
        <f t="shared" si="4"/>
        <v>96480.533231327136</v>
      </c>
      <c r="J170">
        <f t="shared" si="5"/>
        <v>4.4983158939430723</v>
      </c>
    </row>
    <row r="171" spans="1:10">
      <c r="A171" s="1">
        <v>45708</v>
      </c>
      <c r="B171">
        <f>(3/(1+('CurrentPor-LH=20 unchanged'!C171)/100)+103/POWER(1+('CurrentPor-LH=20 unchanged'!D171)/100,2))*100</f>
        <v>9707.5857774288397</v>
      </c>
      <c r="C171">
        <f>(3/(1+('CurrentPor-LH=20 unchanged'!C171+'CurrentPor-LH=20 unchanged'!G171)/100)+103/POWER(1+('CurrentPor-LH=20 unchanged'!D171+'CurrentPor-LH=20 unchanged'!G171)/100,2))*100</f>
        <v>9614.9673582483465</v>
      </c>
      <c r="D171">
        <f>(3/(1+('CurrentPor-LH=20 unchanged'!C171+'CurrentPor-LH=20 unchanged'!H171)/100)+103/POWER(1+('CurrentPor-LH=20 unchanged'!D171+'CurrentPor-LH=20 unchanged'!H171)/100,2))*100</f>
        <v>9585.2079079943542</v>
      </c>
      <c r="E171">
        <f>(3/(1+('CurrentPor-LH=20 unchanged'!C171+'CurrentPor-LH=20 unchanged'!I171)/100)+103/POWER(1+('CurrentPor-LH=20 unchanged'!D171+'CurrentPor-LH=20 unchanged'!I171)/100,2))*100</f>
        <v>9578.3234987356172</v>
      </c>
      <c r="F171">
        <f>Portfolio!B$5*'CurrentPor-LH=20 unchanged'!E171</f>
        <v>52143.895533915893</v>
      </c>
      <c r="G171">
        <f>Portfolio!B$6*'CurrentPor-LH=20 unchanged'!F171</f>
        <v>3696.2945087936532</v>
      </c>
      <c r="H171">
        <f>Portfolio!B$7*'CurrentPor-LH=20 unchanged'!J171</f>
        <v>2148.0998964419859</v>
      </c>
      <c r="I171">
        <f t="shared" si="4"/>
        <v>96474.374481558698</v>
      </c>
      <c r="J171">
        <f t="shared" si="5"/>
        <v>-11.512340869987383</v>
      </c>
    </row>
    <row r="172" spans="1:10">
      <c r="A172" s="1">
        <v>45709</v>
      </c>
      <c r="B172">
        <f>(3/(1+('CurrentPor-LH=20 unchanged'!C172)/100)+103/POWER(1+('CurrentPor-LH=20 unchanged'!D172)/100,2))*100</f>
        <v>9707.5857774288397</v>
      </c>
      <c r="C172">
        <f>(3/(1+('CurrentPor-LH=20 unchanged'!C172+'CurrentPor-LH=20 unchanged'!G172)/100)+103/POWER(1+('CurrentPor-LH=20 unchanged'!D172+'CurrentPor-LH=20 unchanged'!G172)/100,2))*100</f>
        <v>9614.9673582483465</v>
      </c>
      <c r="D172">
        <f>(3/(1+('CurrentPor-LH=20 unchanged'!C172+'CurrentPor-LH=20 unchanged'!H172)/100)+103/POWER(1+('CurrentPor-LH=20 unchanged'!D172+'CurrentPor-LH=20 unchanged'!H172)/100,2))*100</f>
        <v>9616.8584761855</v>
      </c>
      <c r="E172">
        <f>(3/(1+('CurrentPor-LH=20 unchanged'!C172+'CurrentPor-LH=20 unchanged'!I172)/100)+103/POWER(1+('CurrentPor-LH=20 unchanged'!D172+'CurrentPor-LH=20 unchanged'!I172)/100,2))*100</f>
        <v>9575.9655790757079</v>
      </c>
      <c r="F172">
        <f>Portfolio!B$5*'CurrentPor-LH=20 unchanged'!E172</f>
        <v>52143.895533915893</v>
      </c>
      <c r="G172">
        <f>Portfolio!B$6*'CurrentPor-LH=20 unchanged'!F172</f>
        <v>3696.2945087936532</v>
      </c>
      <c r="H172">
        <f>Portfolio!B$7*'CurrentPor-LH=20 unchanged'!J172</f>
        <v>2148.0998964419859</v>
      </c>
      <c r="I172">
        <f t="shared" si="4"/>
        <v>96503.667130089932</v>
      </c>
      <c r="J172">
        <f t="shared" si="5"/>
        <v>1.1240494178637164</v>
      </c>
    </row>
    <row r="173" spans="1:10">
      <c r="A173" s="1">
        <v>45712</v>
      </c>
      <c r="B173">
        <f>(3/(1+('CurrentPor-LH=20 unchanged'!C173)/100)+103/POWER(1+('CurrentPor-LH=20 unchanged'!D173)/100,2))*100</f>
        <v>9707.5857774288397</v>
      </c>
      <c r="C173">
        <f>(3/(1+('CurrentPor-LH=20 unchanged'!C173+'CurrentPor-LH=20 unchanged'!G173)/100)+103/POWER(1+('CurrentPor-LH=20 unchanged'!D173+'CurrentPor-LH=20 unchanged'!G173)/100,2))*100</f>
        <v>9614.9673582483465</v>
      </c>
      <c r="D173">
        <f>(3/(1+('CurrentPor-LH=20 unchanged'!C173+'CurrentPor-LH=20 unchanged'!H173)/100)+103/POWER(1+('CurrentPor-LH=20 unchanged'!D173+'CurrentPor-LH=20 unchanged'!H173)/100,2))*100</f>
        <v>9596.5944240733734</v>
      </c>
      <c r="E173">
        <f>(3/(1+('CurrentPor-LH=20 unchanged'!C173+'CurrentPor-LH=20 unchanged'!I173)/100)+103/POWER(1+('CurrentPor-LH=20 unchanged'!D173+'CurrentPor-LH=20 unchanged'!I173)/100,2))*100</f>
        <v>9594.2164733552054</v>
      </c>
      <c r="F173">
        <f>Portfolio!B$5*'CurrentPor-LH=20 unchanged'!E173</f>
        <v>52143.895533915893</v>
      </c>
      <c r="G173">
        <f>Portfolio!B$6*'CurrentPor-LH=20 unchanged'!F173</f>
        <v>3696.2945087936532</v>
      </c>
      <c r="H173">
        <f>Portfolio!B$7*'CurrentPor-LH=20 unchanged'!J173</f>
        <v>2148.0998964419859</v>
      </c>
      <c r="I173">
        <f t="shared" si="4"/>
        <v>96501.653972257292</v>
      </c>
      <c r="J173">
        <f t="shared" si="5"/>
        <v>-30.597995671123499</v>
      </c>
    </row>
    <row r="174" spans="1:10">
      <c r="A174" s="1">
        <v>45713</v>
      </c>
      <c r="B174">
        <f>(3/(1+('CurrentPor-LH=20 unchanged'!C174)/100)+103/POWER(1+('CurrentPor-LH=20 unchanged'!D174)/100,2))*100</f>
        <v>9707.5857774288397</v>
      </c>
      <c r="C174">
        <f>(3/(1+('CurrentPor-LH=20 unchanged'!C174+'CurrentPor-LH=20 unchanged'!G174)/100)+103/POWER(1+('CurrentPor-LH=20 unchanged'!D174+'CurrentPor-LH=20 unchanged'!G174)/100,2))*100</f>
        <v>9614.9673582483465</v>
      </c>
      <c r="D174">
        <f>(3/(1+('CurrentPor-LH=20 unchanged'!C174+'CurrentPor-LH=20 unchanged'!H174)/100)+103/POWER(1+('CurrentPor-LH=20 unchanged'!D174+'CurrentPor-LH=20 unchanged'!H174)/100,2))*100</f>
        <v>9595.6437700366496</v>
      </c>
      <c r="E174">
        <f>(3/(1+('CurrentPor-LH=20 unchanged'!C174+'CurrentPor-LH=20 unchanged'!I174)/100)+103/POWER(1+('CurrentPor-LH=20 unchanged'!D174+'CurrentPor-LH=20 unchanged'!I174)/100,2))*100</f>
        <v>9593.0224651270892</v>
      </c>
      <c r="F174">
        <f>Portfolio!B$5*'CurrentPor-LH=20 unchanged'!E174</f>
        <v>52143.895533915893</v>
      </c>
      <c r="G174">
        <f>Portfolio!B$6*'CurrentPor-LH=20 unchanged'!F174</f>
        <v>3696.2945087936532</v>
      </c>
      <c r="H174">
        <f>Portfolio!B$7*'CurrentPor-LH=20 unchanged'!J174</f>
        <v>2148.0998964419859</v>
      </c>
      <c r="I174">
        <f t="shared" si="4"/>
        <v>96499.509309992456</v>
      </c>
      <c r="J174">
        <f t="shared" si="5"/>
        <v>-0.59181806190463249</v>
      </c>
    </row>
    <row r="175" spans="1:10">
      <c r="A175" s="1">
        <v>45714</v>
      </c>
      <c r="B175">
        <f>(3/(1+('CurrentPor-LH=20 unchanged'!C175)/100)+103/POWER(1+('CurrentPor-LH=20 unchanged'!D175)/100,2))*100</f>
        <v>9707.5857774288397</v>
      </c>
      <c r="C175">
        <f>(3/(1+('CurrentPor-LH=20 unchanged'!C175+'CurrentPor-LH=20 unchanged'!G175)/100)+103/POWER(1+('CurrentPor-LH=20 unchanged'!D175+'CurrentPor-LH=20 unchanged'!G175)/100,2))*100</f>
        <v>9614.9673582483465</v>
      </c>
      <c r="D175">
        <f>(3/(1+('CurrentPor-LH=20 unchanged'!C175+'CurrentPor-LH=20 unchanged'!H175)/100)+103/POWER(1+('CurrentPor-LH=20 unchanged'!D175+'CurrentPor-LH=20 unchanged'!H175)/100,2))*100</f>
        <v>9604.6003057736852</v>
      </c>
      <c r="E175">
        <f>(3/(1+('CurrentPor-LH=20 unchanged'!C175+'CurrentPor-LH=20 unchanged'!I175)/100)+103/POWER(1+('CurrentPor-LH=20 unchanged'!D175+'CurrentPor-LH=20 unchanged'!I175)/100,2))*100</f>
        <v>9585.4037727708328</v>
      </c>
      <c r="F175">
        <f>Portfolio!B$5*'CurrentPor-LH=20 unchanged'!E175</f>
        <v>52143.895533915893</v>
      </c>
      <c r="G175">
        <f>Portfolio!B$6*'CurrentPor-LH=20 unchanged'!F175</f>
        <v>3696.2945087936532</v>
      </c>
      <c r="H175">
        <f>Portfolio!B$7*'CurrentPor-LH=20 unchanged'!J175</f>
        <v>2148.0998964419859</v>
      </c>
      <c r="I175">
        <f t="shared" si="4"/>
        <v>96500.847153373237</v>
      </c>
      <c r="J175">
        <f t="shared" si="5"/>
        <v>9.0575719537882833</v>
      </c>
    </row>
    <row r="176" spans="1:10">
      <c r="A176" s="1">
        <v>45715</v>
      </c>
      <c r="B176">
        <f>(3/(1+('CurrentPor-LH=20 unchanged'!C176)/100)+103/POWER(1+('CurrentPor-LH=20 unchanged'!D176)/100,2))*100</f>
        <v>9707.5857774288397</v>
      </c>
      <c r="C176">
        <f>(3/(1+('CurrentPor-LH=20 unchanged'!C176+'CurrentPor-LH=20 unchanged'!G176)/100)+103/POWER(1+('CurrentPor-LH=20 unchanged'!D176+'CurrentPor-LH=20 unchanged'!G176)/100,2))*100</f>
        <v>9614.9673582483465</v>
      </c>
      <c r="D176">
        <f>(3/(1+('CurrentPor-LH=20 unchanged'!C176+'CurrentPor-LH=20 unchanged'!H176)/100)+103/POWER(1+('CurrentPor-LH=20 unchanged'!D176+'CurrentPor-LH=20 unchanged'!H176)/100,2))*100</f>
        <v>9600.2148735667179</v>
      </c>
      <c r="E176">
        <f>(3/(1+('CurrentPor-LH=20 unchanged'!C176+'CurrentPor-LH=20 unchanged'!I176)/100)+103/POWER(1+('CurrentPor-LH=20 unchanged'!D176+'CurrentPor-LH=20 unchanged'!I176)/100,2))*100</f>
        <v>9575.3527144044619</v>
      </c>
      <c r="F176">
        <f>Portfolio!B$5*'CurrentPor-LH=20 unchanged'!E176</f>
        <v>52143.895533915893</v>
      </c>
      <c r="G176">
        <f>Portfolio!B$6*'CurrentPor-LH=20 unchanged'!F176</f>
        <v>3696.2945087936532</v>
      </c>
      <c r="H176">
        <f>Portfolio!B$7*'CurrentPor-LH=20 unchanged'!J176</f>
        <v>2148.0998964419859</v>
      </c>
      <c r="I176">
        <f t="shared" si="4"/>
        <v>96486.410662799899</v>
      </c>
      <c r="J176">
        <f t="shared" si="5"/>
        <v>-19.31533633529034</v>
      </c>
    </row>
    <row r="177" spans="1:10">
      <c r="A177" s="1">
        <v>45716</v>
      </c>
      <c r="B177">
        <f>(3/(1+('CurrentPor-LH=20 unchanged'!C177)/100)+103/POWER(1+('CurrentPor-LH=20 unchanged'!D177)/100,2))*100</f>
        <v>9707.5857774288397</v>
      </c>
      <c r="C177">
        <f>(3/(1+('CurrentPor-LH=20 unchanged'!C177+'CurrentPor-LH=20 unchanged'!G177)/100)+103/POWER(1+('CurrentPor-LH=20 unchanged'!D177+'CurrentPor-LH=20 unchanged'!G177)/100,2))*100</f>
        <v>9614.9673582483465</v>
      </c>
      <c r="D177">
        <f>(3/(1+('CurrentPor-LH=20 unchanged'!C177+'CurrentPor-LH=20 unchanged'!H177)/100)+103/POWER(1+('CurrentPor-LH=20 unchanged'!D177+'CurrentPor-LH=20 unchanged'!H177)/100,2))*100</f>
        <v>9601.3540270927115</v>
      </c>
      <c r="E177">
        <f>(3/(1+('CurrentPor-LH=20 unchanged'!C177+'CurrentPor-LH=20 unchanged'!I177)/100)+103/POWER(1+('CurrentPor-LH=20 unchanged'!D177+'CurrentPor-LH=20 unchanged'!I177)/100,2))*100</f>
        <v>9594.3964790523514</v>
      </c>
      <c r="F177">
        <f>Portfolio!B$5*'CurrentPor-LH=20 unchanged'!E177</f>
        <v>52143.895533915893</v>
      </c>
      <c r="G177">
        <f>Portfolio!B$6*'CurrentPor-LH=20 unchanged'!F177</f>
        <v>3696.2945087936532</v>
      </c>
      <c r="H177">
        <f>Portfolio!B$7*'CurrentPor-LH=20 unchanged'!J177</f>
        <v>2148.0998964419859</v>
      </c>
      <c r="I177">
        <f t="shared" si="4"/>
        <v>96506.593580973786</v>
      </c>
      <c r="J177">
        <f t="shared" si="5"/>
        <v>5.3633867581229424</v>
      </c>
    </row>
    <row r="178" spans="1:10">
      <c r="A178" s="1">
        <v>45719</v>
      </c>
      <c r="B178">
        <f>(3/(1+('CurrentPor-LH=20 unchanged'!C178)/100)+103/POWER(1+('CurrentPor-LH=20 unchanged'!D178)/100,2))*100</f>
        <v>9707.5857774288397</v>
      </c>
      <c r="C178">
        <f>(3/(1+('CurrentPor-LH=20 unchanged'!C178+'CurrentPor-LH=20 unchanged'!G178)/100)+103/POWER(1+('CurrentPor-LH=20 unchanged'!D178+'CurrentPor-LH=20 unchanged'!G178)/100,2))*100</f>
        <v>9614.9673582483465</v>
      </c>
      <c r="D178">
        <f>(3/(1+('CurrentPor-LH=20 unchanged'!C178+'CurrentPor-LH=20 unchanged'!H178)/100)+103/POWER(1+('CurrentPor-LH=20 unchanged'!D178+'CurrentPor-LH=20 unchanged'!H178)/100,2))*100</f>
        <v>9576.3604800386202</v>
      </c>
      <c r="E178">
        <f>(3/(1+('CurrentPor-LH=20 unchanged'!C178+'CurrentPor-LH=20 unchanged'!I178)/100)+103/POWER(1+('CurrentPor-LH=20 unchanged'!D178+'CurrentPor-LH=20 unchanged'!I178)/100,2))*100</f>
        <v>9585.3651443867329</v>
      </c>
      <c r="F178">
        <f>Portfolio!B$5*'CurrentPor-LH=20 unchanged'!E178</f>
        <v>52143.895533915893</v>
      </c>
      <c r="G178">
        <f>Portfolio!B$6*'CurrentPor-LH=20 unchanged'!F178</f>
        <v>3696.2945087936532</v>
      </c>
      <c r="H178">
        <f>Portfolio!B$7*'CurrentPor-LH=20 unchanged'!J178</f>
        <v>2148.0998964419859</v>
      </c>
      <c r="I178">
        <f t="shared" si="4"/>
        <v>96472.568699254072</v>
      </c>
      <c r="J178">
        <f t="shared" si="5"/>
        <v>-25.613218992002658</v>
      </c>
    </row>
    <row r="179" spans="1:10">
      <c r="A179" s="1">
        <v>45720</v>
      </c>
      <c r="B179">
        <f>(3/(1+('CurrentPor-LH=20 unchanged'!C179)/100)+103/POWER(1+('CurrentPor-LH=20 unchanged'!D179)/100,2))*100</f>
        <v>9707.5857774288397</v>
      </c>
      <c r="C179">
        <f>(3/(1+('CurrentPor-LH=20 unchanged'!C179+'CurrentPor-LH=20 unchanged'!G179)/100)+103/POWER(1+('CurrentPor-LH=20 unchanged'!D179+'CurrentPor-LH=20 unchanged'!G179)/100,2))*100</f>
        <v>9614.9673582483465</v>
      </c>
      <c r="D179">
        <f>(3/(1+('CurrentPor-LH=20 unchanged'!C179+'CurrentPor-LH=20 unchanged'!H179)/100)+103/POWER(1+('CurrentPor-LH=20 unchanged'!D179+'CurrentPor-LH=20 unchanged'!H179)/100,2))*100</f>
        <v>9599.7333843503129</v>
      </c>
      <c r="E179">
        <f>(3/(1+('CurrentPor-LH=20 unchanged'!C179+'CurrentPor-LH=20 unchanged'!I179)/100)+103/POWER(1+('CurrentPor-LH=20 unchanged'!D179+'CurrentPor-LH=20 unchanged'!I179)/100,2))*100</f>
        <v>9580.3591213076488</v>
      </c>
      <c r="F179">
        <f>Portfolio!B$5*'CurrentPor-LH=20 unchanged'!E179</f>
        <v>52143.895533915893</v>
      </c>
      <c r="G179">
        <f>Portfolio!B$6*'CurrentPor-LH=20 unchanged'!F179</f>
        <v>3696.2945087936532</v>
      </c>
      <c r="H179">
        <f>Portfolio!B$7*'CurrentPor-LH=20 unchanged'!J179</f>
        <v>2148.0998964419859</v>
      </c>
      <c r="I179">
        <f t="shared" si="4"/>
        <v>96490.935580486679</v>
      </c>
      <c r="J179">
        <f t="shared" si="5"/>
        <v>3.5313474650029093</v>
      </c>
    </row>
    <row r="180" spans="1:10">
      <c r="A180" s="1">
        <v>45721</v>
      </c>
      <c r="B180">
        <f>(3/(1+('CurrentPor-LH=20 unchanged'!C180)/100)+103/POWER(1+('CurrentPor-LH=20 unchanged'!D180)/100,2))*100</f>
        <v>9707.5857774288397</v>
      </c>
      <c r="C180">
        <f>(3/(1+('CurrentPor-LH=20 unchanged'!C180+'CurrentPor-LH=20 unchanged'!G180)/100)+103/POWER(1+('CurrentPor-LH=20 unchanged'!D180+'CurrentPor-LH=20 unchanged'!G180)/100,2))*100</f>
        <v>9614.9673582483465</v>
      </c>
      <c r="D180">
        <f>(3/(1+('CurrentPor-LH=20 unchanged'!C180+'CurrentPor-LH=20 unchanged'!H180)/100)+103/POWER(1+('CurrentPor-LH=20 unchanged'!D180+'CurrentPor-LH=20 unchanged'!H180)/100,2))*100</f>
        <v>9599.9199780809195</v>
      </c>
      <c r="E180">
        <f>(3/(1+('CurrentPor-LH=20 unchanged'!C180+'CurrentPor-LH=20 unchanged'!I180)/100)+103/POWER(1+('CurrentPor-LH=20 unchanged'!D180+'CurrentPor-LH=20 unchanged'!I180)/100,2))*100</f>
        <v>9589.2641240967769</v>
      </c>
      <c r="F180">
        <f>Portfolio!B$5*'CurrentPor-LH=20 unchanged'!E180</f>
        <v>52143.895533915893</v>
      </c>
      <c r="G180">
        <f>Portfolio!B$6*'CurrentPor-LH=20 unchanged'!F180</f>
        <v>3696.2945087936532</v>
      </c>
      <c r="H180">
        <f>Portfolio!B$7*'CurrentPor-LH=20 unchanged'!J180</f>
        <v>2148.0998964419859</v>
      </c>
      <c r="I180">
        <f t="shared" si="4"/>
        <v>96500.027177006414</v>
      </c>
      <c r="J180">
        <f t="shared" si="5"/>
        <v>19.493945679278113</v>
      </c>
    </row>
    <row r="181" spans="1:10">
      <c r="A181" s="1">
        <v>45722</v>
      </c>
      <c r="B181">
        <f>(3/(1+('CurrentPor-LH=20 unchanged'!C181)/100)+103/POWER(1+('CurrentPor-LH=20 unchanged'!D181)/100,2))*100</f>
        <v>9707.5857774288397</v>
      </c>
      <c r="C181">
        <f>(3/(1+('CurrentPor-LH=20 unchanged'!C181+'CurrentPor-LH=20 unchanged'!G181)/100)+103/POWER(1+('CurrentPor-LH=20 unchanged'!D181+'CurrentPor-LH=20 unchanged'!G181)/100,2))*100</f>
        <v>9614.9673582483465</v>
      </c>
      <c r="D181">
        <f>(3/(1+('CurrentPor-LH=20 unchanged'!C181+'CurrentPor-LH=20 unchanged'!H181)/100)+103/POWER(1+('CurrentPor-LH=20 unchanged'!D181+'CurrentPor-LH=20 unchanged'!H181)/100,2))*100</f>
        <v>9595.5943168648064</v>
      </c>
      <c r="E181">
        <f>(3/(1+('CurrentPor-LH=20 unchanged'!C181+'CurrentPor-LH=20 unchanged'!I181)/100)+103/POWER(1+('CurrentPor-LH=20 unchanged'!D181+'CurrentPor-LH=20 unchanged'!I181)/100,2))*100</f>
        <v>9577.0163640904393</v>
      </c>
      <c r="F181">
        <f>Portfolio!B$5*'CurrentPor-LH=20 unchanged'!E181</f>
        <v>52143.895533915893</v>
      </c>
      <c r="G181">
        <f>Portfolio!B$6*'CurrentPor-LH=20 unchanged'!F181</f>
        <v>3696.2945087936532</v>
      </c>
      <c r="H181">
        <f>Portfolio!B$7*'CurrentPor-LH=20 unchanged'!J181</f>
        <v>2148.0998964419859</v>
      </c>
      <c r="I181">
        <f t="shared" si="4"/>
        <v>96483.45375578395</v>
      </c>
      <c r="J181">
        <f t="shared" si="5"/>
        <v>9.0792742252524476</v>
      </c>
    </row>
    <row r="182" spans="1:10">
      <c r="A182" s="1">
        <v>45723</v>
      </c>
      <c r="B182">
        <f>(3/(1+('CurrentPor-LH=20 unchanged'!C182)/100)+103/POWER(1+('CurrentPor-LH=20 unchanged'!D182)/100,2))*100</f>
        <v>9707.5857774288397</v>
      </c>
      <c r="C182">
        <f>(3/(1+('CurrentPor-LH=20 unchanged'!C182+'CurrentPor-LH=20 unchanged'!G182)/100)+103/POWER(1+('CurrentPor-LH=20 unchanged'!D182+'CurrentPor-LH=20 unchanged'!G182)/100,2))*100</f>
        <v>9614.9673582483465</v>
      </c>
      <c r="D182">
        <f>(3/(1+('CurrentPor-LH=20 unchanged'!C182+'CurrentPor-LH=20 unchanged'!H182)/100)+103/POWER(1+('CurrentPor-LH=20 unchanged'!D182+'CurrentPor-LH=20 unchanged'!H182)/100,2))*100</f>
        <v>9608.2688895160991</v>
      </c>
      <c r="E182">
        <f>(3/(1+('CurrentPor-LH=20 unchanged'!C182+'CurrentPor-LH=20 unchanged'!I182)/100)+103/POWER(1+('CurrentPor-LH=20 unchanged'!D182+'CurrentPor-LH=20 unchanged'!I182)/100,2))*100</f>
        <v>9588.8393062067917</v>
      </c>
      <c r="F182">
        <f>Portfolio!B$5*'CurrentPor-LH=20 unchanged'!E182</f>
        <v>52143.895533915893</v>
      </c>
      <c r="G182">
        <f>Portfolio!B$6*'CurrentPor-LH=20 unchanged'!F182</f>
        <v>3696.2945087936532</v>
      </c>
      <c r="H182">
        <f>Portfolio!B$7*'CurrentPor-LH=20 unchanged'!J182</f>
        <v>2148.0998964419859</v>
      </c>
      <c r="I182">
        <f t="shared" si="4"/>
        <v>96507.95127055161</v>
      </c>
      <c r="J182">
        <f t="shared" si="5"/>
        <v>4.2841404616774525</v>
      </c>
    </row>
    <row r="183" spans="1:10">
      <c r="A183" s="1">
        <v>45726</v>
      </c>
      <c r="B183">
        <f>(3/(1+('CurrentPor-LH=20 unchanged'!C183)/100)+103/POWER(1+('CurrentPor-LH=20 unchanged'!D183)/100,2))*100</f>
        <v>9707.5857774288397</v>
      </c>
      <c r="C183">
        <f>(3/(1+('CurrentPor-LH=20 unchanged'!C183+'CurrentPor-LH=20 unchanged'!G183)/100)+103/POWER(1+('CurrentPor-LH=20 unchanged'!D183+'CurrentPor-LH=20 unchanged'!G183)/100,2))*100</f>
        <v>9614.9673582483465</v>
      </c>
      <c r="D183">
        <f>(3/(1+('CurrentPor-LH=20 unchanged'!C183+'CurrentPor-LH=20 unchanged'!H183)/100)+103/POWER(1+('CurrentPor-LH=20 unchanged'!D183+'CurrentPor-LH=20 unchanged'!H183)/100,2))*100</f>
        <v>9597.2492137468489</v>
      </c>
      <c r="E183">
        <f>(3/(1+('CurrentPor-LH=20 unchanged'!C183+'CurrentPor-LH=20 unchanged'!I183)/100)+103/POWER(1+('CurrentPor-LH=20 unchanged'!D183+'CurrentPor-LH=20 unchanged'!I183)/100,2))*100</f>
        <v>9603.285948944138</v>
      </c>
      <c r="F183">
        <f>Portfolio!B$5*'CurrentPor-LH=20 unchanged'!E183</f>
        <v>52143.895533915893</v>
      </c>
      <c r="G183">
        <f>Portfolio!B$6*'CurrentPor-LH=20 unchanged'!F183</f>
        <v>3696.2945087936532</v>
      </c>
      <c r="H183">
        <f>Portfolio!B$7*'CurrentPor-LH=20 unchanged'!J183</f>
        <v>2148.0998964419859</v>
      </c>
      <c r="I183">
        <f t="shared" si="4"/>
        <v>96511.378237519704</v>
      </c>
      <c r="J183">
        <f t="shared" si="5"/>
        <v>9.7242652624117909</v>
      </c>
    </row>
    <row r="184" spans="1:10">
      <c r="A184" s="1">
        <v>45727</v>
      </c>
      <c r="B184">
        <f>(3/(1+('CurrentPor-LH=20 unchanged'!C184)/100)+103/POWER(1+('CurrentPor-LH=20 unchanged'!D184)/100,2))*100</f>
        <v>9707.5857774288397</v>
      </c>
      <c r="C184">
        <f>(3/(1+('CurrentPor-LH=20 unchanged'!C184+'CurrentPor-LH=20 unchanged'!G184)/100)+103/POWER(1+('CurrentPor-LH=20 unchanged'!D184+'CurrentPor-LH=20 unchanged'!G184)/100,2))*100</f>
        <v>9614.9673582483465</v>
      </c>
      <c r="D184">
        <f>(3/(1+('CurrentPor-LH=20 unchanged'!C184+'CurrentPor-LH=20 unchanged'!H184)/100)+103/POWER(1+('CurrentPor-LH=20 unchanged'!D184+'CurrentPor-LH=20 unchanged'!H184)/100,2))*100</f>
        <v>9612.8147287565134</v>
      </c>
      <c r="E184">
        <f>(3/(1+('CurrentPor-LH=20 unchanged'!C184+'CurrentPor-LH=20 unchanged'!I184)/100)+103/POWER(1+('CurrentPor-LH=20 unchanged'!D184+'CurrentPor-LH=20 unchanged'!I184)/100,2))*100</f>
        <v>9600.3021512268133</v>
      </c>
      <c r="F184">
        <f>Portfolio!B$5*'CurrentPor-LH=20 unchanged'!E184</f>
        <v>52143.895533915893</v>
      </c>
      <c r="G184">
        <f>Portfolio!B$6*'CurrentPor-LH=20 unchanged'!F184</f>
        <v>3696.2945087936532</v>
      </c>
      <c r="H184">
        <f>Portfolio!B$7*'CurrentPor-LH=20 unchanged'!J184</f>
        <v>2148.0998964419859</v>
      </c>
      <c r="I184">
        <f t="shared" si="4"/>
        <v>96523.959954812031</v>
      </c>
      <c r="J184">
        <f t="shared" si="5"/>
        <v>24.450644819575245</v>
      </c>
    </row>
    <row r="185" spans="1:10">
      <c r="A185" s="1">
        <v>45728</v>
      </c>
      <c r="B185">
        <f>(3/(1+('CurrentPor-LH=20 unchanged'!C185)/100)+103/POWER(1+('CurrentPor-LH=20 unchanged'!D185)/100,2))*100</f>
        <v>9707.5857774288397</v>
      </c>
      <c r="C185">
        <f>(3/(1+('CurrentPor-LH=20 unchanged'!C185+'CurrentPor-LH=20 unchanged'!G185)/100)+103/POWER(1+('CurrentPor-LH=20 unchanged'!D185+'CurrentPor-LH=20 unchanged'!G185)/100,2))*100</f>
        <v>9614.9673582483465</v>
      </c>
      <c r="D185">
        <f>(3/(1+('CurrentPor-LH=20 unchanged'!C185+'CurrentPor-LH=20 unchanged'!H185)/100)+103/POWER(1+('CurrentPor-LH=20 unchanged'!D185+'CurrentPor-LH=20 unchanged'!H185)/100,2))*100</f>
        <v>9597.1608804675925</v>
      </c>
      <c r="E185">
        <f>(3/(1+('CurrentPor-LH=20 unchanged'!C185+'CurrentPor-LH=20 unchanged'!I185)/100)+103/POWER(1+('CurrentPor-LH=20 unchanged'!D185+'CurrentPor-LH=20 unchanged'!I185)/100,2))*100</f>
        <v>9567.9014983070174</v>
      </c>
      <c r="F185">
        <f>Portfolio!B$5*'CurrentPor-LH=20 unchanged'!E185</f>
        <v>52143.895533915893</v>
      </c>
      <c r="G185">
        <f>Portfolio!B$6*'CurrentPor-LH=20 unchanged'!F185</f>
        <v>3696.2945087936532</v>
      </c>
      <c r="H185">
        <f>Portfolio!B$7*'CurrentPor-LH=20 unchanged'!J185</f>
        <v>2148.0998964419859</v>
      </c>
      <c r="I185">
        <f t="shared" si="4"/>
        <v>96475.905453603322</v>
      </c>
      <c r="J185">
        <f t="shared" si="5"/>
        <v>-24.941699769915431</v>
      </c>
    </row>
    <row r="186" spans="1:10">
      <c r="A186" s="1">
        <v>45729</v>
      </c>
      <c r="B186">
        <f>(3/(1+('CurrentPor-LH=20 unchanged'!C186)/100)+103/POWER(1+('CurrentPor-LH=20 unchanged'!D186)/100,2))*100</f>
        <v>9707.5857774288397</v>
      </c>
      <c r="C186">
        <f>(3/(1+('CurrentPor-LH=20 unchanged'!C186+'CurrentPor-LH=20 unchanged'!G186)/100)+103/POWER(1+('CurrentPor-LH=20 unchanged'!D186+'CurrentPor-LH=20 unchanged'!G186)/100,2))*100</f>
        <v>9614.9673582483465</v>
      </c>
      <c r="D186">
        <f>(3/(1+('CurrentPor-LH=20 unchanged'!C186+'CurrentPor-LH=20 unchanged'!H186)/100)+103/POWER(1+('CurrentPor-LH=20 unchanged'!D186+'CurrentPor-LH=20 unchanged'!H186)/100,2))*100</f>
        <v>9601.8942548885734</v>
      </c>
      <c r="E186">
        <f>(3/(1+('CurrentPor-LH=20 unchanged'!C186+'CurrentPor-LH=20 unchanged'!I186)/100)+103/POWER(1+('CurrentPor-LH=20 unchanged'!D186+'CurrentPor-LH=20 unchanged'!I186)/100,2))*100</f>
        <v>9592.3519681577436</v>
      </c>
      <c r="F186">
        <f>Portfolio!B$5*'CurrentPor-LH=20 unchanged'!E186</f>
        <v>52143.895533915893</v>
      </c>
      <c r="G186">
        <f>Portfolio!B$6*'CurrentPor-LH=20 unchanged'!F186</f>
        <v>3696.2945087936532</v>
      </c>
      <c r="H186">
        <f>Portfolio!B$7*'CurrentPor-LH=20 unchanged'!J186</f>
        <v>2148.0998964419859</v>
      </c>
      <c r="I186">
        <f t="shared" si="4"/>
        <v>96505.089297875034</v>
      </c>
      <c r="J186">
        <f t="shared" si="5"/>
        <v>18.678635075135389</v>
      </c>
    </row>
    <row r="187" spans="1:10">
      <c r="A187" s="1">
        <v>45730</v>
      </c>
      <c r="B187">
        <f>(3/(1+('CurrentPor-LH=20 unchanged'!C187)/100)+103/POWER(1+('CurrentPor-LH=20 unchanged'!D187)/100,2))*100</f>
        <v>9707.5857774288397</v>
      </c>
      <c r="C187">
        <f>(3/(1+('CurrentPor-LH=20 unchanged'!C187+'CurrentPor-LH=20 unchanged'!G187)/100)+103/POWER(1+('CurrentPor-LH=20 unchanged'!D187+'CurrentPor-LH=20 unchanged'!G187)/100,2))*100</f>
        <v>9614.9673582483465</v>
      </c>
      <c r="D187">
        <f>(3/(1+('CurrentPor-LH=20 unchanged'!C187+'CurrentPor-LH=20 unchanged'!H187)/100)+103/POWER(1+('CurrentPor-LH=20 unchanged'!D187+'CurrentPor-LH=20 unchanged'!H187)/100,2))*100</f>
        <v>9597.6153586299934</v>
      </c>
      <c r="E187">
        <f>(3/(1+('CurrentPor-LH=20 unchanged'!C187+'CurrentPor-LH=20 unchanged'!I187)/100)+103/POWER(1+('CurrentPor-LH=20 unchanged'!D187+'CurrentPor-LH=20 unchanged'!I187)/100,2))*100</f>
        <v>9556.5899947974722</v>
      </c>
      <c r="F187">
        <f>Portfolio!B$5*'CurrentPor-LH=20 unchanged'!E187</f>
        <v>52143.895533915893</v>
      </c>
      <c r="G187">
        <f>Portfolio!B$6*'CurrentPor-LH=20 unchanged'!F187</f>
        <v>3696.2945087936532</v>
      </c>
      <c r="H187">
        <f>Portfolio!B$7*'CurrentPor-LH=20 unchanged'!J187</f>
        <v>2148.0998964419859</v>
      </c>
      <c r="I187">
        <f t="shared" si="4"/>
        <v>96465.048428256196</v>
      </c>
      <c r="J187">
        <f t="shared" si="5"/>
        <v>-41.545152717590099</v>
      </c>
    </row>
    <row r="188" spans="1:10">
      <c r="A188" s="13">
        <v>45733</v>
      </c>
      <c r="B188">
        <f>(3/(1+('CurrentPor-LH=20 unchanged'!C188)/100)+103/POWER(1+('CurrentPor-LH=20 unchanged'!D188)/100,2))*100</f>
        <v>9707.5857774288397</v>
      </c>
      <c r="C188">
        <f>(3/(1+('CurrentPor-LH=20 unchanged'!C188+'CurrentPor-LH=20 unchanged'!G188)/100)+103/POWER(1+('CurrentPor-LH=20 unchanged'!D188+'CurrentPor-LH=20 unchanged'!G188)/100,2))*100</f>
        <v>9614.9673582483465</v>
      </c>
      <c r="D188">
        <f>(3/(1+('CurrentPor-LH=20 unchanged'!C188+'CurrentPor-LH=20 unchanged'!H188)/100)+103/POWER(1+('CurrentPor-LH=20 unchanged'!D188+'CurrentPor-LH=20 unchanged'!H188)/100,2))*100</f>
        <v>9590.1817309480939</v>
      </c>
      <c r="E188">
        <f>(3/(1+('CurrentPor-LH=20 unchanged'!C188+'CurrentPor-LH=20 unchanged'!I188)/100)+103/POWER(1+('CurrentPor-LH=20 unchanged'!D188+'CurrentPor-LH=20 unchanged'!I188)/100,2))*100</f>
        <v>9589.2580894582061</v>
      </c>
      <c r="F188">
        <f>Portfolio!B$5*'CurrentPor-LH=20 unchanged'!E188</f>
        <v>52143.895533915893</v>
      </c>
      <c r="G188">
        <f>Portfolio!B$6*'CurrentPor-LH=20 unchanged'!F188</f>
        <v>3696.2945087936532</v>
      </c>
      <c r="H188">
        <f>Portfolio!B$7*'CurrentPor-LH=20 unchanged'!J188</f>
        <v>2148.0998964419859</v>
      </c>
      <c r="I188">
        <f t="shared" si="4"/>
        <v>96490.28289523501</v>
      </c>
      <c r="J188">
        <f t="shared" si="5"/>
        <v>17.714195980937802</v>
      </c>
    </row>
    <row r="189" spans="1:10">
      <c r="A189" s="1">
        <v>45734</v>
      </c>
      <c r="B189">
        <f>(3/(1+('CurrentPor-LH=20 unchanged'!C189)/100)+103/POWER(1+('CurrentPor-LH=20 unchanged'!D189)/100,2))*100</f>
        <v>9707.5857774288397</v>
      </c>
      <c r="C189">
        <f>(3/(1+('CurrentPor-LH=20 unchanged'!C189+'CurrentPor-LH=20 unchanged'!G189)/100)+103/POWER(1+('CurrentPor-LH=20 unchanged'!D189+'CurrentPor-LH=20 unchanged'!G189)/100,2))*100</f>
        <v>9614.9673582483465</v>
      </c>
      <c r="D189">
        <f>(3/(1+('CurrentPor-LH=20 unchanged'!C189+'CurrentPor-LH=20 unchanged'!H189)/100)+103/POWER(1+('CurrentPor-LH=20 unchanged'!D189+'CurrentPor-LH=20 unchanged'!H189)/100,2))*100</f>
        <v>9607.9960403492314</v>
      </c>
      <c r="E189">
        <f>(3/(1+('CurrentPor-LH=20 unchanged'!C189+'CurrentPor-LH=20 unchanged'!I189)/100)+103/POWER(1+('CurrentPor-LH=20 unchanged'!D189+'CurrentPor-LH=20 unchanged'!I189)/100,2))*100</f>
        <v>9597.6060240066054</v>
      </c>
      <c r="F189">
        <f>Portfolio!B$5*'CurrentPor-LH=20 unchanged'!E189</f>
        <v>52143.895533915893</v>
      </c>
      <c r="G189">
        <f>Portfolio!B$6*'CurrentPor-LH=20 unchanged'!F189</f>
        <v>3696.2945087936532</v>
      </c>
      <c r="H189">
        <f>Portfolio!B$7*'CurrentPor-LH=20 unchanged'!J189</f>
        <v>2148.0998964419859</v>
      </c>
      <c r="I189">
        <f t="shared" si="4"/>
        <v>96516.44513918455</v>
      </c>
      <c r="J189">
        <f t="shared" si="5"/>
        <v>25.509558697871398</v>
      </c>
    </row>
    <row r="190" spans="1:10">
      <c r="A190" s="1">
        <v>45735</v>
      </c>
      <c r="B190">
        <f>(3/(1+('CurrentPor-LH=20 unchanged'!C190)/100)+103/POWER(1+('CurrentPor-LH=20 unchanged'!D190)/100,2))*100</f>
        <v>9707.5857774288397</v>
      </c>
      <c r="C190">
        <f>(3/(1+('CurrentPor-LH=20 unchanged'!C190+'CurrentPor-LH=20 unchanged'!G190)/100)+103/POWER(1+('CurrentPor-LH=20 unchanged'!D190+'CurrentPor-LH=20 unchanged'!G190)/100,2))*100</f>
        <v>9614.9673582483465</v>
      </c>
      <c r="D190">
        <f>(3/(1+('CurrentPor-LH=20 unchanged'!C190+'CurrentPor-LH=20 unchanged'!H190)/100)+103/POWER(1+('CurrentPor-LH=20 unchanged'!D190+'CurrentPor-LH=20 unchanged'!H190)/100,2))*100</f>
        <v>9621.6701289741068</v>
      </c>
      <c r="E190">
        <f>(3/(1+('CurrentPor-LH=20 unchanged'!C190+'CurrentPor-LH=20 unchanged'!I190)/100)+103/POWER(1+('CurrentPor-LH=20 unchanged'!D190+'CurrentPor-LH=20 unchanged'!I190)/100,2))*100</f>
        <v>9597.8361216698795</v>
      </c>
      <c r="F190">
        <f>Portfolio!B$5*'CurrentPor-LH=20 unchanged'!E190</f>
        <v>52143.895533915893</v>
      </c>
      <c r="G190">
        <f>Portfolio!B$6*'CurrentPor-LH=20 unchanged'!F190</f>
        <v>3696.2945087936532</v>
      </c>
      <c r="H190">
        <f>Portfolio!B$7*'CurrentPor-LH=20 unchanged'!J190</f>
        <v>2148.0998964419859</v>
      </c>
      <c r="I190">
        <f t="shared" si="4"/>
        <v>96530.349325472707</v>
      </c>
      <c r="J190">
        <f t="shared" si="5"/>
        <v>30.322148466293584</v>
      </c>
    </row>
    <row r="191" spans="1:10">
      <c r="A191" s="1">
        <v>45736</v>
      </c>
      <c r="B191">
        <f>(3/(1+('CurrentPor-LH=20 unchanged'!C191)/100)+103/POWER(1+('CurrentPor-LH=20 unchanged'!D191)/100,2))*100</f>
        <v>9707.5857774288397</v>
      </c>
      <c r="C191">
        <f>(3/(1+('CurrentPor-LH=20 unchanged'!C191+'CurrentPor-LH=20 unchanged'!G191)/100)+103/POWER(1+('CurrentPor-LH=20 unchanged'!D191+'CurrentPor-LH=20 unchanged'!G191)/100,2))*100</f>
        <v>9614.9673582483465</v>
      </c>
      <c r="D191">
        <f>(3/(1+('CurrentPor-LH=20 unchanged'!C191+'CurrentPor-LH=20 unchanged'!H191)/100)+103/POWER(1+('CurrentPor-LH=20 unchanged'!D191+'CurrentPor-LH=20 unchanged'!H191)/100,2))*100</f>
        <v>9586.9481289768737</v>
      </c>
      <c r="E191">
        <f>(3/(1+('CurrentPor-LH=20 unchanged'!C191+'CurrentPor-LH=20 unchanged'!I191)/100)+103/POWER(1+('CurrentPor-LH=20 unchanged'!D191+'CurrentPor-LH=20 unchanged'!I191)/100,2))*100</f>
        <v>9579.5719024089885</v>
      </c>
      <c r="F191">
        <f>Portfolio!B$5*'CurrentPor-LH=20 unchanged'!E191</f>
        <v>52143.895533915893</v>
      </c>
      <c r="G191">
        <f>Portfolio!B$6*'CurrentPor-LH=20 unchanged'!F191</f>
        <v>3696.2945087936532</v>
      </c>
      <c r="H191">
        <f>Portfolio!B$7*'CurrentPor-LH=20 unchanged'!J191</f>
        <v>2148.0998964419859</v>
      </c>
      <c r="I191">
        <f t="shared" si="4"/>
        <v>96477.363106214572</v>
      </c>
      <c r="J191">
        <f t="shared" si="5"/>
        <v>-6.0906495693780016</v>
      </c>
    </row>
    <row r="192" spans="1:10">
      <c r="A192" s="1">
        <v>45737</v>
      </c>
      <c r="B192">
        <f>(3/(1+('CurrentPor-LH=20 unchanged'!C192)/100)+103/POWER(1+('CurrentPor-LH=20 unchanged'!D192)/100,2))*100</f>
        <v>9707.5857774288397</v>
      </c>
      <c r="C192">
        <f>(3/(1+('CurrentPor-LH=20 unchanged'!C192+'CurrentPor-LH=20 unchanged'!G192)/100)+103/POWER(1+('CurrentPor-LH=20 unchanged'!D192+'CurrentPor-LH=20 unchanged'!G192)/100,2))*100</f>
        <v>9614.9673582483465</v>
      </c>
      <c r="D192">
        <f>(3/(1+('CurrentPor-LH=20 unchanged'!C192+'CurrentPor-LH=20 unchanged'!H192)/100)+103/POWER(1+('CurrentPor-LH=20 unchanged'!D192+'CurrentPor-LH=20 unchanged'!H192)/100,2))*100</f>
        <v>9594.7333797965803</v>
      </c>
      <c r="E192">
        <f>(3/(1+('CurrentPor-LH=20 unchanged'!C192+'CurrentPor-LH=20 unchanged'!I192)/100)+103/POWER(1+('CurrentPor-LH=20 unchanged'!D192+'CurrentPor-LH=20 unchanged'!I192)/100,2))*100</f>
        <v>9580.9411701051649</v>
      </c>
      <c r="F192">
        <f>Portfolio!B$5*'CurrentPor-LH=20 unchanged'!E192</f>
        <v>52143.895533915893</v>
      </c>
      <c r="G192">
        <f>Portfolio!B$6*'CurrentPor-LH=20 unchanged'!F192</f>
        <v>3696.2945087936532</v>
      </c>
      <c r="H192">
        <f>Portfolio!B$7*'CurrentPor-LH=20 unchanged'!J192</f>
        <v>2148.0998964419859</v>
      </c>
      <c r="I192">
        <f t="shared" si="4"/>
        <v>96486.517624730463</v>
      </c>
      <c r="J192">
        <f t="shared" si="5"/>
        <v>-21.433645821147365</v>
      </c>
    </row>
    <row r="193" spans="1:10">
      <c r="A193" s="1">
        <v>45740</v>
      </c>
      <c r="B193">
        <f>(3/(1+('CurrentPor-LH=20 unchanged'!C193)/100)+103/POWER(1+('CurrentPor-LH=20 unchanged'!D193)/100,2))*100</f>
        <v>9707.5857774288397</v>
      </c>
      <c r="C193">
        <f>(3/(1+('CurrentPor-LH=20 unchanged'!C193+'CurrentPor-LH=20 unchanged'!G193)/100)+103/POWER(1+('CurrentPor-LH=20 unchanged'!D193+'CurrentPor-LH=20 unchanged'!G193)/100,2))*100</f>
        <v>9614.9673582483465</v>
      </c>
      <c r="D193">
        <f>(3/(1+('CurrentPor-LH=20 unchanged'!C193+'CurrentPor-LH=20 unchanged'!H193)/100)+103/POWER(1+('CurrentPor-LH=20 unchanged'!D193+'CurrentPor-LH=20 unchanged'!H193)/100,2))*100</f>
        <v>9599.05985436841</v>
      </c>
      <c r="E193">
        <f>(3/(1+('CurrentPor-LH=20 unchanged'!C193+'CurrentPor-LH=20 unchanged'!I193)/100)+103/POWER(1+('CurrentPor-LH=20 unchanged'!D193+'CurrentPor-LH=20 unchanged'!I193)/100,2))*100</f>
        <v>9566.9783808950415</v>
      </c>
      <c r="F193">
        <f>Portfolio!B$5*'CurrentPor-LH=20 unchanged'!E193</f>
        <v>52143.895533915893</v>
      </c>
      <c r="G193">
        <f>Portfolio!B$6*'CurrentPor-LH=20 unchanged'!F193</f>
        <v>3696.2945087936532</v>
      </c>
      <c r="H193">
        <f>Portfolio!B$7*'CurrentPor-LH=20 unchanged'!J193</f>
        <v>2148.0998964419859</v>
      </c>
      <c r="I193">
        <f t="shared" si="4"/>
        <v>96476.881310092169</v>
      </c>
      <c r="J193">
        <f t="shared" si="5"/>
        <v>-34.496927427535411</v>
      </c>
    </row>
    <row r="194" spans="1:10">
      <c r="A194" s="1">
        <v>45741</v>
      </c>
      <c r="B194">
        <f>(3/(1+('CurrentPor-LH=20 unchanged'!C194)/100)+103/POWER(1+('CurrentPor-LH=20 unchanged'!D194)/100,2))*100</f>
        <v>9707.5857774288397</v>
      </c>
      <c r="C194">
        <f>(3/(1+('CurrentPor-LH=20 unchanged'!C194+'CurrentPor-LH=20 unchanged'!G194)/100)+103/POWER(1+('CurrentPor-LH=20 unchanged'!D194+'CurrentPor-LH=20 unchanged'!G194)/100,2))*100</f>
        <v>9614.9673582483465</v>
      </c>
      <c r="D194">
        <f>(3/(1+('CurrentPor-LH=20 unchanged'!C194+'CurrentPor-LH=20 unchanged'!H194)/100)+103/POWER(1+('CurrentPor-LH=20 unchanged'!D194+'CurrentPor-LH=20 unchanged'!H194)/100,2))*100</f>
        <v>9590.4055045641071</v>
      </c>
      <c r="E194">
        <f>(3/(1+('CurrentPor-LH=20 unchanged'!C194+'CurrentPor-LH=20 unchanged'!I194)/100)+103/POWER(1+('CurrentPor-LH=20 unchanged'!D194+'CurrentPor-LH=20 unchanged'!I194)/100,2))*100</f>
        <v>9595.1066468859244</v>
      </c>
      <c r="F194">
        <f>Portfolio!B$5*'CurrentPor-LH=20 unchanged'!E194</f>
        <v>52143.895533915893</v>
      </c>
      <c r="G194">
        <f>Portfolio!B$6*'CurrentPor-LH=20 unchanged'!F194</f>
        <v>3696.2945087936532</v>
      </c>
      <c r="H194">
        <f>Portfolio!B$7*'CurrentPor-LH=20 unchanged'!J194</f>
        <v>2148.0998964419859</v>
      </c>
      <c r="I194">
        <f t="shared" si="4"/>
        <v>96496.355226278756</v>
      </c>
      <c r="J194">
        <f t="shared" si="5"/>
        <v>-27.604728533275193</v>
      </c>
    </row>
    <row r="195" spans="1:10">
      <c r="A195" s="1">
        <v>45742</v>
      </c>
      <c r="B195">
        <f>(3/(1+('CurrentPor-LH=20 unchanged'!C195)/100)+103/POWER(1+('CurrentPor-LH=20 unchanged'!D195)/100,2))*100</f>
        <v>9707.5857774288397</v>
      </c>
      <c r="C195">
        <f>(3/(1+('CurrentPor-LH=20 unchanged'!C195+'CurrentPor-LH=20 unchanged'!G195)/100)+103/POWER(1+('CurrentPor-LH=20 unchanged'!D195+'CurrentPor-LH=20 unchanged'!G195)/100,2))*100</f>
        <v>9614.9673582483465</v>
      </c>
      <c r="D195">
        <f>(3/(1+('CurrentPor-LH=20 unchanged'!C195+'CurrentPor-LH=20 unchanged'!H195)/100)+103/POWER(1+('CurrentPor-LH=20 unchanged'!D195+'CurrentPor-LH=20 unchanged'!H195)/100,2))*100</f>
        <v>9593.5253254041691</v>
      </c>
      <c r="E195">
        <f>(3/(1+('CurrentPor-LH=20 unchanged'!C195+'CurrentPor-LH=20 unchanged'!I195)/100)+103/POWER(1+('CurrentPor-LH=20 unchanged'!D195+'CurrentPor-LH=20 unchanged'!I195)/100,2))*100</f>
        <v>9597.8818766610057</v>
      </c>
      <c r="F195">
        <f>Portfolio!B$5*'CurrentPor-LH=20 unchanged'!E195</f>
        <v>52143.895533915893</v>
      </c>
      <c r="G195">
        <f>Portfolio!B$6*'CurrentPor-LH=20 unchanged'!F195</f>
        <v>3696.2945087936532</v>
      </c>
      <c r="H195">
        <f>Portfolio!B$7*'CurrentPor-LH=20 unchanged'!J195</f>
        <v>2148.0998964419859</v>
      </c>
      <c r="I195">
        <f t="shared" si="4"/>
        <v>96502.250276893887</v>
      </c>
      <c r="J195">
        <f t="shared" si="5"/>
        <v>26.344823290564818</v>
      </c>
    </row>
    <row r="196" spans="1:10">
      <c r="A196" s="1">
        <v>45743</v>
      </c>
      <c r="B196">
        <f>(3/(1+('CurrentPor-LH=20 unchanged'!C196)/100)+103/POWER(1+('CurrentPor-LH=20 unchanged'!D196)/100,2))*100</f>
        <v>9707.5857774288397</v>
      </c>
      <c r="C196">
        <f>(3/(1+('CurrentPor-LH=20 unchanged'!C196+'CurrentPor-LH=20 unchanged'!G196)/100)+103/POWER(1+('CurrentPor-LH=20 unchanged'!D196+'CurrentPor-LH=20 unchanged'!G196)/100,2))*100</f>
        <v>9614.9673582483465</v>
      </c>
      <c r="D196">
        <f>(3/(1+('CurrentPor-LH=20 unchanged'!C196+'CurrentPor-LH=20 unchanged'!H196)/100)+103/POWER(1+('CurrentPor-LH=20 unchanged'!D196+'CurrentPor-LH=20 unchanged'!H196)/100,2))*100</f>
        <v>9607.3842468240164</v>
      </c>
      <c r="E196">
        <f>(3/(1+('CurrentPor-LH=20 unchanged'!C196+'CurrentPor-LH=20 unchanged'!I196)/100)+103/POWER(1+('CurrentPor-LH=20 unchanged'!D196+'CurrentPor-LH=20 unchanged'!I196)/100,2))*100</f>
        <v>9593.512268056651</v>
      </c>
      <c r="F196">
        <f>Portfolio!B$5*'CurrentPor-LH=20 unchanged'!E196</f>
        <v>52143.895533915893</v>
      </c>
      <c r="G196">
        <f>Portfolio!B$6*'CurrentPor-LH=20 unchanged'!F196</f>
        <v>3696.2945087936532</v>
      </c>
      <c r="H196">
        <f>Portfolio!B$7*'CurrentPor-LH=20 unchanged'!J196</f>
        <v>2148.0998964419859</v>
      </c>
      <c r="I196">
        <f t="shared" ref="I196:I259" si="6">SUM(B196:H196)</f>
        <v>96511.739589709381</v>
      </c>
      <c r="J196">
        <f t="shared" si="5"/>
        <v>6.6502918343467172</v>
      </c>
    </row>
    <row r="197" spans="1:10">
      <c r="A197" s="1">
        <v>45744</v>
      </c>
      <c r="B197">
        <f>(3/(1+('CurrentPor-LH=20 unchanged'!C197)/100)+103/POWER(1+('CurrentPor-LH=20 unchanged'!D197)/100,2))*100</f>
        <v>9707.5857774288397</v>
      </c>
      <c r="C197">
        <f>(3/(1+('CurrentPor-LH=20 unchanged'!C197+'CurrentPor-LH=20 unchanged'!G197)/100)+103/POWER(1+('CurrentPor-LH=20 unchanged'!D197+'CurrentPor-LH=20 unchanged'!G197)/100,2))*100</f>
        <v>9614.9673582483465</v>
      </c>
      <c r="D197">
        <f>(3/(1+('CurrentPor-LH=20 unchanged'!C197+'CurrentPor-LH=20 unchanged'!H197)/100)+103/POWER(1+('CurrentPor-LH=20 unchanged'!D197+'CurrentPor-LH=20 unchanged'!H197)/100,2))*100</f>
        <v>9594.2827526639267</v>
      </c>
      <c r="E197">
        <f>(3/(1+('CurrentPor-LH=20 unchanged'!C197+'CurrentPor-LH=20 unchanged'!I197)/100)+103/POWER(1+('CurrentPor-LH=20 unchanged'!D197+'CurrentPor-LH=20 unchanged'!I197)/100,2))*100</f>
        <v>9605.8240799477662</v>
      </c>
      <c r="F197">
        <f>Portfolio!B$5*'CurrentPor-LH=20 unchanged'!E197</f>
        <v>52143.895533915893</v>
      </c>
      <c r="G197">
        <f>Portfolio!B$6*'CurrentPor-LH=20 unchanged'!F197</f>
        <v>3696.2945087936532</v>
      </c>
      <c r="H197">
        <f>Portfolio!B$7*'CurrentPor-LH=20 unchanged'!J197</f>
        <v>2148.0998964419859</v>
      </c>
      <c r="I197">
        <f t="shared" si="6"/>
        <v>96510.949907440416</v>
      </c>
      <c r="J197">
        <f t="shared" si="5"/>
        <v>45.901479184220079</v>
      </c>
    </row>
    <row r="198" spans="1:10">
      <c r="A198" s="1">
        <v>45747</v>
      </c>
      <c r="B198">
        <f>(3/(1+('CurrentPor-LH=20 unchanged'!C198)/100)+103/POWER(1+('CurrentPor-LH=20 unchanged'!D198)/100,2))*100</f>
        <v>9707.5857774288397</v>
      </c>
      <c r="C198">
        <f>(3/(1+('CurrentPor-LH=20 unchanged'!C198+'CurrentPor-LH=20 unchanged'!G198)/100)+103/POWER(1+('CurrentPor-LH=20 unchanged'!D198+'CurrentPor-LH=20 unchanged'!G198)/100,2))*100</f>
        <v>9614.9673582483465</v>
      </c>
      <c r="D198">
        <f>(3/(1+('CurrentPor-LH=20 unchanged'!C198+'CurrentPor-LH=20 unchanged'!H198)/100)+103/POWER(1+('CurrentPor-LH=20 unchanged'!D198+'CurrentPor-LH=20 unchanged'!H198)/100,2))*100</f>
        <v>9605.4231600387629</v>
      </c>
      <c r="E198">
        <f>(3/(1+('CurrentPor-LH=20 unchanged'!C198+'CurrentPor-LH=20 unchanged'!I198)/100)+103/POWER(1+('CurrentPor-LH=20 unchanged'!D198+'CurrentPor-LH=20 unchanged'!I198)/100,2))*100</f>
        <v>9574.2395176244208</v>
      </c>
      <c r="F198">
        <f>Portfolio!B$5*'CurrentPor-LH=20 unchanged'!E198</f>
        <v>52143.895533915893</v>
      </c>
      <c r="G198">
        <f>Portfolio!B$6*'CurrentPor-LH=20 unchanged'!F198</f>
        <v>3696.2945087936532</v>
      </c>
      <c r="H198">
        <f>Portfolio!B$7*'CurrentPor-LH=20 unchanged'!J198</f>
        <v>2148.0998964419859</v>
      </c>
      <c r="I198">
        <f t="shared" si="6"/>
        <v>96490.505752491896</v>
      </c>
      <c r="J198">
        <f t="shared" si="5"/>
        <v>0.22285725688561797</v>
      </c>
    </row>
    <row r="199" spans="1:10">
      <c r="A199" s="1">
        <v>45748</v>
      </c>
      <c r="B199">
        <f>(3/(1+('CurrentPor-LH=20 unchanged'!C199)/100)+103/POWER(1+('CurrentPor-LH=20 unchanged'!D199)/100,2))*100</f>
        <v>9707.5857774288397</v>
      </c>
      <c r="C199">
        <f>(3/(1+('CurrentPor-LH=20 unchanged'!C199+'CurrentPor-LH=20 unchanged'!G199)/100)+103/POWER(1+('CurrentPor-LH=20 unchanged'!D199+'CurrentPor-LH=20 unchanged'!G199)/100,2))*100</f>
        <v>9614.9673582483465</v>
      </c>
      <c r="D199">
        <f>(3/(1+('CurrentPor-LH=20 unchanged'!C199+'CurrentPor-LH=20 unchanged'!H199)/100)+103/POWER(1+('CurrentPor-LH=20 unchanged'!D199+'CurrentPor-LH=20 unchanged'!H199)/100,2))*100</f>
        <v>9600.4432844289277</v>
      </c>
      <c r="E199">
        <f>(3/(1+('CurrentPor-LH=20 unchanged'!C199+'CurrentPor-LH=20 unchanged'!I199)/100)+103/POWER(1+('CurrentPor-LH=20 unchanged'!D199+'CurrentPor-LH=20 unchanged'!I199)/100,2))*100</f>
        <v>9604.3289785749912</v>
      </c>
      <c r="F199">
        <f>Portfolio!B$5*'CurrentPor-LH=20 unchanged'!E199</f>
        <v>52143.895533915893</v>
      </c>
      <c r="G199">
        <f>Portfolio!B$6*'CurrentPor-LH=20 unchanged'!F199</f>
        <v>3696.2945087936532</v>
      </c>
      <c r="H199">
        <f>Portfolio!B$7*'CurrentPor-LH=20 unchanged'!J199</f>
        <v>2148.0998964419859</v>
      </c>
      <c r="I199">
        <f t="shared" si="6"/>
        <v>96515.615337832642</v>
      </c>
      <c r="J199">
        <f t="shared" si="5"/>
        <v>-0.8298013519088272</v>
      </c>
    </row>
    <row r="200" spans="1:10">
      <c r="A200" s="1">
        <v>45749</v>
      </c>
      <c r="B200">
        <f>(3/(1+('CurrentPor-LH=20 unchanged'!C200)/100)+103/POWER(1+('CurrentPor-LH=20 unchanged'!D200)/100,2))*100</f>
        <v>9707.5857774288397</v>
      </c>
      <c r="C200">
        <f>(3/(1+('CurrentPor-LH=20 unchanged'!C200+'CurrentPor-LH=20 unchanged'!G200)/100)+103/POWER(1+('CurrentPor-LH=20 unchanged'!D200+'CurrentPor-LH=20 unchanged'!G200)/100,2))*100</f>
        <v>9614.9673582483465</v>
      </c>
      <c r="D200">
        <f>(3/(1+('CurrentPor-LH=20 unchanged'!C200+'CurrentPor-LH=20 unchanged'!H200)/100)+103/POWER(1+('CurrentPor-LH=20 unchanged'!D200+'CurrentPor-LH=20 unchanged'!H200)/100,2))*100</f>
        <v>9591.3128444723789</v>
      </c>
      <c r="E200">
        <f>(3/(1+('CurrentPor-LH=20 unchanged'!C200+'CurrentPor-LH=20 unchanged'!I200)/100)+103/POWER(1+('CurrentPor-LH=20 unchanged'!D200+'CurrentPor-LH=20 unchanged'!I200)/100,2))*100</f>
        <v>9584.0197129333137</v>
      </c>
      <c r="F200">
        <f>Portfolio!B$5*'CurrentPor-LH=20 unchanged'!E200</f>
        <v>52143.895533915893</v>
      </c>
      <c r="G200">
        <f>Portfolio!B$6*'CurrentPor-LH=20 unchanged'!F200</f>
        <v>3696.2945087936532</v>
      </c>
      <c r="H200">
        <f>Portfolio!B$7*'CurrentPor-LH=20 unchanged'!J200</f>
        <v>2148.0998964419859</v>
      </c>
      <c r="I200">
        <f t="shared" si="6"/>
        <v>96486.175632234415</v>
      </c>
      <c r="J200">
        <f t="shared" si="5"/>
        <v>-44.173693238291889</v>
      </c>
    </row>
    <row r="201" spans="1:10">
      <c r="A201" s="1">
        <v>45750</v>
      </c>
      <c r="B201">
        <f>(3/(1+('CurrentPor-LH=20 unchanged'!C201)/100)+103/POWER(1+('CurrentPor-LH=20 unchanged'!D201)/100,2))*100</f>
        <v>9707.5857774288397</v>
      </c>
      <c r="C201">
        <f>(3/(1+('CurrentPor-LH=20 unchanged'!C201+'CurrentPor-LH=20 unchanged'!G201)/100)+103/POWER(1+('CurrentPor-LH=20 unchanged'!D201+'CurrentPor-LH=20 unchanged'!G201)/100,2))*100</f>
        <v>9614.9673582483465</v>
      </c>
      <c r="D201">
        <f>(3/(1+('CurrentPor-LH=20 unchanged'!C201+'CurrentPor-LH=20 unchanged'!H201)/100)+103/POWER(1+('CurrentPor-LH=20 unchanged'!D201+'CurrentPor-LH=20 unchanged'!H201)/100,2))*100</f>
        <v>9601.9283451545634</v>
      </c>
      <c r="E201">
        <f>(3/(1+('CurrentPor-LH=20 unchanged'!C201+'CurrentPor-LH=20 unchanged'!I201)/100)+103/POWER(1+('CurrentPor-LH=20 unchanged'!D201+'CurrentPor-LH=20 unchanged'!I201)/100,2))*100</f>
        <v>9596.2826920747411</v>
      </c>
      <c r="F201">
        <f>Portfolio!B$5*'CurrentPor-LH=20 unchanged'!E201</f>
        <v>52143.895533915893</v>
      </c>
      <c r="G201">
        <f>Portfolio!B$6*'CurrentPor-LH=20 unchanged'!F201</f>
        <v>3696.2945087936532</v>
      </c>
      <c r="H201">
        <f>Portfolio!B$7*'CurrentPor-LH=20 unchanged'!J201</f>
        <v>2148.0998964419859</v>
      </c>
      <c r="I201">
        <f t="shared" si="6"/>
        <v>96509.054112058031</v>
      </c>
      <c r="J201">
        <f t="shared" si="5"/>
        <v>31.691005843458697</v>
      </c>
    </row>
    <row r="202" spans="1:10">
      <c r="A202" s="1">
        <v>45751</v>
      </c>
      <c r="B202">
        <f>(3/(1+('CurrentPor-LH=20 unchanged'!C202)/100)+103/POWER(1+('CurrentPor-LH=20 unchanged'!D202)/100,2))*100</f>
        <v>9707.5857774288397</v>
      </c>
      <c r="C202">
        <f>(3/(1+('CurrentPor-LH=20 unchanged'!C202+'CurrentPor-LH=20 unchanged'!G202)/100)+103/POWER(1+('CurrentPor-LH=20 unchanged'!D202+'CurrentPor-LH=20 unchanged'!G202)/100,2))*100</f>
        <v>9614.9673582483465</v>
      </c>
      <c r="D202">
        <f>(3/(1+('CurrentPor-LH=20 unchanged'!C202+'CurrentPor-LH=20 unchanged'!H202)/100)+103/POWER(1+('CurrentPor-LH=20 unchanged'!D202+'CurrentPor-LH=20 unchanged'!H202)/100,2))*100</f>
        <v>9594.2588089714263</v>
      </c>
      <c r="E202">
        <f>(3/(1+('CurrentPor-LH=20 unchanged'!C202+'CurrentPor-LH=20 unchanged'!I202)/100)+103/POWER(1+('CurrentPor-LH=20 unchanged'!D202+'CurrentPor-LH=20 unchanged'!I202)/100,2))*100</f>
        <v>9566.297220702867</v>
      </c>
      <c r="F202">
        <f>Portfolio!B$5*'CurrentPor-LH=20 unchanged'!E202</f>
        <v>52143.895533915893</v>
      </c>
      <c r="G202">
        <f>Portfolio!B$6*'CurrentPor-LH=20 unchanged'!F202</f>
        <v>3696.2945087936532</v>
      </c>
      <c r="H202">
        <f>Portfolio!B$7*'CurrentPor-LH=20 unchanged'!J202</f>
        <v>2148.0998964419859</v>
      </c>
      <c r="I202">
        <f t="shared" si="6"/>
        <v>96471.399104503012</v>
      </c>
      <c r="J202">
        <f t="shared" si="5"/>
        <v>-15.118520227450063</v>
      </c>
    </row>
    <row r="203" spans="1:10">
      <c r="A203" s="1">
        <v>45754</v>
      </c>
      <c r="B203">
        <f>(3/(1+('CurrentPor-LH=20 unchanged'!C203)/100)+103/POWER(1+('CurrentPor-LH=20 unchanged'!D203)/100,2))*100</f>
        <v>9707.5857774288397</v>
      </c>
      <c r="C203">
        <f>(3/(1+('CurrentPor-LH=20 unchanged'!C203+'CurrentPor-LH=20 unchanged'!G203)/100)+103/POWER(1+('CurrentPor-LH=20 unchanged'!D203+'CurrentPor-LH=20 unchanged'!G203)/100,2))*100</f>
        <v>9614.9673582483465</v>
      </c>
      <c r="D203">
        <f>(3/(1+('CurrentPor-LH=20 unchanged'!C203+'CurrentPor-LH=20 unchanged'!H203)/100)+103/POWER(1+('CurrentPor-LH=20 unchanged'!D203+'CurrentPor-LH=20 unchanged'!H203)/100,2))*100</f>
        <v>9617.3713605007088</v>
      </c>
      <c r="E203">
        <f>(3/(1+('CurrentPor-LH=20 unchanged'!C203+'CurrentPor-LH=20 unchanged'!I203)/100)+103/POWER(1+('CurrentPor-LH=20 unchanged'!D203+'CurrentPor-LH=20 unchanged'!I203)/100,2))*100</f>
        <v>9583.3199530551301</v>
      </c>
      <c r="F203">
        <f>Portfolio!B$5*'CurrentPor-LH=20 unchanged'!E203</f>
        <v>52143.895533915893</v>
      </c>
      <c r="G203">
        <f>Portfolio!B$6*'CurrentPor-LH=20 unchanged'!F203</f>
        <v>3696.2945087936532</v>
      </c>
      <c r="H203">
        <f>Portfolio!B$7*'CurrentPor-LH=20 unchanged'!J203</f>
        <v>2148.0998964419859</v>
      </c>
      <c r="I203">
        <f t="shared" si="6"/>
        <v>96511.534388384563</v>
      </c>
      <c r="J203">
        <f t="shared" si="5"/>
        <v>34.653078292394639</v>
      </c>
    </row>
    <row r="204" spans="1:10">
      <c r="A204" s="1">
        <v>45755</v>
      </c>
      <c r="B204">
        <f>(3/(1+('CurrentPor-LH=20 unchanged'!C204)/100)+103/POWER(1+('CurrentPor-LH=20 unchanged'!D204)/100,2))*100</f>
        <v>9707.5857774288397</v>
      </c>
      <c r="C204">
        <f>(3/(1+('CurrentPor-LH=20 unchanged'!C204+'CurrentPor-LH=20 unchanged'!G204)/100)+103/POWER(1+('CurrentPor-LH=20 unchanged'!D204+'CurrentPor-LH=20 unchanged'!G204)/100,2))*100</f>
        <v>9614.9673582483465</v>
      </c>
      <c r="D204">
        <f>(3/(1+('CurrentPor-LH=20 unchanged'!C204+'CurrentPor-LH=20 unchanged'!H204)/100)+103/POWER(1+('CurrentPor-LH=20 unchanged'!D204+'CurrentPor-LH=20 unchanged'!H204)/100,2))*100</f>
        <v>9585.304414453818</v>
      </c>
      <c r="E204">
        <f>(3/(1+('CurrentPor-LH=20 unchanged'!C204+'CurrentPor-LH=20 unchanged'!I204)/100)+103/POWER(1+('CurrentPor-LH=20 unchanged'!D204+'CurrentPor-LH=20 unchanged'!I204)/100,2))*100</f>
        <v>9589.3712012098749</v>
      </c>
      <c r="F204">
        <f>Portfolio!B$5*'CurrentPor-LH=20 unchanged'!E204</f>
        <v>52143.895533915893</v>
      </c>
      <c r="G204">
        <f>Portfolio!B$6*'CurrentPor-LH=20 unchanged'!F204</f>
        <v>3696.2945087936532</v>
      </c>
      <c r="H204">
        <f>Portfolio!B$7*'CurrentPor-LH=20 unchanged'!J204</f>
        <v>2148.0998964419859</v>
      </c>
      <c r="I204">
        <f t="shared" si="6"/>
        <v>96485.518690492419</v>
      </c>
      <c r="J204">
        <f t="shared" si="5"/>
        <v>-10.836535786336754</v>
      </c>
    </row>
    <row r="205" spans="1:10">
      <c r="A205" s="1">
        <v>45756</v>
      </c>
      <c r="B205">
        <f>(3/(1+('CurrentPor-LH=20 unchanged'!C205)/100)+103/POWER(1+('CurrentPor-LH=20 unchanged'!D205)/100,2))*100</f>
        <v>9707.5857774288397</v>
      </c>
      <c r="C205">
        <f>(3/(1+('CurrentPor-LH=20 unchanged'!C205+'CurrentPor-LH=20 unchanged'!G205)/100)+103/POWER(1+('CurrentPor-LH=20 unchanged'!D205+'CurrentPor-LH=20 unchanged'!G205)/100,2))*100</f>
        <v>9614.9673582483465</v>
      </c>
      <c r="D205">
        <f>(3/(1+('CurrentPor-LH=20 unchanged'!C205+'CurrentPor-LH=20 unchanged'!H205)/100)+103/POWER(1+('CurrentPor-LH=20 unchanged'!D205+'CurrentPor-LH=20 unchanged'!H205)/100,2))*100</f>
        <v>9599.6951239519767</v>
      </c>
      <c r="E205">
        <f>(3/(1+('CurrentPor-LH=20 unchanged'!C205+'CurrentPor-LH=20 unchanged'!I205)/100)+103/POWER(1+('CurrentPor-LH=20 unchanged'!D205+'CurrentPor-LH=20 unchanged'!I205)/100,2))*100</f>
        <v>9594.5449984779607</v>
      </c>
      <c r="F205">
        <f>Portfolio!B$5*'CurrentPor-LH=20 unchanged'!E205</f>
        <v>52143.895533915893</v>
      </c>
      <c r="G205">
        <f>Portfolio!B$6*'CurrentPor-LH=20 unchanged'!F205</f>
        <v>3696.2945087936532</v>
      </c>
      <c r="H205">
        <f>Portfolio!B$7*'CurrentPor-LH=20 unchanged'!J205</f>
        <v>2148.0998964419859</v>
      </c>
      <c r="I205">
        <f t="shared" si="6"/>
        <v>96505.08319725866</v>
      </c>
      <c r="J205">
        <f t="shared" si="5"/>
        <v>2.8329203647735994</v>
      </c>
    </row>
    <row r="206" spans="1:10">
      <c r="A206" s="1">
        <v>45757</v>
      </c>
      <c r="B206">
        <f>(3/(1+('CurrentPor-LH=20 unchanged'!C206)/100)+103/POWER(1+('CurrentPor-LH=20 unchanged'!D206)/100,2))*100</f>
        <v>9707.5857774288397</v>
      </c>
      <c r="C206">
        <f>(3/(1+('CurrentPor-LH=20 unchanged'!C206+'CurrentPor-LH=20 unchanged'!G206)/100)+103/POWER(1+('CurrentPor-LH=20 unchanged'!D206+'CurrentPor-LH=20 unchanged'!G206)/100,2))*100</f>
        <v>9614.9673582483465</v>
      </c>
      <c r="D206">
        <f>(3/(1+('CurrentPor-LH=20 unchanged'!C206+'CurrentPor-LH=20 unchanged'!H206)/100)+103/POWER(1+('CurrentPor-LH=20 unchanged'!D206+'CurrentPor-LH=20 unchanged'!H206)/100,2))*100</f>
        <v>9603.2688926107458</v>
      </c>
      <c r="E206">
        <f>(3/(1+('CurrentPor-LH=20 unchanged'!C206+'CurrentPor-LH=20 unchanged'!I206)/100)+103/POWER(1+('CurrentPor-LH=20 unchanged'!D206+'CurrentPor-LH=20 unchanged'!I206)/100,2))*100</f>
        <v>9574.3661645693555</v>
      </c>
      <c r="F206">
        <f>Portfolio!B$5*'CurrentPor-LH=20 unchanged'!E206</f>
        <v>52143.895533915893</v>
      </c>
      <c r="G206">
        <f>Portfolio!B$6*'CurrentPor-LH=20 unchanged'!F206</f>
        <v>3696.2945087936532</v>
      </c>
      <c r="H206">
        <f>Portfolio!B$7*'CurrentPor-LH=20 unchanged'!J206</f>
        <v>2148.0998964419859</v>
      </c>
      <c r="I206">
        <f t="shared" si="6"/>
        <v>96488.478132008822</v>
      </c>
      <c r="J206">
        <f t="shared" ref="J206:J263" si="7">I206-I196</f>
        <v>-23.261457700558822</v>
      </c>
    </row>
    <row r="207" spans="1:10">
      <c r="A207" s="1">
        <v>45758</v>
      </c>
      <c r="B207">
        <f>(3/(1+('CurrentPor-LH=20 unchanged'!C207)/100)+103/POWER(1+('CurrentPor-LH=20 unchanged'!D207)/100,2))*100</f>
        <v>9707.5857774288397</v>
      </c>
      <c r="C207">
        <f>(3/(1+('CurrentPor-LH=20 unchanged'!C207+'CurrentPor-LH=20 unchanged'!G207)/100)+103/POWER(1+('CurrentPor-LH=20 unchanged'!D207+'CurrentPor-LH=20 unchanged'!G207)/100,2))*100</f>
        <v>9614.9673582483465</v>
      </c>
      <c r="D207">
        <f>(3/(1+('CurrentPor-LH=20 unchanged'!C207+'CurrentPor-LH=20 unchanged'!H207)/100)+103/POWER(1+('CurrentPor-LH=20 unchanged'!D207+'CurrentPor-LH=20 unchanged'!H207)/100,2))*100</f>
        <v>9602.8867591751532</v>
      </c>
      <c r="E207">
        <f>(3/(1+('CurrentPor-LH=20 unchanged'!C207+'CurrentPor-LH=20 unchanged'!I207)/100)+103/POWER(1+('CurrentPor-LH=20 unchanged'!D207+'CurrentPor-LH=20 unchanged'!I207)/100,2))*100</f>
        <v>9580.8463983977254</v>
      </c>
      <c r="F207">
        <f>Portfolio!B$5*'CurrentPor-LH=20 unchanged'!E207</f>
        <v>52143.895533915893</v>
      </c>
      <c r="G207">
        <f>Portfolio!B$6*'CurrentPor-LH=20 unchanged'!F207</f>
        <v>3696.2945087936532</v>
      </c>
      <c r="H207">
        <f>Portfolio!B$7*'CurrentPor-LH=20 unchanged'!J207</f>
        <v>2148.0998964419859</v>
      </c>
      <c r="I207">
        <f t="shared" si="6"/>
        <v>96494.576232401596</v>
      </c>
      <c r="J207">
        <f t="shared" si="7"/>
        <v>-16.373675038819783</v>
      </c>
    </row>
    <row r="208" spans="1:10">
      <c r="A208" s="1">
        <v>45761</v>
      </c>
      <c r="B208">
        <f>(3/(1+('CurrentPor-LH=20 unchanged'!C208)/100)+103/POWER(1+('CurrentPor-LH=20 unchanged'!D208)/100,2))*100</f>
        <v>9707.5857774288397</v>
      </c>
      <c r="C208">
        <f>(3/(1+('CurrentPor-LH=20 unchanged'!C208+'CurrentPor-LH=20 unchanged'!G208)/100)+103/POWER(1+('CurrentPor-LH=20 unchanged'!D208+'CurrentPor-LH=20 unchanged'!G208)/100,2))*100</f>
        <v>9614.9673582483465</v>
      </c>
      <c r="D208">
        <f>(3/(1+('CurrentPor-LH=20 unchanged'!C208+'CurrentPor-LH=20 unchanged'!H208)/100)+103/POWER(1+('CurrentPor-LH=20 unchanged'!D208+'CurrentPor-LH=20 unchanged'!H208)/100,2))*100</f>
        <v>9598.3119700894895</v>
      </c>
      <c r="E208">
        <f>(3/(1+('CurrentPor-LH=20 unchanged'!C208+'CurrentPor-LH=20 unchanged'!I208)/100)+103/POWER(1+('CurrentPor-LH=20 unchanged'!D208+'CurrentPor-LH=20 unchanged'!I208)/100,2))*100</f>
        <v>9560.0837518491226</v>
      </c>
      <c r="F208">
        <f>Portfolio!B$5*'CurrentPor-LH=20 unchanged'!E208</f>
        <v>52143.895533915893</v>
      </c>
      <c r="G208">
        <f>Portfolio!B$6*'CurrentPor-LH=20 unchanged'!F208</f>
        <v>3696.2945087936532</v>
      </c>
      <c r="H208">
        <f>Portfolio!B$7*'CurrentPor-LH=20 unchanged'!J208</f>
        <v>2148.0998964419859</v>
      </c>
      <c r="I208">
        <f t="shared" si="6"/>
        <v>96469.238796767328</v>
      </c>
      <c r="J208">
        <f t="shared" si="7"/>
        <v>-21.266955724568106</v>
      </c>
    </row>
    <row r="209" spans="1:10">
      <c r="A209" s="1">
        <v>45762</v>
      </c>
      <c r="B209">
        <f>(3/(1+('CurrentPor-LH=20 unchanged'!C209)/100)+103/POWER(1+('CurrentPor-LH=20 unchanged'!D209)/100,2))*100</f>
        <v>9707.5857774288397</v>
      </c>
      <c r="C209">
        <f>(3/(1+('CurrentPor-LH=20 unchanged'!C209+'CurrentPor-LH=20 unchanged'!G209)/100)+103/POWER(1+('CurrentPor-LH=20 unchanged'!D209+'CurrentPor-LH=20 unchanged'!G209)/100,2))*100</f>
        <v>9614.9673582483465</v>
      </c>
      <c r="D209">
        <f>(3/(1+('CurrentPor-LH=20 unchanged'!C209+'CurrentPor-LH=20 unchanged'!H209)/100)+103/POWER(1+('CurrentPor-LH=20 unchanged'!D209+'CurrentPor-LH=20 unchanged'!H209)/100,2))*100</f>
        <v>9601.4820896872588</v>
      </c>
      <c r="E209">
        <f>(3/(1+('CurrentPor-LH=20 unchanged'!C209+'CurrentPor-LH=20 unchanged'!I209)/100)+103/POWER(1+('CurrentPor-LH=20 unchanged'!D209+'CurrentPor-LH=20 unchanged'!I209)/100,2))*100</f>
        <v>9580.2486579575962</v>
      </c>
      <c r="F209">
        <f>Portfolio!B$5*'CurrentPor-LH=20 unchanged'!E209</f>
        <v>52143.895533915893</v>
      </c>
      <c r="G209">
        <f>Portfolio!B$6*'CurrentPor-LH=20 unchanged'!F209</f>
        <v>3696.2945087936532</v>
      </c>
      <c r="H209">
        <f>Portfolio!B$7*'CurrentPor-LH=20 unchanged'!J209</f>
        <v>2148.0998964419859</v>
      </c>
      <c r="I209">
        <f t="shared" si="6"/>
        <v>96492.573822473569</v>
      </c>
      <c r="J209">
        <f t="shared" si="7"/>
        <v>-23.041515359072946</v>
      </c>
    </row>
    <row r="210" spans="1:10">
      <c r="A210" s="1">
        <v>45763</v>
      </c>
      <c r="B210">
        <f>(3/(1+('CurrentPor-LH=20 unchanged'!C210)/100)+103/POWER(1+('CurrentPor-LH=20 unchanged'!D210)/100,2))*100</f>
        <v>9707.5857774288397</v>
      </c>
      <c r="C210">
        <f>(3/(1+('CurrentPor-LH=20 unchanged'!C210+'CurrentPor-LH=20 unchanged'!G210)/100)+103/POWER(1+('CurrentPor-LH=20 unchanged'!D210+'CurrentPor-LH=20 unchanged'!G210)/100,2))*100</f>
        <v>9614.9673582483465</v>
      </c>
      <c r="D210">
        <f>(3/(1+('CurrentPor-LH=20 unchanged'!C210+'CurrentPor-LH=20 unchanged'!H210)/100)+103/POWER(1+('CurrentPor-LH=20 unchanged'!D210+'CurrentPor-LH=20 unchanged'!H210)/100,2))*100</f>
        <v>9594.4735986264932</v>
      </c>
      <c r="E210">
        <f>(3/(1+('CurrentPor-LH=20 unchanged'!C210+'CurrentPor-LH=20 unchanged'!I210)/100)+103/POWER(1+('CurrentPor-LH=20 unchanged'!D210+'CurrentPor-LH=20 unchanged'!I210)/100,2))*100</f>
        <v>9582.5568860344702</v>
      </c>
      <c r="F210">
        <f>Portfolio!B$5*'CurrentPor-LH=20 unchanged'!E210</f>
        <v>52143.895533915893</v>
      </c>
      <c r="G210">
        <f>Portfolio!B$6*'CurrentPor-LH=20 unchanged'!F210</f>
        <v>3696.2945087936532</v>
      </c>
      <c r="H210">
        <f>Portfolio!B$7*'CurrentPor-LH=20 unchanged'!J210</f>
        <v>2148.0998964419859</v>
      </c>
      <c r="I210">
        <f t="shared" si="6"/>
        <v>96487.873559489686</v>
      </c>
      <c r="J210">
        <f t="shared" si="7"/>
        <v>1.6979272552707698</v>
      </c>
    </row>
    <row r="211" spans="1:10">
      <c r="A211" s="1">
        <v>45764</v>
      </c>
      <c r="B211">
        <f>(3/(1+('CurrentPor-LH=20 unchanged'!C211)/100)+103/POWER(1+('CurrentPor-LH=20 unchanged'!D211)/100,2))*100</f>
        <v>9707.5857774288397</v>
      </c>
      <c r="C211">
        <f>(3/(1+('CurrentPor-LH=20 unchanged'!C211+'CurrentPor-LH=20 unchanged'!G211)/100)+103/POWER(1+('CurrentPor-LH=20 unchanged'!D211+'CurrentPor-LH=20 unchanged'!G211)/100,2))*100</f>
        <v>9614.9673582483465</v>
      </c>
      <c r="D211">
        <f>(3/(1+('CurrentPor-LH=20 unchanged'!C211+'CurrentPor-LH=20 unchanged'!H211)/100)+103/POWER(1+('CurrentPor-LH=20 unchanged'!D211+'CurrentPor-LH=20 unchanged'!H211)/100,2))*100</f>
        <v>9607.7607332794487</v>
      </c>
      <c r="E211">
        <f>(3/(1+('CurrentPor-LH=20 unchanged'!C211+'CurrentPor-LH=20 unchanged'!I211)/100)+103/POWER(1+('CurrentPor-LH=20 unchanged'!D211+'CurrentPor-LH=20 unchanged'!I211)/100,2))*100</f>
        <v>9588.2605122606528</v>
      </c>
      <c r="F211">
        <f>Portfolio!B$5*'CurrentPor-LH=20 unchanged'!E211</f>
        <v>52143.895533915893</v>
      </c>
      <c r="G211">
        <f>Portfolio!B$6*'CurrentPor-LH=20 unchanged'!F211</f>
        <v>3696.2945087936532</v>
      </c>
      <c r="H211">
        <f>Portfolio!B$7*'CurrentPor-LH=20 unchanged'!J211</f>
        <v>2148.0998964419859</v>
      </c>
      <c r="I211">
        <f t="shared" si="6"/>
        <v>96506.864320368812</v>
      </c>
      <c r="J211">
        <f t="shared" si="7"/>
        <v>-2.1897916892194189</v>
      </c>
    </row>
    <row r="212" spans="1:10">
      <c r="A212" s="1">
        <v>45765</v>
      </c>
      <c r="B212">
        <f>(3/(1+('CurrentPor-LH=20 unchanged'!C212)/100)+103/POWER(1+('CurrentPor-LH=20 unchanged'!D212)/100,2))*100</f>
        <v>9707.5857774288397</v>
      </c>
      <c r="C212">
        <f>(3/(1+('CurrentPor-LH=20 unchanged'!C212+'CurrentPor-LH=20 unchanged'!G212)/100)+103/POWER(1+('CurrentPor-LH=20 unchanged'!D212+'CurrentPor-LH=20 unchanged'!G212)/100,2))*100</f>
        <v>9614.9673582483465</v>
      </c>
      <c r="D212">
        <f>(3/(1+('CurrentPor-LH=20 unchanged'!C212+'CurrentPor-LH=20 unchanged'!H212)/100)+103/POWER(1+('CurrentPor-LH=20 unchanged'!D212+'CurrentPor-LH=20 unchanged'!H212)/100,2))*100</f>
        <v>9599.8710065448122</v>
      </c>
      <c r="E212">
        <f>(3/(1+('CurrentPor-LH=20 unchanged'!C212+'CurrentPor-LH=20 unchanged'!I212)/100)+103/POWER(1+('CurrentPor-LH=20 unchanged'!D212+'CurrentPor-LH=20 unchanged'!I212)/100,2))*100</f>
        <v>9588.9558904481692</v>
      </c>
      <c r="F212">
        <f>Portfolio!B$5*'CurrentPor-LH=20 unchanged'!E212</f>
        <v>52143.895533915893</v>
      </c>
      <c r="G212">
        <f>Portfolio!B$6*'CurrentPor-LH=20 unchanged'!F212</f>
        <v>3696.2945087936532</v>
      </c>
      <c r="H212">
        <f>Portfolio!B$7*'CurrentPor-LH=20 unchanged'!J212</f>
        <v>2148.0998964419859</v>
      </c>
      <c r="I212">
        <f t="shared" si="6"/>
        <v>96499.669971821699</v>
      </c>
      <c r="J212">
        <f t="shared" si="7"/>
        <v>28.270867318686214</v>
      </c>
    </row>
    <row r="213" spans="1:10">
      <c r="A213" s="1">
        <v>45768</v>
      </c>
      <c r="B213">
        <f>(3/(1+('CurrentPor-LH=20 unchanged'!C213)/100)+103/POWER(1+('CurrentPor-LH=20 unchanged'!D213)/100,2))*100</f>
        <v>9707.5857774288397</v>
      </c>
      <c r="C213">
        <f>(3/(1+('CurrentPor-LH=20 unchanged'!C213+'CurrentPor-LH=20 unchanged'!G213)/100)+103/POWER(1+('CurrentPor-LH=20 unchanged'!D213+'CurrentPor-LH=20 unchanged'!G213)/100,2))*100</f>
        <v>9614.9673582483465</v>
      </c>
      <c r="D213">
        <f>(3/(1+('CurrentPor-LH=20 unchanged'!C213+'CurrentPor-LH=20 unchanged'!H213)/100)+103/POWER(1+('CurrentPor-LH=20 unchanged'!D213+'CurrentPor-LH=20 unchanged'!H213)/100,2))*100</f>
        <v>9592.362474861151</v>
      </c>
      <c r="E213">
        <f>(3/(1+('CurrentPor-LH=20 unchanged'!C213+'CurrentPor-LH=20 unchanged'!I213)/100)+103/POWER(1+('CurrentPor-LH=20 unchanged'!D213+'CurrentPor-LH=20 unchanged'!I213)/100,2))*100</f>
        <v>9598.4157720027233</v>
      </c>
      <c r="F213">
        <f>Portfolio!B$5*'CurrentPor-LH=20 unchanged'!E213</f>
        <v>52143.895533915893</v>
      </c>
      <c r="G213">
        <f>Portfolio!B$6*'CurrentPor-LH=20 unchanged'!F213</f>
        <v>3696.2945087936532</v>
      </c>
      <c r="H213">
        <f>Portfolio!B$7*'CurrentPor-LH=20 unchanged'!J213</f>
        <v>2148.0998964419859</v>
      </c>
      <c r="I213">
        <f t="shared" si="6"/>
        <v>96501.621321692583</v>
      </c>
      <c r="J213">
        <f t="shared" si="7"/>
        <v>-9.91306669198093</v>
      </c>
    </row>
    <row r="214" spans="1:10">
      <c r="A214" s="1">
        <v>45769</v>
      </c>
      <c r="B214">
        <f>(3/(1+('CurrentPor-LH=20 unchanged'!C214)/100)+103/POWER(1+('CurrentPor-LH=20 unchanged'!D214)/100,2))*100</f>
        <v>9707.5857774288397</v>
      </c>
      <c r="C214">
        <f>(3/(1+('CurrentPor-LH=20 unchanged'!C214+'CurrentPor-LH=20 unchanged'!G214)/100)+103/POWER(1+('CurrentPor-LH=20 unchanged'!D214+'CurrentPor-LH=20 unchanged'!G214)/100,2))*100</f>
        <v>9614.9673582483465</v>
      </c>
      <c r="D214">
        <f>(3/(1+('CurrentPor-LH=20 unchanged'!C214+'CurrentPor-LH=20 unchanged'!H214)/100)+103/POWER(1+('CurrentPor-LH=20 unchanged'!D214+'CurrentPor-LH=20 unchanged'!H214)/100,2))*100</f>
        <v>9596.5130751926426</v>
      </c>
      <c r="E214">
        <f>(3/(1+('CurrentPor-LH=20 unchanged'!C214+'CurrentPor-LH=20 unchanged'!I214)/100)+103/POWER(1+('CurrentPor-LH=20 unchanged'!D214+'CurrentPor-LH=20 unchanged'!I214)/100,2))*100</f>
        <v>9574.0016744813965</v>
      </c>
      <c r="F214">
        <f>Portfolio!B$5*'CurrentPor-LH=20 unchanged'!E214</f>
        <v>52143.895533915893</v>
      </c>
      <c r="G214">
        <f>Portfolio!B$6*'CurrentPor-LH=20 unchanged'!F214</f>
        <v>3696.2945087936532</v>
      </c>
      <c r="H214">
        <f>Portfolio!B$7*'CurrentPor-LH=20 unchanged'!J214</f>
        <v>2148.0998964419859</v>
      </c>
      <c r="I214">
        <f t="shared" si="6"/>
        <v>96481.35782450276</v>
      </c>
      <c r="J214">
        <f t="shared" si="7"/>
        <v>-4.1608659896592144</v>
      </c>
    </row>
    <row r="215" spans="1:10">
      <c r="A215" s="1">
        <v>45770</v>
      </c>
      <c r="B215">
        <f>(3/(1+('CurrentPor-LH=20 unchanged'!C215)/100)+103/POWER(1+('CurrentPor-LH=20 unchanged'!D215)/100,2))*100</f>
        <v>9707.5857774288397</v>
      </c>
      <c r="C215">
        <f>(3/(1+('CurrentPor-LH=20 unchanged'!C215+'CurrentPor-LH=20 unchanged'!G215)/100)+103/POWER(1+('CurrentPor-LH=20 unchanged'!D215+'CurrentPor-LH=20 unchanged'!G215)/100,2))*100</f>
        <v>9614.9673582483465</v>
      </c>
      <c r="D215">
        <f>(3/(1+('CurrentPor-LH=20 unchanged'!C215+'CurrentPor-LH=20 unchanged'!H215)/100)+103/POWER(1+('CurrentPor-LH=20 unchanged'!D215+'CurrentPor-LH=20 unchanged'!H215)/100,2))*100</f>
        <v>9600.0751206636287</v>
      </c>
      <c r="E215">
        <f>(3/(1+('CurrentPor-LH=20 unchanged'!C215+'CurrentPor-LH=20 unchanged'!I215)/100)+103/POWER(1+('CurrentPor-LH=20 unchanged'!D215+'CurrentPor-LH=20 unchanged'!I215)/100,2))*100</f>
        <v>9578.8215550486748</v>
      </c>
      <c r="F215">
        <f>Portfolio!B$5*'CurrentPor-LH=20 unchanged'!E215</f>
        <v>52143.895533915893</v>
      </c>
      <c r="G215">
        <f>Portfolio!B$6*'CurrentPor-LH=20 unchanged'!F215</f>
        <v>3696.2945087936532</v>
      </c>
      <c r="H215">
        <f>Portfolio!B$7*'CurrentPor-LH=20 unchanged'!J215</f>
        <v>2148.0998964419859</v>
      </c>
      <c r="I215">
        <f t="shared" si="6"/>
        <v>96489.739750541034</v>
      </c>
      <c r="J215">
        <f t="shared" si="7"/>
        <v>-15.343446717626648</v>
      </c>
    </row>
    <row r="216" spans="1:10">
      <c r="A216" s="1">
        <v>45771</v>
      </c>
      <c r="B216">
        <f>(3/(1+('CurrentPor-LH=20 unchanged'!C216)/100)+103/POWER(1+('CurrentPor-LH=20 unchanged'!D216)/100,2))*100</f>
        <v>9707.5857774288397</v>
      </c>
      <c r="C216">
        <f>(3/(1+('CurrentPor-LH=20 unchanged'!C216+'CurrentPor-LH=20 unchanged'!G216)/100)+103/POWER(1+('CurrentPor-LH=20 unchanged'!D216+'CurrentPor-LH=20 unchanged'!G216)/100,2))*100</f>
        <v>9614.9673582483465</v>
      </c>
      <c r="D216">
        <f>(3/(1+('CurrentPor-LH=20 unchanged'!C216+'CurrentPor-LH=20 unchanged'!H216)/100)+103/POWER(1+('CurrentPor-LH=20 unchanged'!D216+'CurrentPor-LH=20 unchanged'!H216)/100,2))*100</f>
        <v>9574.8708815213213</v>
      </c>
      <c r="E216">
        <f>(3/(1+('CurrentPor-LH=20 unchanged'!C216+'CurrentPor-LH=20 unchanged'!I216)/100)+103/POWER(1+('CurrentPor-LH=20 unchanged'!D216+'CurrentPor-LH=20 unchanged'!I216)/100,2))*100</f>
        <v>9571.338688744112</v>
      </c>
      <c r="F216">
        <f>Portfolio!B$5*'CurrentPor-LH=20 unchanged'!E216</f>
        <v>52143.895533915893</v>
      </c>
      <c r="G216">
        <f>Portfolio!B$6*'CurrentPor-LH=20 unchanged'!F216</f>
        <v>3696.2945087936532</v>
      </c>
      <c r="H216">
        <f>Portfolio!B$7*'CurrentPor-LH=20 unchanged'!J216</f>
        <v>2148.0998964419859</v>
      </c>
      <c r="I216">
        <f t="shared" si="6"/>
        <v>96457.052645094154</v>
      </c>
      <c r="J216">
        <f t="shared" si="7"/>
        <v>-31.425486914667999</v>
      </c>
    </row>
    <row r="217" spans="1:10">
      <c r="A217" s="1">
        <v>45772</v>
      </c>
      <c r="B217">
        <f>(3/(1+('CurrentPor-LH=20 unchanged'!C217)/100)+103/POWER(1+('CurrentPor-LH=20 unchanged'!D217)/100,2))*100</f>
        <v>9707.5857774288397</v>
      </c>
      <c r="C217">
        <f>(3/(1+('CurrentPor-LH=20 unchanged'!C217+'CurrentPor-LH=20 unchanged'!G217)/100)+103/POWER(1+('CurrentPor-LH=20 unchanged'!D217+'CurrentPor-LH=20 unchanged'!G217)/100,2))*100</f>
        <v>9614.9673582483465</v>
      </c>
      <c r="D217">
        <f>(3/(1+('CurrentPor-LH=20 unchanged'!C217+'CurrentPor-LH=20 unchanged'!H217)/100)+103/POWER(1+('CurrentPor-LH=20 unchanged'!D217+'CurrentPor-LH=20 unchanged'!H217)/100,2))*100</f>
        <v>9609.0113978747941</v>
      </c>
      <c r="E217">
        <f>(3/(1+('CurrentPor-LH=20 unchanged'!C217+'CurrentPor-LH=20 unchanged'!I217)/100)+103/POWER(1+('CurrentPor-LH=20 unchanged'!D217+'CurrentPor-LH=20 unchanged'!I217)/100,2))*100</f>
        <v>9564.9972332803336</v>
      </c>
      <c r="F217">
        <f>Portfolio!B$5*'CurrentPor-LH=20 unchanged'!E217</f>
        <v>52143.895533915893</v>
      </c>
      <c r="G217">
        <f>Portfolio!B$6*'CurrentPor-LH=20 unchanged'!F217</f>
        <v>3696.2945087936532</v>
      </c>
      <c r="H217">
        <f>Portfolio!B$7*'CurrentPor-LH=20 unchanged'!J217</f>
        <v>2148.0998964419859</v>
      </c>
      <c r="I217">
        <f t="shared" si="6"/>
        <v>96484.851705983849</v>
      </c>
      <c r="J217">
        <f t="shared" si="7"/>
        <v>-9.7245264177472563</v>
      </c>
    </row>
    <row r="218" spans="1:10">
      <c r="A218" s="1">
        <v>45775</v>
      </c>
      <c r="B218">
        <f>(3/(1+('CurrentPor-LH=20 unchanged'!C218)/100)+103/POWER(1+('CurrentPor-LH=20 unchanged'!D218)/100,2))*100</f>
        <v>9707.5857774288397</v>
      </c>
      <c r="C218">
        <f>(3/(1+('CurrentPor-LH=20 unchanged'!C218+'CurrentPor-LH=20 unchanged'!G218)/100)+103/POWER(1+('CurrentPor-LH=20 unchanged'!D218+'CurrentPor-LH=20 unchanged'!G218)/100,2))*100</f>
        <v>9614.9673582483465</v>
      </c>
      <c r="D218">
        <f>(3/(1+('CurrentPor-LH=20 unchanged'!C218+'CurrentPor-LH=20 unchanged'!H218)/100)+103/POWER(1+('CurrentPor-LH=20 unchanged'!D218+'CurrentPor-LH=20 unchanged'!H218)/100,2))*100</f>
        <v>9587.1688829250379</v>
      </c>
      <c r="E218">
        <f>(3/(1+('CurrentPor-LH=20 unchanged'!C218+'CurrentPor-LH=20 unchanged'!I218)/100)+103/POWER(1+('CurrentPor-LH=20 unchanged'!D218+'CurrentPor-LH=20 unchanged'!I218)/100,2))*100</f>
        <v>9568.3619975594156</v>
      </c>
      <c r="F218">
        <f>Portfolio!B$5*'CurrentPor-LH=20 unchanged'!E218</f>
        <v>52143.895533915893</v>
      </c>
      <c r="G218">
        <f>Portfolio!B$6*'CurrentPor-LH=20 unchanged'!F218</f>
        <v>3696.2945087936532</v>
      </c>
      <c r="H218">
        <f>Portfolio!B$7*'CurrentPor-LH=20 unchanged'!J218</f>
        <v>2148.0998964419859</v>
      </c>
      <c r="I218">
        <f t="shared" si="6"/>
        <v>96466.37395531316</v>
      </c>
      <c r="J218">
        <f t="shared" si="7"/>
        <v>-2.8648414541676175</v>
      </c>
    </row>
    <row r="219" spans="1:10">
      <c r="A219" s="1">
        <v>45776</v>
      </c>
      <c r="B219">
        <f>(3/(1+('CurrentPor-LH=20 unchanged'!C219)/100)+103/POWER(1+('CurrentPor-LH=20 unchanged'!D219)/100,2))*100</f>
        <v>9707.5857774288397</v>
      </c>
      <c r="C219">
        <f>(3/(1+('CurrentPor-LH=20 unchanged'!C219+'CurrentPor-LH=20 unchanged'!G219)/100)+103/POWER(1+('CurrentPor-LH=20 unchanged'!D219+'CurrentPor-LH=20 unchanged'!G219)/100,2))*100</f>
        <v>9614.9673582483465</v>
      </c>
      <c r="D219">
        <f>(3/(1+('CurrentPor-LH=20 unchanged'!C219+'CurrentPor-LH=20 unchanged'!H219)/100)+103/POWER(1+('CurrentPor-LH=20 unchanged'!D219+'CurrentPor-LH=20 unchanged'!H219)/100,2))*100</f>
        <v>9612.3992999632464</v>
      </c>
      <c r="E219">
        <f>(3/(1+('CurrentPor-LH=20 unchanged'!C219+'CurrentPor-LH=20 unchanged'!I219)/100)+103/POWER(1+('CurrentPor-LH=20 unchanged'!D219+'CurrentPor-LH=20 unchanged'!I219)/100,2))*100</f>
        <v>9583.07679334557</v>
      </c>
      <c r="F219">
        <f>Portfolio!B$5*'CurrentPor-LH=20 unchanged'!E219</f>
        <v>52143.895533915893</v>
      </c>
      <c r="G219">
        <f>Portfolio!B$6*'CurrentPor-LH=20 unchanged'!F219</f>
        <v>3696.2945087936532</v>
      </c>
      <c r="H219">
        <f>Portfolio!B$7*'CurrentPor-LH=20 unchanged'!J219</f>
        <v>2148.0998964419859</v>
      </c>
      <c r="I219">
        <f t="shared" si="6"/>
        <v>96506.319168137532</v>
      </c>
      <c r="J219">
        <f t="shared" si="7"/>
        <v>13.745345663963235</v>
      </c>
    </row>
    <row r="220" spans="1:10">
      <c r="A220" s="1">
        <v>45777</v>
      </c>
      <c r="B220">
        <f>(3/(1+('CurrentPor-LH=20 unchanged'!C220)/100)+103/POWER(1+('CurrentPor-LH=20 unchanged'!D220)/100,2))*100</f>
        <v>9707.5857774288397</v>
      </c>
      <c r="C220">
        <f>(3/(1+('CurrentPor-LH=20 unchanged'!C220+'CurrentPor-LH=20 unchanged'!G220)/100)+103/POWER(1+('CurrentPor-LH=20 unchanged'!D220+'CurrentPor-LH=20 unchanged'!G220)/100,2))*100</f>
        <v>9614.9673582483465</v>
      </c>
      <c r="D220">
        <f>(3/(1+('CurrentPor-LH=20 unchanged'!C220+'CurrentPor-LH=20 unchanged'!H220)/100)+103/POWER(1+('CurrentPor-LH=20 unchanged'!D220+'CurrentPor-LH=20 unchanged'!H220)/100,2))*100</f>
        <v>9618.824973961664</v>
      </c>
      <c r="E220">
        <f>(3/(1+('CurrentPor-LH=20 unchanged'!C220+'CurrentPor-LH=20 unchanged'!I220)/100)+103/POWER(1+('CurrentPor-LH=20 unchanged'!D220+'CurrentPor-LH=20 unchanged'!I220)/100,2))*100</f>
        <v>9589.0555331349078</v>
      </c>
      <c r="F220">
        <f>Portfolio!B$5*'CurrentPor-LH=20 unchanged'!E220</f>
        <v>52143.895533915893</v>
      </c>
      <c r="G220">
        <f>Portfolio!B$6*'CurrentPor-LH=20 unchanged'!F220</f>
        <v>3696.2945087936532</v>
      </c>
      <c r="H220">
        <f>Portfolio!B$7*'CurrentPor-LH=20 unchanged'!J220</f>
        <v>2148.0998964419859</v>
      </c>
      <c r="I220">
        <f t="shared" si="6"/>
        <v>96518.723581925282</v>
      </c>
      <c r="J220">
        <f t="shared" si="7"/>
        <v>30.850022435595747</v>
      </c>
    </row>
    <row r="221" spans="1:10">
      <c r="A221" s="1">
        <v>45778</v>
      </c>
      <c r="B221">
        <f>(3/(1+('CurrentPor-LH=20 unchanged'!C221)/100)+103/POWER(1+('CurrentPor-LH=20 unchanged'!D221)/100,2))*100</f>
        <v>9707.5857774288397</v>
      </c>
      <c r="C221">
        <f>(3/(1+('CurrentPor-LH=20 unchanged'!C221+'CurrentPor-LH=20 unchanged'!G221)/100)+103/POWER(1+('CurrentPor-LH=20 unchanged'!D221+'CurrentPor-LH=20 unchanged'!G221)/100,2))*100</f>
        <v>9614.9673582483465</v>
      </c>
      <c r="D221">
        <f>(3/(1+('CurrentPor-LH=20 unchanged'!C221+'CurrentPor-LH=20 unchanged'!H221)/100)+103/POWER(1+('CurrentPor-LH=20 unchanged'!D221+'CurrentPor-LH=20 unchanged'!H221)/100,2))*100</f>
        <v>9601.6160256959756</v>
      </c>
      <c r="E221">
        <f>(3/(1+('CurrentPor-LH=20 unchanged'!C221+'CurrentPor-LH=20 unchanged'!I221)/100)+103/POWER(1+('CurrentPor-LH=20 unchanged'!D221+'CurrentPor-LH=20 unchanged'!I221)/100,2))*100</f>
        <v>9602.1762351557063</v>
      </c>
      <c r="F221">
        <f>Portfolio!B$5*'CurrentPor-LH=20 unchanged'!E221</f>
        <v>52143.895533915893</v>
      </c>
      <c r="G221">
        <f>Portfolio!B$6*'CurrentPor-LH=20 unchanged'!F221</f>
        <v>3696.2945087936532</v>
      </c>
      <c r="H221">
        <f>Portfolio!B$7*'CurrentPor-LH=20 unchanged'!J221</f>
        <v>2148.0998964419859</v>
      </c>
      <c r="I221">
        <f t="shared" si="6"/>
        <v>96514.635335680403</v>
      </c>
      <c r="J221">
        <f t="shared" si="7"/>
        <v>7.7710153115913272</v>
      </c>
    </row>
    <row r="222" spans="1:10">
      <c r="A222" s="1">
        <v>45779</v>
      </c>
      <c r="B222">
        <f>(3/(1+('CurrentPor-LH=20 unchanged'!C222)/100)+103/POWER(1+('CurrentPor-LH=20 unchanged'!D222)/100,2))*100</f>
        <v>9707.5857774288397</v>
      </c>
      <c r="C222">
        <f>(3/(1+('CurrentPor-LH=20 unchanged'!C222+'CurrentPor-LH=20 unchanged'!G222)/100)+103/POWER(1+('CurrentPor-LH=20 unchanged'!D222+'CurrentPor-LH=20 unchanged'!G222)/100,2))*100</f>
        <v>9614.9673582483465</v>
      </c>
      <c r="D222">
        <f>(3/(1+('CurrentPor-LH=20 unchanged'!C222+'CurrentPor-LH=20 unchanged'!H222)/100)+103/POWER(1+('CurrentPor-LH=20 unchanged'!D222+'CurrentPor-LH=20 unchanged'!H222)/100,2))*100</f>
        <v>9603.2604147304446</v>
      </c>
      <c r="E222">
        <f>(3/(1+('CurrentPor-LH=20 unchanged'!C222+'CurrentPor-LH=20 unchanged'!I222)/100)+103/POWER(1+('CurrentPor-LH=20 unchanged'!D222+'CurrentPor-LH=20 unchanged'!I222)/100,2))*100</f>
        <v>9579.9676664463095</v>
      </c>
      <c r="F222">
        <f>Portfolio!B$5*'CurrentPor-LH=20 unchanged'!E222</f>
        <v>52143.895533915893</v>
      </c>
      <c r="G222">
        <f>Portfolio!B$6*'CurrentPor-LH=20 unchanged'!F222</f>
        <v>3696.2945087936532</v>
      </c>
      <c r="H222">
        <f>Portfolio!B$7*'CurrentPor-LH=20 unchanged'!J222</f>
        <v>2148.0998964419859</v>
      </c>
      <c r="I222">
        <f t="shared" si="6"/>
        <v>96494.071156005477</v>
      </c>
      <c r="J222">
        <f t="shared" si="7"/>
        <v>-5.5988158162217587</v>
      </c>
    </row>
    <row r="223" spans="1:10">
      <c r="A223" s="1">
        <v>45782</v>
      </c>
      <c r="B223">
        <f>(3/(1+('CurrentPor-LH=20 unchanged'!C223)/100)+103/POWER(1+('CurrentPor-LH=20 unchanged'!D223)/100,2))*100</f>
        <v>9707.5857774288397</v>
      </c>
      <c r="C223">
        <f>(3/(1+('CurrentPor-LH=20 unchanged'!C223+'CurrentPor-LH=20 unchanged'!G223)/100)+103/POWER(1+('CurrentPor-LH=20 unchanged'!D223+'CurrentPor-LH=20 unchanged'!G223)/100,2))*100</f>
        <v>9614.9673582483465</v>
      </c>
      <c r="D223">
        <f>(3/(1+('CurrentPor-LH=20 unchanged'!C223+'CurrentPor-LH=20 unchanged'!H223)/100)+103/POWER(1+('CurrentPor-LH=20 unchanged'!D223+'CurrentPor-LH=20 unchanged'!H223)/100,2))*100</f>
        <v>9592.9199905162041</v>
      </c>
      <c r="E223">
        <f>(3/(1+('CurrentPor-LH=20 unchanged'!C223+'CurrentPor-LH=20 unchanged'!I223)/100)+103/POWER(1+('CurrentPor-LH=20 unchanged'!D223+'CurrentPor-LH=20 unchanged'!I223)/100,2))*100</f>
        <v>9580.1346776542978</v>
      </c>
      <c r="F223">
        <f>Portfolio!B$5*'CurrentPor-LH=20 unchanged'!E223</f>
        <v>52143.895533915893</v>
      </c>
      <c r="G223">
        <f>Portfolio!B$6*'CurrentPor-LH=20 unchanged'!F223</f>
        <v>3696.2945087936532</v>
      </c>
      <c r="H223">
        <f>Portfolio!B$7*'CurrentPor-LH=20 unchanged'!J223</f>
        <v>2148.0998964419859</v>
      </c>
      <c r="I223">
        <f t="shared" si="6"/>
        <v>96483.897742999223</v>
      </c>
      <c r="J223">
        <f t="shared" si="7"/>
        <v>-17.723578693359741</v>
      </c>
    </row>
    <row r="224" spans="1:10">
      <c r="A224" s="1">
        <v>45783</v>
      </c>
      <c r="B224">
        <f>(3/(1+('CurrentPor-LH=20 unchanged'!C224)/100)+103/POWER(1+('CurrentPor-LH=20 unchanged'!D224)/100,2))*100</f>
        <v>9707.5857774288397</v>
      </c>
      <c r="C224">
        <f>(3/(1+('CurrentPor-LH=20 unchanged'!C224+'CurrentPor-LH=20 unchanged'!G224)/100)+103/POWER(1+('CurrentPor-LH=20 unchanged'!D224+'CurrentPor-LH=20 unchanged'!G224)/100,2))*100</f>
        <v>9614.9673582483465</v>
      </c>
      <c r="D224">
        <f>(3/(1+('CurrentPor-LH=20 unchanged'!C224+'CurrentPor-LH=20 unchanged'!H224)/100)+103/POWER(1+('CurrentPor-LH=20 unchanged'!D224+'CurrentPor-LH=20 unchanged'!H224)/100,2))*100</f>
        <v>9599.7539439954089</v>
      </c>
      <c r="E224">
        <f>(3/(1+('CurrentPor-LH=20 unchanged'!C224+'CurrentPor-LH=20 unchanged'!I224)/100)+103/POWER(1+('CurrentPor-LH=20 unchanged'!D224+'CurrentPor-LH=20 unchanged'!I224)/100,2))*100</f>
        <v>9575.7117053808579</v>
      </c>
      <c r="F224">
        <f>Portfolio!B$5*'CurrentPor-LH=20 unchanged'!E224</f>
        <v>52143.895533915893</v>
      </c>
      <c r="G224">
        <f>Portfolio!B$6*'CurrentPor-LH=20 unchanged'!F224</f>
        <v>3696.2945087936532</v>
      </c>
      <c r="H224">
        <f>Portfolio!B$7*'CurrentPor-LH=20 unchanged'!J224</f>
        <v>2148.0998964419859</v>
      </c>
      <c r="I224">
        <f t="shared" si="6"/>
        <v>96486.308724204995</v>
      </c>
      <c r="J224">
        <f t="shared" si="7"/>
        <v>4.9508997022348922</v>
      </c>
    </row>
    <row r="225" spans="1:10">
      <c r="A225" s="1">
        <v>45784</v>
      </c>
      <c r="B225">
        <f>(3/(1+('CurrentPor-LH=20 unchanged'!C225)/100)+103/POWER(1+('CurrentPor-LH=20 unchanged'!D225)/100,2))*100</f>
        <v>9707.5857774288397</v>
      </c>
      <c r="C225">
        <f>(3/(1+('CurrentPor-LH=20 unchanged'!C225+'CurrentPor-LH=20 unchanged'!G225)/100)+103/POWER(1+('CurrentPor-LH=20 unchanged'!D225+'CurrentPor-LH=20 unchanged'!G225)/100,2))*100</f>
        <v>9614.9673582483465</v>
      </c>
      <c r="D225">
        <f>(3/(1+('CurrentPor-LH=20 unchanged'!C225+'CurrentPor-LH=20 unchanged'!H225)/100)+103/POWER(1+('CurrentPor-LH=20 unchanged'!D225+'CurrentPor-LH=20 unchanged'!H225)/100,2))*100</f>
        <v>9600.1719729848392</v>
      </c>
      <c r="E225">
        <f>(3/(1+('CurrentPor-LH=20 unchanged'!C225+'CurrentPor-LH=20 unchanged'!I225)/100)+103/POWER(1+('CurrentPor-LH=20 unchanged'!D225+'CurrentPor-LH=20 unchanged'!I225)/100,2))*100</f>
        <v>9586.7872422010187</v>
      </c>
      <c r="F225">
        <f>Portfolio!B$5*'CurrentPor-LH=20 unchanged'!E225</f>
        <v>52143.895533915893</v>
      </c>
      <c r="G225">
        <f>Portfolio!B$6*'CurrentPor-LH=20 unchanged'!F225</f>
        <v>3696.2945087936532</v>
      </c>
      <c r="H225">
        <f>Portfolio!B$7*'CurrentPor-LH=20 unchanged'!J225</f>
        <v>2148.0998964419859</v>
      </c>
      <c r="I225">
        <f t="shared" si="6"/>
        <v>96497.802290014573</v>
      </c>
      <c r="J225">
        <f t="shared" si="7"/>
        <v>8.0625394735398004</v>
      </c>
    </row>
    <row r="226" spans="1:10">
      <c r="A226" s="1">
        <v>45785</v>
      </c>
      <c r="B226">
        <f>(3/(1+('CurrentPor-LH=20 unchanged'!C226)/100)+103/POWER(1+('CurrentPor-LH=20 unchanged'!D226)/100,2))*100</f>
        <v>9707.5857774288397</v>
      </c>
      <c r="C226">
        <f>(3/(1+('CurrentPor-LH=20 unchanged'!C226+'CurrentPor-LH=20 unchanged'!G226)/100)+103/POWER(1+('CurrentPor-LH=20 unchanged'!D226+'CurrentPor-LH=20 unchanged'!G226)/100,2))*100</f>
        <v>9614.9673582483465</v>
      </c>
      <c r="D226">
        <f>(3/(1+('CurrentPor-LH=20 unchanged'!C226+'CurrentPor-LH=20 unchanged'!H226)/100)+103/POWER(1+('CurrentPor-LH=20 unchanged'!D226+'CurrentPor-LH=20 unchanged'!H226)/100,2))*100</f>
        <v>9597.8051680672215</v>
      </c>
      <c r="E226">
        <f>(3/(1+('CurrentPor-LH=20 unchanged'!C226+'CurrentPor-LH=20 unchanged'!I226)/100)+103/POWER(1+('CurrentPor-LH=20 unchanged'!D226+'CurrentPor-LH=20 unchanged'!I226)/100,2))*100</f>
        <v>9589.0739632985569</v>
      </c>
      <c r="F226">
        <f>Portfolio!B$5*'CurrentPor-LH=20 unchanged'!E226</f>
        <v>52143.895533915893</v>
      </c>
      <c r="G226">
        <f>Portfolio!B$6*'CurrentPor-LH=20 unchanged'!F226</f>
        <v>3696.2945087936532</v>
      </c>
      <c r="H226">
        <f>Portfolio!B$7*'CurrentPor-LH=20 unchanged'!J226</f>
        <v>2148.0998964419859</v>
      </c>
      <c r="I226">
        <f t="shared" si="6"/>
        <v>96497.722206194492</v>
      </c>
      <c r="J226">
        <f t="shared" si="7"/>
        <v>40.669561100337887</v>
      </c>
    </row>
    <row r="227" spans="1:10">
      <c r="A227" s="1">
        <v>45786</v>
      </c>
      <c r="B227">
        <f>(3/(1+('CurrentPor-LH=20 unchanged'!C227)/100)+103/POWER(1+('CurrentPor-LH=20 unchanged'!D227)/100,2))*100</f>
        <v>9707.5857774288397</v>
      </c>
      <c r="C227">
        <f>(3/(1+('CurrentPor-LH=20 unchanged'!C227+'CurrentPor-LH=20 unchanged'!G227)/100)+103/POWER(1+('CurrentPor-LH=20 unchanged'!D227+'CurrentPor-LH=20 unchanged'!G227)/100,2))*100</f>
        <v>9614.9673582483465</v>
      </c>
      <c r="D227">
        <f>(3/(1+('CurrentPor-LH=20 unchanged'!C227+'CurrentPor-LH=20 unchanged'!H227)/100)+103/POWER(1+('CurrentPor-LH=20 unchanged'!D227+'CurrentPor-LH=20 unchanged'!H227)/100,2))*100</f>
        <v>9609.1248870239269</v>
      </c>
      <c r="E227">
        <f>(3/(1+('CurrentPor-LH=20 unchanged'!C227+'CurrentPor-LH=20 unchanged'!I227)/100)+103/POWER(1+('CurrentPor-LH=20 unchanged'!D227+'CurrentPor-LH=20 unchanged'!I227)/100,2))*100</f>
        <v>9592.5744248146493</v>
      </c>
      <c r="F227">
        <f>Portfolio!B$5*'CurrentPor-LH=20 unchanged'!E227</f>
        <v>52143.895533915893</v>
      </c>
      <c r="G227">
        <f>Portfolio!B$6*'CurrentPor-LH=20 unchanged'!F227</f>
        <v>3696.2945087936532</v>
      </c>
      <c r="H227">
        <f>Portfolio!B$7*'CurrentPor-LH=20 unchanged'!J227</f>
        <v>2148.0998964419859</v>
      </c>
      <c r="I227">
        <f t="shared" si="6"/>
        <v>96512.542386667294</v>
      </c>
      <c r="J227">
        <f t="shared" si="7"/>
        <v>27.690680683444953</v>
      </c>
    </row>
    <row r="228" spans="1:10">
      <c r="A228" s="1">
        <v>45789</v>
      </c>
      <c r="B228">
        <f>(3/(1+('CurrentPor-LH=20 unchanged'!C228)/100)+103/POWER(1+('CurrentPor-LH=20 unchanged'!D228)/100,2))*100</f>
        <v>9707.5857774288397</v>
      </c>
      <c r="C228">
        <f>(3/(1+('CurrentPor-LH=20 unchanged'!C228+'CurrentPor-LH=20 unchanged'!G228)/100)+103/POWER(1+('CurrentPor-LH=20 unchanged'!D228+'CurrentPor-LH=20 unchanged'!G228)/100,2))*100</f>
        <v>9614.9673582483465</v>
      </c>
      <c r="D228">
        <f>(3/(1+('CurrentPor-LH=20 unchanged'!C228+'CurrentPor-LH=20 unchanged'!H228)/100)+103/POWER(1+('CurrentPor-LH=20 unchanged'!D228+'CurrentPor-LH=20 unchanged'!H228)/100,2))*100</f>
        <v>9612.9573344534037</v>
      </c>
      <c r="E228">
        <f>(3/(1+('CurrentPor-LH=20 unchanged'!C228+'CurrentPor-LH=20 unchanged'!I228)/100)+103/POWER(1+('CurrentPor-LH=20 unchanged'!D228+'CurrentPor-LH=20 unchanged'!I228)/100,2))*100</f>
        <v>9608.1366977708349</v>
      </c>
      <c r="F228">
        <f>Portfolio!B$5*'CurrentPor-LH=20 unchanged'!E228</f>
        <v>52143.895533915893</v>
      </c>
      <c r="G228">
        <f>Portfolio!B$6*'CurrentPor-LH=20 unchanged'!F228</f>
        <v>3696.2945087936532</v>
      </c>
      <c r="H228">
        <f>Portfolio!B$7*'CurrentPor-LH=20 unchanged'!J228</f>
        <v>2148.0998964419859</v>
      </c>
      <c r="I228">
        <f t="shared" si="6"/>
        <v>96531.93710705296</v>
      </c>
      <c r="J228">
        <f t="shared" si="7"/>
        <v>65.56315173979965</v>
      </c>
    </row>
    <row r="229" spans="1:10">
      <c r="A229" s="1">
        <v>45790</v>
      </c>
      <c r="B229">
        <f>(3/(1+('CurrentPor-LH=20 unchanged'!C229)/100)+103/POWER(1+('CurrentPor-LH=20 unchanged'!D229)/100,2))*100</f>
        <v>9707.5857774288397</v>
      </c>
      <c r="C229">
        <f>(3/(1+('CurrentPor-LH=20 unchanged'!C229+'CurrentPor-LH=20 unchanged'!G229)/100)+103/POWER(1+('CurrentPor-LH=20 unchanged'!D229+'CurrentPor-LH=20 unchanged'!G229)/100,2))*100</f>
        <v>9614.9673582483465</v>
      </c>
      <c r="D229">
        <f>(3/(1+('CurrentPor-LH=20 unchanged'!C229+'CurrentPor-LH=20 unchanged'!H229)/100)+103/POWER(1+('CurrentPor-LH=20 unchanged'!D229+'CurrentPor-LH=20 unchanged'!H229)/100,2))*100</f>
        <v>9592.4972756452225</v>
      </c>
      <c r="E229">
        <f>(3/(1+('CurrentPor-LH=20 unchanged'!C229+'CurrentPor-LH=20 unchanged'!I229)/100)+103/POWER(1+('CurrentPor-LH=20 unchanged'!D229+'CurrentPor-LH=20 unchanged'!I229)/100,2))*100</f>
        <v>9604.3911890708969</v>
      </c>
      <c r="F229">
        <f>Portfolio!B$5*'CurrentPor-LH=20 unchanged'!E229</f>
        <v>52143.895533915893</v>
      </c>
      <c r="G229">
        <f>Portfolio!B$6*'CurrentPor-LH=20 unchanged'!F229</f>
        <v>3696.2945087936532</v>
      </c>
      <c r="H229">
        <f>Portfolio!B$7*'CurrentPor-LH=20 unchanged'!J229</f>
        <v>2148.0998964419859</v>
      </c>
      <c r="I229">
        <f t="shared" si="6"/>
        <v>96507.731539544839</v>
      </c>
      <c r="J229">
        <f t="shared" si="7"/>
        <v>1.4123714073066367</v>
      </c>
    </row>
    <row r="230" spans="1:10">
      <c r="A230" s="1">
        <v>45791</v>
      </c>
      <c r="B230">
        <f>(3/(1+('CurrentPor-LH=20 unchanged'!C230)/100)+103/POWER(1+('CurrentPor-LH=20 unchanged'!D230)/100,2))*100</f>
        <v>9707.5857774288397</v>
      </c>
      <c r="C230">
        <f>(3/(1+('CurrentPor-LH=20 unchanged'!C230+'CurrentPor-LH=20 unchanged'!G230)/100)+103/POWER(1+('CurrentPor-LH=20 unchanged'!D230+'CurrentPor-LH=20 unchanged'!G230)/100,2))*100</f>
        <v>9614.9673582483465</v>
      </c>
      <c r="D230">
        <f>(3/(1+('CurrentPor-LH=20 unchanged'!C230+'CurrentPor-LH=20 unchanged'!H230)/100)+103/POWER(1+('CurrentPor-LH=20 unchanged'!D230+'CurrentPor-LH=20 unchanged'!H230)/100,2))*100</f>
        <v>9578.105454624294</v>
      </c>
      <c r="E230">
        <f>(3/(1+('CurrentPor-LH=20 unchanged'!C230+'CurrentPor-LH=20 unchanged'!I230)/100)+103/POWER(1+('CurrentPor-LH=20 unchanged'!D230+'CurrentPor-LH=20 unchanged'!I230)/100,2))*100</f>
        <v>9579.7086211593887</v>
      </c>
      <c r="F230">
        <f>Portfolio!B$5*'CurrentPor-LH=20 unchanged'!E230</f>
        <v>52143.895533915893</v>
      </c>
      <c r="G230">
        <f>Portfolio!B$6*'CurrentPor-LH=20 unchanged'!F230</f>
        <v>3696.2945087936532</v>
      </c>
      <c r="H230">
        <f>Portfolio!B$7*'CurrentPor-LH=20 unchanged'!J230</f>
        <v>2148.0998964419859</v>
      </c>
      <c r="I230">
        <f t="shared" si="6"/>
        <v>96468.657150612402</v>
      </c>
      <c r="J230">
        <f t="shared" si="7"/>
        <v>-50.066431312880013</v>
      </c>
    </row>
    <row r="231" spans="1:10">
      <c r="A231" s="1">
        <v>45792</v>
      </c>
      <c r="B231">
        <f>(3/(1+('CurrentPor-LH=20 unchanged'!C231)/100)+103/POWER(1+('CurrentPor-LH=20 unchanged'!D231)/100,2))*100</f>
        <v>9707.5857774288397</v>
      </c>
      <c r="C231">
        <f>(3/(1+('CurrentPor-LH=20 unchanged'!C231+'CurrentPor-LH=20 unchanged'!G231)/100)+103/POWER(1+('CurrentPor-LH=20 unchanged'!D231+'CurrentPor-LH=20 unchanged'!G231)/100,2))*100</f>
        <v>9614.9673582483465</v>
      </c>
      <c r="D231">
        <f>(3/(1+('CurrentPor-LH=20 unchanged'!C231+'CurrentPor-LH=20 unchanged'!H231)/100)+103/POWER(1+('CurrentPor-LH=20 unchanged'!D231+'CurrentPor-LH=20 unchanged'!H231)/100,2))*100</f>
        <v>9595.3554930720566</v>
      </c>
      <c r="E231">
        <f>(3/(1+('CurrentPor-LH=20 unchanged'!C231+'CurrentPor-LH=20 unchanged'!I231)/100)+103/POWER(1+('CurrentPor-LH=20 unchanged'!D231+'CurrentPor-LH=20 unchanged'!I231)/100,2))*100</f>
        <v>9601.3268974643361</v>
      </c>
      <c r="F231">
        <f>Portfolio!B$5*'CurrentPor-LH=20 unchanged'!E231</f>
        <v>52143.895533915893</v>
      </c>
      <c r="G231">
        <f>Portfolio!B$6*'CurrentPor-LH=20 unchanged'!F231</f>
        <v>3696.2945087936532</v>
      </c>
      <c r="H231">
        <f>Portfolio!B$7*'CurrentPor-LH=20 unchanged'!J231</f>
        <v>2148.0998964419859</v>
      </c>
      <c r="I231">
        <f t="shared" si="6"/>
        <v>96507.525465365106</v>
      </c>
      <c r="J231">
        <f t="shared" si="7"/>
        <v>-7.1098703152965754</v>
      </c>
    </row>
    <row r="232" spans="1:10">
      <c r="A232" s="1">
        <v>45793</v>
      </c>
      <c r="B232">
        <f>(3/(1+('CurrentPor-LH=20 unchanged'!C232)/100)+103/POWER(1+('CurrentPor-LH=20 unchanged'!D232)/100,2))*100</f>
        <v>9707.5857774288397</v>
      </c>
      <c r="C232">
        <f>(3/(1+('CurrentPor-LH=20 unchanged'!C232+'CurrentPor-LH=20 unchanged'!G232)/100)+103/POWER(1+('CurrentPor-LH=20 unchanged'!D232+'CurrentPor-LH=20 unchanged'!G232)/100,2))*100</f>
        <v>9614.9673582483465</v>
      </c>
      <c r="D232">
        <f>(3/(1+('CurrentPor-LH=20 unchanged'!C232+'CurrentPor-LH=20 unchanged'!H232)/100)+103/POWER(1+('CurrentPor-LH=20 unchanged'!D232+'CurrentPor-LH=20 unchanged'!H232)/100,2))*100</f>
        <v>9609.6272170161847</v>
      </c>
      <c r="E232">
        <f>(3/(1+('CurrentPor-LH=20 unchanged'!C232+'CurrentPor-LH=20 unchanged'!I232)/100)+103/POWER(1+('CurrentPor-LH=20 unchanged'!D232+'CurrentPor-LH=20 unchanged'!I232)/100,2))*100</f>
        <v>9581.9690737215078</v>
      </c>
      <c r="F232">
        <f>Portfolio!B$5*'CurrentPor-LH=20 unchanged'!E232</f>
        <v>52143.895533915893</v>
      </c>
      <c r="G232">
        <f>Portfolio!B$6*'CurrentPor-LH=20 unchanged'!F232</f>
        <v>3696.2945087936532</v>
      </c>
      <c r="H232">
        <f>Portfolio!B$7*'CurrentPor-LH=20 unchanged'!J232</f>
        <v>2148.0998964419859</v>
      </c>
      <c r="I232">
        <f t="shared" si="6"/>
        <v>96502.439365566403</v>
      </c>
      <c r="J232">
        <f t="shared" si="7"/>
        <v>8.3682095609256066</v>
      </c>
    </row>
    <row r="233" spans="1:10">
      <c r="A233" s="1">
        <v>45796</v>
      </c>
      <c r="B233">
        <f>(3/(1+('CurrentPor-LH=20 unchanged'!C233)/100)+103/POWER(1+('CurrentPor-LH=20 unchanged'!D233)/100,2))*100</f>
        <v>9707.5857774288397</v>
      </c>
      <c r="C233">
        <f>(3/(1+('CurrentPor-LH=20 unchanged'!C233+'CurrentPor-LH=20 unchanged'!G233)/100)+103/POWER(1+('CurrentPor-LH=20 unchanged'!D233+'CurrentPor-LH=20 unchanged'!G233)/100,2))*100</f>
        <v>9614.9673582483465</v>
      </c>
      <c r="D233">
        <f>(3/(1+('CurrentPor-LH=20 unchanged'!C233+'CurrentPor-LH=20 unchanged'!H233)/100)+103/POWER(1+('CurrentPor-LH=20 unchanged'!D233+'CurrentPor-LH=20 unchanged'!H233)/100,2))*100</f>
        <v>9590.5172816951799</v>
      </c>
      <c r="E233">
        <f>(3/(1+('CurrentPor-LH=20 unchanged'!C233+'CurrentPor-LH=20 unchanged'!I233)/100)+103/POWER(1+('CurrentPor-LH=20 unchanged'!D233+'CurrentPor-LH=20 unchanged'!I233)/100,2))*100</f>
        <v>9569.2267198995778</v>
      </c>
      <c r="F233">
        <f>Portfolio!B$5*'CurrentPor-LH=20 unchanged'!E233</f>
        <v>52143.895533915893</v>
      </c>
      <c r="G233">
        <f>Portfolio!B$6*'CurrentPor-LH=20 unchanged'!F233</f>
        <v>3696.2945087936532</v>
      </c>
      <c r="H233">
        <f>Portfolio!B$7*'CurrentPor-LH=20 unchanged'!J233</f>
        <v>2148.0998964419859</v>
      </c>
      <c r="I233">
        <f t="shared" si="6"/>
        <v>96470.587076423471</v>
      </c>
      <c r="J233">
        <f t="shared" si="7"/>
        <v>-13.310666575751384</v>
      </c>
    </row>
    <row r="234" spans="1:10">
      <c r="A234" s="1">
        <v>45797</v>
      </c>
      <c r="B234">
        <f>(3/(1+('CurrentPor-LH=20 unchanged'!C234)/100)+103/POWER(1+('CurrentPor-LH=20 unchanged'!D234)/100,2))*100</f>
        <v>9707.5857774288397</v>
      </c>
      <c r="C234">
        <f>(3/(1+('CurrentPor-LH=20 unchanged'!C234+'CurrentPor-LH=20 unchanged'!G234)/100)+103/POWER(1+('CurrentPor-LH=20 unchanged'!D234+'CurrentPor-LH=20 unchanged'!G234)/100,2))*100</f>
        <v>9614.9673582483465</v>
      </c>
      <c r="D234">
        <f>(3/(1+('CurrentPor-LH=20 unchanged'!C234+'CurrentPor-LH=20 unchanged'!H234)/100)+103/POWER(1+('CurrentPor-LH=20 unchanged'!D234+'CurrentPor-LH=20 unchanged'!H234)/100,2))*100</f>
        <v>9597.9623464855722</v>
      </c>
      <c r="E234">
        <f>(3/(1+('CurrentPor-LH=20 unchanged'!C234+'CurrentPor-LH=20 unchanged'!I234)/100)+103/POWER(1+('CurrentPor-LH=20 unchanged'!D234+'CurrentPor-LH=20 unchanged'!I234)/100,2))*100</f>
        <v>9581.4267616700872</v>
      </c>
      <c r="F234">
        <f>Portfolio!B$5*'CurrentPor-LH=20 unchanged'!E234</f>
        <v>52143.895533915893</v>
      </c>
      <c r="G234">
        <f>Portfolio!B$6*'CurrentPor-LH=20 unchanged'!F234</f>
        <v>3696.2945087936532</v>
      </c>
      <c r="H234">
        <f>Portfolio!B$7*'CurrentPor-LH=20 unchanged'!J234</f>
        <v>2148.0998964419859</v>
      </c>
      <c r="I234">
        <f t="shared" si="6"/>
        <v>96490.232182984371</v>
      </c>
      <c r="J234">
        <f t="shared" si="7"/>
        <v>3.923458779376233</v>
      </c>
    </row>
    <row r="235" spans="1:10">
      <c r="A235" s="1">
        <v>45798</v>
      </c>
      <c r="B235">
        <f>(3/(1+('CurrentPor-LH=20 unchanged'!C235)/100)+103/POWER(1+('CurrentPor-LH=20 unchanged'!D235)/100,2))*100</f>
        <v>9707.5857774288397</v>
      </c>
      <c r="C235">
        <f>(3/(1+('CurrentPor-LH=20 unchanged'!C235+'CurrentPor-LH=20 unchanged'!G235)/100)+103/POWER(1+('CurrentPor-LH=20 unchanged'!D235+'CurrentPor-LH=20 unchanged'!G235)/100,2))*100</f>
        <v>9614.9673582483465</v>
      </c>
      <c r="D235">
        <f>(3/(1+('CurrentPor-LH=20 unchanged'!C235+'CurrentPor-LH=20 unchanged'!H235)/100)+103/POWER(1+('CurrentPor-LH=20 unchanged'!D235+'CurrentPor-LH=20 unchanged'!H235)/100,2))*100</f>
        <v>9592.122274024674</v>
      </c>
      <c r="E235">
        <f>(3/(1+('CurrentPor-LH=20 unchanged'!C235+'CurrentPor-LH=20 unchanged'!I235)/100)+103/POWER(1+('CurrentPor-LH=20 unchanged'!D235+'CurrentPor-LH=20 unchanged'!I235)/100,2))*100</f>
        <v>9595.6029597249562</v>
      </c>
      <c r="F235">
        <f>Portfolio!B$5*'CurrentPor-LH=20 unchanged'!E235</f>
        <v>52143.895533915893</v>
      </c>
      <c r="G235">
        <f>Portfolio!B$6*'CurrentPor-LH=20 unchanged'!F235</f>
        <v>3696.2945087936532</v>
      </c>
      <c r="H235">
        <f>Portfolio!B$7*'CurrentPor-LH=20 unchanged'!J235</f>
        <v>2148.0998964419859</v>
      </c>
      <c r="I235">
        <f t="shared" si="6"/>
        <v>96498.568308578353</v>
      </c>
      <c r="J235">
        <f t="shared" si="7"/>
        <v>0.76601856377965305</v>
      </c>
    </row>
    <row r="236" spans="1:10">
      <c r="A236" s="1">
        <v>45799</v>
      </c>
      <c r="B236">
        <f>(3/(1+('CurrentPor-LH=20 unchanged'!C236)/100)+103/POWER(1+('CurrentPor-LH=20 unchanged'!D236)/100,2))*100</f>
        <v>9707.5857774288397</v>
      </c>
      <c r="C236">
        <f>(3/(1+('CurrentPor-LH=20 unchanged'!C236+'CurrentPor-LH=20 unchanged'!G236)/100)+103/POWER(1+('CurrentPor-LH=20 unchanged'!D236+'CurrentPor-LH=20 unchanged'!G236)/100,2))*100</f>
        <v>9614.9673582483465</v>
      </c>
      <c r="D236">
        <f>(3/(1+('CurrentPor-LH=20 unchanged'!C236+'CurrentPor-LH=20 unchanged'!H236)/100)+103/POWER(1+('CurrentPor-LH=20 unchanged'!D236+'CurrentPor-LH=20 unchanged'!H236)/100,2))*100</f>
        <v>9595.5558428866134</v>
      </c>
      <c r="E236">
        <f>(3/(1+('CurrentPor-LH=20 unchanged'!C236+'CurrentPor-LH=20 unchanged'!I236)/100)+103/POWER(1+('CurrentPor-LH=20 unchanged'!D236+'CurrentPor-LH=20 unchanged'!I236)/100,2))*100</f>
        <v>9579.699866358982</v>
      </c>
      <c r="F236">
        <f>Portfolio!B$5*'CurrentPor-LH=20 unchanged'!E236</f>
        <v>52143.895533915893</v>
      </c>
      <c r="G236">
        <f>Portfolio!B$6*'CurrentPor-LH=20 unchanged'!F236</f>
        <v>3696.2945087936532</v>
      </c>
      <c r="H236">
        <f>Portfolio!B$7*'CurrentPor-LH=20 unchanged'!J236</f>
        <v>2148.0998964419859</v>
      </c>
      <c r="I236">
        <f t="shared" si="6"/>
        <v>96486.098784074318</v>
      </c>
      <c r="J236">
        <f t="shared" si="7"/>
        <v>-11.623422120173927</v>
      </c>
    </row>
    <row r="237" spans="1:10">
      <c r="A237" s="1">
        <v>45800</v>
      </c>
      <c r="B237">
        <f>(3/(1+('CurrentPor-LH=20 unchanged'!C237)/100)+103/POWER(1+('CurrentPor-LH=20 unchanged'!D237)/100,2))*100</f>
        <v>9707.5857774288397</v>
      </c>
      <c r="C237">
        <f>(3/(1+('CurrentPor-LH=20 unchanged'!C237+'CurrentPor-LH=20 unchanged'!G237)/100)+103/POWER(1+('CurrentPor-LH=20 unchanged'!D237+'CurrentPor-LH=20 unchanged'!G237)/100,2))*100</f>
        <v>9614.9673582483465</v>
      </c>
      <c r="D237">
        <f>(3/(1+('CurrentPor-LH=20 unchanged'!C237+'CurrentPor-LH=20 unchanged'!H237)/100)+103/POWER(1+('CurrentPor-LH=20 unchanged'!D237+'CurrentPor-LH=20 unchanged'!H237)/100,2))*100</f>
        <v>9573.6898972544241</v>
      </c>
      <c r="E237">
        <f>(3/(1+('CurrentPor-LH=20 unchanged'!C237+'CurrentPor-LH=20 unchanged'!I237)/100)+103/POWER(1+('CurrentPor-LH=20 unchanged'!D237+'CurrentPor-LH=20 unchanged'!I237)/100,2))*100</f>
        <v>9570.9461275553749</v>
      </c>
      <c r="F237">
        <f>Portfolio!B$5*'CurrentPor-LH=20 unchanged'!E237</f>
        <v>52143.895533915893</v>
      </c>
      <c r="G237">
        <f>Portfolio!B$6*'CurrentPor-LH=20 unchanged'!F237</f>
        <v>3696.2945087936532</v>
      </c>
      <c r="H237">
        <f>Portfolio!B$7*'CurrentPor-LH=20 unchanged'!J237</f>
        <v>2148.0998964419859</v>
      </c>
      <c r="I237">
        <f t="shared" si="6"/>
        <v>96455.479099638513</v>
      </c>
      <c r="J237">
        <f t="shared" si="7"/>
        <v>-57.063287028780906</v>
      </c>
    </row>
    <row r="238" spans="1:10">
      <c r="A238" s="1">
        <v>45803</v>
      </c>
      <c r="B238">
        <f>(3/(1+('CurrentPor-LH=20 unchanged'!C238)/100)+103/POWER(1+('CurrentPor-LH=20 unchanged'!D238)/100,2))*100</f>
        <v>9707.5857774288397</v>
      </c>
      <c r="C238">
        <f>(3/(1+('CurrentPor-LH=20 unchanged'!C238+'CurrentPor-LH=20 unchanged'!G238)/100)+103/POWER(1+('CurrentPor-LH=20 unchanged'!D238+'CurrentPor-LH=20 unchanged'!G238)/100,2))*100</f>
        <v>9614.9673582483465</v>
      </c>
      <c r="D238">
        <f>(3/(1+('CurrentPor-LH=20 unchanged'!C238+'CurrentPor-LH=20 unchanged'!H238)/100)+103/POWER(1+('CurrentPor-LH=20 unchanged'!D238+'CurrentPor-LH=20 unchanged'!H238)/100,2))*100</f>
        <v>9606.626461151207</v>
      </c>
      <c r="E238">
        <f>(3/(1+('CurrentPor-LH=20 unchanged'!C238+'CurrentPor-LH=20 unchanged'!I238)/100)+103/POWER(1+('CurrentPor-LH=20 unchanged'!D238+'CurrentPor-LH=20 unchanged'!I238)/100,2))*100</f>
        <v>9573.4998134274629</v>
      </c>
      <c r="F238">
        <f>Portfolio!B$5*'CurrentPor-LH=20 unchanged'!E238</f>
        <v>52143.895533915893</v>
      </c>
      <c r="G238">
        <f>Portfolio!B$6*'CurrentPor-LH=20 unchanged'!F238</f>
        <v>3696.2945087936532</v>
      </c>
      <c r="H238">
        <f>Portfolio!B$7*'CurrentPor-LH=20 unchanged'!J238</f>
        <v>2148.0998964419859</v>
      </c>
      <c r="I238">
        <f t="shared" si="6"/>
        <v>96490.969349407387</v>
      </c>
      <c r="J238">
        <f t="shared" si="7"/>
        <v>-40.967757645572419</v>
      </c>
    </row>
    <row r="239" spans="1:10">
      <c r="A239" s="1">
        <v>45804</v>
      </c>
      <c r="B239">
        <f>(3/(1+('CurrentPor-LH=20 unchanged'!C239)/100)+103/POWER(1+('CurrentPor-LH=20 unchanged'!D239)/100,2))*100</f>
        <v>9707.5857774288397</v>
      </c>
      <c r="C239">
        <f>(3/(1+('CurrentPor-LH=20 unchanged'!C239+'CurrentPor-LH=20 unchanged'!G239)/100)+103/POWER(1+('CurrentPor-LH=20 unchanged'!D239+'CurrentPor-LH=20 unchanged'!G239)/100,2))*100</f>
        <v>9614.9673582483465</v>
      </c>
      <c r="D239">
        <f>(3/(1+('CurrentPor-LH=20 unchanged'!C239+'CurrentPor-LH=20 unchanged'!H239)/100)+103/POWER(1+('CurrentPor-LH=20 unchanged'!D239+'CurrentPor-LH=20 unchanged'!H239)/100,2))*100</f>
        <v>9606.6661210218208</v>
      </c>
      <c r="E239">
        <f>(3/(1+('CurrentPor-LH=20 unchanged'!C239+'CurrentPor-LH=20 unchanged'!I239)/100)+103/POWER(1+('CurrentPor-LH=20 unchanged'!D239+'CurrentPor-LH=20 unchanged'!I239)/100,2))*100</f>
        <v>9542.1363574169991</v>
      </c>
      <c r="F239">
        <f>Portfolio!B$5*'CurrentPor-LH=20 unchanged'!E239</f>
        <v>52143.895533915893</v>
      </c>
      <c r="G239">
        <f>Portfolio!B$6*'CurrentPor-LH=20 unchanged'!F239</f>
        <v>3696.2945087936532</v>
      </c>
      <c r="H239">
        <f>Portfolio!B$7*'CurrentPor-LH=20 unchanged'!J239</f>
        <v>2148.0998964419859</v>
      </c>
      <c r="I239">
        <f t="shared" si="6"/>
        <v>96459.645553267546</v>
      </c>
      <c r="J239">
        <f t="shared" si="7"/>
        <v>-48.08598627729225</v>
      </c>
    </row>
    <row r="240" spans="1:10">
      <c r="A240" s="1">
        <v>45805</v>
      </c>
      <c r="B240">
        <f>(3/(1+('CurrentPor-LH=20 unchanged'!C240)/100)+103/POWER(1+('CurrentPor-LH=20 unchanged'!D240)/100,2))*100</f>
        <v>9707.5857774288397</v>
      </c>
      <c r="C240">
        <f>(3/(1+('CurrentPor-LH=20 unchanged'!C240+'CurrentPor-LH=20 unchanged'!G240)/100)+103/POWER(1+('CurrentPor-LH=20 unchanged'!D240+'CurrentPor-LH=20 unchanged'!G240)/100,2))*100</f>
        <v>9614.9673582483465</v>
      </c>
      <c r="D240">
        <f>(3/(1+('CurrentPor-LH=20 unchanged'!C240+'CurrentPor-LH=20 unchanged'!H240)/100)+103/POWER(1+('CurrentPor-LH=20 unchanged'!D240+'CurrentPor-LH=20 unchanged'!H240)/100,2))*100</f>
        <v>9587.7124416595288</v>
      </c>
      <c r="E240">
        <f>(3/(1+('CurrentPor-LH=20 unchanged'!C240+'CurrentPor-LH=20 unchanged'!I240)/100)+103/POWER(1+('CurrentPor-LH=20 unchanged'!D240+'CurrentPor-LH=20 unchanged'!I240)/100,2))*100</f>
        <v>9588.3540548551664</v>
      </c>
      <c r="F240">
        <f>Portfolio!B$5*'CurrentPor-LH=20 unchanged'!E240</f>
        <v>52143.895533915893</v>
      </c>
      <c r="G240">
        <f>Portfolio!B$6*'CurrentPor-LH=20 unchanged'!F240</f>
        <v>3696.2945087936532</v>
      </c>
      <c r="H240">
        <f>Portfolio!B$7*'CurrentPor-LH=20 unchanged'!J240</f>
        <v>2148.0998964419859</v>
      </c>
      <c r="I240">
        <f t="shared" si="6"/>
        <v>96486.909571343407</v>
      </c>
      <c r="J240">
        <f t="shared" si="7"/>
        <v>18.252420731005259</v>
      </c>
    </row>
    <row r="241" spans="1:10">
      <c r="A241" s="1">
        <v>45806</v>
      </c>
      <c r="B241">
        <f>(3/(1+('CurrentPor-LH=20 unchanged'!C241)/100)+103/POWER(1+('CurrentPor-LH=20 unchanged'!D241)/100,2))*100</f>
        <v>9707.5857774288397</v>
      </c>
      <c r="C241">
        <f>(3/(1+('CurrentPor-LH=20 unchanged'!C241+'CurrentPor-LH=20 unchanged'!G241)/100)+103/POWER(1+('CurrentPor-LH=20 unchanged'!D241+'CurrentPor-LH=20 unchanged'!G241)/100,2))*100</f>
        <v>9614.9673582483465</v>
      </c>
      <c r="D241">
        <f>(3/(1+('CurrentPor-LH=20 unchanged'!C241+'CurrentPor-LH=20 unchanged'!H241)/100)+103/POWER(1+('CurrentPor-LH=20 unchanged'!D241+'CurrentPor-LH=20 unchanged'!H241)/100,2))*100</f>
        <v>9598.3868747017186</v>
      </c>
      <c r="E241">
        <f>(3/(1+('CurrentPor-LH=20 unchanged'!C241+'CurrentPor-LH=20 unchanged'!I241)/100)+103/POWER(1+('CurrentPor-LH=20 unchanged'!D241+'CurrentPor-LH=20 unchanged'!I241)/100,2))*100</f>
        <v>9591.8349539607079</v>
      </c>
      <c r="F241">
        <f>Portfolio!B$5*'CurrentPor-LH=20 unchanged'!E241</f>
        <v>52143.895533915893</v>
      </c>
      <c r="G241">
        <f>Portfolio!B$6*'CurrentPor-LH=20 unchanged'!F241</f>
        <v>3696.2945087936532</v>
      </c>
      <c r="H241">
        <f>Portfolio!B$7*'CurrentPor-LH=20 unchanged'!J241</f>
        <v>2148.0998964419859</v>
      </c>
      <c r="I241">
        <f t="shared" si="6"/>
        <v>96501.064903491133</v>
      </c>
      <c r="J241">
        <f t="shared" si="7"/>
        <v>-6.4605618739733472</v>
      </c>
    </row>
    <row r="242" spans="1:10">
      <c r="A242" s="1">
        <v>45807</v>
      </c>
      <c r="B242">
        <f>(3/(1+('CurrentPor-LH=20 unchanged'!C242)/100)+103/POWER(1+('CurrentPor-LH=20 unchanged'!D242)/100,2))*100</f>
        <v>9707.5857774288397</v>
      </c>
      <c r="C242">
        <f>(3/(1+('CurrentPor-LH=20 unchanged'!C242+'CurrentPor-LH=20 unchanged'!G242)/100)+103/POWER(1+('CurrentPor-LH=20 unchanged'!D242+'CurrentPor-LH=20 unchanged'!G242)/100,2))*100</f>
        <v>9614.9673582483465</v>
      </c>
      <c r="D242">
        <f>(3/(1+('CurrentPor-LH=20 unchanged'!C242+'CurrentPor-LH=20 unchanged'!H242)/100)+103/POWER(1+('CurrentPor-LH=20 unchanged'!D242+'CurrentPor-LH=20 unchanged'!H242)/100,2))*100</f>
        <v>9599.1313625298044</v>
      </c>
      <c r="E242">
        <f>(3/(1+('CurrentPor-LH=20 unchanged'!C242+'CurrentPor-LH=20 unchanged'!I242)/100)+103/POWER(1+('CurrentPor-LH=20 unchanged'!D242+'CurrentPor-LH=20 unchanged'!I242)/100,2))*100</f>
        <v>9588.7917258984944</v>
      </c>
      <c r="F242">
        <f>Portfolio!B$5*'CurrentPor-LH=20 unchanged'!E242</f>
        <v>52143.895533915893</v>
      </c>
      <c r="G242">
        <f>Portfolio!B$6*'CurrentPor-LH=20 unchanged'!F242</f>
        <v>3696.2945087936532</v>
      </c>
      <c r="H242">
        <f>Portfolio!B$7*'CurrentPor-LH=20 unchanged'!J242</f>
        <v>2148.0998964419859</v>
      </c>
      <c r="I242">
        <f t="shared" si="6"/>
        <v>96498.766163257023</v>
      </c>
      <c r="J242">
        <f t="shared" si="7"/>
        <v>-3.6732023093791213</v>
      </c>
    </row>
    <row r="243" spans="1:10">
      <c r="A243" s="1">
        <v>45810</v>
      </c>
      <c r="B243">
        <f>(3/(1+('CurrentPor-LH=20 unchanged'!C243)/100)+103/POWER(1+('CurrentPor-LH=20 unchanged'!D243)/100,2))*100</f>
        <v>9707.5857774288397</v>
      </c>
      <c r="C243">
        <f>(3/(1+('CurrentPor-LH=20 unchanged'!C243+'CurrentPor-LH=20 unchanged'!G243)/100)+103/POWER(1+('CurrentPor-LH=20 unchanged'!D243+'CurrentPor-LH=20 unchanged'!G243)/100,2))*100</f>
        <v>9614.9673582483465</v>
      </c>
      <c r="D243">
        <f>(3/(1+('CurrentPor-LH=20 unchanged'!C243+'CurrentPor-LH=20 unchanged'!H243)/100)+103/POWER(1+('CurrentPor-LH=20 unchanged'!D243+'CurrentPor-LH=20 unchanged'!H243)/100,2))*100</f>
        <v>9604.9633613182559</v>
      </c>
      <c r="E243">
        <f>(3/(1+('CurrentPor-LH=20 unchanged'!C243+'CurrentPor-LH=20 unchanged'!I243)/100)+103/POWER(1+('CurrentPor-LH=20 unchanged'!D243+'CurrentPor-LH=20 unchanged'!I243)/100,2))*100</f>
        <v>9570.1156985625712</v>
      </c>
      <c r="F243">
        <f>Portfolio!B$5*'CurrentPor-LH=20 unchanged'!E243</f>
        <v>52143.895533915893</v>
      </c>
      <c r="G243">
        <f>Portfolio!B$6*'CurrentPor-LH=20 unchanged'!F243</f>
        <v>3696.2945087936532</v>
      </c>
      <c r="H243">
        <f>Portfolio!B$7*'CurrentPor-LH=20 unchanged'!J243</f>
        <v>2148.0998964419859</v>
      </c>
      <c r="I243">
        <f t="shared" si="6"/>
        <v>96485.922134709544</v>
      </c>
      <c r="J243">
        <f t="shared" si="7"/>
        <v>15.335058286073036</v>
      </c>
    </row>
    <row r="244" spans="1:10">
      <c r="A244" s="1">
        <v>45811</v>
      </c>
      <c r="B244">
        <f>(3/(1+('CurrentPor-LH=20 unchanged'!C244)/100)+103/POWER(1+('CurrentPor-LH=20 unchanged'!D244)/100,2))*100</f>
        <v>9707.5857774288397</v>
      </c>
      <c r="C244">
        <f>(3/(1+('CurrentPor-LH=20 unchanged'!C244+'CurrentPor-LH=20 unchanged'!G244)/100)+103/POWER(1+('CurrentPor-LH=20 unchanged'!D244+'CurrentPor-LH=20 unchanged'!G244)/100,2))*100</f>
        <v>9614.9673582483465</v>
      </c>
      <c r="D244">
        <f>(3/(1+('CurrentPor-LH=20 unchanged'!C244+'CurrentPor-LH=20 unchanged'!H244)/100)+103/POWER(1+('CurrentPor-LH=20 unchanged'!D244+'CurrentPor-LH=20 unchanged'!H244)/100,2))*100</f>
        <v>9611.590742659404</v>
      </c>
      <c r="E244">
        <f>(3/(1+('CurrentPor-LH=20 unchanged'!C244+'CurrentPor-LH=20 unchanged'!I244)/100)+103/POWER(1+('CurrentPor-LH=20 unchanged'!D244+'CurrentPor-LH=20 unchanged'!I244)/100,2))*100</f>
        <v>9572.6075377841116</v>
      </c>
      <c r="F244">
        <f>Portfolio!B$5*'CurrentPor-LH=20 unchanged'!E244</f>
        <v>52143.895533915893</v>
      </c>
      <c r="G244">
        <f>Portfolio!B$6*'CurrentPor-LH=20 unchanged'!F244</f>
        <v>3696.2945087936532</v>
      </c>
      <c r="H244">
        <f>Portfolio!B$7*'CurrentPor-LH=20 unchanged'!J244</f>
        <v>2148.0998964419859</v>
      </c>
      <c r="I244">
        <f t="shared" si="6"/>
        <v>96495.041355272231</v>
      </c>
      <c r="J244">
        <f t="shared" si="7"/>
        <v>4.8091722878598375</v>
      </c>
    </row>
    <row r="245" spans="1:10">
      <c r="A245" s="1">
        <v>45812</v>
      </c>
      <c r="B245">
        <f>(3/(1+('CurrentPor-LH=20 unchanged'!C245)/100)+103/POWER(1+('CurrentPor-LH=20 unchanged'!D245)/100,2))*100</f>
        <v>9707.5857774288397</v>
      </c>
      <c r="C245">
        <f>(3/(1+('CurrentPor-LH=20 unchanged'!C245+'CurrentPor-LH=20 unchanged'!G245)/100)+103/POWER(1+('CurrentPor-LH=20 unchanged'!D245+'CurrentPor-LH=20 unchanged'!G245)/100,2))*100</f>
        <v>9614.9673582483465</v>
      </c>
      <c r="D245">
        <f>(3/(1+('CurrentPor-LH=20 unchanged'!C245+'CurrentPor-LH=20 unchanged'!H245)/100)+103/POWER(1+('CurrentPor-LH=20 unchanged'!D245+'CurrentPor-LH=20 unchanged'!H245)/100,2))*100</f>
        <v>9598.5911506667453</v>
      </c>
      <c r="E245">
        <f>(3/(1+('CurrentPor-LH=20 unchanged'!C245+'CurrentPor-LH=20 unchanged'!I245)/100)+103/POWER(1+('CurrentPor-LH=20 unchanged'!D245+'CurrentPor-LH=20 unchanged'!I245)/100,2))*100</f>
        <v>9590.569955629373</v>
      </c>
      <c r="F245">
        <f>Portfolio!B$5*'CurrentPor-LH=20 unchanged'!E245</f>
        <v>52143.895533915893</v>
      </c>
      <c r="G245">
        <f>Portfolio!B$6*'CurrentPor-LH=20 unchanged'!F245</f>
        <v>3696.2945087936532</v>
      </c>
      <c r="H245">
        <f>Portfolio!B$7*'CurrentPor-LH=20 unchanged'!J245</f>
        <v>2148.0998964419859</v>
      </c>
      <c r="I245">
        <f t="shared" si="6"/>
        <v>96500.004181124837</v>
      </c>
      <c r="J245">
        <f t="shared" si="7"/>
        <v>1.4358725464844611</v>
      </c>
    </row>
    <row r="246" spans="1:10">
      <c r="A246" s="1">
        <v>45813</v>
      </c>
      <c r="B246">
        <f>(3/(1+('CurrentPor-LH=20 unchanged'!C246)/100)+103/POWER(1+('CurrentPor-LH=20 unchanged'!D246)/100,2))*100</f>
        <v>9707.5857774288397</v>
      </c>
      <c r="C246">
        <f>(3/(1+('CurrentPor-LH=20 unchanged'!C246+'CurrentPor-LH=20 unchanged'!G246)/100)+103/POWER(1+('CurrentPor-LH=20 unchanged'!D246+'CurrentPor-LH=20 unchanged'!G246)/100,2))*100</f>
        <v>9614.9673582483465</v>
      </c>
      <c r="D246">
        <f>(3/(1+('CurrentPor-LH=20 unchanged'!C246+'CurrentPor-LH=20 unchanged'!H246)/100)+103/POWER(1+('CurrentPor-LH=20 unchanged'!D246+'CurrentPor-LH=20 unchanged'!H246)/100,2))*100</f>
        <v>9589.6233012548473</v>
      </c>
      <c r="E246">
        <f>(3/(1+('CurrentPor-LH=20 unchanged'!C246+'CurrentPor-LH=20 unchanged'!I246)/100)+103/POWER(1+('CurrentPor-LH=20 unchanged'!D246+'CurrentPor-LH=20 unchanged'!I246)/100,2))*100</f>
        <v>9591.6073825056264</v>
      </c>
      <c r="F246">
        <f>Portfolio!B$5*'CurrentPor-LH=20 unchanged'!E246</f>
        <v>52143.895533915893</v>
      </c>
      <c r="G246">
        <f>Portfolio!B$6*'CurrentPor-LH=20 unchanged'!F246</f>
        <v>3696.2945087936532</v>
      </c>
      <c r="H246">
        <f>Portfolio!B$7*'CurrentPor-LH=20 unchanged'!J246</f>
        <v>2148.0998964419859</v>
      </c>
      <c r="I246">
        <f t="shared" si="6"/>
        <v>96492.073758589191</v>
      </c>
      <c r="J246">
        <f t="shared" si="7"/>
        <v>5.9749745148728834</v>
      </c>
    </row>
    <row r="247" spans="1:10">
      <c r="A247" s="1">
        <v>45814</v>
      </c>
      <c r="B247">
        <f>(3/(1+('CurrentPor-LH=20 unchanged'!C247)/100)+103/POWER(1+('CurrentPor-LH=20 unchanged'!D247)/100,2))*100</f>
        <v>9707.5857774288397</v>
      </c>
      <c r="C247">
        <f>(3/(1+('CurrentPor-LH=20 unchanged'!C247+'CurrentPor-LH=20 unchanged'!G247)/100)+103/POWER(1+('CurrentPor-LH=20 unchanged'!D247+'CurrentPor-LH=20 unchanged'!G247)/100,2))*100</f>
        <v>9614.9673582483465</v>
      </c>
      <c r="D247">
        <f>(3/(1+('CurrentPor-LH=20 unchanged'!C247+'CurrentPor-LH=20 unchanged'!H247)/100)+103/POWER(1+('CurrentPor-LH=20 unchanged'!D247+'CurrentPor-LH=20 unchanged'!H247)/100,2))*100</f>
        <v>9606.1838073545041</v>
      </c>
      <c r="E247">
        <f>(3/(1+('CurrentPor-LH=20 unchanged'!C247+'CurrentPor-LH=20 unchanged'!I247)/100)+103/POWER(1+('CurrentPor-LH=20 unchanged'!D247+'CurrentPor-LH=20 unchanged'!I247)/100,2))*100</f>
        <v>9591.4190622700244</v>
      </c>
      <c r="F247">
        <f>Portfolio!B$5*'CurrentPor-LH=20 unchanged'!E247</f>
        <v>52143.895533915893</v>
      </c>
      <c r="G247">
        <f>Portfolio!B$6*'CurrentPor-LH=20 unchanged'!F247</f>
        <v>3696.2945087936532</v>
      </c>
      <c r="H247">
        <f>Portfolio!B$7*'CurrentPor-LH=20 unchanged'!J247</f>
        <v>2148.0998964419859</v>
      </c>
      <c r="I247">
        <f t="shared" si="6"/>
        <v>96508.445944453255</v>
      </c>
      <c r="J247">
        <f t="shared" si="7"/>
        <v>52.966844814742217</v>
      </c>
    </row>
    <row r="248" spans="1:10">
      <c r="A248" s="1">
        <v>45817</v>
      </c>
      <c r="B248">
        <f>(3/(1+('CurrentPor-LH=20 unchanged'!C248)/100)+103/POWER(1+('CurrentPor-LH=20 unchanged'!D248)/100,2))*100</f>
        <v>9707.5857774288397</v>
      </c>
      <c r="C248">
        <f>(3/(1+('CurrentPor-LH=20 unchanged'!C248+'CurrentPor-LH=20 unchanged'!G248)/100)+103/POWER(1+('CurrentPor-LH=20 unchanged'!D248+'CurrentPor-LH=20 unchanged'!G248)/100,2))*100</f>
        <v>9614.9673582483465</v>
      </c>
      <c r="D248">
        <f>(3/(1+('CurrentPor-LH=20 unchanged'!C248+'CurrentPor-LH=20 unchanged'!H248)/100)+103/POWER(1+('CurrentPor-LH=20 unchanged'!D248+'CurrentPor-LH=20 unchanged'!H248)/100,2))*100</f>
        <v>9600.3996326312554</v>
      </c>
      <c r="E248">
        <f>(3/(1+('CurrentPor-LH=20 unchanged'!C248+'CurrentPor-LH=20 unchanged'!I248)/100)+103/POWER(1+('CurrentPor-LH=20 unchanged'!D248+'CurrentPor-LH=20 unchanged'!I248)/100,2))*100</f>
        <v>9589.8730168927523</v>
      </c>
      <c r="F248">
        <f>Portfolio!B$5*'CurrentPor-LH=20 unchanged'!E248</f>
        <v>52143.895533915893</v>
      </c>
      <c r="G248">
        <f>Portfolio!B$6*'CurrentPor-LH=20 unchanged'!F248</f>
        <v>3696.2945087936532</v>
      </c>
      <c r="H248">
        <f>Portfolio!B$7*'CurrentPor-LH=20 unchanged'!J248</f>
        <v>2148.0998964419859</v>
      </c>
      <c r="I248">
        <f t="shared" si="6"/>
        <v>96501.115724352727</v>
      </c>
      <c r="J248">
        <f t="shared" si="7"/>
        <v>10.14637494533963</v>
      </c>
    </row>
    <row r="249" spans="1:10">
      <c r="A249" s="1">
        <v>45818</v>
      </c>
      <c r="B249">
        <f>(3/(1+('CurrentPor-LH=20 unchanged'!C249)/100)+103/POWER(1+('CurrentPor-LH=20 unchanged'!D249)/100,2))*100</f>
        <v>9707.5857774288397</v>
      </c>
      <c r="C249">
        <f>(3/(1+('CurrentPor-LH=20 unchanged'!C249+'CurrentPor-LH=20 unchanged'!G249)/100)+103/POWER(1+('CurrentPor-LH=20 unchanged'!D249+'CurrentPor-LH=20 unchanged'!G249)/100,2))*100</f>
        <v>9614.9673582483465</v>
      </c>
      <c r="D249">
        <f>(3/(1+('CurrentPor-LH=20 unchanged'!C249+'CurrentPor-LH=20 unchanged'!H249)/100)+103/POWER(1+('CurrentPor-LH=20 unchanged'!D249+'CurrentPor-LH=20 unchanged'!H249)/100,2))*100</f>
        <v>9592.2508943256871</v>
      </c>
      <c r="E249">
        <f>(3/(1+('CurrentPor-LH=20 unchanged'!C249+'CurrentPor-LH=20 unchanged'!I249)/100)+103/POWER(1+('CurrentPor-LH=20 unchanged'!D249+'CurrentPor-LH=20 unchanged'!I249)/100,2))*100</f>
        <v>9602.2079674607048</v>
      </c>
      <c r="F249">
        <f>Portfolio!B$5*'CurrentPor-LH=20 unchanged'!E249</f>
        <v>52143.895533915893</v>
      </c>
      <c r="G249">
        <f>Portfolio!B$6*'CurrentPor-LH=20 unchanged'!F249</f>
        <v>3696.2945087936532</v>
      </c>
      <c r="H249">
        <f>Portfolio!B$7*'CurrentPor-LH=20 unchanged'!J249</f>
        <v>2148.0998964419859</v>
      </c>
      <c r="I249">
        <f t="shared" si="6"/>
        <v>96505.301936615098</v>
      </c>
      <c r="J249">
        <f t="shared" si="7"/>
        <v>45.656383347552037</v>
      </c>
    </row>
    <row r="250" spans="1:10">
      <c r="A250" s="1">
        <v>45819</v>
      </c>
      <c r="B250">
        <f>(3/(1+('CurrentPor-LH=20 unchanged'!C250)/100)+103/POWER(1+('CurrentPor-LH=20 unchanged'!D250)/100,2))*100</f>
        <v>9707.5857774288397</v>
      </c>
      <c r="C250">
        <f>(3/(1+('CurrentPor-LH=20 unchanged'!C250+'CurrentPor-LH=20 unchanged'!G250)/100)+103/POWER(1+('CurrentPor-LH=20 unchanged'!D250+'CurrentPor-LH=20 unchanged'!G250)/100,2))*100</f>
        <v>9614.9673582483465</v>
      </c>
      <c r="D250">
        <f>(3/(1+('CurrentPor-LH=20 unchanged'!C250+'CurrentPor-LH=20 unchanged'!H250)/100)+103/POWER(1+('CurrentPor-LH=20 unchanged'!D250+'CurrentPor-LH=20 unchanged'!H250)/100,2))*100</f>
        <v>9591.4939918914934</v>
      </c>
      <c r="E250">
        <f>(3/(1+('CurrentPor-LH=20 unchanged'!C250+'CurrentPor-LH=20 unchanged'!I250)/100)+103/POWER(1+('CurrentPor-LH=20 unchanged'!D250+'CurrentPor-LH=20 unchanged'!I250)/100,2))*100</f>
        <v>9576.0937379574352</v>
      </c>
      <c r="F250">
        <f>Portfolio!B$5*'CurrentPor-LH=20 unchanged'!E250</f>
        <v>52143.895533915893</v>
      </c>
      <c r="G250">
        <f>Portfolio!B$6*'CurrentPor-LH=20 unchanged'!F250</f>
        <v>3696.2945087936532</v>
      </c>
      <c r="H250">
        <f>Portfolio!B$7*'CurrentPor-LH=20 unchanged'!J250</f>
        <v>2148.0998964419859</v>
      </c>
      <c r="I250">
        <f t="shared" si="6"/>
        <v>96478.430804677642</v>
      </c>
      <c r="J250">
        <f t="shared" si="7"/>
        <v>-8.4787666657648515</v>
      </c>
    </row>
    <row r="251" spans="1:10">
      <c r="A251" s="1">
        <v>45820</v>
      </c>
      <c r="B251">
        <f>(3/(1+('CurrentPor-LH=20 unchanged'!C251)/100)+103/POWER(1+('CurrentPor-LH=20 unchanged'!D251)/100,2))*100</f>
        <v>9707.5857774288397</v>
      </c>
      <c r="C251">
        <f>(3/(1+('CurrentPor-LH=20 unchanged'!C251+'CurrentPor-LH=20 unchanged'!G251)/100)+103/POWER(1+('CurrentPor-LH=20 unchanged'!D251+'CurrentPor-LH=20 unchanged'!G251)/100,2))*100</f>
        <v>9614.9673582483465</v>
      </c>
      <c r="D251">
        <f>(3/(1+('CurrentPor-LH=20 unchanged'!C251+'CurrentPor-LH=20 unchanged'!H251)/100)+103/POWER(1+('CurrentPor-LH=20 unchanged'!D251+'CurrentPor-LH=20 unchanged'!H251)/100,2))*100</f>
        <v>9602.5404212290723</v>
      </c>
      <c r="E251">
        <f>(3/(1+('CurrentPor-LH=20 unchanged'!C251+'CurrentPor-LH=20 unchanged'!I251)/100)+103/POWER(1+('CurrentPor-LH=20 unchanged'!D251+'CurrentPor-LH=20 unchanged'!I251)/100,2))*100</f>
        <v>9595.9490514904428</v>
      </c>
      <c r="F251">
        <f>Portfolio!B$5*'CurrentPor-LH=20 unchanged'!E251</f>
        <v>52143.895533915893</v>
      </c>
      <c r="G251">
        <f>Portfolio!B$6*'CurrentPor-LH=20 unchanged'!F251</f>
        <v>3696.2945087936532</v>
      </c>
      <c r="H251">
        <f>Portfolio!B$7*'CurrentPor-LH=20 unchanged'!J251</f>
        <v>2148.0998964419859</v>
      </c>
      <c r="I251">
        <f t="shared" si="6"/>
        <v>96509.332547548242</v>
      </c>
      <c r="J251">
        <f t="shared" si="7"/>
        <v>8.267644057108555</v>
      </c>
    </row>
    <row r="252" spans="1:10">
      <c r="A252" s="1">
        <v>45821</v>
      </c>
      <c r="B252">
        <f>(3/(1+('CurrentPor-LH=20 unchanged'!C252)/100)+103/POWER(1+('CurrentPor-LH=20 unchanged'!D252)/100,2))*100</f>
        <v>9707.5857774288397</v>
      </c>
      <c r="C252">
        <f>(3/(1+('CurrentPor-LH=20 unchanged'!C252+'CurrentPor-LH=20 unchanged'!G252)/100)+103/POWER(1+('CurrentPor-LH=20 unchanged'!D252+'CurrentPor-LH=20 unchanged'!G252)/100,2))*100</f>
        <v>9614.9673582483465</v>
      </c>
      <c r="D252">
        <f>(3/(1+('CurrentPor-LH=20 unchanged'!C252+'CurrentPor-LH=20 unchanged'!H252)/100)+103/POWER(1+('CurrentPor-LH=20 unchanged'!D252+'CurrentPor-LH=20 unchanged'!H252)/100,2))*100</f>
        <v>9611.4827681820207</v>
      </c>
      <c r="E252">
        <f>(3/(1+('CurrentPor-LH=20 unchanged'!C252+'CurrentPor-LH=20 unchanged'!I252)/100)+103/POWER(1+('CurrentPor-LH=20 unchanged'!D252+'CurrentPor-LH=20 unchanged'!I252)/100,2))*100</f>
        <v>9584.8250213334341</v>
      </c>
      <c r="F252">
        <f>Portfolio!B$5*'CurrentPor-LH=20 unchanged'!E252</f>
        <v>52143.895533915893</v>
      </c>
      <c r="G252">
        <f>Portfolio!B$6*'CurrentPor-LH=20 unchanged'!F252</f>
        <v>3696.2945087936532</v>
      </c>
      <c r="H252">
        <f>Portfolio!B$7*'CurrentPor-LH=20 unchanged'!J252</f>
        <v>2148.0998964419859</v>
      </c>
      <c r="I252">
        <f t="shared" si="6"/>
        <v>96507.150864344163</v>
      </c>
      <c r="J252">
        <f t="shared" si="7"/>
        <v>8.3847010871395469</v>
      </c>
    </row>
    <row r="253" spans="1:10">
      <c r="A253" s="1">
        <v>45824</v>
      </c>
      <c r="B253">
        <f>(3/(1+('CurrentPor-LH=20 unchanged'!C253)/100)+103/POWER(1+('CurrentPor-LH=20 unchanged'!D253)/100,2))*100</f>
        <v>9707.5857774288397</v>
      </c>
      <c r="C253">
        <f>(3/(1+('CurrentPor-LH=20 unchanged'!C253+'CurrentPor-LH=20 unchanged'!G253)/100)+103/POWER(1+('CurrentPor-LH=20 unchanged'!D253+'CurrentPor-LH=20 unchanged'!G253)/100,2))*100</f>
        <v>9614.9673582483465</v>
      </c>
      <c r="D253">
        <f>(3/(1+('CurrentPor-LH=20 unchanged'!C253+'CurrentPor-LH=20 unchanged'!H253)/100)+103/POWER(1+('CurrentPor-LH=20 unchanged'!D253+'CurrentPor-LH=20 unchanged'!H253)/100,2))*100</f>
        <v>9609.5384354515227</v>
      </c>
      <c r="E253">
        <f>(3/(1+('CurrentPor-LH=20 unchanged'!C253+'CurrentPor-LH=20 unchanged'!I253)/100)+103/POWER(1+('CurrentPor-LH=20 unchanged'!D253+'CurrentPor-LH=20 unchanged'!I253)/100,2))*100</f>
        <v>9585.8814055839593</v>
      </c>
      <c r="F253">
        <f>Portfolio!B$5*'CurrentPor-LH=20 unchanged'!E253</f>
        <v>52143.895533915893</v>
      </c>
      <c r="G253">
        <f>Portfolio!B$6*'CurrentPor-LH=20 unchanged'!F253</f>
        <v>3696.2945087936532</v>
      </c>
      <c r="H253">
        <f>Portfolio!B$7*'CurrentPor-LH=20 unchanged'!J253</f>
        <v>2148.0998964419859</v>
      </c>
      <c r="I253">
        <f t="shared" si="6"/>
        <v>96506.262915864194</v>
      </c>
      <c r="J253">
        <f t="shared" si="7"/>
        <v>20.340781154649449</v>
      </c>
    </row>
    <row r="254" spans="1:10">
      <c r="A254" s="1">
        <v>45825</v>
      </c>
      <c r="B254">
        <f>(3/(1+('CurrentPor-LH=20 unchanged'!C254)/100)+103/POWER(1+('CurrentPor-LH=20 unchanged'!D254)/100,2))*100</f>
        <v>9707.5857774288397</v>
      </c>
      <c r="C254">
        <f>(3/(1+('CurrentPor-LH=20 unchanged'!C254+'CurrentPor-LH=20 unchanged'!G254)/100)+103/POWER(1+('CurrentPor-LH=20 unchanged'!D254+'CurrentPor-LH=20 unchanged'!G254)/100,2))*100</f>
        <v>9614.9673582483465</v>
      </c>
      <c r="D254">
        <f>(3/(1+('CurrentPor-LH=20 unchanged'!C254+'CurrentPor-LH=20 unchanged'!H254)/100)+103/POWER(1+('CurrentPor-LH=20 unchanged'!D254+'CurrentPor-LH=20 unchanged'!H254)/100,2))*100</f>
        <v>9604.2406206722244</v>
      </c>
      <c r="E254">
        <f>(3/(1+('CurrentPor-LH=20 unchanged'!C254+'CurrentPor-LH=20 unchanged'!I254)/100)+103/POWER(1+('CurrentPor-LH=20 unchanged'!D254+'CurrentPor-LH=20 unchanged'!I254)/100,2))*100</f>
        <v>9588.5699250861398</v>
      </c>
      <c r="F254">
        <f>Portfolio!B$5*'CurrentPor-LH=20 unchanged'!E254</f>
        <v>52143.895533915893</v>
      </c>
      <c r="G254">
        <f>Portfolio!B$6*'CurrentPor-LH=20 unchanged'!F254</f>
        <v>3696.2945087936532</v>
      </c>
      <c r="H254">
        <f>Portfolio!B$7*'CurrentPor-LH=20 unchanged'!J254</f>
        <v>2148.0998964419859</v>
      </c>
      <c r="I254">
        <f t="shared" si="6"/>
        <v>96503.653620587094</v>
      </c>
      <c r="J254">
        <f t="shared" si="7"/>
        <v>8.6122653148631798</v>
      </c>
    </row>
    <row r="255" spans="1:10">
      <c r="A255" s="1">
        <v>45826</v>
      </c>
      <c r="B255">
        <f>(3/(1+('CurrentPor-LH=20 unchanged'!C255)/100)+103/POWER(1+('CurrentPor-LH=20 unchanged'!D255)/100,2))*100</f>
        <v>9707.5857774288397</v>
      </c>
      <c r="C255">
        <f>(3/(1+('CurrentPor-LH=20 unchanged'!C255+'CurrentPor-LH=20 unchanged'!G255)/100)+103/POWER(1+('CurrentPor-LH=20 unchanged'!D255+'CurrentPor-LH=20 unchanged'!G255)/100,2))*100</f>
        <v>9614.9673582483465</v>
      </c>
      <c r="D255">
        <f>(3/(1+('CurrentPor-LH=20 unchanged'!C255+'CurrentPor-LH=20 unchanged'!H255)/100)+103/POWER(1+('CurrentPor-LH=20 unchanged'!D255+'CurrentPor-LH=20 unchanged'!H255)/100,2))*100</f>
        <v>9588.4035454696404</v>
      </c>
      <c r="E255">
        <f>(3/(1+('CurrentPor-LH=20 unchanged'!C255+'CurrentPor-LH=20 unchanged'!I255)/100)+103/POWER(1+('CurrentPor-LH=20 unchanged'!D255+'CurrentPor-LH=20 unchanged'!I255)/100,2))*100</f>
        <v>9599.3574296519437</v>
      </c>
      <c r="F255">
        <f>Portfolio!B$5*'CurrentPor-LH=20 unchanged'!E255</f>
        <v>52143.895533915893</v>
      </c>
      <c r="G255">
        <f>Portfolio!B$6*'CurrentPor-LH=20 unchanged'!F255</f>
        <v>3696.2945087936532</v>
      </c>
      <c r="H255">
        <f>Portfolio!B$7*'CurrentPor-LH=20 unchanged'!J255</f>
        <v>2148.0998964419859</v>
      </c>
      <c r="I255">
        <f t="shared" si="6"/>
        <v>96498.6040499503</v>
      </c>
      <c r="J255">
        <f t="shared" si="7"/>
        <v>-1.4001311745378189</v>
      </c>
    </row>
    <row r="256" spans="1:10">
      <c r="A256" s="1">
        <v>45827</v>
      </c>
      <c r="B256">
        <f>(3/(1+('CurrentPor-LH=20 unchanged'!C256)/100)+103/POWER(1+('CurrentPor-LH=20 unchanged'!D256)/100,2))*100</f>
        <v>9707.5857774288397</v>
      </c>
      <c r="C256">
        <f>(3/(1+('CurrentPor-LH=20 unchanged'!C256+'CurrentPor-LH=20 unchanged'!G256)/100)+103/POWER(1+('CurrentPor-LH=20 unchanged'!D256+'CurrentPor-LH=20 unchanged'!G256)/100,2))*100</f>
        <v>9614.9673582483465</v>
      </c>
      <c r="D256">
        <f>(3/(1+('CurrentPor-LH=20 unchanged'!C256+'CurrentPor-LH=20 unchanged'!H256)/100)+103/POWER(1+('CurrentPor-LH=20 unchanged'!D256+'CurrentPor-LH=20 unchanged'!H256)/100,2))*100</f>
        <v>9603.4229415018126</v>
      </c>
      <c r="E256">
        <f>(3/(1+('CurrentPor-LH=20 unchanged'!C256+'CurrentPor-LH=20 unchanged'!I256)/100)+103/POWER(1+('CurrentPor-LH=20 unchanged'!D256+'CurrentPor-LH=20 unchanged'!I256)/100,2))*100</f>
        <v>9575.0325397319502</v>
      </c>
      <c r="F256">
        <f>Portfolio!B$5*'CurrentPor-LH=20 unchanged'!E256</f>
        <v>52143.895533915893</v>
      </c>
      <c r="G256">
        <f>Portfolio!B$6*'CurrentPor-LH=20 unchanged'!F256</f>
        <v>3696.2945087936532</v>
      </c>
      <c r="H256">
        <f>Portfolio!B$7*'CurrentPor-LH=20 unchanged'!J256</f>
        <v>2148.0998964419859</v>
      </c>
      <c r="I256">
        <f t="shared" si="6"/>
        <v>96489.29855606248</v>
      </c>
      <c r="J256">
        <f t="shared" si="7"/>
        <v>-2.7752025267109275</v>
      </c>
    </row>
    <row r="257" spans="1:10">
      <c r="A257" s="1">
        <v>45828</v>
      </c>
      <c r="B257">
        <f>(3/(1+('CurrentPor-LH=20 unchanged'!C257)/100)+103/POWER(1+('CurrentPor-LH=20 unchanged'!D257)/100,2))*100</f>
        <v>9707.5857774288397</v>
      </c>
      <c r="C257">
        <f>(3/(1+('CurrentPor-LH=20 unchanged'!C257+'CurrentPor-LH=20 unchanged'!G257)/100)+103/POWER(1+('CurrentPor-LH=20 unchanged'!D257+'CurrentPor-LH=20 unchanged'!G257)/100,2))*100</f>
        <v>9614.9673582483465</v>
      </c>
      <c r="D257">
        <f>(3/(1+('CurrentPor-LH=20 unchanged'!C257+'CurrentPor-LH=20 unchanged'!H257)/100)+103/POWER(1+('CurrentPor-LH=20 unchanged'!D257+'CurrentPor-LH=20 unchanged'!H257)/100,2))*100</f>
        <v>9588.8351424397151</v>
      </c>
      <c r="E257">
        <f>(3/(1+('CurrentPor-LH=20 unchanged'!C257+'CurrentPor-LH=20 unchanged'!I257)/100)+103/POWER(1+('CurrentPor-LH=20 unchanged'!D257+'CurrentPor-LH=20 unchanged'!I257)/100,2))*100</f>
        <v>9588.4765331043127</v>
      </c>
      <c r="F257">
        <f>Portfolio!B$5*'CurrentPor-LH=20 unchanged'!E257</f>
        <v>52143.895533915893</v>
      </c>
      <c r="G257">
        <f>Portfolio!B$6*'CurrentPor-LH=20 unchanged'!F257</f>
        <v>3696.2945087936532</v>
      </c>
      <c r="H257">
        <f>Portfolio!B$7*'CurrentPor-LH=20 unchanged'!J257</f>
        <v>2148.0998964419859</v>
      </c>
      <c r="I257">
        <f t="shared" si="6"/>
        <v>96488.154750372734</v>
      </c>
      <c r="J257">
        <f t="shared" si="7"/>
        <v>-20.291194080520654</v>
      </c>
    </row>
    <row r="258" spans="1:10">
      <c r="A258" s="1">
        <v>45831</v>
      </c>
      <c r="B258">
        <f>(3/(1+('CurrentPor-LH=20 unchanged'!C258)/100)+103/POWER(1+('CurrentPor-LH=20 unchanged'!D258)/100,2))*100</f>
        <v>9707.5857774288397</v>
      </c>
      <c r="C258">
        <f>(3/(1+('CurrentPor-LH=20 unchanged'!C258+'CurrentPor-LH=20 unchanged'!G258)/100)+103/POWER(1+('CurrentPor-LH=20 unchanged'!D258+'CurrentPor-LH=20 unchanged'!G258)/100,2))*100</f>
        <v>9614.9673582483465</v>
      </c>
      <c r="D258">
        <f>(3/(1+('CurrentPor-LH=20 unchanged'!C258+'CurrentPor-LH=20 unchanged'!H258)/100)+103/POWER(1+('CurrentPor-LH=20 unchanged'!D258+'CurrentPor-LH=20 unchanged'!H258)/100,2))*100</f>
        <v>9607.1313346841762</v>
      </c>
      <c r="E258">
        <f>(3/(1+('CurrentPor-LH=20 unchanged'!C258+'CurrentPor-LH=20 unchanged'!I258)/100)+103/POWER(1+('CurrentPor-LH=20 unchanged'!D258+'CurrentPor-LH=20 unchanged'!I258)/100,2))*100</f>
        <v>9566.6513597430076</v>
      </c>
      <c r="F258">
        <f>Portfolio!B$5*'CurrentPor-LH=20 unchanged'!E258</f>
        <v>52143.895533915893</v>
      </c>
      <c r="G258">
        <f>Portfolio!B$6*'CurrentPor-LH=20 unchanged'!F258</f>
        <v>3696.2945087936532</v>
      </c>
      <c r="H258">
        <f>Portfolio!B$7*'CurrentPor-LH=20 unchanged'!J258</f>
        <v>2148.0998964419859</v>
      </c>
      <c r="I258">
        <f t="shared" si="6"/>
        <v>96484.625769255901</v>
      </c>
      <c r="J258">
        <f t="shared" si="7"/>
        <v>-16.489955096825724</v>
      </c>
    </row>
    <row r="259" spans="1:10">
      <c r="A259" s="1">
        <v>45832</v>
      </c>
      <c r="B259">
        <f>(3/(1+('CurrentPor-LH=20 unchanged'!C259)/100)+103/POWER(1+('CurrentPor-LH=20 unchanged'!D259)/100,2))*100</f>
        <v>9707.5857774288397</v>
      </c>
      <c r="C259">
        <f>(3/(1+('CurrentPor-LH=20 unchanged'!C259+'CurrentPor-LH=20 unchanged'!G259)/100)+103/POWER(1+('CurrentPor-LH=20 unchanged'!D259+'CurrentPor-LH=20 unchanged'!G259)/100,2))*100</f>
        <v>9614.9673582483465</v>
      </c>
      <c r="D259">
        <f>(3/(1+('CurrentPor-LH=20 unchanged'!C259+'CurrentPor-LH=20 unchanged'!H259)/100)+103/POWER(1+('CurrentPor-LH=20 unchanged'!D259+'CurrentPor-LH=20 unchanged'!H259)/100,2))*100</f>
        <v>9598.2751818665038</v>
      </c>
      <c r="E259">
        <f>(3/(1+('CurrentPor-LH=20 unchanged'!C259+'CurrentPor-LH=20 unchanged'!I259)/100)+103/POWER(1+('CurrentPor-LH=20 unchanged'!D259+'CurrentPor-LH=20 unchanged'!I259)/100,2))*100</f>
        <v>9567.6461248609321</v>
      </c>
      <c r="F259">
        <f>Portfolio!B$5*'CurrentPor-LH=20 unchanged'!E259</f>
        <v>52143.895533915893</v>
      </c>
      <c r="G259">
        <f>Portfolio!B$6*'CurrentPor-LH=20 unchanged'!F259</f>
        <v>3696.2945087936532</v>
      </c>
      <c r="H259">
        <f>Portfolio!B$7*'CurrentPor-LH=20 unchanged'!J259</f>
        <v>2148.0998964419859</v>
      </c>
      <c r="I259">
        <f t="shared" si="6"/>
        <v>96476.764381556146</v>
      </c>
      <c r="J259">
        <f t="shared" si="7"/>
        <v>-28.537555058952421</v>
      </c>
    </row>
    <row r="260" spans="1:10">
      <c r="A260" s="1">
        <v>45833</v>
      </c>
      <c r="B260">
        <f>(3/(1+('CurrentPor-LH=20 unchanged'!C260)/100)+103/POWER(1+('CurrentPor-LH=20 unchanged'!D260)/100,2))*100</f>
        <v>9707.5857774288397</v>
      </c>
      <c r="C260">
        <f>(3/(1+('CurrentPor-LH=20 unchanged'!C260+'CurrentPor-LH=20 unchanged'!G260)/100)+103/POWER(1+('CurrentPor-LH=20 unchanged'!D260+'CurrentPor-LH=20 unchanged'!G260)/100,2))*100</f>
        <v>9614.9673582483465</v>
      </c>
      <c r="D260">
        <f>(3/(1+('CurrentPor-LH=20 unchanged'!C260+'CurrentPor-LH=20 unchanged'!H260)/100)+103/POWER(1+('CurrentPor-LH=20 unchanged'!D260+'CurrentPor-LH=20 unchanged'!H260)/100,2))*100</f>
        <v>9593.4446853727804</v>
      </c>
      <c r="E260">
        <f>(3/(1+('CurrentPor-LH=20 unchanged'!C260+'CurrentPor-LH=20 unchanged'!I260)/100)+103/POWER(1+('CurrentPor-LH=20 unchanged'!D260+'CurrentPor-LH=20 unchanged'!I260)/100,2))*100</f>
        <v>9576.146416414138</v>
      </c>
      <c r="F260">
        <f>Portfolio!B$5*'CurrentPor-LH=20 unchanged'!E260</f>
        <v>52143.895533915893</v>
      </c>
      <c r="G260">
        <f>Portfolio!B$6*'CurrentPor-LH=20 unchanged'!F260</f>
        <v>3696.2945087936532</v>
      </c>
      <c r="H260">
        <f>Portfolio!B$7*'CurrentPor-LH=20 unchanged'!J260</f>
        <v>2148.0998964419859</v>
      </c>
      <c r="I260">
        <f t="shared" ref="I260:I263" si="8">SUM(B260:H260)</f>
        <v>96480.434176615629</v>
      </c>
      <c r="J260">
        <f t="shared" si="7"/>
        <v>2.0033719379862305</v>
      </c>
    </row>
    <row r="261" spans="1:10">
      <c r="A261" s="1">
        <v>45834</v>
      </c>
      <c r="B261">
        <f>(3/(1+('CurrentPor-LH=20 unchanged'!C261)/100)+103/POWER(1+('CurrentPor-LH=20 unchanged'!D261)/100,2))*100</f>
        <v>9707.5857774288397</v>
      </c>
      <c r="C261">
        <f>(3/(1+('CurrentPor-LH=20 unchanged'!C261+'CurrentPor-LH=20 unchanged'!G261)/100)+103/POWER(1+('CurrentPor-LH=20 unchanged'!D261+'CurrentPor-LH=20 unchanged'!G261)/100,2))*100</f>
        <v>9614.9673582483465</v>
      </c>
      <c r="D261">
        <f>(3/(1+('CurrentPor-LH=20 unchanged'!C261+'CurrentPor-LH=20 unchanged'!H261)/100)+103/POWER(1+('CurrentPor-LH=20 unchanged'!D261+'CurrentPor-LH=20 unchanged'!H261)/100,2))*100</f>
        <v>9589.7878952367464</v>
      </c>
      <c r="E261">
        <f>(3/(1+('CurrentPor-LH=20 unchanged'!C261+'CurrentPor-LH=20 unchanged'!I261)/100)+103/POWER(1+('CurrentPor-LH=20 unchanged'!D261+'CurrentPor-LH=20 unchanged'!I261)/100,2))*100</f>
        <v>9597.7681175900307</v>
      </c>
      <c r="F261">
        <f>Portfolio!B$5*'CurrentPor-LH=20 unchanged'!E261</f>
        <v>52143.895533915893</v>
      </c>
      <c r="G261">
        <f>Portfolio!B$6*'CurrentPor-LH=20 unchanged'!F261</f>
        <v>3696.2945087936532</v>
      </c>
      <c r="H261">
        <f>Portfolio!B$7*'CurrentPor-LH=20 unchanged'!J261</f>
        <v>2148.0998964419859</v>
      </c>
      <c r="I261">
        <f t="shared" si="8"/>
        <v>96498.399087655489</v>
      </c>
      <c r="J261">
        <f t="shared" si="7"/>
        <v>-10.93345989275258</v>
      </c>
    </row>
    <row r="262" spans="1:10">
      <c r="A262" s="1">
        <v>45835</v>
      </c>
      <c r="B262">
        <f>(3/(1+('CurrentPor-LH=20 unchanged'!C262)/100)+103/POWER(1+('CurrentPor-LH=20 unchanged'!D262)/100,2))*100</f>
        <v>9707.5857774288397</v>
      </c>
      <c r="C262">
        <f>(3/(1+('CurrentPor-LH=20 unchanged'!C262+'CurrentPor-LH=20 unchanged'!G262)/100)+103/POWER(1+('CurrentPor-LH=20 unchanged'!D262+'CurrentPor-LH=20 unchanged'!G262)/100,2))*100</f>
        <v>9614.9673582483465</v>
      </c>
      <c r="D262">
        <f>(3/(1+('CurrentPor-LH=20 unchanged'!C262+'CurrentPor-LH=20 unchanged'!H262)/100)+103/POWER(1+('CurrentPor-LH=20 unchanged'!D262+'CurrentPor-LH=20 unchanged'!H262)/100,2))*100</f>
        <v>9572.2538466841106</v>
      </c>
      <c r="E262">
        <f>(3/(1+('CurrentPor-LH=20 unchanged'!C262+'CurrentPor-LH=20 unchanged'!I262)/100)+103/POWER(1+('CurrentPor-LH=20 unchanged'!D262+'CurrentPor-LH=20 unchanged'!I262)/100,2))*100</f>
        <v>9581.1661296490092</v>
      </c>
      <c r="F262">
        <f>Portfolio!B$5*'CurrentPor-LH=20 unchanged'!E262</f>
        <v>52143.895533915893</v>
      </c>
      <c r="G262">
        <f>Portfolio!B$6*'CurrentPor-LH=20 unchanged'!F262</f>
        <v>3696.2945087936532</v>
      </c>
      <c r="H262">
        <f>Portfolio!B$7*'CurrentPor-LH=20 unchanged'!J262</f>
        <v>2148.0998964419859</v>
      </c>
      <c r="I262">
        <f t="shared" si="8"/>
        <v>96464.263051161848</v>
      </c>
      <c r="J262">
        <f t="shared" si="7"/>
        <v>-42.887813182314858</v>
      </c>
    </row>
    <row r="263" spans="1:10">
      <c r="A263" s="1">
        <v>45838</v>
      </c>
      <c r="B263">
        <f>(3/(1+('CurrentPor-LH=20 unchanged'!C263)/100)+103/POWER(1+('CurrentPor-LH=20 unchanged'!D263)/100,2))*100</f>
        <v>9707.5857774288397</v>
      </c>
      <c r="C263">
        <f>(3/(1+('CurrentPor-LH=20 unchanged'!C263+'CurrentPor-LH=20 unchanged'!G263)/100)+103/POWER(1+('CurrentPor-LH=20 unchanged'!D263+'CurrentPor-LH=20 unchanged'!G263)/100,2))*100</f>
        <v>9614.9673582483465</v>
      </c>
      <c r="D263">
        <f>(3/(1+('CurrentPor-LH=20 unchanged'!C263+'CurrentPor-LH=20 unchanged'!H263)/100)+103/POWER(1+('CurrentPor-LH=20 unchanged'!D263+'CurrentPor-LH=20 unchanged'!H263)/100,2))*100</f>
        <v>9591.1646952462615</v>
      </c>
      <c r="E263">
        <f>(3/(1+('CurrentPor-LH=20 unchanged'!C263+'CurrentPor-LH=20 unchanged'!I263)/100)+103/POWER(1+('CurrentPor-LH=20 unchanged'!D263+'CurrentPor-LH=20 unchanged'!I263)/100,2))*100</f>
        <v>9593.7302485209475</v>
      </c>
      <c r="F263">
        <f>Portfolio!B$5*'CurrentPor-LH=20 unchanged'!E263</f>
        <v>52143.895533915893</v>
      </c>
      <c r="G263">
        <f>Portfolio!B$6*'CurrentPor-LH=20 unchanged'!F263</f>
        <v>3696.2945087936532</v>
      </c>
      <c r="H263">
        <f>Portfolio!B$7*'CurrentPor-LH=20 unchanged'!J263</f>
        <v>2148.0998964419859</v>
      </c>
      <c r="I263">
        <f t="shared" si="8"/>
        <v>96495.738018595919</v>
      </c>
      <c r="J263">
        <f t="shared" si="7"/>
        <v>-10.524897268274799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1BFC-240E-4A41-A1BE-8EB3739AFF06}">
  <dimension ref="A1:L263"/>
  <sheetViews>
    <sheetView topLeftCell="C1" workbookViewId="0">
      <selection activeCell="B3" sqref="B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(3/(1+('CurrentPor-LH=40 unchanged'!C3)/100)+103/POWER(1+('CurrentPor-LH=40 unchanged'!D3)/100,2))*100</f>
        <v>9707.5857774288397</v>
      </c>
      <c r="C3">
        <f>(3/(1+('CurrentPor-LH=40 unchanged'!C3+'CurrentPor-LH=40 unchanged'!G3)/100)+103/POWER(1+('CurrentPor-LH=40 unchanged'!D3+'CurrentPor-LH=40 unchanged'!G3)/100,2))*100</f>
        <v>9614.9673582483465</v>
      </c>
      <c r="D3">
        <f>(3/(1+('CurrentPor-LH=40 unchanged'!C3+'CurrentPor-LH=40 unchanged'!H3)/100)+103/POWER(1+('CurrentPor-LH=40 unchanged'!D3+'CurrentPor-LH=40 unchanged'!H3)/100,2))*100</f>
        <v>9601.2395558122898</v>
      </c>
      <c r="E3">
        <f>(3/(1+('CurrentPor-LH=40 unchanged'!C3+'CurrentPor-LH=40 unchanged'!I3)/100)+103/POWER(1+('CurrentPor-LH=40 unchanged'!D3+'CurrentPor-LH=40 unchanged'!I3)/100,2))*100</f>
        <v>9575.1589567325373</v>
      </c>
      <c r="F3">
        <f>Portfolio!B$5*'CurrentPor-LH=40 unchanged'!E3</f>
        <v>52143.895533915893</v>
      </c>
      <c r="G3">
        <f>Portfolio!B$6*'CurrentPor-LH=40 unchanged'!F3</f>
        <v>3696.2945087936532</v>
      </c>
      <c r="H3">
        <f>Portfolio!B$7*'CurrentPor-LH=40 unchanged'!J3</f>
        <v>2148.0998964419859</v>
      </c>
      <c r="I3">
        <f>SUM(B3:H3)</f>
        <v>96487.241587373544</v>
      </c>
      <c r="K3" s="8">
        <f>_xlfn.PERCENTILE.INC(J13:J263, 0.025)</f>
        <v>-34.154872282375436</v>
      </c>
      <c r="L3">
        <f>AVERAGEIF(J13:J263, "&lt;="&amp;K3,J13:J263)</f>
        <v>-40.406924823978834</v>
      </c>
    </row>
    <row r="4" spans="1:12">
      <c r="A4" s="1">
        <v>45475</v>
      </c>
      <c r="B4">
        <f>(3/(1+('CurrentPor-LH=40 unchanged'!C4)/100)+103/POWER(1+('CurrentPor-LH=40 unchanged'!D4)/100,2))*100</f>
        <v>9707.5857774288397</v>
      </c>
      <c r="C4">
        <f>(3/(1+('CurrentPor-LH=40 unchanged'!C4+'CurrentPor-LH=40 unchanged'!G4)/100)+103/POWER(1+('CurrentPor-LH=40 unchanged'!D4+'CurrentPor-LH=40 unchanged'!G4)/100,2))*100</f>
        <v>9614.9673582483465</v>
      </c>
      <c r="D4">
        <f>(3/(1+('CurrentPor-LH=40 unchanged'!C4+'CurrentPor-LH=40 unchanged'!H4)/100)+103/POWER(1+('CurrentPor-LH=40 unchanged'!D4+'CurrentPor-LH=40 unchanged'!H4)/100,2))*100</f>
        <v>9601.2395558122898</v>
      </c>
      <c r="E4">
        <f>(3/(1+('CurrentPor-LH=40 unchanged'!C4+'CurrentPor-LH=40 unchanged'!I4)/100)+103/POWER(1+('CurrentPor-LH=40 unchanged'!D4+'CurrentPor-LH=40 unchanged'!I4)/100,2))*100</f>
        <v>9608.173991835838</v>
      </c>
      <c r="F4">
        <f>Portfolio!B$5*'CurrentPor-LH=40 unchanged'!E4</f>
        <v>52143.895533915893</v>
      </c>
      <c r="G4">
        <f>Portfolio!B$6*'CurrentPor-LH=40 unchanged'!F4</f>
        <v>3696.2945087936532</v>
      </c>
      <c r="H4">
        <f>Portfolio!B$7*'CurrentPor-LH=40 unchanged'!J4</f>
        <v>2148.0998964419859</v>
      </c>
      <c r="I4">
        <f t="shared" ref="I4:I67" si="0">SUM(B4:H4)</f>
        <v>96520.256622476838</v>
      </c>
    </row>
    <row r="5" spans="1:12">
      <c r="A5" s="1">
        <v>45476</v>
      </c>
      <c r="B5">
        <f>(3/(1+('CurrentPor-LH=40 unchanged'!C5)/100)+103/POWER(1+('CurrentPor-LH=40 unchanged'!D5)/100,2))*100</f>
        <v>9707.5857774288397</v>
      </c>
      <c r="C5">
        <f>(3/(1+('CurrentPor-LH=40 unchanged'!C5+'CurrentPor-LH=40 unchanged'!G5)/100)+103/POWER(1+('CurrentPor-LH=40 unchanged'!D5+'CurrentPor-LH=40 unchanged'!G5)/100,2))*100</f>
        <v>9614.9673582483465</v>
      </c>
      <c r="D5">
        <f>(3/(1+('CurrentPor-LH=40 unchanged'!C5+'CurrentPor-LH=40 unchanged'!H5)/100)+103/POWER(1+('CurrentPor-LH=40 unchanged'!D5+'CurrentPor-LH=40 unchanged'!H5)/100,2))*100</f>
        <v>9601.2395558122898</v>
      </c>
      <c r="E5">
        <f>(3/(1+('CurrentPor-LH=40 unchanged'!C5+'CurrentPor-LH=40 unchanged'!I5)/100)+103/POWER(1+('CurrentPor-LH=40 unchanged'!D5+'CurrentPor-LH=40 unchanged'!I5)/100,2))*100</f>
        <v>9571.7256625780628</v>
      </c>
      <c r="F5">
        <f>Portfolio!B$5*'CurrentPor-LH=40 unchanged'!E5</f>
        <v>52143.895533915893</v>
      </c>
      <c r="G5">
        <f>Portfolio!B$6*'CurrentPor-LH=40 unchanged'!F5</f>
        <v>3696.2945087936532</v>
      </c>
      <c r="H5">
        <f>Portfolio!B$7*'CurrentPor-LH=40 unchanged'!J5</f>
        <v>2148.0998964419859</v>
      </c>
      <c r="I5">
        <f t="shared" si="0"/>
        <v>96483.808293219074</v>
      </c>
    </row>
    <row r="6" spans="1:12">
      <c r="A6" s="1">
        <v>45477</v>
      </c>
      <c r="B6">
        <f>(3/(1+('CurrentPor-LH=40 unchanged'!C6)/100)+103/POWER(1+('CurrentPor-LH=40 unchanged'!D6)/100,2))*100</f>
        <v>9707.5857774288397</v>
      </c>
      <c r="C6">
        <f>(3/(1+('CurrentPor-LH=40 unchanged'!C6+'CurrentPor-LH=40 unchanged'!G6)/100)+103/POWER(1+('CurrentPor-LH=40 unchanged'!D6+'CurrentPor-LH=40 unchanged'!G6)/100,2))*100</f>
        <v>9614.9673582483465</v>
      </c>
      <c r="D6">
        <f>(3/(1+('CurrentPor-LH=40 unchanged'!C6+'CurrentPor-LH=40 unchanged'!H6)/100)+103/POWER(1+('CurrentPor-LH=40 unchanged'!D6+'CurrentPor-LH=40 unchanged'!H6)/100,2))*100</f>
        <v>9601.2395558122898</v>
      </c>
      <c r="E6">
        <f>(3/(1+('CurrentPor-LH=40 unchanged'!C6+'CurrentPor-LH=40 unchanged'!I6)/100)+103/POWER(1+('CurrentPor-LH=40 unchanged'!D6+'CurrentPor-LH=40 unchanged'!I6)/100,2))*100</f>
        <v>9573.1692951556051</v>
      </c>
      <c r="F6">
        <f>Portfolio!B$5*'CurrentPor-LH=40 unchanged'!E6</f>
        <v>52143.895533915893</v>
      </c>
      <c r="G6">
        <f>Portfolio!B$6*'CurrentPor-LH=40 unchanged'!F6</f>
        <v>3696.2945087936532</v>
      </c>
      <c r="H6">
        <f>Portfolio!B$7*'CurrentPor-LH=40 unchanged'!J6</f>
        <v>2148.0998964419859</v>
      </c>
      <c r="I6">
        <f t="shared" si="0"/>
        <v>96485.251925796605</v>
      </c>
    </row>
    <row r="7" spans="1:12">
      <c r="A7" s="1">
        <v>45478</v>
      </c>
      <c r="B7">
        <f>(3/(1+('CurrentPor-LH=40 unchanged'!C7)/100)+103/POWER(1+('CurrentPor-LH=40 unchanged'!D7)/100,2))*100</f>
        <v>9707.5857774288397</v>
      </c>
      <c r="C7">
        <f>(3/(1+('CurrentPor-LH=40 unchanged'!C7+'CurrentPor-LH=40 unchanged'!G7)/100)+103/POWER(1+('CurrentPor-LH=40 unchanged'!D7+'CurrentPor-LH=40 unchanged'!G7)/100,2))*100</f>
        <v>9614.9673582483465</v>
      </c>
      <c r="D7">
        <f>(3/(1+('CurrentPor-LH=40 unchanged'!C7+'CurrentPor-LH=40 unchanged'!H7)/100)+103/POWER(1+('CurrentPor-LH=40 unchanged'!D7+'CurrentPor-LH=40 unchanged'!H7)/100,2))*100</f>
        <v>9601.2395558122898</v>
      </c>
      <c r="E7">
        <f>(3/(1+('CurrentPor-LH=40 unchanged'!C7+'CurrentPor-LH=40 unchanged'!I7)/100)+103/POWER(1+('CurrentPor-LH=40 unchanged'!D7+'CurrentPor-LH=40 unchanged'!I7)/100,2))*100</f>
        <v>9599.2036041801457</v>
      </c>
      <c r="F7">
        <f>Portfolio!B$5*'CurrentPor-LH=40 unchanged'!E7</f>
        <v>52143.895533915893</v>
      </c>
      <c r="G7">
        <f>Portfolio!B$6*'CurrentPor-LH=40 unchanged'!F7</f>
        <v>3696.2945087936532</v>
      </c>
      <c r="H7">
        <f>Portfolio!B$7*'CurrentPor-LH=40 unchanged'!J7</f>
        <v>2148.0998964419859</v>
      </c>
      <c r="I7">
        <f t="shared" si="0"/>
        <v>96511.286234821149</v>
      </c>
    </row>
    <row r="8" spans="1:12">
      <c r="A8" s="1">
        <v>45481</v>
      </c>
      <c r="B8">
        <f>(3/(1+('CurrentPor-LH=40 unchanged'!C8)/100)+103/POWER(1+('CurrentPor-LH=40 unchanged'!D8)/100,2))*100</f>
        <v>9707.5857774288397</v>
      </c>
      <c r="C8">
        <f>(3/(1+('CurrentPor-LH=40 unchanged'!C8+'CurrentPor-LH=40 unchanged'!G8)/100)+103/POWER(1+('CurrentPor-LH=40 unchanged'!D8+'CurrentPor-LH=40 unchanged'!G8)/100,2))*100</f>
        <v>9614.9673582483465</v>
      </c>
      <c r="D8">
        <f>(3/(1+('CurrentPor-LH=40 unchanged'!C8+'CurrentPor-LH=40 unchanged'!H8)/100)+103/POWER(1+('CurrentPor-LH=40 unchanged'!D8+'CurrentPor-LH=40 unchanged'!H8)/100,2))*100</f>
        <v>9601.2395558122898</v>
      </c>
      <c r="E8">
        <f>(3/(1+('CurrentPor-LH=40 unchanged'!C8+'CurrentPor-LH=40 unchanged'!I8)/100)+103/POWER(1+('CurrentPor-LH=40 unchanged'!D8+'CurrentPor-LH=40 unchanged'!I8)/100,2))*100</f>
        <v>9583.7286656073411</v>
      </c>
      <c r="F8">
        <f>Portfolio!B$5*'CurrentPor-LH=40 unchanged'!E8</f>
        <v>52143.895533915893</v>
      </c>
      <c r="G8">
        <f>Portfolio!B$6*'CurrentPor-LH=40 unchanged'!F8</f>
        <v>3696.2945087936532</v>
      </c>
      <c r="H8">
        <f>Portfolio!B$7*'CurrentPor-LH=40 unchanged'!J8</f>
        <v>2148.0998964419859</v>
      </c>
      <c r="I8">
        <f t="shared" si="0"/>
        <v>96495.811296248357</v>
      </c>
    </row>
    <row r="9" spans="1:12">
      <c r="A9" s="1">
        <v>45482</v>
      </c>
      <c r="B9">
        <f>(3/(1+('CurrentPor-LH=40 unchanged'!C9)/100)+103/POWER(1+('CurrentPor-LH=40 unchanged'!D9)/100,2))*100</f>
        <v>9707.5857774288397</v>
      </c>
      <c r="C9">
        <f>(3/(1+('CurrentPor-LH=40 unchanged'!C9+'CurrentPor-LH=40 unchanged'!G9)/100)+103/POWER(1+('CurrentPor-LH=40 unchanged'!D9+'CurrentPor-LH=40 unchanged'!G9)/100,2))*100</f>
        <v>9614.9673582483465</v>
      </c>
      <c r="D9">
        <f>(3/(1+('CurrentPor-LH=40 unchanged'!C9+'CurrentPor-LH=40 unchanged'!H9)/100)+103/POWER(1+('CurrentPor-LH=40 unchanged'!D9+'CurrentPor-LH=40 unchanged'!H9)/100,2))*100</f>
        <v>9601.2395558122898</v>
      </c>
      <c r="E9">
        <f>(3/(1+('CurrentPor-LH=40 unchanged'!C9+'CurrentPor-LH=40 unchanged'!I9)/100)+103/POWER(1+('CurrentPor-LH=40 unchanged'!D9+'CurrentPor-LH=40 unchanged'!I9)/100,2))*100</f>
        <v>9584.4408794337596</v>
      </c>
      <c r="F9">
        <f>Portfolio!B$5*'CurrentPor-LH=40 unchanged'!E9</f>
        <v>52143.895533915893</v>
      </c>
      <c r="G9">
        <f>Portfolio!B$6*'CurrentPor-LH=40 unchanged'!F9</f>
        <v>3696.2945087936532</v>
      </c>
      <c r="H9">
        <f>Portfolio!B$7*'CurrentPor-LH=40 unchanged'!J9</f>
        <v>2148.0998964419859</v>
      </c>
      <c r="I9">
        <f t="shared" si="0"/>
        <v>96496.523510074767</v>
      </c>
    </row>
    <row r="10" spans="1:12">
      <c r="A10" s="1">
        <v>45483</v>
      </c>
      <c r="B10">
        <f>(3/(1+('CurrentPor-LH=40 unchanged'!C10)/100)+103/POWER(1+('CurrentPor-LH=40 unchanged'!D10)/100,2))*100</f>
        <v>9707.5857774288397</v>
      </c>
      <c r="C10">
        <f>(3/(1+('CurrentPor-LH=40 unchanged'!C10+'CurrentPor-LH=40 unchanged'!G10)/100)+103/POWER(1+('CurrentPor-LH=40 unchanged'!D10+'CurrentPor-LH=40 unchanged'!G10)/100,2))*100</f>
        <v>9614.9673582483465</v>
      </c>
      <c r="D10">
        <f>(3/(1+('CurrentPor-LH=40 unchanged'!C10+'CurrentPor-LH=40 unchanged'!H10)/100)+103/POWER(1+('CurrentPor-LH=40 unchanged'!D10+'CurrentPor-LH=40 unchanged'!H10)/100,2))*100</f>
        <v>9601.2395558122898</v>
      </c>
      <c r="E10">
        <f>(3/(1+('CurrentPor-LH=40 unchanged'!C10+'CurrentPor-LH=40 unchanged'!I10)/100)+103/POWER(1+('CurrentPor-LH=40 unchanged'!D10+'CurrentPor-LH=40 unchanged'!I10)/100,2))*100</f>
        <v>9581.614250157294</v>
      </c>
      <c r="F10">
        <f>Portfolio!B$5*'CurrentPor-LH=40 unchanged'!E10</f>
        <v>52143.895533915893</v>
      </c>
      <c r="G10">
        <f>Portfolio!B$6*'CurrentPor-LH=40 unchanged'!F10</f>
        <v>3696.2945087936532</v>
      </c>
      <c r="H10">
        <f>Portfolio!B$7*'CurrentPor-LH=40 unchanged'!J10</f>
        <v>2148.0998964419859</v>
      </c>
      <c r="I10">
        <f t="shared" si="0"/>
        <v>96493.696880798307</v>
      </c>
    </row>
    <row r="11" spans="1:12">
      <c r="A11" s="1">
        <v>45484</v>
      </c>
      <c r="B11">
        <f>(3/(1+('CurrentPor-LH=40 unchanged'!C11)/100)+103/POWER(1+('CurrentPor-LH=40 unchanged'!D11)/100,2))*100</f>
        <v>9707.5857774288397</v>
      </c>
      <c r="C11">
        <f>(3/(1+('CurrentPor-LH=40 unchanged'!C11+'CurrentPor-LH=40 unchanged'!G11)/100)+103/POWER(1+('CurrentPor-LH=40 unchanged'!D11+'CurrentPor-LH=40 unchanged'!G11)/100,2))*100</f>
        <v>9614.9673582483465</v>
      </c>
      <c r="D11">
        <f>(3/(1+('CurrentPor-LH=40 unchanged'!C11+'CurrentPor-LH=40 unchanged'!H11)/100)+103/POWER(1+('CurrentPor-LH=40 unchanged'!D11+'CurrentPor-LH=40 unchanged'!H11)/100,2))*100</f>
        <v>9601.2395558122898</v>
      </c>
      <c r="E11">
        <f>(3/(1+('CurrentPor-LH=40 unchanged'!C11+'CurrentPor-LH=40 unchanged'!I11)/100)+103/POWER(1+('CurrentPor-LH=40 unchanged'!D11+'CurrentPor-LH=40 unchanged'!I11)/100,2))*100</f>
        <v>9583.1691170728209</v>
      </c>
      <c r="F11">
        <f>Portfolio!B$5*'CurrentPor-LH=40 unchanged'!E11</f>
        <v>52143.895533915893</v>
      </c>
      <c r="G11">
        <f>Portfolio!B$6*'CurrentPor-LH=40 unchanged'!F11</f>
        <v>3696.2945087936532</v>
      </c>
      <c r="H11">
        <f>Portfolio!B$7*'CurrentPor-LH=40 unchanged'!J11</f>
        <v>2148.0998964419859</v>
      </c>
      <c r="I11">
        <f t="shared" si="0"/>
        <v>96495.251747713832</v>
      </c>
    </row>
    <row r="12" spans="1:12">
      <c r="A12" s="1">
        <v>45485</v>
      </c>
      <c r="B12">
        <f>(3/(1+('CurrentPor-LH=40 unchanged'!C12)/100)+103/POWER(1+('CurrentPor-LH=40 unchanged'!D12)/100,2))*100</f>
        <v>9707.5857774288397</v>
      </c>
      <c r="C12">
        <f>(3/(1+('CurrentPor-LH=40 unchanged'!C12+'CurrentPor-LH=40 unchanged'!G12)/100)+103/POWER(1+('CurrentPor-LH=40 unchanged'!D12+'CurrentPor-LH=40 unchanged'!G12)/100,2))*100</f>
        <v>9614.9673582483465</v>
      </c>
      <c r="D12">
        <f>(3/(1+('CurrentPor-LH=40 unchanged'!C12+'CurrentPor-LH=40 unchanged'!H12)/100)+103/POWER(1+('CurrentPor-LH=40 unchanged'!D12+'CurrentPor-LH=40 unchanged'!H12)/100,2))*100</f>
        <v>9601.2395558122898</v>
      </c>
      <c r="E12">
        <f>(3/(1+('CurrentPor-LH=40 unchanged'!C12+'CurrentPor-LH=40 unchanged'!I12)/100)+103/POWER(1+('CurrentPor-LH=40 unchanged'!D12+'CurrentPor-LH=40 unchanged'!I12)/100,2))*100</f>
        <v>9571.1820794582345</v>
      </c>
      <c r="F12">
        <f>Portfolio!B$5*'CurrentPor-LH=40 unchanged'!E12</f>
        <v>52143.895533915893</v>
      </c>
      <c r="G12">
        <f>Portfolio!B$6*'CurrentPor-LH=40 unchanged'!F12</f>
        <v>3696.2945087936532</v>
      </c>
      <c r="H12">
        <f>Portfolio!B$7*'CurrentPor-LH=40 unchanged'!J12</f>
        <v>2148.0998964419859</v>
      </c>
      <c r="I12">
        <f t="shared" si="0"/>
        <v>96483.264710099247</v>
      </c>
    </row>
    <row r="13" spans="1:12">
      <c r="A13" s="1">
        <v>45488</v>
      </c>
      <c r="B13">
        <f>(3/(1+('CurrentPor-LH=40 unchanged'!C13)/100)+103/POWER(1+('CurrentPor-LH=40 unchanged'!D13)/100,2))*100</f>
        <v>9707.5857774288397</v>
      </c>
      <c r="C13">
        <f>(3/(1+('CurrentPor-LH=40 unchanged'!C13+'CurrentPor-LH=40 unchanged'!G13)/100)+103/POWER(1+('CurrentPor-LH=40 unchanged'!D13+'CurrentPor-LH=40 unchanged'!G13)/100,2))*100</f>
        <v>9614.9673582483465</v>
      </c>
      <c r="D13">
        <f>(3/(1+('CurrentPor-LH=40 unchanged'!C13+'CurrentPor-LH=40 unchanged'!H13)/100)+103/POWER(1+('CurrentPor-LH=40 unchanged'!D13+'CurrentPor-LH=40 unchanged'!H13)/100,2))*100</f>
        <v>9601.2395558122898</v>
      </c>
      <c r="E13">
        <f>(3/(1+('CurrentPor-LH=40 unchanged'!C13+'CurrentPor-LH=40 unchanged'!I13)/100)+103/POWER(1+('CurrentPor-LH=40 unchanged'!D13+'CurrentPor-LH=40 unchanged'!I13)/100,2))*100</f>
        <v>9585.2315882898347</v>
      </c>
      <c r="F13">
        <f>Portfolio!B$5*'CurrentPor-LH=40 unchanged'!E13</f>
        <v>52143.895533915893</v>
      </c>
      <c r="G13">
        <f>Portfolio!B$6*'CurrentPor-LH=40 unchanged'!F13</f>
        <v>3696.2945087936532</v>
      </c>
      <c r="H13">
        <f>Portfolio!B$7*'CurrentPor-LH=40 unchanged'!J13</f>
        <v>2148.0998964419859</v>
      </c>
      <c r="I13">
        <f t="shared" si="0"/>
        <v>96497.314218930842</v>
      </c>
      <c r="J13">
        <f>I13-I3</f>
        <v>10.072631557297427</v>
      </c>
    </row>
    <row r="14" spans="1:12">
      <c r="A14" s="1">
        <v>45489</v>
      </c>
      <c r="B14">
        <f>(3/(1+('CurrentPor-LH=40 unchanged'!C14)/100)+103/POWER(1+('CurrentPor-LH=40 unchanged'!D14)/100,2))*100</f>
        <v>9707.5857774288397</v>
      </c>
      <c r="C14">
        <f>(3/(1+('CurrentPor-LH=40 unchanged'!C14+'CurrentPor-LH=40 unchanged'!G14)/100)+103/POWER(1+('CurrentPor-LH=40 unchanged'!D14+'CurrentPor-LH=40 unchanged'!G14)/100,2))*100</f>
        <v>9614.9673582483465</v>
      </c>
      <c r="D14">
        <f>(3/(1+('CurrentPor-LH=40 unchanged'!C14+'CurrentPor-LH=40 unchanged'!H14)/100)+103/POWER(1+('CurrentPor-LH=40 unchanged'!D14+'CurrentPor-LH=40 unchanged'!H14)/100,2))*100</f>
        <v>9601.2395558122898</v>
      </c>
      <c r="E14">
        <f>(3/(1+('CurrentPor-LH=40 unchanged'!C14+'CurrentPor-LH=40 unchanged'!I14)/100)+103/POWER(1+('CurrentPor-LH=40 unchanged'!D14+'CurrentPor-LH=40 unchanged'!I14)/100,2))*100</f>
        <v>9589.7520846498719</v>
      </c>
      <c r="F14">
        <f>Portfolio!B$5*'CurrentPor-LH=40 unchanged'!E14</f>
        <v>52143.895533915893</v>
      </c>
      <c r="G14">
        <f>Portfolio!B$6*'CurrentPor-LH=40 unchanged'!F14</f>
        <v>3696.2945087936532</v>
      </c>
      <c r="H14">
        <f>Portfolio!B$7*'CurrentPor-LH=40 unchanged'!J14</f>
        <v>2148.0998964419859</v>
      </c>
      <c r="I14">
        <f t="shared" si="0"/>
        <v>96501.834715290883</v>
      </c>
      <c r="J14">
        <f t="shared" ref="J14:J77" si="1">I14-I4</f>
        <v>-18.421907185955206</v>
      </c>
    </row>
    <row r="15" spans="1:12">
      <c r="A15" s="1">
        <v>45490</v>
      </c>
      <c r="B15">
        <f>(3/(1+('CurrentPor-LH=40 unchanged'!C15)/100)+103/POWER(1+('CurrentPor-LH=40 unchanged'!D15)/100,2))*100</f>
        <v>9707.5857774288397</v>
      </c>
      <c r="C15">
        <f>(3/(1+('CurrentPor-LH=40 unchanged'!C15+'CurrentPor-LH=40 unchanged'!G15)/100)+103/POWER(1+('CurrentPor-LH=40 unchanged'!D15+'CurrentPor-LH=40 unchanged'!G15)/100,2))*100</f>
        <v>9614.9673582483465</v>
      </c>
      <c r="D15">
        <f>(3/(1+('CurrentPor-LH=40 unchanged'!C15+'CurrentPor-LH=40 unchanged'!H15)/100)+103/POWER(1+('CurrentPor-LH=40 unchanged'!D15+'CurrentPor-LH=40 unchanged'!H15)/100,2))*100</f>
        <v>9601.2395558122898</v>
      </c>
      <c r="E15">
        <f>(3/(1+('CurrentPor-LH=40 unchanged'!C15+'CurrentPor-LH=40 unchanged'!I15)/100)+103/POWER(1+('CurrentPor-LH=40 unchanged'!D15+'CurrentPor-LH=40 unchanged'!I15)/100,2))*100</f>
        <v>9586.7422146760127</v>
      </c>
      <c r="F15">
        <f>Portfolio!B$5*'CurrentPor-LH=40 unchanged'!E15</f>
        <v>52143.895533915893</v>
      </c>
      <c r="G15">
        <f>Portfolio!B$6*'CurrentPor-LH=40 unchanged'!F15</f>
        <v>3696.2945087936532</v>
      </c>
      <c r="H15">
        <f>Portfolio!B$7*'CurrentPor-LH=40 unchanged'!J15</f>
        <v>2148.0998964419859</v>
      </c>
      <c r="I15">
        <f t="shared" si="0"/>
        <v>96498.824845317024</v>
      </c>
      <c r="J15">
        <f t="shared" si="1"/>
        <v>15.016552097949898</v>
      </c>
    </row>
    <row r="16" spans="1:12">
      <c r="A16" s="1">
        <v>45491</v>
      </c>
      <c r="B16">
        <f>(3/(1+('CurrentPor-LH=40 unchanged'!C16)/100)+103/POWER(1+('CurrentPor-LH=40 unchanged'!D16)/100,2))*100</f>
        <v>9707.5857774288397</v>
      </c>
      <c r="C16">
        <f>(3/(1+('CurrentPor-LH=40 unchanged'!C16+'CurrentPor-LH=40 unchanged'!G16)/100)+103/POWER(1+('CurrentPor-LH=40 unchanged'!D16+'CurrentPor-LH=40 unchanged'!G16)/100,2))*100</f>
        <v>9614.9673582483465</v>
      </c>
      <c r="D16">
        <f>(3/(1+('CurrentPor-LH=40 unchanged'!C16+'CurrentPor-LH=40 unchanged'!H16)/100)+103/POWER(1+('CurrentPor-LH=40 unchanged'!D16+'CurrentPor-LH=40 unchanged'!H16)/100,2))*100</f>
        <v>9601.2395558122898</v>
      </c>
      <c r="E16">
        <f>(3/(1+('CurrentPor-LH=40 unchanged'!C16+'CurrentPor-LH=40 unchanged'!I16)/100)+103/POWER(1+('CurrentPor-LH=40 unchanged'!D16+'CurrentPor-LH=40 unchanged'!I16)/100,2))*100</f>
        <v>9583.5216954183179</v>
      </c>
      <c r="F16">
        <f>Portfolio!B$5*'CurrentPor-LH=40 unchanged'!E16</f>
        <v>52143.895533915893</v>
      </c>
      <c r="G16">
        <f>Portfolio!B$6*'CurrentPor-LH=40 unchanged'!F16</f>
        <v>3696.2945087936532</v>
      </c>
      <c r="H16">
        <f>Portfolio!B$7*'CurrentPor-LH=40 unchanged'!J16</f>
        <v>2148.0998964419859</v>
      </c>
      <c r="I16">
        <f t="shared" si="0"/>
        <v>96495.604326059329</v>
      </c>
      <c r="J16">
        <f t="shared" si="1"/>
        <v>10.352400262723677</v>
      </c>
    </row>
    <row r="17" spans="1:10">
      <c r="A17" s="1">
        <v>45492</v>
      </c>
      <c r="B17">
        <f>(3/(1+('CurrentPor-LH=40 unchanged'!C17)/100)+103/POWER(1+('CurrentPor-LH=40 unchanged'!D17)/100,2))*100</f>
        <v>9707.5857774288397</v>
      </c>
      <c r="C17">
        <f>(3/(1+('CurrentPor-LH=40 unchanged'!C17+'CurrentPor-LH=40 unchanged'!G17)/100)+103/POWER(1+('CurrentPor-LH=40 unchanged'!D17+'CurrentPor-LH=40 unchanged'!G17)/100,2))*100</f>
        <v>9614.9673582483465</v>
      </c>
      <c r="D17">
        <f>(3/(1+('CurrentPor-LH=40 unchanged'!C17+'CurrentPor-LH=40 unchanged'!H17)/100)+103/POWER(1+('CurrentPor-LH=40 unchanged'!D17+'CurrentPor-LH=40 unchanged'!H17)/100,2))*100</f>
        <v>9601.2395558122898</v>
      </c>
      <c r="E17">
        <f>(3/(1+('CurrentPor-LH=40 unchanged'!C17+'CurrentPor-LH=40 unchanged'!I17)/100)+103/POWER(1+('CurrentPor-LH=40 unchanged'!D17+'CurrentPor-LH=40 unchanged'!I17)/100,2))*100</f>
        <v>9573.6858060706818</v>
      </c>
      <c r="F17">
        <f>Portfolio!B$5*'CurrentPor-LH=40 unchanged'!E17</f>
        <v>52143.895533915893</v>
      </c>
      <c r="G17">
        <f>Portfolio!B$6*'CurrentPor-LH=40 unchanged'!F17</f>
        <v>3696.2945087936532</v>
      </c>
      <c r="H17">
        <f>Portfolio!B$7*'CurrentPor-LH=40 unchanged'!J17</f>
        <v>2148.0998964419859</v>
      </c>
      <c r="I17">
        <f t="shared" si="0"/>
        <v>96485.768436711689</v>
      </c>
      <c r="J17">
        <f t="shared" si="1"/>
        <v>-25.517798109460273</v>
      </c>
    </row>
    <row r="18" spans="1:10">
      <c r="A18" s="1">
        <v>45495</v>
      </c>
      <c r="B18">
        <f>(3/(1+('CurrentPor-LH=40 unchanged'!C18)/100)+103/POWER(1+('CurrentPor-LH=40 unchanged'!D18)/100,2))*100</f>
        <v>9707.5857774288397</v>
      </c>
      <c r="C18">
        <f>(3/(1+('CurrentPor-LH=40 unchanged'!C18+'CurrentPor-LH=40 unchanged'!G18)/100)+103/POWER(1+('CurrentPor-LH=40 unchanged'!D18+'CurrentPor-LH=40 unchanged'!G18)/100,2))*100</f>
        <v>9614.9673582483465</v>
      </c>
      <c r="D18">
        <f>(3/(1+('CurrentPor-LH=40 unchanged'!C18+'CurrentPor-LH=40 unchanged'!H18)/100)+103/POWER(1+('CurrentPor-LH=40 unchanged'!D18+'CurrentPor-LH=40 unchanged'!H18)/100,2))*100</f>
        <v>9601.2395558122898</v>
      </c>
      <c r="E18">
        <f>(3/(1+('CurrentPor-LH=40 unchanged'!C18+'CurrentPor-LH=40 unchanged'!I18)/100)+103/POWER(1+('CurrentPor-LH=40 unchanged'!D18+'CurrentPor-LH=40 unchanged'!I18)/100,2))*100</f>
        <v>9555.1196803116018</v>
      </c>
      <c r="F18">
        <f>Portfolio!B$5*'CurrentPor-LH=40 unchanged'!E18</f>
        <v>52143.895533915893</v>
      </c>
      <c r="G18">
        <f>Portfolio!B$6*'CurrentPor-LH=40 unchanged'!F18</f>
        <v>3696.2945087936532</v>
      </c>
      <c r="H18">
        <f>Portfolio!B$7*'CurrentPor-LH=40 unchanged'!J18</f>
        <v>2148.0998964419859</v>
      </c>
      <c r="I18">
        <f t="shared" si="0"/>
        <v>96467.202310952605</v>
      </c>
      <c r="J18">
        <f t="shared" si="1"/>
        <v>-28.608985295752063</v>
      </c>
    </row>
    <row r="19" spans="1:10">
      <c r="A19" s="1">
        <v>45496</v>
      </c>
      <c r="B19">
        <f>(3/(1+('CurrentPor-LH=40 unchanged'!C19)/100)+103/POWER(1+('CurrentPor-LH=40 unchanged'!D19)/100,2))*100</f>
        <v>9707.5857774288397</v>
      </c>
      <c r="C19">
        <f>(3/(1+('CurrentPor-LH=40 unchanged'!C19+'CurrentPor-LH=40 unchanged'!G19)/100)+103/POWER(1+('CurrentPor-LH=40 unchanged'!D19+'CurrentPor-LH=40 unchanged'!G19)/100,2))*100</f>
        <v>9614.9673582483465</v>
      </c>
      <c r="D19">
        <f>(3/(1+('CurrentPor-LH=40 unchanged'!C19+'CurrentPor-LH=40 unchanged'!H19)/100)+103/POWER(1+('CurrentPor-LH=40 unchanged'!D19+'CurrentPor-LH=40 unchanged'!H19)/100,2))*100</f>
        <v>9601.2395558122898</v>
      </c>
      <c r="E19">
        <f>(3/(1+('CurrentPor-LH=40 unchanged'!C19+'CurrentPor-LH=40 unchanged'!I19)/100)+103/POWER(1+('CurrentPor-LH=40 unchanged'!D19+'CurrentPor-LH=40 unchanged'!I19)/100,2))*100</f>
        <v>9576.8191548123305</v>
      </c>
      <c r="F19">
        <f>Portfolio!B$5*'CurrentPor-LH=40 unchanged'!E19</f>
        <v>52143.895533915893</v>
      </c>
      <c r="G19">
        <f>Portfolio!B$6*'CurrentPor-LH=40 unchanged'!F19</f>
        <v>3696.2945087936532</v>
      </c>
      <c r="H19">
        <f>Portfolio!B$7*'CurrentPor-LH=40 unchanged'!J19</f>
        <v>2148.0998964419859</v>
      </c>
      <c r="I19">
        <f t="shared" si="0"/>
        <v>96488.90178545333</v>
      </c>
      <c r="J19">
        <f t="shared" si="1"/>
        <v>-7.6217246214364422</v>
      </c>
    </row>
    <row r="20" spans="1:10">
      <c r="A20" s="1">
        <v>45497</v>
      </c>
      <c r="B20">
        <f>(3/(1+('CurrentPor-LH=40 unchanged'!C20)/100)+103/POWER(1+('CurrentPor-LH=40 unchanged'!D20)/100,2))*100</f>
        <v>9707.5857774288397</v>
      </c>
      <c r="C20">
        <f>(3/(1+('CurrentPor-LH=40 unchanged'!C20+'CurrentPor-LH=40 unchanged'!G20)/100)+103/POWER(1+('CurrentPor-LH=40 unchanged'!D20+'CurrentPor-LH=40 unchanged'!G20)/100,2))*100</f>
        <v>9614.9673582483465</v>
      </c>
      <c r="D20">
        <f>(3/(1+('CurrentPor-LH=40 unchanged'!C20+'CurrentPor-LH=40 unchanged'!H20)/100)+103/POWER(1+('CurrentPor-LH=40 unchanged'!D20+'CurrentPor-LH=40 unchanged'!H20)/100,2))*100</f>
        <v>9601.2395558122898</v>
      </c>
      <c r="E20">
        <f>(3/(1+('CurrentPor-LH=40 unchanged'!C20+'CurrentPor-LH=40 unchanged'!I20)/100)+103/POWER(1+('CurrentPor-LH=40 unchanged'!D20+'CurrentPor-LH=40 unchanged'!I20)/100,2))*100</f>
        <v>9588.418014477551</v>
      </c>
      <c r="F20">
        <f>Portfolio!B$5*'CurrentPor-LH=40 unchanged'!E20</f>
        <v>52143.895533915893</v>
      </c>
      <c r="G20">
        <f>Portfolio!B$6*'CurrentPor-LH=40 unchanged'!F20</f>
        <v>3696.2945087936532</v>
      </c>
      <c r="H20">
        <f>Portfolio!B$7*'CurrentPor-LH=40 unchanged'!J20</f>
        <v>2148.0998964419859</v>
      </c>
      <c r="I20">
        <f t="shared" si="0"/>
        <v>96500.500645118562</v>
      </c>
      <c r="J20">
        <f t="shared" si="1"/>
        <v>6.8037643202551408</v>
      </c>
    </row>
    <row r="21" spans="1:10">
      <c r="A21" s="1">
        <v>45498</v>
      </c>
      <c r="B21">
        <f>(3/(1+('CurrentPor-LH=40 unchanged'!C21)/100)+103/POWER(1+('CurrentPor-LH=40 unchanged'!D21)/100,2))*100</f>
        <v>9707.5857774288397</v>
      </c>
      <c r="C21">
        <f>(3/(1+('CurrentPor-LH=40 unchanged'!C21+'CurrentPor-LH=40 unchanged'!G21)/100)+103/POWER(1+('CurrentPor-LH=40 unchanged'!D21+'CurrentPor-LH=40 unchanged'!G21)/100,2))*100</f>
        <v>9614.9673582483465</v>
      </c>
      <c r="D21">
        <f>(3/(1+('CurrentPor-LH=40 unchanged'!C21+'CurrentPor-LH=40 unchanged'!H21)/100)+103/POWER(1+('CurrentPor-LH=40 unchanged'!D21+'CurrentPor-LH=40 unchanged'!H21)/100,2))*100</f>
        <v>9601.2395558122898</v>
      </c>
      <c r="E21">
        <f>(3/(1+('CurrentPor-LH=40 unchanged'!C21+'CurrentPor-LH=40 unchanged'!I21)/100)+103/POWER(1+('CurrentPor-LH=40 unchanged'!D21+'CurrentPor-LH=40 unchanged'!I21)/100,2))*100</f>
        <v>9576.5609483933495</v>
      </c>
      <c r="F21">
        <f>Portfolio!B$5*'CurrentPor-LH=40 unchanged'!E21</f>
        <v>52143.895533915893</v>
      </c>
      <c r="G21">
        <f>Portfolio!B$6*'CurrentPor-LH=40 unchanged'!F21</f>
        <v>3696.2945087936532</v>
      </c>
      <c r="H21">
        <f>Portfolio!B$7*'CurrentPor-LH=40 unchanged'!J21</f>
        <v>2148.0998964419859</v>
      </c>
      <c r="I21">
        <f t="shared" si="0"/>
        <v>96488.643579034353</v>
      </c>
      <c r="J21">
        <f t="shared" si="1"/>
        <v>-6.6081686794786947</v>
      </c>
    </row>
    <row r="22" spans="1:10">
      <c r="A22" s="1">
        <v>45499</v>
      </c>
      <c r="B22">
        <f>(3/(1+('CurrentPor-LH=40 unchanged'!C22)/100)+103/POWER(1+('CurrentPor-LH=40 unchanged'!D22)/100,2))*100</f>
        <v>9707.5857774288397</v>
      </c>
      <c r="C22">
        <f>(3/(1+('CurrentPor-LH=40 unchanged'!C22+'CurrentPor-LH=40 unchanged'!G22)/100)+103/POWER(1+('CurrentPor-LH=40 unchanged'!D22+'CurrentPor-LH=40 unchanged'!G22)/100,2))*100</f>
        <v>9614.9673582483465</v>
      </c>
      <c r="D22">
        <f>(3/(1+('CurrentPor-LH=40 unchanged'!C22+'CurrentPor-LH=40 unchanged'!H22)/100)+103/POWER(1+('CurrentPor-LH=40 unchanged'!D22+'CurrentPor-LH=40 unchanged'!H22)/100,2))*100</f>
        <v>9601.2395558122898</v>
      </c>
      <c r="E22">
        <f>(3/(1+('CurrentPor-LH=40 unchanged'!C22+'CurrentPor-LH=40 unchanged'!I22)/100)+103/POWER(1+('CurrentPor-LH=40 unchanged'!D22+'CurrentPor-LH=40 unchanged'!I22)/100,2))*100</f>
        <v>9575.8653890155892</v>
      </c>
      <c r="F22">
        <f>Portfolio!B$5*'CurrentPor-LH=40 unchanged'!E22</f>
        <v>52143.895533915893</v>
      </c>
      <c r="G22">
        <f>Portfolio!B$6*'CurrentPor-LH=40 unchanged'!F22</f>
        <v>3696.2945087936532</v>
      </c>
      <c r="H22">
        <f>Portfolio!B$7*'CurrentPor-LH=40 unchanged'!J22</f>
        <v>2148.0998964419859</v>
      </c>
      <c r="I22">
        <f t="shared" si="0"/>
        <v>96487.9480196566</v>
      </c>
      <c r="J22">
        <f t="shared" si="1"/>
        <v>4.6833095573529135</v>
      </c>
    </row>
    <row r="23" spans="1:10">
      <c r="A23" s="1">
        <v>45502</v>
      </c>
      <c r="B23">
        <f>(3/(1+('CurrentPor-LH=40 unchanged'!C23)/100)+103/POWER(1+('CurrentPor-LH=40 unchanged'!D23)/100,2))*100</f>
        <v>9707.5857774288397</v>
      </c>
      <c r="C23">
        <f>(3/(1+('CurrentPor-LH=40 unchanged'!C23+'CurrentPor-LH=40 unchanged'!G23)/100)+103/POWER(1+('CurrentPor-LH=40 unchanged'!D23+'CurrentPor-LH=40 unchanged'!G23)/100,2))*100</f>
        <v>9614.9673582483465</v>
      </c>
      <c r="D23">
        <f>(3/(1+('CurrentPor-LH=40 unchanged'!C23+'CurrentPor-LH=40 unchanged'!H23)/100)+103/POWER(1+('CurrentPor-LH=40 unchanged'!D23+'CurrentPor-LH=40 unchanged'!H23)/100,2))*100</f>
        <v>9601.2395558122898</v>
      </c>
      <c r="E23">
        <f>(3/(1+('CurrentPor-LH=40 unchanged'!C23+'CurrentPor-LH=40 unchanged'!I23)/100)+103/POWER(1+('CurrentPor-LH=40 unchanged'!D23+'CurrentPor-LH=40 unchanged'!I23)/100,2))*100</f>
        <v>9605.8920067133713</v>
      </c>
      <c r="F23">
        <f>Portfolio!B$5*'CurrentPor-LH=40 unchanged'!E23</f>
        <v>52143.895533915893</v>
      </c>
      <c r="G23">
        <f>Portfolio!B$6*'CurrentPor-LH=40 unchanged'!F23</f>
        <v>3696.2945087936532</v>
      </c>
      <c r="H23">
        <f>Portfolio!B$7*'CurrentPor-LH=40 unchanged'!J23</f>
        <v>2148.0998964419859</v>
      </c>
      <c r="I23">
        <f t="shared" si="0"/>
        <v>96517.974637354389</v>
      </c>
      <c r="J23">
        <f t="shared" si="1"/>
        <v>20.660418423547526</v>
      </c>
    </row>
    <row r="24" spans="1:10">
      <c r="A24" s="1">
        <v>45503</v>
      </c>
      <c r="B24">
        <f>(3/(1+('CurrentPor-LH=40 unchanged'!C24)/100)+103/POWER(1+('CurrentPor-LH=40 unchanged'!D24)/100,2))*100</f>
        <v>9707.5857774288397</v>
      </c>
      <c r="C24">
        <f>(3/(1+('CurrentPor-LH=40 unchanged'!C24+'CurrentPor-LH=40 unchanged'!G24)/100)+103/POWER(1+('CurrentPor-LH=40 unchanged'!D24+'CurrentPor-LH=40 unchanged'!G24)/100,2))*100</f>
        <v>9614.9673582483465</v>
      </c>
      <c r="D24">
        <f>(3/(1+('CurrentPor-LH=40 unchanged'!C24+'CurrentPor-LH=40 unchanged'!H24)/100)+103/POWER(1+('CurrentPor-LH=40 unchanged'!D24+'CurrentPor-LH=40 unchanged'!H24)/100,2))*100</f>
        <v>9601.2395558122898</v>
      </c>
      <c r="E24">
        <f>(3/(1+('CurrentPor-LH=40 unchanged'!C24+'CurrentPor-LH=40 unchanged'!I24)/100)+103/POWER(1+('CurrentPor-LH=40 unchanged'!D24+'CurrentPor-LH=40 unchanged'!I24)/100,2))*100</f>
        <v>9570.3761758867622</v>
      </c>
      <c r="F24">
        <f>Portfolio!B$5*'CurrentPor-LH=40 unchanged'!E24</f>
        <v>52143.895533915893</v>
      </c>
      <c r="G24">
        <f>Portfolio!B$6*'CurrentPor-LH=40 unchanged'!F24</f>
        <v>3696.2945087936532</v>
      </c>
      <c r="H24">
        <f>Portfolio!B$7*'CurrentPor-LH=40 unchanged'!J24</f>
        <v>2148.0998964419859</v>
      </c>
      <c r="I24">
        <f t="shared" si="0"/>
        <v>96482.458806527764</v>
      </c>
      <c r="J24">
        <f t="shared" si="1"/>
        <v>-19.375908763118787</v>
      </c>
    </row>
    <row r="25" spans="1:10">
      <c r="A25" s="1">
        <v>45504</v>
      </c>
      <c r="B25">
        <f>(3/(1+('CurrentPor-LH=40 unchanged'!C25)/100)+103/POWER(1+('CurrentPor-LH=40 unchanged'!D25)/100,2))*100</f>
        <v>9707.5857774288397</v>
      </c>
      <c r="C25">
        <f>(3/(1+('CurrentPor-LH=40 unchanged'!C25+'CurrentPor-LH=40 unchanged'!G25)/100)+103/POWER(1+('CurrentPor-LH=40 unchanged'!D25+'CurrentPor-LH=40 unchanged'!G25)/100,2))*100</f>
        <v>9614.9673582483465</v>
      </c>
      <c r="D25">
        <f>(3/(1+('CurrentPor-LH=40 unchanged'!C25+'CurrentPor-LH=40 unchanged'!H25)/100)+103/POWER(1+('CurrentPor-LH=40 unchanged'!D25+'CurrentPor-LH=40 unchanged'!H25)/100,2))*100</f>
        <v>9601.2395558122898</v>
      </c>
      <c r="E25">
        <f>(3/(1+('CurrentPor-LH=40 unchanged'!C25+'CurrentPor-LH=40 unchanged'!I25)/100)+103/POWER(1+('CurrentPor-LH=40 unchanged'!D25+'CurrentPor-LH=40 unchanged'!I25)/100,2))*100</f>
        <v>9585.2215346639932</v>
      </c>
      <c r="F25">
        <f>Portfolio!B$5*'CurrentPor-LH=40 unchanged'!E25</f>
        <v>52143.895533915893</v>
      </c>
      <c r="G25">
        <f>Portfolio!B$6*'CurrentPor-LH=40 unchanged'!F25</f>
        <v>3696.2945087936532</v>
      </c>
      <c r="H25">
        <f>Portfolio!B$7*'CurrentPor-LH=40 unchanged'!J25</f>
        <v>2148.0998964419859</v>
      </c>
      <c r="I25">
        <f t="shared" si="0"/>
        <v>96497.304165305002</v>
      </c>
      <c r="J25">
        <f t="shared" si="1"/>
        <v>-1.5206800120213302</v>
      </c>
    </row>
    <row r="26" spans="1:10">
      <c r="A26" s="1">
        <v>45505</v>
      </c>
      <c r="B26">
        <f>(3/(1+('CurrentPor-LH=40 unchanged'!C26)/100)+103/POWER(1+('CurrentPor-LH=40 unchanged'!D26)/100,2))*100</f>
        <v>9707.5857774288397</v>
      </c>
      <c r="C26">
        <f>(3/(1+('CurrentPor-LH=40 unchanged'!C26+'CurrentPor-LH=40 unchanged'!G26)/100)+103/POWER(1+('CurrentPor-LH=40 unchanged'!D26+'CurrentPor-LH=40 unchanged'!G26)/100,2))*100</f>
        <v>9614.9673582483465</v>
      </c>
      <c r="D26">
        <f>(3/(1+('CurrentPor-LH=40 unchanged'!C26+'CurrentPor-LH=40 unchanged'!H26)/100)+103/POWER(1+('CurrentPor-LH=40 unchanged'!D26+'CurrentPor-LH=40 unchanged'!H26)/100,2))*100</f>
        <v>9601.2395558122898</v>
      </c>
      <c r="E26">
        <f>(3/(1+('CurrentPor-LH=40 unchanged'!C26+'CurrentPor-LH=40 unchanged'!I26)/100)+103/POWER(1+('CurrentPor-LH=40 unchanged'!D26+'CurrentPor-LH=40 unchanged'!I26)/100,2))*100</f>
        <v>9591.7347651572181</v>
      </c>
      <c r="F26">
        <f>Portfolio!B$5*'CurrentPor-LH=40 unchanged'!E26</f>
        <v>52143.895533915893</v>
      </c>
      <c r="G26">
        <f>Portfolio!B$6*'CurrentPor-LH=40 unchanged'!F26</f>
        <v>3696.2945087936532</v>
      </c>
      <c r="H26">
        <f>Portfolio!B$7*'CurrentPor-LH=40 unchanged'!J26</f>
        <v>2148.0998964419859</v>
      </c>
      <c r="I26">
        <f t="shared" si="0"/>
        <v>96503.817395798236</v>
      </c>
      <c r="J26">
        <f t="shared" si="1"/>
        <v>8.2130697389075067</v>
      </c>
    </row>
    <row r="27" spans="1:10">
      <c r="A27" s="1">
        <v>45506</v>
      </c>
      <c r="B27">
        <f>(3/(1+('CurrentPor-LH=40 unchanged'!C27)/100)+103/POWER(1+('CurrentPor-LH=40 unchanged'!D27)/100,2))*100</f>
        <v>9707.5857774288397</v>
      </c>
      <c r="C27">
        <f>(3/(1+('CurrentPor-LH=40 unchanged'!C27+'CurrentPor-LH=40 unchanged'!G27)/100)+103/POWER(1+('CurrentPor-LH=40 unchanged'!D27+'CurrentPor-LH=40 unchanged'!G27)/100,2))*100</f>
        <v>9614.9673582483465</v>
      </c>
      <c r="D27">
        <f>(3/(1+('CurrentPor-LH=40 unchanged'!C27+'CurrentPor-LH=40 unchanged'!H27)/100)+103/POWER(1+('CurrentPor-LH=40 unchanged'!D27+'CurrentPor-LH=40 unchanged'!H27)/100,2))*100</f>
        <v>9601.2395558122898</v>
      </c>
      <c r="E27">
        <f>(3/(1+('CurrentPor-LH=40 unchanged'!C27+'CurrentPor-LH=40 unchanged'!I27)/100)+103/POWER(1+('CurrentPor-LH=40 unchanged'!D27+'CurrentPor-LH=40 unchanged'!I27)/100,2))*100</f>
        <v>9577.1750729760297</v>
      </c>
      <c r="F27">
        <f>Portfolio!B$5*'CurrentPor-LH=40 unchanged'!E27</f>
        <v>52143.895533915893</v>
      </c>
      <c r="G27">
        <f>Portfolio!B$6*'CurrentPor-LH=40 unchanged'!F27</f>
        <v>3696.2945087936532</v>
      </c>
      <c r="H27">
        <f>Portfolio!B$7*'CurrentPor-LH=40 unchanged'!J27</f>
        <v>2148.0998964419859</v>
      </c>
      <c r="I27">
        <f t="shared" si="0"/>
        <v>96489.257703617041</v>
      </c>
      <c r="J27">
        <f t="shared" si="1"/>
        <v>3.4892669053515419</v>
      </c>
    </row>
    <row r="28" spans="1:10">
      <c r="A28" s="1">
        <v>45509</v>
      </c>
      <c r="B28">
        <f>(3/(1+('CurrentPor-LH=40 unchanged'!C28)/100)+103/POWER(1+('CurrentPor-LH=40 unchanged'!D28)/100,2))*100</f>
        <v>9707.5857774288397</v>
      </c>
      <c r="C28">
        <f>(3/(1+('CurrentPor-LH=40 unchanged'!C28+'CurrentPor-LH=40 unchanged'!G28)/100)+103/POWER(1+('CurrentPor-LH=40 unchanged'!D28+'CurrentPor-LH=40 unchanged'!G28)/100,2))*100</f>
        <v>9614.9673582483465</v>
      </c>
      <c r="D28">
        <f>(3/(1+('CurrentPor-LH=40 unchanged'!C28+'CurrentPor-LH=40 unchanged'!H28)/100)+103/POWER(1+('CurrentPor-LH=40 unchanged'!D28+'CurrentPor-LH=40 unchanged'!H28)/100,2))*100</f>
        <v>9601.2395558122898</v>
      </c>
      <c r="E28">
        <f>(3/(1+('CurrentPor-LH=40 unchanged'!C28+'CurrentPor-LH=40 unchanged'!I28)/100)+103/POWER(1+('CurrentPor-LH=40 unchanged'!D28+'CurrentPor-LH=40 unchanged'!I28)/100,2))*100</f>
        <v>9593.0288264503997</v>
      </c>
      <c r="F28">
        <f>Portfolio!B$5*'CurrentPor-LH=40 unchanged'!E28</f>
        <v>52143.895533915893</v>
      </c>
      <c r="G28">
        <f>Portfolio!B$6*'CurrentPor-LH=40 unchanged'!F28</f>
        <v>3696.2945087936532</v>
      </c>
      <c r="H28">
        <f>Portfolio!B$7*'CurrentPor-LH=40 unchanged'!J28</f>
        <v>2148.0998964419859</v>
      </c>
      <c r="I28">
        <f t="shared" si="0"/>
        <v>96505.111457091407</v>
      </c>
      <c r="J28">
        <f t="shared" si="1"/>
        <v>37.909146138801589</v>
      </c>
    </row>
    <row r="29" spans="1:10">
      <c r="A29" s="1">
        <v>45510</v>
      </c>
      <c r="B29">
        <f>(3/(1+('CurrentPor-LH=40 unchanged'!C29)/100)+103/POWER(1+('CurrentPor-LH=40 unchanged'!D29)/100,2))*100</f>
        <v>9707.5857774288397</v>
      </c>
      <c r="C29">
        <f>(3/(1+('CurrentPor-LH=40 unchanged'!C29+'CurrentPor-LH=40 unchanged'!G29)/100)+103/POWER(1+('CurrentPor-LH=40 unchanged'!D29+'CurrentPor-LH=40 unchanged'!G29)/100,2))*100</f>
        <v>9614.9673582483465</v>
      </c>
      <c r="D29">
        <f>(3/(1+('CurrentPor-LH=40 unchanged'!C29+'CurrentPor-LH=40 unchanged'!H29)/100)+103/POWER(1+('CurrentPor-LH=40 unchanged'!D29+'CurrentPor-LH=40 unchanged'!H29)/100,2))*100</f>
        <v>9601.2395558122898</v>
      </c>
      <c r="E29">
        <f>(3/(1+('CurrentPor-LH=40 unchanged'!C29+'CurrentPor-LH=40 unchanged'!I29)/100)+103/POWER(1+('CurrentPor-LH=40 unchanged'!D29+'CurrentPor-LH=40 unchanged'!I29)/100,2))*100</f>
        <v>9584.5545204923292</v>
      </c>
      <c r="F29">
        <f>Portfolio!B$5*'CurrentPor-LH=40 unchanged'!E29</f>
        <v>52143.895533915893</v>
      </c>
      <c r="G29">
        <f>Portfolio!B$6*'CurrentPor-LH=40 unchanged'!F29</f>
        <v>3696.2945087936532</v>
      </c>
      <c r="H29">
        <f>Portfolio!B$7*'CurrentPor-LH=40 unchanged'!J29</f>
        <v>2148.0998964419859</v>
      </c>
      <c r="I29">
        <f t="shared" si="0"/>
        <v>96496.637151133342</v>
      </c>
      <c r="J29">
        <f t="shared" si="1"/>
        <v>7.735365680011455</v>
      </c>
    </row>
    <row r="30" spans="1:10">
      <c r="A30" s="1">
        <v>45511</v>
      </c>
      <c r="B30">
        <f>(3/(1+('CurrentPor-LH=40 unchanged'!C30)/100)+103/POWER(1+('CurrentPor-LH=40 unchanged'!D30)/100,2))*100</f>
        <v>9707.5857774288397</v>
      </c>
      <c r="C30">
        <f>(3/(1+('CurrentPor-LH=40 unchanged'!C30+'CurrentPor-LH=40 unchanged'!G30)/100)+103/POWER(1+('CurrentPor-LH=40 unchanged'!D30+'CurrentPor-LH=40 unchanged'!G30)/100,2))*100</f>
        <v>9614.9673582483465</v>
      </c>
      <c r="D30">
        <f>(3/(1+('CurrentPor-LH=40 unchanged'!C30+'CurrentPor-LH=40 unchanged'!H30)/100)+103/POWER(1+('CurrentPor-LH=40 unchanged'!D30+'CurrentPor-LH=40 unchanged'!H30)/100,2))*100</f>
        <v>9601.2395558122898</v>
      </c>
      <c r="E30">
        <f>(3/(1+('CurrentPor-LH=40 unchanged'!C30+'CurrentPor-LH=40 unchanged'!I30)/100)+103/POWER(1+('CurrentPor-LH=40 unchanged'!D30+'CurrentPor-LH=40 unchanged'!I30)/100,2))*100</f>
        <v>9577.4296111919321</v>
      </c>
      <c r="F30">
        <f>Portfolio!B$5*'CurrentPor-LH=40 unchanged'!E30</f>
        <v>52143.895533915893</v>
      </c>
      <c r="G30">
        <f>Portfolio!B$6*'CurrentPor-LH=40 unchanged'!F30</f>
        <v>3696.2945087936532</v>
      </c>
      <c r="H30">
        <f>Portfolio!B$7*'CurrentPor-LH=40 unchanged'!J30</f>
        <v>2148.0998964419859</v>
      </c>
      <c r="I30">
        <f t="shared" si="0"/>
        <v>96489.512241832941</v>
      </c>
      <c r="J30">
        <f t="shared" si="1"/>
        <v>-10.988403285620734</v>
      </c>
    </row>
    <row r="31" spans="1:10">
      <c r="A31" s="1">
        <v>45512</v>
      </c>
      <c r="B31">
        <f>(3/(1+('CurrentPor-LH=40 unchanged'!C31)/100)+103/POWER(1+('CurrentPor-LH=40 unchanged'!D31)/100,2))*100</f>
        <v>9707.5857774288397</v>
      </c>
      <c r="C31">
        <f>(3/(1+('CurrentPor-LH=40 unchanged'!C31+'CurrentPor-LH=40 unchanged'!G31)/100)+103/POWER(1+('CurrentPor-LH=40 unchanged'!D31+'CurrentPor-LH=40 unchanged'!G31)/100,2))*100</f>
        <v>9614.9673582483465</v>
      </c>
      <c r="D31">
        <f>(3/(1+('CurrentPor-LH=40 unchanged'!C31+'CurrentPor-LH=40 unchanged'!H31)/100)+103/POWER(1+('CurrentPor-LH=40 unchanged'!D31+'CurrentPor-LH=40 unchanged'!H31)/100,2))*100</f>
        <v>9601.2395558122898</v>
      </c>
      <c r="E31">
        <f>(3/(1+('CurrentPor-LH=40 unchanged'!C31+'CurrentPor-LH=40 unchanged'!I31)/100)+103/POWER(1+('CurrentPor-LH=40 unchanged'!D31+'CurrentPor-LH=40 unchanged'!I31)/100,2))*100</f>
        <v>9561.1781162876941</v>
      </c>
      <c r="F31">
        <f>Portfolio!B$5*'CurrentPor-LH=40 unchanged'!E31</f>
        <v>52143.895533915893</v>
      </c>
      <c r="G31">
        <f>Portfolio!B$6*'CurrentPor-LH=40 unchanged'!F31</f>
        <v>3696.2945087936532</v>
      </c>
      <c r="H31">
        <f>Portfolio!B$7*'CurrentPor-LH=40 unchanged'!J31</f>
        <v>2148.0998964419859</v>
      </c>
      <c r="I31">
        <f t="shared" si="0"/>
        <v>96473.260746928703</v>
      </c>
      <c r="J31">
        <f t="shared" si="1"/>
        <v>-15.382832105649868</v>
      </c>
    </row>
    <row r="32" spans="1:10">
      <c r="A32" s="1">
        <v>45513</v>
      </c>
      <c r="B32">
        <f>(3/(1+('CurrentPor-LH=40 unchanged'!C32)/100)+103/POWER(1+('CurrentPor-LH=40 unchanged'!D32)/100,2))*100</f>
        <v>9707.5857774288397</v>
      </c>
      <c r="C32">
        <f>(3/(1+('CurrentPor-LH=40 unchanged'!C32+'CurrentPor-LH=40 unchanged'!G32)/100)+103/POWER(1+('CurrentPor-LH=40 unchanged'!D32+'CurrentPor-LH=40 unchanged'!G32)/100,2))*100</f>
        <v>9614.9673582483465</v>
      </c>
      <c r="D32">
        <f>(3/(1+('CurrentPor-LH=40 unchanged'!C32+'CurrentPor-LH=40 unchanged'!H32)/100)+103/POWER(1+('CurrentPor-LH=40 unchanged'!D32+'CurrentPor-LH=40 unchanged'!H32)/100,2))*100</f>
        <v>9601.2395558122898</v>
      </c>
      <c r="E32">
        <f>(3/(1+('CurrentPor-LH=40 unchanged'!C32+'CurrentPor-LH=40 unchanged'!I32)/100)+103/POWER(1+('CurrentPor-LH=40 unchanged'!D32+'CurrentPor-LH=40 unchanged'!I32)/100,2))*100</f>
        <v>9580.8587933303934</v>
      </c>
      <c r="F32">
        <f>Portfolio!B$5*'CurrentPor-LH=40 unchanged'!E32</f>
        <v>52143.895533915893</v>
      </c>
      <c r="G32">
        <f>Portfolio!B$6*'CurrentPor-LH=40 unchanged'!F32</f>
        <v>3696.2945087936532</v>
      </c>
      <c r="H32">
        <f>Portfolio!B$7*'CurrentPor-LH=40 unchanged'!J32</f>
        <v>2148.0998964419859</v>
      </c>
      <c r="I32">
        <f t="shared" si="0"/>
        <v>96492.941423971395</v>
      </c>
      <c r="J32">
        <f t="shared" si="1"/>
        <v>4.9934043147950433</v>
      </c>
    </row>
    <row r="33" spans="1:10">
      <c r="A33" s="1">
        <v>45516</v>
      </c>
      <c r="B33">
        <f>(3/(1+('CurrentPor-LH=40 unchanged'!C33)/100)+103/POWER(1+('CurrentPor-LH=40 unchanged'!D33)/100,2))*100</f>
        <v>9707.5857774288397</v>
      </c>
      <c r="C33">
        <f>(3/(1+('CurrentPor-LH=40 unchanged'!C33+'CurrentPor-LH=40 unchanged'!G33)/100)+103/POWER(1+('CurrentPor-LH=40 unchanged'!D33+'CurrentPor-LH=40 unchanged'!G33)/100,2))*100</f>
        <v>9614.9673582483465</v>
      </c>
      <c r="D33">
        <f>(3/(1+('CurrentPor-LH=40 unchanged'!C33+'CurrentPor-LH=40 unchanged'!H33)/100)+103/POWER(1+('CurrentPor-LH=40 unchanged'!D33+'CurrentPor-LH=40 unchanged'!H33)/100,2))*100</f>
        <v>9601.2395558122898</v>
      </c>
      <c r="E33">
        <f>(3/(1+('CurrentPor-LH=40 unchanged'!C33+'CurrentPor-LH=40 unchanged'!I33)/100)+103/POWER(1+('CurrentPor-LH=40 unchanged'!D33+'CurrentPor-LH=40 unchanged'!I33)/100,2))*100</f>
        <v>9575.1823876153994</v>
      </c>
      <c r="F33">
        <f>Portfolio!B$5*'CurrentPor-LH=40 unchanged'!E33</f>
        <v>52143.895533915893</v>
      </c>
      <c r="G33">
        <f>Portfolio!B$6*'CurrentPor-LH=40 unchanged'!F33</f>
        <v>3696.2945087936532</v>
      </c>
      <c r="H33">
        <f>Portfolio!B$7*'CurrentPor-LH=40 unchanged'!J33</f>
        <v>2148.0998964419859</v>
      </c>
      <c r="I33">
        <f t="shared" si="0"/>
        <v>96487.26501825641</v>
      </c>
      <c r="J33">
        <f t="shared" si="1"/>
        <v>-30.709619097979157</v>
      </c>
    </row>
    <row r="34" spans="1:10">
      <c r="A34" s="1">
        <v>45517</v>
      </c>
      <c r="B34">
        <f>(3/(1+('CurrentPor-LH=40 unchanged'!C34)/100)+103/POWER(1+('CurrentPor-LH=40 unchanged'!D34)/100,2))*100</f>
        <v>9707.5857774288397</v>
      </c>
      <c r="C34">
        <f>(3/(1+('CurrentPor-LH=40 unchanged'!C34+'CurrentPor-LH=40 unchanged'!G34)/100)+103/POWER(1+('CurrentPor-LH=40 unchanged'!D34+'CurrentPor-LH=40 unchanged'!G34)/100,2))*100</f>
        <v>9614.9673582483465</v>
      </c>
      <c r="D34">
        <f>(3/(1+('CurrentPor-LH=40 unchanged'!C34+'CurrentPor-LH=40 unchanged'!H34)/100)+103/POWER(1+('CurrentPor-LH=40 unchanged'!D34+'CurrentPor-LH=40 unchanged'!H34)/100,2))*100</f>
        <v>9601.2395558122898</v>
      </c>
      <c r="E34">
        <f>(3/(1+('CurrentPor-LH=40 unchanged'!C34+'CurrentPor-LH=40 unchanged'!I34)/100)+103/POWER(1+('CurrentPor-LH=40 unchanged'!D34+'CurrentPor-LH=40 unchanged'!I34)/100,2))*100</f>
        <v>9584.3147758954219</v>
      </c>
      <c r="F34">
        <f>Portfolio!B$5*'CurrentPor-LH=40 unchanged'!E34</f>
        <v>52143.895533915893</v>
      </c>
      <c r="G34">
        <f>Portfolio!B$6*'CurrentPor-LH=40 unchanged'!F34</f>
        <v>3696.2945087936532</v>
      </c>
      <c r="H34">
        <f>Portfolio!B$7*'CurrentPor-LH=40 unchanged'!J34</f>
        <v>2148.0998964419859</v>
      </c>
      <c r="I34">
        <f t="shared" si="0"/>
        <v>96496.397406536431</v>
      </c>
      <c r="J34">
        <f t="shared" si="1"/>
        <v>13.938600008666981</v>
      </c>
    </row>
    <row r="35" spans="1:10">
      <c r="A35" s="1">
        <v>45518</v>
      </c>
      <c r="B35">
        <f>(3/(1+('CurrentPor-LH=40 unchanged'!C35)/100)+103/POWER(1+('CurrentPor-LH=40 unchanged'!D35)/100,2))*100</f>
        <v>9707.5857774288397</v>
      </c>
      <c r="C35">
        <f>(3/(1+('CurrentPor-LH=40 unchanged'!C35+'CurrentPor-LH=40 unchanged'!G35)/100)+103/POWER(1+('CurrentPor-LH=40 unchanged'!D35+'CurrentPor-LH=40 unchanged'!G35)/100,2))*100</f>
        <v>9614.9673582483465</v>
      </c>
      <c r="D35">
        <f>(3/(1+('CurrentPor-LH=40 unchanged'!C35+'CurrentPor-LH=40 unchanged'!H35)/100)+103/POWER(1+('CurrentPor-LH=40 unchanged'!D35+'CurrentPor-LH=40 unchanged'!H35)/100,2))*100</f>
        <v>9601.2395558122898</v>
      </c>
      <c r="E35">
        <f>(3/(1+('CurrentPor-LH=40 unchanged'!C35+'CurrentPor-LH=40 unchanged'!I35)/100)+103/POWER(1+('CurrentPor-LH=40 unchanged'!D35+'CurrentPor-LH=40 unchanged'!I35)/100,2))*100</f>
        <v>9589.0870386944407</v>
      </c>
      <c r="F35">
        <f>Portfolio!B$5*'CurrentPor-LH=40 unchanged'!E35</f>
        <v>52143.895533915893</v>
      </c>
      <c r="G35">
        <f>Portfolio!B$6*'CurrentPor-LH=40 unchanged'!F35</f>
        <v>3696.2945087936532</v>
      </c>
      <c r="H35">
        <f>Portfolio!B$7*'CurrentPor-LH=40 unchanged'!J35</f>
        <v>2148.0998964419859</v>
      </c>
      <c r="I35">
        <f t="shared" si="0"/>
        <v>96501.169669335461</v>
      </c>
      <c r="J35">
        <f t="shared" si="1"/>
        <v>3.8655040304583963</v>
      </c>
    </row>
    <row r="36" spans="1:10">
      <c r="A36" s="1">
        <v>45519</v>
      </c>
      <c r="B36">
        <f>(3/(1+('CurrentPor-LH=40 unchanged'!C36)/100)+103/POWER(1+('CurrentPor-LH=40 unchanged'!D36)/100,2))*100</f>
        <v>9707.5857774288397</v>
      </c>
      <c r="C36">
        <f>(3/(1+('CurrentPor-LH=40 unchanged'!C36+'CurrentPor-LH=40 unchanged'!G36)/100)+103/POWER(1+('CurrentPor-LH=40 unchanged'!D36+'CurrentPor-LH=40 unchanged'!G36)/100,2))*100</f>
        <v>9614.9673582483465</v>
      </c>
      <c r="D36">
        <f>(3/(1+('CurrentPor-LH=40 unchanged'!C36+'CurrentPor-LH=40 unchanged'!H36)/100)+103/POWER(1+('CurrentPor-LH=40 unchanged'!D36+'CurrentPor-LH=40 unchanged'!H36)/100,2))*100</f>
        <v>9601.2395558122898</v>
      </c>
      <c r="E36">
        <f>(3/(1+('CurrentPor-LH=40 unchanged'!C36+'CurrentPor-LH=40 unchanged'!I36)/100)+103/POWER(1+('CurrentPor-LH=40 unchanged'!D36+'CurrentPor-LH=40 unchanged'!I36)/100,2))*100</f>
        <v>9578.468448491707</v>
      </c>
      <c r="F36">
        <f>Portfolio!B$5*'CurrentPor-LH=40 unchanged'!E36</f>
        <v>52143.895533915893</v>
      </c>
      <c r="G36">
        <f>Portfolio!B$6*'CurrentPor-LH=40 unchanged'!F36</f>
        <v>3696.2945087936532</v>
      </c>
      <c r="H36">
        <f>Portfolio!B$7*'CurrentPor-LH=40 unchanged'!J36</f>
        <v>2148.0998964419859</v>
      </c>
      <c r="I36">
        <f t="shared" si="0"/>
        <v>96490.551079132725</v>
      </c>
      <c r="J36">
        <f t="shared" si="1"/>
        <v>-13.266316665511113</v>
      </c>
    </row>
    <row r="37" spans="1:10">
      <c r="A37" s="1">
        <v>45520</v>
      </c>
      <c r="B37">
        <f>(3/(1+('CurrentPor-LH=40 unchanged'!C37)/100)+103/POWER(1+('CurrentPor-LH=40 unchanged'!D37)/100,2))*100</f>
        <v>9707.5857774288397</v>
      </c>
      <c r="C37">
        <f>(3/(1+('CurrentPor-LH=40 unchanged'!C37+'CurrentPor-LH=40 unchanged'!G37)/100)+103/POWER(1+('CurrentPor-LH=40 unchanged'!D37+'CurrentPor-LH=40 unchanged'!G37)/100,2))*100</f>
        <v>9614.9673582483465</v>
      </c>
      <c r="D37">
        <f>(3/(1+('CurrentPor-LH=40 unchanged'!C37+'CurrentPor-LH=40 unchanged'!H37)/100)+103/POWER(1+('CurrentPor-LH=40 unchanged'!D37+'CurrentPor-LH=40 unchanged'!H37)/100,2))*100</f>
        <v>9601.2395558122898</v>
      </c>
      <c r="E37">
        <f>(3/(1+('CurrentPor-LH=40 unchanged'!C37+'CurrentPor-LH=40 unchanged'!I37)/100)+103/POWER(1+('CurrentPor-LH=40 unchanged'!D37+'CurrentPor-LH=40 unchanged'!I37)/100,2))*100</f>
        <v>9564.3187110696017</v>
      </c>
      <c r="F37">
        <f>Portfolio!B$5*'CurrentPor-LH=40 unchanged'!E37</f>
        <v>52143.895533915893</v>
      </c>
      <c r="G37">
        <f>Portfolio!B$6*'CurrentPor-LH=40 unchanged'!F37</f>
        <v>3696.2945087936532</v>
      </c>
      <c r="H37">
        <f>Portfolio!B$7*'CurrentPor-LH=40 unchanged'!J37</f>
        <v>2148.0998964419859</v>
      </c>
      <c r="I37">
        <f t="shared" si="0"/>
        <v>96476.401341710603</v>
      </c>
      <c r="J37">
        <f t="shared" si="1"/>
        <v>-12.856361906437087</v>
      </c>
    </row>
    <row r="38" spans="1:10">
      <c r="A38" s="1">
        <v>45523</v>
      </c>
      <c r="B38">
        <f>(3/(1+('CurrentPor-LH=40 unchanged'!C38)/100)+103/POWER(1+('CurrentPor-LH=40 unchanged'!D38)/100,2))*100</f>
        <v>9707.5857774288397</v>
      </c>
      <c r="C38">
        <f>(3/(1+('CurrentPor-LH=40 unchanged'!C38+'CurrentPor-LH=40 unchanged'!G38)/100)+103/POWER(1+('CurrentPor-LH=40 unchanged'!D38+'CurrentPor-LH=40 unchanged'!G38)/100,2))*100</f>
        <v>9614.9673582483465</v>
      </c>
      <c r="D38">
        <f>(3/(1+('CurrentPor-LH=40 unchanged'!C38+'CurrentPor-LH=40 unchanged'!H38)/100)+103/POWER(1+('CurrentPor-LH=40 unchanged'!D38+'CurrentPor-LH=40 unchanged'!H38)/100,2))*100</f>
        <v>9601.2395558122898</v>
      </c>
      <c r="E38">
        <f>(3/(1+('CurrentPor-LH=40 unchanged'!C38+'CurrentPor-LH=40 unchanged'!I38)/100)+103/POWER(1+('CurrentPor-LH=40 unchanged'!D38+'CurrentPor-LH=40 unchanged'!I38)/100,2))*100</f>
        <v>9573.0263628158391</v>
      </c>
      <c r="F38">
        <f>Portfolio!B$5*'CurrentPor-LH=40 unchanged'!E38</f>
        <v>52143.895533915893</v>
      </c>
      <c r="G38">
        <f>Portfolio!B$6*'CurrentPor-LH=40 unchanged'!F38</f>
        <v>3696.2945087936532</v>
      </c>
      <c r="H38">
        <f>Portfolio!B$7*'CurrentPor-LH=40 unchanged'!J38</f>
        <v>2148.0998964419859</v>
      </c>
      <c r="I38">
        <f t="shared" si="0"/>
        <v>96485.108993456859</v>
      </c>
      <c r="J38">
        <f t="shared" si="1"/>
        <v>-20.002463634547894</v>
      </c>
    </row>
    <row r="39" spans="1:10">
      <c r="A39" s="1">
        <v>45524</v>
      </c>
      <c r="B39">
        <f>(3/(1+('CurrentPor-LH=40 unchanged'!C39)/100)+103/POWER(1+('CurrentPor-LH=40 unchanged'!D39)/100,2))*100</f>
        <v>9707.5857774288397</v>
      </c>
      <c r="C39">
        <f>(3/(1+('CurrentPor-LH=40 unchanged'!C39+'CurrentPor-LH=40 unchanged'!G39)/100)+103/POWER(1+('CurrentPor-LH=40 unchanged'!D39+'CurrentPor-LH=40 unchanged'!G39)/100,2))*100</f>
        <v>9614.9673582483465</v>
      </c>
      <c r="D39">
        <f>(3/(1+('CurrentPor-LH=40 unchanged'!C39+'CurrentPor-LH=40 unchanged'!H39)/100)+103/POWER(1+('CurrentPor-LH=40 unchanged'!D39+'CurrentPor-LH=40 unchanged'!H39)/100,2))*100</f>
        <v>9601.2395558122898</v>
      </c>
      <c r="E39">
        <f>(3/(1+('CurrentPor-LH=40 unchanged'!C39+'CurrentPor-LH=40 unchanged'!I39)/100)+103/POWER(1+('CurrentPor-LH=40 unchanged'!D39+'CurrentPor-LH=40 unchanged'!I39)/100,2))*100</f>
        <v>9582.6314627629308</v>
      </c>
      <c r="F39">
        <f>Portfolio!B$5*'CurrentPor-LH=40 unchanged'!E39</f>
        <v>52143.895533915893</v>
      </c>
      <c r="G39">
        <f>Portfolio!B$6*'CurrentPor-LH=40 unchanged'!F39</f>
        <v>3696.2945087936532</v>
      </c>
      <c r="H39">
        <f>Portfolio!B$7*'CurrentPor-LH=40 unchanged'!J39</f>
        <v>2148.0998964419859</v>
      </c>
      <c r="I39">
        <f t="shared" si="0"/>
        <v>96494.714093403934</v>
      </c>
      <c r="J39">
        <f t="shared" si="1"/>
        <v>-1.9230577294074465</v>
      </c>
    </row>
    <row r="40" spans="1:10">
      <c r="A40" s="1">
        <v>45525</v>
      </c>
      <c r="B40">
        <f>(3/(1+('CurrentPor-LH=40 unchanged'!C40)/100)+103/POWER(1+('CurrentPor-LH=40 unchanged'!D40)/100,2))*100</f>
        <v>9707.5857774288397</v>
      </c>
      <c r="C40">
        <f>(3/(1+('CurrentPor-LH=40 unchanged'!C40+'CurrentPor-LH=40 unchanged'!G40)/100)+103/POWER(1+('CurrentPor-LH=40 unchanged'!D40+'CurrentPor-LH=40 unchanged'!G40)/100,2))*100</f>
        <v>9614.9673582483465</v>
      </c>
      <c r="D40">
        <f>(3/(1+('CurrentPor-LH=40 unchanged'!C40+'CurrentPor-LH=40 unchanged'!H40)/100)+103/POWER(1+('CurrentPor-LH=40 unchanged'!D40+'CurrentPor-LH=40 unchanged'!H40)/100,2))*100</f>
        <v>9601.2395558122898</v>
      </c>
      <c r="E40">
        <f>(3/(1+('CurrentPor-LH=40 unchanged'!C40+'CurrentPor-LH=40 unchanged'!I40)/100)+103/POWER(1+('CurrentPor-LH=40 unchanged'!D40+'CurrentPor-LH=40 unchanged'!I40)/100,2))*100</f>
        <v>9574.0649348016141</v>
      </c>
      <c r="F40">
        <f>Portfolio!B$5*'CurrentPor-LH=40 unchanged'!E40</f>
        <v>52143.895533915893</v>
      </c>
      <c r="G40">
        <f>Portfolio!B$6*'CurrentPor-LH=40 unchanged'!F40</f>
        <v>3696.2945087936532</v>
      </c>
      <c r="H40">
        <f>Portfolio!B$7*'CurrentPor-LH=40 unchanged'!J40</f>
        <v>2148.0998964419859</v>
      </c>
      <c r="I40">
        <f t="shared" si="0"/>
        <v>96486.147565442618</v>
      </c>
      <c r="J40">
        <f t="shared" si="1"/>
        <v>-3.3646763903234387</v>
      </c>
    </row>
    <row r="41" spans="1:10">
      <c r="A41" s="1">
        <v>45526</v>
      </c>
      <c r="B41">
        <f>(3/(1+('CurrentPor-LH=40 unchanged'!C41)/100)+103/POWER(1+('CurrentPor-LH=40 unchanged'!D41)/100,2))*100</f>
        <v>9707.5857774288397</v>
      </c>
      <c r="C41">
        <f>(3/(1+('CurrentPor-LH=40 unchanged'!C41+'CurrentPor-LH=40 unchanged'!G41)/100)+103/POWER(1+('CurrentPor-LH=40 unchanged'!D41+'CurrentPor-LH=40 unchanged'!G41)/100,2))*100</f>
        <v>9614.9673582483465</v>
      </c>
      <c r="D41">
        <f>(3/(1+('CurrentPor-LH=40 unchanged'!C41+'CurrentPor-LH=40 unchanged'!H41)/100)+103/POWER(1+('CurrentPor-LH=40 unchanged'!D41+'CurrentPor-LH=40 unchanged'!H41)/100,2))*100</f>
        <v>9601.2395558122898</v>
      </c>
      <c r="E41">
        <f>(3/(1+('CurrentPor-LH=40 unchanged'!C41+'CurrentPor-LH=40 unchanged'!I41)/100)+103/POWER(1+('CurrentPor-LH=40 unchanged'!D41+'CurrentPor-LH=40 unchanged'!I41)/100,2))*100</f>
        <v>9588.58430509553</v>
      </c>
      <c r="F41">
        <f>Portfolio!B$5*'CurrentPor-LH=40 unchanged'!E41</f>
        <v>52143.895533915893</v>
      </c>
      <c r="G41">
        <f>Portfolio!B$6*'CurrentPor-LH=40 unchanged'!F41</f>
        <v>3696.2945087936532</v>
      </c>
      <c r="H41">
        <f>Portfolio!B$7*'CurrentPor-LH=40 unchanged'!J41</f>
        <v>2148.0998964419859</v>
      </c>
      <c r="I41">
        <f t="shared" si="0"/>
        <v>96500.666935736532</v>
      </c>
      <c r="J41">
        <f t="shared" si="1"/>
        <v>27.406188807828585</v>
      </c>
    </row>
    <row r="42" spans="1:10">
      <c r="A42" s="1">
        <v>45527</v>
      </c>
      <c r="B42">
        <f>(3/(1+('CurrentPor-LH=40 unchanged'!C42)/100)+103/POWER(1+('CurrentPor-LH=40 unchanged'!D42)/100,2))*100</f>
        <v>9707.5857774288397</v>
      </c>
      <c r="C42">
        <f>(3/(1+('CurrentPor-LH=40 unchanged'!C42+'CurrentPor-LH=40 unchanged'!G42)/100)+103/POWER(1+('CurrentPor-LH=40 unchanged'!D42+'CurrentPor-LH=40 unchanged'!G42)/100,2))*100</f>
        <v>9614.9673582483465</v>
      </c>
      <c r="D42">
        <f>(3/(1+('CurrentPor-LH=40 unchanged'!C42+'CurrentPor-LH=40 unchanged'!H42)/100)+103/POWER(1+('CurrentPor-LH=40 unchanged'!D42+'CurrentPor-LH=40 unchanged'!H42)/100,2))*100</f>
        <v>9601.2395558122898</v>
      </c>
      <c r="E42">
        <f>(3/(1+('CurrentPor-LH=40 unchanged'!C42+'CurrentPor-LH=40 unchanged'!I42)/100)+103/POWER(1+('CurrentPor-LH=40 unchanged'!D42+'CurrentPor-LH=40 unchanged'!I42)/100,2))*100</f>
        <v>9582.9211678215052</v>
      </c>
      <c r="F42">
        <f>Portfolio!B$5*'CurrentPor-LH=40 unchanged'!E42</f>
        <v>52143.895533915893</v>
      </c>
      <c r="G42">
        <f>Portfolio!B$6*'CurrentPor-LH=40 unchanged'!F42</f>
        <v>3696.2945087936532</v>
      </c>
      <c r="H42">
        <f>Portfolio!B$7*'CurrentPor-LH=40 unchanged'!J42</f>
        <v>2148.0998964419859</v>
      </c>
      <c r="I42">
        <f t="shared" si="0"/>
        <v>96495.003798462523</v>
      </c>
      <c r="J42">
        <f t="shared" si="1"/>
        <v>2.0623744911281392</v>
      </c>
    </row>
    <row r="43" spans="1:10">
      <c r="A43" s="1">
        <v>45530</v>
      </c>
      <c r="B43">
        <f>(3/(1+('CurrentPor-LH=40 unchanged'!C43)/100)+103/POWER(1+('CurrentPor-LH=40 unchanged'!D43)/100,2))*100</f>
        <v>9707.5857774288397</v>
      </c>
      <c r="C43">
        <f>(3/(1+('CurrentPor-LH=40 unchanged'!C43+'CurrentPor-LH=40 unchanged'!G43)/100)+103/POWER(1+('CurrentPor-LH=40 unchanged'!D43+'CurrentPor-LH=40 unchanged'!G43)/100,2))*100</f>
        <v>9614.9673582483465</v>
      </c>
      <c r="D43">
        <f>(3/(1+('CurrentPor-LH=40 unchanged'!C43+'CurrentPor-LH=40 unchanged'!H43)/100)+103/POWER(1+('CurrentPor-LH=40 unchanged'!D43+'CurrentPor-LH=40 unchanged'!H43)/100,2))*100</f>
        <v>9601.2395558122898</v>
      </c>
      <c r="E43">
        <f>(3/(1+('CurrentPor-LH=40 unchanged'!C43+'CurrentPor-LH=40 unchanged'!I43)/100)+103/POWER(1+('CurrentPor-LH=40 unchanged'!D43+'CurrentPor-LH=40 unchanged'!I43)/100,2))*100</f>
        <v>9592.1647925052803</v>
      </c>
      <c r="F43">
        <f>Portfolio!B$5*'CurrentPor-LH=40 unchanged'!E43</f>
        <v>52143.895533915893</v>
      </c>
      <c r="G43">
        <f>Portfolio!B$6*'CurrentPor-LH=40 unchanged'!F43</f>
        <v>3696.2945087936532</v>
      </c>
      <c r="H43">
        <f>Portfolio!B$7*'CurrentPor-LH=40 unchanged'!J43</f>
        <v>2148.0998964419859</v>
      </c>
      <c r="I43">
        <f t="shared" si="0"/>
        <v>96504.247423146284</v>
      </c>
      <c r="J43">
        <f t="shared" si="1"/>
        <v>16.982404889873578</v>
      </c>
    </row>
    <row r="44" spans="1:10">
      <c r="A44" s="1">
        <v>45531</v>
      </c>
      <c r="B44">
        <f>(3/(1+('CurrentPor-LH=40 unchanged'!C44)/100)+103/POWER(1+('CurrentPor-LH=40 unchanged'!D44)/100,2))*100</f>
        <v>9707.5857774288397</v>
      </c>
      <c r="C44">
        <f>(3/(1+('CurrentPor-LH=40 unchanged'!C44+'CurrentPor-LH=40 unchanged'!G44)/100)+103/POWER(1+('CurrentPor-LH=40 unchanged'!D44+'CurrentPor-LH=40 unchanged'!G44)/100,2))*100</f>
        <v>9614.9673582483465</v>
      </c>
      <c r="D44">
        <f>(3/(1+('CurrentPor-LH=40 unchanged'!C44+'CurrentPor-LH=40 unchanged'!H44)/100)+103/POWER(1+('CurrentPor-LH=40 unchanged'!D44+'CurrentPor-LH=40 unchanged'!H44)/100,2))*100</f>
        <v>9601.2395558122898</v>
      </c>
      <c r="E44">
        <f>(3/(1+('CurrentPor-LH=40 unchanged'!C44+'CurrentPor-LH=40 unchanged'!I44)/100)+103/POWER(1+('CurrentPor-LH=40 unchanged'!D44+'CurrentPor-LH=40 unchanged'!I44)/100,2))*100</f>
        <v>9574.7536717340699</v>
      </c>
      <c r="F44">
        <f>Portfolio!B$5*'CurrentPor-LH=40 unchanged'!E44</f>
        <v>52143.895533915893</v>
      </c>
      <c r="G44">
        <f>Portfolio!B$6*'CurrentPor-LH=40 unchanged'!F44</f>
        <v>3696.2945087936532</v>
      </c>
      <c r="H44">
        <f>Portfolio!B$7*'CurrentPor-LH=40 unchanged'!J44</f>
        <v>2148.0998964419859</v>
      </c>
      <c r="I44">
        <f t="shared" si="0"/>
        <v>96486.836302375086</v>
      </c>
      <c r="J44">
        <f t="shared" si="1"/>
        <v>-9.5611041613447014</v>
      </c>
    </row>
    <row r="45" spans="1:10">
      <c r="A45" s="1">
        <v>45532</v>
      </c>
      <c r="B45">
        <f>(3/(1+('CurrentPor-LH=40 unchanged'!C45)/100)+103/POWER(1+('CurrentPor-LH=40 unchanged'!D45)/100,2))*100</f>
        <v>9707.5857774288397</v>
      </c>
      <c r="C45">
        <f>(3/(1+('CurrentPor-LH=40 unchanged'!C45+'CurrentPor-LH=40 unchanged'!G45)/100)+103/POWER(1+('CurrentPor-LH=40 unchanged'!D45+'CurrentPor-LH=40 unchanged'!G45)/100,2))*100</f>
        <v>9614.9673582483465</v>
      </c>
      <c r="D45">
        <f>(3/(1+('CurrentPor-LH=40 unchanged'!C45+'CurrentPor-LH=40 unchanged'!H45)/100)+103/POWER(1+('CurrentPor-LH=40 unchanged'!D45+'CurrentPor-LH=40 unchanged'!H45)/100,2))*100</f>
        <v>9601.2395558122898</v>
      </c>
      <c r="E45">
        <f>(3/(1+('CurrentPor-LH=40 unchanged'!C45+'CurrentPor-LH=40 unchanged'!I45)/100)+103/POWER(1+('CurrentPor-LH=40 unchanged'!D45+'CurrentPor-LH=40 unchanged'!I45)/100,2))*100</f>
        <v>9571.6167387863989</v>
      </c>
      <c r="F45">
        <f>Portfolio!B$5*'CurrentPor-LH=40 unchanged'!E45</f>
        <v>52143.895533915893</v>
      </c>
      <c r="G45">
        <f>Portfolio!B$6*'CurrentPor-LH=40 unchanged'!F45</f>
        <v>3696.2945087936532</v>
      </c>
      <c r="H45">
        <f>Portfolio!B$7*'CurrentPor-LH=40 unchanged'!J45</f>
        <v>2148.0998964419859</v>
      </c>
      <c r="I45">
        <f t="shared" si="0"/>
        <v>96483.699369427413</v>
      </c>
      <c r="J45">
        <f t="shared" si="1"/>
        <v>-17.470299908047309</v>
      </c>
    </row>
    <row r="46" spans="1:10">
      <c r="A46" s="1">
        <v>45533</v>
      </c>
      <c r="B46">
        <f>(3/(1+('CurrentPor-LH=40 unchanged'!C46)/100)+103/POWER(1+('CurrentPor-LH=40 unchanged'!D46)/100,2))*100</f>
        <v>9707.5857774288397</v>
      </c>
      <c r="C46">
        <f>(3/(1+('CurrentPor-LH=40 unchanged'!C46+'CurrentPor-LH=40 unchanged'!G46)/100)+103/POWER(1+('CurrentPor-LH=40 unchanged'!D46+'CurrentPor-LH=40 unchanged'!G46)/100,2))*100</f>
        <v>9614.9673582483465</v>
      </c>
      <c r="D46">
        <f>(3/(1+('CurrentPor-LH=40 unchanged'!C46+'CurrentPor-LH=40 unchanged'!H46)/100)+103/POWER(1+('CurrentPor-LH=40 unchanged'!D46+'CurrentPor-LH=40 unchanged'!H46)/100,2))*100</f>
        <v>9601.2395558122898</v>
      </c>
      <c r="E46">
        <f>(3/(1+('CurrentPor-LH=40 unchanged'!C46+'CurrentPor-LH=40 unchanged'!I46)/100)+103/POWER(1+('CurrentPor-LH=40 unchanged'!D46+'CurrentPor-LH=40 unchanged'!I46)/100,2))*100</f>
        <v>9589.8382987553941</v>
      </c>
      <c r="F46">
        <f>Portfolio!B$5*'CurrentPor-LH=40 unchanged'!E46</f>
        <v>52143.895533915893</v>
      </c>
      <c r="G46">
        <f>Portfolio!B$6*'CurrentPor-LH=40 unchanged'!F46</f>
        <v>3696.2945087936532</v>
      </c>
      <c r="H46">
        <f>Portfolio!B$7*'CurrentPor-LH=40 unchanged'!J46</f>
        <v>2148.0998964419859</v>
      </c>
      <c r="I46">
        <f t="shared" si="0"/>
        <v>96501.920929396394</v>
      </c>
      <c r="J46">
        <f t="shared" si="1"/>
        <v>11.369850263668923</v>
      </c>
    </row>
    <row r="47" spans="1:10">
      <c r="A47" s="1">
        <v>45534</v>
      </c>
      <c r="B47">
        <f>(3/(1+('CurrentPor-LH=40 unchanged'!C47)/100)+103/POWER(1+('CurrentPor-LH=40 unchanged'!D47)/100,2))*100</f>
        <v>9707.5857774288397</v>
      </c>
      <c r="C47">
        <f>(3/(1+('CurrentPor-LH=40 unchanged'!C47+'CurrentPor-LH=40 unchanged'!G47)/100)+103/POWER(1+('CurrentPor-LH=40 unchanged'!D47+'CurrentPor-LH=40 unchanged'!G47)/100,2))*100</f>
        <v>9614.9673582483465</v>
      </c>
      <c r="D47">
        <f>(3/(1+('CurrentPor-LH=40 unchanged'!C47+'CurrentPor-LH=40 unchanged'!H47)/100)+103/POWER(1+('CurrentPor-LH=40 unchanged'!D47+'CurrentPor-LH=40 unchanged'!H47)/100,2))*100</f>
        <v>9601.2395558122898</v>
      </c>
      <c r="E47">
        <f>(3/(1+('CurrentPor-LH=40 unchanged'!C47+'CurrentPor-LH=40 unchanged'!I47)/100)+103/POWER(1+('CurrentPor-LH=40 unchanged'!D47+'CurrentPor-LH=40 unchanged'!I47)/100,2))*100</f>
        <v>9569.5287104064355</v>
      </c>
      <c r="F47">
        <f>Portfolio!B$5*'CurrentPor-LH=40 unchanged'!E47</f>
        <v>52143.895533915893</v>
      </c>
      <c r="G47">
        <f>Portfolio!B$6*'CurrentPor-LH=40 unchanged'!F47</f>
        <v>3696.2945087936532</v>
      </c>
      <c r="H47">
        <f>Portfolio!B$7*'CurrentPor-LH=40 unchanged'!J47</f>
        <v>2148.0998964419859</v>
      </c>
      <c r="I47">
        <f t="shared" si="0"/>
        <v>96481.611341047435</v>
      </c>
      <c r="J47">
        <f t="shared" si="1"/>
        <v>5.2099993368319701</v>
      </c>
    </row>
    <row r="48" spans="1:10">
      <c r="A48" s="1">
        <v>45537</v>
      </c>
      <c r="B48">
        <f>(3/(1+('CurrentPor-LH=40 unchanged'!C48)/100)+103/POWER(1+('CurrentPor-LH=40 unchanged'!D48)/100,2))*100</f>
        <v>9707.5857774288397</v>
      </c>
      <c r="C48">
        <f>(3/(1+('CurrentPor-LH=40 unchanged'!C48+'CurrentPor-LH=40 unchanged'!G48)/100)+103/POWER(1+('CurrentPor-LH=40 unchanged'!D48+'CurrentPor-LH=40 unchanged'!G48)/100,2))*100</f>
        <v>9614.9673582483465</v>
      </c>
      <c r="D48">
        <f>(3/(1+('CurrentPor-LH=40 unchanged'!C48+'CurrentPor-LH=40 unchanged'!H48)/100)+103/POWER(1+('CurrentPor-LH=40 unchanged'!D48+'CurrentPor-LH=40 unchanged'!H48)/100,2))*100</f>
        <v>9601.2395558122898</v>
      </c>
      <c r="E48">
        <f>(3/(1+('CurrentPor-LH=40 unchanged'!C48+'CurrentPor-LH=40 unchanged'!I48)/100)+103/POWER(1+('CurrentPor-LH=40 unchanged'!D48+'CurrentPor-LH=40 unchanged'!I48)/100,2))*100</f>
        <v>9590.3003375825592</v>
      </c>
      <c r="F48">
        <f>Portfolio!B$5*'CurrentPor-LH=40 unchanged'!E48</f>
        <v>52143.895533915893</v>
      </c>
      <c r="G48">
        <f>Portfolio!B$6*'CurrentPor-LH=40 unchanged'!F48</f>
        <v>3696.2945087936532</v>
      </c>
      <c r="H48">
        <f>Portfolio!B$7*'CurrentPor-LH=40 unchanged'!J48</f>
        <v>2148.0998964419859</v>
      </c>
      <c r="I48">
        <f t="shared" si="0"/>
        <v>96502.382968223566</v>
      </c>
      <c r="J48">
        <f t="shared" si="1"/>
        <v>17.273974766707397</v>
      </c>
    </row>
    <row r="49" spans="1:10">
      <c r="A49" s="1">
        <v>45538</v>
      </c>
      <c r="B49">
        <f>(3/(1+('CurrentPor-LH=40 unchanged'!C49)/100)+103/POWER(1+('CurrentPor-LH=40 unchanged'!D49)/100,2))*100</f>
        <v>9707.5857774288397</v>
      </c>
      <c r="C49">
        <f>(3/(1+('CurrentPor-LH=40 unchanged'!C49+'CurrentPor-LH=40 unchanged'!G49)/100)+103/POWER(1+('CurrentPor-LH=40 unchanged'!D49+'CurrentPor-LH=40 unchanged'!G49)/100,2))*100</f>
        <v>9614.9673582483465</v>
      </c>
      <c r="D49">
        <f>(3/(1+('CurrentPor-LH=40 unchanged'!C49+'CurrentPor-LH=40 unchanged'!H49)/100)+103/POWER(1+('CurrentPor-LH=40 unchanged'!D49+'CurrentPor-LH=40 unchanged'!H49)/100,2))*100</f>
        <v>9601.2395558122898</v>
      </c>
      <c r="E49">
        <f>(3/(1+('CurrentPor-LH=40 unchanged'!C49+'CurrentPor-LH=40 unchanged'!I49)/100)+103/POWER(1+('CurrentPor-LH=40 unchanged'!D49+'CurrentPor-LH=40 unchanged'!I49)/100,2))*100</f>
        <v>9590.3413399009332</v>
      </c>
      <c r="F49">
        <f>Portfolio!B$5*'CurrentPor-LH=40 unchanged'!E49</f>
        <v>52143.895533915893</v>
      </c>
      <c r="G49">
        <f>Portfolio!B$6*'CurrentPor-LH=40 unchanged'!F49</f>
        <v>3696.2945087936532</v>
      </c>
      <c r="H49">
        <f>Portfolio!B$7*'CurrentPor-LH=40 unchanged'!J49</f>
        <v>2148.0998964419859</v>
      </c>
      <c r="I49">
        <f t="shared" si="0"/>
        <v>96502.423970541931</v>
      </c>
      <c r="J49">
        <f t="shared" si="1"/>
        <v>7.7098771379969548</v>
      </c>
    </row>
    <row r="50" spans="1:10">
      <c r="A50" s="1">
        <v>45539</v>
      </c>
      <c r="B50">
        <f>(3/(1+('CurrentPor-LH=40 unchanged'!C50)/100)+103/POWER(1+('CurrentPor-LH=40 unchanged'!D50)/100,2))*100</f>
        <v>9707.5857774288397</v>
      </c>
      <c r="C50">
        <f>(3/(1+('CurrentPor-LH=40 unchanged'!C50+'CurrentPor-LH=40 unchanged'!G50)/100)+103/POWER(1+('CurrentPor-LH=40 unchanged'!D50+'CurrentPor-LH=40 unchanged'!G50)/100,2))*100</f>
        <v>9614.9673582483465</v>
      </c>
      <c r="D50">
        <f>(3/(1+('CurrentPor-LH=40 unchanged'!C50+'CurrentPor-LH=40 unchanged'!H50)/100)+103/POWER(1+('CurrentPor-LH=40 unchanged'!D50+'CurrentPor-LH=40 unchanged'!H50)/100,2))*100</f>
        <v>9601.2395558122898</v>
      </c>
      <c r="E50">
        <f>(3/(1+('CurrentPor-LH=40 unchanged'!C50+'CurrentPor-LH=40 unchanged'!I50)/100)+103/POWER(1+('CurrentPor-LH=40 unchanged'!D50+'CurrentPor-LH=40 unchanged'!I50)/100,2))*100</f>
        <v>9570.203985553504</v>
      </c>
      <c r="F50">
        <f>Portfolio!B$5*'CurrentPor-LH=40 unchanged'!E50</f>
        <v>52143.895533915893</v>
      </c>
      <c r="G50">
        <f>Portfolio!B$6*'CurrentPor-LH=40 unchanged'!F50</f>
        <v>3696.2945087936532</v>
      </c>
      <c r="H50">
        <f>Portfolio!B$7*'CurrentPor-LH=40 unchanged'!J50</f>
        <v>2148.0998964419859</v>
      </c>
      <c r="I50">
        <f t="shared" si="0"/>
        <v>96482.286616194513</v>
      </c>
      <c r="J50">
        <f t="shared" si="1"/>
        <v>-3.8609492481045891</v>
      </c>
    </row>
    <row r="51" spans="1:10">
      <c r="A51" s="1">
        <v>45540</v>
      </c>
      <c r="B51">
        <f>(3/(1+('CurrentPor-LH=40 unchanged'!C51)/100)+103/POWER(1+('CurrentPor-LH=40 unchanged'!D51)/100,2))*100</f>
        <v>9707.5857774288397</v>
      </c>
      <c r="C51">
        <f>(3/(1+('CurrentPor-LH=40 unchanged'!C51+'CurrentPor-LH=40 unchanged'!G51)/100)+103/POWER(1+('CurrentPor-LH=40 unchanged'!D51+'CurrentPor-LH=40 unchanged'!G51)/100,2))*100</f>
        <v>9614.9673582483465</v>
      </c>
      <c r="D51">
        <f>(3/(1+('CurrentPor-LH=40 unchanged'!C51+'CurrentPor-LH=40 unchanged'!H51)/100)+103/POWER(1+('CurrentPor-LH=40 unchanged'!D51+'CurrentPor-LH=40 unchanged'!H51)/100,2))*100</f>
        <v>9601.2395558122898</v>
      </c>
      <c r="E51">
        <f>(3/(1+('CurrentPor-LH=40 unchanged'!C51+'CurrentPor-LH=40 unchanged'!I51)/100)+103/POWER(1+('CurrentPor-LH=40 unchanged'!D51+'CurrentPor-LH=40 unchanged'!I51)/100,2))*100</f>
        <v>9583.1846081654312</v>
      </c>
      <c r="F51">
        <f>Portfolio!B$5*'CurrentPor-LH=40 unchanged'!E51</f>
        <v>52143.895533915893</v>
      </c>
      <c r="G51">
        <f>Portfolio!B$6*'CurrentPor-LH=40 unchanged'!F51</f>
        <v>3696.2945087936532</v>
      </c>
      <c r="H51">
        <f>Portfolio!B$7*'CurrentPor-LH=40 unchanged'!J51</f>
        <v>2148.0998964419859</v>
      </c>
      <c r="I51">
        <f t="shared" si="0"/>
        <v>96495.267238806438</v>
      </c>
      <c r="J51">
        <f t="shared" si="1"/>
        <v>-5.3996969300933415</v>
      </c>
    </row>
    <row r="52" spans="1:10">
      <c r="A52" s="1">
        <v>45541</v>
      </c>
      <c r="B52">
        <f>(3/(1+('CurrentPor-LH=40 unchanged'!C52)/100)+103/POWER(1+('CurrentPor-LH=40 unchanged'!D52)/100,2))*100</f>
        <v>9707.5857774288397</v>
      </c>
      <c r="C52">
        <f>(3/(1+('CurrentPor-LH=40 unchanged'!C52+'CurrentPor-LH=40 unchanged'!G52)/100)+103/POWER(1+('CurrentPor-LH=40 unchanged'!D52+'CurrentPor-LH=40 unchanged'!G52)/100,2))*100</f>
        <v>9614.9673582483465</v>
      </c>
      <c r="D52">
        <f>(3/(1+('CurrentPor-LH=40 unchanged'!C52+'CurrentPor-LH=40 unchanged'!H52)/100)+103/POWER(1+('CurrentPor-LH=40 unchanged'!D52+'CurrentPor-LH=40 unchanged'!H52)/100,2))*100</f>
        <v>9601.2395558122898</v>
      </c>
      <c r="E52">
        <f>(3/(1+('CurrentPor-LH=40 unchanged'!C52+'CurrentPor-LH=40 unchanged'!I52)/100)+103/POWER(1+('CurrentPor-LH=40 unchanged'!D52+'CurrentPor-LH=40 unchanged'!I52)/100,2))*100</f>
        <v>9586.3687063495854</v>
      </c>
      <c r="F52">
        <f>Portfolio!B$5*'CurrentPor-LH=40 unchanged'!E52</f>
        <v>52143.895533915893</v>
      </c>
      <c r="G52">
        <f>Portfolio!B$6*'CurrentPor-LH=40 unchanged'!F52</f>
        <v>3696.2945087936532</v>
      </c>
      <c r="H52">
        <f>Portfolio!B$7*'CurrentPor-LH=40 unchanged'!J52</f>
        <v>2148.0998964419859</v>
      </c>
      <c r="I52">
        <f t="shared" si="0"/>
        <v>96498.451336990591</v>
      </c>
      <c r="J52">
        <f t="shared" si="1"/>
        <v>3.4475385280675255</v>
      </c>
    </row>
    <row r="53" spans="1:10">
      <c r="A53" s="1">
        <v>45544</v>
      </c>
      <c r="B53">
        <f>(3/(1+('CurrentPor-LH=40 unchanged'!C53)/100)+103/POWER(1+('CurrentPor-LH=40 unchanged'!D53)/100,2))*100</f>
        <v>9707.5857774288397</v>
      </c>
      <c r="C53">
        <f>(3/(1+('CurrentPor-LH=40 unchanged'!C53+'CurrentPor-LH=40 unchanged'!G53)/100)+103/POWER(1+('CurrentPor-LH=40 unchanged'!D53+'CurrentPor-LH=40 unchanged'!G53)/100,2))*100</f>
        <v>9614.9673582483465</v>
      </c>
      <c r="D53">
        <f>(3/(1+('CurrentPor-LH=40 unchanged'!C53+'CurrentPor-LH=40 unchanged'!H53)/100)+103/POWER(1+('CurrentPor-LH=40 unchanged'!D53+'CurrentPor-LH=40 unchanged'!H53)/100,2))*100</f>
        <v>9601.2395558122898</v>
      </c>
      <c r="E53">
        <f>(3/(1+('CurrentPor-LH=40 unchanged'!C53+'CurrentPor-LH=40 unchanged'!I53)/100)+103/POWER(1+('CurrentPor-LH=40 unchanged'!D53+'CurrentPor-LH=40 unchanged'!I53)/100,2))*100</f>
        <v>9583.0441119525622</v>
      </c>
      <c r="F53">
        <f>Portfolio!B$5*'CurrentPor-LH=40 unchanged'!E53</f>
        <v>52143.895533915893</v>
      </c>
      <c r="G53">
        <f>Portfolio!B$6*'CurrentPor-LH=40 unchanged'!F53</f>
        <v>3696.2945087936532</v>
      </c>
      <c r="H53">
        <f>Portfolio!B$7*'CurrentPor-LH=40 unchanged'!J53</f>
        <v>2148.0998964419859</v>
      </c>
      <c r="I53">
        <f t="shared" si="0"/>
        <v>96495.12674259358</v>
      </c>
      <c r="J53">
        <f t="shared" si="1"/>
        <v>-9.1206805527035613</v>
      </c>
    </row>
    <row r="54" spans="1:10">
      <c r="A54" s="1">
        <v>45545</v>
      </c>
      <c r="B54">
        <f>(3/(1+('CurrentPor-LH=40 unchanged'!C54)/100)+103/POWER(1+('CurrentPor-LH=40 unchanged'!D54)/100,2))*100</f>
        <v>9707.5857774288397</v>
      </c>
      <c r="C54">
        <f>(3/(1+('CurrentPor-LH=40 unchanged'!C54+'CurrentPor-LH=40 unchanged'!G54)/100)+103/POWER(1+('CurrentPor-LH=40 unchanged'!D54+'CurrentPor-LH=40 unchanged'!G54)/100,2))*100</f>
        <v>9614.9673582483465</v>
      </c>
      <c r="D54">
        <f>(3/(1+('CurrentPor-LH=40 unchanged'!C54+'CurrentPor-LH=40 unchanged'!H54)/100)+103/POWER(1+('CurrentPor-LH=40 unchanged'!D54+'CurrentPor-LH=40 unchanged'!H54)/100,2))*100</f>
        <v>9601.2395558122898</v>
      </c>
      <c r="E54">
        <f>(3/(1+('CurrentPor-LH=40 unchanged'!C54+'CurrentPor-LH=40 unchanged'!I54)/100)+103/POWER(1+('CurrentPor-LH=40 unchanged'!D54+'CurrentPor-LH=40 unchanged'!I54)/100,2))*100</f>
        <v>9566.6917537939989</v>
      </c>
      <c r="F54">
        <f>Portfolio!B$5*'CurrentPor-LH=40 unchanged'!E54</f>
        <v>52143.895533915893</v>
      </c>
      <c r="G54">
        <f>Portfolio!B$6*'CurrentPor-LH=40 unchanged'!F54</f>
        <v>3696.2945087936532</v>
      </c>
      <c r="H54">
        <f>Portfolio!B$7*'CurrentPor-LH=40 unchanged'!J54</f>
        <v>2148.0998964419859</v>
      </c>
      <c r="I54">
        <f t="shared" si="0"/>
        <v>96478.774384435019</v>
      </c>
      <c r="J54">
        <f t="shared" si="1"/>
        <v>-8.0619179400673602</v>
      </c>
    </row>
    <row r="55" spans="1:10">
      <c r="A55" s="1">
        <v>45546</v>
      </c>
      <c r="B55">
        <f>(3/(1+('CurrentPor-LH=40 unchanged'!C55)/100)+103/POWER(1+('CurrentPor-LH=40 unchanged'!D55)/100,2))*100</f>
        <v>9707.5857774288397</v>
      </c>
      <c r="C55">
        <f>(3/(1+('CurrentPor-LH=40 unchanged'!C55+'CurrentPor-LH=40 unchanged'!G55)/100)+103/POWER(1+('CurrentPor-LH=40 unchanged'!D55+'CurrentPor-LH=40 unchanged'!G55)/100,2))*100</f>
        <v>9614.9673582483465</v>
      </c>
      <c r="D55">
        <f>(3/(1+('CurrentPor-LH=40 unchanged'!C55+'CurrentPor-LH=40 unchanged'!H55)/100)+103/POWER(1+('CurrentPor-LH=40 unchanged'!D55+'CurrentPor-LH=40 unchanged'!H55)/100,2))*100</f>
        <v>9601.2395558122898</v>
      </c>
      <c r="E55">
        <f>(3/(1+('CurrentPor-LH=40 unchanged'!C55+'CurrentPor-LH=40 unchanged'!I55)/100)+103/POWER(1+('CurrentPor-LH=40 unchanged'!D55+'CurrentPor-LH=40 unchanged'!I55)/100,2))*100</f>
        <v>9603.2309081021631</v>
      </c>
      <c r="F55">
        <f>Portfolio!B$5*'CurrentPor-LH=40 unchanged'!E55</f>
        <v>52143.895533915893</v>
      </c>
      <c r="G55">
        <f>Portfolio!B$6*'CurrentPor-LH=40 unchanged'!F55</f>
        <v>3696.2945087936532</v>
      </c>
      <c r="H55">
        <f>Portfolio!B$7*'CurrentPor-LH=40 unchanged'!J55</f>
        <v>2148.0998964419859</v>
      </c>
      <c r="I55">
        <f t="shared" si="0"/>
        <v>96515.313538743168</v>
      </c>
      <c r="J55">
        <f t="shared" si="1"/>
        <v>31.614169315755134</v>
      </c>
    </row>
    <row r="56" spans="1:10">
      <c r="A56" s="1">
        <v>45547</v>
      </c>
      <c r="B56">
        <f>(3/(1+('CurrentPor-LH=40 unchanged'!C56)/100)+103/POWER(1+('CurrentPor-LH=40 unchanged'!D56)/100,2))*100</f>
        <v>9707.5857774288397</v>
      </c>
      <c r="C56">
        <f>(3/(1+('CurrentPor-LH=40 unchanged'!C56+'CurrentPor-LH=40 unchanged'!G56)/100)+103/POWER(1+('CurrentPor-LH=40 unchanged'!D56+'CurrentPor-LH=40 unchanged'!G56)/100,2))*100</f>
        <v>9614.9673582483465</v>
      </c>
      <c r="D56">
        <f>(3/(1+('CurrentPor-LH=40 unchanged'!C56+'CurrentPor-LH=40 unchanged'!H56)/100)+103/POWER(1+('CurrentPor-LH=40 unchanged'!D56+'CurrentPor-LH=40 unchanged'!H56)/100,2))*100</f>
        <v>9601.2395558122898</v>
      </c>
      <c r="E56">
        <f>(3/(1+('CurrentPor-LH=40 unchanged'!C56+'CurrentPor-LH=40 unchanged'!I56)/100)+103/POWER(1+('CurrentPor-LH=40 unchanged'!D56+'CurrentPor-LH=40 unchanged'!I56)/100,2))*100</f>
        <v>9597.5296176276133</v>
      </c>
      <c r="F56">
        <f>Portfolio!B$5*'CurrentPor-LH=40 unchanged'!E56</f>
        <v>52143.895533915893</v>
      </c>
      <c r="G56">
        <f>Portfolio!B$6*'CurrentPor-LH=40 unchanged'!F56</f>
        <v>3696.2945087936532</v>
      </c>
      <c r="H56">
        <f>Portfolio!B$7*'CurrentPor-LH=40 unchanged'!J56</f>
        <v>2148.0998964419859</v>
      </c>
      <c r="I56">
        <f t="shared" si="0"/>
        <v>96509.612248268633</v>
      </c>
      <c r="J56">
        <f t="shared" si="1"/>
        <v>7.6913188722392078</v>
      </c>
    </row>
    <row r="57" spans="1:10">
      <c r="A57" s="1">
        <v>45548</v>
      </c>
      <c r="B57">
        <f>(3/(1+('CurrentPor-LH=40 unchanged'!C57)/100)+103/POWER(1+('CurrentPor-LH=40 unchanged'!D57)/100,2))*100</f>
        <v>9707.5857774288397</v>
      </c>
      <c r="C57">
        <f>(3/(1+('CurrentPor-LH=40 unchanged'!C57+'CurrentPor-LH=40 unchanged'!G57)/100)+103/POWER(1+('CurrentPor-LH=40 unchanged'!D57+'CurrentPor-LH=40 unchanged'!G57)/100,2))*100</f>
        <v>9614.9673582483465</v>
      </c>
      <c r="D57">
        <f>(3/(1+('CurrentPor-LH=40 unchanged'!C57+'CurrentPor-LH=40 unchanged'!H57)/100)+103/POWER(1+('CurrentPor-LH=40 unchanged'!D57+'CurrentPor-LH=40 unchanged'!H57)/100,2))*100</f>
        <v>9601.2395558122898</v>
      </c>
      <c r="E57">
        <f>(3/(1+('CurrentPor-LH=40 unchanged'!C57+'CurrentPor-LH=40 unchanged'!I57)/100)+103/POWER(1+('CurrentPor-LH=40 unchanged'!D57+'CurrentPor-LH=40 unchanged'!I57)/100,2))*100</f>
        <v>9598.7927141535511</v>
      </c>
      <c r="F57">
        <f>Portfolio!B$5*'CurrentPor-LH=40 unchanged'!E57</f>
        <v>52143.895533915893</v>
      </c>
      <c r="G57">
        <f>Portfolio!B$6*'CurrentPor-LH=40 unchanged'!F57</f>
        <v>3696.2945087936532</v>
      </c>
      <c r="H57">
        <f>Portfolio!B$7*'CurrentPor-LH=40 unchanged'!J57</f>
        <v>2148.0998964419859</v>
      </c>
      <c r="I57">
        <f t="shared" si="0"/>
        <v>96510.875344794549</v>
      </c>
      <c r="J57">
        <f t="shared" si="1"/>
        <v>29.264003747113748</v>
      </c>
    </row>
    <row r="58" spans="1:10">
      <c r="A58" s="1">
        <v>45551</v>
      </c>
      <c r="B58">
        <f>(3/(1+('CurrentPor-LH=40 unchanged'!C58)/100)+103/POWER(1+('CurrentPor-LH=40 unchanged'!D58)/100,2))*100</f>
        <v>9707.5857774288397</v>
      </c>
      <c r="C58">
        <f>(3/(1+('CurrentPor-LH=40 unchanged'!C58+'CurrentPor-LH=40 unchanged'!G58)/100)+103/POWER(1+('CurrentPor-LH=40 unchanged'!D58+'CurrentPor-LH=40 unchanged'!G58)/100,2))*100</f>
        <v>9614.9673582483465</v>
      </c>
      <c r="D58">
        <f>(3/(1+('CurrentPor-LH=40 unchanged'!C58+'CurrentPor-LH=40 unchanged'!H58)/100)+103/POWER(1+('CurrentPor-LH=40 unchanged'!D58+'CurrentPor-LH=40 unchanged'!H58)/100,2))*100</f>
        <v>9601.2395558122898</v>
      </c>
      <c r="E58">
        <f>(3/(1+('CurrentPor-LH=40 unchanged'!C58+'CurrentPor-LH=40 unchanged'!I58)/100)+103/POWER(1+('CurrentPor-LH=40 unchanged'!D58+'CurrentPor-LH=40 unchanged'!I58)/100,2))*100</f>
        <v>9559.5181505570472</v>
      </c>
      <c r="F58">
        <f>Portfolio!B$5*'CurrentPor-LH=40 unchanged'!E58</f>
        <v>52143.895533915893</v>
      </c>
      <c r="G58">
        <f>Portfolio!B$6*'CurrentPor-LH=40 unchanged'!F58</f>
        <v>3696.2945087936532</v>
      </c>
      <c r="H58">
        <f>Portfolio!B$7*'CurrentPor-LH=40 unchanged'!J58</f>
        <v>2148.0998964419859</v>
      </c>
      <c r="I58">
        <f t="shared" si="0"/>
        <v>96471.600781198053</v>
      </c>
      <c r="J58">
        <f t="shared" si="1"/>
        <v>-30.782187025513849</v>
      </c>
    </row>
    <row r="59" spans="1:10">
      <c r="A59" s="1">
        <v>45552</v>
      </c>
      <c r="B59">
        <f>(3/(1+('CurrentPor-LH=40 unchanged'!C59)/100)+103/POWER(1+('CurrentPor-LH=40 unchanged'!D59)/100,2))*100</f>
        <v>9707.5857774288397</v>
      </c>
      <c r="C59">
        <f>(3/(1+('CurrentPor-LH=40 unchanged'!C59+'CurrentPor-LH=40 unchanged'!G59)/100)+103/POWER(1+('CurrentPor-LH=40 unchanged'!D59+'CurrentPor-LH=40 unchanged'!G59)/100,2))*100</f>
        <v>9614.9673582483465</v>
      </c>
      <c r="D59">
        <f>(3/(1+('CurrentPor-LH=40 unchanged'!C59+'CurrentPor-LH=40 unchanged'!H59)/100)+103/POWER(1+('CurrentPor-LH=40 unchanged'!D59+'CurrentPor-LH=40 unchanged'!H59)/100,2))*100</f>
        <v>9601.2395558122898</v>
      </c>
      <c r="E59">
        <f>(3/(1+('CurrentPor-LH=40 unchanged'!C59+'CurrentPor-LH=40 unchanged'!I59)/100)+103/POWER(1+('CurrentPor-LH=40 unchanged'!D59+'CurrentPor-LH=40 unchanged'!I59)/100,2))*100</f>
        <v>9582.4901781625395</v>
      </c>
      <c r="F59">
        <f>Portfolio!B$5*'CurrentPor-LH=40 unchanged'!E59</f>
        <v>52143.895533915893</v>
      </c>
      <c r="G59">
        <f>Portfolio!B$6*'CurrentPor-LH=40 unchanged'!F59</f>
        <v>3696.2945087936532</v>
      </c>
      <c r="H59">
        <f>Portfolio!B$7*'CurrentPor-LH=40 unchanged'!J59</f>
        <v>2148.0998964419859</v>
      </c>
      <c r="I59">
        <f t="shared" si="0"/>
        <v>96494.572808803539</v>
      </c>
      <c r="J59">
        <f t="shared" si="1"/>
        <v>-7.8511617383919656</v>
      </c>
    </row>
    <row r="60" spans="1:10">
      <c r="A60" s="1">
        <v>45553</v>
      </c>
      <c r="B60">
        <f>(3/(1+('CurrentPor-LH=40 unchanged'!C60)/100)+103/POWER(1+('CurrentPor-LH=40 unchanged'!D60)/100,2))*100</f>
        <v>9707.5857774288397</v>
      </c>
      <c r="C60">
        <f>(3/(1+('CurrentPor-LH=40 unchanged'!C60+'CurrentPor-LH=40 unchanged'!G60)/100)+103/POWER(1+('CurrentPor-LH=40 unchanged'!D60+'CurrentPor-LH=40 unchanged'!G60)/100,2))*100</f>
        <v>9614.9673582483465</v>
      </c>
      <c r="D60">
        <f>(3/(1+('CurrentPor-LH=40 unchanged'!C60+'CurrentPor-LH=40 unchanged'!H60)/100)+103/POWER(1+('CurrentPor-LH=40 unchanged'!D60+'CurrentPor-LH=40 unchanged'!H60)/100,2))*100</f>
        <v>9601.2395558122898</v>
      </c>
      <c r="E60">
        <f>(3/(1+('CurrentPor-LH=40 unchanged'!C60+'CurrentPor-LH=40 unchanged'!I60)/100)+103/POWER(1+('CurrentPor-LH=40 unchanged'!D60+'CurrentPor-LH=40 unchanged'!I60)/100,2))*100</f>
        <v>9566.4347514590008</v>
      </c>
      <c r="F60">
        <f>Portfolio!B$5*'CurrentPor-LH=40 unchanged'!E60</f>
        <v>52143.895533915893</v>
      </c>
      <c r="G60">
        <f>Portfolio!B$6*'CurrentPor-LH=40 unchanged'!F60</f>
        <v>3696.2945087936532</v>
      </c>
      <c r="H60">
        <f>Portfolio!B$7*'CurrentPor-LH=40 unchanged'!J60</f>
        <v>2148.0998964419859</v>
      </c>
      <c r="I60">
        <f t="shared" si="0"/>
        <v>96478.517382100006</v>
      </c>
      <c r="J60">
        <f t="shared" si="1"/>
        <v>-3.7692340945068281</v>
      </c>
    </row>
    <row r="61" spans="1:10">
      <c r="A61" s="1">
        <v>45554</v>
      </c>
      <c r="B61">
        <f>(3/(1+('CurrentPor-LH=40 unchanged'!C61)/100)+103/POWER(1+('CurrentPor-LH=40 unchanged'!D61)/100,2))*100</f>
        <v>9707.5857774288397</v>
      </c>
      <c r="C61">
        <f>(3/(1+('CurrentPor-LH=40 unchanged'!C61+'CurrentPor-LH=40 unchanged'!G61)/100)+103/POWER(1+('CurrentPor-LH=40 unchanged'!D61+'CurrentPor-LH=40 unchanged'!G61)/100,2))*100</f>
        <v>9614.9673582483465</v>
      </c>
      <c r="D61">
        <f>(3/(1+('CurrentPor-LH=40 unchanged'!C61+'CurrentPor-LH=40 unchanged'!H61)/100)+103/POWER(1+('CurrentPor-LH=40 unchanged'!D61+'CurrentPor-LH=40 unchanged'!H61)/100,2))*100</f>
        <v>9601.2395558122898</v>
      </c>
      <c r="E61">
        <f>(3/(1+('CurrentPor-LH=40 unchanged'!C61+'CurrentPor-LH=40 unchanged'!I61)/100)+103/POWER(1+('CurrentPor-LH=40 unchanged'!D61+'CurrentPor-LH=40 unchanged'!I61)/100,2))*100</f>
        <v>9592.7661357415473</v>
      </c>
      <c r="F61">
        <f>Portfolio!B$5*'CurrentPor-LH=40 unchanged'!E61</f>
        <v>52143.895533915893</v>
      </c>
      <c r="G61">
        <f>Portfolio!B$6*'CurrentPor-LH=40 unchanged'!F61</f>
        <v>3696.2945087936532</v>
      </c>
      <c r="H61">
        <f>Portfolio!B$7*'CurrentPor-LH=40 unchanged'!J61</f>
        <v>2148.0998964419859</v>
      </c>
      <c r="I61">
        <f t="shared" si="0"/>
        <v>96504.848766382565</v>
      </c>
      <c r="J61">
        <f t="shared" si="1"/>
        <v>9.5815275761269731</v>
      </c>
    </row>
    <row r="62" spans="1:10">
      <c r="A62" s="1">
        <v>45555</v>
      </c>
      <c r="B62">
        <f>(3/(1+('CurrentPor-LH=40 unchanged'!C62)/100)+103/POWER(1+('CurrentPor-LH=40 unchanged'!D62)/100,2))*100</f>
        <v>9707.5857774288397</v>
      </c>
      <c r="C62">
        <f>(3/(1+('CurrentPor-LH=40 unchanged'!C62+'CurrentPor-LH=40 unchanged'!G62)/100)+103/POWER(1+('CurrentPor-LH=40 unchanged'!D62+'CurrentPor-LH=40 unchanged'!G62)/100,2))*100</f>
        <v>9614.9673582483465</v>
      </c>
      <c r="D62">
        <f>(3/(1+('CurrentPor-LH=40 unchanged'!C62+'CurrentPor-LH=40 unchanged'!H62)/100)+103/POWER(1+('CurrentPor-LH=40 unchanged'!D62+'CurrentPor-LH=40 unchanged'!H62)/100,2))*100</f>
        <v>9601.2395558122898</v>
      </c>
      <c r="E62">
        <f>(3/(1+('CurrentPor-LH=40 unchanged'!C62+'CurrentPor-LH=40 unchanged'!I62)/100)+103/POWER(1+('CurrentPor-LH=40 unchanged'!D62+'CurrentPor-LH=40 unchanged'!I62)/100,2))*100</f>
        <v>9590.8568916276527</v>
      </c>
      <c r="F62">
        <f>Portfolio!B$5*'CurrentPor-LH=40 unchanged'!E62</f>
        <v>52143.895533915893</v>
      </c>
      <c r="G62">
        <f>Portfolio!B$6*'CurrentPor-LH=40 unchanged'!F62</f>
        <v>3696.2945087936532</v>
      </c>
      <c r="H62">
        <f>Portfolio!B$7*'CurrentPor-LH=40 unchanged'!J62</f>
        <v>2148.0998964419859</v>
      </c>
      <c r="I62">
        <f t="shared" si="0"/>
        <v>96502.939522268673</v>
      </c>
      <c r="J62">
        <f t="shared" si="1"/>
        <v>4.4881852780818008</v>
      </c>
    </row>
    <row r="63" spans="1:10">
      <c r="A63" s="1">
        <v>45558</v>
      </c>
      <c r="B63">
        <f>(3/(1+('CurrentPor-LH=40 unchanged'!C63)/100)+103/POWER(1+('CurrentPor-LH=40 unchanged'!D63)/100,2))*100</f>
        <v>9707.5857774288397</v>
      </c>
      <c r="C63">
        <f>(3/(1+('CurrentPor-LH=40 unchanged'!C63+'CurrentPor-LH=40 unchanged'!G63)/100)+103/POWER(1+('CurrentPor-LH=40 unchanged'!D63+'CurrentPor-LH=40 unchanged'!G63)/100,2))*100</f>
        <v>9614.9673582483465</v>
      </c>
      <c r="D63">
        <f>(3/(1+('CurrentPor-LH=40 unchanged'!C63+'CurrentPor-LH=40 unchanged'!H63)/100)+103/POWER(1+('CurrentPor-LH=40 unchanged'!D63+'CurrentPor-LH=40 unchanged'!H63)/100,2))*100</f>
        <v>9601.2395558122898</v>
      </c>
      <c r="E63">
        <f>(3/(1+('CurrentPor-LH=40 unchanged'!C63+'CurrentPor-LH=40 unchanged'!I63)/100)+103/POWER(1+('CurrentPor-LH=40 unchanged'!D63+'CurrentPor-LH=40 unchanged'!I63)/100,2))*100</f>
        <v>9595.6143873189121</v>
      </c>
      <c r="F63">
        <f>Portfolio!B$5*'CurrentPor-LH=40 unchanged'!E63</f>
        <v>52143.895533915893</v>
      </c>
      <c r="G63">
        <f>Portfolio!B$6*'CurrentPor-LH=40 unchanged'!F63</f>
        <v>3696.2945087936532</v>
      </c>
      <c r="H63">
        <f>Portfolio!B$7*'CurrentPor-LH=40 unchanged'!J63</f>
        <v>2148.0998964419859</v>
      </c>
      <c r="I63">
        <f t="shared" si="0"/>
        <v>96507.697017959916</v>
      </c>
      <c r="J63">
        <f t="shared" si="1"/>
        <v>12.570275366335409</v>
      </c>
    </row>
    <row r="64" spans="1:10">
      <c r="A64" s="1">
        <v>45559</v>
      </c>
      <c r="B64">
        <f>(3/(1+('CurrentPor-LH=40 unchanged'!C64)/100)+103/POWER(1+('CurrentPor-LH=40 unchanged'!D64)/100,2))*100</f>
        <v>9707.5857774288397</v>
      </c>
      <c r="C64">
        <f>(3/(1+('CurrentPor-LH=40 unchanged'!C64+'CurrentPor-LH=40 unchanged'!G64)/100)+103/POWER(1+('CurrentPor-LH=40 unchanged'!D64+'CurrentPor-LH=40 unchanged'!G64)/100,2))*100</f>
        <v>9614.9673582483465</v>
      </c>
      <c r="D64">
        <f>(3/(1+('CurrentPor-LH=40 unchanged'!C64+'CurrentPor-LH=40 unchanged'!H64)/100)+103/POWER(1+('CurrentPor-LH=40 unchanged'!D64+'CurrentPor-LH=40 unchanged'!H64)/100,2))*100</f>
        <v>9601.2395558122898</v>
      </c>
      <c r="E64">
        <f>(3/(1+('CurrentPor-LH=40 unchanged'!C64+'CurrentPor-LH=40 unchanged'!I64)/100)+103/POWER(1+('CurrentPor-LH=40 unchanged'!D64+'CurrentPor-LH=40 unchanged'!I64)/100,2))*100</f>
        <v>9578.2768582215249</v>
      </c>
      <c r="F64">
        <f>Portfolio!B$5*'CurrentPor-LH=40 unchanged'!E64</f>
        <v>52143.895533915893</v>
      </c>
      <c r="G64">
        <f>Portfolio!B$6*'CurrentPor-LH=40 unchanged'!F64</f>
        <v>3696.2945087936532</v>
      </c>
      <c r="H64">
        <f>Portfolio!B$7*'CurrentPor-LH=40 unchanged'!J64</f>
        <v>2148.0998964419859</v>
      </c>
      <c r="I64">
        <f t="shared" si="0"/>
        <v>96490.359488862523</v>
      </c>
      <c r="J64">
        <f t="shared" si="1"/>
        <v>11.58510442750412</v>
      </c>
    </row>
    <row r="65" spans="1:10">
      <c r="A65" s="1">
        <v>45560</v>
      </c>
      <c r="B65">
        <f>(3/(1+('CurrentPor-LH=40 unchanged'!C65)/100)+103/POWER(1+('CurrentPor-LH=40 unchanged'!D65)/100,2))*100</f>
        <v>9707.5857774288397</v>
      </c>
      <c r="C65">
        <f>(3/(1+('CurrentPor-LH=40 unchanged'!C65+'CurrentPor-LH=40 unchanged'!G65)/100)+103/POWER(1+('CurrentPor-LH=40 unchanged'!D65+'CurrentPor-LH=40 unchanged'!G65)/100,2))*100</f>
        <v>9614.9673582483465</v>
      </c>
      <c r="D65">
        <f>(3/(1+('CurrentPor-LH=40 unchanged'!C65+'CurrentPor-LH=40 unchanged'!H65)/100)+103/POWER(1+('CurrentPor-LH=40 unchanged'!D65+'CurrentPor-LH=40 unchanged'!H65)/100,2))*100</f>
        <v>9601.2395558122898</v>
      </c>
      <c r="E65">
        <f>(3/(1+('CurrentPor-LH=40 unchanged'!C65+'CurrentPor-LH=40 unchanged'!I65)/100)+103/POWER(1+('CurrentPor-LH=40 unchanged'!D65+'CurrentPor-LH=40 unchanged'!I65)/100,2))*100</f>
        <v>9574.2611146235413</v>
      </c>
      <c r="F65">
        <f>Portfolio!B$5*'CurrentPor-LH=40 unchanged'!E65</f>
        <v>52143.895533915893</v>
      </c>
      <c r="G65">
        <f>Portfolio!B$6*'CurrentPor-LH=40 unchanged'!F65</f>
        <v>3696.2945087936532</v>
      </c>
      <c r="H65">
        <f>Portfolio!B$7*'CurrentPor-LH=40 unchanged'!J65</f>
        <v>2148.0998964419859</v>
      </c>
      <c r="I65">
        <f t="shared" si="0"/>
        <v>96486.343745264559</v>
      </c>
      <c r="J65">
        <f t="shared" si="1"/>
        <v>-28.969793478609063</v>
      </c>
    </row>
    <row r="66" spans="1:10">
      <c r="A66" s="1">
        <v>45561</v>
      </c>
      <c r="B66">
        <f>(3/(1+('CurrentPor-LH=40 unchanged'!C66)/100)+103/POWER(1+('CurrentPor-LH=40 unchanged'!D66)/100,2))*100</f>
        <v>9707.5857774288397</v>
      </c>
      <c r="C66">
        <f>(3/(1+('CurrentPor-LH=40 unchanged'!C66+'CurrentPor-LH=40 unchanged'!G66)/100)+103/POWER(1+('CurrentPor-LH=40 unchanged'!D66+'CurrentPor-LH=40 unchanged'!G66)/100,2))*100</f>
        <v>9614.9673582483465</v>
      </c>
      <c r="D66">
        <f>(3/(1+('CurrentPor-LH=40 unchanged'!C66+'CurrentPor-LH=40 unchanged'!H66)/100)+103/POWER(1+('CurrentPor-LH=40 unchanged'!D66+'CurrentPor-LH=40 unchanged'!H66)/100,2))*100</f>
        <v>9601.2395558122898</v>
      </c>
      <c r="E66">
        <f>(3/(1+('CurrentPor-LH=40 unchanged'!C66+'CurrentPor-LH=40 unchanged'!I66)/100)+103/POWER(1+('CurrentPor-LH=40 unchanged'!D66+'CurrentPor-LH=40 unchanged'!I66)/100,2))*100</f>
        <v>9561.1428414668553</v>
      </c>
      <c r="F66">
        <f>Portfolio!B$5*'CurrentPor-LH=40 unchanged'!E66</f>
        <v>52143.895533915893</v>
      </c>
      <c r="G66">
        <f>Portfolio!B$6*'CurrentPor-LH=40 unchanged'!F66</f>
        <v>3696.2945087936532</v>
      </c>
      <c r="H66">
        <f>Portfolio!B$7*'CurrentPor-LH=40 unchanged'!J66</f>
        <v>2148.0998964419859</v>
      </c>
      <c r="I66">
        <f t="shared" si="0"/>
        <v>96473.225472107864</v>
      </c>
      <c r="J66">
        <f t="shared" si="1"/>
        <v>-36.386776160768932</v>
      </c>
    </row>
    <row r="67" spans="1:10">
      <c r="A67" s="1">
        <v>45562</v>
      </c>
      <c r="B67">
        <f>(3/(1+('CurrentPor-LH=40 unchanged'!C67)/100)+103/POWER(1+('CurrentPor-LH=40 unchanged'!D67)/100,2))*100</f>
        <v>9707.5857774288397</v>
      </c>
      <c r="C67">
        <f>(3/(1+('CurrentPor-LH=40 unchanged'!C67+'CurrentPor-LH=40 unchanged'!G67)/100)+103/POWER(1+('CurrentPor-LH=40 unchanged'!D67+'CurrentPor-LH=40 unchanged'!G67)/100,2))*100</f>
        <v>9614.9673582483465</v>
      </c>
      <c r="D67">
        <f>(3/(1+('CurrentPor-LH=40 unchanged'!C67+'CurrentPor-LH=40 unchanged'!H67)/100)+103/POWER(1+('CurrentPor-LH=40 unchanged'!D67+'CurrentPor-LH=40 unchanged'!H67)/100,2))*100</f>
        <v>9601.2395558122898</v>
      </c>
      <c r="E67">
        <f>(3/(1+('CurrentPor-LH=40 unchanged'!C67+'CurrentPor-LH=40 unchanged'!I67)/100)+103/POWER(1+('CurrentPor-LH=40 unchanged'!D67+'CurrentPor-LH=40 unchanged'!I67)/100,2))*100</f>
        <v>9583.5545570456579</v>
      </c>
      <c r="F67">
        <f>Portfolio!B$5*'CurrentPor-LH=40 unchanged'!E67</f>
        <v>52143.895533915893</v>
      </c>
      <c r="G67">
        <f>Portfolio!B$6*'CurrentPor-LH=40 unchanged'!F67</f>
        <v>3696.2945087936532</v>
      </c>
      <c r="H67">
        <f>Portfolio!B$7*'CurrentPor-LH=40 unchanged'!J67</f>
        <v>2148.0998964419859</v>
      </c>
      <c r="I67">
        <f t="shared" si="0"/>
        <v>96495.637187686676</v>
      </c>
      <c r="J67">
        <f t="shared" si="1"/>
        <v>-15.238157107873121</v>
      </c>
    </row>
    <row r="68" spans="1:10">
      <c r="A68" s="1">
        <v>45565</v>
      </c>
      <c r="B68">
        <f>(3/(1+('CurrentPor-LH=40 unchanged'!C68)/100)+103/POWER(1+('CurrentPor-LH=40 unchanged'!D68)/100,2))*100</f>
        <v>9707.5857774288397</v>
      </c>
      <c r="C68">
        <f>(3/(1+('CurrentPor-LH=40 unchanged'!C68+'CurrentPor-LH=40 unchanged'!G68)/100)+103/POWER(1+('CurrentPor-LH=40 unchanged'!D68+'CurrentPor-LH=40 unchanged'!G68)/100,2))*100</f>
        <v>9614.9673582483465</v>
      </c>
      <c r="D68">
        <f>(3/(1+('CurrentPor-LH=40 unchanged'!C68+'CurrentPor-LH=40 unchanged'!H68)/100)+103/POWER(1+('CurrentPor-LH=40 unchanged'!D68+'CurrentPor-LH=40 unchanged'!H68)/100,2))*100</f>
        <v>9601.2395558122898</v>
      </c>
      <c r="E68">
        <f>(3/(1+('CurrentPor-LH=40 unchanged'!C68+'CurrentPor-LH=40 unchanged'!I68)/100)+103/POWER(1+('CurrentPor-LH=40 unchanged'!D68+'CurrentPor-LH=40 unchanged'!I68)/100,2))*100</f>
        <v>9575.6047934174803</v>
      </c>
      <c r="F68">
        <f>Portfolio!B$5*'CurrentPor-LH=40 unchanged'!E68</f>
        <v>52143.895533915893</v>
      </c>
      <c r="G68">
        <f>Portfolio!B$6*'CurrentPor-LH=40 unchanged'!F68</f>
        <v>3696.2945087936532</v>
      </c>
      <c r="H68">
        <f>Portfolio!B$7*'CurrentPor-LH=40 unchanged'!J68</f>
        <v>2148.0998964419859</v>
      </c>
      <c r="I68">
        <f t="shared" ref="I68:I131" si="2">SUM(B68:H68)</f>
        <v>96487.687424058488</v>
      </c>
      <c r="J68">
        <f t="shared" si="1"/>
        <v>16.086642860434949</v>
      </c>
    </row>
    <row r="69" spans="1:10">
      <c r="A69" s="1">
        <v>45566</v>
      </c>
      <c r="B69">
        <f>(3/(1+('CurrentPor-LH=40 unchanged'!C69)/100)+103/POWER(1+('CurrentPor-LH=40 unchanged'!D69)/100,2))*100</f>
        <v>9707.5857774288397</v>
      </c>
      <c r="C69">
        <f>(3/(1+('CurrentPor-LH=40 unchanged'!C69+'CurrentPor-LH=40 unchanged'!G69)/100)+103/POWER(1+('CurrentPor-LH=40 unchanged'!D69+'CurrentPor-LH=40 unchanged'!G69)/100,2))*100</f>
        <v>9614.9673582483465</v>
      </c>
      <c r="D69">
        <f>(3/(1+('CurrentPor-LH=40 unchanged'!C69+'CurrentPor-LH=40 unchanged'!H69)/100)+103/POWER(1+('CurrentPor-LH=40 unchanged'!D69+'CurrentPor-LH=40 unchanged'!H69)/100,2))*100</f>
        <v>9601.2395558122898</v>
      </c>
      <c r="E69">
        <f>(3/(1+('CurrentPor-LH=40 unchanged'!C69+'CurrentPor-LH=40 unchanged'!I69)/100)+103/POWER(1+('CurrentPor-LH=40 unchanged'!D69+'CurrentPor-LH=40 unchanged'!I69)/100,2))*100</f>
        <v>9568.5382968260747</v>
      </c>
      <c r="F69">
        <f>Portfolio!B$5*'CurrentPor-LH=40 unchanged'!E69</f>
        <v>52143.895533915893</v>
      </c>
      <c r="G69">
        <f>Portfolio!B$6*'CurrentPor-LH=40 unchanged'!F69</f>
        <v>3696.2945087936532</v>
      </c>
      <c r="H69">
        <f>Portfolio!B$7*'CurrentPor-LH=40 unchanged'!J69</f>
        <v>2148.0998964419859</v>
      </c>
      <c r="I69">
        <f t="shared" si="2"/>
        <v>96480.620927467084</v>
      </c>
      <c r="J69">
        <f t="shared" si="1"/>
        <v>-13.951881336455699</v>
      </c>
    </row>
    <row r="70" spans="1:10">
      <c r="A70" s="1">
        <v>45567</v>
      </c>
      <c r="B70">
        <f>(3/(1+('CurrentPor-LH=40 unchanged'!C70)/100)+103/POWER(1+('CurrentPor-LH=40 unchanged'!D70)/100,2))*100</f>
        <v>9707.5857774288397</v>
      </c>
      <c r="C70">
        <f>(3/(1+('CurrentPor-LH=40 unchanged'!C70+'CurrentPor-LH=40 unchanged'!G70)/100)+103/POWER(1+('CurrentPor-LH=40 unchanged'!D70+'CurrentPor-LH=40 unchanged'!G70)/100,2))*100</f>
        <v>9614.9673582483465</v>
      </c>
      <c r="D70">
        <f>(3/(1+('CurrentPor-LH=40 unchanged'!C70+'CurrentPor-LH=40 unchanged'!H70)/100)+103/POWER(1+('CurrentPor-LH=40 unchanged'!D70+'CurrentPor-LH=40 unchanged'!H70)/100,2))*100</f>
        <v>9601.2395558122898</v>
      </c>
      <c r="E70">
        <f>(3/(1+('CurrentPor-LH=40 unchanged'!C70+'CurrentPor-LH=40 unchanged'!I70)/100)+103/POWER(1+('CurrentPor-LH=40 unchanged'!D70+'CurrentPor-LH=40 unchanged'!I70)/100,2))*100</f>
        <v>9580.5379779519262</v>
      </c>
      <c r="F70">
        <f>Portfolio!B$5*'CurrentPor-LH=40 unchanged'!E70</f>
        <v>52143.895533915893</v>
      </c>
      <c r="G70">
        <f>Portfolio!B$6*'CurrentPor-LH=40 unchanged'!F70</f>
        <v>3696.2945087936532</v>
      </c>
      <c r="H70">
        <f>Portfolio!B$7*'CurrentPor-LH=40 unchanged'!J70</f>
        <v>2148.0998964419859</v>
      </c>
      <c r="I70">
        <f t="shared" si="2"/>
        <v>96492.620608592944</v>
      </c>
      <c r="J70">
        <f t="shared" si="1"/>
        <v>14.10322649293812</v>
      </c>
    </row>
    <row r="71" spans="1:10">
      <c r="A71" s="1">
        <v>45568</v>
      </c>
      <c r="B71">
        <f>(3/(1+('CurrentPor-LH=40 unchanged'!C71)/100)+103/POWER(1+('CurrentPor-LH=40 unchanged'!D71)/100,2))*100</f>
        <v>9707.5857774288397</v>
      </c>
      <c r="C71">
        <f>(3/(1+('CurrentPor-LH=40 unchanged'!C71+'CurrentPor-LH=40 unchanged'!G71)/100)+103/POWER(1+('CurrentPor-LH=40 unchanged'!D71+'CurrentPor-LH=40 unchanged'!G71)/100,2))*100</f>
        <v>9614.9673582483465</v>
      </c>
      <c r="D71">
        <f>(3/(1+('CurrentPor-LH=40 unchanged'!C71+'CurrentPor-LH=40 unchanged'!H71)/100)+103/POWER(1+('CurrentPor-LH=40 unchanged'!D71+'CurrentPor-LH=40 unchanged'!H71)/100,2))*100</f>
        <v>9601.2395558122898</v>
      </c>
      <c r="E71">
        <f>(3/(1+('CurrentPor-LH=40 unchanged'!C71+'CurrentPor-LH=40 unchanged'!I71)/100)+103/POWER(1+('CurrentPor-LH=40 unchanged'!D71+'CurrentPor-LH=40 unchanged'!I71)/100,2))*100</f>
        <v>9581.4736577771528</v>
      </c>
      <c r="F71">
        <f>Portfolio!B$5*'CurrentPor-LH=40 unchanged'!E71</f>
        <v>52143.895533915893</v>
      </c>
      <c r="G71">
        <f>Portfolio!B$6*'CurrentPor-LH=40 unchanged'!F71</f>
        <v>3696.2945087936532</v>
      </c>
      <c r="H71">
        <f>Portfolio!B$7*'CurrentPor-LH=40 unchanged'!J71</f>
        <v>2148.0998964419859</v>
      </c>
      <c r="I71">
        <f t="shared" si="2"/>
        <v>96493.556288418171</v>
      </c>
      <c r="J71">
        <f t="shared" si="1"/>
        <v>-11.292477964394493</v>
      </c>
    </row>
    <row r="72" spans="1:10">
      <c r="A72" s="1">
        <v>45569</v>
      </c>
      <c r="B72">
        <f>(3/(1+('CurrentPor-LH=40 unchanged'!C72)/100)+103/POWER(1+('CurrentPor-LH=40 unchanged'!D72)/100,2))*100</f>
        <v>9707.5857774288397</v>
      </c>
      <c r="C72">
        <f>(3/(1+('CurrentPor-LH=40 unchanged'!C72+'CurrentPor-LH=40 unchanged'!G72)/100)+103/POWER(1+('CurrentPor-LH=40 unchanged'!D72+'CurrentPor-LH=40 unchanged'!G72)/100,2))*100</f>
        <v>9614.9673582483465</v>
      </c>
      <c r="D72">
        <f>(3/(1+('CurrentPor-LH=40 unchanged'!C72+'CurrentPor-LH=40 unchanged'!H72)/100)+103/POWER(1+('CurrentPor-LH=40 unchanged'!D72+'CurrentPor-LH=40 unchanged'!H72)/100,2))*100</f>
        <v>9601.2395558122898</v>
      </c>
      <c r="E72">
        <f>(3/(1+('CurrentPor-LH=40 unchanged'!C72+'CurrentPor-LH=40 unchanged'!I72)/100)+103/POWER(1+('CurrentPor-LH=40 unchanged'!D72+'CurrentPor-LH=40 unchanged'!I72)/100,2))*100</f>
        <v>9576.2343633897872</v>
      </c>
      <c r="F72">
        <f>Portfolio!B$5*'CurrentPor-LH=40 unchanged'!E72</f>
        <v>52143.895533915893</v>
      </c>
      <c r="G72">
        <f>Portfolio!B$6*'CurrentPor-LH=40 unchanged'!F72</f>
        <v>3696.2945087936532</v>
      </c>
      <c r="H72">
        <f>Portfolio!B$7*'CurrentPor-LH=40 unchanged'!J72</f>
        <v>2148.0998964419859</v>
      </c>
      <c r="I72">
        <f t="shared" si="2"/>
        <v>96488.3169940308</v>
      </c>
      <c r="J72">
        <f t="shared" si="1"/>
        <v>-14.622528237872757</v>
      </c>
    </row>
    <row r="73" spans="1:10">
      <c r="A73" s="1">
        <v>45572</v>
      </c>
      <c r="B73">
        <f>(3/(1+('CurrentPor-LH=40 unchanged'!C73)/100)+103/POWER(1+('CurrentPor-LH=40 unchanged'!D73)/100,2))*100</f>
        <v>9707.5857774288397</v>
      </c>
      <c r="C73">
        <f>(3/(1+('CurrentPor-LH=40 unchanged'!C73+'CurrentPor-LH=40 unchanged'!G73)/100)+103/POWER(1+('CurrentPor-LH=40 unchanged'!D73+'CurrentPor-LH=40 unchanged'!G73)/100,2))*100</f>
        <v>9614.9673582483465</v>
      </c>
      <c r="D73">
        <f>(3/(1+('CurrentPor-LH=40 unchanged'!C73+'CurrentPor-LH=40 unchanged'!H73)/100)+103/POWER(1+('CurrentPor-LH=40 unchanged'!D73+'CurrentPor-LH=40 unchanged'!H73)/100,2))*100</f>
        <v>9601.2395558122898</v>
      </c>
      <c r="E73">
        <f>(3/(1+('CurrentPor-LH=40 unchanged'!C73+'CurrentPor-LH=40 unchanged'!I73)/100)+103/POWER(1+('CurrentPor-LH=40 unchanged'!D73+'CurrentPor-LH=40 unchanged'!I73)/100,2))*100</f>
        <v>9604.4712629235764</v>
      </c>
      <c r="F73">
        <f>Portfolio!B$5*'CurrentPor-LH=40 unchanged'!E73</f>
        <v>52143.895533915893</v>
      </c>
      <c r="G73">
        <f>Portfolio!B$6*'CurrentPor-LH=40 unchanged'!F73</f>
        <v>3696.2945087936532</v>
      </c>
      <c r="H73">
        <f>Portfolio!B$7*'CurrentPor-LH=40 unchanged'!J73</f>
        <v>2148.0998964419859</v>
      </c>
      <c r="I73">
        <f t="shared" si="2"/>
        <v>96516.553893564575</v>
      </c>
      <c r="J73">
        <f t="shared" si="1"/>
        <v>8.8568756046588533</v>
      </c>
    </row>
    <row r="74" spans="1:10">
      <c r="A74" s="1">
        <v>45573</v>
      </c>
      <c r="B74">
        <f>(3/(1+('CurrentPor-LH=40 unchanged'!C74)/100)+103/POWER(1+('CurrentPor-LH=40 unchanged'!D74)/100,2))*100</f>
        <v>9707.5857774288397</v>
      </c>
      <c r="C74">
        <f>(3/(1+('CurrentPor-LH=40 unchanged'!C74+'CurrentPor-LH=40 unchanged'!G74)/100)+103/POWER(1+('CurrentPor-LH=40 unchanged'!D74+'CurrentPor-LH=40 unchanged'!G74)/100,2))*100</f>
        <v>9614.9673582483465</v>
      </c>
      <c r="D74">
        <f>(3/(1+('CurrentPor-LH=40 unchanged'!C74+'CurrentPor-LH=40 unchanged'!H74)/100)+103/POWER(1+('CurrentPor-LH=40 unchanged'!D74+'CurrentPor-LH=40 unchanged'!H74)/100,2))*100</f>
        <v>9601.2395558122898</v>
      </c>
      <c r="E74">
        <f>(3/(1+('CurrentPor-LH=40 unchanged'!C74+'CurrentPor-LH=40 unchanged'!I74)/100)+103/POWER(1+('CurrentPor-LH=40 unchanged'!D74+'CurrentPor-LH=40 unchanged'!I74)/100,2))*100</f>
        <v>9588.1360404990864</v>
      </c>
      <c r="F74">
        <f>Portfolio!B$5*'CurrentPor-LH=40 unchanged'!E74</f>
        <v>52143.895533915893</v>
      </c>
      <c r="G74">
        <f>Portfolio!B$6*'CurrentPor-LH=40 unchanged'!F74</f>
        <v>3696.2945087936532</v>
      </c>
      <c r="H74">
        <f>Portfolio!B$7*'CurrentPor-LH=40 unchanged'!J74</f>
        <v>2148.0998964419859</v>
      </c>
      <c r="I74">
        <f t="shared" si="2"/>
        <v>96500.218671140101</v>
      </c>
      <c r="J74">
        <f t="shared" si="1"/>
        <v>9.8591822775779292</v>
      </c>
    </row>
    <row r="75" spans="1:10">
      <c r="A75" s="1">
        <v>45574</v>
      </c>
      <c r="B75">
        <f>(3/(1+('CurrentPor-LH=40 unchanged'!C75)/100)+103/POWER(1+('CurrentPor-LH=40 unchanged'!D75)/100,2))*100</f>
        <v>9707.5857774288397</v>
      </c>
      <c r="C75">
        <f>(3/(1+('CurrentPor-LH=40 unchanged'!C75+'CurrentPor-LH=40 unchanged'!G75)/100)+103/POWER(1+('CurrentPor-LH=40 unchanged'!D75+'CurrentPor-LH=40 unchanged'!G75)/100,2))*100</f>
        <v>9614.9673582483465</v>
      </c>
      <c r="D75">
        <f>(3/(1+('CurrentPor-LH=40 unchanged'!C75+'CurrentPor-LH=40 unchanged'!H75)/100)+103/POWER(1+('CurrentPor-LH=40 unchanged'!D75+'CurrentPor-LH=40 unchanged'!H75)/100,2))*100</f>
        <v>9601.2395558122898</v>
      </c>
      <c r="E75">
        <f>(3/(1+('CurrentPor-LH=40 unchanged'!C75+'CurrentPor-LH=40 unchanged'!I75)/100)+103/POWER(1+('CurrentPor-LH=40 unchanged'!D75+'CurrentPor-LH=40 unchanged'!I75)/100,2))*100</f>
        <v>9575.2181233991287</v>
      </c>
      <c r="F75">
        <f>Portfolio!B$5*'CurrentPor-LH=40 unchanged'!E75</f>
        <v>52143.895533915893</v>
      </c>
      <c r="G75">
        <f>Portfolio!B$6*'CurrentPor-LH=40 unchanged'!F75</f>
        <v>3696.2945087936532</v>
      </c>
      <c r="H75">
        <f>Portfolio!B$7*'CurrentPor-LH=40 unchanged'!J75</f>
        <v>2148.0998964419859</v>
      </c>
      <c r="I75">
        <f t="shared" si="2"/>
        <v>96487.300754040145</v>
      </c>
      <c r="J75">
        <f t="shared" si="1"/>
        <v>0.95700877558556385</v>
      </c>
    </row>
    <row r="76" spans="1:10">
      <c r="A76" s="1">
        <v>45575</v>
      </c>
      <c r="B76">
        <f>(3/(1+('CurrentPor-LH=40 unchanged'!C76)/100)+103/POWER(1+('CurrentPor-LH=40 unchanged'!D76)/100,2))*100</f>
        <v>9707.5857774288397</v>
      </c>
      <c r="C76">
        <f>(3/(1+('CurrentPor-LH=40 unchanged'!C76+'CurrentPor-LH=40 unchanged'!G76)/100)+103/POWER(1+('CurrentPor-LH=40 unchanged'!D76+'CurrentPor-LH=40 unchanged'!G76)/100,2))*100</f>
        <v>9614.9673582483465</v>
      </c>
      <c r="D76">
        <f>(3/(1+('CurrentPor-LH=40 unchanged'!C76+'CurrentPor-LH=40 unchanged'!H76)/100)+103/POWER(1+('CurrentPor-LH=40 unchanged'!D76+'CurrentPor-LH=40 unchanged'!H76)/100,2))*100</f>
        <v>9601.2395558122898</v>
      </c>
      <c r="E76">
        <f>(3/(1+('CurrentPor-LH=40 unchanged'!C76+'CurrentPor-LH=40 unchanged'!I76)/100)+103/POWER(1+('CurrentPor-LH=40 unchanged'!D76+'CurrentPor-LH=40 unchanged'!I76)/100,2))*100</f>
        <v>9599.9362846419954</v>
      </c>
      <c r="F76">
        <f>Portfolio!B$5*'CurrentPor-LH=40 unchanged'!E76</f>
        <v>52143.895533915893</v>
      </c>
      <c r="G76">
        <f>Portfolio!B$6*'CurrentPor-LH=40 unchanged'!F76</f>
        <v>3696.2945087936532</v>
      </c>
      <c r="H76">
        <f>Portfolio!B$7*'CurrentPor-LH=40 unchanged'!J76</f>
        <v>2148.0998964419859</v>
      </c>
      <c r="I76">
        <f t="shared" si="2"/>
        <v>96512.018915283013</v>
      </c>
      <c r="J76">
        <f t="shared" si="1"/>
        <v>38.79344317514915</v>
      </c>
    </row>
    <row r="77" spans="1:10">
      <c r="A77" s="1">
        <v>45576</v>
      </c>
      <c r="B77">
        <f>(3/(1+('CurrentPor-LH=40 unchanged'!C77)/100)+103/POWER(1+('CurrentPor-LH=40 unchanged'!D77)/100,2))*100</f>
        <v>9707.5857774288397</v>
      </c>
      <c r="C77">
        <f>(3/(1+('CurrentPor-LH=40 unchanged'!C77+'CurrentPor-LH=40 unchanged'!G77)/100)+103/POWER(1+('CurrentPor-LH=40 unchanged'!D77+'CurrentPor-LH=40 unchanged'!G77)/100,2))*100</f>
        <v>9614.9673582483465</v>
      </c>
      <c r="D77">
        <f>(3/(1+('CurrentPor-LH=40 unchanged'!C77+'CurrentPor-LH=40 unchanged'!H77)/100)+103/POWER(1+('CurrentPor-LH=40 unchanged'!D77+'CurrentPor-LH=40 unchanged'!H77)/100,2))*100</f>
        <v>9601.2395558122898</v>
      </c>
      <c r="E77">
        <f>(3/(1+('CurrentPor-LH=40 unchanged'!C77+'CurrentPor-LH=40 unchanged'!I77)/100)+103/POWER(1+('CurrentPor-LH=40 unchanged'!D77+'CurrentPor-LH=40 unchanged'!I77)/100,2))*100</f>
        <v>9577.6654859941282</v>
      </c>
      <c r="F77">
        <f>Portfolio!B$5*'CurrentPor-LH=40 unchanged'!E77</f>
        <v>52143.895533915893</v>
      </c>
      <c r="G77">
        <f>Portfolio!B$6*'CurrentPor-LH=40 unchanged'!F77</f>
        <v>3696.2945087936532</v>
      </c>
      <c r="H77">
        <f>Portfolio!B$7*'CurrentPor-LH=40 unchanged'!J77</f>
        <v>2148.0998964419859</v>
      </c>
      <c r="I77">
        <f t="shared" si="2"/>
        <v>96489.748116635135</v>
      </c>
      <c r="J77">
        <f t="shared" si="1"/>
        <v>-5.8890710515406681</v>
      </c>
    </row>
    <row r="78" spans="1:10">
      <c r="A78" s="1">
        <v>45579</v>
      </c>
      <c r="B78">
        <f>(3/(1+('CurrentPor-LH=40 unchanged'!C78)/100)+103/POWER(1+('CurrentPor-LH=40 unchanged'!D78)/100,2))*100</f>
        <v>9707.5857774288397</v>
      </c>
      <c r="C78">
        <f>(3/(1+('CurrentPor-LH=40 unchanged'!C78+'CurrentPor-LH=40 unchanged'!G78)/100)+103/POWER(1+('CurrentPor-LH=40 unchanged'!D78+'CurrentPor-LH=40 unchanged'!G78)/100,2))*100</f>
        <v>9614.9673582483465</v>
      </c>
      <c r="D78">
        <f>(3/(1+('CurrentPor-LH=40 unchanged'!C78+'CurrentPor-LH=40 unchanged'!H78)/100)+103/POWER(1+('CurrentPor-LH=40 unchanged'!D78+'CurrentPor-LH=40 unchanged'!H78)/100,2))*100</f>
        <v>9601.2395558122898</v>
      </c>
      <c r="E78">
        <f>(3/(1+('CurrentPor-LH=40 unchanged'!C78+'CurrentPor-LH=40 unchanged'!I78)/100)+103/POWER(1+('CurrentPor-LH=40 unchanged'!D78+'CurrentPor-LH=40 unchanged'!I78)/100,2))*100</f>
        <v>9608.5599751931422</v>
      </c>
      <c r="F78">
        <f>Portfolio!B$5*'CurrentPor-LH=40 unchanged'!E78</f>
        <v>52143.895533915893</v>
      </c>
      <c r="G78">
        <f>Portfolio!B$6*'CurrentPor-LH=40 unchanged'!F78</f>
        <v>3696.2945087936532</v>
      </c>
      <c r="H78">
        <f>Portfolio!B$7*'CurrentPor-LH=40 unchanged'!J78</f>
        <v>2148.0998964419859</v>
      </c>
      <c r="I78">
        <f t="shared" si="2"/>
        <v>96520.64260583416</v>
      </c>
      <c r="J78">
        <f t="shared" ref="J78:J141" si="3">I78-I68</f>
        <v>32.955181775672827</v>
      </c>
    </row>
    <row r="79" spans="1:10">
      <c r="A79" s="1">
        <v>45580</v>
      </c>
      <c r="B79">
        <f>(3/(1+('CurrentPor-LH=40 unchanged'!C79)/100)+103/POWER(1+('CurrentPor-LH=40 unchanged'!D79)/100,2))*100</f>
        <v>9707.5857774288397</v>
      </c>
      <c r="C79">
        <f>(3/(1+('CurrentPor-LH=40 unchanged'!C79+'CurrentPor-LH=40 unchanged'!G79)/100)+103/POWER(1+('CurrentPor-LH=40 unchanged'!D79+'CurrentPor-LH=40 unchanged'!G79)/100,2))*100</f>
        <v>9614.9673582483465</v>
      </c>
      <c r="D79">
        <f>(3/(1+('CurrentPor-LH=40 unchanged'!C79+'CurrentPor-LH=40 unchanged'!H79)/100)+103/POWER(1+('CurrentPor-LH=40 unchanged'!D79+'CurrentPor-LH=40 unchanged'!H79)/100,2))*100</f>
        <v>9601.2395558122898</v>
      </c>
      <c r="E79">
        <f>(3/(1+('CurrentPor-LH=40 unchanged'!C79+'CurrentPor-LH=40 unchanged'!I79)/100)+103/POWER(1+('CurrentPor-LH=40 unchanged'!D79+'CurrentPor-LH=40 unchanged'!I79)/100,2))*100</f>
        <v>9610.9437735107349</v>
      </c>
      <c r="F79">
        <f>Portfolio!B$5*'CurrentPor-LH=40 unchanged'!E79</f>
        <v>52143.895533915893</v>
      </c>
      <c r="G79">
        <f>Portfolio!B$6*'CurrentPor-LH=40 unchanged'!F79</f>
        <v>3696.2945087936532</v>
      </c>
      <c r="H79">
        <f>Portfolio!B$7*'CurrentPor-LH=40 unchanged'!J79</f>
        <v>2148.0998964419859</v>
      </c>
      <c r="I79">
        <f t="shared" si="2"/>
        <v>96523.026404151737</v>
      </c>
      <c r="J79">
        <f t="shared" si="3"/>
        <v>42.405476684652967</v>
      </c>
    </row>
    <row r="80" spans="1:10">
      <c r="A80" s="1">
        <v>45581</v>
      </c>
      <c r="B80">
        <f>(3/(1+('CurrentPor-LH=40 unchanged'!C80)/100)+103/POWER(1+('CurrentPor-LH=40 unchanged'!D80)/100,2))*100</f>
        <v>9707.5857774288397</v>
      </c>
      <c r="C80">
        <f>(3/(1+('CurrentPor-LH=40 unchanged'!C80+'CurrentPor-LH=40 unchanged'!G80)/100)+103/POWER(1+('CurrentPor-LH=40 unchanged'!D80+'CurrentPor-LH=40 unchanged'!G80)/100,2))*100</f>
        <v>9614.9673582483465</v>
      </c>
      <c r="D80">
        <f>(3/(1+('CurrentPor-LH=40 unchanged'!C80+'CurrentPor-LH=40 unchanged'!H80)/100)+103/POWER(1+('CurrentPor-LH=40 unchanged'!D80+'CurrentPor-LH=40 unchanged'!H80)/100,2))*100</f>
        <v>9601.2395558122898</v>
      </c>
      <c r="E80">
        <f>(3/(1+('CurrentPor-LH=40 unchanged'!C80+'CurrentPor-LH=40 unchanged'!I80)/100)+103/POWER(1+('CurrentPor-LH=40 unchanged'!D80+'CurrentPor-LH=40 unchanged'!I80)/100,2))*100</f>
        <v>9583.899931588714</v>
      </c>
      <c r="F80">
        <f>Portfolio!B$5*'CurrentPor-LH=40 unchanged'!E80</f>
        <v>52143.895533915893</v>
      </c>
      <c r="G80">
        <f>Portfolio!B$6*'CurrentPor-LH=40 unchanged'!F80</f>
        <v>3696.2945087936532</v>
      </c>
      <c r="H80">
        <f>Portfolio!B$7*'CurrentPor-LH=40 unchanged'!J80</f>
        <v>2148.0998964419859</v>
      </c>
      <c r="I80">
        <f t="shared" si="2"/>
        <v>96495.982562229721</v>
      </c>
      <c r="J80">
        <f t="shared" si="3"/>
        <v>3.3619536367768887</v>
      </c>
    </row>
    <row r="81" spans="1:10">
      <c r="A81" s="1">
        <v>45582</v>
      </c>
      <c r="B81">
        <f>(3/(1+('CurrentPor-LH=40 unchanged'!C81)/100)+103/POWER(1+('CurrentPor-LH=40 unchanged'!D81)/100,2))*100</f>
        <v>9707.5857774288397</v>
      </c>
      <c r="C81">
        <f>(3/(1+('CurrentPor-LH=40 unchanged'!C81+'CurrentPor-LH=40 unchanged'!G81)/100)+103/POWER(1+('CurrentPor-LH=40 unchanged'!D81+'CurrentPor-LH=40 unchanged'!G81)/100,2))*100</f>
        <v>9614.9673582483465</v>
      </c>
      <c r="D81">
        <f>(3/(1+('CurrentPor-LH=40 unchanged'!C81+'CurrentPor-LH=40 unchanged'!H81)/100)+103/POWER(1+('CurrentPor-LH=40 unchanged'!D81+'CurrentPor-LH=40 unchanged'!H81)/100,2))*100</f>
        <v>9601.2395558122898</v>
      </c>
      <c r="E81">
        <f>(3/(1+('CurrentPor-LH=40 unchanged'!C81+'CurrentPor-LH=40 unchanged'!I81)/100)+103/POWER(1+('CurrentPor-LH=40 unchanged'!D81+'CurrentPor-LH=40 unchanged'!I81)/100,2))*100</f>
        <v>9598.6686696571305</v>
      </c>
      <c r="F81">
        <f>Portfolio!B$5*'CurrentPor-LH=40 unchanged'!E81</f>
        <v>52143.895533915893</v>
      </c>
      <c r="G81">
        <f>Portfolio!B$6*'CurrentPor-LH=40 unchanged'!F81</f>
        <v>3696.2945087936532</v>
      </c>
      <c r="H81">
        <f>Portfolio!B$7*'CurrentPor-LH=40 unchanged'!J81</f>
        <v>2148.0998964419859</v>
      </c>
      <c r="I81">
        <f t="shared" si="2"/>
        <v>96510.751300298129</v>
      </c>
      <c r="J81">
        <f t="shared" si="3"/>
        <v>17.195011879957747</v>
      </c>
    </row>
    <row r="82" spans="1:10">
      <c r="A82" s="1">
        <v>45583</v>
      </c>
      <c r="B82">
        <f>(3/(1+('CurrentPor-LH=40 unchanged'!C82)/100)+103/POWER(1+('CurrentPor-LH=40 unchanged'!D82)/100,2))*100</f>
        <v>9707.5857774288397</v>
      </c>
      <c r="C82">
        <f>(3/(1+('CurrentPor-LH=40 unchanged'!C82+'CurrentPor-LH=40 unchanged'!G82)/100)+103/POWER(1+('CurrentPor-LH=40 unchanged'!D82+'CurrentPor-LH=40 unchanged'!G82)/100,2))*100</f>
        <v>9614.9673582483465</v>
      </c>
      <c r="D82">
        <f>(3/(1+('CurrentPor-LH=40 unchanged'!C82+'CurrentPor-LH=40 unchanged'!H82)/100)+103/POWER(1+('CurrentPor-LH=40 unchanged'!D82+'CurrentPor-LH=40 unchanged'!H82)/100,2))*100</f>
        <v>9601.2395558122898</v>
      </c>
      <c r="E82">
        <f>(3/(1+('CurrentPor-LH=40 unchanged'!C82+'CurrentPor-LH=40 unchanged'!I82)/100)+103/POWER(1+('CurrentPor-LH=40 unchanged'!D82+'CurrentPor-LH=40 unchanged'!I82)/100,2))*100</f>
        <v>9573.5620619680776</v>
      </c>
      <c r="F82">
        <f>Portfolio!B$5*'CurrentPor-LH=40 unchanged'!E82</f>
        <v>52143.895533915893</v>
      </c>
      <c r="G82">
        <f>Portfolio!B$6*'CurrentPor-LH=40 unchanged'!F82</f>
        <v>3696.2945087936532</v>
      </c>
      <c r="H82">
        <f>Portfolio!B$7*'CurrentPor-LH=40 unchanged'!J82</f>
        <v>2148.0998964419859</v>
      </c>
      <c r="I82">
        <f t="shared" si="2"/>
        <v>96485.644692609087</v>
      </c>
      <c r="J82">
        <f t="shared" si="3"/>
        <v>-2.6723014217132004</v>
      </c>
    </row>
    <row r="83" spans="1:10">
      <c r="A83" s="1">
        <v>45586</v>
      </c>
      <c r="B83">
        <f>(3/(1+('CurrentPor-LH=40 unchanged'!C83)/100)+103/POWER(1+('CurrentPor-LH=40 unchanged'!D83)/100,2))*100</f>
        <v>9707.5857774288397</v>
      </c>
      <c r="C83">
        <f>(3/(1+('CurrentPor-LH=40 unchanged'!C83+'CurrentPor-LH=40 unchanged'!G83)/100)+103/POWER(1+('CurrentPor-LH=40 unchanged'!D83+'CurrentPor-LH=40 unchanged'!G83)/100,2))*100</f>
        <v>9614.9673582483465</v>
      </c>
      <c r="D83">
        <f>(3/(1+('CurrentPor-LH=40 unchanged'!C83+'CurrentPor-LH=40 unchanged'!H83)/100)+103/POWER(1+('CurrentPor-LH=40 unchanged'!D83+'CurrentPor-LH=40 unchanged'!H83)/100,2))*100</f>
        <v>9601.2395558122898</v>
      </c>
      <c r="E83">
        <f>(3/(1+('CurrentPor-LH=40 unchanged'!C83+'CurrentPor-LH=40 unchanged'!I83)/100)+103/POWER(1+('CurrentPor-LH=40 unchanged'!D83+'CurrentPor-LH=40 unchanged'!I83)/100,2))*100</f>
        <v>9593.9055291896784</v>
      </c>
      <c r="F83">
        <f>Portfolio!B$5*'CurrentPor-LH=40 unchanged'!E83</f>
        <v>52143.895533915893</v>
      </c>
      <c r="G83">
        <f>Portfolio!B$6*'CurrentPor-LH=40 unchanged'!F83</f>
        <v>3696.2945087936532</v>
      </c>
      <c r="H83">
        <f>Portfolio!B$7*'CurrentPor-LH=40 unchanged'!J83</f>
        <v>2148.0998964419859</v>
      </c>
      <c r="I83">
        <f t="shared" si="2"/>
        <v>96505.988159830697</v>
      </c>
      <c r="J83">
        <f t="shared" si="3"/>
        <v>-10.565733733878005</v>
      </c>
    </row>
    <row r="84" spans="1:10">
      <c r="A84" s="1">
        <v>45587</v>
      </c>
      <c r="B84">
        <f>(3/(1+('CurrentPor-LH=40 unchanged'!C84)/100)+103/POWER(1+('CurrentPor-LH=40 unchanged'!D84)/100,2))*100</f>
        <v>9707.5857774288397</v>
      </c>
      <c r="C84">
        <f>(3/(1+('CurrentPor-LH=40 unchanged'!C84+'CurrentPor-LH=40 unchanged'!G84)/100)+103/POWER(1+('CurrentPor-LH=40 unchanged'!D84+'CurrentPor-LH=40 unchanged'!G84)/100,2))*100</f>
        <v>9614.9673582483465</v>
      </c>
      <c r="D84">
        <f>(3/(1+('CurrentPor-LH=40 unchanged'!C84+'CurrentPor-LH=40 unchanged'!H84)/100)+103/POWER(1+('CurrentPor-LH=40 unchanged'!D84+'CurrentPor-LH=40 unchanged'!H84)/100,2))*100</f>
        <v>9601.2395558122898</v>
      </c>
      <c r="E84">
        <f>(3/(1+('CurrentPor-LH=40 unchanged'!C84+'CurrentPor-LH=40 unchanged'!I84)/100)+103/POWER(1+('CurrentPor-LH=40 unchanged'!D84+'CurrentPor-LH=40 unchanged'!I84)/100,2))*100</f>
        <v>9589.3089214860483</v>
      </c>
      <c r="F84">
        <f>Portfolio!B$5*'CurrentPor-LH=40 unchanged'!E84</f>
        <v>52143.895533915893</v>
      </c>
      <c r="G84">
        <f>Portfolio!B$6*'CurrentPor-LH=40 unchanged'!F84</f>
        <v>3696.2945087936532</v>
      </c>
      <c r="H84">
        <f>Portfolio!B$7*'CurrentPor-LH=40 unchanged'!J84</f>
        <v>2148.0998964419859</v>
      </c>
      <c r="I84">
        <f t="shared" si="2"/>
        <v>96501.391552127068</v>
      </c>
      <c r="J84">
        <f t="shared" si="3"/>
        <v>1.1728809869673569</v>
      </c>
    </row>
    <row r="85" spans="1:10">
      <c r="A85" s="1">
        <v>45588</v>
      </c>
      <c r="B85">
        <f>(3/(1+('CurrentPor-LH=40 unchanged'!C85)/100)+103/POWER(1+('CurrentPor-LH=40 unchanged'!D85)/100,2))*100</f>
        <v>9707.5857774288397</v>
      </c>
      <c r="C85">
        <f>(3/(1+('CurrentPor-LH=40 unchanged'!C85+'CurrentPor-LH=40 unchanged'!G85)/100)+103/POWER(1+('CurrentPor-LH=40 unchanged'!D85+'CurrentPor-LH=40 unchanged'!G85)/100,2))*100</f>
        <v>9614.9673582483465</v>
      </c>
      <c r="D85">
        <f>(3/(1+('CurrentPor-LH=40 unchanged'!C85+'CurrentPor-LH=40 unchanged'!H85)/100)+103/POWER(1+('CurrentPor-LH=40 unchanged'!D85+'CurrentPor-LH=40 unchanged'!H85)/100,2))*100</f>
        <v>9601.2395558122898</v>
      </c>
      <c r="E85">
        <f>(3/(1+('CurrentPor-LH=40 unchanged'!C85+'CurrentPor-LH=40 unchanged'!I85)/100)+103/POWER(1+('CurrentPor-LH=40 unchanged'!D85+'CurrentPor-LH=40 unchanged'!I85)/100,2))*100</f>
        <v>9599.5126177847051</v>
      </c>
      <c r="F85">
        <f>Portfolio!B$5*'CurrentPor-LH=40 unchanged'!E85</f>
        <v>52143.895533915893</v>
      </c>
      <c r="G85">
        <f>Portfolio!B$6*'CurrentPor-LH=40 unchanged'!F85</f>
        <v>3696.2945087936532</v>
      </c>
      <c r="H85">
        <f>Portfolio!B$7*'CurrentPor-LH=40 unchanged'!J85</f>
        <v>2148.0998964419859</v>
      </c>
      <c r="I85">
        <f t="shared" si="2"/>
        <v>96511.595248425714</v>
      </c>
      <c r="J85">
        <f t="shared" si="3"/>
        <v>24.294494385569124</v>
      </c>
    </row>
    <row r="86" spans="1:10">
      <c r="A86" s="1">
        <v>45589</v>
      </c>
      <c r="B86">
        <f>(3/(1+('CurrentPor-LH=40 unchanged'!C86)/100)+103/POWER(1+('CurrentPor-LH=40 unchanged'!D86)/100,2))*100</f>
        <v>9707.5857774288397</v>
      </c>
      <c r="C86">
        <f>(3/(1+('CurrentPor-LH=40 unchanged'!C86+'CurrentPor-LH=40 unchanged'!G86)/100)+103/POWER(1+('CurrentPor-LH=40 unchanged'!D86+'CurrentPor-LH=40 unchanged'!G86)/100,2))*100</f>
        <v>9614.9673582483465</v>
      </c>
      <c r="D86">
        <f>(3/(1+('CurrentPor-LH=40 unchanged'!C86+'CurrentPor-LH=40 unchanged'!H86)/100)+103/POWER(1+('CurrentPor-LH=40 unchanged'!D86+'CurrentPor-LH=40 unchanged'!H86)/100,2))*100</f>
        <v>9601.2395558122898</v>
      </c>
      <c r="E86">
        <f>(3/(1+('CurrentPor-LH=40 unchanged'!C86+'CurrentPor-LH=40 unchanged'!I86)/100)+103/POWER(1+('CurrentPor-LH=40 unchanged'!D86+'CurrentPor-LH=40 unchanged'!I86)/100,2))*100</f>
        <v>9571.7917327662271</v>
      </c>
      <c r="F86">
        <f>Portfolio!B$5*'CurrentPor-LH=40 unchanged'!E86</f>
        <v>52143.895533915893</v>
      </c>
      <c r="G86">
        <f>Portfolio!B$6*'CurrentPor-LH=40 unchanged'!F86</f>
        <v>3696.2945087936532</v>
      </c>
      <c r="H86">
        <f>Portfolio!B$7*'CurrentPor-LH=40 unchanged'!J86</f>
        <v>2148.0998964419859</v>
      </c>
      <c r="I86">
        <f t="shared" si="2"/>
        <v>96483.874363407245</v>
      </c>
      <c r="J86">
        <f t="shared" si="3"/>
        <v>-28.144551875768229</v>
      </c>
    </row>
    <row r="87" spans="1:10">
      <c r="A87" s="1">
        <v>45590</v>
      </c>
      <c r="B87">
        <f>(3/(1+('CurrentPor-LH=40 unchanged'!C87)/100)+103/POWER(1+('CurrentPor-LH=40 unchanged'!D87)/100,2))*100</f>
        <v>9707.5857774288397</v>
      </c>
      <c r="C87">
        <f>(3/(1+('CurrentPor-LH=40 unchanged'!C87+'CurrentPor-LH=40 unchanged'!G87)/100)+103/POWER(1+('CurrentPor-LH=40 unchanged'!D87+'CurrentPor-LH=40 unchanged'!G87)/100,2))*100</f>
        <v>9614.9673582483465</v>
      </c>
      <c r="D87">
        <f>(3/(1+('CurrentPor-LH=40 unchanged'!C87+'CurrentPor-LH=40 unchanged'!H87)/100)+103/POWER(1+('CurrentPor-LH=40 unchanged'!D87+'CurrentPor-LH=40 unchanged'!H87)/100,2))*100</f>
        <v>9601.2395558122898</v>
      </c>
      <c r="E87">
        <f>(3/(1+('CurrentPor-LH=40 unchanged'!C87+'CurrentPor-LH=40 unchanged'!I87)/100)+103/POWER(1+('CurrentPor-LH=40 unchanged'!D87+'CurrentPor-LH=40 unchanged'!I87)/100,2))*100</f>
        <v>9602.517451559308</v>
      </c>
      <c r="F87">
        <f>Portfolio!B$5*'CurrentPor-LH=40 unchanged'!E87</f>
        <v>52143.895533915893</v>
      </c>
      <c r="G87">
        <f>Portfolio!B$6*'CurrentPor-LH=40 unchanged'!F87</f>
        <v>3696.2945087936532</v>
      </c>
      <c r="H87">
        <f>Portfolio!B$7*'CurrentPor-LH=40 unchanged'!J87</f>
        <v>2148.0998964419859</v>
      </c>
      <c r="I87">
        <f t="shared" si="2"/>
        <v>96514.600082200326</v>
      </c>
      <c r="J87">
        <f t="shared" si="3"/>
        <v>24.851965565190767</v>
      </c>
    </row>
    <row r="88" spans="1:10">
      <c r="A88" s="1">
        <v>45593</v>
      </c>
      <c r="B88">
        <f>(3/(1+('CurrentPor-LH=40 unchanged'!C88)/100)+103/POWER(1+('CurrentPor-LH=40 unchanged'!D88)/100,2))*100</f>
        <v>9707.5857774288397</v>
      </c>
      <c r="C88">
        <f>(3/(1+('CurrentPor-LH=40 unchanged'!C88+'CurrentPor-LH=40 unchanged'!G88)/100)+103/POWER(1+('CurrentPor-LH=40 unchanged'!D88+'CurrentPor-LH=40 unchanged'!G88)/100,2))*100</f>
        <v>9614.9673582483465</v>
      </c>
      <c r="D88">
        <f>(3/(1+('CurrentPor-LH=40 unchanged'!C88+'CurrentPor-LH=40 unchanged'!H88)/100)+103/POWER(1+('CurrentPor-LH=40 unchanged'!D88+'CurrentPor-LH=40 unchanged'!H88)/100,2))*100</f>
        <v>9601.2395558122898</v>
      </c>
      <c r="E88">
        <f>(3/(1+('CurrentPor-LH=40 unchanged'!C88+'CurrentPor-LH=40 unchanged'!I88)/100)+103/POWER(1+('CurrentPor-LH=40 unchanged'!D88+'CurrentPor-LH=40 unchanged'!I88)/100,2))*100</f>
        <v>9592.3209632982744</v>
      </c>
      <c r="F88">
        <f>Portfolio!B$5*'CurrentPor-LH=40 unchanged'!E88</f>
        <v>52143.895533915893</v>
      </c>
      <c r="G88">
        <f>Portfolio!B$6*'CurrentPor-LH=40 unchanged'!F88</f>
        <v>3696.2945087936532</v>
      </c>
      <c r="H88">
        <f>Portfolio!B$7*'CurrentPor-LH=40 unchanged'!J88</f>
        <v>2148.0998964419859</v>
      </c>
      <c r="I88">
        <f t="shared" si="2"/>
        <v>96504.403593939278</v>
      </c>
      <c r="J88">
        <f t="shared" si="3"/>
        <v>-16.239011894882424</v>
      </c>
    </row>
    <row r="89" spans="1:10">
      <c r="A89" s="1">
        <v>45594</v>
      </c>
      <c r="B89">
        <f>(3/(1+('CurrentPor-LH=40 unchanged'!C89)/100)+103/POWER(1+('CurrentPor-LH=40 unchanged'!D89)/100,2))*100</f>
        <v>9707.5857774288397</v>
      </c>
      <c r="C89">
        <f>(3/(1+('CurrentPor-LH=40 unchanged'!C89+'CurrentPor-LH=40 unchanged'!G89)/100)+103/POWER(1+('CurrentPor-LH=40 unchanged'!D89+'CurrentPor-LH=40 unchanged'!G89)/100,2))*100</f>
        <v>9614.9673582483465</v>
      </c>
      <c r="D89">
        <f>(3/(1+('CurrentPor-LH=40 unchanged'!C89+'CurrentPor-LH=40 unchanged'!H89)/100)+103/POWER(1+('CurrentPor-LH=40 unchanged'!D89+'CurrentPor-LH=40 unchanged'!H89)/100,2))*100</f>
        <v>9601.2395558122898</v>
      </c>
      <c r="E89">
        <f>(3/(1+('CurrentPor-LH=40 unchanged'!C89+'CurrentPor-LH=40 unchanged'!I89)/100)+103/POWER(1+('CurrentPor-LH=40 unchanged'!D89+'CurrentPor-LH=40 unchanged'!I89)/100,2))*100</f>
        <v>9581.8921818048839</v>
      </c>
      <c r="F89">
        <f>Portfolio!B$5*'CurrentPor-LH=40 unchanged'!E89</f>
        <v>52143.895533915893</v>
      </c>
      <c r="G89">
        <f>Portfolio!B$6*'CurrentPor-LH=40 unchanged'!F89</f>
        <v>3696.2945087936532</v>
      </c>
      <c r="H89">
        <f>Portfolio!B$7*'CurrentPor-LH=40 unchanged'!J89</f>
        <v>2148.0998964419859</v>
      </c>
      <c r="I89">
        <f t="shared" si="2"/>
        <v>96493.974812445886</v>
      </c>
      <c r="J89">
        <f t="shared" si="3"/>
        <v>-29.051591705851024</v>
      </c>
    </row>
    <row r="90" spans="1:10">
      <c r="A90" s="1">
        <v>45595</v>
      </c>
      <c r="B90">
        <f>(3/(1+('CurrentPor-LH=40 unchanged'!C90)/100)+103/POWER(1+('CurrentPor-LH=40 unchanged'!D90)/100,2))*100</f>
        <v>9707.5857774288397</v>
      </c>
      <c r="C90">
        <f>(3/(1+('CurrentPor-LH=40 unchanged'!C90+'CurrentPor-LH=40 unchanged'!G90)/100)+103/POWER(1+('CurrentPor-LH=40 unchanged'!D90+'CurrentPor-LH=40 unchanged'!G90)/100,2))*100</f>
        <v>9614.9673582483465</v>
      </c>
      <c r="D90">
        <f>(3/(1+('CurrentPor-LH=40 unchanged'!C90+'CurrentPor-LH=40 unchanged'!H90)/100)+103/POWER(1+('CurrentPor-LH=40 unchanged'!D90+'CurrentPor-LH=40 unchanged'!H90)/100,2))*100</f>
        <v>9601.2395558122898</v>
      </c>
      <c r="E90">
        <f>(3/(1+('CurrentPor-LH=40 unchanged'!C90+'CurrentPor-LH=40 unchanged'!I90)/100)+103/POWER(1+('CurrentPor-LH=40 unchanged'!D90+'CurrentPor-LH=40 unchanged'!I90)/100,2))*100</f>
        <v>9586.1211114799935</v>
      </c>
      <c r="F90">
        <f>Portfolio!B$5*'CurrentPor-LH=40 unchanged'!E90</f>
        <v>52143.895533915893</v>
      </c>
      <c r="G90">
        <f>Portfolio!B$6*'CurrentPor-LH=40 unchanged'!F90</f>
        <v>3696.2945087936532</v>
      </c>
      <c r="H90">
        <f>Portfolio!B$7*'CurrentPor-LH=40 unchanged'!J90</f>
        <v>2148.0998964419859</v>
      </c>
      <c r="I90">
        <f t="shared" si="2"/>
        <v>96498.203742121012</v>
      </c>
      <c r="J90">
        <f t="shared" si="3"/>
        <v>2.221179891290376</v>
      </c>
    </row>
    <row r="91" spans="1:10">
      <c r="A91" s="1">
        <v>45596</v>
      </c>
      <c r="B91">
        <f>(3/(1+('CurrentPor-LH=40 unchanged'!C91)/100)+103/POWER(1+('CurrentPor-LH=40 unchanged'!D91)/100,2))*100</f>
        <v>9707.5857774288397</v>
      </c>
      <c r="C91">
        <f>(3/(1+('CurrentPor-LH=40 unchanged'!C91+'CurrentPor-LH=40 unchanged'!G91)/100)+103/POWER(1+('CurrentPor-LH=40 unchanged'!D91+'CurrentPor-LH=40 unchanged'!G91)/100,2))*100</f>
        <v>9614.9673582483465</v>
      </c>
      <c r="D91">
        <f>(3/(1+('CurrentPor-LH=40 unchanged'!C91+'CurrentPor-LH=40 unchanged'!H91)/100)+103/POWER(1+('CurrentPor-LH=40 unchanged'!D91+'CurrentPor-LH=40 unchanged'!H91)/100,2))*100</f>
        <v>9601.2395558122898</v>
      </c>
      <c r="E91">
        <f>(3/(1+('CurrentPor-LH=40 unchanged'!C91+'CurrentPor-LH=40 unchanged'!I91)/100)+103/POWER(1+('CurrentPor-LH=40 unchanged'!D91+'CurrentPor-LH=40 unchanged'!I91)/100,2))*100</f>
        <v>9599.5129699269582</v>
      </c>
      <c r="F91">
        <f>Portfolio!B$5*'CurrentPor-LH=40 unchanged'!E91</f>
        <v>52143.895533915893</v>
      </c>
      <c r="G91">
        <f>Portfolio!B$6*'CurrentPor-LH=40 unchanged'!F91</f>
        <v>3696.2945087936532</v>
      </c>
      <c r="H91">
        <f>Portfolio!B$7*'CurrentPor-LH=40 unchanged'!J91</f>
        <v>2148.0998964419859</v>
      </c>
      <c r="I91">
        <f t="shared" si="2"/>
        <v>96511.595600567976</v>
      </c>
      <c r="J91">
        <f t="shared" si="3"/>
        <v>0.84430026984773576</v>
      </c>
    </row>
    <row r="92" spans="1:10">
      <c r="A92" s="1">
        <v>45597</v>
      </c>
      <c r="B92">
        <f>(3/(1+('CurrentPor-LH=40 unchanged'!C92)/100)+103/POWER(1+('CurrentPor-LH=40 unchanged'!D92)/100,2))*100</f>
        <v>9707.5857774288397</v>
      </c>
      <c r="C92">
        <f>(3/(1+('CurrentPor-LH=40 unchanged'!C92+'CurrentPor-LH=40 unchanged'!G92)/100)+103/POWER(1+('CurrentPor-LH=40 unchanged'!D92+'CurrentPor-LH=40 unchanged'!G92)/100,2))*100</f>
        <v>9614.9673582483465</v>
      </c>
      <c r="D92">
        <f>(3/(1+('CurrentPor-LH=40 unchanged'!C92+'CurrentPor-LH=40 unchanged'!H92)/100)+103/POWER(1+('CurrentPor-LH=40 unchanged'!D92+'CurrentPor-LH=40 unchanged'!H92)/100,2))*100</f>
        <v>9601.2395558122898</v>
      </c>
      <c r="E92">
        <f>(3/(1+('CurrentPor-LH=40 unchanged'!C92+'CurrentPor-LH=40 unchanged'!I92)/100)+103/POWER(1+('CurrentPor-LH=40 unchanged'!D92+'CurrentPor-LH=40 unchanged'!I92)/100,2))*100</f>
        <v>9579.8982780011102</v>
      </c>
      <c r="F92">
        <f>Portfolio!B$5*'CurrentPor-LH=40 unchanged'!E92</f>
        <v>52143.895533915893</v>
      </c>
      <c r="G92">
        <f>Portfolio!B$6*'CurrentPor-LH=40 unchanged'!F92</f>
        <v>3696.2945087936532</v>
      </c>
      <c r="H92">
        <f>Portfolio!B$7*'CurrentPor-LH=40 unchanged'!J92</f>
        <v>2148.0998964419859</v>
      </c>
      <c r="I92">
        <f t="shared" si="2"/>
        <v>96491.98090864213</v>
      </c>
      <c r="J92">
        <f t="shared" si="3"/>
        <v>6.3362160330434563</v>
      </c>
    </row>
    <row r="93" spans="1:10">
      <c r="A93" s="1">
        <v>45600</v>
      </c>
      <c r="B93">
        <f>(3/(1+('CurrentPor-LH=40 unchanged'!C93)/100)+103/POWER(1+('CurrentPor-LH=40 unchanged'!D93)/100,2))*100</f>
        <v>9707.5857774288397</v>
      </c>
      <c r="C93">
        <f>(3/(1+('CurrentPor-LH=40 unchanged'!C93+'CurrentPor-LH=40 unchanged'!G93)/100)+103/POWER(1+('CurrentPor-LH=40 unchanged'!D93+'CurrentPor-LH=40 unchanged'!G93)/100,2))*100</f>
        <v>9614.9673582483465</v>
      </c>
      <c r="D93">
        <f>(3/(1+('CurrentPor-LH=40 unchanged'!C93+'CurrentPor-LH=40 unchanged'!H93)/100)+103/POWER(1+('CurrentPor-LH=40 unchanged'!D93+'CurrentPor-LH=40 unchanged'!H93)/100,2))*100</f>
        <v>9601.2395558122898</v>
      </c>
      <c r="E93">
        <f>(3/(1+('CurrentPor-LH=40 unchanged'!C93+'CurrentPor-LH=40 unchanged'!I93)/100)+103/POWER(1+('CurrentPor-LH=40 unchanged'!D93+'CurrentPor-LH=40 unchanged'!I93)/100,2))*100</f>
        <v>9577.8356467337617</v>
      </c>
      <c r="F93">
        <f>Portfolio!B$5*'CurrentPor-LH=40 unchanged'!E93</f>
        <v>52143.895533915893</v>
      </c>
      <c r="G93">
        <f>Portfolio!B$6*'CurrentPor-LH=40 unchanged'!F93</f>
        <v>3696.2945087936532</v>
      </c>
      <c r="H93">
        <f>Portfolio!B$7*'CurrentPor-LH=40 unchanged'!J93</f>
        <v>2148.0998964419859</v>
      </c>
      <c r="I93">
        <f t="shared" si="2"/>
        <v>96489.918277374774</v>
      </c>
      <c r="J93">
        <f t="shared" si="3"/>
        <v>-16.069882455922198</v>
      </c>
    </row>
    <row r="94" spans="1:10">
      <c r="A94" s="1">
        <v>45601</v>
      </c>
      <c r="B94">
        <f>(3/(1+('CurrentPor-LH=40 unchanged'!C94)/100)+103/POWER(1+('CurrentPor-LH=40 unchanged'!D94)/100,2))*100</f>
        <v>9707.5857774288397</v>
      </c>
      <c r="C94">
        <f>(3/(1+('CurrentPor-LH=40 unchanged'!C94+'CurrentPor-LH=40 unchanged'!G94)/100)+103/POWER(1+('CurrentPor-LH=40 unchanged'!D94+'CurrentPor-LH=40 unchanged'!G94)/100,2))*100</f>
        <v>9614.9673582483465</v>
      </c>
      <c r="D94">
        <f>(3/(1+('CurrentPor-LH=40 unchanged'!C94+'CurrentPor-LH=40 unchanged'!H94)/100)+103/POWER(1+('CurrentPor-LH=40 unchanged'!D94+'CurrentPor-LH=40 unchanged'!H94)/100,2))*100</f>
        <v>9601.2395558122898</v>
      </c>
      <c r="E94">
        <f>(3/(1+('CurrentPor-LH=40 unchanged'!C94+'CurrentPor-LH=40 unchanged'!I94)/100)+103/POWER(1+('CurrentPor-LH=40 unchanged'!D94+'CurrentPor-LH=40 unchanged'!I94)/100,2))*100</f>
        <v>9605.1454821940897</v>
      </c>
      <c r="F94">
        <f>Portfolio!B$5*'CurrentPor-LH=40 unchanged'!E94</f>
        <v>52143.895533915893</v>
      </c>
      <c r="G94">
        <f>Portfolio!B$6*'CurrentPor-LH=40 unchanged'!F94</f>
        <v>3696.2945087936532</v>
      </c>
      <c r="H94">
        <f>Portfolio!B$7*'CurrentPor-LH=40 unchanged'!J94</f>
        <v>2148.0998964419859</v>
      </c>
      <c r="I94">
        <f t="shared" si="2"/>
        <v>96517.228112835102</v>
      </c>
      <c r="J94">
        <f t="shared" si="3"/>
        <v>15.836560708034085</v>
      </c>
    </row>
    <row r="95" spans="1:10">
      <c r="A95" s="1">
        <v>45602</v>
      </c>
      <c r="B95">
        <f>(3/(1+('CurrentPor-LH=40 unchanged'!C95)/100)+103/POWER(1+('CurrentPor-LH=40 unchanged'!D95)/100,2))*100</f>
        <v>9707.5857774288397</v>
      </c>
      <c r="C95">
        <f>(3/(1+('CurrentPor-LH=40 unchanged'!C95+'CurrentPor-LH=40 unchanged'!G95)/100)+103/POWER(1+('CurrentPor-LH=40 unchanged'!D95+'CurrentPor-LH=40 unchanged'!G95)/100,2))*100</f>
        <v>9614.9673582483465</v>
      </c>
      <c r="D95">
        <f>(3/(1+('CurrentPor-LH=40 unchanged'!C95+'CurrentPor-LH=40 unchanged'!H95)/100)+103/POWER(1+('CurrentPor-LH=40 unchanged'!D95+'CurrentPor-LH=40 unchanged'!H95)/100,2))*100</f>
        <v>9601.2395558122898</v>
      </c>
      <c r="E95">
        <f>(3/(1+('CurrentPor-LH=40 unchanged'!C95+'CurrentPor-LH=40 unchanged'!I95)/100)+103/POWER(1+('CurrentPor-LH=40 unchanged'!D95+'CurrentPor-LH=40 unchanged'!I95)/100,2))*100</f>
        <v>9595.0505016242132</v>
      </c>
      <c r="F95">
        <f>Portfolio!B$5*'CurrentPor-LH=40 unchanged'!E95</f>
        <v>52143.895533915893</v>
      </c>
      <c r="G95">
        <f>Portfolio!B$6*'CurrentPor-LH=40 unchanged'!F95</f>
        <v>3696.2945087936532</v>
      </c>
      <c r="H95">
        <f>Portfolio!B$7*'CurrentPor-LH=40 unchanged'!J95</f>
        <v>2148.0998964419859</v>
      </c>
      <c r="I95">
        <f t="shared" si="2"/>
        <v>96507.133132265226</v>
      </c>
      <c r="J95">
        <f t="shared" si="3"/>
        <v>-4.4621161604882218</v>
      </c>
    </row>
    <row r="96" spans="1:10">
      <c r="A96" s="1">
        <v>45603</v>
      </c>
      <c r="B96">
        <f>(3/(1+('CurrentPor-LH=40 unchanged'!C96)/100)+103/POWER(1+('CurrentPor-LH=40 unchanged'!D96)/100,2))*100</f>
        <v>9707.5857774288397</v>
      </c>
      <c r="C96">
        <f>(3/(1+('CurrentPor-LH=40 unchanged'!C96+'CurrentPor-LH=40 unchanged'!G96)/100)+103/POWER(1+('CurrentPor-LH=40 unchanged'!D96+'CurrentPor-LH=40 unchanged'!G96)/100,2))*100</f>
        <v>9614.9673582483465</v>
      </c>
      <c r="D96">
        <f>(3/(1+('CurrentPor-LH=40 unchanged'!C96+'CurrentPor-LH=40 unchanged'!H96)/100)+103/POWER(1+('CurrentPor-LH=40 unchanged'!D96+'CurrentPor-LH=40 unchanged'!H96)/100,2))*100</f>
        <v>9601.2395558122898</v>
      </c>
      <c r="E96">
        <f>(3/(1+('CurrentPor-LH=40 unchanged'!C96+'CurrentPor-LH=40 unchanged'!I96)/100)+103/POWER(1+('CurrentPor-LH=40 unchanged'!D96+'CurrentPor-LH=40 unchanged'!I96)/100,2))*100</f>
        <v>9588.3511724056661</v>
      </c>
      <c r="F96">
        <f>Portfolio!B$5*'CurrentPor-LH=40 unchanged'!E96</f>
        <v>52143.895533915893</v>
      </c>
      <c r="G96">
        <f>Portfolio!B$6*'CurrentPor-LH=40 unchanged'!F96</f>
        <v>3696.2945087936532</v>
      </c>
      <c r="H96">
        <f>Portfolio!B$7*'CurrentPor-LH=40 unchanged'!J96</f>
        <v>2148.0998964419859</v>
      </c>
      <c r="I96">
        <f t="shared" si="2"/>
        <v>96500.433803046675</v>
      </c>
      <c r="J96">
        <f t="shared" si="3"/>
        <v>16.559439639429911</v>
      </c>
    </row>
    <row r="97" spans="1:10">
      <c r="A97" s="1">
        <v>45604</v>
      </c>
      <c r="B97">
        <f>(3/(1+('CurrentPor-LH=40 unchanged'!C97)/100)+103/POWER(1+('CurrentPor-LH=40 unchanged'!D97)/100,2))*100</f>
        <v>9707.5857774288397</v>
      </c>
      <c r="C97">
        <f>(3/(1+('CurrentPor-LH=40 unchanged'!C97+'CurrentPor-LH=40 unchanged'!G97)/100)+103/POWER(1+('CurrentPor-LH=40 unchanged'!D97+'CurrentPor-LH=40 unchanged'!G97)/100,2))*100</f>
        <v>9614.9673582483465</v>
      </c>
      <c r="D97">
        <f>(3/(1+('CurrentPor-LH=40 unchanged'!C97+'CurrentPor-LH=40 unchanged'!H97)/100)+103/POWER(1+('CurrentPor-LH=40 unchanged'!D97+'CurrentPor-LH=40 unchanged'!H97)/100,2))*100</f>
        <v>9601.2395558122898</v>
      </c>
      <c r="E97">
        <f>(3/(1+('CurrentPor-LH=40 unchanged'!C97+'CurrentPor-LH=40 unchanged'!I97)/100)+103/POWER(1+('CurrentPor-LH=40 unchanged'!D97+'CurrentPor-LH=40 unchanged'!I97)/100,2))*100</f>
        <v>9561.623364853278</v>
      </c>
      <c r="F97">
        <f>Portfolio!B$5*'CurrentPor-LH=40 unchanged'!E97</f>
        <v>52143.895533915893</v>
      </c>
      <c r="G97">
        <f>Portfolio!B$6*'CurrentPor-LH=40 unchanged'!F97</f>
        <v>3696.2945087936532</v>
      </c>
      <c r="H97">
        <f>Portfolio!B$7*'CurrentPor-LH=40 unchanged'!J97</f>
        <v>2148.0998964419859</v>
      </c>
      <c r="I97">
        <f t="shared" si="2"/>
        <v>96473.705995494282</v>
      </c>
      <c r="J97">
        <f t="shared" si="3"/>
        <v>-40.894086706044618</v>
      </c>
    </row>
    <row r="98" spans="1:10">
      <c r="A98" s="1">
        <v>45607</v>
      </c>
      <c r="B98">
        <f>(3/(1+('CurrentPor-LH=40 unchanged'!C98)/100)+103/POWER(1+('CurrentPor-LH=40 unchanged'!D98)/100,2))*100</f>
        <v>9707.5857774288397</v>
      </c>
      <c r="C98">
        <f>(3/(1+('CurrentPor-LH=40 unchanged'!C98+'CurrentPor-LH=40 unchanged'!G98)/100)+103/POWER(1+('CurrentPor-LH=40 unchanged'!D98+'CurrentPor-LH=40 unchanged'!G98)/100,2))*100</f>
        <v>9614.9673582483465</v>
      </c>
      <c r="D98">
        <f>(3/(1+('CurrentPor-LH=40 unchanged'!C98+'CurrentPor-LH=40 unchanged'!H98)/100)+103/POWER(1+('CurrentPor-LH=40 unchanged'!D98+'CurrentPor-LH=40 unchanged'!H98)/100,2))*100</f>
        <v>9601.2395558122898</v>
      </c>
      <c r="E98">
        <f>(3/(1+('CurrentPor-LH=40 unchanged'!C98+'CurrentPor-LH=40 unchanged'!I98)/100)+103/POWER(1+('CurrentPor-LH=40 unchanged'!D98+'CurrentPor-LH=40 unchanged'!I98)/100,2))*100</f>
        <v>9587.0801806039544</v>
      </c>
      <c r="F98">
        <f>Portfolio!B$5*'CurrentPor-LH=40 unchanged'!E98</f>
        <v>52143.895533915893</v>
      </c>
      <c r="G98">
        <f>Portfolio!B$6*'CurrentPor-LH=40 unchanged'!F98</f>
        <v>3696.2945087936532</v>
      </c>
      <c r="H98">
        <f>Portfolio!B$7*'CurrentPor-LH=40 unchanged'!J98</f>
        <v>2148.0998964419859</v>
      </c>
      <c r="I98">
        <f t="shared" si="2"/>
        <v>96499.162811244969</v>
      </c>
      <c r="J98">
        <f t="shared" si="3"/>
        <v>-5.2407826943090186</v>
      </c>
    </row>
    <row r="99" spans="1:10">
      <c r="A99" s="1">
        <v>45608</v>
      </c>
      <c r="B99">
        <f>(3/(1+('CurrentPor-LH=40 unchanged'!C99)/100)+103/POWER(1+('CurrentPor-LH=40 unchanged'!D99)/100,2))*100</f>
        <v>9707.5857774288397</v>
      </c>
      <c r="C99">
        <f>(3/(1+('CurrentPor-LH=40 unchanged'!C99+'CurrentPor-LH=40 unchanged'!G99)/100)+103/POWER(1+('CurrentPor-LH=40 unchanged'!D99+'CurrentPor-LH=40 unchanged'!G99)/100,2))*100</f>
        <v>9614.9673582483465</v>
      </c>
      <c r="D99">
        <f>(3/(1+('CurrentPor-LH=40 unchanged'!C99+'CurrentPor-LH=40 unchanged'!H99)/100)+103/POWER(1+('CurrentPor-LH=40 unchanged'!D99+'CurrentPor-LH=40 unchanged'!H99)/100,2))*100</f>
        <v>9601.2395558122898</v>
      </c>
      <c r="E99">
        <f>(3/(1+('CurrentPor-LH=40 unchanged'!C99+'CurrentPor-LH=40 unchanged'!I99)/100)+103/POWER(1+('CurrentPor-LH=40 unchanged'!D99+'CurrentPor-LH=40 unchanged'!I99)/100,2))*100</f>
        <v>9585.4609485353194</v>
      </c>
      <c r="F99">
        <f>Portfolio!B$5*'CurrentPor-LH=40 unchanged'!E99</f>
        <v>52143.895533915893</v>
      </c>
      <c r="G99">
        <f>Portfolio!B$6*'CurrentPor-LH=40 unchanged'!F99</f>
        <v>3696.2945087936532</v>
      </c>
      <c r="H99">
        <f>Portfolio!B$7*'CurrentPor-LH=40 unchanged'!J99</f>
        <v>2148.0998964419859</v>
      </c>
      <c r="I99">
        <f t="shared" si="2"/>
        <v>96497.54357917633</v>
      </c>
      <c r="J99">
        <f t="shared" si="3"/>
        <v>3.5687667304446222</v>
      </c>
    </row>
    <row r="100" spans="1:10">
      <c r="A100" s="1">
        <v>45609</v>
      </c>
      <c r="B100">
        <f>(3/(1+('CurrentPor-LH=40 unchanged'!C100)/100)+103/POWER(1+('CurrentPor-LH=40 unchanged'!D100)/100,2))*100</f>
        <v>9707.5857774288397</v>
      </c>
      <c r="C100">
        <f>(3/(1+('CurrentPor-LH=40 unchanged'!C100+'CurrentPor-LH=40 unchanged'!G100)/100)+103/POWER(1+('CurrentPor-LH=40 unchanged'!D100+'CurrentPor-LH=40 unchanged'!G100)/100,2))*100</f>
        <v>9614.9673582483465</v>
      </c>
      <c r="D100">
        <f>(3/(1+('CurrentPor-LH=40 unchanged'!C100+'CurrentPor-LH=40 unchanged'!H100)/100)+103/POWER(1+('CurrentPor-LH=40 unchanged'!D100+'CurrentPor-LH=40 unchanged'!H100)/100,2))*100</f>
        <v>9601.2395558122898</v>
      </c>
      <c r="E100">
        <f>(3/(1+('CurrentPor-LH=40 unchanged'!C100+'CurrentPor-LH=40 unchanged'!I100)/100)+103/POWER(1+('CurrentPor-LH=40 unchanged'!D100+'CurrentPor-LH=40 unchanged'!I100)/100,2))*100</f>
        <v>9589.8510847911421</v>
      </c>
      <c r="F100">
        <f>Portfolio!B$5*'CurrentPor-LH=40 unchanged'!E100</f>
        <v>52143.895533915893</v>
      </c>
      <c r="G100">
        <f>Portfolio!B$6*'CurrentPor-LH=40 unchanged'!F100</f>
        <v>3696.2945087936532</v>
      </c>
      <c r="H100">
        <f>Portfolio!B$7*'CurrentPor-LH=40 unchanged'!J100</f>
        <v>2148.0998964419859</v>
      </c>
      <c r="I100">
        <f t="shared" si="2"/>
        <v>96501.93371543214</v>
      </c>
      <c r="J100">
        <f t="shared" si="3"/>
        <v>3.7299733111285605</v>
      </c>
    </row>
    <row r="101" spans="1:10">
      <c r="A101" s="1">
        <v>45610</v>
      </c>
      <c r="B101">
        <f>(3/(1+('CurrentPor-LH=40 unchanged'!C101)/100)+103/POWER(1+('CurrentPor-LH=40 unchanged'!D101)/100,2))*100</f>
        <v>9707.5857774288397</v>
      </c>
      <c r="C101">
        <f>(3/(1+('CurrentPor-LH=40 unchanged'!C101+'CurrentPor-LH=40 unchanged'!G101)/100)+103/POWER(1+('CurrentPor-LH=40 unchanged'!D101+'CurrentPor-LH=40 unchanged'!G101)/100,2))*100</f>
        <v>9614.9673582483465</v>
      </c>
      <c r="D101">
        <f>(3/(1+('CurrentPor-LH=40 unchanged'!C101+'CurrentPor-LH=40 unchanged'!H101)/100)+103/POWER(1+('CurrentPor-LH=40 unchanged'!D101+'CurrentPor-LH=40 unchanged'!H101)/100,2))*100</f>
        <v>9601.2395558122898</v>
      </c>
      <c r="E101">
        <f>(3/(1+('CurrentPor-LH=40 unchanged'!C101+'CurrentPor-LH=40 unchanged'!I101)/100)+103/POWER(1+('CurrentPor-LH=40 unchanged'!D101+'CurrentPor-LH=40 unchanged'!I101)/100,2))*100</f>
        <v>9586.0416101531191</v>
      </c>
      <c r="F101">
        <f>Portfolio!B$5*'CurrentPor-LH=40 unchanged'!E101</f>
        <v>52143.895533915893</v>
      </c>
      <c r="G101">
        <f>Portfolio!B$6*'CurrentPor-LH=40 unchanged'!F101</f>
        <v>3696.2945087936532</v>
      </c>
      <c r="H101">
        <f>Portfolio!B$7*'CurrentPor-LH=40 unchanged'!J101</f>
        <v>2148.0998964419859</v>
      </c>
      <c r="I101">
        <f t="shared" si="2"/>
        <v>96498.124240794117</v>
      </c>
      <c r="J101">
        <f t="shared" si="3"/>
        <v>-13.471359773859149</v>
      </c>
    </row>
    <row r="102" spans="1:10">
      <c r="A102" s="1">
        <v>45611</v>
      </c>
      <c r="B102">
        <f>(3/(1+('CurrentPor-LH=40 unchanged'!C102)/100)+103/POWER(1+('CurrentPor-LH=40 unchanged'!D102)/100,2))*100</f>
        <v>9707.5857774288397</v>
      </c>
      <c r="C102">
        <f>(3/(1+('CurrentPor-LH=40 unchanged'!C102+'CurrentPor-LH=40 unchanged'!G102)/100)+103/POWER(1+('CurrentPor-LH=40 unchanged'!D102+'CurrentPor-LH=40 unchanged'!G102)/100,2))*100</f>
        <v>9614.9673582483465</v>
      </c>
      <c r="D102">
        <f>(3/(1+('CurrentPor-LH=40 unchanged'!C102+'CurrentPor-LH=40 unchanged'!H102)/100)+103/POWER(1+('CurrentPor-LH=40 unchanged'!D102+'CurrentPor-LH=40 unchanged'!H102)/100,2))*100</f>
        <v>9601.2395558122898</v>
      </c>
      <c r="E102">
        <f>(3/(1+('CurrentPor-LH=40 unchanged'!C102+'CurrentPor-LH=40 unchanged'!I102)/100)+103/POWER(1+('CurrentPor-LH=40 unchanged'!D102+'CurrentPor-LH=40 unchanged'!I102)/100,2))*100</f>
        <v>9574.9093144145227</v>
      </c>
      <c r="F102">
        <f>Portfolio!B$5*'CurrentPor-LH=40 unchanged'!E102</f>
        <v>52143.895533915893</v>
      </c>
      <c r="G102">
        <f>Portfolio!B$6*'CurrentPor-LH=40 unchanged'!F102</f>
        <v>3696.2945087936532</v>
      </c>
      <c r="H102">
        <f>Portfolio!B$7*'CurrentPor-LH=40 unchanged'!J102</f>
        <v>2148.0998964419859</v>
      </c>
      <c r="I102">
        <f t="shared" si="2"/>
        <v>96486.991945055532</v>
      </c>
      <c r="J102">
        <f t="shared" si="3"/>
        <v>-4.9889635865984019</v>
      </c>
    </row>
    <row r="103" spans="1:10">
      <c r="A103" s="1">
        <v>45614</v>
      </c>
      <c r="B103">
        <f>(3/(1+('CurrentPor-LH=40 unchanged'!C103)/100)+103/POWER(1+('CurrentPor-LH=40 unchanged'!D103)/100,2))*100</f>
        <v>9707.5857774288397</v>
      </c>
      <c r="C103">
        <f>(3/(1+('CurrentPor-LH=40 unchanged'!C103+'CurrentPor-LH=40 unchanged'!G103)/100)+103/POWER(1+('CurrentPor-LH=40 unchanged'!D103+'CurrentPor-LH=40 unchanged'!G103)/100,2))*100</f>
        <v>9614.9673582483465</v>
      </c>
      <c r="D103">
        <f>(3/(1+('CurrentPor-LH=40 unchanged'!C103+'CurrentPor-LH=40 unchanged'!H103)/100)+103/POWER(1+('CurrentPor-LH=40 unchanged'!D103+'CurrentPor-LH=40 unchanged'!H103)/100,2))*100</f>
        <v>9601.2395558122898</v>
      </c>
      <c r="E103">
        <f>(3/(1+('CurrentPor-LH=40 unchanged'!C103+'CurrentPor-LH=40 unchanged'!I103)/100)+103/POWER(1+('CurrentPor-LH=40 unchanged'!D103+'CurrentPor-LH=40 unchanged'!I103)/100,2))*100</f>
        <v>9589.9898273013114</v>
      </c>
      <c r="F103">
        <f>Portfolio!B$5*'CurrentPor-LH=40 unchanged'!E103</f>
        <v>52143.895533915893</v>
      </c>
      <c r="G103">
        <f>Portfolio!B$6*'CurrentPor-LH=40 unchanged'!F103</f>
        <v>3696.2945087936532</v>
      </c>
      <c r="H103">
        <f>Portfolio!B$7*'CurrentPor-LH=40 unchanged'!J103</f>
        <v>2148.0998964419859</v>
      </c>
      <c r="I103">
        <f t="shared" si="2"/>
        <v>96502.072457942311</v>
      </c>
      <c r="J103">
        <f t="shared" si="3"/>
        <v>12.154180567536969</v>
      </c>
    </row>
    <row r="104" spans="1:10">
      <c r="A104" s="1">
        <v>45615</v>
      </c>
      <c r="B104">
        <f>(3/(1+('CurrentPor-LH=40 unchanged'!C104)/100)+103/POWER(1+('CurrentPor-LH=40 unchanged'!D104)/100,2))*100</f>
        <v>9707.5857774288397</v>
      </c>
      <c r="C104">
        <f>(3/(1+('CurrentPor-LH=40 unchanged'!C104+'CurrentPor-LH=40 unchanged'!G104)/100)+103/POWER(1+('CurrentPor-LH=40 unchanged'!D104+'CurrentPor-LH=40 unchanged'!G104)/100,2))*100</f>
        <v>9614.9673582483465</v>
      </c>
      <c r="D104">
        <f>(3/(1+('CurrentPor-LH=40 unchanged'!C104+'CurrentPor-LH=40 unchanged'!H104)/100)+103/POWER(1+('CurrentPor-LH=40 unchanged'!D104+'CurrentPor-LH=40 unchanged'!H104)/100,2))*100</f>
        <v>9601.2395558122898</v>
      </c>
      <c r="E104">
        <f>(3/(1+('CurrentPor-LH=40 unchanged'!C104+'CurrentPor-LH=40 unchanged'!I104)/100)+103/POWER(1+('CurrentPor-LH=40 unchanged'!D104+'CurrentPor-LH=40 unchanged'!I104)/100,2))*100</f>
        <v>9587.0191014337943</v>
      </c>
      <c r="F104">
        <f>Portfolio!B$5*'CurrentPor-LH=40 unchanged'!E104</f>
        <v>52143.895533915893</v>
      </c>
      <c r="G104">
        <f>Portfolio!B$6*'CurrentPor-LH=40 unchanged'!F104</f>
        <v>3696.2945087936532</v>
      </c>
      <c r="H104">
        <f>Portfolio!B$7*'CurrentPor-LH=40 unchanged'!J104</f>
        <v>2148.0998964419859</v>
      </c>
      <c r="I104">
        <f t="shared" si="2"/>
        <v>96499.101732074792</v>
      </c>
      <c r="J104">
        <f t="shared" si="3"/>
        <v>-18.126380760309985</v>
      </c>
    </row>
    <row r="105" spans="1:10">
      <c r="A105" s="1">
        <v>45616</v>
      </c>
      <c r="B105">
        <f>(3/(1+('CurrentPor-LH=40 unchanged'!C105)/100)+103/POWER(1+('CurrentPor-LH=40 unchanged'!D105)/100,2))*100</f>
        <v>9707.5857774288397</v>
      </c>
      <c r="C105">
        <f>(3/(1+('CurrentPor-LH=40 unchanged'!C105+'CurrentPor-LH=40 unchanged'!G105)/100)+103/POWER(1+('CurrentPor-LH=40 unchanged'!D105+'CurrentPor-LH=40 unchanged'!G105)/100,2))*100</f>
        <v>9614.9673582483465</v>
      </c>
      <c r="D105">
        <f>(3/(1+('CurrentPor-LH=40 unchanged'!C105+'CurrentPor-LH=40 unchanged'!H105)/100)+103/POWER(1+('CurrentPor-LH=40 unchanged'!D105+'CurrentPor-LH=40 unchanged'!H105)/100,2))*100</f>
        <v>9601.2395558122898</v>
      </c>
      <c r="E105">
        <f>(3/(1+('CurrentPor-LH=40 unchanged'!C105+'CurrentPor-LH=40 unchanged'!I105)/100)+103/POWER(1+('CurrentPor-LH=40 unchanged'!D105+'CurrentPor-LH=40 unchanged'!I105)/100,2))*100</f>
        <v>9583.1829194477978</v>
      </c>
      <c r="F105">
        <f>Portfolio!B$5*'CurrentPor-LH=40 unchanged'!E105</f>
        <v>52143.895533915893</v>
      </c>
      <c r="G105">
        <f>Portfolio!B$6*'CurrentPor-LH=40 unchanged'!F105</f>
        <v>3696.2945087936532</v>
      </c>
      <c r="H105">
        <f>Portfolio!B$7*'CurrentPor-LH=40 unchanged'!J105</f>
        <v>2148.0998964419859</v>
      </c>
      <c r="I105">
        <f t="shared" si="2"/>
        <v>96495.265550088807</v>
      </c>
      <c r="J105">
        <f t="shared" si="3"/>
        <v>-11.867582176419091</v>
      </c>
    </row>
    <row r="106" spans="1:10">
      <c r="A106" s="1">
        <v>45617</v>
      </c>
      <c r="B106">
        <f>(3/(1+('CurrentPor-LH=40 unchanged'!C106)/100)+103/POWER(1+('CurrentPor-LH=40 unchanged'!D106)/100,2))*100</f>
        <v>9707.5857774288397</v>
      </c>
      <c r="C106">
        <f>(3/(1+('CurrentPor-LH=40 unchanged'!C106+'CurrentPor-LH=40 unchanged'!G106)/100)+103/POWER(1+('CurrentPor-LH=40 unchanged'!D106+'CurrentPor-LH=40 unchanged'!G106)/100,2))*100</f>
        <v>9614.9673582483465</v>
      </c>
      <c r="D106">
        <f>(3/(1+('CurrentPor-LH=40 unchanged'!C106+'CurrentPor-LH=40 unchanged'!H106)/100)+103/POWER(1+('CurrentPor-LH=40 unchanged'!D106+'CurrentPor-LH=40 unchanged'!H106)/100,2))*100</f>
        <v>9601.2395558122898</v>
      </c>
      <c r="E106">
        <f>(3/(1+('CurrentPor-LH=40 unchanged'!C106+'CurrentPor-LH=40 unchanged'!I106)/100)+103/POWER(1+('CurrentPor-LH=40 unchanged'!D106+'CurrentPor-LH=40 unchanged'!I106)/100,2))*100</f>
        <v>9569.1906946386789</v>
      </c>
      <c r="F106">
        <f>Portfolio!B$5*'CurrentPor-LH=40 unchanged'!E106</f>
        <v>52143.895533915893</v>
      </c>
      <c r="G106">
        <f>Portfolio!B$6*'CurrentPor-LH=40 unchanged'!F106</f>
        <v>3696.2945087936532</v>
      </c>
      <c r="H106">
        <f>Portfolio!B$7*'CurrentPor-LH=40 unchanged'!J106</f>
        <v>2148.0998964419859</v>
      </c>
      <c r="I106">
        <f t="shared" si="2"/>
        <v>96481.27332527969</v>
      </c>
      <c r="J106">
        <f t="shared" si="3"/>
        <v>-19.160477766985423</v>
      </c>
    </row>
    <row r="107" spans="1:10">
      <c r="A107" s="1">
        <v>45618</v>
      </c>
      <c r="B107">
        <f>(3/(1+('CurrentPor-LH=40 unchanged'!C107)/100)+103/POWER(1+('CurrentPor-LH=40 unchanged'!D107)/100,2))*100</f>
        <v>9707.5857774288397</v>
      </c>
      <c r="C107">
        <f>(3/(1+('CurrentPor-LH=40 unchanged'!C107+'CurrentPor-LH=40 unchanged'!G107)/100)+103/POWER(1+('CurrentPor-LH=40 unchanged'!D107+'CurrentPor-LH=40 unchanged'!G107)/100,2))*100</f>
        <v>9614.9673582483465</v>
      </c>
      <c r="D107">
        <f>(3/(1+('CurrentPor-LH=40 unchanged'!C107+'CurrentPor-LH=40 unchanged'!H107)/100)+103/POWER(1+('CurrentPor-LH=40 unchanged'!D107+'CurrentPor-LH=40 unchanged'!H107)/100,2))*100</f>
        <v>9601.2395558122898</v>
      </c>
      <c r="E107">
        <f>(3/(1+('CurrentPor-LH=40 unchanged'!C107+'CurrentPor-LH=40 unchanged'!I107)/100)+103/POWER(1+('CurrentPor-LH=40 unchanged'!D107+'CurrentPor-LH=40 unchanged'!I107)/100,2))*100</f>
        <v>9576.7771840324767</v>
      </c>
      <c r="F107">
        <f>Portfolio!B$5*'CurrentPor-LH=40 unchanged'!E107</f>
        <v>52143.895533915893</v>
      </c>
      <c r="G107">
        <f>Portfolio!B$6*'CurrentPor-LH=40 unchanged'!F107</f>
        <v>3696.2945087936532</v>
      </c>
      <c r="H107">
        <f>Portfolio!B$7*'CurrentPor-LH=40 unchanged'!J107</f>
        <v>2148.0998964419859</v>
      </c>
      <c r="I107">
        <f t="shared" si="2"/>
        <v>96488.859814673488</v>
      </c>
      <c r="J107">
        <f t="shared" si="3"/>
        <v>15.153819179206039</v>
      </c>
    </row>
    <row r="108" spans="1:10">
      <c r="A108" s="1">
        <v>45621</v>
      </c>
      <c r="B108">
        <f>(3/(1+('CurrentPor-LH=40 unchanged'!C108)/100)+103/POWER(1+('CurrentPor-LH=40 unchanged'!D108)/100,2))*100</f>
        <v>9707.5857774288397</v>
      </c>
      <c r="C108">
        <f>(3/(1+('CurrentPor-LH=40 unchanged'!C108+'CurrentPor-LH=40 unchanged'!G108)/100)+103/POWER(1+('CurrentPor-LH=40 unchanged'!D108+'CurrentPor-LH=40 unchanged'!G108)/100,2))*100</f>
        <v>9614.9673582483465</v>
      </c>
      <c r="D108">
        <f>(3/(1+('CurrentPor-LH=40 unchanged'!C108+'CurrentPor-LH=40 unchanged'!H108)/100)+103/POWER(1+('CurrentPor-LH=40 unchanged'!D108+'CurrentPor-LH=40 unchanged'!H108)/100,2))*100</f>
        <v>9601.2395558122898</v>
      </c>
      <c r="E108">
        <f>(3/(1+('CurrentPor-LH=40 unchanged'!C108+'CurrentPor-LH=40 unchanged'!I108)/100)+103/POWER(1+('CurrentPor-LH=40 unchanged'!D108+'CurrentPor-LH=40 unchanged'!I108)/100,2))*100</f>
        <v>9572.2414007511579</v>
      </c>
      <c r="F108">
        <f>Portfolio!B$5*'CurrentPor-LH=40 unchanged'!E108</f>
        <v>52143.895533915893</v>
      </c>
      <c r="G108">
        <f>Portfolio!B$6*'CurrentPor-LH=40 unchanged'!F108</f>
        <v>3696.2945087936532</v>
      </c>
      <c r="H108">
        <f>Portfolio!B$7*'CurrentPor-LH=40 unchanged'!J108</f>
        <v>2148.0998964419859</v>
      </c>
      <c r="I108">
        <f t="shared" si="2"/>
        <v>96484.324031392156</v>
      </c>
      <c r="J108">
        <f t="shared" si="3"/>
        <v>-14.838779852812877</v>
      </c>
    </row>
    <row r="109" spans="1:10">
      <c r="A109" s="1">
        <v>45622</v>
      </c>
      <c r="B109">
        <f>(3/(1+('CurrentPor-LH=40 unchanged'!C109)/100)+103/POWER(1+('CurrentPor-LH=40 unchanged'!D109)/100,2))*100</f>
        <v>9707.5857774288397</v>
      </c>
      <c r="C109">
        <f>(3/(1+('CurrentPor-LH=40 unchanged'!C109+'CurrentPor-LH=40 unchanged'!G109)/100)+103/POWER(1+('CurrentPor-LH=40 unchanged'!D109+'CurrentPor-LH=40 unchanged'!G109)/100,2))*100</f>
        <v>9614.9673582483465</v>
      </c>
      <c r="D109">
        <f>(3/(1+('CurrentPor-LH=40 unchanged'!C109+'CurrentPor-LH=40 unchanged'!H109)/100)+103/POWER(1+('CurrentPor-LH=40 unchanged'!D109+'CurrentPor-LH=40 unchanged'!H109)/100,2))*100</f>
        <v>9601.2395558122898</v>
      </c>
      <c r="E109">
        <f>(3/(1+('CurrentPor-LH=40 unchanged'!C109+'CurrentPor-LH=40 unchanged'!I109)/100)+103/POWER(1+('CurrentPor-LH=40 unchanged'!D109+'CurrentPor-LH=40 unchanged'!I109)/100,2))*100</f>
        <v>9587.0510719785125</v>
      </c>
      <c r="F109">
        <f>Portfolio!B$5*'CurrentPor-LH=40 unchanged'!E109</f>
        <v>52143.895533915893</v>
      </c>
      <c r="G109">
        <f>Portfolio!B$6*'CurrentPor-LH=40 unchanged'!F109</f>
        <v>3696.2945087936532</v>
      </c>
      <c r="H109">
        <f>Portfolio!B$7*'CurrentPor-LH=40 unchanged'!J109</f>
        <v>2148.0998964419859</v>
      </c>
      <c r="I109">
        <f t="shared" si="2"/>
        <v>96499.133702619511</v>
      </c>
      <c r="J109">
        <f t="shared" si="3"/>
        <v>1.5901234431803459</v>
      </c>
    </row>
    <row r="110" spans="1:10">
      <c r="A110" s="1">
        <v>45623</v>
      </c>
      <c r="B110">
        <f>(3/(1+('CurrentPor-LH=40 unchanged'!C110)/100)+103/POWER(1+('CurrentPor-LH=40 unchanged'!D110)/100,2))*100</f>
        <v>9707.5857774288397</v>
      </c>
      <c r="C110">
        <f>(3/(1+('CurrentPor-LH=40 unchanged'!C110+'CurrentPor-LH=40 unchanged'!G110)/100)+103/POWER(1+('CurrentPor-LH=40 unchanged'!D110+'CurrentPor-LH=40 unchanged'!G110)/100,2))*100</f>
        <v>9614.9673582483465</v>
      </c>
      <c r="D110">
        <f>(3/(1+('CurrentPor-LH=40 unchanged'!C110+'CurrentPor-LH=40 unchanged'!H110)/100)+103/POWER(1+('CurrentPor-LH=40 unchanged'!D110+'CurrentPor-LH=40 unchanged'!H110)/100,2))*100</f>
        <v>9601.2395558122898</v>
      </c>
      <c r="E110">
        <f>(3/(1+('CurrentPor-LH=40 unchanged'!C110+'CurrentPor-LH=40 unchanged'!I110)/100)+103/POWER(1+('CurrentPor-LH=40 unchanged'!D110+'CurrentPor-LH=40 unchanged'!I110)/100,2))*100</f>
        <v>9598.1148903215144</v>
      </c>
      <c r="F110">
        <f>Portfolio!B$5*'CurrentPor-LH=40 unchanged'!E110</f>
        <v>52143.895533915893</v>
      </c>
      <c r="G110">
        <f>Portfolio!B$6*'CurrentPor-LH=40 unchanged'!F110</f>
        <v>3696.2945087936532</v>
      </c>
      <c r="H110">
        <f>Portfolio!B$7*'CurrentPor-LH=40 unchanged'!J110</f>
        <v>2148.0998964419859</v>
      </c>
      <c r="I110">
        <f t="shared" si="2"/>
        <v>96510.197520962523</v>
      </c>
      <c r="J110">
        <f t="shared" si="3"/>
        <v>8.2638055303832516</v>
      </c>
    </row>
    <row r="111" spans="1:10">
      <c r="A111" s="1">
        <v>45624</v>
      </c>
      <c r="B111">
        <f>(3/(1+('CurrentPor-LH=40 unchanged'!C111)/100)+103/POWER(1+('CurrentPor-LH=40 unchanged'!D111)/100,2))*100</f>
        <v>9707.5857774288397</v>
      </c>
      <c r="C111">
        <f>(3/(1+('CurrentPor-LH=40 unchanged'!C111+'CurrentPor-LH=40 unchanged'!G111)/100)+103/POWER(1+('CurrentPor-LH=40 unchanged'!D111+'CurrentPor-LH=40 unchanged'!G111)/100,2))*100</f>
        <v>9614.9673582483465</v>
      </c>
      <c r="D111">
        <f>(3/(1+('CurrentPor-LH=40 unchanged'!C111+'CurrentPor-LH=40 unchanged'!H111)/100)+103/POWER(1+('CurrentPor-LH=40 unchanged'!D111+'CurrentPor-LH=40 unchanged'!H111)/100,2))*100</f>
        <v>9601.2395558122898</v>
      </c>
      <c r="E111">
        <f>(3/(1+('CurrentPor-LH=40 unchanged'!C111+'CurrentPor-LH=40 unchanged'!I111)/100)+103/POWER(1+('CurrentPor-LH=40 unchanged'!D111+'CurrentPor-LH=40 unchanged'!I111)/100,2))*100</f>
        <v>9602.1850632969981</v>
      </c>
      <c r="F111">
        <f>Portfolio!B$5*'CurrentPor-LH=40 unchanged'!E111</f>
        <v>52143.895533915893</v>
      </c>
      <c r="G111">
        <f>Portfolio!B$6*'CurrentPor-LH=40 unchanged'!F111</f>
        <v>3696.2945087936532</v>
      </c>
      <c r="H111">
        <f>Portfolio!B$7*'CurrentPor-LH=40 unchanged'!J111</f>
        <v>2148.0998964419859</v>
      </c>
      <c r="I111">
        <f t="shared" si="2"/>
        <v>96514.267693938004</v>
      </c>
      <c r="J111">
        <f t="shared" si="3"/>
        <v>16.14345314388629</v>
      </c>
    </row>
    <row r="112" spans="1:10">
      <c r="A112" s="1">
        <v>45625</v>
      </c>
      <c r="B112">
        <f>(3/(1+('CurrentPor-LH=40 unchanged'!C112)/100)+103/POWER(1+('CurrentPor-LH=40 unchanged'!D112)/100,2))*100</f>
        <v>9707.5857774288397</v>
      </c>
      <c r="C112">
        <f>(3/(1+('CurrentPor-LH=40 unchanged'!C112+'CurrentPor-LH=40 unchanged'!G112)/100)+103/POWER(1+('CurrentPor-LH=40 unchanged'!D112+'CurrentPor-LH=40 unchanged'!G112)/100,2))*100</f>
        <v>9614.9673582483465</v>
      </c>
      <c r="D112">
        <f>(3/(1+('CurrentPor-LH=40 unchanged'!C112+'CurrentPor-LH=40 unchanged'!H112)/100)+103/POWER(1+('CurrentPor-LH=40 unchanged'!D112+'CurrentPor-LH=40 unchanged'!H112)/100,2))*100</f>
        <v>9601.2395558122898</v>
      </c>
      <c r="E112">
        <f>(3/(1+('CurrentPor-LH=40 unchanged'!C112+'CurrentPor-LH=40 unchanged'!I112)/100)+103/POWER(1+('CurrentPor-LH=40 unchanged'!D112+'CurrentPor-LH=40 unchanged'!I112)/100,2))*100</f>
        <v>9592.4052084011928</v>
      </c>
      <c r="F112">
        <f>Portfolio!B$5*'CurrentPor-LH=40 unchanged'!E112</f>
        <v>52143.895533915893</v>
      </c>
      <c r="G112">
        <f>Portfolio!B$6*'CurrentPor-LH=40 unchanged'!F112</f>
        <v>3696.2945087936532</v>
      </c>
      <c r="H112">
        <f>Portfolio!B$7*'CurrentPor-LH=40 unchanged'!J112</f>
        <v>2148.0998964419859</v>
      </c>
      <c r="I112">
        <f t="shared" si="2"/>
        <v>96504.487839042195</v>
      </c>
      <c r="J112">
        <f t="shared" si="3"/>
        <v>17.49589398666285</v>
      </c>
    </row>
    <row r="113" spans="1:10">
      <c r="A113" s="1">
        <v>45628</v>
      </c>
      <c r="B113">
        <f>(3/(1+('CurrentPor-LH=40 unchanged'!C113)/100)+103/POWER(1+('CurrentPor-LH=40 unchanged'!D113)/100,2))*100</f>
        <v>9707.5857774288397</v>
      </c>
      <c r="C113">
        <f>(3/(1+('CurrentPor-LH=40 unchanged'!C113+'CurrentPor-LH=40 unchanged'!G113)/100)+103/POWER(1+('CurrentPor-LH=40 unchanged'!D113+'CurrentPor-LH=40 unchanged'!G113)/100,2))*100</f>
        <v>9614.9673582483465</v>
      </c>
      <c r="D113">
        <f>(3/(1+('CurrentPor-LH=40 unchanged'!C113+'CurrentPor-LH=40 unchanged'!H113)/100)+103/POWER(1+('CurrentPor-LH=40 unchanged'!D113+'CurrentPor-LH=40 unchanged'!H113)/100,2))*100</f>
        <v>9601.2395558122898</v>
      </c>
      <c r="E113">
        <f>(3/(1+('CurrentPor-LH=40 unchanged'!C113+'CurrentPor-LH=40 unchanged'!I113)/100)+103/POWER(1+('CurrentPor-LH=40 unchanged'!D113+'CurrentPor-LH=40 unchanged'!I113)/100,2))*100</f>
        <v>9574.3122057901346</v>
      </c>
      <c r="F113">
        <f>Portfolio!B$5*'CurrentPor-LH=40 unchanged'!E113</f>
        <v>52143.895533915893</v>
      </c>
      <c r="G113">
        <f>Portfolio!B$6*'CurrentPor-LH=40 unchanged'!F113</f>
        <v>3696.2945087936532</v>
      </c>
      <c r="H113">
        <f>Portfolio!B$7*'CurrentPor-LH=40 unchanged'!J113</f>
        <v>2148.0998964419859</v>
      </c>
      <c r="I113">
        <f t="shared" si="2"/>
        <v>96486.394836431151</v>
      </c>
      <c r="J113">
        <f t="shared" si="3"/>
        <v>-15.677621511160396</v>
      </c>
    </row>
    <row r="114" spans="1:10">
      <c r="A114" s="1">
        <v>45629</v>
      </c>
      <c r="B114">
        <f>(3/(1+('CurrentPor-LH=40 unchanged'!C114)/100)+103/POWER(1+('CurrentPor-LH=40 unchanged'!D114)/100,2))*100</f>
        <v>9707.5857774288397</v>
      </c>
      <c r="C114">
        <f>(3/(1+('CurrentPor-LH=40 unchanged'!C114+'CurrentPor-LH=40 unchanged'!G114)/100)+103/POWER(1+('CurrentPor-LH=40 unchanged'!D114+'CurrentPor-LH=40 unchanged'!G114)/100,2))*100</f>
        <v>9614.9673582483465</v>
      </c>
      <c r="D114">
        <f>(3/(1+('CurrentPor-LH=40 unchanged'!C114+'CurrentPor-LH=40 unchanged'!H114)/100)+103/POWER(1+('CurrentPor-LH=40 unchanged'!D114+'CurrentPor-LH=40 unchanged'!H114)/100,2))*100</f>
        <v>9601.2395558122898</v>
      </c>
      <c r="E114">
        <f>(3/(1+('CurrentPor-LH=40 unchanged'!C114+'CurrentPor-LH=40 unchanged'!I114)/100)+103/POWER(1+('CurrentPor-LH=40 unchanged'!D114+'CurrentPor-LH=40 unchanged'!I114)/100,2))*100</f>
        <v>9589.3187154141906</v>
      </c>
      <c r="F114">
        <f>Portfolio!B$5*'CurrentPor-LH=40 unchanged'!E114</f>
        <v>52143.895533915893</v>
      </c>
      <c r="G114">
        <f>Portfolio!B$6*'CurrentPor-LH=40 unchanged'!F114</f>
        <v>3696.2945087936532</v>
      </c>
      <c r="H114">
        <f>Portfolio!B$7*'CurrentPor-LH=40 unchanged'!J114</f>
        <v>2148.0998964419859</v>
      </c>
      <c r="I114">
        <f t="shared" si="2"/>
        <v>96501.401346055194</v>
      </c>
      <c r="J114">
        <f t="shared" si="3"/>
        <v>2.299613980401773</v>
      </c>
    </row>
    <row r="115" spans="1:10">
      <c r="A115" s="1">
        <v>45630</v>
      </c>
      <c r="B115">
        <f>(3/(1+('CurrentPor-LH=40 unchanged'!C115)/100)+103/POWER(1+('CurrentPor-LH=40 unchanged'!D115)/100,2))*100</f>
        <v>9707.5857774288397</v>
      </c>
      <c r="C115">
        <f>(3/(1+('CurrentPor-LH=40 unchanged'!C115+'CurrentPor-LH=40 unchanged'!G115)/100)+103/POWER(1+('CurrentPor-LH=40 unchanged'!D115+'CurrentPor-LH=40 unchanged'!G115)/100,2))*100</f>
        <v>9614.9673582483465</v>
      </c>
      <c r="D115">
        <f>(3/(1+('CurrentPor-LH=40 unchanged'!C115+'CurrentPor-LH=40 unchanged'!H115)/100)+103/POWER(1+('CurrentPor-LH=40 unchanged'!D115+'CurrentPor-LH=40 unchanged'!H115)/100,2))*100</f>
        <v>9601.2395558122898</v>
      </c>
      <c r="E115">
        <f>(3/(1+('CurrentPor-LH=40 unchanged'!C115+'CurrentPor-LH=40 unchanged'!I115)/100)+103/POWER(1+('CurrentPor-LH=40 unchanged'!D115+'CurrentPor-LH=40 unchanged'!I115)/100,2))*100</f>
        <v>9587.6984778414371</v>
      </c>
      <c r="F115">
        <f>Portfolio!B$5*'CurrentPor-LH=40 unchanged'!E115</f>
        <v>52143.895533915893</v>
      </c>
      <c r="G115">
        <f>Portfolio!B$6*'CurrentPor-LH=40 unchanged'!F115</f>
        <v>3696.2945087936532</v>
      </c>
      <c r="H115">
        <f>Portfolio!B$7*'CurrentPor-LH=40 unchanged'!J115</f>
        <v>2148.0998964419859</v>
      </c>
      <c r="I115">
        <f t="shared" si="2"/>
        <v>96499.781108482435</v>
      </c>
      <c r="J115">
        <f t="shared" si="3"/>
        <v>4.5155583936284529</v>
      </c>
    </row>
    <row r="116" spans="1:10">
      <c r="A116" s="1">
        <v>45631</v>
      </c>
      <c r="B116">
        <f>(3/(1+('CurrentPor-LH=40 unchanged'!C116)/100)+103/POWER(1+('CurrentPor-LH=40 unchanged'!D116)/100,2))*100</f>
        <v>9707.5857774288397</v>
      </c>
      <c r="C116">
        <f>(3/(1+('CurrentPor-LH=40 unchanged'!C116+'CurrentPor-LH=40 unchanged'!G116)/100)+103/POWER(1+('CurrentPor-LH=40 unchanged'!D116+'CurrentPor-LH=40 unchanged'!G116)/100,2))*100</f>
        <v>9614.9673582483465</v>
      </c>
      <c r="D116">
        <f>(3/(1+('CurrentPor-LH=40 unchanged'!C116+'CurrentPor-LH=40 unchanged'!H116)/100)+103/POWER(1+('CurrentPor-LH=40 unchanged'!D116+'CurrentPor-LH=40 unchanged'!H116)/100,2))*100</f>
        <v>9601.2395558122898</v>
      </c>
      <c r="E116">
        <f>(3/(1+('CurrentPor-LH=40 unchanged'!C116+'CurrentPor-LH=40 unchanged'!I116)/100)+103/POWER(1+('CurrentPor-LH=40 unchanged'!D116+'CurrentPor-LH=40 unchanged'!I116)/100,2))*100</f>
        <v>9589.7049848386268</v>
      </c>
      <c r="F116">
        <f>Portfolio!B$5*'CurrentPor-LH=40 unchanged'!E116</f>
        <v>52143.895533915893</v>
      </c>
      <c r="G116">
        <f>Portfolio!B$6*'CurrentPor-LH=40 unchanged'!F116</f>
        <v>3696.2945087936532</v>
      </c>
      <c r="H116">
        <f>Portfolio!B$7*'CurrentPor-LH=40 unchanged'!J116</f>
        <v>2148.0998964419859</v>
      </c>
      <c r="I116">
        <f t="shared" si="2"/>
        <v>96501.787615479625</v>
      </c>
      <c r="J116">
        <f t="shared" si="3"/>
        <v>20.514290199935203</v>
      </c>
    </row>
    <row r="117" spans="1:10">
      <c r="A117" s="1">
        <v>45632</v>
      </c>
      <c r="B117">
        <f>(3/(1+('CurrentPor-LH=40 unchanged'!C117)/100)+103/POWER(1+('CurrentPor-LH=40 unchanged'!D117)/100,2))*100</f>
        <v>9707.5857774288397</v>
      </c>
      <c r="C117">
        <f>(3/(1+('CurrentPor-LH=40 unchanged'!C117+'CurrentPor-LH=40 unchanged'!G117)/100)+103/POWER(1+('CurrentPor-LH=40 unchanged'!D117+'CurrentPor-LH=40 unchanged'!G117)/100,2))*100</f>
        <v>9614.9673582483465</v>
      </c>
      <c r="D117">
        <f>(3/(1+('CurrentPor-LH=40 unchanged'!C117+'CurrentPor-LH=40 unchanged'!H117)/100)+103/POWER(1+('CurrentPor-LH=40 unchanged'!D117+'CurrentPor-LH=40 unchanged'!H117)/100,2))*100</f>
        <v>9601.2395558122898</v>
      </c>
      <c r="E117">
        <f>(3/(1+('CurrentPor-LH=40 unchanged'!C117+'CurrentPor-LH=40 unchanged'!I117)/100)+103/POWER(1+('CurrentPor-LH=40 unchanged'!D117+'CurrentPor-LH=40 unchanged'!I117)/100,2))*100</f>
        <v>9596.8664729227476</v>
      </c>
      <c r="F117">
        <f>Portfolio!B$5*'CurrentPor-LH=40 unchanged'!E117</f>
        <v>52143.895533915893</v>
      </c>
      <c r="G117">
        <f>Portfolio!B$6*'CurrentPor-LH=40 unchanged'!F117</f>
        <v>3696.2945087936532</v>
      </c>
      <c r="H117">
        <f>Portfolio!B$7*'CurrentPor-LH=40 unchanged'!J117</f>
        <v>2148.0998964419859</v>
      </c>
      <c r="I117">
        <f t="shared" si="2"/>
        <v>96508.949103563747</v>
      </c>
      <c r="J117">
        <f t="shared" si="3"/>
        <v>20.089288890259922</v>
      </c>
    </row>
    <row r="118" spans="1:10">
      <c r="A118" s="1">
        <v>45635</v>
      </c>
      <c r="B118">
        <f>(3/(1+('CurrentPor-LH=40 unchanged'!C118)/100)+103/POWER(1+('CurrentPor-LH=40 unchanged'!D118)/100,2))*100</f>
        <v>9707.5857774288397</v>
      </c>
      <c r="C118">
        <f>(3/(1+('CurrentPor-LH=40 unchanged'!C118+'CurrentPor-LH=40 unchanged'!G118)/100)+103/POWER(1+('CurrentPor-LH=40 unchanged'!D118+'CurrentPor-LH=40 unchanged'!G118)/100,2))*100</f>
        <v>9614.9673582483465</v>
      </c>
      <c r="D118">
        <f>(3/(1+('CurrentPor-LH=40 unchanged'!C118+'CurrentPor-LH=40 unchanged'!H118)/100)+103/POWER(1+('CurrentPor-LH=40 unchanged'!D118+'CurrentPor-LH=40 unchanged'!H118)/100,2))*100</f>
        <v>9601.2395558122898</v>
      </c>
      <c r="E118">
        <f>(3/(1+('CurrentPor-LH=40 unchanged'!C118+'CurrentPor-LH=40 unchanged'!I118)/100)+103/POWER(1+('CurrentPor-LH=40 unchanged'!D118+'CurrentPor-LH=40 unchanged'!I118)/100,2))*100</f>
        <v>9572.999957687498</v>
      </c>
      <c r="F118">
        <f>Portfolio!B$5*'CurrentPor-LH=40 unchanged'!E118</f>
        <v>52143.895533915893</v>
      </c>
      <c r="G118">
        <f>Portfolio!B$6*'CurrentPor-LH=40 unchanged'!F118</f>
        <v>3696.2945087936532</v>
      </c>
      <c r="H118">
        <f>Portfolio!B$7*'CurrentPor-LH=40 unchanged'!J118</f>
        <v>2148.0998964419859</v>
      </c>
      <c r="I118">
        <f t="shared" si="2"/>
        <v>96485.0825883285</v>
      </c>
      <c r="J118">
        <f t="shared" si="3"/>
        <v>0.75855693634366617</v>
      </c>
    </row>
    <row r="119" spans="1:10">
      <c r="A119" s="1">
        <v>45636</v>
      </c>
      <c r="B119">
        <f>(3/(1+('CurrentPor-LH=40 unchanged'!C119)/100)+103/POWER(1+('CurrentPor-LH=40 unchanged'!D119)/100,2))*100</f>
        <v>9707.5857774288397</v>
      </c>
      <c r="C119">
        <f>(3/(1+('CurrentPor-LH=40 unchanged'!C119+'CurrentPor-LH=40 unchanged'!G119)/100)+103/POWER(1+('CurrentPor-LH=40 unchanged'!D119+'CurrentPor-LH=40 unchanged'!G119)/100,2))*100</f>
        <v>9614.9673582483465</v>
      </c>
      <c r="D119">
        <f>(3/(1+('CurrentPor-LH=40 unchanged'!C119+'CurrentPor-LH=40 unchanged'!H119)/100)+103/POWER(1+('CurrentPor-LH=40 unchanged'!D119+'CurrentPor-LH=40 unchanged'!H119)/100,2))*100</f>
        <v>9601.2395558122898</v>
      </c>
      <c r="E119">
        <f>(3/(1+('CurrentPor-LH=40 unchanged'!C119+'CurrentPor-LH=40 unchanged'!I119)/100)+103/POWER(1+('CurrentPor-LH=40 unchanged'!D119+'CurrentPor-LH=40 unchanged'!I119)/100,2))*100</f>
        <v>9582.6100231686742</v>
      </c>
      <c r="F119">
        <f>Portfolio!B$5*'CurrentPor-LH=40 unchanged'!E119</f>
        <v>52143.895533915893</v>
      </c>
      <c r="G119">
        <f>Portfolio!B$6*'CurrentPor-LH=40 unchanged'!F119</f>
        <v>3696.2945087936532</v>
      </c>
      <c r="H119">
        <f>Portfolio!B$7*'CurrentPor-LH=40 unchanged'!J119</f>
        <v>2148.0998964419859</v>
      </c>
      <c r="I119">
        <f t="shared" si="2"/>
        <v>96494.692653809689</v>
      </c>
      <c r="J119">
        <f t="shared" si="3"/>
        <v>-4.4410488098219503</v>
      </c>
    </row>
    <row r="120" spans="1:10">
      <c r="A120" s="1">
        <v>45637</v>
      </c>
      <c r="B120">
        <f>(3/(1+('CurrentPor-LH=40 unchanged'!C120)/100)+103/POWER(1+('CurrentPor-LH=40 unchanged'!D120)/100,2))*100</f>
        <v>9707.5857774288397</v>
      </c>
      <c r="C120">
        <f>(3/(1+('CurrentPor-LH=40 unchanged'!C120+'CurrentPor-LH=40 unchanged'!G120)/100)+103/POWER(1+('CurrentPor-LH=40 unchanged'!D120+'CurrentPor-LH=40 unchanged'!G120)/100,2))*100</f>
        <v>9614.9673582483465</v>
      </c>
      <c r="D120">
        <f>(3/(1+('CurrentPor-LH=40 unchanged'!C120+'CurrentPor-LH=40 unchanged'!H120)/100)+103/POWER(1+('CurrentPor-LH=40 unchanged'!D120+'CurrentPor-LH=40 unchanged'!H120)/100,2))*100</f>
        <v>9601.2395558122898</v>
      </c>
      <c r="E120">
        <f>(3/(1+('CurrentPor-LH=40 unchanged'!C120+'CurrentPor-LH=40 unchanged'!I120)/100)+103/POWER(1+('CurrentPor-LH=40 unchanged'!D120+'CurrentPor-LH=40 unchanged'!I120)/100,2))*100</f>
        <v>9585.4282070253194</v>
      </c>
      <c r="F120">
        <f>Portfolio!B$5*'CurrentPor-LH=40 unchanged'!E120</f>
        <v>52143.895533915893</v>
      </c>
      <c r="G120">
        <f>Portfolio!B$6*'CurrentPor-LH=40 unchanged'!F120</f>
        <v>3696.2945087936532</v>
      </c>
      <c r="H120">
        <f>Portfolio!B$7*'CurrentPor-LH=40 unchanged'!J120</f>
        <v>2148.0998964419859</v>
      </c>
      <c r="I120">
        <f t="shared" si="2"/>
        <v>96497.510837666327</v>
      </c>
      <c r="J120">
        <f t="shared" si="3"/>
        <v>-12.686683296196861</v>
      </c>
    </row>
    <row r="121" spans="1:10">
      <c r="A121" s="1">
        <v>45638</v>
      </c>
      <c r="B121">
        <f>(3/(1+('CurrentPor-LH=40 unchanged'!C121)/100)+103/POWER(1+('CurrentPor-LH=40 unchanged'!D121)/100,2))*100</f>
        <v>9707.5857774288397</v>
      </c>
      <c r="C121">
        <f>(3/(1+('CurrentPor-LH=40 unchanged'!C121+'CurrentPor-LH=40 unchanged'!G121)/100)+103/POWER(1+('CurrentPor-LH=40 unchanged'!D121+'CurrentPor-LH=40 unchanged'!G121)/100,2))*100</f>
        <v>9614.9673582483465</v>
      </c>
      <c r="D121">
        <f>(3/(1+('CurrentPor-LH=40 unchanged'!C121+'CurrentPor-LH=40 unchanged'!H121)/100)+103/POWER(1+('CurrentPor-LH=40 unchanged'!D121+'CurrentPor-LH=40 unchanged'!H121)/100,2))*100</f>
        <v>9601.2395558122898</v>
      </c>
      <c r="E121">
        <f>(3/(1+('CurrentPor-LH=40 unchanged'!C121+'CurrentPor-LH=40 unchanged'!I121)/100)+103/POWER(1+('CurrentPor-LH=40 unchanged'!D121+'CurrentPor-LH=40 unchanged'!I121)/100,2))*100</f>
        <v>9598.516902635014</v>
      </c>
      <c r="F121">
        <f>Portfolio!B$5*'CurrentPor-LH=40 unchanged'!E121</f>
        <v>52143.895533915893</v>
      </c>
      <c r="G121">
        <f>Portfolio!B$6*'CurrentPor-LH=40 unchanged'!F121</f>
        <v>3696.2945087936532</v>
      </c>
      <c r="H121">
        <f>Portfolio!B$7*'CurrentPor-LH=40 unchanged'!J121</f>
        <v>2148.0998964419859</v>
      </c>
      <c r="I121">
        <f t="shared" si="2"/>
        <v>96510.599533276021</v>
      </c>
      <c r="J121">
        <f t="shared" si="3"/>
        <v>-3.668160661982256</v>
      </c>
    </row>
    <row r="122" spans="1:10">
      <c r="A122" s="1">
        <v>45639</v>
      </c>
      <c r="B122">
        <f>(3/(1+('CurrentPor-LH=40 unchanged'!C122)/100)+103/POWER(1+('CurrentPor-LH=40 unchanged'!D122)/100,2))*100</f>
        <v>9707.5857774288397</v>
      </c>
      <c r="C122">
        <f>(3/(1+('CurrentPor-LH=40 unchanged'!C122+'CurrentPor-LH=40 unchanged'!G122)/100)+103/POWER(1+('CurrentPor-LH=40 unchanged'!D122+'CurrentPor-LH=40 unchanged'!G122)/100,2))*100</f>
        <v>9614.9673582483465</v>
      </c>
      <c r="D122">
        <f>(3/(1+('CurrentPor-LH=40 unchanged'!C122+'CurrentPor-LH=40 unchanged'!H122)/100)+103/POWER(1+('CurrentPor-LH=40 unchanged'!D122+'CurrentPor-LH=40 unchanged'!H122)/100,2))*100</f>
        <v>9601.2395558122898</v>
      </c>
      <c r="E122">
        <f>(3/(1+('CurrentPor-LH=40 unchanged'!C122+'CurrentPor-LH=40 unchanged'!I122)/100)+103/POWER(1+('CurrentPor-LH=40 unchanged'!D122+'CurrentPor-LH=40 unchanged'!I122)/100,2))*100</f>
        <v>9585.7277201785073</v>
      </c>
      <c r="F122">
        <f>Portfolio!B$5*'CurrentPor-LH=40 unchanged'!E122</f>
        <v>52143.895533915893</v>
      </c>
      <c r="G122">
        <f>Portfolio!B$6*'CurrentPor-LH=40 unchanged'!F122</f>
        <v>3696.2945087936532</v>
      </c>
      <c r="H122">
        <f>Portfolio!B$7*'CurrentPor-LH=40 unchanged'!J122</f>
        <v>2148.0998964419859</v>
      </c>
      <c r="I122">
        <f t="shared" si="2"/>
        <v>96497.810350819505</v>
      </c>
      <c r="J122">
        <f t="shared" si="3"/>
        <v>-6.677488222689135</v>
      </c>
    </row>
    <row r="123" spans="1:10">
      <c r="A123" s="1">
        <v>45642</v>
      </c>
      <c r="B123">
        <f>(3/(1+('CurrentPor-LH=40 unchanged'!C123)/100)+103/POWER(1+('CurrentPor-LH=40 unchanged'!D123)/100,2))*100</f>
        <v>9707.5857774288397</v>
      </c>
      <c r="C123">
        <f>(3/(1+('CurrentPor-LH=40 unchanged'!C123+'CurrentPor-LH=40 unchanged'!G123)/100)+103/POWER(1+('CurrentPor-LH=40 unchanged'!D123+'CurrentPor-LH=40 unchanged'!G123)/100,2))*100</f>
        <v>9614.9673582483465</v>
      </c>
      <c r="D123">
        <f>(3/(1+('CurrentPor-LH=40 unchanged'!C123+'CurrentPor-LH=40 unchanged'!H123)/100)+103/POWER(1+('CurrentPor-LH=40 unchanged'!D123+'CurrentPor-LH=40 unchanged'!H123)/100,2))*100</f>
        <v>9601.2395558122898</v>
      </c>
      <c r="E123">
        <f>(3/(1+('CurrentPor-LH=40 unchanged'!C123+'CurrentPor-LH=40 unchanged'!I123)/100)+103/POWER(1+('CurrentPor-LH=40 unchanged'!D123+'CurrentPor-LH=40 unchanged'!I123)/100,2))*100</f>
        <v>9568.8339471516283</v>
      </c>
      <c r="F123">
        <f>Portfolio!B$5*'CurrentPor-LH=40 unchanged'!E123</f>
        <v>52143.895533915893</v>
      </c>
      <c r="G123">
        <f>Portfolio!B$6*'CurrentPor-LH=40 unchanged'!F123</f>
        <v>3696.2945087936532</v>
      </c>
      <c r="H123">
        <f>Portfolio!B$7*'CurrentPor-LH=40 unchanged'!J123</f>
        <v>2148.0998964419859</v>
      </c>
      <c r="I123">
        <f t="shared" si="2"/>
        <v>96480.916577792639</v>
      </c>
      <c r="J123">
        <f t="shared" si="3"/>
        <v>-5.4782586385117611</v>
      </c>
    </row>
    <row r="124" spans="1:10">
      <c r="A124" s="1">
        <v>45643</v>
      </c>
      <c r="B124">
        <f>(3/(1+('CurrentPor-LH=40 unchanged'!C124)/100)+103/POWER(1+('CurrentPor-LH=40 unchanged'!D124)/100,2))*100</f>
        <v>9707.5857774288397</v>
      </c>
      <c r="C124">
        <f>(3/(1+('CurrentPor-LH=40 unchanged'!C124+'CurrentPor-LH=40 unchanged'!G124)/100)+103/POWER(1+('CurrentPor-LH=40 unchanged'!D124+'CurrentPor-LH=40 unchanged'!G124)/100,2))*100</f>
        <v>9614.9673582483465</v>
      </c>
      <c r="D124">
        <f>(3/(1+('CurrentPor-LH=40 unchanged'!C124+'CurrentPor-LH=40 unchanged'!H124)/100)+103/POWER(1+('CurrentPor-LH=40 unchanged'!D124+'CurrentPor-LH=40 unchanged'!H124)/100,2))*100</f>
        <v>9601.2395558122898</v>
      </c>
      <c r="E124">
        <f>(3/(1+('CurrentPor-LH=40 unchanged'!C124+'CurrentPor-LH=40 unchanged'!I124)/100)+103/POWER(1+('CurrentPor-LH=40 unchanged'!D124+'CurrentPor-LH=40 unchanged'!I124)/100,2))*100</f>
        <v>9593.4639936051062</v>
      </c>
      <c r="F124">
        <f>Portfolio!B$5*'CurrentPor-LH=40 unchanged'!E124</f>
        <v>52143.895533915893</v>
      </c>
      <c r="G124">
        <f>Portfolio!B$6*'CurrentPor-LH=40 unchanged'!F124</f>
        <v>3696.2945087936532</v>
      </c>
      <c r="H124">
        <f>Portfolio!B$7*'CurrentPor-LH=40 unchanged'!J124</f>
        <v>2148.0998964419859</v>
      </c>
      <c r="I124">
        <f t="shared" si="2"/>
        <v>96505.546624246126</v>
      </c>
      <c r="J124">
        <f t="shared" si="3"/>
        <v>4.1452781909320038</v>
      </c>
    </row>
    <row r="125" spans="1:10">
      <c r="A125" s="1">
        <v>45644</v>
      </c>
      <c r="B125">
        <f>(3/(1+('CurrentPor-LH=40 unchanged'!C125)/100)+103/POWER(1+('CurrentPor-LH=40 unchanged'!D125)/100,2))*100</f>
        <v>9707.5857774288397</v>
      </c>
      <c r="C125">
        <f>(3/(1+('CurrentPor-LH=40 unchanged'!C125+'CurrentPor-LH=40 unchanged'!G125)/100)+103/POWER(1+('CurrentPor-LH=40 unchanged'!D125+'CurrentPor-LH=40 unchanged'!G125)/100,2))*100</f>
        <v>9614.9673582483465</v>
      </c>
      <c r="D125">
        <f>(3/(1+('CurrentPor-LH=40 unchanged'!C125+'CurrentPor-LH=40 unchanged'!H125)/100)+103/POWER(1+('CurrentPor-LH=40 unchanged'!D125+'CurrentPor-LH=40 unchanged'!H125)/100,2))*100</f>
        <v>9601.2395558122898</v>
      </c>
      <c r="E125">
        <f>(3/(1+('CurrentPor-LH=40 unchanged'!C125+'CurrentPor-LH=40 unchanged'!I125)/100)+103/POWER(1+('CurrentPor-LH=40 unchanged'!D125+'CurrentPor-LH=40 unchanged'!I125)/100,2))*100</f>
        <v>9569.9819702312489</v>
      </c>
      <c r="F125">
        <f>Portfolio!B$5*'CurrentPor-LH=40 unchanged'!E125</f>
        <v>52143.895533915893</v>
      </c>
      <c r="G125">
        <f>Portfolio!B$6*'CurrentPor-LH=40 unchanged'!F125</f>
        <v>3696.2945087936532</v>
      </c>
      <c r="H125">
        <f>Portfolio!B$7*'CurrentPor-LH=40 unchanged'!J125</f>
        <v>2148.0998964419859</v>
      </c>
      <c r="I125">
        <f t="shared" si="2"/>
        <v>96482.064600872269</v>
      </c>
      <c r="J125">
        <f t="shared" si="3"/>
        <v>-17.716507610166445</v>
      </c>
    </row>
    <row r="126" spans="1:10">
      <c r="A126" s="1">
        <v>45645</v>
      </c>
      <c r="B126">
        <f>(3/(1+('CurrentPor-LH=40 unchanged'!C126)/100)+103/POWER(1+('CurrentPor-LH=40 unchanged'!D126)/100,2))*100</f>
        <v>9707.5857774288397</v>
      </c>
      <c r="C126">
        <f>(3/(1+('CurrentPor-LH=40 unchanged'!C126+'CurrentPor-LH=40 unchanged'!G126)/100)+103/POWER(1+('CurrentPor-LH=40 unchanged'!D126+'CurrentPor-LH=40 unchanged'!G126)/100,2))*100</f>
        <v>9614.9673582483465</v>
      </c>
      <c r="D126">
        <f>(3/(1+('CurrentPor-LH=40 unchanged'!C126+'CurrentPor-LH=40 unchanged'!H126)/100)+103/POWER(1+('CurrentPor-LH=40 unchanged'!D126+'CurrentPor-LH=40 unchanged'!H126)/100,2))*100</f>
        <v>9601.2395558122898</v>
      </c>
      <c r="E126">
        <f>(3/(1+('CurrentPor-LH=40 unchanged'!C126+'CurrentPor-LH=40 unchanged'!I126)/100)+103/POWER(1+('CurrentPor-LH=40 unchanged'!D126+'CurrentPor-LH=40 unchanged'!I126)/100,2))*100</f>
        <v>9583.5445383447059</v>
      </c>
      <c r="F126">
        <f>Portfolio!B$5*'CurrentPor-LH=40 unchanged'!E126</f>
        <v>52143.895533915893</v>
      </c>
      <c r="G126">
        <f>Portfolio!B$6*'CurrentPor-LH=40 unchanged'!F126</f>
        <v>3696.2945087936532</v>
      </c>
      <c r="H126">
        <f>Portfolio!B$7*'CurrentPor-LH=40 unchanged'!J126</f>
        <v>2148.0998964419859</v>
      </c>
      <c r="I126">
        <f t="shared" si="2"/>
        <v>96495.627168985709</v>
      </c>
      <c r="J126">
        <f t="shared" si="3"/>
        <v>-6.160446493915515</v>
      </c>
    </row>
    <row r="127" spans="1:10">
      <c r="A127" s="1">
        <v>45646</v>
      </c>
      <c r="B127">
        <f>(3/(1+('CurrentPor-LH=40 unchanged'!C127)/100)+103/POWER(1+('CurrentPor-LH=40 unchanged'!D127)/100,2))*100</f>
        <v>9707.5857774288397</v>
      </c>
      <c r="C127">
        <f>(3/(1+('CurrentPor-LH=40 unchanged'!C127+'CurrentPor-LH=40 unchanged'!G127)/100)+103/POWER(1+('CurrentPor-LH=40 unchanged'!D127+'CurrentPor-LH=40 unchanged'!G127)/100,2))*100</f>
        <v>9614.9673582483465</v>
      </c>
      <c r="D127">
        <f>(3/(1+('CurrentPor-LH=40 unchanged'!C127+'CurrentPor-LH=40 unchanged'!H127)/100)+103/POWER(1+('CurrentPor-LH=40 unchanged'!D127+'CurrentPor-LH=40 unchanged'!H127)/100,2))*100</f>
        <v>9601.2395558122898</v>
      </c>
      <c r="E127">
        <f>(3/(1+('CurrentPor-LH=40 unchanged'!C127+'CurrentPor-LH=40 unchanged'!I127)/100)+103/POWER(1+('CurrentPor-LH=40 unchanged'!D127+'CurrentPor-LH=40 unchanged'!I127)/100,2))*100</f>
        <v>9596.9888639645633</v>
      </c>
      <c r="F127">
        <f>Portfolio!B$5*'CurrentPor-LH=40 unchanged'!E127</f>
        <v>52143.895533915893</v>
      </c>
      <c r="G127">
        <f>Portfolio!B$6*'CurrentPor-LH=40 unchanged'!F127</f>
        <v>3696.2945087936532</v>
      </c>
      <c r="H127">
        <f>Portfolio!B$7*'CurrentPor-LH=40 unchanged'!J127</f>
        <v>2148.0998964419859</v>
      </c>
      <c r="I127">
        <f t="shared" si="2"/>
        <v>96509.071494605581</v>
      </c>
      <c r="J127">
        <f t="shared" si="3"/>
        <v>0.12239104183390737</v>
      </c>
    </row>
    <row r="128" spans="1:10">
      <c r="A128" s="1">
        <v>45649</v>
      </c>
      <c r="B128">
        <f>(3/(1+('CurrentPor-LH=40 unchanged'!C128)/100)+103/POWER(1+('CurrentPor-LH=40 unchanged'!D128)/100,2))*100</f>
        <v>9707.5857774288397</v>
      </c>
      <c r="C128">
        <f>(3/(1+('CurrentPor-LH=40 unchanged'!C128+'CurrentPor-LH=40 unchanged'!G128)/100)+103/POWER(1+('CurrentPor-LH=40 unchanged'!D128+'CurrentPor-LH=40 unchanged'!G128)/100,2))*100</f>
        <v>9614.9673582483465</v>
      </c>
      <c r="D128">
        <f>(3/(1+('CurrentPor-LH=40 unchanged'!C128+'CurrentPor-LH=40 unchanged'!H128)/100)+103/POWER(1+('CurrentPor-LH=40 unchanged'!D128+'CurrentPor-LH=40 unchanged'!H128)/100,2))*100</f>
        <v>9601.2395558122898</v>
      </c>
      <c r="E128">
        <f>(3/(1+('CurrentPor-LH=40 unchanged'!C128+'CurrentPor-LH=40 unchanged'!I128)/100)+103/POWER(1+('CurrentPor-LH=40 unchanged'!D128+'CurrentPor-LH=40 unchanged'!I128)/100,2))*100</f>
        <v>9583.3317290103514</v>
      </c>
      <c r="F128">
        <f>Portfolio!B$5*'CurrentPor-LH=40 unchanged'!E128</f>
        <v>52143.895533915893</v>
      </c>
      <c r="G128">
        <f>Portfolio!B$6*'CurrentPor-LH=40 unchanged'!F128</f>
        <v>3696.2945087936532</v>
      </c>
      <c r="H128">
        <f>Portfolio!B$7*'CurrentPor-LH=40 unchanged'!J128</f>
        <v>2148.0998964419859</v>
      </c>
      <c r="I128">
        <f t="shared" si="2"/>
        <v>96495.41435965136</v>
      </c>
      <c r="J128">
        <f t="shared" si="3"/>
        <v>10.331771322860732</v>
      </c>
    </row>
    <row r="129" spans="1:10">
      <c r="A129" s="1">
        <v>45650</v>
      </c>
      <c r="B129">
        <f>(3/(1+('CurrentPor-LH=40 unchanged'!C129)/100)+103/POWER(1+('CurrentPor-LH=40 unchanged'!D129)/100,2))*100</f>
        <v>9707.5857774288397</v>
      </c>
      <c r="C129">
        <f>(3/(1+('CurrentPor-LH=40 unchanged'!C129+'CurrentPor-LH=40 unchanged'!G129)/100)+103/POWER(1+('CurrentPor-LH=40 unchanged'!D129+'CurrentPor-LH=40 unchanged'!G129)/100,2))*100</f>
        <v>9614.9673582483465</v>
      </c>
      <c r="D129">
        <f>(3/(1+('CurrentPor-LH=40 unchanged'!C129+'CurrentPor-LH=40 unchanged'!H129)/100)+103/POWER(1+('CurrentPor-LH=40 unchanged'!D129+'CurrentPor-LH=40 unchanged'!H129)/100,2))*100</f>
        <v>9601.2395558122898</v>
      </c>
      <c r="E129">
        <f>(3/(1+('CurrentPor-LH=40 unchanged'!C129+'CurrentPor-LH=40 unchanged'!I129)/100)+103/POWER(1+('CurrentPor-LH=40 unchanged'!D129+'CurrentPor-LH=40 unchanged'!I129)/100,2))*100</f>
        <v>9571.0968242513409</v>
      </c>
      <c r="F129">
        <f>Portfolio!B$5*'CurrentPor-LH=40 unchanged'!E129</f>
        <v>52143.895533915893</v>
      </c>
      <c r="G129">
        <f>Portfolio!B$6*'CurrentPor-LH=40 unchanged'!F129</f>
        <v>3696.2945087936532</v>
      </c>
      <c r="H129">
        <f>Portfolio!B$7*'CurrentPor-LH=40 unchanged'!J129</f>
        <v>2148.0998964419859</v>
      </c>
      <c r="I129">
        <f t="shared" si="2"/>
        <v>96483.17945489235</v>
      </c>
      <c r="J129">
        <f t="shared" si="3"/>
        <v>-11.513198917338741</v>
      </c>
    </row>
    <row r="130" spans="1:10">
      <c r="A130" s="1">
        <v>45651</v>
      </c>
      <c r="B130">
        <f>(3/(1+('CurrentPor-LH=40 unchanged'!C130)/100)+103/POWER(1+('CurrentPor-LH=40 unchanged'!D130)/100,2))*100</f>
        <v>9707.5857774288397</v>
      </c>
      <c r="C130">
        <f>(3/(1+('CurrentPor-LH=40 unchanged'!C130+'CurrentPor-LH=40 unchanged'!G130)/100)+103/POWER(1+('CurrentPor-LH=40 unchanged'!D130+'CurrentPor-LH=40 unchanged'!G130)/100,2))*100</f>
        <v>9614.9673582483465</v>
      </c>
      <c r="D130">
        <f>(3/(1+('CurrentPor-LH=40 unchanged'!C130+'CurrentPor-LH=40 unchanged'!H130)/100)+103/POWER(1+('CurrentPor-LH=40 unchanged'!D130+'CurrentPor-LH=40 unchanged'!H130)/100,2))*100</f>
        <v>9601.2395558122898</v>
      </c>
      <c r="E130">
        <f>(3/(1+('CurrentPor-LH=40 unchanged'!C130+'CurrentPor-LH=40 unchanged'!I130)/100)+103/POWER(1+('CurrentPor-LH=40 unchanged'!D130+'CurrentPor-LH=40 unchanged'!I130)/100,2))*100</f>
        <v>9575.2282359582678</v>
      </c>
      <c r="F130">
        <f>Portfolio!B$5*'CurrentPor-LH=40 unchanged'!E130</f>
        <v>52143.895533915893</v>
      </c>
      <c r="G130">
        <f>Portfolio!B$6*'CurrentPor-LH=40 unchanged'!F130</f>
        <v>3696.2945087936532</v>
      </c>
      <c r="H130">
        <f>Portfolio!B$7*'CurrentPor-LH=40 unchanged'!J130</f>
        <v>2148.0998964419859</v>
      </c>
      <c r="I130">
        <f t="shared" si="2"/>
        <v>96487.310866599277</v>
      </c>
      <c r="J130">
        <f t="shared" si="3"/>
        <v>-10.199971067049773</v>
      </c>
    </row>
    <row r="131" spans="1:10">
      <c r="A131" s="1">
        <v>45652</v>
      </c>
      <c r="B131">
        <f>(3/(1+('CurrentPor-LH=40 unchanged'!C131)/100)+103/POWER(1+('CurrentPor-LH=40 unchanged'!D131)/100,2))*100</f>
        <v>9707.5857774288397</v>
      </c>
      <c r="C131">
        <f>(3/(1+('CurrentPor-LH=40 unchanged'!C131+'CurrentPor-LH=40 unchanged'!G131)/100)+103/POWER(1+('CurrentPor-LH=40 unchanged'!D131+'CurrentPor-LH=40 unchanged'!G131)/100,2))*100</f>
        <v>9614.9673582483465</v>
      </c>
      <c r="D131">
        <f>(3/(1+('CurrentPor-LH=40 unchanged'!C131+'CurrentPor-LH=40 unchanged'!H131)/100)+103/POWER(1+('CurrentPor-LH=40 unchanged'!D131+'CurrentPor-LH=40 unchanged'!H131)/100,2))*100</f>
        <v>9601.2395558122898</v>
      </c>
      <c r="E131">
        <f>(3/(1+('CurrentPor-LH=40 unchanged'!C131+'CurrentPor-LH=40 unchanged'!I131)/100)+103/POWER(1+('CurrentPor-LH=40 unchanged'!D131+'CurrentPor-LH=40 unchanged'!I131)/100,2))*100</f>
        <v>9579.5278199657423</v>
      </c>
      <c r="F131">
        <f>Portfolio!B$5*'CurrentPor-LH=40 unchanged'!E131</f>
        <v>52143.895533915893</v>
      </c>
      <c r="G131">
        <f>Portfolio!B$6*'CurrentPor-LH=40 unchanged'!F131</f>
        <v>3696.2945087936532</v>
      </c>
      <c r="H131">
        <f>Portfolio!B$7*'CurrentPor-LH=40 unchanged'!J131</f>
        <v>2148.0998964419859</v>
      </c>
      <c r="I131">
        <f t="shared" si="2"/>
        <v>96491.61045060675</v>
      </c>
      <c r="J131">
        <f t="shared" si="3"/>
        <v>-18.989082669271738</v>
      </c>
    </row>
    <row r="132" spans="1:10">
      <c r="A132" s="1">
        <v>45653</v>
      </c>
      <c r="B132">
        <f>(3/(1+('CurrentPor-LH=40 unchanged'!C132)/100)+103/POWER(1+('CurrentPor-LH=40 unchanged'!D132)/100,2))*100</f>
        <v>9707.5857774288397</v>
      </c>
      <c r="C132">
        <f>(3/(1+('CurrentPor-LH=40 unchanged'!C132+'CurrentPor-LH=40 unchanged'!G132)/100)+103/POWER(1+('CurrentPor-LH=40 unchanged'!D132+'CurrentPor-LH=40 unchanged'!G132)/100,2))*100</f>
        <v>9614.9673582483465</v>
      </c>
      <c r="D132">
        <f>(3/(1+('CurrentPor-LH=40 unchanged'!C132+'CurrentPor-LH=40 unchanged'!H132)/100)+103/POWER(1+('CurrentPor-LH=40 unchanged'!D132+'CurrentPor-LH=40 unchanged'!H132)/100,2))*100</f>
        <v>9601.2395558122898</v>
      </c>
      <c r="E132">
        <f>(3/(1+('CurrentPor-LH=40 unchanged'!C132+'CurrentPor-LH=40 unchanged'!I132)/100)+103/POWER(1+('CurrentPor-LH=40 unchanged'!D132+'CurrentPor-LH=40 unchanged'!I132)/100,2))*100</f>
        <v>9559.6759380989533</v>
      </c>
      <c r="F132">
        <f>Portfolio!B$5*'CurrentPor-LH=40 unchanged'!E132</f>
        <v>52143.895533915893</v>
      </c>
      <c r="G132">
        <f>Portfolio!B$6*'CurrentPor-LH=40 unchanged'!F132</f>
        <v>3696.2945087936532</v>
      </c>
      <c r="H132">
        <f>Portfolio!B$7*'CurrentPor-LH=40 unchanged'!J132</f>
        <v>2148.0998964419859</v>
      </c>
      <c r="I132">
        <f t="shared" ref="I132:I195" si="4">SUM(B132:H132)</f>
        <v>96471.75856873997</v>
      </c>
      <c r="J132">
        <f t="shared" si="3"/>
        <v>-26.051782079535769</v>
      </c>
    </row>
    <row r="133" spans="1:10">
      <c r="A133" s="1">
        <v>45656</v>
      </c>
      <c r="B133">
        <f>(3/(1+('CurrentPor-LH=40 unchanged'!C133)/100)+103/POWER(1+('CurrentPor-LH=40 unchanged'!D133)/100,2))*100</f>
        <v>9707.5857774288397</v>
      </c>
      <c r="C133">
        <f>(3/(1+('CurrentPor-LH=40 unchanged'!C133+'CurrentPor-LH=40 unchanged'!G133)/100)+103/POWER(1+('CurrentPor-LH=40 unchanged'!D133+'CurrentPor-LH=40 unchanged'!G133)/100,2))*100</f>
        <v>9614.9673582483465</v>
      </c>
      <c r="D133">
        <f>(3/(1+('CurrentPor-LH=40 unchanged'!C133+'CurrentPor-LH=40 unchanged'!H133)/100)+103/POWER(1+('CurrentPor-LH=40 unchanged'!D133+'CurrentPor-LH=40 unchanged'!H133)/100,2))*100</f>
        <v>9601.2395558122898</v>
      </c>
      <c r="E133">
        <f>(3/(1+('CurrentPor-LH=40 unchanged'!C133+'CurrentPor-LH=40 unchanged'!I133)/100)+103/POWER(1+('CurrentPor-LH=40 unchanged'!D133+'CurrentPor-LH=40 unchanged'!I133)/100,2))*100</f>
        <v>9574.8955319227989</v>
      </c>
      <c r="F133">
        <f>Portfolio!B$5*'CurrentPor-LH=40 unchanged'!E133</f>
        <v>52143.895533915893</v>
      </c>
      <c r="G133">
        <f>Portfolio!B$6*'CurrentPor-LH=40 unchanged'!F133</f>
        <v>3696.2945087936532</v>
      </c>
      <c r="H133">
        <f>Portfolio!B$7*'CurrentPor-LH=40 unchanged'!J133</f>
        <v>2148.0998964419859</v>
      </c>
      <c r="I133">
        <f t="shared" si="4"/>
        <v>96486.978162563799</v>
      </c>
      <c r="J133">
        <f t="shared" si="3"/>
        <v>6.0615847711596871</v>
      </c>
    </row>
    <row r="134" spans="1:10">
      <c r="A134" s="1">
        <v>45657</v>
      </c>
      <c r="B134">
        <f>(3/(1+('CurrentPor-LH=40 unchanged'!C134)/100)+103/POWER(1+('CurrentPor-LH=40 unchanged'!D134)/100,2))*100</f>
        <v>9707.5857774288397</v>
      </c>
      <c r="C134">
        <f>(3/(1+('CurrentPor-LH=40 unchanged'!C134+'CurrentPor-LH=40 unchanged'!G134)/100)+103/POWER(1+('CurrentPor-LH=40 unchanged'!D134+'CurrentPor-LH=40 unchanged'!G134)/100,2))*100</f>
        <v>9614.9673582483465</v>
      </c>
      <c r="D134">
        <f>(3/(1+('CurrentPor-LH=40 unchanged'!C134+'CurrentPor-LH=40 unchanged'!H134)/100)+103/POWER(1+('CurrentPor-LH=40 unchanged'!D134+'CurrentPor-LH=40 unchanged'!H134)/100,2))*100</f>
        <v>9601.2395558122898</v>
      </c>
      <c r="E134">
        <f>(3/(1+('CurrentPor-LH=40 unchanged'!C134+'CurrentPor-LH=40 unchanged'!I134)/100)+103/POWER(1+('CurrentPor-LH=40 unchanged'!D134+'CurrentPor-LH=40 unchanged'!I134)/100,2))*100</f>
        <v>9568.1648062486056</v>
      </c>
      <c r="F134">
        <f>Portfolio!B$5*'CurrentPor-LH=40 unchanged'!E134</f>
        <v>52143.895533915893</v>
      </c>
      <c r="G134">
        <f>Portfolio!B$6*'CurrentPor-LH=40 unchanged'!F134</f>
        <v>3696.2945087936532</v>
      </c>
      <c r="H134">
        <f>Portfolio!B$7*'CurrentPor-LH=40 unchanged'!J134</f>
        <v>2148.0998964419859</v>
      </c>
      <c r="I134">
        <f t="shared" si="4"/>
        <v>96480.247436889607</v>
      </c>
      <c r="J134">
        <f t="shared" si="3"/>
        <v>-25.299187356518814</v>
      </c>
    </row>
    <row r="135" spans="1:10">
      <c r="A135" s="1">
        <v>45658</v>
      </c>
      <c r="B135">
        <f>(3/(1+('CurrentPor-LH=40 unchanged'!C135)/100)+103/POWER(1+('CurrentPor-LH=40 unchanged'!D135)/100,2))*100</f>
        <v>9707.5857774288397</v>
      </c>
      <c r="C135">
        <f>(3/(1+('CurrentPor-LH=40 unchanged'!C135+'CurrentPor-LH=40 unchanged'!G135)/100)+103/POWER(1+('CurrentPor-LH=40 unchanged'!D135+'CurrentPor-LH=40 unchanged'!G135)/100,2))*100</f>
        <v>9614.9673582483465</v>
      </c>
      <c r="D135">
        <f>(3/(1+('CurrentPor-LH=40 unchanged'!C135+'CurrentPor-LH=40 unchanged'!H135)/100)+103/POWER(1+('CurrentPor-LH=40 unchanged'!D135+'CurrentPor-LH=40 unchanged'!H135)/100,2))*100</f>
        <v>9601.2395558122898</v>
      </c>
      <c r="E135">
        <f>(3/(1+('CurrentPor-LH=40 unchanged'!C135+'CurrentPor-LH=40 unchanged'!I135)/100)+103/POWER(1+('CurrentPor-LH=40 unchanged'!D135+'CurrentPor-LH=40 unchanged'!I135)/100,2))*100</f>
        <v>9576.4501406326817</v>
      </c>
      <c r="F135">
        <f>Portfolio!B$5*'CurrentPor-LH=40 unchanged'!E135</f>
        <v>52143.895533915893</v>
      </c>
      <c r="G135">
        <f>Portfolio!B$6*'CurrentPor-LH=40 unchanged'!F135</f>
        <v>3696.2945087936532</v>
      </c>
      <c r="H135">
        <f>Portfolio!B$7*'CurrentPor-LH=40 unchanged'!J135</f>
        <v>2148.0998964419859</v>
      </c>
      <c r="I135">
        <f t="shared" si="4"/>
        <v>96488.532771273691</v>
      </c>
      <c r="J135">
        <f t="shared" si="3"/>
        <v>6.4681704014219576</v>
      </c>
    </row>
    <row r="136" spans="1:10">
      <c r="A136" s="1">
        <v>45659</v>
      </c>
      <c r="B136">
        <f>(3/(1+('CurrentPor-LH=40 unchanged'!C136)/100)+103/POWER(1+('CurrentPor-LH=40 unchanged'!D136)/100,2))*100</f>
        <v>9707.5857774288397</v>
      </c>
      <c r="C136">
        <f>(3/(1+('CurrentPor-LH=40 unchanged'!C136+'CurrentPor-LH=40 unchanged'!G136)/100)+103/POWER(1+('CurrentPor-LH=40 unchanged'!D136+'CurrentPor-LH=40 unchanged'!G136)/100,2))*100</f>
        <v>9614.9673582483465</v>
      </c>
      <c r="D136">
        <f>(3/(1+('CurrentPor-LH=40 unchanged'!C136+'CurrentPor-LH=40 unchanged'!H136)/100)+103/POWER(1+('CurrentPor-LH=40 unchanged'!D136+'CurrentPor-LH=40 unchanged'!H136)/100,2))*100</f>
        <v>9601.2395558122898</v>
      </c>
      <c r="E136">
        <f>(3/(1+('CurrentPor-LH=40 unchanged'!C136+'CurrentPor-LH=40 unchanged'!I136)/100)+103/POWER(1+('CurrentPor-LH=40 unchanged'!D136+'CurrentPor-LH=40 unchanged'!I136)/100,2))*100</f>
        <v>9574.7844990282883</v>
      </c>
      <c r="F136">
        <f>Portfolio!B$5*'CurrentPor-LH=40 unchanged'!E136</f>
        <v>52143.895533915893</v>
      </c>
      <c r="G136">
        <f>Portfolio!B$6*'CurrentPor-LH=40 unchanged'!F136</f>
        <v>3696.2945087936532</v>
      </c>
      <c r="H136">
        <f>Portfolio!B$7*'CurrentPor-LH=40 unchanged'!J136</f>
        <v>2148.0998964419859</v>
      </c>
      <c r="I136">
        <f t="shared" si="4"/>
        <v>96486.867129669306</v>
      </c>
      <c r="J136">
        <f t="shared" si="3"/>
        <v>-8.7600393164029811</v>
      </c>
    </row>
    <row r="137" spans="1:10">
      <c r="A137" s="1">
        <v>45660</v>
      </c>
      <c r="B137">
        <f>(3/(1+('CurrentPor-LH=40 unchanged'!C137)/100)+103/POWER(1+('CurrentPor-LH=40 unchanged'!D137)/100,2))*100</f>
        <v>9707.5857774288397</v>
      </c>
      <c r="C137">
        <f>(3/(1+('CurrentPor-LH=40 unchanged'!C137+'CurrentPor-LH=40 unchanged'!G137)/100)+103/POWER(1+('CurrentPor-LH=40 unchanged'!D137+'CurrentPor-LH=40 unchanged'!G137)/100,2))*100</f>
        <v>9614.9673582483465</v>
      </c>
      <c r="D137">
        <f>(3/(1+('CurrentPor-LH=40 unchanged'!C137+'CurrentPor-LH=40 unchanged'!H137)/100)+103/POWER(1+('CurrentPor-LH=40 unchanged'!D137+'CurrentPor-LH=40 unchanged'!H137)/100,2))*100</f>
        <v>9601.2395558122898</v>
      </c>
      <c r="E137">
        <f>(3/(1+('CurrentPor-LH=40 unchanged'!C137+'CurrentPor-LH=40 unchanged'!I137)/100)+103/POWER(1+('CurrentPor-LH=40 unchanged'!D137+'CurrentPor-LH=40 unchanged'!I137)/100,2))*100</f>
        <v>9581.9963668513847</v>
      </c>
      <c r="F137">
        <f>Portfolio!B$5*'CurrentPor-LH=40 unchanged'!E137</f>
        <v>52143.895533915893</v>
      </c>
      <c r="G137">
        <f>Portfolio!B$6*'CurrentPor-LH=40 unchanged'!F137</f>
        <v>3696.2945087936532</v>
      </c>
      <c r="H137">
        <f>Portfolio!B$7*'CurrentPor-LH=40 unchanged'!J137</f>
        <v>2148.0998964419859</v>
      </c>
      <c r="I137">
        <f t="shared" si="4"/>
        <v>96494.078997492397</v>
      </c>
      <c r="J137">
        <f t="shared" si="3"/>
        <v>-14.992497113184072</v>
      </c>
    </row>
    <row r="138" spans="1:10">
      <c r="A138" s="1">
        <v>45663</v>
      </c>
      <c r="B138">
        <f>(3/(1+('CurrentPor-LH=40 unchanged'!C138)/100)+103/POWER(1+('CurrentPor-LH=40 unchanged'!D138)/100,2))*100</f>
        <v>9707.5857774288397</v>
      </c>
      <c r="C138">
        <f>(3/(1+('CurrentPor-LH=40 unchanged'!C138+'CurrentPor-LH=40 unchanged'!G138)/100)+103/POWER(1+('CurrentPor-LH=40 unchanged'!D138+'CurrentPor-LH=40 unchanged'!G138)/100,2))*100</f>
        <v>9614.9673582483465</v>
      </c>
      <c r="D138">
        <f>(3/(1+('CurrentPor-LH=40 unchanged'!C138+'CurrentPor-LH=40 unchanged'!H138)/100)+103/POWER(1+('CurrentPor-LH=40 unchanged'!D138+'CurrentPor-LH=40 unchanged'!H138)/100,2))*100</f>
        <v>9601.2395558122898</v>
      </c>
      <c r="E138">
        <f>(3/(1+('CurrentPor-LH=40 unchanged'!C138+'CurrentPor-LH=40 unchanged'!I138)/100)+103/POWER(1+('CurrentPor-LH=40 unchanged'!D138+'CurrentPor-LH=40 unchanged'!I138)/100,2))*100</f>
        <v>9584.0415154456041</v>
      </c>
      <c r="F138">
        <f>Portfolio!B$5*'CurrentPor-LH=40 unchanged'!E138</f>
        <v>52143.895533915893</v>
      </c>
      <c r="G138">
        <f>Portfolio!B$6*'CurrentPor-LH=40 unchanged'!F138</f>
        <v>3696.2945087936532</v>
      </c>
      <c r="H138">
        <f>Portfolio!B$7*'CurrentPor-LH=40 unchanged'!J138</f>
        <v>2148.0998964419859</v>
      </c>
      <c r="I138">
        <f t="shared" si="4"/>
        <v>96496.124146086615</v>
      </c>
      <c r="J138">
        <f t="shared" si="3"/>
        <v>0.70978643525450025</v>
      </c>
    </row>
    <row r="139" spans="1:10">
      <c r="A139" s="1">
        <v>45664</v>
      </c>
      <c r="B139">
        <f>(3/(1+('CurrentPor-LH=40 unchanged'!C139)/100)+103/POWER(1+('CurrentPor-LH=40 unchanged'!D139)/100,2))*100</f>
        <v>9707.5857774288397</v>
      </c>
      <c r="C139">
        <f>(3/(1+('CurrentPor-LH=40 unchanged'!C139+'CurrentPor-LH=40 unchanged'!G139)/100)+103/POWER(1+('CurrentPor-LH=40 unchanged'!D139+'CurrentPor-LH=40 unchanged'!G139)/100,2))*100</f>
        <v>9614.9673582483465</v>
      </c>
      <c r="D139">
        <f>(3/(1+('CurrentPor-LH=40 unchanged'!C139+'CurrentPor-LH=40 unchanged'!H139)/100)+103/POWER(1+('CurrentPor-LH=40 unchanged'!D139+'CurrentPor-LH=40 unchanged'!H139)/100,2))*100</f>
        <v>9601.2395558122898</v>
      </c>
      <c r="E139">
        <f>(3/(1+('CurrentPor-LH=40 unchanged'!C139+'CurrentPor-LH=40 unchanged'!I139)/100)+103/POWER(1+('CurrentPor-LH=40 unchanged'!D139+'CurrentPor-LH=40 unchanged'!I139)/100,2))*100</f>
        <v>9594.8104301795502</v>
      </c>
      <c r="F139">
        <f>Portfolio!B$5*'CurrentPor-LH=40 unchanged'!E139</f>
        <v>52143.895533915893</v>
      </c>
      <c r="G139">
        <f>Portfolio!B$6*'CurrentPor-LH=40 unchanged'!F139</f>
        <v>3696.2945087936532</v>
      </c>
      <c r="H139">
        <f>Portfolio!B$7*'CurrentPor-LH=40 unchanged'!J139</f>
        <v>2148.0998964419859</v>
      </c>
      <c r="I139">
        <f t="shared" si="4"/>
        <v>96506.89306082057</v>
      </c>
      <c r="J139">
        <f t="shared" si="3"/>
        <v>23.713605928220204</v>
      </c>
    </row>
    <row r="140" spans="1:10">
      <c r="A140" s="1">
        <v>45665</v>
      </c>
      <c r="B140">
        <f>(3/(1+('CurrentPor-LH=40 unchanged'!C140)/100)+103/POWER(1+('CurrentPor-LH=40 unchanged'!D140)/100,2))*100</f>
        <v>9707.5857774288397</v>
      </c>
      <c r="C140">
        <f>(3/(1+('CurrentPor-LH=40 unchanged'!C140+'CurrentPor-LH=40 unchanged'!G140)/100)+103/POWER(1+('CurrentPor-LH=40 unchanged'!D140+'CurrentPor-LH=40 unchanged'!G140)/100,2))*100</f>
        <v>9614.9673582483465</v>
      </c>
      <c r="D140">
        <f>(3/(1+('CurrentPor-LH=40 unchanged'!C140+'CurrentPor-LH=40 unchanged'!H140)/100)+103/POWER(1+('CurrentPor-LH=40 unchanged'!D140+'CurrentPor-LH=40 unchanged'!H140)/100,2))*100</f>
        <v>9601.2395558122898</v>
      </c>
      <c r="E140">
        <f>(3/(1+('CurrentPor-LH=40 unchanged'!C140+'CurrentPor-LH=40 unchanged'!I140)/100)+103/POWER(1+('CurrentPor-LH=40 unchanged'!D140+'CurrentPor-LH=40 unchanged'!I140)/100,2))*100</f>
        <v>9595.037255917945</v>
      </c>
      <c r="F140">
        <f>Portfolio!B$5*'CurrentPor-LH=40 unchanged'!E140</f>
        <v>52143.895533915893</v>
      </c>
      <c r="G140">
        <f>Portfolio!B$6*'CurrentPor-LH=40 unchanged'!F140</f>
        <v>3696.2945087936532</v>
      </c>
      <c r="H140">
        <f>Portfolio!B$7*'CurrentPor-LH=40 unchanged'!J140</f>
        <v>2148.0998964419859</v>
      </c>
      <c r="I140">
        <f t="shared" si="4"/>
        <v>96507.119886558954</v>
      </c>
      <c r="J140">
        <f t="shared" si="3"/>
        <v>19.809019959677244</v>
      </c>
    </row>
    <row r="141" spans="1:10">
      <c r="A141" s="1">
        <v>45666</v>
      </c>
      <c r="B141">
        <f>(3/(1+('CurrentPor-LH=40 unchanged'!C141)/100)+103/POWER(1+('CurrentPor-LH=40 unchanged'!D141)/100,2))*100</f>
        <v>9707.5857774288397</v>
      </c>
      <c r="C141">
        <f>(3/(1+('CurrentPor-LH=40 unchanged'!C141+'CurrentPor-LH=40 unchanged'!G141)/100)+103/POWER(1+('CurrentPor-LH=40 unchanged'!D141+'CurrentPor-LH=40 unchanged'!G141)/100,2))*100</f>
        <v>9614.9673582483465</v>
      </c>
      <c r="D141">
        <f>(3/(1+('CurrentPor-LH=40 unchanged'!C141+'CurrentPor-LH=40 unchanged'!H141)/100)+103/POWER(1+('CurrentPor-LH=40 unchanged'!D141+'CurrentPor-LH=40 unchanged'!H141)/100,2))*100</f>
        <v>9601.2395558122898</v>
      </c>
      <c r="E141">
        <f>(3/(1+('CurrentPor-LH=40 unchanged'!C141+'CurrentPor-LH=40 unchanged'!I141)/100)+103/POWER(1+('CurrentPor-LH=40 unchanged'!D141+'CurrentPor-LH=40 unchanged'!I141)/100,2))*100</f>
        <v>9582.2471724738989</v>
      </c>
      <c r="F141">
        <f>Portfolio!B$5*'CurrentPor-LH=40 unchanged'!E141</f>
        <v>52143.895533915893</v>
      </c>
      <c r="G141">
        <f>Portfolio!B$6*'CurrentPor-LH=40 unchanged'!F141</f>
        <v>3696.2945087936532</v>
      </c>
      <c r="H141">
        <f>Portfolio!B$7*'CurrentPor-LH=40 unchanged'!J141</f>
        <v>2148.0998964419859</v>
      </c>
      <c r="I141">
        <f t="shared" si="4"/>
        <v>96494.329803114917</v>
      </c>
      <c r="J141">
        <f t="shared" si="3"/>
        <v>2.7193525081675034</v>
      </c>
    </row>
    <row r="142" spans="1:10">
      <c r="A142" s="1">
        <v>45667</v>
      </c>
      <c r="B142">
        <f>(3/(1+('CurrentPor-LH=40 unchanged'!C142)/100)+103/POWER(1+('CurrentPor-LH=40 unchanged'!D142)/100,2))*100</f>
        <v>9707.5857774288397</v>
      </c>
      <c r="C142">
        <f>(3/(1+('CurrentPor-LH=40 unchanged'!C142+'CurrentPor-LH=40 unchanged'!G142)/100)+103/POWER(1+('CurrentPor-LH=40 unchanged'!D142+'CurrentPor-LH=40 unchanged'!G142)/100,2))*100</f>
        <v>9614.9673582483465</v>
      </c>
      <c r="D142">
        <f>(3/(1+('CurrentPor-LH=40 unchanged'!C142+'CurrentPor-LH=40 unchanged'!H142)/100)+103/POWER(1+('CurrentPor-LH=40 unchanged'!D142+'CurrentPor-LH=40 unchanged'!H142)/100,2))*100</f>
        <v>9601.2395558122898</v>
      </c>
      <c r="E142">
        <f>(3/(1+('CurrentPor-LH=40 unchanged'!C142+'CurrentPor-LH=40 unchanged'!I142)/100)+103/POWER(1+('CurrentPor-LH=40 unchanged'!D142+'CurrentPor-LH=40 unchanged'!I142)/100,2))*100</f>
        <v>9577.5786590425887</v>
      </c>
      <c r="F142">
        <f>Portfolio!B$5*'CurrentPor-LH=40 unchanged'!E142</f>
        <v>52143.895533915893</v>
      </c>
      <c r="G142">
        <f>Portfolio!B$6*'CurrentPor-LH=40 unchanged'!F142</f>
        <v>3696.2945087936532</v>
      </c>
      <c r="H142">
        <f>Portfolio!B$7*'CurrentPor-LH=40 unchanged'!J142</f>
        <v>2148.0998964419859</v>
      </c>
      <c r="I142">
        <f t="shared" si="4"/>
        <v>96489.661289683587</v>
      </c>
      <c r="J142">
        <f t="shared" ref="J142:J205" si="5">I142-I132</f>
        <v>17.902720943617169</v>
      </c>
    </row>
    <row r="143" spans="1:10">
      <c r="A143" s="1">
        <v>45670</v>
      </c>
      <c r="B143">
        <f>(3/(1+('CurrentPor-LH=40 unchanged'!C143)/100)+103/POWER(1+('CurrentPor-LH=40 unchanged'!D143)/100,2))*100</f>
        <v>9707.5857774288397</v>
      </c>
      <c r="C143">
        <f>(3/(1+('CurrentPor-LH=40 unchanged'!C143+'CurrentPor-LH=40 unchanged'!G143)/100)+103/POWER(1+('CurrentPor-LH=40 unchanged'!D143+'CurrentPor-LH=40 unchanged'!G143)/100,2))*100</f>
        <v>9614.9673582483465</v>
      </c>
      <c r="D143">
        <f>(3/(1+('CurrentPor-LH=40 unchanged'!C143+'CurrentPor-LH=40 unchanged'!H143)/100)+103/POWER(1+('CurrentPor-LH=40 unchanged'!D143+'CurrentPor-LH=40 unchanged'!H143)/100,2))*100</f>
        <v>9601.2395558122898</v>
      </c>
      <c r="E143">
        <f>(3/(1+('CurrentPor-LH=40 unchanged'!C143+'CurrentPor-LH=40 unchanged'!I143)/100)+103/POWER(1+('CurrentPor-LH=40 unchanged'!D143+'CurrentPor-LH=40 unchanged'!I143)/100,2))*100</f>
        <v>9598.5309280284091</v>
      </c>
      <c r="F143">
        <f>Portfolio!B$5*'CurrentPor-LH=40 unchanged'!E143</f>
        <v>52143.895533915893</v>
      </c>
      <c r="G143">
        <f>Portfolio!B$6*'CurrentPor-LH=40 unchanged'!F143</f>
        <v>3696.2945087936532</v>
      </c>
      <c r="H143">
        <f>Portfolio!B$7*'CurrentPor-LH=40 unchanged'!J143</f>
        <v>2148.0998964419859</v>
      </c>
      <c r="I143">
        <f t="shared" si="4"/>
        <v>96510.613558669414</v>
      </c>
      <c r="J143">
        <f t="shared" si="5"/>
        <v>23.635396105615655</v>
      </c>
    </row>
    <row r="144" spans="1:10">
      <c r="A144" s="1">
        <v>45671</v>
      </c>
      <c r="B144">
        <f>(3/(1+('CurrentPor-LH=40 unchanged'!C144)/100)+103/POWER(1+('CurrentPor-LH=40 unchanged'!D144)/100,2))*100</f>
        <v>9707.5857774288397</v>
      </c>
      <c r="C144">
        <f>(3/(1+('CurrentPor-LH=40 unchanged'!C144+'CurrentPor-LH=40 unchanged'!G144)/100)+103/POWER(1+('CurrentPor-LH=40 unchanged'!D144+'CurrentPor-LH=40 unchanged'!G144)/100,2))*100</f>
        <v>9614.9673582483465</v>
      </c>
      <c r="D144">
        <f>(3/(1+('CurrentPor-LH=40 unchanged'!C144+'CurrentPor-LH=40 unchanged'!H144)/100)+103/POWER(1+('CurrentPor-LH=40 unchanged'!D144+'CurrentPor-LH=40 unchanged'!H144)/100,2))*100</f>
        <v>9601.2395558122898</v>
      </c>
      <c r="E144">
        <f>(3/(1+('CurrentPor-LH=40 unchanged'!C144+'CurrentPor-LH=40 unchanged'!I144)/100)+103/POWER(1+('CurrentPor-LH=40 unchanged'!D144+'CurrentPor-LH=40 unchanged'!I144)/100,2))*100</f>
        <v>9598.2714481066359</v>
      </c>
      <c r="F144">
        <f>Portfolio!B$5*'CurrentPor-LH=40 unchanged'!E144</f>
        <v>52143.895533915893</v>
      </c>
      <c r="G144">
        <f>Portfolio!B$6*'CurrentPor-LH=40 unchanged'!F144</f>
        <v>3696.2945087936532</v>
      </c>
      <c r="H144">
        <f>Portfolio!B$7*'CurrentPor-LH=40 unchanged'!J144</f>
        <v>2148.0998964419859</v>
      </c>
      <c r="I144">
        <f t="shared" si="4"/>
        <v>96510.354078747638</v>
      </c>
      <c r="J144">
        <f t="shared" si="5"/>
        <v>30.106641858030343</v>
      </c>
    </row>
    <row r="145" spans="1:10">
      <c r="A145" s="1">
        <v>45672</v>
      </c>
      <c r="B145">
        <f>(3/(1+('CurrentPor-LH=40 unchanged'!C145)/100)+103/POWER(1+('CurrentPor-LH=40 unchanged'!D145)/100,2))*100</f>
        <v>9707.5857774288397</v>
      </c>
      <c r="C145">
        <f>(3/(1+('CurrentPor-LH=40 unchanged'!C145+'CurrentPor-LH=40 unchanged'!G145)/100)+103/POWER(1+('CurrentPor-LH=40 unchanged'!D145+'CurrentPor-LH=40 unchanged'!G145)/100,2))*100</f>
        <v>9614.9673582483465</v>
      </c>
      <c r="D145">
        <f>(3/(1+('CurrentPor-LH=40 unchanged'!C145+'CurrentPor-LH=40 unchanged'!H145)/100)+103/POWER(1+('CurrentPor-LH=40 unchanged'!D145+'CurrentPor-LH=40 unchanged'!H145)/100,2))*100</f>
        <v>9601.2395558122898</v>
      </c>
      <c r="E145">
        <f>(3/(1+('CurrentPor-LH=40 unchanged'!C145+'CurrentPor-LH=40 unchanged'!I145)/100)+103/POWER(1+('CurrentPor-LH=40 unchanged'!D145+'CurrentPor-LH=40 unchanged'!I145)/100,2))*100</f>
        <v>9598.2653176076547</v>
      </c>
      <c r="F145">
        <f>Portfolio!B$5*'CurrentPor-LH=40 unchanged'!E145</f>
        <v>52143.895533915893</v>
      </c>
      <c r="G145">
        <f>Portfolio!B$6*'CurrentPor-LH=40 unchanged'!F145</f>
        <v>3696.2945087936532</v>
      </c>
      <c r="H145">
        <f>Portfolio!B$7*'CurrentPor-LH=40 unchanged'!J145</f>
        <v>2148.0998964419859</v>
      </c>
      <c r="I145">
        <f t="shared" si="4"/>
        <v>96510.347948248658</v>
      </c>
      <c r="J145">
        <f t="shared" si="5"/>
        <v>21.815176974967471</v>
      </c>
    </row>
    <row r="146" spans="1:10">
      <c r="A146" s="1">
        <v>45673</v>
      </c>
      <c r="B146">
        <f>(3/(1+('CurrentPor-LH=40 unchanged'!C146)/100)+103/POWER(1+('CurrentPor-LH=40 unchanged'!D146)/100,2))*100</f>
        <v>9707.5857774288397</v>
      </c>
      <c r="C146">
        <f>(3/(1+('CurrentPor-LH=40 unchanged'!C146+'CurrentPor-LH=40 unchanged'!G146)/100)+103/POWER(1+('CurrentPor-LH=40 unchanged'!D146+'CurrentPor-LH=40 unchanged'!G146)/100,2))*100</f>
        <v>9614.9673582483465</v>
      </c>
      <c r="D146">
        <f>(3/(1+('CurrentPor-LH=40 unchanged'!C146+'CurrentPor-LH=40 unchanged'!H146)/100)+103/POWER(1+('CurrentPor-LH=40 unchanged'!D146+'CurrentPor-LH=40 unchanged'!H146)/100,2))*100</f>
        <v>9601.2395558122898</v>
      </c>
      <c r="E146">
        <f>(3/(1+('CurrentPor-LH=40 unchanged'!C146+'CurrentPor-LH=40 unchanged'!I146)/100)+103/POWER(1+('CurrentPor-LH=40 unchanged'!D146+'CurrentPor-LH=40 unchanged'!I146)/100,2))*100</f>
        <v>9582.2740235077454</v>
      </c>
      <c r="F146">
        <f>Portfolio!B$5*'CurrentPor-LH=40 unchanged'!E146</f>
        <v>52143.895533915893</v>
      </c>
      <c r="G146">
        <f>Portfolio!B$6*'CurrentPor-LH=40 unchanged'!F146</f>
        <v>3696.2945087936532</v>
      </c>
      <c r="H146">
        <f>Portfolio!B$7*'CurrentPor-LH=40 unchanged'!J146</f>
        <v>2148.0998964419859</v>
      </c>
      <c r="I146">
        <f t="shared" si="4"/>
        <v>96494.356654148753</v>
      </c>
      <c r="J146">
        <f t="shared" si="5"/>
        <v>7.4895244794461178</v>
      </c>
    </row>
    <row r="147" spans="1:10">
      <c r="A147" s="1">
        <v>45674</v>
      </c>
      <c r="B147">
        <f>(3/(1+('CurrentPor-LH=40 unchanged'!C147)/100)+103/POWER(1+('CurrentPor-LH=40 unchanged'!D147)/100,2))*100</f>
        <v>9707.5857774288397</v>
      </c>
      <c r="C147">
        <f>(3/(1+('CurrentPor-LH=40 unchanged'!C147+'CurrentPor-LH=40 unchanged'!G147)/100)+103/POWER(1+('CurrentPor-LH=40 unchanged'!D147+'CurrentPor-LH=40 unchanged'!G147)/100,2))*100</f>
        <v>9614.9673582483465</v>
      </c>
      <c r="D147">
        <f>(3/(1+('CurrentPor-LH=40 unchanged'!C147+'CurrentPor-LH=40 unchanged'!H147)/100)+103/POWER(1+('CurrentPor-LH=40 unchanged'!D147+'CurrentPor-LH=40 unchanged'!H147)/100,2))*100</f>
        <v>9601.2395558122898</v>
      </c>
      <c r="E147">
        <f>(3/(1+('CurrentPor-LH=40 unchanged'!C147+'CurrentPor-LH=40 unchanged'!I147)/100)+103/POWER(1+('CurrentPor-LH=40 unchanged'!D147+'CurrentPor-LH=40 unchanged'!I147)/100,2))*100</f>
        <v>9573.7645674310497</v>
      </c>
      <c r="F147">
        <f>Portfolio!B$5*'CurrentPor-LH=40 unchanged'!E147</f>
        <v>52143.895533915893</v>
      </c>
      <c r="G147">
        <f>Portfolio!B$6*'CurrentPor-LH=40 unchanged'!F147</f>
        <v>3696.2945087936532</v>
      </c>
      <c r="H147">
        <f>Portfolio!B$7*'CurrentPor-LH=40 unchanged'!J147</f>
        <v>2148.0998964419859</v>
      </c>
      <c r="I147">
        <f t="shared" si="4"/>
        <v>96485.84719807205</v>
      </c>
      <c r="J147">
        <f t="shared" si="5"/>
        <v>-8.2317994203476701</v>
      </c>
    </row>
    <row r="148" spans="1:10">
      <c r="A148" s="1">
        <v>45677</v>
      </c>
      <c r="B148">
        <f>(3/(1+('CurrentPor-LH=40 unchanged'!C148)/100)+103/POWER(1+('CurrentPor-LH=40 unchanged'!D148)/100,2))*100</f>
        <v>9707.5857774288397</v>
      </c>
      <c r="C148">
        <f>(3/(1+('CurrentPor-LH=40 unchanged'!C148+'CurrentPor-LH=40 unchanged'!G148)/100)+103/POWER(1+('CurrentPor-LH=40 unchanged'!D148+'CurrentPor-LH=40 unchanged'!G148)/100,2))*100</f>
        <v>9614.9673582483465</v>
      </c>
      <c r="D148">
        <f>(3/(1+('CurrentPor-LH=40 unchanged'!C148+'CurrentPor-LH=40 unchanged'!H148)/100)+103/POWER(1+('CurrentPor-LH=40 unchanged'!D148+'CurrentPor-LH=40 unchanged'!H148)/100,2))*100</f>
        <v>9601.2395558122898</v>
      </c>
      <c r="E148">
        <f>(3/(1+('CurrentPor-LH=40 unchanged'!C148+'CurrentPor-LH=40 unchanged'!I148)/100)+103/POWER(1+('CurrentPor-LH=40 unchanged'!D148+'CurrentPor-LH=40 unchanged'!I148)/100,2))*100</f>
        <v>9583.2620962486326</v>
      </c>
      <c r="F148">
        <f>Portfolio!B$5*'CurrentPor-LH=40 unchanged'!E148</f>
        <v>52143.895533915893</v>
      </c>
      <c r="G148">
        <f>Portfolio!B$6*'CurrentPor-LH=40 unchanged'!F148</f>
        <v>3696.2945087936532</v>
      </c>
      <c r="H148">
        <f>Portfolio!B$7*'CurrentPor-LH=40 unchanged'!J148</f>
        <v>2148.0998964419859</v>
      </c>
      <c r="I148">
        <f t="shared" si="4"/>
        <v>96495.344726889642</v>
      </c>
      <c r="J148">
        <f t="shared" si="5"/>
        <v>-0.77941919697332196</v>
      </c>
    </row>
    <row r="149" spans="1:10">
      <c r="A149" s="1">
        <v>45678</v>
      </c>
      <c r="B149">
        <f>(3/(1+('CurrentPor-LH=40 unchanged'!C149)/100)+103/POWER(1+('CurrentPor-LH=40 unchanged'!D149)/100,2))*100</f>
        <v>9707.5857774288397</v>
      </c>
      <c r="C149">
        <f>(3/(1+('CurrentPor-LH=40 unchanged'!C149+'CurrentPor-LH=40 unchanged'!G149)/100)+103/POWER(1+('CurrentPor-LH=40 unchanged'!D149+'CurrentPor-LH=40 unchanged'!G149)/100,2))*100</f>
        <v>9614.9673582483465</v>
      </c>
      <c r="D149">
        <f>(3/(1+('CurrentPor-LH=40 unchanged'!C149+'CurrentPor-LH=40 unchanged'!H149)/100)+103/POWER(1+('CurrentPor-LH=40 unchanged'!D149+'CurrentPor-LH=40 unchanged'!H149)/100,2))*100</f>
        <v>9601.2395558122898</v>
      </c>
      <c r="E149">
        <f>(3/(1+('CurrentPor-LH=40 unchanged'!C149+'CurrentPor-LH=40 unchanged'!I149)/100)+103/POWER(1+('CurrentPor-LH=40 unchanged'!D149+'CurrentPor-LH=40 unchanged'!I149)/100,2))*100</f>
        <v>9561.8764688494157</v>
      </c>
      <c r="F149">
        <f>Portfolio!B$5*'CurrentPor-LH=40 unchanged'!E149</f>
        <v>52143.895533915893</v>
      </c>
      <c r="G149">
        <f>Portfolio!B$6*'CurrentPor-LH=40 unchanged'!F149</f>
        <v>3696.2945087936532</v>
      </c>
      <c r="H149">
        <f>Portfolio!B$7*'CurrentPor-LH=40 unchanged'!J149</f>
        <v>2148.0998964419859</v>
      </c>
      <c r="I149">
        <f t="shared" si="4"/>
        <v>96473.959099490414</v>
      </c>
      <c r="J149">
        <f t="shared" si="5"/>
        <v>-32.933961330156308</v>
      </c>
    </row>
    <row r="150" spans="1:10">
      <c r="A150" s="1">
        <v>45679</v>
      </c>
      <c r="B150">
        <f>(3/(1+('CurrentPor-LH=40 unchanged'!C150)/100)+103/POWER(1+('CurrentPor-LH=40 unchanged'!D150)/100,2))*100</f>
        <v>9707.5857774288397</v>
      </c>
      <c r="C150">
        <f>(3/(1+('CurrentPor-LH=40 unchanged'!C150+'CurrentPor-LH=40 unchanged'!G150)/100)+103/POWER(1+('CurrentPor-LH=40 unchanged'!D150+'CurrentPor-LH=40 unchanged'!G150)/100,2))*100</f>
        <v>9614.9673582483465</v>
      </c>
      <c r="D150">
        <f>(3/(1+('CurrentPor-LH=40 unchanged'!C150+'CurrentPor-LH=40 unchanged'!H150)/100)+103/POWER(1+('CurrentPor-LH=40 unchanged'!D150+'CurrentPor-LH=40 unchanged'!H150)/100,2))*100</f>
        <v>9601.2395558122898</v>
      </c>
      <c r="E150">
        <f>(3/(1+('CurrentPor-LH=40 unchanged'!C150+'CurrentPor-LH=40 unchanged'!I150)/100)+103/POWER(1+('CurrentPor-LH=40 unchanged'!D150+'CurrentPor-LH=40 unchanged'!I150)/100,2))*100</f>
        <v>9604.79804415326</v>
      </c>
      <c r="F150">
        <f>Portfolio!B$5*'CurrentPor-LH=40 unchanged'!E150</f>
        <v>52143.895533915893</v>
      </c>
      <c r="G150">
        <f>Portfolio!B$6*'CurrentPor-LH=40 unchanged'!F150</f>
        <v>3696.2945087936532</v>
      </c>
      <c r="H150">
        <f>Portfolio!B$7*'CurrentPor-LH=40 unchanged'!J150</f>
        <v>2148.0998964419859</v>
      </c>
      <c r="I150">
        <f t="shared" si="4"/>
        <v>96516.880674794273</v>
      </c>
      <c r="J150">
        <f t="shared" si="5"/>
        <v>9.7607882353186142</v>
      </c>
    </row>
    <row r="151" spans="1:10">
      <c r="A151" s="1">
        <v>45680</v>
      </c>
      <c r="B151">
        <f>(3/(1+('CurrentPor-LH=40 unchanged'!C151)/100)+103/POWER(1+('CurrentPor-LH=40 unchanged'!D151)/100,2))*100</f>
        <v>9707.5857774288397</v>
      </c>
      <c r="C151">
        <f>(3/(1+('CurrentPor-LH=40 unchanged'!C151+'CurrentPor-LH=40 unchanged'!G151)/100)+103/POWER(1+('CurrentPor-LH=40 unchanged'!D151+'CurrentPor-LH=40 unchanged'!G151)/100,2))*100</f>
        <v>9614.9673582483465</v>
      </c>
      <c r="D151">
        <f>(3/(1+('CurrentPor-LH=40 unchanged'!C151+'CurrentPor-LH=40 unchanged'!H151)/100)+103/POWER(1+('CurrentPor-LH=40 unchanged'!D151+'CurrentPor-LH=40 unchanged'!H151)/100,2))*100</f>
        <v>9601.2395558122898</v>
      </c>
      <c r="E151">
        <f>(3/(1+('CurrentPor-LH=40 unchanged'!C151+'CurrentPor-LH=40 unchanged'!I151)/100)+103/POWER(1+('CurrentPor-LH=40 unchanged'!D151+'CurrentPor-LH=40 unchanged'!I151)/100,2))*100</f>
        <v>9593.6753871116944</v>
      </c>
      <c r="F151">
        <f>Portfolio!B$5*'CurrentPor-LH=40 unchanged'!E151</f>
        <v>52143.895533915893</v>
      </c>
      <c r="G151">
        <f>Portfolio!B$6*'CurrentPor-LH=40 unchanged'!F151</f>
        <v>3696.2945087936532</v>
      </c>
      <c r="H151">
        <f>Portfolio!B$7*'CurrentPor-LH=40 unchanged'!J151</f>
        <v>2148.0998964419859</v>
      </c>
      <c r="I151">
        <f t="shared" si="4"/>
        <v>96505.758017752712</v>
      </c>
      <c r="J151">
        <f t="shared" si="5"/>
        <v>11.428214637795463</v>
      </c>
    </row>
    <row r="152" spans="1:10">
      <c r="A152" s="1">
        <v>45681</v>
      </c>
      <c r="B152">
        <f>(3/(1+('CurrentPor-LH=40 unchanged'!C152)/100)+103/POWER(1+('CurrentPor-LH=40 unchanged'!D152)/100,2))*100</f>
        <v>9707.5857774288397</v>
      </c>
      <c r="C152">
        <f>(3/(1+('CurrentPor-LH=40 unchanged'!C152+'CurrentPor-LH=40 unchanged'!G152)/100)+103/POWER(1+('CurrentPor-LH=40 unchanged'!D152+'CurrentPor-LH=40 unchanged'!G152)/100,2))*100</f>
        <v>9614.9673582483465</v>
      </c>
      <c r="D152">
        <f>(3/(1+('CurrentPor-LH=40 unchanged'!C152+'CurrentPor-LH=40 unchanged'!H152)/100)+103/POWER(1+('CurrentPor-LH=40 unchanged'!D152+'CurrentPor-LH=40 unchanged'!H152)/100,2))*100</f>
        <v>9601.2395558122898</v>
      </c>
      <c r="E152">
        <f>(3/(1+('CurrentPor-LH=40 unchanged'!C152+'CurrentPor-LH=40 unchanged'!I152)/100)+103/POWER(1+('CurrentPor-LH=40 unchanged'!D152+'CurrentPor-LH=40 unchanged'!I152)/100,2))*100</f>
        <v>9585.0051987282932</v>
      </c>
      <c r="F152">
        <f>Portfolio!B$5*'CurrentPor-LH=40 unchanged'!E152</f>
        <v>52143.895533915893</v>
      </c>
      <c r="G152">
        <f>Portfolio!B$6*'CurrentPor-LH=40 unchanged'!F152</f>
        <v>3696.2945087936532</v>
      </c>
      <c r="H152">
        <f>Portfolio!B$7*'CurrentPor-LH=40 unchanged'!J152</f>
        <v>2148.0998964419859</v>
      </c>
      <c r="I152">
        <f t="shared" si="4"/>
        <v>96497.087829369309</v>
      </c>
      <c r="J152">
        <f t="shared" si="5"/>
        <v>7.4265396857226733</v>
      </c>
    </row>
    <row r="153" spans="1:10">
      <c r="A153" s="1">
        <v>45684</v>
      </c>
      <c r="B153">
        <f>(3/(1+('CurrentPor-LH=40 unchanged'!C153)/100)+103/POWER(1+('CurrentPor-LH=40 unchanged'!D153)/100,2))*100</f>
        <v>9707.5857774288397</v>
      </c>
      <c r="C153">
        <f>(3/(1+('CurrentPor-LH=40 unchanged'!C153+'CurrentPor-LH=40 unchanged'!G153)/100)+103/POWER(1+('CurrentPor-LH=40 unchanged'!D153+'CurrentPor-LH=40 unchanged'!G153)/100,2))*100</f>
        <v>9614.9673582483465</v>
      </c>
      <c r="D153">
        <f>(3/(1+('CurrentPor-LH=40 unchanged'!C153+'CurrentPor-LH=40 unchanged'!H153)/100)+103/POWER(1+('CurrentPor-LH=40 unchanged'!D153+'CurrentPor-LH=40 unchanged'!H153)/100,2))*100</f>
        <v>9601.2395558122898</v>
      </c>
      <c r="E153">
        <f>(3/(1+('CurrentPor-LH=40 unchanged'!C153+'CurrentPor-LH=40 unchanged'!I153)/100)+103/POWER(1+('CurrentPor-LH=40 unchanged'!D153+'CurrentPor-LH=40 unchanged'!I153)/100,2))*100</f>
        <v>9601.8794634695678</v>
      </c>
      <c r="F153">
        <f>Portfolio!B$5*'CurrentPor-LH=40 unchanged'!E153</f>
        <v>52143.895533915893</v>
      </c>
      <c r="G153">
        <f>Portfolio!B$6*'CurrentPor-LH=40 unchanged'!F153</f>
        <v>3696.2945087936532</v>
      </c>
      <c r="H153">
        <f>Portfolio!B$7*'CurrentPor-LH=40 unchanged'!J153</f>
        <v>2148.0998964419859</v>
      </c>
      <c r="I153">
        <f t="shared" si="4"/>
        <v>96513.962094110568</v>
      </c>
      <c r="J153">
        <f t="shared" si="5"/>
        <v>3.3485354411532171</v>
      </c>
    </row>
    <row r="154" spans="1:10">
      <c r="A154" s="1">
        <v>45685</v>
      </c>
      <c r="B154">
        <f>(3/(1+('CurrentPor-LH=40 unchanged'!C154)/100)+103/POWER(1+('CurrentPor-LH=40 unchanged'!D154)/100,2))*100</f>
        <v>9707.5857774288397</v>
      </c>
      <c r="C154">
        <f>(3/(1+('CurrentPor-LH=40 unchanged'!C154+'CurrentPor-LH=40 unchanged'!G154)/100)+103/POWER(1+('CurrentPor-LH=40 unchanged'!D154+'CurrentPor-LH=40 unchanged'!G154)/100,2))*100</f>
        <v>9614.9673582483465</v>
      </c>
      <c r="D154">
        <f>(3/(1+('CurrentPor-LH=40 unchanged'!C154+'CurrentPor-LH=40 unchanged'!H154)/100)+103/POWER(1+('CurrentPor-LH=40 unchanged'!D154+'CurrentPor-LH=40 unchanged'!H154)/100,2))*100</f>
        <v>9601.2395558122898</v>
      </c>
      <c r="E154">
        <f>(3/(1+('CurrentPor-LH=40 unchanged'!C154+'CurrentPor-LH=40 unchanged'!I154)/100)+103/POWER(1+('CurrentPor-LH=40 unchanged'!D154+'CurrentPor-LH=40 unchanged'!I154)/100,2))*100</f>
        <v>9575.0785028535411</v>
      </c>
      <c r="F154">
        <f>Portfolio!B$5*'CurrentPor-LH=40 unchanged'!E154</f>
        <v>52143.895533915893</v>
      </c>
      <c r="G154">
        <f>Portfolio!B$6*'CurrentPor-LH=40 unchanged'!F154</f>
        <v>3696.2945087936532</v>
      </c>
      <c r="H154">
        <f>Portfolio!B$7*'CurrentPor-LH=40 unchanged'!J154</f>
        <v>2148.0998964419859</v>
      </c>
      <c r="I154">
        <f t="shared" si="4"/>
        <v>96487.161133494548</v>
      </c>
      <c r="J154">
        <f t="shared" si="5"/>
        <v>-23.19294525308942</v>
      </c>
    </row>
    <row r="155" spans="1:10">
      <c r="A155" s="1">
        <v>45686</v>
      </c>
      <c r="B155">
        <f>(3/(1+('CurrentPor-LH=40 unchanged'!C155)/100)+103/POWER(1+('CurrentPor-LH=40 unchanged'!D155)/100,2))*100</f>
        <v>9707.5857774288397</v>
      </c>
      <c r="C155">
        <f>(3/(1+('CurrentPor-LH=40 unchanged'!C155+'CurrentPor-LH=40 unchanged'!G155)/100)+103/POWER(1+('CurrentPor-LH=40 unchanged'!D155+'CurrentPor-LH=40 unchanged'!G155)/100,2))*100</f>
        <v>9614.9673582483465</v>
      </c>
      <c r="D155">
        <f>(3/(1+('CurrentPor-LH=40 unchanged'!C155+'CurrentPor-LH=40 unchanged'!H155)/100)+103/POWER(1+('CurrentPor-LH=40 unchanged'!D155+'CurrentPor-LH=40 unchanged'!H155)/100,2))*100</f>
        <v>9601.2395558122898</v>
      </c>
      <c r="E155">
        <f>(3/(1+('CurrentPor-LH=40 unchanged'!C155+'CurrentPor-LH=40 unchanged'!I155)/100)+103/POWER(1+('CurrentPor-LH=40 unchanged'!D155+'CurrentPor-LH=40 unchanged'!I155)/100,2))*100</f>
        <v>9579.2238093672077</v>
      </c>
      <c r="F155">
        <f>Portfolio!B$5*'CurrentPor-LH=40 unchanged'!E155</f>
        <v>52143.895533915893</v>
      </c>
      <c r="G155">
        <f>Portfolio!B$6*'CurrentPor-LH=40 unchanged'!F155</f>
        <v>3696.2945087936532</v>
      </c>
      <c r="H155">
        <f>Portfolio!B$7*'CurrentPor-LH=40 unchanged'!J155</f>
        <v>2148.0998964419859</v>
      </c>
      <c r="I155">
        <f t="shared" si="4"/>
        <v>96491.306440008208</v>
      </c>
      <c r="J155">
        <f t="shared" si="5"/>
        <v>-19.041508240450639</v>
      </c>
    </row>
    <row r="156" spans="1:10">
      <c r="A156" s="1">
        <v>45687</v>
      </c>
      <c r="B156">
        <f>(3/(1+('CurrentPor-LH=40 unchanged'!C156)/100)+103/POWER(1+('CurrentPor-LH=40 unchanged'!D156)/100,2))*100</f>
        <v>9707.5857774288397</v>
      </c>
      <c r="C156">
        <f>(3/(1+('CurrentPor-LH=40 unchanged'!C156+'CurrentPor-LH=40 unchanged'!G156)/100)+103/POWER(1+('CurrentPor-LH=40 unchanged'!D156+'CurrentPor-LH=40 unchanged'!G156)/100,2))*100</f>
        <v>9614.9673582483465</v>
      </c>
      <c r="D156">
        <f>(3/(1+('CurrentPor-LH=40 unchanged'!C156+'CurrentPor-LH=40 unchanged'!H156)/100)+103/POWER(1+('CurrentPor-LH=40 unchanged'!D156+'CurrentPor-LH=40 unchanged'!H156)/100,2))*100</f>
        <v>9601.2395558122898</v>
      </c>
      <c r="E156">
        <f>(3/(1+('CurrentPor-LH=40 unchanged'!C156+'CurrentPor-LH=40 unchanged'!I156)/100)+103/POWER(1+('CurrentPor-LH=40 unchanged'!D156+'CurrentPor-LH=40 unchanged'!I156)/100,2))*100</f>
        <v>9588.2882461911613</v>
      </c>
      <c r="F156">
        <f>Portfolio!B$5*'CurrentPor-LH=40 unchanged'!E156</f>
        <v>52143.895533915893</v>
      </c>
      <c r="G156">
        <f>Portfolio!B$6*'CurrentPor-LH=40 unchanged'!F156</f>
        <v>3696.2945087936532</v>
      </c>
      <c r="H156">
        <f>Portfolio!B$7*'CurrentPor-LH=40 unchanged'!J156</f>
        <v>2148.0998964419859</v>
      </c>
      <c r="I156">
        <f t="shared" si="4"/>
        <v>96500.370876832181</v>
      </c>
      <c r="J156">
        <f t="shared" si="5"/>
        <v>6.0142226834286703</v>
      </c>
    </row>
    <row r="157" spans="1:10">
      <c r="A157" s="1">
        <v>45688</v>
      </c>
      <c r="B157">
        <f>(3/(1+('CurrentPor-LH=40 unchanged'!C157)/100)+103/POWER(1+('CurrentPor-LH=40 unchanged'!D157)/100,2))*100</f>
        <v>9707.5857774288397</v>
      </c>
      <c r="C157">
        <f>(3/(1+('CurrentPor-LH=40 unchanged'!C157+'CurrentPor-LH=40 unchanged'!G157)/100)+103/POWER(1+('CurrentPor-LH=40 unchanged'!D157+'CurrentPor-LH=40 unchanged'!G157)/100,2))*100</f>
        <v>9614.9673582483465</v>
      </c>
      <c r="D157">
        <f>(3/(1+('CurrentPor-LH=40 unchanged'!C157+'CurrentPor-LH=40 unchanged'!H157)/100)+103/POWER(1+('CurrentPor-LH=40 unchanged'!D157+'CurrentPor-LH=40 unchanged'!H157)/100,2))*100</f>
        <v>9601.2395558122898</v>
      </c>
      <c r="E157">
        <f>(3/(1+('CurrentPor-LH=40 unchanged'!C157+'CurrentPor-LH=40 unchanged'!I157)/100)+103/POWER(1+('CurrentPor-LH=40 unchanged'!D157+'CurrentPor-LH=40 unchanged'!I157)/100,2))*100</f>
        <v>9574.8168682705145</v>
      </c>
      <c r="F157">
        <f>Portfolio!B$5*'CurrentPor-LH=40 unchanged'!E157</f>
        <v>52143.895533915893</v>
      </c>
      <c r="G157">
        <f>Portfolio!B$6*'CurrentPor-LH=40 unchanged'!F157</f>
        <v>3696.2945087936532</v>
      </c>
      <c r="H157">
        <f>Portfolio!B$7*'CurrentPor-LH=40 unchanged'!J157</f>
        <v>2148.0998964419859</v>
      </c>
      <c r="I157">
        <f t="shared" si="4"/>
        <v>96486.899498911531</v>
      </c>
      <c r="J157">
        <f t="shared" si="5"/>
        <v>1.0523008394811768</v>
      </c>
    </row>
    <row r="158" spans="1:10">
      <c r="A158" s="1">
        <v>45691</v>
      </c>
      <c r="B158">
        <f>(3/(1+('CurrentPor-LH=40 unchanged'!C158)/100)+103/POWER(1+('CurrentPor-LH=40 unchanged'!D158)/100,2))*100</f>
        <v>9707.5857774288397</v>
      </c>
      <c r="C158">
        <f>(3/(1+('CurrentPor-LH=40 unchanged'!C158+'CurrentPor-LH=40 unchanged'!G158)/100)+103/POWER(1+('CurrentPor-LH=40 unchanged'!D158+'CurrentPor-LH=40 unchanged'!G158)/100,2))*100</f>
        <v>9614.9673582483465</v>
      </c>
      <c r="D158">
        <f>(3/(1+('CurrentPor-LH=40 unchanged'!C158+'CurrentPor-LH=40 unchanged'!H158)/100)+103/POWER(1+('CurrentPor-LH=40 unchanged'!D158+'CurrentPor-LH=40 unchanged'!H158)/100,2))*100</f>
        <v>9601.2395558122898</v>
      </c>
      <c r="E158">
        <f>(3/(1+('CurrentPor-LH=40 unchanged'!C158+'CurrentPor-LH=40 unchanged'!I158)/100)+103/POWER(1+('CurrentPor-LH=40 unchanged'!D158+'CurrentPor-LH=40 unchanged'!I158)/100,2))*100</f>
        <v>9578.6821202508181</v>
      </c>
      <c r="F158">
        <f>Portfolio!B$5*'CurrentPor-LH=40 unchanged'!E158</f>
        <v>52143.895533915893</v>
      </c>
      <c r="G158">
        <f>Portfolio!B$6*'CurrentPor-LH=40 unchanged'!F158</f>
        <v>3696.2945087936532</v>
      </c>
      <c r="H158">
        <f>Portfolio!B$7*'CurrentPor-LH=40 unchanged'!J158</f>
        <v>2148.0998964419859</v>
      </c>
      <c r="I158">
        <f t="shared" si="4"/>
        <v>96490.764750891816</v>
      </c>
      <c r="J158">
        <f t="shared" si="5"/>
        <v>-4.579975997825386</v>
      </c>
    </row>
    <row r="159" spans="1:10">
      <c r="A159" s="1">
        <v>45692</v>
      </c>
      <c r="B159">
        <f>(3/(1+('CurrentPor-LH=40 unchanged'!C159)/100)+103/POWER(1+('CurrentPor-LH=40 unchanged'!D159)/100,2))*100</f>
        <v>9707.5857774288397</v>
      </c>
      <c r="C159">
        <f>(3/(1+('CurrentPor-LH=40 unchanged'!C159+'CurrentPor-LH=40 unchanged'!G159)/100)+103/POWER(1+('CurrentPor-LH=40 unchanged'!D159+'CurrentPor-LH=40 unchanged'!G159)/100,2))*100</f>
        <v>9614.9673582483465</v>
      </c>
      <c r="D159">
        <f>(3/(1+('CurrentPor-LH=40 unchanged'!C159+'CurrentPor-LH=40 unchanged'!H159)/100)+103/POWER(1+('CurrentPor-LH=40 unchanged'!D159+'CurrentPor-LH=40 unchanged'!H159)/100,2))*100</f>
        <v>9601.2395558122898</v>
      </c>
      <c r="E159">
        <f>(3/(1+('CurrentPor-LH=40 unchanged'!C159+'CurrentPor-LH=40 unchanged'!I159)/100)+103/POWER(1+('CurrentPor-LH=40 unchanged'!D159+'CurrentPor-LH=40 unchanged'!I159)/100,2))*100</f>
        <v>9578.3541301694186</v>
      </c>
      <c r="F159">
        <f>Portfolio!B$5*'CurrentPor-LH=40 unchanged'!E159</f>
        <v>52143.895533915893</v>
      </c>
      <c r="G159">
        <f>Portfolio!B$6*'CurrentPor-LH=40 unchanged'!F159</f>
        <v>3696.2945087936532</v>
      </c>
      <c r="H159">
        <f>Portfolio!B$7*'CurrentPor-LH=40 unchanged'!J159</f>
        <v>2148.0998964419859</v>
      </c>
      <c r="I159">
        <f t="shared" si="4"/>
        <v>96490.436760810422</v>
      </c>
      <c r="J159">
        <f t="shared" si="5"/>
        <v>16.477661320008337</v>
      </c>
    </row>
    <row r="160" spans="1:10">
      <c r="A160" s="1">
        <v>45693</v>
      </c>
      <c r="B160">
        <f>(3/(1+('CurrentPor-LH=40 unchanged'!C160)/100)+103/POWER(1+('CurrentPor-LH=40 unchanged'!D160)/100,2))*100</f>
        <v>9707.5857774288397</v>
      </c>
      <c r="C160">
        <f>(3/(1+('CurrentPor-LH=40 unchanged'!C160+'CurrentPor-LH=40 unchanged'!G160)/100)+103/POWER(1+('CurrentPor-LH=40 unchanged'!D160+'CurrentPor-LH=40 unchanged'!G160)/100,2))*100</f>
        <v>9614.9673582483465</v>
      </c>
      <c r="D160">
        <f>(3/(1+('CurrentPor-LH=40 unchanged'!C160+'CurrentPor-LH=40 unchanged'!H160)/100)+103/POWER(1+('CurrentPor-LH=40 unchanged'!D160+'CurrentPor-LH=40 unchanged'!H160)/100,2))*100</f>
        <v>9601.2395558122898</v>
      </c>
      <c r="E160">
        <f>(3/(1+('CurrentPor-LH=40 unchanged'!C160+'CurrentPor-LH=40 unchanged'!I160)/100)+103/POWER(1+('CurrentPor-LH=40 unchanged'!D160+'CurrentPor-LH=40 unchanged'!I160)/100,2))*100</f>
        <v>9576.8645428300679</v>
      </c>
      <c r="F160">
        <f>Portfolio!B$5*'CurrentPor-LH=40 unchanged'!E160</f>
        <v>52143.895533915893</v>
      </c>
      <c r="G160">
        <f>Portfolio!B$6*'CurrentPor-LH=40 unchanged'!F160</f>
        <v>3696.2945087936532</v>
      </c>
      <c r="H160">
        <f>Portfolio!B$7*'CurrentPor-LH=40 unchanged'!J160</f>
        <v>2148.0998964419859</v>
      </c>
      <c r="I160">
        <f t="shared" si="4"/>
        <v>96488.947173471082</v>
      </c>
      <c r="J160">
        <f t="shared" si="5"/>
        <v>-27.933501323190285</v>
      </c>
    </row>
    <row r="161" spans="1:10">
      <c r="A161" s="1">
        <v>45694</v>
      </c>
      <c r="B161">
        <f>(3/(1+('CurrentPor-LH=40 unchanged'!C161)/100)+103/POWER(1+('CurrentPor-LH=40 unchanged'!D161)/100,2))*100</f>
        <v>9707.5857774288397</v>
      </c>
      <c r="C161">
        <f>(3/(1+('CurrentPor-LH=40 unchanged'!C161+'CurrentPor-LH=40 unchanged'!G161)/100)+103/POWER(1+('CurrentPor-LH=40 unchanged'!D161+'CurrentPor-LH=40 unchanged'!G161)/100,2))*100</f>
        <v>9614.9673582483465</v>
      </c>
      <c r="D161">
        <f>(3/(1+('CurrentPor-LH=40 unchanged'!C161+'CurrentPor-LH=40 unchanged'!H161)/100)+103/POWER(1+('CurrentPor-LH=40 unchanged'!D161+'CurrentPor-LH=40 unchanged'!H161)/100,2))*100</f>
        <v>9601.2395558122898</v>
      </c>
      <c r="E161">
        <f>(3/(1+('CurrentPor-LH=40 unchanged'!C161+'CurrentPor-LH=40 unchanged'!I161)/100)+103/POWER(1+('CurrentPor-LH=40 unchanged'!D161+'CurrentPor-LH=40 unchanged'!I161)/100,2))*100</f>
        <v>9578.2544753178681</v>
      </c>
      <c r="F161">
        <f>Portfolio!B$5*'CurrentPor-LH=40 unchanged'!E161</f>
        <v>52143.895533915893</v>
      </c>
      <c r="G161">
        <f>Portfolio!B$6*'CurrentPor-LH=40 unchanged'!F161</f>
        <v>3696.2945087936532</v>
      </c>
      <c r="H161">
        <f>Portfolio!B$7*'CurrentPor-LH=40 unchanged'!J161</f>
        <v>2148.0998964419859</v>
      </c>
      <c r="I161">
        <f t="shared" si="4"/>
        <v>96490.337105958883</v>
      </c>
      <c r="J161">
        <f t="shared" si="5"/>
        <v>-15.420911793829873</v>
      </c>
    </row>
    <row r="162" spans="1:10">
      <c r="A162" s="1">
        <v>45695</v>
      </c>
      <c r="B162">
        <f>(3/(1+('CurrentPor-LH=40 unchanged'!C162)/100)+103/POWER(1+('CurrentPor-LH=40 unchanged'!D162)/100,2))*100</f>
        <v>9707.5857774288397</v>
      </c>
      <c r="C162">
        <f>(3/(1+('CurrentPor-LH=40 unchanged'!C162+'CurrentPor-LH=40 unchanged'!G162)/100)+103/POWER(1+('CurrentPor-LH=40 unchanged'!D162+'CurrentPor-LH=40 unchanged'!G162)/100,2))*100</f>
        <v>9614.9673582483465</v>
      </c>
      <c r="D162">
        <f>(3/(1+('CurrentPor-LH=40 unchanged'!C162+'CurrentPor-LH=40 unchanged'!H162)/100)+103/POWER(1+('CurrentPor-LH=40 unchanged'!D162+'CurrentPor-LH=40 unchanged'!H162)/100,2))*100</f>
        <v>9601.2395558122898</v>
      </c>
      <c r="E162">
        <f>(3/(1+('CurrentPor-LH=40 unchanged'!C162+'CurrentPor-LH=40 unchanged'!I162)/100)+103/POWER(1+('CurrentPor-LH=40 unchanged'!D162+'CurrentPor-LH=40 unchanged'!I162)/100,2))*100</f>
        <v>9597.7201012021997</v>
      </c>
      <c r="F162">
        <f>Portfolio!B$5*'CurrentPor-LH=40 unchanged'!E162</f>
        <v>52143.895533915893</v>
      </c>
      <c r="G162">
        <f>Portfolio!B$6*'CurrentPor-LH=40 unchanged'!F162</f>
        <v>3696.2945087936532</v>
      </c>
      <c r="H162">
        <f>Portfolio!B$7*'CurrentPor-LH=40 unchanged'!J162</f>
        <v>2148.0998964419859</v>
      </c>
      <c r="I162">
        <f t="shared" si="4"/>
        <v>96509.802731843214</v>
      </c>
      <c r="J162">
        <f t="shared" si="5"/>
        <v>12.714902473904658</v>
      </c>
    </row>
    <row r="163" spans="1:10">
      <c r="A163" s="1">
        <v>45698</v>
      </c>
      <c r="B163">
        <f>(3/(1+('CurrentPor-LH=40 unchanged'!C163)/100)+103/POWER(1+('CurrentPor-LH=40 unchanged'!D163)/100,2))*100</f>
        <v>9707.5857774288397</v>
      </c>
      <c r="C163">
        <f>(3/(1+('CurrentPor-LH=40 unchanged'!C163+'CurrentPor-LH=40 unchanged'!G163)/100)+103/POWER(1+('CurrentPor-LH=40 unchanged'!D163+'CurrentPor-LH=40 unchanged'!G163)/100,2))*100</f>
        <v>9614.9673582483465</v>
      </c>
      <c r="D163">
        <f>(3/(1+('CurrentPor-LH=40 unchanged'!C163+'CurrentPor-LH=40 unchanged'!H163)/100)+103/POWER(1+('CurrentPor-LH=40 unchanged'!D163+'CurrentPor-LH=40 unchanged'!H163)/100,2))*100</f>
        <v>9601.2395558122898</v>
      </c>
      <c r="E163">
        <f>(3/(1+('CurrentPor-LH=40 unchanged'!C163+'CurrentPor-LH=40 unchanged'!I163)/100)+103/POWER(1+('CurrentPor-LH=40 unchanged'!D163+'CurrentPor-LH=40 unchanged'!I163)/100,2))*100</f>
        <v>9607.0845700893678</v>
      </c>
      <c r="F163">
        <f>Portfolio!B$5*'CurrentPor-LH=40 unchanged'!E163</f>
        <v>52143.895533915893</v>
      </c>
      <c r="G163">
        <f>Portfolio!B$6*'CurrentPor-LH=40 unchanged'!F163</f>
        <v>3696.2945087936532</v>
      </c>
      <c r="H163">
        <f>Portfolio!B$7*'CurrentPor-LH=40 unchanged'!J163</f>
        <v>2148.0998964419859</v>
      </c>
      <c r="I163">
        <f t="shared" si="4"/>
        <v>96519.167200730371</v>
      </c>
      <c r="J163">
        <f t="shared" si="5"/>
        <v>5.2051066198037006</v>
      </c>
    </row>
    <row r="164" spans="1:10">
      <c r="A164" s="1">
        <v>45699</v>
      </c>
      <c r="B164">
        <f>(3/(1+('CurrentPor-LH=40 unchanged'!C164)/100)+103/POWER(1+('CurrentPor-LH=40 unchanged'!D164)/100,2))*100</f>
        <v>9707.5857774288397</v>
      </c>
      <c r="C164">
        <f>(3/(1+('CurrentPor-LH=40 unchanged'!C164+'CurrentPor-LH=40 unchanged'!G164)/100)+103/POWER(1+('CurrentPor-LH=40 unchanged'!D164+'CurrentPor-LH=40 unchanged'!G164)/100,2))*100</f>
        <v>9614.9673582483465</v>
      </c>
      <c r="D164">
        <f>(3/(1+('CurrentPor-LH=40 unchanged'!C164+'CurrentPor-LH=40 unchanged'!H164)/100)+103/POWER(1+('CurrentPor-LH=40 unchanged'!D164+'CurrentPor-LH=40 unchanged'!H164)/100,2))*100</f>
        <v>9601.2395558122898</v>
      </c>
      <c r="E164">
        <f>(3/(1+('CurrentPor-LH=40 unchanged'!C164+'CurrentPor-LH=40 unchanged'!I164)/100)+103/POWER(1+('CurrentPor-LH=40 unchanged'!D164+'CurrentPor-LH=40 unchanged'!I164)/100,2))*100</f>
        <v>9590.9870337667853</v>
      </c>
      <c r="F164">
        <f>Portfolio!B$5*'CurrentPor-LH=40 unchanged'!E164</f>
        <v>52143.895533915893</v>
      </c>
      <c r="G164">
        <f>Portfolio!B$6*'CurrentPor-LH=40 unchanged'!F164</f>
        <v>3696.2945087936532</v>
      </c>
      <c r="H164">
        <f>Portfolio!B$7*'CurrentPor-LH=40 unchanged'!J164</f>
        <v>2148.0998964419859</v>
      </c>
      <c r="I164">
        <f t="shared" si="4"/>
        <v>96503.069664407798</v>
      </c>
      <c r="J164">
        <f t="shared" si="5"/>
        <v>15.908530913249706</v>
      </c>
    </row>
    <row r="165" spans="1:10">
      <c r="A165" s="1">
        <v>45700</v>
      </c>
      <c r="B165">
        <f>(3/(1+('CurrentPor-LH=40 unchanged'!C165)/100)+103/POWER(1+('CurrentPor-LH=40 unchanged'!D165)/100,2))*100</f>
        <v>9707.5857774288397</v>
      </c>
      <c r="C165">
        <f>(3/(1+('CurrentPor-LH=40 unchanged'!C165+'CurrentPor-LH=40 unchanged'!G165)/100)+103/POWER(1+('CurrentPor-LH=40 unchanged'!D165+'CurrentPor-LH=40 unchanged'!G165)/100,2))*100</f>
        <v>9614.9673582483465</v>
      </c>
      <c r="D165">
        <f>(3/(1+('CurrentPor-LH=40 unchanged'!C165+'CurrentPor-LH=40 unchanged'!H165)/100)+103/POWER(1+('CurrentPor-LH=40 unchanged'!D165+'CurrentPor-LH=40 unchanged'!H165)/100,2))*100</f>
        <v>9601.2395558122898</v>
      </c>
      <c r="E165">
        <f>(3/(1+('CurrentPor-LH=40 unchanged'!C165+'CurrentPor-LH=40 unchanged'!I165)/100)+103/POWER(1+('CurrentPor-LH=40 unchanged'!D165+'CurrentPor-LH=40 unchanged'!I165)/100,2))*100</f>
        <v>9588.3142944193842</v>
      </c>
      <c r="F165">
        <f>Portfolio!B$5*'CurrentPor-LH=40 unchanged'!E165</f>
        <v>52143.895533915893</v>
      </c>
      <c r="G165">
        <f>Portfolio!B$6*'CurrentPor-LH=40 unchanged'!F165</f>
        <v>3696.2945087936532</v>
      </c>
      <c r="H165">
        <f>Portfolio!B$7*'CurrentPor-LH=40 unchanged'!J165</f>
        <v>2148.0998964419859</v>
      </c>
      <c r="I165">
        <f t="shared" si="4"/>
        <v>96500.396925060384</v>
      </c>
      <c r="J165">
        <f t="shared" si="5"/>
        <v>9.0904850521765184</v>
      </c>
    </row>
    <row r="166" spans="1:10">
      <c r="A166" s="1">
        <v>45701</v>
      </c>
      <c r="B166">
        <f>(3/(1+('CurrentPor-LH=40 unchanged'!C166)/100)+103/POWER(1+('CurrentPor-LH=40 unchanged'!D166)/100,2))*100</f>
        <v>9707.5857774288397</v>
      </c>
      <c r="C166">
        <f>(3/(1+('CurrentPor-LH=40 unchanged'!C166+'CurrentPor-LH=40 unchanged'!G166)/100)+103/POWER(1+('CurrentPor-LH=40 unchanged'!D166+'CurrentPor-LH=40 unchanged'!G166)/100,2))*100</f>
        <v>9614.9673582483465</v>
      </c>
      <c r="D166">
        <f>(3/(1+('CurrentPor-LH=40 unchanged'!C166+'CurrentPor-LH=40 unchanged'!H166)/100)+103/POWER(1+('CurrentPor-LH=40 unchanged'!D166+'CurrentPor-LH=40 unchanged'!H166)/100,2))*100</f>
        <v>9601.2395558122898</v>
      </c>
      <c r="E166">
        <f>(3/(1+('CurrentPor-LH=40 unchanged'!C166+'CurrentPor-LH=40 unchanged'!I166)/100)+103/POWER(1+('CurrentPor-LH=40 unchanged'!D166+'CurrentPor-LH=40 unchanged'!I166)/100,2))*100</f>
        <v>9582.5867166866083</v>
      </c>
      <c r="F166">
        <f>Portfolio!B$5*'CurrentPor-LH=40 unchanged'!E166</f>
        <v>52143.895533915893</v>
      </c>
      <c r="G166">
        <f>Portfolio!B$6*'CurrentPor-LH=40 unchanged'!F166</f>
        <v>3696.2945087936532</v>
      </c>
      <c r="H166">
        <f>Portfolio!B$7*'CurrentPor-LH=40 unchanged'!J166</f>
        <v>2148.0998964419859</v>
      </c>
      <c r="I166">
        <f t="shared" si="4"/>
        <v>96494.669347327625</v>
      </c>
      <c r="J166">
        <f t="shared" si="5"/>
        <v>-5.7015295045566745</v>
      </c>
    </row>
    <row r="167" spans="1:10">
      <c r="A167" s="1">
        <v>45702</v>
      </c>
      <c r="B167">
        <f>(3/(1+('CurrentPor-LH=40 unchanged'!C167)/100)+103/POWER(1+('CurrentPor-LH=40 unchanged'!D167)/100,2))*100</f>
        <v>9707.5857774288397</v>
      </c>
      <c r="C167">
        <f>(3/(1+('CurrentPor-LH=40 unchanged'!C167+'CurrentPor-LH=40 unchanged'!G167)/100)+103/POWER(1+('CurrentPor-LH=40 unchanged'!D167+'CurrentPor-LH=40 unchanged'!G167)/100,2))*100</f>
        <v>9614.9673582483465</v>
      </c>
      <c r="D167">
        <f>(3/(1+('CurrentPor-LH=40 unchanged'!C167+'CurrentPor-LH=40 unchanged'!H167)/100)+103/POWER(1+('CurrentPor-LH=40 unchanged'!D167+'CurrentPor-LH=40 unchanged'!H167)/100,2))*100</f>
        <v>9601.2395558122898</v>
      </c>
      <c r="E167">
        <f>(3/(1+('CurrentPor-LH=40 unchanged'!C167+'CurrentPor-LH=40 unchanged'!I167)/100)+103/POWER(1+('CurrentPor-LH=40 unchanged'!D167+'CurrentPor-LH=40 unchanged'!I167)/100,2))*100</f>
        <v>9595.0961042987783</v>
      </c>
      <c r="F167">
        <f>Portfolio!B$5*'CurrentPor-LH=40 unchanged'!E167</f>
        <v>52143.895533915893</v>
      </c>
      <c r="G167">
        <f>Portfolio!B$6*'CurrentPor-LH=40 unchanged'!F167</f>
        <v>3696.2945087936532</v>
      </c>
      <c r="H167">
        <f>Portfolio!B$7*'CurrentPor-LH=40 unchanged'!J167</f>
        <v>2148.0998964419859</v>
      </c>
      <c r="I167">
        <f t="shared" si="4"/>
        <v>96507.178734939793</v>
      </c>
      <c r="J167">
        <f t="shared" si="5"/>
        <v>20.279236028261948</v>
      </c>
    </row>
    <row r="168" spans="1:10">
      <c r="A168" s="1">
        <v>45705</v>
      </c>
      <c r="B168">
        <f>(3/(1+('CurrentPor-LH=40 unchanged'!C168)/100)+103/POWER(1+('CurrentPor-LH=40 unchanged'!D168)/100,2))*100</f>
        <v>9707.5857774288397</v>
      </c>
      <c r="C168">
        <f>(3/(1+('CurrentPor-LH=40 unchanged'!C168+'CurrentPor-LH=40 unchanged'!G168)/100)+103/POWER(1+('CurrentPor-LH=40 unchanged'!D168+'CurrentPor-LH=40 unchanged'!G168)/100,2))*100</f>
        <v>9614.9673582483465</v>
      </c>
      <c r="D168">
        <f>(3/(1+('CurrentPor-LH=40 unchanged'!C168+'CurrentPor-LH=40 unchanged'!H168)/100)+103/POWER(1+('CurrentPor-LH=40 unchanged'!D168+'CurrentPor-LH=40 unchanged'!H168)/100,2))*100</f>
        <v>9601.2395558122898</v>
      </c>
      <c r="E168">
        <f>(3/(1+('CurrentPor-LH=40 unchanged'!C168+'CurrentPor-LH=40 unchanged'!I168)/100)+103/POWER(1+('CurrentPor-LH=40 unchanged'!D168+'CurrentPor-LH=40 unchanged'!I168)/100,2))*100</f>
        <v>9566.8403208415184</v>
      </c>
      <c r="F168">
        <f>Portfolio!B$5*'CurrentPor-LH=40 unchanged'!E168</f>
        <v>52143.895533915893</v>
      </c>
      <c r="G168">
        <f>Portfolio!B$6*'CurrentPor-LH=40 unchanged'!F168</f>
        <v>3696.2945087936532</v>
      </c>
      <c r="H168">
        <f>Portfolio!B$7*'CurrentPor-LH=40 unchanged'!J168</f>
        <v>2148.0998964419859</v>
      </c>
      <c r="I168">
        <f t="shared" si="4"/>
        <v>96478.922951482527</v>
      </c>
      <c r="J168">
        <f t="shared" si="5"/>
        <v>-11.841799409288797</v>
      </c>
    </row>
    <row r="169" spans="1:10">
      <c r="A169" s="1">
        <v>45706</v>
      </c>
      <c r="B169">
        <f>(3/(1+('CurrentPor-LH=40 unchanged'!C169)/100)+103/POWER(1+('CurrentPor-LH=40 unchanged'!D169)/100,2))*100</f>
        <v>9707.5857774288397</v>
      </c>
      <c r="C169">
        <f>(3/(1+('CurrentPor-LH=40 unchanged'!C169+'CurrentPor-LH=40 unchanged'!G169)/100)+103/POWER(1+('CurrentPor-LH=40 unchanged'!D169+'CurrentPor-LH=40 unchanged'!G169)/100,2))*100</f>
        <v>9614.9673582483465</v>
      </c>
      <c r="D169">
        <f>(3/(1+('CurrentPor-LH=40 unchanged'!C169+'CurrentPor-LH=40 unchanged'!H169)/100)+103/POWER(1+('CurrentPor-LH=40 unchanged'!D169+'CurrentPor-LH=40 unchanged'!H169)/100,2))*100</f>
        <v>9601.2395558122898</v>
      </c>
      <c r="E169">
        <f>(3/(1+('CurrentPor-LH=40 unchanged'!C169+'CurrentPor-LH=40 unchanged'!I169)/100)+103/POWER(1+('CurrentPor-LH=40 unchanged'!D169+'CurrentPor-LH=40 unchanged'!I169)/100,2))*100</f>
        <v>9576.81303695118</v>
      </c>
      <c r="F169">
        <f>Portfolio!B$5*'CurrentPor-LH=40 unchanged'!E169</f>
        <v>52143.895533915893</v>
      </c>
      <c r="G169">
        <f>Portfolio!B$6*'CurrentPor-LH=40 unchanged'!F169</f>
        <v>3696.2945087936532</v>
      </c>
      <c r="H169">
        <f>Portfolio!B$7*'CurrentPor-LH=40 unchanged'!J169</f>
        <v>2148.0998964419859</v>
      </c>
      <c r="I169">
        <f t="shared" si="4"/>
        <v>96488.895667592195</v>
      </c>
      <c r="J169">
        <f t="shared" si="5"/>
        <v>-1.5410932182276156</v>
      </c>
    </row>
    <row r="170" spans="1:10">
      <c r="A170" s="1">
        <v>45707</v>
      </c>
      <c r="B170">
        <f>(3/(1+('CurrentPor-LH=40 unchanged'!C170)/100)+103/POWER(1+('CurrentPor-LH=40 unchanged'!D170)/100,2))*100</f>
        <v>9707.5857774288397</v>
      </c>
      <c r="C170">
        <f>(3/(1+('CurrentPor-LH=40 unchanged'!C170+'CurrentPor-LH=40 unchanged'!G170)/100)+103/POWER(1+('CurrentPor-LH=40 unchanged'!D170+'CurrentPor-LH=40 unchanged'!G170)/100,2))*100</f>
        <v>9614.9673582483465</v>
      </c>
      <c r="D170">
        <f>(3/(1+('CurrentPor-LH=40 unchanged'!C170+'CurrentPor-LH=40 unchanged'!H170)/100)+103/POWER(1+('CurrentPor-LH=40 unchanged'!D170+'CurrentPor-LH=40 unchanged'!H170)/100,2))*100</f>
        <v>9601.2395558122898</v>
      </c>
      <c r="E170">
        <f>(3/(1+('CurrentPor-LH=40 unchanged'!C170+'CurrentPor-LH=40 unchanged'!I170)/100)+103/POWER(1+('CurrentPor-LH=40 unchanged'!D170+'CurrentPor-LH=40 unchanged'!I170)/100,2))*100</f>
        <v>9571.6787239164696</v>
      </c>
      <c r="F170">
        <f>Portfolio!B$5*'CurrentPor-LH=40 unchanged'!E170</f>
        <v>52143.895533915893</v>
      </c>
      <c r="G170">
        <f>Portfolio!B$6*'CurrentPor-LH=40 unchanged'!F170</f>
        <v>3696.2945087936532</v>
      </c>
      <c r="H170">
        <f>Portfolio!B$7*'CurrentPor-LH=40 unchanged'!J170</f>
        <v>2148.0998964419859</v>
      </c>
      <c r="I170">
        <f t="shared" si="4"/>
        <v>96483.761354557486</v>
      </c>
      <c r="J170">
        <f t="shared" si="5"/>
        <v>-5.1858189135964494</v>
      </c>
    </row>
    <row r="171" spans="1:10">
      <c r="A171" s="1">
        <v>45708</v>
      </c>
      <c r="B171">
        <f>(3/(1+('CurrentPor-LH=40 unchanged'!C171)/100)+103/POWER(1+('CurrentPor-LH=40 unchanged'!D171)/100,2))*100</f>
        <v>9707.5857774288397</v>
      </c>
      <c r="C171">
        <f>(3/(1+('CurrentPor-LH=40 unchanged'!C171+'CurrentPor-LH=40 unchanged'!G171)/100)+103/POWER(1+('CurrentPor-LH=40 unchanged'!D171+'CurrentPor-LH=40 unchanged'!G171)/100,2))*100</f>
        <v>9614.9673582483465</v>
      </c>
      <c r="D171">
        <f>(3/(1+('CurrentPor-LH=40 unchanged'!C171+'CurrentPor-LH=40 unchanged'!H171)/100)+103/POWER(1+('CurrentPor-LH=40 unchanged'!D171+'CurrentPor-LH=40 unchanged'!H171)/100,2))*100</f>
        <v>9601.2395558122898</v>
      </c>
      <c r="E171">
        <f>(3/(1+('CurrentPor-LH=40 unchanged'!C171+'CurrentPor-LH=40 unchanged'!I171)/100)+103/POWER(1+('CurrentPor-LH=40 unchanged'!D171+'CurrentPor-LH=40 unchanged'!I171)/100,2))*100</f>
        <v>9578.3234987356172</v>
      </c>
      <c r="F171">
        <f>Portfolio!B$5*'CurrentPor-LH=40 unchanged'!E171</f>
        <v>52143.895533915893</v>
      </c>
      <c r="G171">
        <f>Portfolio!B$6*'CurrentPor-LH=40 unchanged'!F171</f>
        <v>3696.2945087936532</v>
      </c>
      <c r="H171">
        <f>Portfolio!B$7*'CurrentPor-LH=40 unchanged'!J171</f>
        <v>2148.0998964419859</v>
      </c>
      <c r="I171">
        <f t="shared" si="4"/>
        <v>96490.406129376628</v>
      </c>
      <c r="J171">
        <f t="shared" si="5"/>
        <v>6.9023417745484039E-2</v>
      </c>
    </row>
    <row r="172" spans="1:10">
      <c r="A172" s="1">
        <v>45709</v>
      </c>
      <c r="B172">
        <f>(3/(1+('CurrentPor-LH=40 unchanged'!C172)/100)+103/POWER(1+('CurrentPor-LH=40 unchanged'!D172)/100,2))*100</f>
        <v>9707.5857774288397</v>
      </c>
      <c r="C172">
        <f>(3/(1+('CurrentPor-LH=40 unchanged'!C172+'CurrentPor-LH=40 unchanged'!G172)/100)+103/POWER(1+('CurrentPor-LH=40 unchanged'!D172+'CurrentPor-LH=40 unchanged'!G172)/100,2))*100</f>
        <v>9614.9673582483465</v>
      </c>
      <c r="D172">
        <f>(3/(1+('CurrentPor-LH=40 unchanged'!C172+'CurrentPor-LH=40 unchanged'!H172)/100)+103/POWER(1+('CurrentPor-LH=40 unchanged'!D172+'CurrentPor-LH=40 unchanged'!H172)/100,2))*100</f>
        <v>9601.2395558122898</v>
      </c>
      <c r="E172">
        <f>(3/(1+('CurrentPor-LH=40 unchanged'!C172+'CurrentPor-LH=40 unchanged'!I172)/100)+103/POWER(1+('CurrentPor-LH=40 unchanged'!D172+'CurrentPor-LH=40 unchanged'!I172)/100,2))*100</f>
        <v>9575.9655790757079</v>
      </c>
      <c r="F172">
        <f>Portfolio!B$5*'CurrentPor-LH=40 unchanged'!E172</f>
        <v>52143.895533915893</v>
      </c>
      <c r="G172">
        <f>Portfolio!B$6*'CurrentPor-LH=40 unchanged'!F172</f>
        <v>3696.2945087936532</v>
      </c>
      <c r="H172">
        <f>Portfolio!B$7*'CurrentPor-LH=40 unchanged'!J172</f>
        <v>2148.0998964419859</v>
      </c>
      <c r="I172">
        <f t="shared" si="4"/>
        <v>96488.048209716726</v>
      </c>
      <c r="J172">
        <f t="shared" si="5"/>
        <v>-21.754522126488155</v>
      </c>
    </row>
    <row r="173" spans="1:10">
      <c r="A173" s="1">
        <v>45712</v>
      </c>
      <c r="B173">
        <f>(3/(1+('CurrentPor-LH=40 unchanged'!C173)/100)+103/POWER(1+('CurrentPor-LH=40 unchanged'!D173)/100,2))*100</f>
        <v>9707.5857774288397</v>
      </c>
      <c r="C173">
        <f>(3/(1+('CurrentPor-LH=40 unchanged'!C173+'CurrentPor-LH=40 unchanged'!G173)/100)+103/POWER(1+('CurrentPor-LH=40 unchanged'!D173+'CurrentPor-LH=40 unchanged'!G173)/100,2))*100</f>
        <v>9614.9673582483465</v>
      </c>
      <c r="D173">
        <f>(3/(1+('CurrentPor-LH=40 unchanged'!C173+'CurrentPor-LH=40 unchanged'!H173)/100)+103/POWER(1+('CurrentPor-LH=40 unchanged'!D173+'CurrentPor-LH=40 unchanged'!H173)/100,2))*100</f>
        <v>9601.2395558122898</v>
      </c>
      <c r="E173">
        <f>(3/(1+('CurrentPor-LH=40 unchanged'!C173+'CurrentPor-LH=40 unchanged'!I173)/100)+103/POWER(1+('CurrentPor-LH=40 unchanged'!D173+'CurrentPor-LH=40 unchanged'!I173)/100,2))*100</f>
        <v>9594.2164733552054</v>
      </c>
      <c r="F173">
        <f>Portfolio!B$5*'CurrentPor-LH=40 unchanged'!E173</f>
        <v>52143.895533915893</v>
      </c>
      <c r="G173">
        <f>Portfolio!B$6*'CurrentPor-LH=40 unchanged'!F173</f>
        <v>3696.2945087936532</v>
      </c>
      <c r="H173">
        <f>Portfolio!B$7*'CurrentPor-LH=40 unchanged'!J173</f>
        <v>2148.0998964419859</v>
      </c>
      <c r="I173">
        <f t="shared" si="4"/>
        <v>96506.299103996207</v>
      </c>
      <c r="J173">
        <f t="shared" si="5"/>
        <v>-12.868096734164283</v>
      </c>
    </row>
    <row r="174" spans="1:10">
      <c r="A174" s="1">
        <v>45713</v>
      </c>
      <c r="B174">
        <f>(3/(1+('CurrentPor-LH=40 unchanged'!C174)/100)+103/POWER(1+('CurrentPor-LH=40 unchanged'!D174)/100,2))*100</f>
        <v>9707.5857774288397</v>
      </c>
      <c r="C174">
        <f>(3/(1+('CurrentPor-LH=40 unchanged'!C174+'CurrentPor-LH=40 unchanged'!G174)/100)+103/POWER(1+('CurrentPor-LH=40 unchanged'!D174+'CurrentPor-LH=40 unchanged'!G174)/100,2))*100</f>
        <v>9614.9673582483465</v>
      </c>
      <c r="D174">
        <f>(3/(1+('CurrentPor-LH=40 unchanged'!C174+'CurrentPor-LH=40 unchanged'!H174)/100)+103/POWER(1+('CurrentPor-LH=40 unchanged'!D174+'CurrentPor-LH=40 unchanged'!H174)/100,2))*100</f>
        <v>9601.2395558122898</v>
      </c>
      <c r="E174">
        <f>(3/(1+('CurrentPor-LH=40 unchanged'!C174+'CurrentPor-LH=40 unchanged'!I174)/100)+103/POWER(1+('CurrentPor-LH=40 unchanged'!D174+'CurrentPor-LH=40 unchanged'!I174)/100,2))*100</f>
        <v>9593.0224651270892</v>
      </c>
      <c r="F174">
        <f>Portfolio!B$5*'CurrentPor-LH=40 unchanged'!E174</f>
        <v>52143.895533915893</v>
      </c>
      <c r="G174">
        <f>Portfolio!B$6*'CurrentPor-LH=40 unchanged'!F174</f>
        <v>3696.2945087936532</v>
      </c>
      <c r="H174">
        <f>Portfolio!B$7*'CurrentPor-LH=40 unchanged'!J174</f>
        <v>2148.0998964419859</v>
      </c>
      <c r="I174">
        <f t="shared" si="4"/>
        <v>96505.1050957681</v>
      </c>
      <c r="J174">
        <f t="shared" si="5"/>
        <v>2.0354313603020273</v>
      </c>
    </row>
    <row r="175" spans="1:10">
      <c r="A175" s="1">
        <v>45714</v>
      </c>
      <c r="B175">
        <f>(3/(1+('CurrentPor-LH=40 unchanged'!C175)/100)+103/POWER(1+('CurrentPor-LH=40 unchanged'!D175)/100,2))*100</f>
        <v>9707.5857774288397</v>
      </c>
      <c r="C175">
        <f>(3/(1+('CurrentPor-LH=40 unchanged'!C175+'CurrentPor-LH=40 unchanged'!G175)/100)+103/POWER(1+('CurrentPor-LH=40 unchanged'!D175+'CurrentPor-LH=40 unchanged'!G175)/100,2))*100</f>
        <v>9614.9673582483465</v>
      </c>
      <c r="D175">
        <f>(3/(1+('CurrentPor-LH=40 unchanged'!C175+'CurrentPor-LH=40 unchanged'!H175)/100)+103/POWER(1+('CurrentPor-LH=40 unchanged'!D175+'CurrentPor-LH=40 unchanged'!H175)/100,2))*100</f>
        <v>9601.2395558122898</v>
      </c>
      <c r="E175">
        <f>(3/(1+('CurrentPor-LH=40 unchanged'!C175+'CurrentPor-LH=40 unchanged'!I175)/100)+103/POWER(1+('CurrentPor-LH=40 unchanged'!D175+'CurrentPor-LH=40 unchanged'!I175)/100,2))*100</f>
        <v>9585.4037727708328</v>
      </c>
      <c r="F175">
        <f>Portfolio!B$5*'CurrentPor-LH=40 unchanged'!E175</f>
        <v>52143.895533915893</v>
      </c>
      <c r="G175">
        <f>Portfolio!B$6*'CurrentPor-LH=40 unchanged'!F175</f>
        <v>3696.2945087936532</v>
      </c>
      <c r="H175">
        <f>Portfolio!B$7*'CurrentPor-LH=40 unchanged'!J175</f>
        <v>2148.0998964419859</v>
      </c>
      <c r="I175">
        <f t="shared" si="4"/>
        <v>96497.486403411851</v>
      </c>
      <c r="J175">
        <f t="shared" si="5"/>
        <v>-2.9105216485331766</v>
      </c>
    </row>
    <row r="176" spans="1:10">
      <c r="A176" s="1">
        <v>45715</v>
      </c>
      <c r="B176">
        <f>(3/(1+('CurrentPor-LH=40 unchanged'!C176)/100)+103/POWER(1+('CurrentPor-LH=40 unchanged'!D176)/100,2))*100</f>
        <v>9707.5857774288397</v>
      </c>
      <c r="C176">
        <f>(3/(1+('CurrentPor-LH=40 unchanged'!C176+'CurrentPor-LH=40 unchanged'!G176)/100)+103/POWER(1+('CurrentPor-LH=40 unchanged'!D176+'CurrentPor-LH=40 unchanged'!G176)/100,2))*100</f>
        <v>9614.9673582483465</v>
      </c>
      <c r="D176">
        <f>(3/(1+('CurrentPor-LH=40 unchanged'!C176+'CurrentPor-LH=40 unchanged'!H176)/100)+103/POWER(1+('CurrentPor-LH=40 unchanged'!D176+'CurrentPor-LH=40 unchanged'!H176)/100,2))*100</f>
        <v>9601.2395558122898</v>
      </c>
      <c r="E176">
        <f>(3/(1+('CurrentPor-LH=40 unchanged'!C176+'CurrentPor-LH=40 unchanged'!I176)/100)+103/POWER(1+('CurrentPor-LH=40 unchanged'!D176+'CurrentPor-LH=40 unchanged'!I176)/100,2))*100</f>
        <v>9575.3527144044619</v>
      </c>
      <c r="F176">
        <f>Portfolio!B$5*'CurrentPor-LH=40 unchanged'!E176</f>
        <v>52143.895533915893</v>
      </c>
      <c r="G176">
        <f>Portfolio!B$6*'CurrentPor-LH=40 unchanged'!F176</f>
        <v>3696.2945087936532</v>
      </c>
      <c r="H176">
        <f>Portfolio!B$7*'CurrentPor-LH=40 unchanged'!J176</f>
        <v>2148.0998964419859</v>
      </c>
      <c r="I176">
        <f t="shared" si="4"/>
        <v>96487.43534504548</v>
      </c>
      <c r="J176">
        <f t="shared" si="5"/>
        <v>-7.2340022821445018</v>
      </c>
    </row>
    <row r="177" spans="1:10">
      <c r="A177" s="1">
        <v>45716</v>
      </c>
      <c r="B177">
        <f>(3/(1+('CurrentPor-LH=40 unchanged'!C177)/100)+103/POWER(1+('CurrentPor-LH=40 unchanged'!D177)/100,2))*100</f>
        <v>9707.5857774288397</v>
      </c>
      <c r="C177">
        <f>(3/(1+('CurrentPor-LH=40 unchanged'!C177+'CurrentPor-LH=40 unchanged'!G177)/100)+103/POWER(1+('CurrentPor-LH=40 unchanged'!D177+'CurrentPor-LH=40 unchanged'!G177)/100,2))*100</f>
        <v>9614.9673582483465</v>
      </c>
      <c r="D177">
        <f>(3/(1+('CurrentPor-LH=40 unchanged'!C177+'CurrentPor-LH=40 unchanged'!H177)/100)+103/POWER(1+('CurrentPor-LH=40 unchanged'!D177+'CurrentPor-LH=40 unchanged'!H177)/100,2))*100</f>
        <v>9601.2395558122898</v>
      </c>
      <c r="E177">
        <f>(3/(1+('CurrentPor-LH=40 unchanged'!C177+'CurrentPor-LH=40 unchanged'!I177)/100)+103/POWER(1+('CurrentPor-LH=40 unchanged'!D177+'CurrentPor-LH=40 unchanged'!I177)/100,2))*100</f>
        <v>9594.3964790523514</v>
      </c>
      <c r="F177">
        <f>Portfolio!B$5*'CurrentPor-LH=40 unchanged'!E177</f>
        <v>52143.895533915893</v>
      </c>
      <c r="G177">
        <f>Portfolio!B$6*'CurrentPor-LH=40 unchanged'!F177</f>
        <v>3696.2945087936532</v>
      </c>
      <c r="H177">
        <f>Portfolio!B$7*'CurrentPor-LH=40 unchanged'!J177</f>
        <v>2148.0998964419859</v>
      </c>
      <c r="I177">
        <f t="shared" si="4"/>
        <v>96506.479109693362</v>
      </c>
      <c r="J177">
        <f t="shared" si="5"/>
        <v>-0.69962524643051438</v>
      </c>
    </row>
    <row r="178" spans="1:10">
      <c r="A178" s="1">
        <v>45719</v>
      </c>
      <c r="B178">
        <f>(3/(1+('CurrentPor-LH=40 unchanged'!C178)/100)+103/POWER(1+('CurrentPor-LH=40 unchanged'!D178)/100,2))*100</f>
        <v>9707.5857774288397</v>
      </c>
      <c r="C178">
        <f>(3/(1+('CurrentPor-LH=40 unchanged'!C178+'CurrentPor-LH=40 unchanged'!G178)/100)+103/POWER(1+('CurrentPor-LH=40 unchanged'!D178+'CurrentPor-LH=40 unchanged'!G178)/100,2))*100</f>
        <v>9614.9673582483465</v>
      </c>
      <c r="D178">
        <f>(3/(1+('CurrentPor-LH=40 unchanged'!C178+'CurrentPor-LH=40 unchanged'!H178)/100)+103/POWER(1+('CurrentPor-LH=40 unchanged'!D178+'CurrentPor-LH=40 unchanged'!H178)/100,2))*100</f>
        <v>9601.2395558122898</v>
      </c>
      <c r="E178">
        <f>(3/(1+('CurrentPor-LH=40 unchanged'!C178+'CurrentPor-LH=40 unchanged'!I178)/100)+103/POWER(1+('CurrentPor-LH=40 unchanged'!D178+'CurrentPor-LH=40 unchanged'!I178)/100,2))*100</f>
        <v>9585.3651443867329</v>
      </c>
      <c r="F178">
        <f>Portfolio!B$5*'CurrentPor-LH=40 unchanged'!E178</f>
        <v>52143.895533915893</v>
      </c>
      <c r="G178">
        <f>Portfolio!B$6*'CurrentPor-LH=40 unchanged'!F178</f>
        <v>3696.2945087936532</v>
      </c>
      <c r="H178">
        <f>Portfolio!B$7*'CurrentPor-LH=40 unchanged'!J178</f>
        <v>2148.0998964419859</v>
      </c>
      <c r="I178">
        <f t="shared" si="4"/>
        <v>96497.447775027744</v>
      </c>
      <c r="J178">
        <f t="shared" si="5"/>
        <v>18.52482354521635</v>
      </c>
    </row>
    <row r="179" spans="1:10">
      <c r="A179" s="1">
        <v>45720</v>
      </c>
      <c r="B179">
        <f>(3/(1+('CurrentPor-LH=40 unchanged'!C179)/100)+103/POWER(1+('CurrentPor-LH=40 unchanged'!D179)/100,2))*100</f>
        <v>9707.5857774288397</v>
      </c>
      <c r="C179">
        <f>(3/(1+('CurrentPor-LH=40 unchanged'!C179+'CurrentPor-LH=40 unchanged'!G179)/100)+103/POWER(1+('CurrentPor-LH=40 unchanged'!D179+'CurrentPor-LH=40 unchanged'!G179)/100,2))*100</f>
        <v>9614.9673582483465</v>
      </c>
      <c r="D179">
        <f>(3/(1+('CurrentPor-LH=40 unchanged'!C179+'CurrentPor-LH=40 unchanged'!H179)/100)+103/POWER(1+('CurrentPor-LH=40 unchanged'!D179+'CurrentPor-LH=40 unchanged'!H179)/100,2))*100</f>
        <v>9601.2395558122898</v>
      </c>
      <c r="E179">
        <f>(3/(1+('CurrentPor-LH=40 unchanged'!C179+'CurrentPor-LH=40 unchanged'!I179)/100)+103/POWER(1+('CurrentPor-LH=40 unchanged'!D179+'CurrentPor-LH=40 unchanged'!I179)/100,2))*100</f>
        <v>9580.3591213076488</v>
      </c>
      <c r="F179">
        <f>Portfolio!B$5*'CurrentPor-LH=40 unchanged'!E179</f>
        <v>52143.895533915893</v>
      </c>
      <c r="G179">
        <f>Portfolio!B$6*'CurrentPor-LH=40 unchanged'!F179</f>
        <v>3696.2945087936532</v>
      </c>
      <c r="H179">
        <f>Portfolio!B$7*'CurrentPor-LH=40 unchanged'!J179</f>
        <v>2148.0998964419859</v>
      </c>
      <c r="I179">
        <f t="shared" si="4"/>
        <v>96492.44175194866</v>
      </c>
      <c r="J179">
        <f t="shared" si="5"/>
        <v>3.5460843564651441</v>
      </c>
    </row>
    <row r="180" spans="1:10">
      <c r="A180" s="1">
        <v>45721</v>
      </c>
      <c r="B180">
        <f>(3/(1+('CurrentPor-LH=40 unchanged'!C180)/100)+103/POWER(1+('CurrentPor-LH=40 unchanged'!D180)/100,2))*100</f>
        <v>9707.5857774288397</v>
      </c>
      <c r="C180">
        <f>(3/(1+('CurrentPor-LH=40 unchanged'!C180+'CurrentPor-LH=40 unchanged'!G180)/100)+103/POWER(1+('CurrentPor-LH=40 unchanged'!D180+'CurrentPor-LH=40 unchanged'!G180)/100,2))*100</f>
        <v>9614.9673582483465</v>
      </c>
      <c r="D180">
        <f>(3/(1+('CurrentPor-LH=40 unchanged'!C180+'CurrentPor-LH=40 unchanged'!H180)/100)+103/POWER(1+('CurrentPor-LH=40 unchanged'!D180+'CurrentPor-LH=40 unchanged'!H180)/100,2))*100</f>
        <v>9601.2395558122898</v>
      </c>
      <c r="E180">
        <f>(3/(1+('CurrentPor-LH=40 unchanged'!C180+'CurrentPor-LH=40 unchanged'!I180)/100)+103/POWER(1+('CurrentPor-LH=40 unchanged'!D180+'CurrentPor-LH=40 unchanged'!I180)/100,2))*100</f>
        <v>9589.2641240967769</v>
      </c>
      <c r="F180">
        <f>Portfolio!B$5*'CurrentPor-LH=40 unchanged'!E180</f>
        <v>52143.895533915893</v>
      </c>
      <c r="G180">
        <f>Portfolio!B$6*'CurrentPor-LH=40 unchanged'!F180</f>
        <v>3696.2945087936532</v>
      </c>
      <c r="H180">
        <f>Portfolio!B$7*'CurrentPor-LH=40 unchanged'!J180</f>
        <v>2148.0998964419859</v>
      </c>
      <c r="I180">
        <f t="shared" si="4"/>
        <v>96501.346754737795</v>
      </c>
      <c r="J180">
        <f t="shared" si="5"/>
        <v>17.58540018030908</v>
      </c>
    </row>
    <row r="181" spans="1:10">
      <c r="A181" s="1">
        <v>45722</v>
      </c>
      <c r="B181">
        <f>(3/(1+('CurrentPor-LH=40 unchanged'!C181)/100)+103/POWER(1+('CurrentPor-LH=40 unchanged'!D181)/100,2))*100</f>
        <v>9707.5857774288397</v>
      </c>
      <c r="C181">
        <f>(3/(1+('CurrentPor-LH=40 unchanged'!C181+'CurrentPor-LH=40 unchanged'!G181)/100)+103/POWER(1+('CurrentPor-LH=40 unchanged'!D181+'CurrentPor-LH=40 unchanged'!G181)/100,2))*100</f>
        <v>9614.9673582483465</v>
      </c>
      <c r="D181">
        <f>(3/(1+('CurrentPor-LH=40 unchanged'!C181+'CurrentPor-LH=40 unchanged'!H181)/100)+103/POWER(1+('CurrentPor-LH=40 unchanged'!D181+'CurrentPor-LH=40 unchanged'!H181)/100,2))*100</f>
        <v>9601.2395558122898</v>
      </c>
      <c r="E181">
        <f>(3/(1+('CurrentPor-LH=40 unchanged'!C181+'CurrentPor-LH=40 unchanged'!I181)/100)+103/POWER(1+('CurrentPor-LH=40 unchanged'!D181+'CurrentPor-LH=40 unchanged'!I181)/100,2))*100</f>
        <v>9577.0163640904393</v>
      </c>
      <c r="F181">
        <f>Portfolio!B$5*'CurrentPor-LH=40 unchanged'!E181</f>
        <v>52143.895533915893</v>
      </c>
      <c r="G181">
        <f>Portfolio!B$6*'CurrentPor-LH=40 unchanged'!F181</f>
        <v>3696.2945087936532</v>
      </c>
      <c r="H181">
        <f>Portfolio!B$7*'CurrentPor-LH=40 unchanged'!J181</f>
        <v>2148.0998964419859</v>
      </c>
      <c r="I181">
        <f t="shared" si="4"/>
        <v>96489.098994731452</v>
      </c>
      <c r="J181">
        <f t="shared" si="5"/>
        <v>-1.3071346451761201</v>
      </c>
    </row>
    <row r="182" spans="1:10">
      <c r="A182" s="1">
        <v>45723</v>
      </c>
      <c r="B182">
        <f>(3/(1+('CurrentPor-LH=40 unchanged'!C182)/100)+103/POWER(1+('CurrentPor-LH=40 unchanged'!D182)/100,2))*100</f>
        <v>9707.5857774288397</v>
      </c>
      <c r="C182">
        <f>(3/(1+('CurrentPor-LH=40 unchanged'!C182+'CurrentPor-LH=40 unchanged'!G182)/100)+103/POWER(1+('CurrentPor-LH=40 unchanged'!D182+'CurrentPor-LH=40 unchanged'!G182)/100,2))*100</f>
        <v>9614.9673582483465</v>
      </c>
      <c r="D182">
        <f>(3/(1+('CurrentPor-LH=40 unchanged'!C182+'CurrentPor-LH=40 unchanged'!H182)/100)+103/POWER(1+('CurrentPor-LH=40 unchanged'!D182+'CurrentPor-LH=40 unchanged'!H182)/100,2))*100</f>
        <v>9601.2395558122898</v>
      </c>
      <c r="E182">
        <f>(3/(1+('CurrentPor-LH=40 unchanged'!C182+'CurrentPor-LH=40 unchanged'!I182)/100)+103/POWER(1+('CurrentPor-LH=40 unchanged'!D182+'CurrentPor-LH=40 unchanged'!I182)/100,2))*100</f>
        <v>9588.8393062067917</v>
      </c>
      <c r="F182">
        <f>Portfolio!B$5*'CurrentPor-LH=40 unchanged'!E182</f>
        <v>52143.895533915893</v>
      </c>
      <c r="G182">
        <f>Portfolio!B$6*'CurrentPor-LH=40 unchanged'!F182</f>
        <v>3696.2945087936532</v>
      </c>
      <c r="H182">
        <f>Portfolio!B$7*'CurrentPor-LH=40 unchanged'!J182</f>
        <v>2148.0998964419859</v>
      </c>
      <c r="I182">
        <f t="shared" si="4"/>
        <v>96500.921936847808</v>
      </c>
      <c r="J182">
        <f t="shared" si="5"/>
        <v>12.873727131081978</v>
      </c>
    </row>
    <row r="183" spans="1:10">
      <c r="A183" s="1">
        <v>45726</v>
      </c>
      <c r="B183">
        <f>(3/(1+('CurrentPor-LH=40 unchanged'!C183)/100)+103/POWER(1+('CurrentPor-LH=40 unchanged'!D183)/100,2))*100</f>
        <v>9707.5857774288397</v>
      </c>
      <c r="C183">
        <f>(3/(1+('CurrentPor-LH=40 unchanged'!C183+'CurrentPor-LH=40 unchanged'!G183)/100)+103/POWER(1+('CurrentPor-LH=40 unchanged'!D183+'CurrentPor-LH=40 unchanged'!G183)/100,2))*100</f>
        <v>9614.9673582483465</v>
      </c>
      <c r="D183">
        <f>(3/(1+('CurrentPor-LH=40 unchanged'!C183+'CurrentPor-LH=40 unchanged'!H183)/100)+103/POWER(1+('CurrentPor-LH=40 unchanged'!D183+'CurrentPor-LH=40 unchanged'!H183)/100,2))*100</f>
        <v>9601.2395558122898</v>
      </c>
      <c r="E183">
        <f>(3/(1+('CurrentPor-LH=40 unchanged'!C183+'CurrentPor-LH=40 unchanged'!I183)/100)+103/POWER(1+('CurrentPor-LH=40 unchanged'!D183+'CurrentPor-LH=40 unchanged'!I183)/100,2))*100</f>
        <v>9603.285948944138</v>
      </c>
      <c r="F183">
        <f>Portfolio!B$5*'CurrentPor-LH=40 unchanged'!E183</f>
        <v>52143.895533915893</v>
      </c>
      <c r="G183">
        <f>Portfolio!B$6*'CurrentPor-LH=40 unchanged'!F183</f>
        <v>3696.2945087936532</v>
      </c>
      <c r="H183">
        <f>Portfolio!B$7*'CurrentPor-LH=40 unchanged'!J183</f>
        <v>2148.0998964419859</v>
      </c>
      <c r="I183">
        <f t="shared" si="4"/>
        <v>96515.368579585149</v>
      </c>
      <c r="J183">
        <f t="shared" si="5"/>
        <v>9.0694755889417138</v>
      </c>
    </row>
    <row r="184" spans="1:10">
      <c r="A184" s="1">
        <v>45727</v>
      </c>
      <c r="B184">
        <f>(3/(1+('CurrentPor-LH=40 unchanged'!C184)/100)+103/POWER(1+('CurrentPor-LH=40 unchanged'!D184)/100,2))*100</f>
        <v>9707.5857774288397</v>
      </c>
      <c r="C184">
        <f>(3/(1+('CurrentPor-LH=40 unchanged'!C184+'CurrentPor-LH=40 unchanged'!G184)/100)+103/POWER(1+('CurrentPor-LH=40 unchanged'!D184+'CurrentPor-LH=40 unchanged'!G184)/100,2))*100</f>
        <v>9614.9673582483465</v>
      </c>
      <c r="D184">
        <f>(3/(1+('CurrentPor-LH=40 unchanged'!C184+'CurrentPor-LH=40 unchanged'!H184)/100)+103/POWER(1+('CurrentPor-LH=40 unchanged'!D184+'CurrentPor-LH=40 unchanged'!H184)/100,2))*100</f>
        <v>9601.2395558122898</v>
      </c>
      <c r="E184">
        <f>(3/(1+('CurrentPor-LH=40 unchanged'!C184+'CurrentPor-LH=40 unchanged'!I184)/100)+103/POWER(1+('CurrentPor-LH=40 unchanged'!D184+'CurrentPor-LH=40 unchanged'!I184)/100,2))*100</f>
        <v>9600.3021512268133</v>
      </c>
      <c r="F184">
        <f>Portfolio!B$5*'CurrentPor-LH=40 unchanged'!E184</f>
        <v>52143.895533915893</v>
      </c>
      <c r="G184">
        <f>Portfolio!B$6*'CurrentPor-LH=40 unchanged'!F184</f>
        <v>3696.2945087936532</v>
      </c>
      <c r="H184">
        <f>Portfolio!B$7*'CurrentPor-LH=40 unchanged'!J184</f>
        <v>2148.0998964419859</v>
      </c>
      <c r="I184">
        <f t="shared" si="4"/>
        <v>96512.384781867833</v>
      </c>
      <c r="J184">
        <f t="shared" si="5"/>
        <v>7.279686099733226</v>
      </c>
    </row>
    <row r="185" spans="1:10">
      <c r="A185" s="1">
        <v>45728</v>
      </c>
      <c r="B185">
        <f>(3/(1+('CurrentPor-LH=40 unchanged'!C185)/100)+103/POWER(1+('CurrentPor-LH=40 unchanged'!D185)/100,2))*100</f>
        <v>9707.5857774288397</v>
      </c>
      <c r="C185">
        <f>(3/(1+('CurrentPor-LH=40 unchanged'!C185+'CurrentPor-LH=40 unchanged'!G185)/100)+103/POWER(1+('CurrentPor-LH=40 unchanged'!D185+'CurrentPor-LH=40 unchanged'!G185)/100,2))*100</f>
        <v>9614.9673582483465</v>
      </c>
      <c r="D185">
        <f>(3/(1+('CurrentPor-LH=40 unchanged'!C185+'CurrentPor-LH=40 unchanged'!H185)/100)+103/POWER(1+('CurrentPor-LH=40 unchanged'!D185+'CurrentPor-LH=40 unchanged'!H185)/100,2))*100</f>
        <v>9601.2395558122898</v>
      </c>
      <c r="E185">
        <f>(3/(1+('CurrentPor-LH=40 unchanged'!C185+'CurrentPor-LH=40 unchanged'!I185)/100)+103/POWER(1+('CurrentPor-LH=40 unchanged'!D185+'CurrentPor-LH=40 unchanged'!I185)/100,2))*100</f>
        <v>9567.9014983070174</v>
      </c>
      <c r="F185">
        <f>Portfolio!B$5*'CurrentPor-LH=40 unchanged'!E185</f>
        <v>52143.895533915893</v>
      </c>
      <c r="G185">
        <f>Portfolio!B$6*'CurrentPor-LH=40 unchanged'!F185</f>
        <v>3696.2945087936532</v>
      </c>
      <c r="H185">
        <f>Portfolio!B$7*'CurrentPor-LH=40 unchanged'!J185</f>
        <v>2148.0998964419859</v>
      </c>
      <c r="I185">
        <f t="shared" si="4"/>
        <v>96479.984128948025</v>
      </c>
      <c r="J185">
        <f t="shared" si="5"/>
        <v>-17.502274463826325</v>
      </c>
    </row>
    <row r="186" spans="1:10">
      <c r="A186" s="1">
        <v>45729</v>
      </c>
      <c r="B186">
        <f>(3/(1+('CurrentPor-LH=40 unchanged'!C186)/100)+103/POWER(1+('CurrentPor-LH=40 unchanged'!D186)/100,2))*100</f>
        <v>9707.5857774288397</v>
      </c>
      <c r="C186">
        <f>(3/(1+('CurrentPor-LH=40 unchanged'!C186+'CurrentPor-LH=40 unchanged'!G186)/100)+103/POWER(1+('CurrentPor-LH=40 unchanged'!D186+'CurrentPor-LH=40 unchanged'!G186)/100,2))*100</f>
        <v>9614.9673582483465</v>
      </c>
      <c r="D186">
        <f>(3/(1+('CurrentPor-LH=40 unchanged'!C186+'CurrentPor-LH=40 unchanged'!H186)/100)+103/POWER(1+('CurrentPor-LH=40 unchanged'!D186+'CurrentPor-LH=40 unchanged'!H186)/100,2))*100</f>
        <v>9601.2395558122898</v>
      </c>
      <c r="E186">
        <f>(3/(1+('CurrentPor-LH=40 unchanged'!C186+'CurrentPor-LH=40 unchanged'!I186)/100)+103/POWER(1+('CurrentPor-LH=40 unchanged'!D186+'CurrentPor-LH=40 unchanged'!I186)/100,2))*100</f>
        <v>9592.3519681577436</v>
      </c>
      <c r="F186">
        <f>Portfolio!B$5*'CurrentPor-LH=40 unchanged'!E186</f>
        <v>52143.895533915893</v>
      </c>
      <c r="G186">
        <f>Portfolio!B$6*'CurrentPor-LH=40 unchanged'!F186</f>
        <v>3696.2945087936532</v>
      </c>
      <c r="H186">
        <f>Portfolio!B$7*'CurrentPor-LH=40 unchanged'!J186</f>
        <v>2148.0998964419859</v>
      </c>
      <c r="I186">
        <f t="shared" si="4"/>
        <v>96504.434598798762</v>
      </c>
      <c r="J186">
        <f t="shared" si="5"/>
        <v>16.999253753281664</v>
      </c>
    </row>
    <row r="187" spans="1:10">
      <c r="A187" s="1">
        <v>45730</v>
      </c>
      <c r="B187">
        <f>(3/(1+('CurrentPor-LH=40 unchanged'!C187)/100)+103/POWER(1+('CurrentPor-LH=40 unchanged'!D187)/100,2))*100</f>
        <v>9707.5857774288397</v>
      </c>
      <c r="C187">
        <f>(3/(1+('CurrentPor-LH=40 unchanged'!C187+'CurrentPor-LH=40 unchanged'!G187)/100)+103/POWER(1+('CurrentPor-LH=40 unchanged'!D187+'CurrentPor-LH=40 unchanged'!G187)/100,2))*100</f>
        <v>9614.9673582483465</v>
      </c>
      <c r="D187">
        <f>(3/(1+('CurrentPor-LH=40 unchanged'!C187+'CurrentPor-LH=40 unchanged'!H187)/100)+103/POWER(1+('CurrentPor-LH=40 unchanged'!D187+'CurrentPor-LH=40 unchanged'!H187)/100,2))*100</f>
        <v>9601.2395558122898</v>
      </c>
      <c r="E187">
        <f>(3/(1+('CurrentPor-LH=40 unchanged'!C187+'CurrentPor-LH=40 unchanged'!I187)/100)+103/POWER(1+('CurrentPor-LH=40 unchanged'!D187+'CurrentPor-LH=40 unchanged'!I187)/100,2))*100</f>
        <v>9556.5899947974722</v>
      </c>
      <c r="F187">
        <f>Portfolio!B$5*'CurrentPor-LH=40 unchanged'!E187</f>
        <v>52143.895533915893</v>
      </c>
      <c r="G187">
        <f>Portfolio!B$6*'CurrentPor-LH=40 unchanged'!F187</f>
        <v>3696.2945087936532</v>
      </c>
      <c r="H187">
        <f>Portfolio!B$7*'CurrentPor-LH=40 unchanged'!J187</f>
        <v>2148.0998964419859</v>
      </c>
      <c r="I187">
        <f t="shared" si="4"/>
        <v>96468.67262543847</v>
      </c>
      <c r="J187">
        <f t="shared" si="5"/>
        <v>-37.806484254891984</v>
      </c>
    </row>
    <row r="188" spans="1:10">
      <c r="A188" s="13">
        <v>45733</v>
      </c>
      <c r="B188">
        <f>(3/(1+('CurrentPor-LH=40 unchanged'!C188)/100)+103/POWER(1+('CurrentPor-LH=40 unchanged'!D188)/100,2))*100</f>
        <v>9707.5857774288397</v>
      </c>
      <c r="C188">
        <f>(3/(1+('CurrentPor-LH=40 unchanged'!C188+'CurrentPor-LH=40 unchanged'!G188)/100)+103/POWER(1+('CurrentPor-LH=40 unchanged'!D188+'CurrentPor-LH=40 unchanged'!G188)/100,2))*100</f>
        <v>9614.9673582483465</v>
      </c>
      <c r="D188">
        <f>(3/(1+('CurrentPor-LH=40 unchanged'!C188+'CurrentPor-LH=40 unchanged'!H188)/100)+103/POWER(1+('CurrentPor-LH=40 unchanged'!D188+'CurrentPor-LH=40 unchanged'!H188)/100,2))*100</f>
        <v>9601.2395558122898</v>
      </c>
      <c r="E188">
        <f>(3/(1+('CurrentPor-LH=40 unchanged'!C188+'CurrentPor-LH=40 unchanged'!I188)/100)+103/POWER(1+('CurrentPor-LH=40 unchanged'!D188+'CurrentPor-LH=40 unchanged'!I188)/100,2))*100</f>
        <v>9589.2580894582061</v>
      </c>
      <c r="F188">
        <f>Portfolio!B$5*'CurrentPor-LH=40 unchanged'!E188</f>
        <v>52143.895533915893</v>
      </c>
      <c r="G188">
        <f>Portfolio!B$6*'CurrentPor-LH=40 unchanged'!F188</f>
        <v>3696.2945087936532</v>
      </c>
      <c r="H188">
        <f>Portfolio!B$7*'CurrentPor-LH=40 unchanged'!J188</f>
        <v>2148.0998964419859</v>
      </c>
      <c r="I188">
        <f t="shared" si="4"/>
        <v>96501.340720099208</v>
      </c>
      <c r="J188">
        <f t="shared" si="5"/>
        <v>3.8929450714640552</v>
      </c>
    </row>
    <row r="189" spans="1:10">
      <c r="A189" s="1">
        <v>45734</v>
      </c>
      <c r="B189">
        <f>(3/(1+('CurrentPor-LH=40 unchanged'!C189)/100)+103/POWER(1+('CurrentPor-LH=40 unchanged'!D189)/100,2))*100</f>
        <v>9707.5857774288397</v>
      </c>
      <c r="C189">
        <f>(3/(1+('CurrentPor-LH=40 unchanged'!C189+'CurrentPor-LH=40 unchanged'!G189)/100)+103/POWER(1+('CurrentPor-LH=40 unchanged'!D189+'CurrentPor-LH=40 unchanged'!G189)/100,2))*100</f>
        <v>9614.9673582483465</v>
      </c>
      <c r="D189">
        <f>(3/(1+('CurrentPor-LH=40 unchanged'!C189+'CurrentPor-LH=40 unchanged'!H189)/100)+103/POWER(1+('CurrentPor-LH=40 unchanged'!D189+'CurrentPor-LH=40 unchanged'!H189)/100,2))*100</f>
        <v>9601.2395558122898</v>
      </c>
      <c r="E189">
        <f>(3/(1+('CurrentPor-LH=40 unchanged'!C189+'CurrentPor-LH=40 unchanged'!I189)/100)+103/POWER(1+('CurrentPor-LH=40 unchanged'!D189+'CurrentPor-LH=40 unchanged'!I189)/100,2))*100</f>
        <v>9597.6060240066054</v>
      </c>
      <c r="F189">
        <f>Portfolio!B$5*'CurrentPor-LH=40 unchanged'!E189</f>
        <v>52143.895533915893</v>
      </c>
      <c r="G189">
        <f>Portfolio!B$6*'CurrentPor-LH=40 unchanged'!F189</f>
        <v>3696.2945087936532</v>
      </c>
      <c r="H189">
        <f>Portfolio!B$7*'CurrentPor-LH=40 unchanged'!J189</f>
        <v>2148.0998964419859</v>
      </c>
      <c r="I189">
        <f t="shared" si="4"/>
        <v>96509.688654647616</v>
      </c>
      <c r="J189">
        <f t="shared" si="5"/>
        <v>17.246902698956546</v>
      </c>
    </row>
    <row r="190" spans="1:10">
      <c r="A190" s="1">
        <v>45735</v>
      </c>
      <c r="B190">
        <f>(3/(1+('CurrentPor-LH=40 unchanged'!C190)/100)+103/POWER(1+('CurrentPor-LH=40 unchanged'!D190)/100,2))*100</f>
        <v>9707.5857774288397</v>
      </c>
      <c r="C190">
        <f>(3/(1+('CurrentPor-LH=40 unchanged'!C190+'CurrentPor-LH=40 unchanged'!G190)/100)+103/POWER(1+('CurrentPor-LH=40 unchanged'!D190+'CurrentPor-LH=40 unchanged'!G190)/100,2))*100</f>
        <v>9614.9673582483465</v>
      </c>
      <c r="D190">
        <f>(3/(1+('CurrentPor-LH=40 unchanged'!C190+'CurrentPor-LH=40 unchanged'!H190)/100)+103/POWER(1+('CurrentPor-LH=40 unchanged'!D190+'CurrentPor-LH=40 unchanged'!H190)/100,2))*100</f>
        <v>9601.2395558122898</v>
      </c>
      <c r="E190">
        <f>(3/(1+('CurrentPor-LH=40 unchanged'!C190+'CurrentPor-LH=40 unchanged'!I190)/100)+103/POWER(1+('CurrentPor-LH=40 unchanged'!D190+'CurrentPor-LH=40 unchanged'!I190)/100,2))*100</f>
        <v>9597.8361216698795</v>
      </c>
      <c r="F190">
        <f>Portfolio!B$5*'CurrentPor-LH=40 unchanged'!E190</f>
        <v>52143.895533915893</v>
      </c>
      <c r="G190">
        <f>Portfolio!B$6*'CurrentPor-LH=40 unchanged'!F190</f>
        <v>3696.2945087936532</v>
      </c>
      <c r="H190">
        <f>Portfolio!B$7*'CurrentPor-LH=40 unchanged'!J190</f>
        <v>2148.0998964419859</v>
      </c>
      <c r="I190">
        <f t="shared" si="4"/>
        <v>96509.918752310899</v>
      </c>
      <c r="J190">
        <f t="shared" si="5"/>
        <v>8.5719975731044542</v>
      </c>
    </row>
    <row r="191" spans="1:10">
      <c r="A191" s="1">
        <v>45736</v>
      </c>
      <c r="B191">
        <f>(3/(1+('CurrentPor-LH=40 unchanged'!C191)/100)+103/POWER(1+('CurrentPor-LH=40 unchanged'!D191)/100,2))*100</f>
        <v>9707.5857774288397</v>
      </c>
      <c r="C191">
        <f>(3/(1+('CurrentPor-LH=40 unchanged'!C191+'CurrentPor-LH=40 unchanged'!G191)/100)+103/POWER(1+('CurrentPor-LH=40 unchanged'!D191+'CurrentPor-LH=40 unchanged'!G191)/100,2))*100</f>
        <v>9614.9673582483465</v>
      </c>
      <c r="D191">
        <f>(3/(1+('CurrentPor-LH=40 unchanged'!C191+'CurrentPor-LH=40 unchanged'!H191)/100)+103/POWER(1+('CurrentPor-LH=40 unchanged'!D191+'CurrentPor-LH=40 unchanged'!H191)/100,2))*100</f>
        <v>9601.2395558122898</v>
      </c>
      <c r="E191">
        <f>(3/(1+('CurrentPor-LH=40 unchanged'!C191+'CurrentPor-LH=40 unchanged'!I191)/100)+103/POWER(1+('CurrentPor-LH=40 unchanged'!D191+'CurrentPor-LH=40 unchanged'!I191)/100,2))*100</f>
        <v>9579.5719024089885</v>
      </c>
      <c r="F191">
        <f>Portfolio!B$5*'CurrentPor-LH=40 unchanged'!E191</f>
        <v>52143.895533915893</v>
      </c>
      <c r="G191">
        <f>Portfolio!B$6*'CurrentPor-LH=40 unchanged'!F191</f>
        <v>3696.2945087936532</v>
      </c>
      <c r="H191">
        <f>Portfolio!B$7*'CurrentPor-LH=40 unchanged'!J191</f>
        <v>2148.0998964419859</v>
      </c>
      <c r="I191">
        <f t="shared" si="4"/>
        <v>96491.654533050008</v>
      </c>
      <c r="J191">
        <f t="shared" si="5"/>
        <v>2.5555383185565006</v>
      </c>
    </row>
    <row r="192" spans="1:10">
      <c r="A192" s="1">
        <v>45737</v>
      </c>
      <c r="B192">
        <f>(3/(1+('CurrentPor-LH=40 unchanged'!C192)/100)+103/POWER(1+('CurrentPor-LH=40 unchanged'!D192)/100,2))*100</f>
        <v>9707.5857774288397</v>
      </c>
      <c r="C192">
        <f>(3/(1+('CurrentPor-LH=40 unchanged'!C192+'CurrentPor-LH=40 unchanged'!G192)/100)+103/POWER(1+('CurrentPor-LH=40 unchanged'!D192+'CurrentPor-LH=40 unchanged'!G192)/100,2))*100</f>
        <v>9614.9673582483465</v>
      </c>
      <c r="D192">
        <f>(3/(1+('CurrentPor-LH=40 unchanged'!C192+'CurrentPor-LH=40 unchanged'!H192)/100)+103/POWER(1+('CurrentPor-LH=40 unchanged'!D192+'CurrentPor-LH=40 unchanged'!H192)/100,2))*100</f>
        <v>9601.2395558122898</v>
      </c>
      <c r="E192">
        <f>(3/(1+('CurrentPor-LH=40 unchanged'!C192+'CurrentPor-LH=40 unchanged'!I192)/100)+103/POWER(1+('CurrentPor-LH=40 unchanged'!D192+'CurrentPor-LH=40 unchanged'!I192)/100,2))*100</f>
        <v>9580.9411701051649</v>
      </c>
      <c r="F192">
        <f>Portfolio!B$5*'CurrentPor-LH=40 unchanged'!E192</f>
        <v>52143.895533915893</v>
      </c>
      <c r="G192">
        <f>Portfolio!B$6*'CurrentPor-LH=40 unchanged'!F192</f>
        <v>3696.2945087936532</v>
      </c>
      <c r="H192">
        <f>Portfolio!B$7*'CurrentPor-LH=40 unchanged'!J192</f>
        <v>2148.0998964419859</v>
      </c>
      <c r="I192">
        <f t="shared" si="4"/>
        <v>96493.023800746174</v>
      </c>
      <c r="J192">
        <f t="shared" si="5"/>
        <v>-7.8981361016340088</v>
      </c>
    </row>
    <row r="193" spans="1:10">
      <c r="A193" s="1">
        <v>45740</v>
      </c>
      <c r="B193">
        <f>(3/(1+('CurrentPor-LH=40 unchanged'!C193)/100)+103/POWER(1+('CurrentPor-LH=40 unchanged'!D193)/100,2))*100</f>
        <v>9707.5857774288397</v>
      </c>
      <c r="C193">
        <f>(3/(1+('CurrentPor-LH=40 unchanged'!C193+'CurrentPor-LH=40 unchanged'!G193)/100)+103/POWER(1+('CurrentPor-LH=40 unchanged'!D193+'CurrentPor-LH=40 unchanged'!G193)/100,2))*100</f>
        <v>9614.9673582483465</v>
      </c>
      <c r="D193">
        <f>(3/(1+('CurrentPor-LH=40 unchanged'!C193+'CurrentPor-LH=40 unchanged'!H193)/100)+103/POWER(1+('CurrentPor-LH=40 unchanged'!D193+'CurrentPor-LH=40 unchanged'!H193)/100,2))*100</f>
        <v>9601.2395558122898</v>
      </c>
      <c r="E193">
        <f>(3/(1+('CurrentPor-LH=40 unchanged'!C193+'CurrentPor-LH=40 unchanged'!I193)/100)+103/POWER(1+('CurrentPor-LH=40 unchanged'!D193+'CurrentPor-LH=40 unchanged'!I193)/100,2))*100</f>
        <v>9566.9783808950415</v>
      </c>
      <c r="F193">
        <f>Portfolio!B$5*'CurrentPor-LH=40 unchanged'!E193</f>
        <v>52143.895533915893</v>
      </c>
      <c r="G193">
        <f>Portfolio!B$6*'CurrentPor-LH=40 unchanged'!F193</f>
        <v>3696.2945087936532</v>
      </c>
      <c r="H193">
        <f>Portfolio!B$7*'CurrentPor-LH=40 unchanged'!J193</f>
        <v>2148.0998964419859</v>
      </c>
      <c r="I193">
        <f t="shared" si="4"/>
        <v>96479.061011536061</v>
      </c>
      <c r="J193">
        <f t="shared" si="5"/>
        <v>-36.307568049087422</v>
      </c>
    </row>
    <row r="194" spans="1:10">
      <c r="A194" s="1">
        <v>45741</v>
      </c>
      <c r="B194">
        <f>(3/(1+('CurrentPor-LH=40 unchanged'!C194)/100)+103/POWER(1+('CurrentPor-LH=40 unchanged'!D194)/100,2))*100</f>
        <v>9707.5857774288397</v>
      </c>
      <c r="C194">
        <f>(3/(1+('CurrentPor-LH=40 unchanged'!C194+'CurrentPor-LH=40 unchanged'!G194)/100)+103/POWER(1+('CurrentPor-LH=40 unchanged'!D194+'CurrentPor-LH=40 unchanged'!G194)/100,2))*100</f>
        <v>9614.9673582483465</v>
      </c>
      <c r="D194">
        <f>(3/(1+('CurrentPor-LH=40 unchanged'!C194+'CurrentPor-LH=40 unchanged'!H194)/100)+103/POWER(1+('CurrentPor-LH=40 unchanged'!D194+'CurrentPor-LH=40 unchanged'!H194)/100,2))*100</f>
        <v>9601.2395558122898</v>
      </c>
      <c r="E194">
        <f>(3/(1+('CurrentPor-LH=40 unchanged'!C194+'CurrentPor-LH=40 unchanged'!I194)/100)+103/POWER(1+('CurrentPor-LH=40 unchanged'!D194+'CurrentPor-LH=40 unchanged'!I194)/100,2))*100</f>
        <v>9595.1066468859244</v>
      </c>
      <c r="F194">
        <f>Portfolio!B$5*'CurrentPor-LH=40 unchanged'!E194</f>
        <v>52143.895533915893</v>
      </c>
      <c r="G194">
        <f>Portfolio!B$6*'CurrentPor-LH=40 unchanged'!F194</f>
        <v>3696.2945087936532</v>
      </c>
      <c r="H194">
        <f>Portfolio!B$7*'CurrentPor-LH=40 unchanged'!J194</f>
        <v>2148.0998964419859</v>
      </c>
      <c r="I194">
        <f t="shared" si="4"/>
        <v>96507.189277526937</v>
      </c>
      <c r="J194">
        <f t="shared" si="5"/>
        <v>-5.1955043408961501</v>
      </c>
    </row>
    <row r="195" spans="1:10">
      <c r="A195" s="1">
        <v>45742</v>
      </c>
      <c r="B195">
        <f>(3/(1+('CurrentPor-LH=40 unchanged'!C195)/100)+103/POWER(1+('CurrentPor-LH=40 unchanged'!D195)/100,2))*100</f>
        <v>9707.5857774288397</v>
      </c>
      <c r="C195">
        <f>(3/(1+('CurrentPor-LH=40 unchanged'!C195+'CurrentPor-LH=40 unchanged'!G195)/100)+103/POWER(1+('CurrentPor-LH=40 unchanged'!D195+'CurrentPor-LH=40 unchanged'!G195)/100,2))*100</f>
        <v>9614.9673582483465</v>
      </c>
      <c r="D195">
        <f>(3/(1+('CurrentPor-LH=40 unchanged'!C195+'CurrentPor-LH=40 unchanged'!H195)/100)+103/POWER(1+('CurrentPor-LH=40 unchanged'!D195+'CurrentPor-LH=40 unchanged'!H195)/100,2))*100</f>
        <v>9601.2395558122898</v>
      </c>
      <c r="E195">
        <f>(3/(1+('CurrentPor-LH=40 unchanged'!C195+'CurrentPor-LH=40 unchanged'!I195)/100)+103/POWER(1+('CurrentPor-LH=40 unchanged'!D195+'CurrentPor-LH=40 unchanged'!I195)/100,2))*100</f>
        <v>9597.8818766610057</v>
      </c>
      <c r="F195">
        <f>Portfolio!B$5*'CurrentPor-LH=40 unchanged'!E195</f>
        <v>52143.895533915893</v>
      </c>
      <c r="G195">
        <f>Portfolio!B$6*'CurrentPor-LH=40 unchanged'!F195</f>
        <v>3696.2945087936532</v>
      </c>
      <c r="H195">
        <f>Portfolio!B$7*'CurrentPor-LH=40 unchanged'!J195</f>
        <v>2148.0998964419859</v>
      </c>
      <c r="I195">
        <f t="shared" si="4"/>
        <v>96509.964507302022</v>
      </c>
      <c r="J195">
        <f t="shared" si="5"/>
        <v>29.980378353997367</v>
      </c>
    </row>
    <row r="196" spans="1:10">
      <c r="A196" s="1">
        <v>45743</v>
      </c>
      <c r="B196">
        <f>(3/(1+('CurrentPor-LH=40 unchanged'!C196)/100)+103/POWER(1+('CurrentPor-LH=40 unchanged'!D196)/100,2))*100</f>
        <v>9707.5857774288397</v>
      </c>
      <c r="C196">
        <f>(3/(1+('CurrentPor-LH=40 unchanged'!C196+'CurrentPor-LH=40 unchanged'!G196)/100)+103/POWER(1+('CurrentPor-LH=40 unchanged'!D196+'CurrentPor-LH=40 unchanged'!G196)/100,2))*100</f>
        <v>9614.9673582483465</v>
      </c>
      <c r="D196">
        <f>(3/(1+('CurrentPor-LH=40 unchanged'!C196+'CurrentPor-LH=40 unchanged'!H196)/100)+103/POWER(1+('CurrentPor-LH=40 unchanged'!D196+'CurrentPor-LH=40 unchanged'!H196)/100,2))*100</f>
        <v>9601.2395558122898</v>
      </c>
      <c r="E196">
        <f>(3/(1+('CurrentPor-LH=40 unchanged'!C196+'CurrentPor-LH=40 unchanged'!I196)/100)+103/POWER(1+('CurrentPor-LH=40 unchanged'!D196+'CurrentPor-LH=40 unchanged'!I196)/100,2))*100</f>
        <v>9593.512268056651</v>
      </c>
      <c r="F196">
        <f>Portfolio!B$5*'CurrentPor-LH=40 unchanged'!E196</f>
        <v>52143.895533915893</v>
      </c>
      <c r="G196">
        <f>Portfolio!B$6*'CurrentPor-LH=40 unchanged'!F196</f>
        <v>3696.2945087936532</v>
      </c>
      <c r="H196">
        <f>Portfolio!B$7*'CurrentPor-LH=40 unchanged'!J196</f>
        <v>2148.0998964419859</v>
      </c>
      <c r="I196">
        <f t="shared" ref="I196:I259" si="6">SUM(B196:H196)</f>
        <v>96505.594898697658</v>
      </c>
      <c r="J196">
        <f t="shared" si="5"/>
        <v>1.1602998988964828</v>
      </c>
    </row>
    <row r="197" spans="1:10">
      <c r="A197" s="1">
        <v>45744</v>
      </c>
      <c r="B197">
        <f>(3/(1+('CurrentPor-LH=40 unchanged'!C197)/100)+103/POWER(1+('CurrentPor-LH=40 unchanged'!D197)/100,2))*100</f>
        <v>9707.5857774288397</v>
      </c>
      <c r="C197">
        <f>(3/(1+('CurrentPor-LH=40 unchanged'!C197+'CurrentPor-LH=40 unchanged'!G197)/100)+103/POWER(1+('CurrentPor-LH=40 unchanged'!D197+'CurrentPor-LH=40 unchanged'!G197)/100,2))*100</f>
        <v>9614.9673582483465</v>
      </c>
      <c r="D197">
        <f>(3/(1+('CurrentPor-LH=40 unchanged'!C197+'CurrentPor-LH=40 unchanged'!H197)/100)+103/POWER(1+('CurrentPor-LH=40 unchanged'!D197+'CurrentPor-LH=40 unchanged'!H197)/100,2))*100</f>
        <v>9601.2395558122898</v>
      </c>
      <c r="E197">
        <f>(3/(1+('CurrentPor-LH=40 unchanged'!C197+'CurrentPor-LH=40 unchanged'!I197)/100)+103/POWER(1+('CurrentPor-LH=40 unchanged'!D197+'CurrentPor-LH=40 unchanged'!I197)/100,2))*100</f>
        <v>9605.8240799477662</v>
      </c>
      <c r="F197">
        <f>Portfolio!B$5*'CurrentPor-LH=40 unchanged'!E197</f>
        <v>52143.895533915893</v>
      </c>
      <c r="G197">
        <f>Portfolio!B$6*'CurrentPor-LH=40 unchanged'!F197</f>
        <v>3696.2945087936532</v>
      </c>
      <c r="H197">
        <f>Portfolio!B$7*'CurrentPor-LH=40 unchanged'!J197</f>
        <v>2148.0998964419859</v>
      </c>
      <c r="I197">
        <f t="shared" si="6"/>
        <v>96517.906710588766</v>
      </c>
      <c r="J197">
        <f t="shared" si="5"/>
        <v>49.234085150295869</v>
      </c>
    </row>
    <row r="198" spans="1:10">
      <c r="A198" s="1">
        <v>45747</v>
      </c>
      <c r="B198">
        <f>(3/(1+('CurrentPor-LH=40 unchanged'!C198)/100)+103/POWER(1+('CurrentPor-LH=40 unchanged'!D198)/100,2))*100</f>
        <v>9707.5857774288397</v>
      </c>
      <c r="C198">
        <f>(3/(1+('CurrentPor-LH=40 unchanged'!C198+'CurrentPor-LH=40 unchanged'!G198)/100)+103/POWER(1+('CurrentPor-LH=40 unchanged'!D198+'CurrentPor-LH=40 unchanged'!G198)/100,2))*100</f>
        <v>9614.9673582483465</v>
      </c>
      <c r="D198">
        <f>(3/(1+('CurrentPor-LH=40 unchanged'!C198+'CurrentPor-LH=40 unchanged'!H198)/100)+103/POWER(1+('CurrentPor-LH=40 unchanged'!D198+'CurrentPor-LH=40 unchanged'!H198)/100,2))*100</f>
        <v>9601.2395558122898</v>
      </c>
      <c r="E198">
        <f>(3/(1+('CurrentPor-LH=40 unchanged'!C198+'CurrentPor-LH=40 unchanged'!I198)/100)+103/POWER(1+('CurrentPor-LH=40 unchanged'!D198+'CurrentPor-LH=40 unchanged'!I198)/100,2))*100</f>
        <v>9574.2395176244208</v>
      </c>
      <c r="F198">
        <f>Portfolio!B$5*'CurrentPor-LH=40 unchanged'!E198</f>
        <v>52143.895533915893</v>
      </c>
      <c r="G198">
        <f>Portfolio!B$6*'CurrentPor-LH=40 unchanged'!F198</f>
        <v>3696.2945087936532</v>
      </c>
      <c r="H198">
        <f>Portfolio!B$7*'CurrentPor-LH=40 unchanged'!J198</f>
        <v>2148.0998964419859</v>
      </c>
      <c r="I198">
        <f t="shared" si="6"/>
        <v>96486.322148265419</v>
      </c>
      <c r="J198">
        <f t="shared" si="5"/>
        <v>-15.018571833788883</v>
      </c>
    </row>
    <row r="199" spans="1:10">
      <c r="A199" s="1">
        <v>45748</v>
      </c>
      <c r="B199">
        <f>(3/(1+('CurrentPor-LH=40 unchanged'!C199)/100)+103/POWER(1+('CurrentPor-LH=40 unchanged'!D199)/100,2))*100</f>
        <v>9707.5857774288397</v>
      </c>
      <c r="C199">
        <f>(3/(1+('CurrentPor-LH=40 unchanged'!C199+'CurrentPor-LH=40 unchanged'!G199)/100)+103/POWER(1+('CurrentPor-LH=40 unchanged'!D199+'CurrentPor-LH=40 unchanged'!G199)/100,2))*100</f>
        <v>9614.9673582483465</v>
      </c>
      <c r="D199">
        <f>(3/(1+('CurrentPor-LH=40 unchanged'!C199+'CurrentPor-LH=40 unchanged'!H199)/100)+103/POWER(1+('CurrentPor-LH=40 unchanged'!D199+'CurrentPor-LH=40 unchanged'!H199)/100,2))*100</f>
        <v>9601.2395558122898</v>
      </c>
      <c r="E199">
        <f>(3/(1+('CurrentPor-LH=40 unchanged'!C199+'CurrentPor-LH=40 unchanged'!I199)/100)+103/POWER(1+('CurrentPor-LH=40 unchanged'!D199+'CurrentPor-LH=40 unchanged'!I199)/100,2))*100</f>
        <v>9604.3289785749912</v>
      </c>
      <c r="F199">
        <f>Portfolio!B$5*'CurrentPor-LH=40 unchanged'!E199</f>
        <v>52143.895533915893</v>
      </c>
      <c r="G199">
        <f>Portfolio!B$6*'CurrentPor-LH=40 unchanged'!F199</f>
        <v>3696.2945087936532</v>
      </c>
      <c r="H199">
        <f>Portfolio!B$7*'CurrentPor-LH=40 unchanged'!J199</f>
        <v>2148.0998964419859</v>
      </c>
      <c r="I199">
        <f t="shared" si="6"/>
        <v>96516.411609215997</v>
      </c>
      <c r="J199">
        <f t="shared" si="5"/>
        <v>6.7229545683803735</v>
      </c>
    </row>
    <row r="200" spans="1:10">
      <c r="A200" s="1">
        <v>45749</v>
      </c>
      <c r="B200">
        <f>(3/(1+('CurrentPor-LH=40 unchanged'!C200)/100)+103/POWER(1+('CurrentPor-LH=40 unchanged'!D200)/100,2))*100</f>
        <v>9707.5857774288397</v>
      </c>
      <c r="C200">
        <f>(3/(1+('CurrentPor-LH=40 unchanged'!C200+'CurrentPor-LH=40 unchanged'!G200)/100)+103/POWER(1+('CurrentPor-LH=40 unchanged'!D200+'CurrentPor-LH=40 unchanged'!G200)/100,2))*100</f>
        <v>9614.9673582483465</v>
      </c>
      <c r="D200">
        <f>(3/(1+('CurrentPor-LH=40 unchanged'!C200+'CurrentPor-LH=40 unchanged'!H200)/100)+103/POWER(1+('CurrentPor-LH=40 unchanged'!D200+'CurrentPor-LH=40 unchanged'!H200)/100,2))*100</f>
        <v>9601.2395558122898</v>
      </c>
      <c r="E200">
        <f>(3/(1+('CurrentPor-LH=40 unchanged'!C200+'CurrentPor-LH=40 unchanged'!I200)/100)+103/POWER(1+('CurrentPor-LH=40 unchanged'!D200+'CurrentPor-LH=40 unchanged'!I200)/100,2))*100</f>
        <v>9584.0197129333137</v>
      </c>
      <c r="F200">
        <f>Portfolio!B$5*'CurrentPor-LH=40 unchanged'!E200</f>
        <v>52143.895533915893</v>
      </c>
      <c r="G200">
        <f>Portfolio!B$6*'CurrentPor-LH=40 unchanged'!F200</f>
        <v>3696.2945087936532</v>
      </c>
      <c r="H200">
        <f>Portfolio!B$7*'CurrentPor-LH=40 unchanged'!J200</f>
        <v>2148.0998964419859</v>
      </c>
      <c r="I200">
        <f t="shared" si="6"/>
        <v>96496.102343574326</v>
      </c>
      <c r="J200">
        <f t="shared" si="5"/>
        <v>-13.816408736573067</v>
      </c>
    </row>
    <row r="201" spans="1:10">
      <c r="A201" s="1">
        <v>45750</v>
      </c>
      <c r="B201">
        <f>(3/(1+('CurrentPor-LH=40 unchanged'!C201)/100)+103/POWER(1+('CurrentPor-LH=40 unchanged'!D201)/100,2))*100</f>
        <v>9707.5857774288397</v>
      </c>
      <c r="C201">
        <f>(3/(1+('CurrentPor-LH=40 unchanged'!C201+'CurrentPor-LH=40 unchanged'!G201)/100)+103/POWER(1+('CurrentPor-LH=40 unchanged'!D201+'CurrentPor-LH=40 unchanged'!G201)/100,2))*100</f>
        <v>9614.9673582483465</v>
      </c>
      <c r="D201">
        <f>(3/(1+('CurrentPor-LH=40 unchanged'!C201+'CurrentPor-LH=40 unchanged'!H201)/100)+103/POWER(1+('CurrentPor-LH=40 unchanged'!D201+'CurrentPor-LH=40 unchanged'!H201)/100,2))*100</f>
        <v>9601.2395558122898</v>
      </c>
      <c r="E201">
        <f>(3/(1+('CurrentPor-LH=40 unchanged'!C201+'CurrentPor-LH=40 unchanged'!I201)/100)+103/POWER(1+('CurrentPor-LH=40 unchanged'!D201+'CurrentPor-LH=40 unchanged'!I201)/100,2))*100</f>
        <v>9596.2826920747411</v>
      </c>
      <c r="F201">
        <f>Portfolio!B$5*'CurrentPor-LH=40 unchanged'!E201</f>
        <v>52143.895533915893</v>
      </c>
      <c r="G201">
        <f>Portfolio!B$6*'CurrentPor-LH=40 unchanged'!F201</f>
        <v>3696.2945087936532</v>
      </c>
      <c r="H201">
        <f>Portfolio!B$7*'CurrentPor-LH=40 unchanged'!J201</f>
        <v>2148.0998964419859</v>
      </c>
      <c r="I201">
        <f t="shared" si="6"/>
        <v>96508.365322715748</v>
      </c>
      <c r="J201">
        <f t="shared" si="5"/>
        <v>16.710789665739867</v>
      </c>
    </row>
    <row r="202" spans="1:10">
      <c r="A202" s="1">
        <v>45751</v>
      </c>
      <c r="B202">
        <f>(3/(1+('CurrentPor-LH=40 unchanged'!C202)/100)+103/POWER(1+('CurrentPor-LH=40 unchanged'!D202)/100,2))*100</f>
        <v>9707.5857774288397</v>
      </c>
      <c r="C202">
        <f>(3/(1+('CurrentPor-LH=40 unchanged'!C202+'CurrentPor-LH=40 unchanged'!G202)/100)+103/POWER(1+('CurrentPor-LH=40 unchanged'!D202+'CurrentPor-LH=40 unchanged'!G202)/100,2))*100</f>
        <v>9614.9673582483465</v>
      </c>
      <c r="D202">
        <f>(3/(1+('CurrentPor-LH=40 unchanged'!C202+'CurrentPor-LH=40 unchanged'!H202)/100)+103/POWER(1+('CurrentPor-LH=40 unchanged'!D202+'CurrentPor-LH=40 unchanged'!H202)/100,2))*100</f>
        <v>9601.2395558122898</v>
      </c>
      <c r="E202">
        <f>(3/(1+('CurrentPor-LH=40 unchanged'!C202+'CurrentPor-LH=40 unchanged'!I202)/100)+103/POWER(1+('CurrentPor-LH=40 unchanged'!D202+'CurrentPor-LH=40 unchanged'!I202)/100,2))*100</f>
        <v>9566.297220702867</v>
      </c>
      <c r="F202">
        <f>Portfolio!B$5*'CurrentPor-LH=40 unchanged'!E202</f>
        <v>52143.895533915893</v>
      </c>
      <c r="G202">
        <f>Portfolio!B$6*'CurrentPor-LH=40 unchanged'!F202</f>
        <v>3696.2945087936532</v>
      </c>
      <c r="H202">
        <f>Portfolio!B$7*'CurrentPor-LH=40 unchanged'!J202</f>
        <v>2148.0998964419859</v>
      </c>
      <c r="I202">
        <f t="shared" si="6"/>
        <v>96478.379851343881</v>
      </c>
      <c r="J202">
        <f t="shared" si="5"/>
        <v>-14.643949402292492</v>
      </c>
    </row>
    <row r="203" spans="1:10">
      <c r="A203" s="1">
        <v>45754</v>
      </c>
      <c r="B203">
        <f>(3/(1+('CurrentPor-LH=40 unchanged'!C203)/100)+103/POWER(1+('CurrentPor-LH=40 unchanged'!D203)/100,2))*100</f>
        <v>9707.5857774288397</v>
      </c>
      <c r="C203">
        <f>(3/(1+('CurrentPor-LH=40 unchanged'!C203+'CurrentPor-LH=40 unchanged'!G203)/100)+103/POWER(1+('CurrentPor-LH=40 unchanged'!D203+'CurrentPor-LH=40 unchanged'!G203)/100,2))*100</f>
        <v>9614.9673582483465</v>
      </c>
      <c r="D203">
        <f>(3/(1+('CurrentPor-LH=40 unchanged'!C203+'CurrentPor-LH=40 unchanged'!H203)/100)+103/POWER(1+('CurrentPor-LH=40 unchanged'!D203+'CurrentPor-LH=40 unchanged'!H203)/100,2))*100</f>
        <v>9601.2395558122898</v>
      </c>
      <c r="E203">
        <f>(3/(1+('CurrentPor-LH=40 unchanged'!C203+'CurrentPor-LH=40 unchanged'!I203)/100)+103/POWER(1+('CurrentPor-LH=40 unchanged'!D203+'CurrentPor-LH=40 unchanged'!I203)/100,2))*100</f>
        <v>9583.3199530551301</v>
      </c>
      <c r="F203">
        <f>Portfolio!B$5*'CurrentPor-LH=40 unchanged'!E203</f>
        <v>52143.895533915893</v>
      </c>
      <c r="G203">
        <f>Portfolio!B$6*'CurrentPor-LH=40 unchanged'!F203</f>
        <v>3696.2945087936532</v>
      </c>
      <c r="H203">
        <f>Portfolio!B$7*'CurrentPor-LH=40 unchanged'!J203</f>
        <v>2148.0998964419859</v>
      </c>
      <c r="I203">
        <f t="shared" si="6"/>
        <v>96495.402583696137</v>
      </c>
      <c r="J203">
        <f t="shared" si="5"/>
        <v>16.341572160075884</v>
      </c>
    </row>
    <row r="204" spans="1:10">
      <c r="A204" s="1">
        <v>45755</v>
      </c>
      <c r="B204">
        <f>(3/(1+('CurrentPor-LH=40 unchanged'!C204)/100)+103/POWER(1+('CurrentPor-LH=40 unchanged'!D204)/100,2))*100</f>
        <v>9707.5857774288397</v>
      </c>
      <c r="C204">
        <f>(3/(1+('CurrentPor-LH=40 unchanged'!C204+'CurrentPor-LH=40 unchanged'!G204)/100)+103/POWER(1+('CurrentPor-LH=40 unchanged'!D204+'CurrentPor-LH=40 unchanged'!G204)/100,2))*100</f>
        <v>9614.9673582483465</v>
      </c>
      <c r="D204">
        <f>(3/(1+('CurrentPor-LH=40 unchanged'!C204+'CurrentPor-LH=40 unchanged'!H204)/100)+103/POWER(1+('CurrentPor-LH=40 unchanged'!D204+'CurrentPor-LH=40 unchanged'!H204)/100,2))*100</f>
        <v>9601.2395558122898</v>
      </c>
      <c r="E204">
        <f>(3/(1+('CurrentPor-LH=40 unchanged'!C204+'CurrentPor-LH=40 unchanged'!I204)/100)+103/POWER(1+('CurrentPor-LH=40 unchanged'!D204+'CurrentPor-LH=40 unchanged'!I204)/100,2))*100</f>
        <v>9589.3712012098749</v>
      </c>
      <c r="F204">
        <f>Portfolio!B$5*'CurrentPor-LH=40 unchanged'!E204</f>
        <v>52143.895533915893</v>
      </c>
      <c r="G204">
        <f>Portfolio!B$6*'CurrentPor-LH=40 unchanged'!F204</f>
        <v>3696.2945087936532</v>
      </c>
      <c r="H204">
        <f>Portfolio!B$7*'CurrentPor-LH=40 unchanged'!J204</f>
        <v>2148.0998964419859</v>
      </c>
      <c r="I204">
        <f t="shared" si="6"/>
        <v>96501.453831850886</v>
      </c>
      <c r="J204">
        <f t="shared" si="5"/>
        <v>-5.7354456760513131</v>
      </c>
    </row>
    <row r="205" spans="1:10">
      <c r="A205" s="1">
        <v>45756</v>
      </c>
      <c r="B205">
        <f>(3/(1+('CurrentPor-LH=40 unchanged'!C205)/100)+103/POWER(1+('CurrentPor-LH=40 unchanged'!D205)/100,2))*100</f>
        <v>9707.5857774288397</v>
      </c>
      <c r="C205">
        <f>(3/(1+('CurrentPor-LH=40 unchanged'!C205+'CurrentPor-LH=40 unchanged'!G205)/100)+103/POWER(1+('CurrentPor-LH=40 unchanged'!D205+'CurrentPor-LH=40 unchanged'!G205)/100,2))*100</f>
        <v>9614.9673582483465</v>
      </c>
      <c r="D205">
        <f>(3/(1+('CurrentPor-LH=40 unchanged'!C205+'CurrentPor-LH=40 unchanged'!H205)/100)+103/POWER(1+('CurrentPor-LH=40 unchanged'!D205+'CurrentPor-LH=40 unchanged'!H205)/100,2))*100</f>
        <v>9601.2395558122898</v>
      </c>
      <c r="E205">
        <f>(3/(1+('CurrentPor-LH=40 unchanged'!C205+'CurrentPor-LH=40 unchanged'!I205)/100)+103/POWER(1+('CurrentPor-LH=40 unchanged'!D205+'CurrentPor-LH=40 unchanged'!I205)/100,2))*100</f>
        <v>9594.5449984779607</v>
      </c>
      <c r="F205">
        <f>Portfolio!B$5*'CurrentPor-LH=40 unchanged'!E205</f>
        <v>52143.895533915893</v>
      </c>
      <c r="G205">
        <f>Portfolio!B$6*'CurrentPor-LH=40 unchanged'!F205</f>
        <v>3696.2945087936532</v>
      </c>
      <c r="H205">
        <f>Portfolio!B$7*'CurrentPor-LH=40 unchanged'!J205</f>
        <v>2148.0998964419859</v>
      </c>
      <c r="I205">
        <f t="shared" si="6"/>
        <v>96506.627629118972</v>
      </c>
      <c r="J205">
        <f t="shared" si="5"/>
        <v>-3.3368781830504304</v>
      </c>
    </row>
    <row r="206" spans="1:10">
      <c r="A206" s="1">
        <v>45757</v>
      </c>
      <c r="B206">
        <f>(3/(1+('CurrentPor-LH=40 unchanged'!C206)/100)+103/POWER(1+('CurrentPor-LH=40 unchanged'!D206)/100,2))*100</f>
        <v>9707.5857774288397</v>
      </c>
      <c r="C206">
        <f>(3/(1+('CurrentPor-LH=40 unchanged'!C206+'CurrentPor-LH=40 unchanged'!G206)/100)+103/POWER(1+('CurrentPor-LH=40 unchanged'!D206+'CurrentPor-LH=40 unchanged'!G206)/100,2))*100</f>
        <v>9614.9673582483465</v>
      </c>
      <c r="D206">
        <f>(3/(1+('CurrentPor-LH=40 unchanged'!C206+'CurrentPor-LH=40 unchanged'!H206)/100)+103/POWER(1+('CurrentPor-LH=40 unchanged'!D206+'CurrentPor-LH=40 unchanged'!H206)/100,2))*100</f>
        <v>9601.2395558122898</v>
      </c>
      <c r="E206">
        <f>(3/(1+('CurrentPor-LH=40 unchanged'!C206+'CurrentPor-LH=40 unchanged'!I206)/100)+103/POWER(1+('CurrentPor-LH=40 unchanged'!D206+'CurrentPor-LH=40 unchanged'!I206)/100,2))*100</f>
        <v>9574.3661645693555</v>
      </c>
      <c r="F206">
        <f>Portfolio!B$5*'CurrentPor-LH=40 unchanged'!E206</f>
        <v>52143.895533915893</v>
      </c>
      <c r="G206">
        <f>Portfolio!B$6*'CurrentPor-LH=40 unchanged'!F206</f>
        <v>3696.2945087936532</v>
      </c>
      <c r="H206">
        <f>Portfolio!B$7*'CurrentPor-LH=40 unchanged'!J206</f>
        <v>2148.0998964419859</v>
      </c>
      <c r="I206">
        <f t="shared" si="6"/>
        <v>96486.448795210366</v>
      </c>
      <c r="J206">
        <f t="shared" ref="J206:J263" si="7">I206-I196</f>
        <v>-19.146103487291839</v>
      </c>
    </row>
    <row r="207" spans="1:10">
      <c r="A207" s="1">
        <v>45758</v>
      </c>
      <c r="B207">
        <f>(3/(1+('CurrentPor-LH=40 unchanged'!C207)/100)+103/POWER(1+('CurrentPor-LH=40 unchanged'!D207)/100,2))*100</f>
        <v>9707.5857774288397</v>
      </c>
      <c r="C207">
        <f>(3/(1+('CurrentPor-LH=40 unchanged'!C207+'CurrentPor-LH=40 unchanged'!G207)/100)+103/POWER(1+('CurrentPor-LH=40 unchanged'!D207+'CurrentPor-LH=40 unchanged'!G207)/100,2))*100</f>
        <v>9614.9673582483465</v>
      </c>
      <c r="D207">
        <f>(3/(1+('CurrentPor-LH=40 unchanged'!C207+'CurrentPor-LH=40 unchanged'!H207)/100)+103/POWER(1+('CurrentPor-LH=40 unchanged'!D207+'CurrentPor-LH=40 unchanged'!H207)/100,2))*100</f>
        <v>9601.2395558122898</v>
      </c>
      <c r="E207">
        <f>(3/(1+('CurrentPor-LH=40 unchanged'!C207+'CurrentPor-LH=40 unchanged'!I207)/100)+103/POWER(1+('CurrentPor-LH=40 unchanged'!D207+'CurrentPor-LH=40 unchanged'!I207)/100,2))*100</f>
        <v>9580.8463983977254</v>
      </c>
      <c r="F207">
        <f>Portfolio!B$5*'CurrentPor-LH=40 unchanged'!E207</f>
        <v>52143.895533915893</v>
      </c>
      <c r="G207">
        <f>Portfolio!B$6*'CurrentPor-LH=40 unchanged'!F207</f>
        <v>3696.2945087936532</v>
      </c>
      <c r="H207">
        <f>Portfolio!B$7*'CurrentPor-LH=40 unchanged'!J207</f>
        <v>2148.0998964419859</v>
      </c>
      <c r="I207">
        <f t="shared" si="6"/>
        <v>96492.929029038743</v>
      </c>
      <c r="J207">
        <f t="shared" si="7"/>
        <v>-24.97768155002268</v>
      </c>
    </row>
    <row r="208" spans="1:10">
      <c r="A208" s="1">
        <v>45761</v>
      </c>
      <c r="B208">
        <f>(3/(1+('CurrentPor-LH=40 unchanged'!C208)/100)+103/POWER(1+('CurrentPor-LH=40 unchanged'!D208)/100,2))*100</f>
        <v>9707.5857774288397</v>
      </c>
      <c r="C208">
        <f>(3/(1+('CurrentPor-LH=40 unchanged'!C208+'CurrentPor-LH=40 unchanged'!G208)/100)+103/POWER(1+('CurrentPor-LH=40 unchanged'!D208+'CurrentPor-LH=40 unchanged'!G208)/100,2))*100</f>
        <v>9614.9673582483465</v>
      </c>
      <c r="D208">
        <f>(3/(1+('CurrentPor-LH=40 unchanged'!C208+'CurrentPor-LH=40 unchanged'!H208)/100)+103/POWER(1+('CurrentPor-LH=40 unchanged'!D208+'CurrentPor-LH=40 unchanged'!H208)/100,2))*100</f>
        <v>9601.2395558122898</v>
      </c>
      <c r="E208">
        <f>(3/(1+('CurrentPor-LH=40 unchanged'!C208+'CurrentPor-LH=40 unchanged'!I208)/100)+103/POWER(1+('CurrentPor-LH=40 unchanged'!D208+'CurrentPor-LH=40 unchanged'!I208)/100,2))*100</f>
        <v>9560.0837518491226</v>
      </c>
      <c r="F208">
        <f>Portfolio!B$5*'CurrentPor-LH=40 unchanged'!E208</f>
        <v>52143.895533915893</v>
      </c>
      <c r="G208">
        <f>Portfolio!B$6*'CurrentPor-LH=40 unchanged'!F208</f>
        <v>3696.2945087936532</v>
      </c>
      <c r="H208">
        <f>Portfolio!B$7*'CurrentPor-LH=40 unchanged'!J208</f>
        <v>2148.0998964419859</v>
      </c>
      <c r="I208">
        <f t="shared" si="6"/>
        <v>96472.166382490133</v>
      </c>
      <c r="J208">
        <f t="shared" si="7"/>
        <v>-14.155765775285545</v>
      </c>
    </row>
    <row r="209" spans="1:10">
      <c r="A209" s="1">
        <v>45762</v>
      </c>
      <c r="B209">
        <f>(3/(1+('CurrentPor-LH=40 unchanged'!C209)/100)+103/POWER(1+('CurrentPor-LH=40 unchanged'!D209)/100,2))*100</f>
        <v>9707.5857774288397</v>
      </c>
      <c r="C209">
        <f>(3/(1+('CurrentPor-LH=40 unchanged'!C209+'CurrentPor-LH=40 unchanged'!G209)/100)+103/POWER(1+('CurrentPor-LH=40 unchanged'!D209+'CurrentPor-LH=40 unchanged'!G209)/100,2))*100</f>
        <v>9614.9673582483465</v>
      </c>
      <c r="D209">
        <f>(3/(1+('CurrentPor-LH=40 unchanged'!C209+'CurrentPor-LH=40 unchanged'!H209)/100)+103/POWER(1+('CurrentPor-LH=40 unchanged'!D209+'CurrentPor-LH=40 unchanged'!H209)/100,2))*100</f>
        <v>9601.2395558122898</v>
      </c>
      <c r="E209">
        <f>(3/(1+('CurrentPor-LH=40 unchanged'!C209+'CurrentPor-LH=40 unchanged'!I209)/100)+103/POWER(1+('CurrentPor-LH=40 unchanged'!D209+'CurrentPor-LH=40 unchanged'!I209)/100,2))*100</f>
        <v>9580.2486579575962</v>
      </c>
      <c r="F209">
        <f>Portfolio!B$5*'CurrentPor-LH=40 unchanged'!E209</f>
        <v>52143.895533915893</v>
      </c>
      <c r="G209">
        <f>Portfolio!B$6*'CurrentPor-LH=40 unchanged'!F209</f>
        <v>3696.2945087936532</v>
      </c>
      <c r="H209">
        <f>Portfolio!B$7*'CurrentPor-LH=40 unchanged'!J209</f>
        <v>2148.0998964419859</v>
      </c>
      <c r="I209">
        <f t="shared" si="6"/>
        <v>96492.331288598609</v>
      </c>
      <c r="J209">
        <f t="shared" si="7"/>
        <v>-24.08032061738777</v>
      </c>
    </row>
    <row r="210" spans="1:10">
      <c r="A210" s="1">
        <v>45763</v>
      </c>
      <c r="B210">
        <f>(3/(1+('CurrentPor-LH=40 unchanged'!C210)/100)+103/POWER(1+('CurrentPor-LH=40 unchanged'!D210)/100,2))*100</f>
        <v>9707.5857774288397</v>
      </c>
      <c r="C210">
        <f>(3/(1+('CurrentPor-LH=40 unchanged'!C210+'CurrentPor-LH=40 unchanged'!G210)/100)+103/POWER(1+('CurrentPor-LH=40 unchanged'!D210+'CurrentPor-LH=40 unchanged'!G210)/100,2))*100</f>
        <v>9614.9673582483465</v>
      </c>
      <c r="D210">
        <f>(3/(1+('CurrentPor-LH=40 unchanged'!C210+'CurrentPor-LH=40 unchanged'!H210)/100)+103/POWER(1+('CurrentPor-LH=40 unchanged'!D210+'CurrentPor-LH=40 unchanged'!H210)/100,2))*100</f>
        <v>9601.2395558122898</v>
      </c>
      <c r="E210">
        <f>(3/(1+('CurrentPor-LH=40 unchanged'!C210+'CurrentPor-LH=40 unchanged'!I210)/100)+103/POWER(1+('CurrentPor-LH=40 unchanged'!D210+'CurrentPor-LH=40 unchanged'!I210)/100,2))*100</f>
        <v>9582.5568860344702</v>
      </c>
      <c r="F210">
        <f>Portfolio!B$5*'CurrentPor-LH=40 unchanged'!E210</f>
        <v>52143.895533915893</v>
      </c>
      <c r="G210">
        <f>Portfolio!B$6*'CurrentPor-LH=40 unchanged'!F210</f>
        <v>3696.2945087936532</v>
      </c>
      <c r="H210">
        <f>Portfolio!B$7*'CurrentPor-LH=40 unchanged'!J210</f>
        <v>2148.0998964419859</v>
      </c>
      <c r="I210">
        <f t="shared" si="6"/>
        <v>96494.639516675481</v>
      </c>
      <c r="J210">
        <f t="shared" si="7"/>
        <v>-1.4628268988453783</v>
      </c>
    </row>
    <row r="211" spans="1:10">
      <c r="A211" s="1">
        <v>45764</v>
      </c>
      <c r="B211">
        <f>(3/(1+('CurrentPor-LH=40 unchanged'!C211)/100)+103/POWER(1+('CurrentPor-LH=40 unchanged'!D211)/100,2))*100</f>
        <v>9707.5857774288397</v>
      </c>
      <c r="C211">
        <f>(3/(1+('CurrentPor-LH=40 unchanged'!C211+'CurrentPor-LH=40 unchanged'!G211)/100)+103/POWER(1+('CurrentPor-LH=40 unchanged'!D211+'CurrentPor-LH=40 unchanged'!G211)/100,2))*100</f>
        <v>9614.9673582483465</v>
      </c>
      <c r="D211">
        <f>(3/(1+('CurrentPor-LH=40 unchanged'!C211+'CurrentPor-LH=40 unchanged'!H211)/100)+103/POWER(1+('CurrentPor-LH=40 unchanged'!D211+'CurrentPor-LH=40 unchanged'!H211)/100,2))*100</f>
        <v>9601.2395558122898</v>
      </c>
      <c r="E211">
        <f>(3/(1+('CurrentPor-LH=40 unchanged'!C211+'CurrentPor-LH=40 unchanged'!I211)/100)+103/POWER(1+('CurrentPor-LH=40 unchanged'!D211+'CurrentPor-LH=40 unchanged'!I211)/100,2))*100</f>
        <v>9588.2605122606528</v>
      </c>
      <c r="F211">
        <f>Portfolio!B$5*'CurrentPor-LH=40 unchanged'!E211</f>
        <v>52143.895533915893</v>
      </c>
      <c r="G211">
        <f>Portfolio!B$6*'CurrentPor-LH=40 unchanged'!F211</f>
        <v>3696.2945087936532</v>
      </c>
      <c r="H211">
        <f>Portfolio!B$7*'CurrentPor-LH=40 unchanged'!J211</f>
        <v>2148.0998964419859</v>
      </c>
      <c r="I211">
        <f t="shared" si="6"/>
        <v>96500.343142901664</v>
      </c>
      <c r="J211">
        <f t="shared" si="7"/>
        <v>-8.0221798140846658</v>
      </c>
    </row>
    <row r="212" spans="1:10">
      <c r="A212" s="1">
        <v>45765</v>
      </c>
      <c r="B212">
        <f>(3/(1+('CurrentPor-LH=40 unchanged'!C212)/100)+103/POWER(1+('CurrentPor-LH=40 unchanged'!D212)/100,2))*100</f>
        <v>9707.5857774288397</v>
      </c>
      <c r="C212">
        <f>(3/(1+('CurrentPor-LH=40 unchanged'!C212+'CurrentPor-LH=40 unchanged'!G212)/100)+103/POWER(1+('CurrentPor-LH=40 unchanged'!D212+'CurrentPor-LH=40 unchanged'!G212)/100,2))*100</f>
        <v>9614.9673582483465</v>
      </c>
      <c r="D212">
        <f>(3/(1+('CurrentPor-LH=40 unchanged'!C212+'CurrentPor-LH=40 unchanged'!H212)/100)+103/POWER(1+('CurrentPor-LH=40 unchanged'!D212+'CurrentPor-LH=40 unchanged'!H212)/100,2))*100</f>
        <v>9601.2395558122898</v>
      </c>
      <c r="E212">
        <f>(3/(1+('CurrentPor-LH=40 unchanged'!C212+'CurrentPor-LH=40 unchanged'!I212)/100)+103/POWER(1+('CurrentPor-LH=40 unchanged'!D212+'CurrentPor-LH=40 unchanged'!I212)/100,2))*100</f>
        <v>9588.9558904481692</v>
      </c>
      <c r="F212">
        <f>Portfolio!B$5*'CurrentPor-LH=40 unchanged'!E212</f>
        <v>52143.895533915893</v>
      </c>
      <c r="G212">
        <f>Portfolio!B$6*'CurrentPor-LH=40 unchanged'!F212</f>
        <v>3696.2945087936532</v>
      </c>
      <c r="H212">
        <f>Portfolio!B$7*'CurrentPor-LH=40 unchanged'!J212</f>
        <v>2148.0998964419859</v>
      </c>
      <c r="I212">
        <f t="shared" si="6"/>
        <v>96501.038521089169</v>
      </c>
      <c r="J212">
        <f t="shared" si="7"/>
        <v>22.658669745287625</v>
      </c>
    </row>
    <row r="213" spans="1:10">
      <c r="A213" s="1">
        <v>45768</v>
      </c>
      <c r="B213">
        <f>(3/(1+('CurrentPor-LH=40 unchanged'!C213)/100)+103/POWER(1+('CurrentPor-LH=40 unchanged'!D213)/100,2))*100</f>
        <v>9707.5857774288397</v>
      </c>
      <c r="C213">
        <f>(3/(1+('CurrentPor-LH=40 unchanged'!C213+'CurrentPor-LH=40 unchanged'!G213)/100)+103/POWER(1+('CurrentPor-LH=40 unchanged'!D213+'CurrentPor-LH=40 unchanged'!G213)/100,2))*100</f>
        <v>9614.9673582483465</v>
      </c>
      <c r="D213">
        <f>(3/(1+('CurrentPor-LH=40 unchanged'!C213+'CurrentPor-LH=40 unchanged'!H213)/100)+103/POWER(1+('CurrentPor-LH=40 unchanged'!D213+'CurrentPor-LH=40 unchanged'!H213)/100,2))*100</f>
        <v>9601.2395558122898</v>
      </c>
      <c r="E213">
        <f>(3/(1+('CurrentPor-LH=40 unchanged'!C213+'CurrentPor-LH=40 unchanged'!I213)/100)+103/POWER(1+('CurrentPor-LH=40 unchanged'!D213+'CurrentPor-LH=40 unchanged'!I213)/100,2))*100</f>
        <v>9598.4157720027233</v>
      </c>
      <c r="F213">
        <f>Portfolio!B$5*'CurrentPor-LH=40 unchanged'!E213</f>
        <v>52143.895533915893</v>
      </c>
      <c r="G213">
        <f>Portfolio!B$6*'CurrentPor-LH=40 unchanged'!F213</f>
        <v>3696.2945087936532</v>
      </c>
      <c r="H213">
        <f>Portfolio!B$7*'CurrentPor-LH=40 unchanged'!J213</f>
        <v>2148.0998964419859</v>
      </c>
      <c r="I213">
        <f t="shared" si="6"/>
        <v>96510.498402643731</v>
      </c>
      <c r="J213">
        <f t="shared" si="7"/>
        <v>15.095818947593216</v>
      </c>
    </row>
    <row r="214" spans="1:10">
      <c r="A214" s="1">
        <v>45769</v>
      </c>
      <c r="B214">
        <f>(3/(1+('CurrentPor-LH=40 unchanged'!C214)/100)+103/POWER(1+('CurrentPor-LH=40 unchanged'!D214)/100,2))*100</f>
        <v>9707.5857774288397</v>
      </c>
      <c r="C214">
        <f>(3/(1+('CurrentPor-LH=40 unchanged'!C214+'CurrentPor-LH=40 unchanged'!G214)/100)+103/POWER(1+('CurrentPor-LH=40 unchanged'!D214+'CurrentPor-LH=40 unchanged'!G214)/100,2))*100</f>
        <v>9614.9673582483465</v>
      </c>
      <c r="D214">
        <f>(3/(1+('CurrentPor-LH=40 unchanged'!C214+'CurrentPor-LH=40 unchanged'!H214)/100)+103/POWER(1+('CurrentPor-LH=40 unchanged'!D214+'CurrentPor-LH=40 unchanged'!H214)/100,2))*100</f>
        <v>9601.2395558122898</v>
      </c>
      <c r="E214">
        <f>(3/(1+('CurrentPor-LH=40 unchanged'!C214+'CurrentPor-LH=40 unchanged'!I214)/100)+103/POWER(1+('CurrentPor-LH=40 unchanged'!D214+'CurrentPor-LH=40 unchanged'!I214)/100,2))*100</f>
        <v>9574.0016744813965</v>
      </c>
      <c r="F214">
        <f>Portfolio!B$5*'CurrentPor-LH=40 unchanged'!E214</f>
        <v>52143.895533915893</v>
      </c>
      <c r="G214">
        <f>Portfolio!B$6*'CurrentPor-LH=40 unchanged'!F214</f>
        <v>3696.2945087936532</v>
      </c>
      <c r="H214">
        <f>Portfolio!B$7*'CurrentPor-LH=40 unchanged'!J214</f>
        <v>2148.0998964419859</v>
      </c>
      <c r="I214">
        <f t="shared" si="6"/>
        <v>96486.084305122407</v>
      </c>
      <c r="J214">
        <f t="shared" si="7"/>
        <v>-15.369526728478377</v>
      </c>
    </row>
    <row r="215" spans="1:10">
      <c r="A215" s="1">
        <v>45770</v>
      </c>
      <c r="B215">
        <f>(3/(1+('CurrentPor-LH=40 unchanged'!C215)/100)+103/POWER(1+('CurrentPor-LH=40 unchanged'!D215)/100,2))*100</f>
        <v>9707.5857774288397</v>
      </c>
      <c r="C215">
        <f>(3/(1+('CurrentPor-LH=40 unchanged'!C215+'CurrentPor-LH=40 unchanged'!G215)/100)+103/POWER(1+('CurrentPor-LH=40 unchanged'!D215+'CurrentPor-LH=40 unchanged'!G215)/100,2))*100</f>
        <v>9614.9673582483465</v>
      </c>
      <c r="D215">
        <f>(3/(1+('CurrentPor-LH=40 unchanged'!C215+'CurrentPor-LH=40 unchanged'!H215)/100)+103/POWER(1+('CurrentPor-LH=40 unchanged'!D215+'CurrentPor-LH=40 unchanged'!H215)/100,2))*100</f>
        <v>9601.2395558122898</v>
      </c>
      <c r="E215">
        <f>(3/(1+('CurrentPor-LH=40 unchanged'!C215+'CurrentPor-LH=40 unchanged'!I215)/100)+103/POWER(1+('CurrentPor-LH=40 unchanged'!D215+'CurrentPor-LH=40 unchanged'!I215)/100,2))*100</f>
        <v>9578.8215550486748</v>
      </c>
      <c r="F215">
        <f>Portfolio!B$5*'CurrentPor-LH=40 unchanged'!E215</f>
        <v>52143.895533915893</v>
      </c>
      <c r="G215">
        <f>Portfolio!B$6*'CurrentPor-LH=40 unchanged'!F215</f>
        <v>3696.2945087936532</v>
      </c>
      <c r="H215">
        <f>Portfolio!B$7*'CurrentPor-LH=40 unchanged'!J215</f>
        <v>2148.0998964419859</v>
      </c>
      <c r="I215">
        <f t="shared" si="6"/>
        <v>96490.90418568968</v>
      </c>
      <c r="J215">
        <f t="shared" si="7"/>
        <v>-15.723443429291365</v>
      </c>
    </row>
    <row r="216" spans="1:10">
      <c r="A216" s="1">
        <v>45771</v>
      </c>
      <c r="B216">
        <f>(3/(1+('CurrentPor-LH=40 unchanged'!C216)/100)+103/POWER(1+('CurrentPor-LH=40 unchanged'!D216)/100,2))*100</f>
        <v>9707.5857774288397</v>
      </c>
      <c r="C216">
        <f>(3/(1+('CurrentPor-LH=40 unchanged'!C216+'CurrentPor-LH=40 unchanged'!G216)/100)+103/POWER(1+('CurrentPor-LH=40 unchanged'!D216+'CurrentPor-LH=40 unchanged'!G216)/100,2))*100</f>
        <v>9614.9673582483465</v>
      </c>
      <c r="D216">
        <f>(3/(1+('CurrentPor-LH=40 unchanged'!C216+'CurrentPor-LH=40 unchanged'!H216)/100)+103/POWER(1+('CurrentPor-LH=40 unchanged'!D216+'CurrentPor-LH=40 unchanged'!H216)/100,2))*100</f>
        <v>9601.2395558122898</v>
      </c>
      <c r="E216">
        <f>(3/(1+('CurrentPor-LH=40 unchanged'!C216+'CurrentPor-LH=40 unchanged'!I216)/100)+103/POWER(1+('CurrentPor-LH=40 unchanged'!D216+'CurrentPor-LH=40 unchanged'!I216)/100,2))*100</f>
        <v>9571.338688744112</v>
      </c>
      <c r="F216">
        <f>Portfolio!B$5*'CurrentPor-LH=40 unchanged'!E216</f>
        <v>52143.895533915893</v>
      </c>
      <c r="G216">
        <f>Portfolio!B$6*'CurrentPor-LH=40 unchanged'!F216</f>
        <v>3696.2945087936532</v>
      </c>
      <c r="H216">
        <f>Portfolio!B$7*'CurrentPor-LH=40 unchanged'!J216</f>
        <v>2148.0998964419859</v>
      </c>
      <c r="I216">
        <f t="shared" si="6"/>
        <v>96483.421319385132</v>
      </c>
      <c r="J216">
        <f t="shared" si="7"/>
        <v>-3.0274758252344327</v>
      </c>
    </row>
    <row r="217" spans="1:10">
      <c r="A217" s="1">
        <v>45772</v>
      </c>
      <c r="B217">
        <f>(3/(1+('CurrentPor-LH=40 unchanged'!C217)/100)+103/POWER(1+('CurrentPor-LH=40 unchanged'!D217)/100,2))*100</f>
        <v>9707.5857774288397</v>
      </c>
      <c r="C217">
        <f>(3/(1+('CurrentPor-LH=40 unchanged'!C217+'CurrentPor-LH=40 unchanged'!G217)/100)+103/POWER(1+('CurrentPor-LH=40 unchanged'!D217+'CurrentPor-LH=40 unchanged'!G217)/100,2))*100</f>
        <v>9614.9673582483465</v>
      </c>
      <c r="D217">
        <f>(3/(1+('CurrentPor-LH=40 unchanged'!C217+'CurrentPor-LH=40 unchanged'!H217)/100)+103/POWER(1+('CurrentPor-LH=40 unchanged'!D217+'CurrentPor-LH=40 unchanged'!H217)/100,2))*100</f>
        <v>9601.2395558122898</v>
      </c>
      <c r="E217">
        <f>(3/(1+('CurrentPor-LH=40 unchanged'!C217+'CurrentPor-LH=40 unchanged'!I217)/100)+103/POWER(1+('CurrentPor-LH=40 unchanged'!D217+'CurrentPor-LH=40 unchanged'!I217)/100,2))*100</f>
        <v>9564.9972332803336</v>
      </c>
      <c r="F217">
        <f>Portfolio!B$5*'CurrentPor-LH=40 unchanged'!E217</f>
        <v>52143.895533915893</v>
      </c>
      <c r="G217">
        <f>Portfolio!B$6*'CurrentPor-LH=40 unchanged'!F217</f>
        <v>3696.2945087936532</v>
      </c>
      <c r="H217">
        <f>Portfolio!B$7*'CurrentPor-LH=40 unchanged'!J217</f>
        <v>2148.0998964419859</v>
      </c>
      <c r="I217">
        <f t="shared" si="6"/>
        <v>96477.079863921346</v>
      </c>
      <c r="J217">
        <f t="shared" si="7"/>
        <v>-15.849165117397206</v>
      </c>
    </row>
    <row r="218" spans="1:10">
      <c r="A218" s="1">
        <v>45775</v>
      </c>
      <c r="B218">
        <f>(3/(1+('CurrentPor-LH=40 unchanged'!C218)/100)+103/POWER(1+('CurrentPor-LH=40 unchanged'!D218)/100,2))*100</f>
        <v>9707.5857774288397</v>
      </c>
      <c r="C218">
        <f>(3/(1+('CurrentPor-LH=40 unchanged'!C218+'CurrentPor-LH=40 unchanged'!G218)/100)+103/POWER(1+('CurrentPor-LH=40 unchanged'!D218+'CurrentPor-LH=40 unchanged'!G218)/100,2))*100</f>
        <v>9614.9673582483465</v>
      </c>
      <c r="D218">
        <f>(3/(1+('CurrentPor-LH=40 unchanged'!C218+'CurrentPor-LH=40 unchanged'!H218)/100)+103/POWER(1+('CurrentPor-LH=40 unchanged'!D218+'CurrentPor-LH=40 unchanged'!H218)/100,2))*100</f>
        <v>9601.2395558122898</v>
      </c>
      <c r="E218">
        <f>(3/(1+('CurrentPor-LH=40 unchanged'!C218+'CurrentPor-LH=40 unchanged'!I218)/100)+103/POWER(1+('CurrentPor-LH=40 unchanged'!D218+'CurrentPor-LH=40 unchanged'!I218)/100,2))*100</f>
        <v>9568.3619975594156</v>
      </c>
      <c r="F218">
        <f>Portfolio!B$5*'CurrentPor-LH=40 unchanged'!E218</f>
        <v>52143.895533915893</v>
      </c>
      <c r="G218">
        <f>Portfolio!B$6*'CurrentPor-LH=40 unchanged'!F218</f>
        <v>3696.2945087936532</v>
      </c>
      <c r="H218">
        <f>Portfolio!B$7*'CurrentPor-LH=40 unchanged'!J218</f>
        <v>2148.0998964419859</v>
      </c>
      <c r="I218">
        <f t="shared" si="6"/>
        <v>96480.444628200421</v>
      </c>
      <c r="J218">
        <f t="shared" si="7"/>
        <v>8.2782457102875924</v>
      </c>
    </row>
    <row r="219" spans="1:10">
      <c r="A219" s="1">
        <v>45776</v>
      </c>
      <c r="B219">
        <f>(3/(1+('CurrentPor-LH=40 unchanged'!C219)/100)+103/POWER(1+('CurrentPor-LH=40 unchanged'!D219)/100,2))*100</f>
        <v>9707.5857774288397</v>
      </c>
      <c r="C219">
        <f>(3/(1+('CurrentPor-LH=40 unchanged'!C219+'CurrentPor-LH=40 unchanged'!G219)/100)+103/POWER(1+('CurrentPor-LH=40 unchanged'!D219+'CurrentPor-LH=40 unchanged'!G219)/100,2))*100</f>
        <v>9614.9673582483465</v>
      </c>
      <c r="D219">
        <f>(3/(1+('CurrentPor-LH=40 unchanged'!C219+'CurrentPor-LH=40 unchanged'!H219)/100)+103/POWER(1+('CurrentPor-LH=40 unchanged'!D219+'CurrentPor-LH=40 unchanged'!H219)/100,2))*100</f>
        <v>9601.2395558122898</v>
      </c>
      <c r="E219">
        <f>(3/(1+('CurrentPor-LH=40 unchanged'!C219+'CurrentPor-LH=40 unchanged'!I219)/100)+103/POWER(1+('CurrentPor-LH=40 unchanged'!D219+'CurrentPor-LH=40 unchanged'!I219)/100,2))*100</f>
        <v>9583.07679334557</v>
      </c>
      <c r="F219">
        <f>Portfolio!B$5*'CurrentPor-LH=40 unchanged'!E219</f>
        <v>52143.895533915893</v>
      </c>
      <c r="G219">
        <f>Portfolio!B$6*'CurrentPor-LH=40 unchanged'!F219</f>
        <v>3696.2945087936532</v>
      </c>
      <c r="H219">
        <f>Portfolio!B$7*'CurrentPor-LH=40 unchanged'!J219</f>
        <v>2148.0998964419859</v>
      </c>
      <c r="I219">
        <f t="shared" si="6"/>
        <v>96495.159423986581</v>
      </c>
      <c r="J219">
        <f t="shared" si="7"/>
        <v>2.8281353879719973</v>
      </c>
    </row>
    <row r="220" spans="1:10">
      <c r="A220" s="1">
        <v>45777</v>
      </c>
      <c r="B220">
        <f>(3/(1+('CurrentPor-LH=40 unchanged'!C220)/100)+103/POWER(1+('CurrentPor-LH=40 unchanged'!D220)/100,2))*100</f>
        <v>9707.5857774288397</v>
      </c>
      <c r="C220">
        <f>(3/(1+('CurrentPor-LH=40 unchanged'!C220+'CurrentPor-LH=40 unchanged'!G220)/100)+103/POWER(1+('CurrentPor-LH=40 unchanged'!D220+'CurrentPor-LH=40 unchanged'!G220)/100,2))*100</f>
        <v>9614.9673582483465</v>
      </c>
      <c r="D220">
        <f>(3/(1+('CurrentPor-LH=40 unchanged'!C220+'CurrentPor-LH=40 unchanged'!H220)/100)+103/POWER(1+('CurrentPor-LH=40 unchanged'!D220+'CurrentPor-LH=40 unchanged'!H220)/100,2))*100</f>
        <v>9601.2395558122898</v>
      </c>
      <c r="E220">
        <f>(3/(1+('CurrentPor-LH=40 unchanged'!C220+'CurrentPor-LH=40 unchanged'!I220)/100)+103/POWER(1+('CurrentPor-LH=40 unchanged'!D220+'CurrentPor-LH=40 unchanged'!I220)/100,2))*100</f>
        <v>9589.0555331349078</v>
      </c>
      <c r="F220">
        <f>Portfolio!B$5*'CurrentPor-LH=40 unchanged'!E220</f>
        <v>52143.895533915893</v>
      </c>
      <c r="G220">
        <f>Portfolio!B$6*'CurrentPor-LH=40 unchanged'!F220</f>
        <v>3696.2945087936532</v>
      </c>
      <c r="H220">
        <f>Portfolio!B$7*'CurrentPor-LH=40 unchanged'!J220</f>
        <v>2148.0998964419859</v>
      </c>
      <c r="I220">
        <f t="shared" si="6"/>
        <v>96501.138163775919</v>
      </c>
      <c r="J220">
        <f t="shared" si="7"/>
        <v>6.4986471004376654</v>
      </c>
    </row>
    <row r="221" spans="1:10">
      <c r="A221" s="1">
        <v>45778</v>
      </c>
      <c r="B221">
        <f>(3/(1+('CurrentPor-LH=40 unchanged'!C221)/100)+103/POWER(1+('CurrentPor-LH=40 unchanged'!D221)/100,2))*100</f>
        <v>9707.5857774288397</v>
      </c>
      <c r="C221">
        <f>(3/(1+('CurrentPor-LH=40 unchanged'!C221+'CurrentPor-LH=40 unchanged'!G221)/100)+103/POWER(1+('CurrentPor-LH=40 unchanged'!D221+'CurrentPor-LH=40 unchanged'!G221)/100,2))*100</f>
        <v>9614.9673582483465</v>
      </c>
      <c r="D221">
        <f>(3/(1+('CurrentPor-LH=40 unchanged'!C221+'CurrentPor-LH=40 unchanged'!H221)/100)+103/POWER(1+('CurrentPor-LH=40 unchanged'!D221+'CurrentPor-LH=40 unchanged'!H221)/100,2))*100</f>
        <v>9601.2395558122898</v>
      </c>
      <c r="E221">
        <f>(3/(1+('CurrentPor-LH=40 unchanged'!C221+'CurrentPor-LH=40 unchanged'!I221)/100)+103/POWER(1+('CurrentPor-LH=40 unchanged'!D221+'CurrentPor-LH=40 unchanged'!I221)/100,2))*100</f>
        <v>9602.1762351557063</v>
      </c>
      <c r="F221">
        <f>Portfolio!B$5*'CurrentPor-LH=40 unchanged'!E221</f>
        <v>52143.895533915893</v>
      </c>
      <c r="G221">
        <f>Portfolio!B$6*'CurrentPor-LH=40 unchanged'!F221</f>
        <v>3696.2945087936532</v>
      </c>
      <c r="H221">
        <f>Portfolio!B$7*'CurrentPor-LH=40 unchanged'!J221</f>
        <v>2148.0998964419859</v>
      </c>
      <c r="I221">
        <f t="shared" si="6"/>
        <v>96514.258865796714</v>
      </c>
      <c r="J221">
        <f t="shared" si="7"/>
        <v>13.915722895049839</v>
      </c>
    </row>
    <row r="222" spans="1:10">
      <c r="A222" s="1">
        <v>45779</v>
      </c>
      <c r="B222">
        <f>(3/(1+('CurrentPor-LH=40 unchanged'!C222)/100)+103/POWER(1+('CurrentPor-LH=40 unchanged'!D222)/100,2))*100</f>
        <v>9707.5857774288397</v>
      </c>
      <c r="C222">
        <f>(3/(1+('CurrentPor-LH=40 unchanged'!C222+'CurrentPor-LH=40 unchanged'!G222)/100)+103/POWER(1+('CurrentPor-LH=40 unchanged'!D222+'CurrentPor-LH=40 unchanged'!G222)/100,2))*100</f>
        <v>9614.9673582483465</v>
      </c>
      <c r="D222">
        <f>(3/(1+('CurrentPor-LH=40 unchanged'!C222+'CurrentPor-LH=40 unchanged'!H222)/100)+103/POWER(1+('CurrentPor-LH=40 unchanged'!D222+'CurrentPor-LH=40 unchanged'!H222)/100,2))*100</f>
        <v>9601.2395558122898</v>
      </c>
      <c r="E222">
        <f>(3/(1+('CurrentPor-LH=40 unchanged'!C222+'CurrentPor-LH=40 unchanged'!I222)/100)+103/POWER(1+('CurrentPor-LH=40 unchanged'!D222+'CurrentPor-LH=40 unchanged'!I222)/100,2))*100</f>
        <v>9579.9676664463095</v>
      </c>
      <c r="F222">
        <f>Portfolio!B$5*'CurrentPor-LH=40 unchanged'!E222</f>
        <v>52143.895533915893</v>
      </c>
      <c r="G222">
        <f>Portfolio!B$6*'CurrentPor-LH=40 unchanged'!F222</f>
        <v>3696.2945087936532</v>
      </c>
      <c r="H222">
        <f>Portfolio!B$7*'CurrentPor-LH=40 unchanged'!J222</f>
        <v>2148.0998964419859</v>
      </c>
      <c r="I222">
        <f t="shared" si="6"/>
        <v>96492.05029708732</v>
      </c>
      <c r="J222">
        <f t="shared" si="7"/>
        <v>-8.9882240018487209</v>
      </c>
    </row>
    <row r="223" spans="1:10">
      <c r="A223" s="1">
        <v>45782</v>
      </c>
      <c r="B223">
        <f>(3/(1+('CurrentPor-LH=40 unchanged'!C223)/100)+103/POWER(1+('CurrentPor-LH=40 unchanged'!D223)/100,2))*100</f>
        <v>9707.5857774288397</v>
      </c>
      <c r="C223">
        <f>(3/(1+('CurrentPor-LH=40 unchanged'!C223+'CurrentPor-LH=40 unchanged'!G223)/100)+103/POWER(1+('CurrentPor-LH=40 unchanged'!D223+'CurrentPor-LH=40 unchanged'!G223)/100,2))*100</f>
        <v>9614.9673582483465</v>
      </c>
      <c r="D223">
        <f>(3/(1+('CurrentPor-LH=40 unchanged'!C223+'CurrentPor-LH=40 unchanged'!H223)/100)+103/POWER(1+('CurrentPor-LH=40 unchanged'!D223+'CurrentPor-LH=40 unchanged'!H223)/100,2))*100</f>
        <v>9601.2395558122898</v>
      </c>
      <c r="E223">
        <f>(3/(1+('CurrentPor-LH=40 unchanged'!C223+'CurrentPor-LH=40 unchanged'!I223)/100)+103/POWER(1+('CurrentPor-LH=40 unchanged'!D223+'CurrentPor-LH=40 unchanged'!I223)/100,2))*100</f>
        <v>9580.1346776542978</v>
      </c>
      <c r="F223">
        <f>Portfolio!B$5*'CurrentPor-LH=40 unchanged'!E223</f>
        <v>52143.895533915893</v>
      </c>
      <c r="G223">
        <f>Portfolio!B$6*'CurrentPor-LH=40 unchanged'!F223</f>
        <v>3696.2945087936532</v>
      </c>
      <c r="H223">
        <f>Portfolio!B$7*'CurrentPor-LH=40 unchanged'!J223</f>
        <v>2148.0998964419859</v>
      </c>
      <c r="I223">
        <f t="shared" si="6"/>
        <v>96492.217308295309</v>
      </c>
      <c r="J223">
        <f t="shared" si="7"/>
        <v>-18.281094348421902</v>
      </c>
    </row>
    <row r="224" spans="1:10">
      <c r="A224" s="1">
        <v>45783</v>
      </c>
      <c r="B224">
        <f>(3/(1+('CurrentPor-LH=40 unchanged'!C224)/100)+103/POWER(1+('CurrentPor-LH=40 unchanged'!D224)/100,2))*100</f>
        <v>9707.5857774288397</v>
      </c>
      <c r="C224">
        <f>(3/(1+('CurrentPor-LH=40 unchanged'!C224+'CurrentPor-LH=40 unchanged'!G224)/100)+103/POWER(1+('CurrentPor-LH=40 unchanged'!D224+'CurrentPor-LH=40 unchanged'!G224)/100,2))*100</f>
        <v>9614.9673582483465</v>
      </c>
      <c r="D224">
        <f>(3/(1+('CurrentPor-LH=40 unchanged'!C224+'CurrentPor-LH=40 unchanged'!H224)/100)+103/POWER(1+('CurrentPor-LH=40 unchanged'!D224+'CurrentPor-LH=40 unchanged'!H224)/100,2))*100</f>
        <v>9601.2395558122898</v>
      </c>
      <c r="E224">
        <f>(3/(1+('CurrentPor-LH=40 unchanged'!C224+'CurrentPor-LH=40 unchanged'!I224)/100)+103/POWER(1+('CurrentPor-LH=40 unchanged'!D224+'CurrentPor-LH=40 unchanged'!I224)/100,2))*100</f>
        <v>9575.7117053808579</v>
      </c>
      <c r="F224">
        <f>Portfolio!B$5*'CurrentPor-LH=40 unchanged'!E224</f>
        <v>52143.895533915893</v>
      </c>
      <c r="G224">
        <f>Portfolio!B$6*'CurrentPor-LH=40 unchanged'!F224</f>
        <v>3696.2945087936532</v>
      </c>
      <c r="H224">
        <f>Portfolio!B$7*'CurrentPor-LH=40 unchanged'!J224</f>
        <v>2148.0998964419859</v>
      </c>
      <c r="I224">
        <f t="shared" si="6"/>
        <v>96487.794336021863</v>
      </c>
      <c r="J224">
        <f t="shared" si="7"/>
        <v>1.7100308994558873</v>
      </c>
    </row>
    <row r="225" spans="1:10">
      <c r="A225" s="1">
        <v>45784</v>
      </c>
      <c r="B225">
        <f>(3/(1+('CurrentPor-LH=40 unchanged'!C225)/100)+103/POWER(1+('CurrentPor-LH=40 unchanged'!D225)/100,2))*100</f>
        <v>9707.5857774288397</v>
      </c>
      <c r="C225">
        <f>(3/(1+('CurrentPor-LH=40 unchanged'!C225+'CurrentPor-LH=40 unchanged'!G225)/100)+103/POWER(1+('CurrentPor-LH=40 unchanged'!D225+'CurrentPor-LH=40 unchanged'!G225)/100,2))*100</f>
        <v>9614.9673582483465</v>
      </c>
      <c r="D225">
        <f>(3/(1+('CurrentPor-LH=40 unchanged'!C225+'CurrentPor-LH=40 unchanged'!H225)/100)+103/POWER(1+('CurrentPor-LH=40 unchanged'!D225+'CurrentPor-LH=40 unchanged'!H225)/100,2))*100</f>
        <v>9601.2395558122898</v>
      </c>
      <c r="E225">
        <f>(3/(1+('CurrentPor-LH=40 unchanged'!C225+'CurrentPor-LH=40 unchanged'!I225)/100)+103/POWER(1+('CurrentPor-LH=40 unchanged'!D225+'CurrentPor-LH=40 unchanged'!I225)/100,2))*100</f>
        <v>9586.7872422010187</v>
      </c>
      <c r="F225">
        <f>Portfolio!B$5*'CurrentPor-LH=40 unchanged'!E225</f>
        <v>52143.895533915893</v>
      </c>
      <c r="G225">
        <f>Portfolio!B$6*'CurrentPor-LH=40 unchanged'!F225</f>
        <v>3696.2945087936532</v>
      </c>
      <c r="H225">
        <f>Portfolio!B$7*'CurrentPor-LH=40 unchanged'!J225</f>
        <v>2148.0998964419859</v>
      </c>
      <c r="I225">
        <f t="shared" si="6"/>
        <v>96498.869872842028</v>
      </c>
      <c r="J225">
        <f t="shared" si="7"/>
        <v>7.9656871523475274</v>
      </c>
    </row>
    <row r="226" spans="1:10">
      <c r="A226" s="1">
        <v>45785</v>
      </c>
      <c r="B226">
        <f>(3/(1+('CurrentPor-LH=40 unchanged'!C226)/100)+103/POWER(1+('CurrentPor-LH=40 unchanged'!D226)/100,2))*100</f>
        <v>9707.5857774288397</v>
      </c>
      <c r="C226">
        <f>(3/(1+('CurrentPor-LH=40 unchanged'!C226+'CurrentPor-LH=40 unchanged'!G226)/100)+103/POWER(1+('CurrentPor-LH=40 unchanged'!D226+'CurrentPor-LH=40 unchanged'!G226)/100,2))*100</f>
        <v>9614.9673582483465</v>
      </c>
      <c r="D226">
        <f>(3/(1+('CurrentPor-LH=40 unchanged'!C226+'CurrentPor-LH=40 unchanged'!H226)/100)+103/POWER(1+('CurrentPor-LH=40 unchanged'!D226+'CurrentPor-LH=40 unchanged'!H226)/100,2))*100</f>
        <v>9601.2395558122898</v>
      </c>
      <c r="E226">
        <f>(3/(1+('CurrentPor-LH=40 unchanged'!C226+'CurrentPor-LH=40 unchanged'!I226)/100)+103/POWER(1+('CurrentPor-LH=40 unchanged'!D226+'CurrentPor-LH=40 unchanged'!I226)/100,2))*100</f>
        <v>9589.0739632985569</v>
      </c>
      <c r="F226">
        <f>Portfolio!B$5*'CurrentPor-LH=40 unchanged'!E226</f>
        <v>52143.895533915893</v>
      </c>
      <c r="G226">
        <f>Portfolio!B$6*'CurrentPor-LH=40 unchanged'!F226</f>
        <v>3696.2945087936532</v>
      </c>
      <c r="H226">
        <f>Portfolio!B$7*'CurrentPor-LH=40 unchanged'!J226</f>
        <v>2148.0998964419859</v>
      </c>
      <c r="I226">
        <f t="shared" si="6"/>
        <v>96501.156593939566</v>
      </c>
      <c r="J226">
        <f t="shared" si="7"/>
        <v>17.735274554434</v>
      </c>
    </row>
    <row r="227" spans="1:10">
      <c r="A227" s="1">
        <v>45786</v>
      </c>
      <c r="B227">
        <f>(3/(1+('CurrentPor-LH=40 unchanged'!C227)/100)+103/POWER(1+('CurrentPor-LH=40 unchanged'!D227)/100,2))*100</f>
        <v>9707.5857774288397</v>
      </c>
      <c r="C227">
        <f>(3/(1+('CurrentPor-LH=40 unchanged'!C227+'CurrentPor-LH=40 unchanged'!G227)/100)+103/POWER(1+('CurrentPor-LH=40 unchanged'!D227+'CurrentPor-LH=40 unchanged'!G227)/100,2))*100</f>
        <v>9614.9673582483465</v>
      </c>
      <c r="D227">
        <f>(3/(1+('CurrentPor-LH=40 unchanged'!C227+'CurrentPor-LH=40 unchanged'!H227)/100)+103/POWER(1+('CurrentPor-LH=40 unchanged'!D227+'CurrentPor-LH=40 unchanged'!H227)/100,2))*100</f>
        <v>9601.2395558122898</v>
      </c>
      <c r="E227">
        <f>(3/(1+('CurrentPor-LH=40 unchanged'!C227+'CurrentPor-LH=40 unchanged'!I227)/100)+103/POWER(1+('CurrentPor-LH=40 unchanged'!D227+'CurrentPor-LH=40 unchanged'!I227)/100,2))*100</f>
        <v>9592.5744248146493</v>
      </c>
      <c r="F227">
        <f>Portfolio!B$5*'CurrentPor-LH=40 unchanged'!E227</f>
        <v>52143.895533915893</v>
      </c>
      <c r="G227">
        <f>Portfolio!B$6*'CurrentPor-LH=40 unchanged'!F227</f>
        <v>3696.2945087936532</v>
      </c>
      <c r="H227">
        <f>Portfolio!B$7*'CurrentPor-LH=40 unchanged'!J227</f>
        <v>2148.0998964419859</v>
      </c>
      <c r="I227">
        <f t="shared" si="6"/>
        <v>96504.657055455653</v>
      </c>
      <c r="J227">
        <f t="shared" si="7"/>
        <v>27.577191534306621</v>
      </c>
    </row>
    <row r="228" spans="1:10">
      <c r="A228" s="1">
        <v>45789</v>
      </c>
      <c r="B228">
        <f>(3/(1+('CurrentPor-LH=40 unchanged'!C228)/100)+103/POWER(1+('CurrentPor-LH=40 unchanged'!D228)/100,2))*100</f>
        <v>9707.5857774288397</v>
      </c>
      <c r="C228">
        <f>(3/(1+('CurrentPor-LH=40 unchanged'!C228+'CurrentPor-LH=40 unchanged'!G228)/100)+103/POWER(1+('CurrentPor-LH=40 unchanged'!D228+'CurrentPor-LH=40 unchanged'!G228)/100,2))*100</f>
        <v>9614.9673582483465</v>
      </c>
      <c r="D228">
        <f>(3/(1+('CurrentPor-LH=40 unchanged'!C228+'CurrentPor-LH=40 unchanged'!H228)/100)+103/POWER(1+('CurrentPor-LH=40 unchanged'!D228+'CurrentPor-LH=40 unchanged'!H228)/100,2))*100</f>
        <v>9601.2395558122898</v>
      </c>
      <c r="E228">
        <f>(3/(1+('CurrentPor-LH=40 unchanged'!C228+'CurrentPor-LH=40 unchanged'!I228)/100)+103/POWER(1+('CurrentPor-LH=40 unchanged'!D228+'CurrentPor-LH=40 unchanged'!I228)/100,2))*100</f>
        <v>9608.1366977708349</v>
      </c>
      <c r="F228">
        <f>Portfolio!B$5*'CurrentPor-LH=40 unchanged'!E228</f>
        <v>52143.895533915893</v>
      </c>
      <c r="G228">
        <f>Portfolio!B$6*'CurrentPor-LH=40 unchanged'!F228</f>
        <v>3696.2945087936532</v>
      </c>
      <c r="H228">
        <f>Portfolio!B$7*'CurrentPor-LH=40 unchanged'!J228</f>
        <v>2148.0998964419859</v>
      </c>
      <c r="I228">
        <f t="shared" si="6"/>
        <v>96520.21932841184</v>
      </c>
      <c r="J228">
        <f t="shared" si="7"/>
        <v>39.774700211419258</v>
      </c>
    </row>
    <row r="229" spans="1:10">
      <c r="A229" s="1">
        <v>45790</v>
      </c>
      <c r="B229">
        <f>(3/(1+('CurrentPor-LH=40 unchanged'!C229)/100)+103/POWER(1+('CurrentPor-LH=40 unchanged'!D229)/100,2))*100</f>
        <v>9707.5857774288397</v>
      </c>
      <c r="C229">
        <f>(3/(1+('CurrentPor-LH=40 unchanged'!C229+'CurrentPor-LH=40 unchanged'!G229)/100)+103/POWER(1+('CurrentPor-LH=40 unchanged'!D229+'CurrentPor-LH=40 unchanged'!G229)/100,2))*100</f>
        <v>9614.9673582483465</v>
      </c>
      <c r="D229">
        <f>(3/(1+('CurrentPor-LH=40 unchanged'!C229+'CurrentPor-LH=40 unchanged'!H229)/100)+103/POWER(1+('CurrentPor-LH=40 unchanged'!D229+'CurrentPor-LH=40 unchanged'!H229)/100,2))*100</f>
        <v>9601.2395558122898</v>
      </c>
      <c r="E229">
        <f>(3/(1+('CurrentPor-LH=40 unchanged'!C229+'CurrentPor-LH=40 unchanged'!I229)/100)+103/POWER(1+('CurrentPor-LH=40 unchanged'!D229+'CurrentPor-LH=40 unchanged'!I229)/100,2))*100</f>
        <v>9604.3911890708969</v>
      </c>
      <c r="F229">
        <f>Portfolio!B$5*'CurrentPor-LH=40 unchanged'!E229</f>
        <v>52143.895533915893</v>
      </c>
      <c r="G229">
        <f>Portfolio!B$6*'CurrentPor-LH=40 unchanged'!F229</f>
        <v>3696.2945087936532</v>
      </c>
      <c r="H229">
        <f>Portfolio!B$7*'CurrentPor-LH=40 unchanged'!J229</f>
        <v>2148.0998964419859</v>
      </c>
      <c r="I229">
        <f t="shared" si="6"/>
        <v>96516.4738197119</v>
      </c>
      <c r="J229">
        <f t="shared" si="7"/>
        <v>21.314395725319628</v>
      </c>
    </row>
    <row r="230" spans="1:10">
      <c r="A230" s="1">
        <v>45791</v>
      </c>
      <c r="B230">
        <f>(3/(1+('CurrentPor-LH=40 unchanged'!C230)/100)+103/POWER(1+('CurrentPor-LH=40 unchanged'!D230)/100,2))*100</f>
        <v>9707.5857774288397</v>
      </c>
      <c r="C230">
        <f>(3/(1+('CurrentPor-LH=40 unchanged'!C230+'CurrentPor-LH=40 unchanged'!G230)/100)+103/POWER(1+('CurrentPor-LH=40 unchanged'!D230+'CurrentPor-LH=40 unchanged'!G230)/100,2))*100</f>
        <v>9614.9673582483465</v>
      </c>
      <c r="D230">
        <f>(3/(1+('CurrentPor-LH=40 unchanged'!C230+'CurrentPor-LH=40 unchanged'!H230)/100)+103/POWER(1+('CurrentPor-LH=40 unchanged'!D230+'CurrentPor-LH=40 unchanged'!H230)/100,2))*100</f>
        <v>9601.2395558122898</v>
      </c>
      <c r="E230">
        <f>(3/(1+('CurrentPor-LH=40 unchanged'!C230+'CurrentPor-LH=40 unchanged'!I230)/100)+103/POWER(1+('CurrentPor-LH=40 unchanged'!D230+'CurrentPor-LH=40 unchanged'!I230)/100,2))*100</f>
        <v>9579.7086211593887</v>
      </c>
      <c r="F230">
        <f>Portfolio!B$5*'CurrentPor-LH=40 unchanged'!E230</f>
        <v>52143.895533915893</v>
      </c>
      <c r="G230">
        <f>Portfolio!B$6*'CurrentPor-LH=40 unchanged'!F230</f>
        <v>3696.2945087936532</v>
      </c>
      <c r="H230">
        <f>Portfolio!B$7*'CurrentPor-LH=40 unchanged'!J230</f>
        <v>2148.0998964419859</v>
      </c>
      <c r="I230">
        <f t="shared" si="6"/>
        <v>96491.791251800387</v>
      </c>
      <c r="J230">
        <f t="shared" si="7"/>
        <v>-9.3469119755318388</v>
      </c>
    </row>
    <row r="231" spans="1:10">
      <c r="A231" s="1">
        <v>45792</v>
      </c>
      <c r="B231">
        <f>(3/(1+('CurrentPor-LH=40 unchanged'!C231)/100)+103/POWER(1+('CurrentPor-LH=40 unchanged'!D231)/100,2))*100</f>
        <v>9707.5857774288397</v>
      </c>
      <c r="C231">
        <f>(3/(1+('CurrentPor-LH=40 unchanged'!C231+'CurrentPor-LH=40 unchanged'!G231)/100)+103/POWER(1+('CurrentPor-LH=40 unchanged'!D231+'CurrentPor-LH=40 unchanged'!G231)/100,2))*100</f>
        <v>9614.9673582483465</v>
      </c>
      <c r="D231">
        <f>(3/(1+('CurrentPor-LH=40 unchanged'!C231+'CurrentPor-LH=40 unchanged'!H231)/100)+103/POWER(1+('CurrentPor-LH=40 unchanged'!D231+'CurrentPor-LH=40 unchanged'!H231)/100,2))*100</f>
        <v>9601.2395558122898</v>
      </c>
      <c r="E231">
        <f>(3/(1+('CurrentPor-LH=40 unchanged'!C231+'CurrentPor-LH=40 unchanged'!I231)/100)+103/POWER(1+('CurrentPor-LH=40 unchanged'!D231+'CurrentPor-LH=40 unchanged'!I231)/100,2))*100</f>
        <v>9601.3268974643361</v>
      </c>
      <c r="F231">
        <f>Portfolio!B$5*'CurrentPor-LH=40 unchanged'!E231</f>
        <v>52143.895533915893</v>
      </c>
      <c r="G231">
        <f>Portfolio!B$6*'CurrentPor-LH=40 unchanged'!F231</f>
        <v>3696.2945087936532</v>
      </c>
      <c r="H231">
        <f>Portfolio!B$7*'CurrentPor-LH=40 unchanged'!J231</f>
        <v>2148.0998964419859</v>
      </c>
      <c r="I231">
        <f t="shared" si="6"/>
        <v>96513.409528105345</v>
      </c>
      <c r="J231">
        <f t="shared" si="7"/>
        <v>-0.84933769136841875</v>
      </c>
    </row>
    <row r="232" spans="1:10">
      <c r="A232" s="1">
        <v>45793</v>
      </c>
      <c r="B232">
        <f>(3/(1+('CurrentPor-LH=40 unchanged'!C232)/100)+103/POWER(1+('CurrentPor-LH=40 unchanged'!D232)/100,2))*100</f>
        <v>9707.5857774288397</v>
      </c>
      <c r="C232">
        <f>(3/(1+('CurrentPor-LH=40 unchanged'!C232+'CurrentPor-LH=40 unchanged'!G232)/100)+103/POWER(1+('CurrentPor-LH=40 unchanged'!D232+'CurrentPor-LH=40 unchanged'!G232)/100,2))*100</f>
        <v>9614.9673582483465</v>
      </c>
      <c r="D232">
        <f>(3/(1+('CurrentPor-LH=40 unchanged'!C232+'CurrentPor-LH=40 unchanged'!H232)/100)+103/POWER(1+('CurrentPor-LH=40 unchanged'!D232+'CurrentPor-LH=40 unchanged'!H232)/100,2))*100</f>
        <v>9601.2395558122898</v>
      </c>
      <c r="E232">
        <f>(3/(1+('CurrentPor-LH=40 unchanged'!C232+'CurrentPor-LH=40 unchanged'!I232)/100)+103/POWER(1+('CurrentPor-LH=40 unchanged'!D232+'CurrentPor-LH=40 unchanged'!I232)/100,2))*100</f>
        <v>9581.9690737215078</v>
      </c>
      <c r="F232">
        <f>Portfolio!B$5*'CurrentPor-LH=40 unchanged'!E232</f>
        <v>52143.895533915893</v>
      </c>
      <c r="G232">
        <f>Portfolio!B$6*'CurrentPor-LH=40 unchanged'!F232</f>
        <v>3696.2945087936532</v>
      </c>
      <c r="H232">
        <f>Portfolio!B$7*'CurrentPor-LH=40 unchanged'!J232</f>
        <v>2148.0998964419859</v>
      </c>
      <c r="I232">
        <f t="shared" si="6"/>
        <v>96494.051704362515</v>
      </c>
      <c r="J232">
        <f t="shared" si="7"/>
        <v>2.0014072751946514</v>
      </c>
    </row>
    <row r="233" spans="1:10">
      <c r="A233" s="1">
        <v>45796</v>
      </c>
      <c r="B233">
        <f>(3/(1+('CurrentPor-LH=40 unchanged'!C233)/100)+103/POWER(1+('CurrentPor-LH=40 unchanged'!D233)/100,2))*100</f>
        <v>9707.5857774288397</v>
      </c>
      <c r="C233">
        <f>(3/(1+('CurrentPor-LH=40 unchanged'!C233+'CurrentPor-LH=40 unchanged'!G233)/100)+103/POWER(1+('CurrentPor-LH=40 unchanged'!D233+'CurrentPor-LH=40 unchanged'!G233)/100,2))*100</f>
        <v>9614.9673582483465</v>
      </c>
      <c r="D233">
        <f>(3/(1+('CurrentPor-LH=40 unchanged'!C233+'CurrentPor-LH=40 unchanged'!H233)/100)+103/POWER(1+('CurrentPor-LH=40 unchanged'!D233+'CurrentPor-LH=40 unchanged'!H233)/100,2))*100</f>
        <v>9601.2395558122898</v>
      </c>
      <c r="E233">
        <f>(3/(1+('CurrentPor-LH=40 unchanged'!C233+'CurrentPor-LH=40 unchanged'!I233)/100)+103/POWER(1+('CurrentPor-LH=40 unchanged'!D233+'CurrentPor-LH=40 unchanged'!I233)/100,2))*100</f>
        <v>9569.2267198995778</v>
      </c>
      <c r="F233">
        <f>Portfolio!B$5*'CurrentPor-LH=40 unchanged'!E233</f>
        <v>52143.895533915893</v>
      </c>
      <c r="G233">
        <f>Portfolio!B$6*'CurrentPor-LH=40 unchanged'!F233</f>
        <v>3696.2945087936532</v>
      </c>
      <c r="H233">
        <f>Portfolio!B$7*'CurrentPor-LH=40 unchanged'!J233</f>
        <v>2148.0998964419859</v>
      </c>
      <c r="I233">
        <f t="shared" si="6"/>
        <v>96481.309350540585</v>
      </c>
      <c r="J233">
        <f t="shared" si="7"/>
        <v>-10.907957754723611</v>
      </c>
    </row>
    <row r="234" spans="1:10">
      <c r="A234" s="1">
        <v>45797</v>
      </c>
      <c r="B234">
        <f>(3/(1+('CurrentPor-LH=40 unchanged'!C234)/100)+103/POWER(1+('CurrentPor-LH=40 unchanged'!D234)/100,2))*100</f>
        <v>9707.5857774288397</v>
      </c>
      <c r="C234">
        <f>(3/(1+('CurrentPor-LH=40 unchanged'!C234+'CurrentPor-LH=40 unchanged'!G234)/100)+103/POWER(1+('CurrentPor-LH=40 unchanged'!D234+'CurrentPor-LH=40 unchanged'!G234)/100,2))*100</f>
        <v>9614.9673582483465</v>
      </c>
      <c r="D234">
        <f>(3/(1+('CurrentPor-LH=40 unchanged'!C234+'CurrentPor-LH=40 unchanged'!H234)/100)+103/POWER(1+('CurrentPor-LH=40 unchanged'!D234+'CurrentPor-LH=40 unchanged'!H234)/100,2))*100</f>
        <v>9601.2395558122898</v>
      </c>
      <c r="E234">
        <f>(3/(1+('CurrentPor-LH=40 unchanged'!C234+'CurrentPor-LH=40 unchanged'!I234)/100)+103/POWER(1+('CurrentPor-LH=40 unchanged'!D234+'CurrentPor-LH=40 unchanged'!I234)/100,2))*100</f>
        <v>9581.4267616700872</v>
      </c>
      <c r="F234">
        <f>Portfolio!B$5*'CurrentPor-LH=40 unchanged'!E234</f>
        <v>52143.895533915893</v>
      </c>
      <c r="G234">
        <f>Portfolio!B$6*'CurrentPor-LH=40 unchanged'!F234</f>
        <v>3696.2945087936532</v>
      </c>
      <c r="H234">
        <f>Portfolio!B$7*'CurrentPor-LH=40 unchanged'!J234</f>
        <v>2148.0998964419859</v>
      </c>
      <c r="I234">
        <f t="shared" si="6"/>
        <v>96493.509392311098</v>
      </c>
      <c r="J234">
        <f t="shared" si="7"/>
        <v>5.7150562892347807</v>
      </c>
    </row>
    <row r="235" spans="1:10">
      <c r="A235" s="1">
        <v>45798</v>
      </c>
      <c r="B235">
        <f>(3/(1+('CurrentPor-LH=40 unchanged'!C235)/100)+103/POWER(1+('CurrentPor-LH=40 unchanged'!D235)/100,2))*100</f>
        <v>9707.5857774288397</v>
      </c>
      <c r="C235">
        <f>(3/(1+('CurrentPor-LH=40 unchanged'!C235+'CurrentPor-LH=40 unchanged'!G235)/100)+103/POWER(1+('CurrentPor-LH=40 unchanged'!D235+'CurrentPor-LH=40 unchanged'!G235)/100,2))*100</f>
        <v>9614.9673582483465</v>
      </c>
      <c r="D235">
        <f>(3/(1+('CurrentPor-LH=40 unchanged'!C235+'CurrentPor-LH=40 unchanged'!H235)/100)+103/POWER(1+('CurrentPor-LH=40 unchanged'!D235+'CurrentPor-LH=40 unchanged'!H235)/100,2))*100</f>
        <v>9601.2395558122898</v>
      </c>
      <c r="E235">
        <f>(3/(1+('CurrentPor-LH=40 unchanged'!C235+'CurrentPor-LH=40 unchanged'!I235)/100)+103/POWER(1+('CurrentPor-LH=40 unchanged'!D235+'CurrentPor-LH=40 unchanged'!I235)/100,2))*100</f>
        <v>9595.6029597249562</v>
      </c>
      <c r="F235">
        <f>Portfolio!B$5*'CurrentPor-LH=40 unchanged'!E235</f>
        <v>52143.895533915893</v>
      </c>
      <c r="G235">
        <f>Portfolio!B$6*'CurrentPor-LH=40 unchanged'!F235</f>
        <v>3696.2945087936532</v>
      </c>
      <c r="H235">
        <f>Portfolio!B$7*'CurrentPor-LH=40 unchanged'!J235</f>
        <v>2148.0998964419859</v>
      </c>
      <c r="I235">
        <f t="shared" si="6"/>
        <v>96507.685590365974</v>
      </c>
      <c r="J235">
        <f t="shared" si="7"/>
        <v>8.8157175239466596</v>
      </c>
    </row>
    <row r="236" spans="1:10">
      <c r="A236" s="1">
        <v>45799</v>
      </c>
      <c r="B236">
        <f>(3/(1+('CurrentPor-LH=40 unchanged'!C236)/100)+103/POWER(1+('CurrentPor-LH=40 unchanged'!D236)/100,2))*100</f>
        <v>9707.5857774288397</v>
      </c>
      <c r="C236">
        <f>(3/(1+('CurrentPor-LH=40 unchanged'!C236+'CurrentPor-LH=40 unchanged'!G236)/100)+103/POWER(1+('CurrentPor-LH=40 unchanged'!D236+'CurrentPor-LH=40 unchanged'!G236)/100,2))*100</f>
        <v>9614.9673582483465</v>
      </c>
      <c r="D236">
        <f>(3/(1+('CurrentPor-LH=40 unchanged'!C236+'CurrentPor-LH=40 unchanged'!H236)/100)+103/POWER(1+('CurrentPor-LH=40 unchanged'!D236+'CurrentPor-LH=40 unchanged'!H236)/100,2))*100</f>
        <v>9601.2395558122898</v>
      </c>
      <c r="E236">
        <f>(3/(1+('CurrentPor-LH=40 unchanged'!C236+'CurrentPor-LH=40 unchanged'!I236)/100)+103/POWER(1+('CurrentPor-LH=40 unchanged'!D236+'CurrentPor-LH=40 unchanged'!I236)/100,2))*100</f>
        <v>9579.699866358982</v>
      </c>
      <c r="F236">
        <f>Portfolio!B$5*'CurrentPor-LH=40 unchanged'!E236</f>
        <v>52143.895533915893</v>
      </c>
      <c r="G236">
        <f>Portfolio!B$6*'CurrentPor-LH=40 unchanged'!F236</f>
        <v>3696.2945087936532</v>
      </c>
      <c r="H236">
        <f>Portfolio!B$7*'CurrentPor-LH=40 unchanged'!J236</f>
        <v>2148.0998964419859</v>
      </c>
      <c r="I236">
        <f t="shared" si="6"/>
        <v>96491.782496999993</v>
      </c>
      <c r="J236">
        <f t="shared" si="7"/>
        <v>-9.3740969395730644</v>
      </c>
    </row>
    <row r="237" spans="1:10">
      <c r="A237" s="1">
        <v>45800</v>
      </c>
      <c r="B237">
        <f>(3/(1+('CurrentPor-LH=40 unchanged'!C237)/100)+103/POWER(1+('CurrentPor-LH=40 unchanged'!D237)/100,2))*100</f>
        <v>9707.5857774288397</v>
      </c>
      <c r="C237">
        <f>(3/(1+('CurrentPor-LH=40 unchanged'!C237+'CurrentPor-LH=40 unchanged'!G237)/100)+103/POWER(1+('CurrentPor-LH=40 unchanged'!D237+'CurrentPor-LH=40 unchanged'!G237)/100,2))*100</f>
        <v>9614.9673582483465</v>
      </c>
      <c r="D237">
        <f>(3/(1+('CurrentPor-LH=40 unchanged'!C237+'CurrentPor-LH=40 unchanged'!H237)/100)+103/POWER(1+('CurrentPor-LH=40 unchanged'!D237+'CurrentPor-LH=40 unchanged'!H237)/100,2))*100</f>
        <v>9601.2395558122898</v>
      </c>
      <c r="E237">
        <f>(3/(1+('CurrentPor-LH=40 unchanged'!C237+'CurrentPor-LH=40 unchanged'!I237)/100)+103/POWER(1+('CurrentPor-LH=40 unchanged'!D237+'CurrentPor-LH=40 unchanged'!I237)/100,2))*100</f>
        <v>9570.9461275553749</v>
      </c>
      <c r="F237">
        <f>Portfolio!B$5*'CurrentPor-LH=40 unchanged'!E237</f>
        <v>52143.895533915893</v>
      </c>
      <c r="G237">
        <f>Portfolio!B$6*'CurrentPor-LH=40 unchanged'!F237</f>
        <v>3696.2945087936532</v>
      </c>
      <c r="H237">
        <f>Portfolio!B$7*'CurrentPor-LH=40 unchanged'!J237</f>
        <v>2148.0998964419859</v>
      </c>
      <c r="I237">
        <f t="shared" si="6"/>
        <v>96483.028758196378</v>
      </c>
      <c r="J237">
        <f t="shared" si="7"/>
        <v>-21.628297259274404</v>
      </c>
    </row>
    <row r="238" spans="1:10">
      <c r="A238" s="1">
        <v>45803</v>
      </c>
      <c r="B238">
        <f>(3/(1+('CurrentPor-LH=40 unchanged'!C238)/100)+103/POWER(1+('CurrentPor-LH=40 unchanged'!D238)/100,2))*100</f>
        <v>9707.5857774288397</v>
      </c>
      <c r="C238">
        <f>(3/(1+('CurrentPor-LH=40 unchanged'!C238+'CurrentPor-LH=40 unchanged'!G238)/100)+103/POWER(1+('CurrentPor-LH=40 unchanged'!D238+'CurrentPor-LH=40 unchanged'!G238)/100,2))*100</f>
        <v>9614.9673582483465</v>
      </c>
      <c r="D238">
        <f>(3/(1+('CurrentPor-LH=40 unchanged'!C238+'CurrentPor-LH=40 unchanged'!H238)/100)+103/POWER(1+('CurrentPor-LH=40 unchanged'!D238+'CurrentPor-LH=40 unchanged'!H238)/100,2))*100</f>
        <v>9601.2395558122898</v>
      </c>
      <c r="E238">
        <f>(3/(1+('CurrentPor-LH=40 unchanged'!C238+'CurrentPor-LH=40 unchanged'!I238)/100)+103/POWER(1+('CurrentPor-LH=40 unchanged'!D238+'CurrentPor-LH=40 unchanged'!I238)/100,2))*100</f>
        <v>9573.4998134274629</v>
      </c>
      <c r="F238">
        <f>Portfolio!B$5*'CurrentPor-LH=40 unchanged'!E238</f>
        <v>52143.895533915893</v>
      </c>
      <c r="G238">
        <f>Portfolio!B$6*'CurrentPor-LH=40 unchanged'!F238</f>
        <v>3696.2945087936532</v>
      </c>
      <c r="H238">
        <f>Portfolio!B$7*'CurrentPor-LH=40 unchanged'!J238</f>
        <v>2148.0998964419859</v>
      </c>
      <c r="I238">
        <f t="shared" si="6"/>
        <v>96485.582444068466</v>
      </c>
      <c r="J238">
        <f t="shared" si="7"/>
        <v>-34.636884343373822</v>
      </c>
    </row>
    <row r="239" spans="1:10">
      <c r="A239" s="1">
        <v>45804</v>
      </c>
      <c r="B239">
        <f>(3/(1+('CurrentPor-LH=40 unchanged'!C239)/100)+103/POWER(1+('CurrentPor-LH=40 unchanged'!D239)/100,2))*100</f>
        <v>9707.5857774288397</v>
      </c>
      <c r="C239">
        <f>(3/(1+('CurrentPor-LH=40 unchanged'!C239+'CurrentPor-LH=40 unchanged'!G239)/100)+103/POWER(1+('CurrentPor-LH=40 unchanged'!D239+'CurrentPor-LH=40 unchanged'!G239)/100,2))*100</f>
        <v>9614.9673582483465</v>
      </c>
      <c r="D239">
        <f>(3/(1+('CurrentPor-LH=40 unchanged'!C239+'CurrentPor-LH=40 unchanged'!H239)/100)+103/POWER(1+('CurrentPor-LH=40 unchanged'!D239+'CurrentPor-LH=40 unchanged'!H239)/100,2))*100</f>
        <v>9601.2395558122898</v>
      </c>
      <c r="E239">
        <f>(3/(1+('CurrentPor-LH=40 unchanged'!C239+'CurrentPor-LH=40 unchanged'!I239)/100)+103/POWER(1+('CurrentPor-LH=40 unchanged'!D239+'CurrentPor-LH=40 unchanged'!I239)/100,2))*100</f>
        <v>9542.1363574169991</v>
      </c>
      <c r="F239">
        <f>Portfolio!B$5*'CurrentPor-LH=40 unchanged'!E239</f>
        <v>52143.895533915893</v>
      </c>
      <c r="G239">
        <f>Portfolio!B$6*'CurrentPor-LH=40 unchanged'!F239</f>
        <v>3696.2945087936532</v>
      </c>
      <c r="H239">
        <f>Portfolio!B$7*'CurrentPor-LH=40 unchanged'!J239</f>
        <v>2148.0998964419859</v>
      </c>
      <c r="I239">
        <f t="shared" si="6"/>
        <v>96454.218988057997</v>
      </c>
      <c r="J239">
        <f t="shared" si="7"/>
        <v>-62.254831653903238</v>
      </c>
    </row>
    <row r="240" spans="1:10">
      <c r="A240" s="1">
        <v>45805</v>
      </c>
      <c r="B240">
        <f>(3/(1+('CurrentPor-LH=40 unchanged'!C240)/100)+103/POWER(1+('CurrentPor-LH=40 unchanged'!D240)/100,2))*100</f>
        <v>9707.5857774288397</v>
      </c>
      <c r="C240">
        <f>(3/(1+('CurrentPor-LH=40 unchanged'!C240+'CurrentPor-LH=40 unchanged'!G240)/100)+103/POWER(1+('CurrentPor-LH=40 unchanged'!D240+'CurrentPor-LH=40 unchanged'!G240)/100,2))*100</f>
        <v>9614.9673582483465</v>
      </c>
      <c r="D240">
        <f>(3/(1+('CurrentPor-LH=40 unchanged'!C240+'CurrentPor-LH=40 unchanged'!H240)/100)+103/POWER(1+('CurrentPor-LH=40 unchanged'!D240+'CurrentPor-LH=40 unchanged'!H240)/100,2))*100</f>
        <v>9601.2395558122898</v>
      </c>
      <c r="E240">
        <f>(3/(1+('CurrentPor-LH=40 unchanged'!C240+'CurrentPor-LH=40 unchanged'!I240)/100)+103/POWER(1+('CurrentPor-LH=40 unchanged'!D240+'CurrentPor-LH=40 unchanged'!I240)/100,2))*100</f>
        <v>9588.3540548551664</v>
      </c>
      <c r="F240">
        <f>Portfolio!B$5*'CurrentPor-LH=40 unchanged'!E240</f>
        <v>52143.895533915893</v>
      </c>
      <c r="G240">
        <f>Portfolio!B$6*'CurrentPor-LH=40 unchanged'!F240</f>
        <v>3696.2945087936532</v>
      </c>
      <c r="H240">
        <f>Portfolio!B$7*'CurrentPor-LH=40 unchanged'!J240</f>
        <v>2148.0998964419859</v>
      </c>
      <c r="I240">
        <f t="shared" si="6"/>
        <v>96500.43668549617</v>
      </c>
      <c r="J240">
        <f t="shared" si="7"/>
        <v>8.6454336957831401</v>
      </c>
    </row>
    <row r="241" spans="1:10">
      <c r="A241" s="1">
        <v>45806</v>
      </c>
      <c r="B241">
        <f>(3/(1+('CurrentPor-LH=40 unchanged'!C241)/100)+103/POWER(1+('CurrentPor-LH=40 unchanged'!D241)/100,2))*100</f>
        <v>9707.5857774288397</v>
      </c>
      <c r="C241">
        <f>(3/(1+('CurrentPor-LH=40 unchanged'!C241+'CurrentPor-LH=40 unchanged'!G241)/100)+103/POWER(1+('CurrentPor-LH=40 unchanged'!D241+'CurrentPor-LH=40 unchanged'!G241)/100,2))*100</f>
        <v>9614.9673582483465</v>
      </c>
      <c r="D241">
        <f>(3/(1+('CurrentPor-LH=40 unchanged'!C241+'CurrentPor-LH=40 unchanged'!H241)/100)+103/POWER(1+('CurrentPor-LH=40 unchanged'!D241+'CurrentPor-LH=40 unchanged'!H241)/100,2))*100</f>
        <v>9601.2395558122898</v>
      </c>
      <c r="E241">
        <f>(3/(1+('CurrentPor-LH=40 unchanged'!C241+'CurrentPor-LH=40 unchanged'!I241)/100)+103/POWER(1+('CurrentPor-LH=40 unchanged'!D241+'CurrentPor-LH=40 unchanged'!I241)/100,2))*100</f>
        <v>9591.8349539607079</v>
      </c>
      <c r="F241">
        <f>Portfolio!B$5*'CurrentPor-LH=40 unchanged'!E241</f>
        <v>52143.895533915893</v>
      </c>
      <c r="G241">
        <f>Portfolio!B$6*'CurrentPor-LH=40 unchanged'!F241</f>
        <v>3696.2945087936532</v>
      </c>
      <c r="H241">
        <f>Portfolio!B$7*'CurrentPor-LH=40 unchanged'!J241</f>
        <v>2148.0998964419859</v>
      </c>
      <c r="I241">
        <f t="shared" si="6"/>
        <v>96503.917584601717</v>
      </c>
      <c r="J241">
        <f t="shared" si="7"/>
        <v>-9.4919435036281357</v>
      </c>
    </row>
    <row r="242" spans="1:10">
      <c r="A242" s="1">
        <v>45807</v>
      </c>
      <c r="B242">
        <f>(3/(1+('CurrentPor-LH=40 unchanged'!C242)/100)+103/POWER(1+('CurrentPor-LH=40 unchanged'!D242)/100,2))*100</f>
        <v>9707.5857774288397</v>
      </c>
      <c r="C242">
        <f>(3/(1+('CurrentPor-LH=40 unchanged'!C242+'CurrentPor-LH=40 unchanged'!G242)/100)+103/POWER(1+('CurrentPor-LH=40 unchanged'!D242+'CurrentPor-LH=40 unchanged'!G242)/100,2))*100</f>
        <v>9614.9673582483465</v>
      </c>
      <c r="D242">
        <f>(3/(1+('CurrentPor-LH=40 unchanged'!C242+'CurrentPor-LH=40 unchanged'!H242)/100)+103/POWER(1+('CurrentPor-LH=40 unchanged'!D242+'CurrentPor-LH=40 unchanged'!H242)/100,2))*100</f>
        <v>9601.2395558122898</v>
      </c>
      <c r="E242">
        <f>(3/(1+('CurrentPor-LH=40 unchanged'!C242+'CurrentPor-LH=40 unchanged'!I242)/100)+103/POWER(1+('CurrentPor-LH=40 unchanged'!D242+'CurrentPor-LH=40 unchanged'!I242)/100,2))*100</f>
        <v>9588.7917258984944</v>
      </c>
      <c r="F242">
        <f>Portfolio!B$5*'CurrentPor-LH=40 unchanged'!E242</f>
        <v>52143.895533915893</v>
      </c>
      <c r="G242">
        <f>Portfolio!B$6*'CurrentPor-LH=40 unchanged'!F242</f>
        <v>3696.2945087936532</v>
      </c>
      <c r="H242">
        <f>Portfolio!B$7*'CurrentPor-LH=40 unchanged'!J242</f>
        <v>2148.0998964419859</v>
      </c>
      <c r="I242">
        <f t="shared" si="6"/>
        <v>96500.874356539498</v>
      </c>
      <c r="J242">
        <f t="shared" si="7"/>
        <v>6.822652176982956</v>
      </c>
    </row>
    <row r="243" spans="1:10">
      <c r="A243" s="1">
        <v>45810</v>
      </c>
      <c r="B243">
        <f>(3/(1+('CurrentPor-LH=40 unchanged'!C243)/100)+103/POWER(1+('CurrentPor-LH=40 unchanged'!D243)/100,2))*100</f>
        <v>9707.5857774288397</v>
      </c>
      <c r="C243">
        <f>(3/(1+('CurrentPor-LH=40 unchanged'!C243+'CurrentPor-LH=40 unchanged'!G243)/100)+103/POWER(1+('CurrentPor-LH=40 unchanged'!D243+'CurrentPor-LH=40 unchanged'!G243)/100,2))*100</f>
        <v>9614.9673582483465</v>
      </c>
      <c r="D243">
        <f>(3/(1+('CurrentPor-LH=40 unchanged'!C243+'CurrentPor-LH=40 unchanged'!H243)/100)+103/POWER(1+('CurrentPor-LH=40 unchanged'!D243+'CurrentPor-LH=40 unchanged'!H243)/100,2))*100</f>
        <v>9601.2395558122898</v>
      </c>
      <c r="E243">
        <f>(3/(1+('CurrentPor-LH=40 unchanged'!C243+'CurrentPor-LH=40 unchanged'!I243)/100)+103/POWER(1+('CurrentPor-LH=40 unchanged'!D243+'CurrentPor-LH=40 unchanged'!I243)/100,2))*100</f>
        <v>9570.1156985625712</v>
      </c>
      <c r="F243">
        <f>Portfolio!B$5*'CurrentPor-LH=40 unchanged'!E243</f>
        <v>52143.895533915893</v>
      </c>
      <c r="G243">
        <f>Portfolio!B$6*'CurrentPor-LH=40 unchanged'!F243</f>
        <v>3696.2945087936532</v>
      </c>
      <c r="H243">
        <f>Portfolio!B$7*'CurrentPor-LH=40 unchanged'!J243</f>
        <v>2148.0998964419859</v>
      </c>
      <c r="I243">
        <f t="shared" si="6"/>
        <v>96482.198329203573</v>
      </c>
      <c r="J243">
        <f t="shared" si="7"/>
        <v>0.88897866298793815</v>
      </c>
    </row>
    <row r="244" spans="1:10">
      <c r="A244" s="1">
        <v>45811</v>
      </c>
      <c r="B244">
        <f>(3/(1+('CurrentPor-LH=40 unchanged'!C244)/100)+103/POWER(1+('CurrentPor-LH=40 unchanged'!D244)/100,2))*100</f>
        <v>9707.5857774288397</v>
      </c>
      <c r="C244">
        <f>(3/(1+('CurrentPor-LH=40 unchanged'!C244+'CurrentPor-LH=40 unchanged'!G244)/100)+103/POWER(1+('CurrentPor-LH=40 unchanged'!D244+'CurrentPor-LH=40 unchanged'!G244)/100,2))*100</f>
        <v>9614.9673582483465</v>
      </c>
      <c r="D244">
        <f>(3/(1+('CurrentPor-LH=40 unchanged'!C244+'CurrentPor-LH=40 unchanged'!H244)/100)+103/POWER(1+('CurrentPor-LH=40 unchanged'!D244+'CurrentPor-LH=40 unchanged'!H244)/100,2))*100</f>
        <v>9601.2395558122898</v>
      </c>
      <c r="E244">
        <f>(3/(1+('CurrentPor-LH=40 unchanged'!C244+'CurrentPor-LH=40 unchanged'!I244)/100)+103/POWER(1+('CurrentPor-LH=40 unchanged'!D244+'CurrentPor-LH=40 unchanged'!I244)/100,2))*100</f>
        <v>9572.6075377841116</v>
      </c>
      <c r="F244">
        <f>Portfolio!B$5*'CurrentPor-LH=40 unchanged'!E244</f>
        <v>52143.895533915893</v>
      </c>
      <c r="G244">
        <f>Portfolio!B$6*'CurrentPor-LH=40 unchanged'!F244</f>
        <v>3696.2945087936532</v>
      </c>
      <c r="H244">
        <f>Portfolio!B$7*'CurrentPor-LH=40 unchanged'!J244</f>
        <v>2148.0998964419859</v>
      </c>
      <c r="I244">
        <f t="shared" si="6"/>
        <v>96484.690168425121</v>
      </c>
      <c r="J244">
        <f t="shared" si="7"/>
        <v>-8.8192238859774079</v>
      </c>
    </row>
    <row r="245" spans="1:10">
      <c r="A245" s="1">
        <v>45812</v>
      </c>
      <c r="B245">
        <f>(3/(1+('CurrentPor-LH=40 unchanged'!C245)/100)+103/POWER(1+('CurrentPor-LH=40 unchanged'!D245)/100,2))*100</f>
        <v>9707.5857774288397</v>
      </c>
      <c r="C245">
        <f>(3/(1+('CurrentPor-LH=40 unchanged'!C245+'CurrentPor-LH=40 unchanged'!G245)/100)+103/POWER(1+('CurrentPor-LH=40 unchanged'!D245+'CurrentPor-LH=40 unchanged'!G245)/100,2))*100</f>
        <v>9614.9673582483465</v>
      </c>
      <c r="D245">
        <f>(3/(1+('CurrentPor-LH=40 unchanged'!C245+'CurrentPor-LH=40 unchanged'!H245)/100)+103/POWER(1+('CurrentPor-LH=40 unchanged'!D245+'CurrentPor-LH=40 unchanged'!H245)/100,2))*100</f>
        <v>9601.2395558122898</v>
      </c>
      <c r="E245">
        <f>(3/(1+('CurrentPor-LH=40 unchanged'!C245+'CurrentPor-LH=40 unchanged'!I245)/100)+103/POWER(1+('CurrentPor-LH=40 unchanged'!D245+'CurrentPor-LH=40 unchanged'!I245)/100,2))*100</f>
        <v>9590.569955629373</v>
      </c>
      <c r="F245">
        <f>Portfolio!B$5*'CurrentPor-LH=40 unchanged'!E245</f>
        <v>52143.895533915893</v>
      </c>
      <c r="G245">
        <f>Portfolio!B$6*'CurrentPor-LH=40 unchanged'!F245</f>
        <v>3696.2945087936532</v>
      </c>
      <c r="H245">
        <f>Portfolio!B$7*'CurrentPor-LH=40 unchanged'!J245</f>
        <v>2148.0998964419859</v>
      </c>
      <c r="I245">
        <f t="shared" si="6"/>
        <v>96502.652586270371</v>
      </c>
      <c r="J245">
        <f t="shared" si="7"/>
        <v>-5.0330040956032462</v>
      </c>
    </row>
    <row r="246" spans="1:10">
      <c r="A246" s="1">
        <v>45813</v>
      </c>
      <c r="B246">
        <f>(3/(1+('CurrentPor-LH=40 unchanged'!C246)/100)+103/POWER(1+('CurrentPor-LH=40 unchanged'!D246)/100,2))*100</f>
        <v>9707.5857774288397</v>
      </c>
      <c r="C246">
        <f>(3/(1+('CurrentPor-LH=40 unchanged'!C246+'CurrentPor-LH=40 unchanged'!G246)/100)+103/POWER(1+('CurrentPor-LH=40 unchanged'!D246+'CurrentPor-LH=40 unchanged'!G246)/100,2))*100</f>
        <v>9614.9673582483465</v>
      </c>
      <c r="D246">
        <f>(3/(1+('CurrentPor-LH=40 unchanged'!C246+'CurrentPor-LH=40 unchanged'!H246)/100)+103/POWER(1+('CurrentPor-LH=40 unchanged'!D246+'CurrentPor-LH=40 unchanged'!H246)/100,2))*100</f>
        <v>9601.2395558122898</v>
      </c>
      <c r="E246">
        <f>(3/(1+('CurrentPor-LH=40 unchanged'!C246+'CurrentPor-LH=40 unchanged'!I246)/100)+103/POWER(1+('CurrentPor-LH=40 unchanged'!D246+'CurrentPor-LH=40 unchanged'!I246)/100,2))*100</f>
        <v>9591.6073825056264</v>
      </c>
      <c r="F246">
        <f>Portfolio!B$5*'CurrentPor-LH=40 unchanged'!E246</f>
        <v>52143.895533915893</v>
      </c>
      <c r="G246">
        <f>Portfolio!B$6*'CurrentPor-LH=40 unchanged'!F246</f>
        <v>3696.2945087936532</v>
      </c>
      <c r="H246">
        <f>Portfolio!B$7*'CurrentPor-LH=40 unchanged'!J246</f>
        <v>2148.0998964419859</v>
      </c>
      <c r="I246">
        <f t="shared" si="6"/>
        <v>96503.690013146625</v>
      </c>
      <c r="J246">
        <f t="shared" si="7"/>
        <v>11.907516146631679</v>
      </c>
    </row>
    <row r="247" spans="1:10">
      <c r="A247" s="1">
        <v>45814</v>
      </c>
      <c r="B247">
        <f>(3/(1+('CurrentPor-LH=40 unchanged'!C247)/100)+103/POWER(1+('CurrentPor-LH=40 unchanged'!D247)/100,2))*100</f>
        <v>9707.5857774288397</v>
      </c>
      <c r="C247">
        <f>(3/(1+('CurrentPor-LH=40 unchanged'!C247+'CurrentPor-LH=40 unchanged'!G247)/100)+103/POWER(1+('CurrentPor-LH=40 unchanged'!D247+'CurrentPor-LH=40 unchanged'!G247)/100,2))*100</f>
        <v>9614.9673582483465</v>
      </c>
      <c r="D247">
        <f>(3/(1+('CurrentPor-LH=40 unchanged'!C247+'CurrentPor-LH=40 unchanged'!H247)/100)+103/POWER(1+('CurrentPor-LH=40 unchanged'!D247+'CurrentPor-LH=40 unchanged'!H247)/100,2))*100</f>
        <v>9601.2395558122898</v>
      </c>
      <c r="E247">
        <f>(3/(1+('CurrentPor-LH=40 unchanged'!C247+'CurrentPor-LH=40 unchanged'!I247)/100)+103/POWER(1+('CurrentPor-LH=40 unchanged'!D247+'CurrentPor-LH=40 unchanged'!I247)/100,2))*100</f>
        <v>9591.4190622700244</v>
      </c>
      <c r="F247">
        <f>Portfolio!B$5*'CurrentPor-LH=40 unchanged'!E247</f>
        <v>52143.895533915893</v>
      </c>
      <c r="G247">
        <f>Portfolio!B$6*'CurrentPor-LH=40 unchanged'!F247</f>
        <v>3696.2945087936532</v>
      </c>
      <c r="H247">
        <f>Portfolio!B$7*'CurrentPor-LH=40 unchanged'!J247</f>
        <v>2148.0998964419859</v>
      </c>
      <c r="I247">
        <f t="shared" si="6"/>
        <v>96503.501692911042</v>
      </c>
      <c r="J247">
        <f t="shared" si="7"/>
        <v>20.472934714664007</v>
      </c>
    </row>
    <row r="248" spans="1:10">
      <c r="A248" s="1">
        <v>45817</v>
      </c>
      <c r="B248">
        <f>(3/(1+('CurrentPor-LH=40 unchanged'!C248)/100)+103/POWER(1+('CurrentPor-LH=40 unchanged'!D248)/100,2))*100</f>
        <v>9707.5857774288397</v>
      </c>
      <c r="C248">
        <f>(3/(1+('CurrentPor-LH=40 unchanged'!C248+'CurrentPor-LH=40 unchanged'!G248)/100)+103/POWER(1+('CurrentPor-LH=40 unchanged'!D248+'CurrentPor-LH=40 unchanged'!G248)/100,2))*100</f>
        <v>9614.9673582483465</v>
      </c>
      <c r="D248">
        <f>(3/(1+('CurrentPor-LH=40 unchanged'!C248+'CurrentPor-LH=40 unchanged'!H248)/100)+103/POWER(1+('CurrentPor-LH=40 unchanged'!D248+'CurrentPor-LH=40 unchanged'!H248)/100,2))*100</f>
        <v>9601.2395558122898</v>
      </c>
      <c r="E248">
        <f>(3/(1+('CurrentPor-LH=40 unchanged'!C248+'CurrentPor-LH=40 unchanged'!I248)/100)+103/POWER(1+('CurrentPor-LH=40 unchanged'!D248+'CurrentPor-LH=40 unchanged'!I248)/100,2))*100</f>
        <v>9589.8730168927523</v>
      </c>
      <c r="F248">
        <f>Portfolio!B$5*'CurrentPor-LH=40 unchanged'!E248</f>
        <v>52143.895533915893</v>
      </c>
      <c r="G248">
        <f>Portfolio!B$6*'CurrentPor-LH=40 unchanged'!F248</f>
        <v>3696.2945087936532</v>
      </c>
      <c r="H248">
        <f>Portfolio!B$7*'CurrentPor-LH=40 unchanged'!J248</f>
        <v>2148.0998964419859</v>
      </c>
      <c r="I248">
        <f t="shared" si="6"/>
        <v>96501.955647533759</v>
      </c>
      <c r="J248">
        <f t="shared" si="7"/>
        <v>16.373203465293045</v>
      </c>
    </row>
    <row r="249" spans="1:10">
      <c r="A249" s="1">
        <v>45818</v>
      </c>
      <c r="B249">
        <f>(3/(1+('CurrentPor-LH=40 unchanged'!C249)/100)+103/POWER(1+('CurrentPor-LH=40 unchanged'!D249)/100,2))*100</f>
        <v>9707.5857774288397</v>
      </c>
      <c r="C249">
        <f>(3/(1+('CurrentPor-LH=40 unchanged'!C249+'CurrentPor-LH=40 unchanged'!G249)/100)+103/POWER(1+('CurrentPor-LH=40 unchanged'!D249+'CurrentPor-LH=40 unchanged'!G249)/100,2))*100</f>
        <v>9614.9673582483465</v>
      </c>
      <c r="D249">
        <f>(3/(1+('CurrentPor-LH=40 unchanged'!C249+'CurrentPor-LH=40 unchanged'!H249)/100)+103/POWER(1+('CurrentPor-LH=40 unchanged'!D249+'CurrentPor-LH=40 unchanged'!H249)/100,2))*100</f>
        <v>9601.2395558122898</v>
      </c>
      <c r="E249">
        <f>(3/(1+('CurrentPor-LH=40 unchanged'!C249+'CurrentPor-LH=40 unchanged'!I249)/100)+103/POWER(1+('CurrentPor-LH=40 unchanged'!D249+'CurrentPor-LH=40 unchanged'!I249)/100,2))*100</f>
        <v>9602.2079674607048</v>
      </c>
      <c r="F249">
        <f>Portfolio!B$5*'CurrentPor-LH=40 unchanged'!E249</f>
        <v>52143.895533915893</v>
      </c>
      <c r="G249">
        <f>Portfolio!B$6*'CurrentPor-LH=40 unchanged'!F249</f>
        <v>3696.2945087936532</v>
      </c>
      <c r="H249">
        <f>Portfolio!B$7*'CurrentPor-LH=40 unchanged'!J249</f>
        <v>2148.0998964419859</v>
      </c>
      <c r="I249">
        <f t="shared" si="6"/>
        <v>96514.290598101725</v>
      </c>
      <c r="J249">
        <f t="shared" si="7"/>
        <v>60.07161004372756</v>
      </c>
    </row>
    <row r="250" spans="1:10">
      <c r="A250" s="1">
        <v>45819</v>
      </c>
      <c r="B250">
        <f>(3/(1+('CurrentPor-LH=40 unchanged'!C250)/100)+103/POWER(1+('CurrentPor-LH=40 unchanged'!D250)/100,2))*100</f>
        <v>9707.5857774288397</v>
      </c>
      <c r="C250">
        <f>(3/(1+('CurrentPor-LH=40 unchanged'!C250+'CurrentPor-LH=40 unchanged'!G250)/100)+103/POWER(1+('CurrentPor-LH=40 unchanged'!D250+'CurrentPor-LH=40 unchanged'!G250)/100,2))*100</f>
        <v>9614.9673582483465</v>
      </c>
      <c r="D250">
        <f>(3/(1+('CurrentPor-LH=40 unchanged'!C250+'CurrentPor-LH=40 unchanged'!H250)/100)+103/POWER(1+('CurrentPor-LH=40 unchanged'!D250+'CurrentPor-LH=40 unchanged'!H250)/100,2))*100</f>
        <v>9601.2395558122898</v>
      </c>
      <c r="E250">
        <f>(3/(1+('CurrentPor-LH=40 unchanged'!C250+'CurrentPor-LH=40 unchanged'!I250)/100)+103/POWER(1+('CurrentPor-LH=40 unchanged'!D250+'CurrentPor-LH=40 unchanged'!I250)/100,2))*100</f>
        <v>9576.0937379574352</v>
      </c>
      <c r="F250">
        <f>Portfolio!B$5*'CurrentPor-LH=40 unchanged'!E250</f>
        <v>52143.895533915893</v>
      </c>
      <c r="G250">
        <f>Portfolio!B$6*'CurrentPor-LH=40 unchanged'!F250</f>
        <v>3696.2945087936532</v>
      </c>
      <c r="H250">
        <f>Portfolio!B$7*'CurrentPor-LH=40 unchanged'!J250</f>
        <v>2148.0998964419859</v>
      </c>
      <c r="I250">
        <f t="shared" si="6"/>
        <v>96488.176368598433</v>
      </c>
      <c r="J250">
        <f t="shared" si="7"/>
        <v>-12.260316897736629</v>
      </c>
    </row>
    <row r="251" spans="1:10">
      <c r="A251" s="1">
        <v>45820</v>
      </c>
      <c r="B251">
        <f>(3/(1+('CurrentPor-LH=40 unchanged'!C251)/100)+103/POWER(1+('CurrentPor-LH=40 unchanged'!D251)/100,2))*100</f>
        <v>9707.5857774288397</v>
      </c>
      <c r="C251">
        <f>(3/(1+('CurrentPor-LH=40 unchanged'!C251+'CurrentPor-LH=40 unchanged'!G251)/100)+103/POWER(1+('CurrentPor-LH=40 unchanged'!D251+'CurrentPor-LH=40 unchanged'!G251)/100,2))*100</f>
        <v>9614.9673582483465</v>
      </c>
      <c r="D251">
        <f>(3/(1+('CurrentPor-LH=40 unchanged'!C251+'CurrentPor-LH=40 unchanged'!H251)/100)+103/POWER(1+('CurrentPor-LH=40 unchanged'!D251+'CurrentPor-LH=40 unchanged'!H251)/100,2))*100</f>
        <v>9601.2395558122898</v>
      </c>
      <c r="E251">
        <f>(3/(1+('CurrentPor-LH=40 unchanged'!C251+'CurrentPor-LH=40 unchanged'!I251)/100)+103/POWER(1+('CurrentPor-LH=40 unchanged'!D251+'CurrentPor-LH=40 unchanged'!I251)/100,2))*100</f>
        <v>9595.9490514904428</v>
      </c>
      <c r="F251">
        <f>Portfolio!B$5*'CurrentPor-LH=40 unchanged'!E251</f>
        <v>52143.895533915893</v>
      </c>
      <c r="G251">
        <f>Portfolio!B$6*'CurrentPor-LH=40 unchanged'!F251</f>
        <v>3696.2945087936532</v>
      </c>
      <c r="H251">
        <f>Portfolio!B$7*'CurrentPor-LH=40 unchanged'!J251</f>
        <v>2148.0998964419859</v>
      </c>
      <c r="I251">
        <f t="shared" si="6"/>
        <v>96508.031682131448</v>
      </c>
      <c r="J251">
        <f t="shared" si="7"/>
        <v>4.1140975297312252</v>
      </c>
    </row>
    <row r="252" spans="1:10">
      <c r="A252" s="1">
        <v>45821</v>
      </c>
      <c r="B252">
        <f>(3/(1+('CurrentPor-LH=40 unchanged'!C252)/100)+103/POWER(1+('CurrentPor-LH=40 unchanged'!D252)/100,2))*100</f>
        <v>9707.5857774288397</v>
      </c>
      <c r="C252">
        <f>(3/(1+('CurrentPor-LH=40 unchanged'!C252+'CurrentPor-LH=40 unchanged'!G252)/100)+103/POWER(1+('CurrentPor-LH=40 unchanged'!D252+'CurrentPor-LH=40 unchanged'!G252)/100,2))*100</f>
        <v>9614.9673582483465</v>
      </c>
      <c r="D252">
        <f>(3/(1+('CurrentPor-LH=40 unchanged'!C252+'CurrentPor-LH=40 unchanged'!H252)/100)+103/POWER(1+('CurrentPor-LH=40 unchanged'!D252+'CurrentPor-LH=40 unchanged'!H252)/100,2))*100</f>
        <v>9601.2395558122898</v>
      </c>
      <c r="E252">
        <f>(3/(1+('CurrentPor-LH=40 unchanged'!C252+'CurrentPor-LH=40 unchanged'!I252)/100)+103/POWER(1+('CurrentPor-LH=40 unchanged'!D252+'CurrentPor-LH=40 unchanged'!I252)/100,2))*100</f>
        <v>9584.8250213334341</v>
      </c>
      <c r="F252">
        <f>Portfolio!B$5*'CurrentPor-LH=40 unchanged'!E252</f>
        <v>52143.895533915893</v>
      </c>
      <c r="G252">
        <f>Portfolio!B$6*'CurrentPor-LH=40 unchanged'!F252</f>
        <v>3696.2945087936532</v>
      </c>
      <c r="H252">
        <f>Portfolio!B$7*'CurrentPor-LH=40 unchanged'!J252</f>
        <v>2148.0998964419859</v>
      </c>
      <c r="I252">
        <f t="shared" si="6"/>
        <v>96496.907651974441</v>
      </c>
      <c r="J252">
        <f t="shared" si="7"/>
        <v>-3.9667045650567161</v>
      </c>
    </row>
    <row r="253" spans="1:10">
      <c r="A253" s="1">
        <v>45824</v>
      </c>
      <c r="B253">
        <f>(3/(1+('CurrentPor-LH=40 unchanged'!C253)/100)+103/POWER(1+('CurrentPor-LH=40 unchanged'!D253)/100,2))*100</f>
        <v>9707.5857774288397</v>
      </c>
      <c r="C253">
        <f>(3/(1+('CurrentPor-LH=40 unchanged'!C253+'CurrentPor-LH=40 unchanged'!G253)/100)+103/POWER(1+('CurrentPor-LH=40 unchanged'!D253+'CurrentPor-LH=40 unchanged'!G253)/100,2))*100</f>
        <v>9614.9673582483465</v>
      </c>
      <c r="D253">
        <f>(3/(1+('CurrentPor-LH=40 unchanged'!C253+'CurrentPor-LH=40 unchanged'!H253)/100)+103/POWER(1+('CurrentPor-LH=40 unchanged'!D253+'CurrentPor-LH=40 unchanged'!H253)/100,2))*100</f>
        <v>9601.2395558122898</v>
      </c>
      <c r="E253">
        <f>(3/(1+('CurrentPor-LH=40 unchanged'!C253+'CurrentPor-LH=40 unchanged'!I253)/100)+103/POWER(1+('CurrentPor-LH=40 unchanged'!D253+'CurrentPor-LH=40 unchanged'!I253)/100,2))*100</f>
        <v>9585.8814055839593</v>
      </c>
      <c r="F253">
        <f>Portfolio!B$5*'CurrentPor-LH=40 unchanged'!E253</f>
        <v>52143.895533915893</v>
      </c>
      <c r="G253">
        <f>Portfolio!B$6*'CurrentPor-LH=40 unchanged'!F253</f>
        <v>3696.2945087936532</v>
      </c>
      <c r="H253">
        <f>Portfolio!B$7*'CurrentPor-LH=40 unchanged'!J253</f>
        <v>2148.0998964419859</v>
      </c>
      <c r="I253">
        <f t="shared" si="6"/>
        <v>96497.964036224977</v>
      </c>
      <c r="J253">
        <f t="shared" si="7"/>
        <v>15.765707021404523</v>
      </c>
    </row>
    <row r="254" spans="1:10">
      <c r="A254" s="1">
        <v>45825</v>
      </c>
      <c r="B254">
        <f>(3/(1+('CurrentPor-LH=40 unchanged'!C254)/100)+103/POWER(1+('CurrentPor-LH=40 unchanged'!D254)/100,2))*100</f>
        <v>9707.5857774288397</v>
      </c>
      <c r="C254">
        <f>(3/(1+('CurrentPor-LH=40 unchanged'!C254+'CurrentPor-LH=40 unchanged'!G254)/100)+103/POWER(1+('CurrentPor-LH=40 unchanged'!D254+'CurrentPor-LH=40 unchanged'!G254)/100,2))*100</f>
        <v>9614.9673582483465</v>
      </c>
      <c r="D254">
        <f>(3/(1+('CurrentPor-LH=40 unchanged'!C254+'CurrentPor-LH=40 unchanged'!H254)/100)+103/POWER(1+('CurrentPor-LH=40 unchanged'!D254+'CurrentPor-LH=40 unchanged'!H254)/100,2))*100</f>
        <v>9601.2395558122898</v>
      </c>
      <c r="E254">
        <f>(3/(1+('CurrentPor-LH=40 unchanged'!C254+'CurrentPor-LH=40 unchanged'!I254)/100)+103/POWER(1+('CurrentPor-LH=40 unchanged'!D254+'CurrentPor-LH=40 unchanged'!I254)/100,2))*100</f>
        <v>9588.5699250861398</v>
      </c>
      <c r="F254">
        <f>Portfolio!B$5*'CurrentPor-LH=40 unchanged'!E254</f>
        <v>52143.895533915893</v>
      </c>
      <c r="G254">
        <f>Portfolio!B$6*'CurrentPor-LH=40 unchanged'!F254</f>
        <v>3696.2945087936532</v>
      </c>
      <c r="H254">
        <f>Portfolio!B$7*'CurrentPor-LH=40 unchanged'!J254</f>
        <v>2148.0998964419859</v>
      </c>
      <c r="I254">
        <f t="shared" si="6"/>
        <v>96500.652555727153</v>
      </c>
      <c r="J254">
        <f t="shared" si="7"/>
        <v>15.962387302031857</v>
      </c>
    </row>
    <row r="255" spans="1:10">
      <c r="A255" s="1">
        <v>45826</v>
      </c>
      <c r="B255">
        <f>(3/(1+('CurrentPor-LH=40 unchanged'!C255)/100)+103/POWER(1+('CurrentPor-LH=40 unchanged'!D255)/100,2))*100</f>
        <v>9707.5857774288397</v>
      </c>
      <c r="C255">
        <f>(3/(1+('CurrentPor-LH=40 unchanged'!C255+'CurrentPor-LH=40 unchanged'!G255)/100)+103/POWER(1+('CurrentPor-LH=40 unchanged'!D255+'CurrentPor-LH=40 unchanged'!G255)/100,2))*100</f>
        <v>9614.9673582483465</v>
      </c>
      <c r="D255">
        <f>(3/(1+('CurrentPor-LH=40 unchanged'!C255+'CurrentPor-LH=40 unchanged'!H255)/100)+103/POWER(1+('CurrentPor-LH=40 unchanged'!D255+'CurrentPor-LH=40 unchanged'!H255)/100,2))*100</f>
        <v>9601.2395558122898</v>
      </c>
      <c r="E255">
        <f>(3/(1+('CurrentPor-LH=40 unchanged'!C255+'CurrentPor-LH=40 unchanged'!I255)/100)+103/POWER(1+('CurrentPor-LH=40 unchanged'!D255+'CurrentPor-LH=40 unchanged'!I255)/100,2))*100</f>
        <v>9599.3574296519437</v>
      </c>
      <c r="F255">
        <f>Portfolio!B$5*'CurrentPor-LH=40 unchanged'!E255</f>
        <v>52143.895533915893</v>
      </c>
      <c r="G255">
        <f>Portfolio!B$6*'CurrentPor-LH=40 unchanged'!F255</f>
        <v>3696.2945087936532</v>
      </c>
      <c r="H255">
        <f>Portfolio!B$7*'CurrentPor-LH=40 unchanged'!J255</f>
        <v>2148.0998964419859</v>
      </c>
      <c r="I255">
        <f t="shared" si="6"/>
        <v>96511.440060292953</v>
      </c>
      <c r="J255">
        <f t="shared" si="7"/>
        <v>8.7874740225815913</v>
      </c>
    </row>
    <row r="256" spans="1:10">
      <c r="A256" s="1">
        <v>45827</v>
      </c>
      <c r="B256">
        <f>(3/(1+('CurrentPor-LH=40 unchanged'!C256)/100)+103/POWER(1+('CurrentPor-LH=40 unchanged'!D256)/100,2))*100</f>
        <v>9707.5857774288397</v>
      </c>
      <c r="C256">
        <f>(3/(1+('CurrentPor-LH=40 unchanged'!C256+'CurrentPor-LH=40 unchanged'!G256)/100)+103/POWER(1+('CurrentPor-LH=40 unchanged'!D256+'CurrentPor-LH=40 unchanged'!G256)/100,2))*100</f>
        <v>9614.9673582483465</v>
      </c>
      <c r="D256">
        <f>(3/(1+('CurrentPor-LH=40 unchanged'!C256+'CurrentPor-LH=40 unchanged'!H256)/100)+103/POWER(1+('CurrentPor-LH=40 unchanged'!D256+'CurrentPor-LH=40 unchanged'!H256)/100,2))*100</f>
        <v>9601.2395558122898</v>
      </c>
      <c r="E256">
        <f>(3/(1+('CurrentPor-LH=40 unchanged'!C256+'CurrentPor-LH=40 unchanged'!I256)/100)+103/POWER(1+('CurrentPor-LH=40 unchanged'!D256+'CurrentPor-LH=40 unchanged'!I256)/100,2))*100</f>
        <v>9575.0325397319502</v>
      </c>
      <c r="F256">
        <f>Portfolio!B$5*'CurrentPor-LH=40 unchanged'!E256</f>
        <v>52143.895533915893</v>
      </c>
      <c r="G256">
        <f>Portfolio!B$6*'CurrentPor-LH=40 unchanged'!F256</f>
        <v>3696.2945087936532</v>
      </c>
      <c r="H256">
        <f>Portfolio!B$7*'CurrentPor-LH=40 unchanged'!J256</f>
        <v>2148.0998964419859</v>
      </c>
      <c r="I256">
        <f t="shared" si="6"/>
        <v>96487.115170372956</v>
      </c>
      <c r="J256">
        <f t="shared" si="7"/>
        <v>-16.574842773668934</v>
      </c>
    </row>
    <row r="257" spans="1:10">
      <c r="A257" s="1">
        <v>45828</v>
      </c>
      <c r="B257">
        <f>(3/(1+('CurrentPor-LH=40 unchanged'!C257)/100)+103/POWER(1+('CurrentPor-LH=40 unchanged'!D257)/100,2))*100</f>
        <v>9707.5857774288397</v>
      </c>
      <c r="C257">
        <f>(3/(1+('CurrentPor-LH=40 unchanged'!C257+'CurrentPor-LH=40 unchanged'!G257)/100)+103/POWER(1+('CurrentPor-LH=40 unchanged'!D257+'CurrentPor-LH=40 unchanged'!G257)/100,2))*100</f>
        <v>9614.9673582483465</v>
      </c>
      <c r="D257">
        <f>(3/(1+('CurrentPor-LH=40 unchanged'!C257+'CurrentPor-LH=40 unchanged'!H257)/100)+103/POWER(1+('CurrentPor-LH=40 unchanged'!D257+'CurrentPor-LH=40 unchanged'!H257)/100,2))*100</f>
        <v>9601.2395558122898</v>
      </c>
      <c r="E257">
        <f>(3/(1+('CurrentPor-LH=40 unchanged'!C257+'CurrentPor-LH=40 unchanged'!I257)/100)+103/POWER(1+('CurrentPor-LH=40 unchanged'!D257+'CurrentPor-LH=40 unchanged'!I257)/100,2))*100</f>
        <v>9588.4765331043127</v>
      </c>
      <c r="F257">
        <f>Portfolio!B$5*'CurrentPor-LH=40 unchanged'!E257</f>
        <v>52143.895533915893</v>
      </c>
      <c r="G257">
        <f>Portfolio!B$6*'CurrentPor-LH=40 unchanged'!F257</f>
        <v>3696.2945087936532</v>
      </c>
      <c r="H257">
        <f>Portfolio!B$7*'CurrentPor-LH=40 unchanged'!J257</f>
        <v>2148.0998964419859</v>
      </c>
      <c r="I257">
        <f t="shared" si="6"/>
        <v>96500.559163745333</v>
      </c>
      <c r="J257">
        <f t="shared" si="7"/>
        <v>-2.9425291657098569</v>
      </c>
    </row>
    <row r="258" spans="1:10">
      <c r="A258" s="1">
        <v>45831</v>
      </c>
      <c r="B258">
        <f>(3/(1+('CurrentPor-LH=40 unchanged'!C258)/100)+103/POWER(1+('CurrentPor-LH=40 unchanged'!D258)/100,2))*100</f>
        <v>9707.5857774288397</v>
      </c>
      <c r="C258">
        <f>(3/(1+('CurrentPor-LH=40 unchanged'!C258+'CurrentPor-LH=40 unchanged'!G258)/100)+103/POWER(1+('CurrentPor-LH=40 unchanged'!D258+'CurrentPor-LH=40 unchanged'!G258)/100,2))*100</f>
        <v>9614.9673582483465</v>
      </c>
      <c r="D258">
        <f>(3/(1+('CurrentPor-LH=40 unchanged'!C258+'CurrentPor-LH=40 unchanged'!H258)/100)+103/POWER(1+('CurrentPor-LH=40 unchanged'!D258+'CurrentPor-LH=40 unchanged'!H258)/100,2))*100</f>
        <v>9601.2395558122898</v>
      </c>
      <c r="E258">
        <f>(3/(1+('CurrentPor-LH=40 unchanged'!C258+'CurrentPor-LH=40 unchanged'!I258)/100)+103/POWER(1+('CurrentPor-LH=40 unchanged'!D258+'CurrentPor-LH=40 unchanged'!I258)/100,2))*100</f>
        <v>9566.6513597430076</v>
      </c>
      <c r="F258">
        <f>Portfolio!B$5*'CurrentPor-LH=40 unchanged'!E258</f>
        <v>52143.895533915893</v>
      </c>
      <c r="G258">
        <f>Portfolio!B$6*'CurrentPor-LH=40 unchanged'!F258</f>
        <v>3696.2945087936532</v>
      </c>
      <c r="H258">
        <f>Portfolio!B$7*'CurrentPor-LH=40 unchanged'!J258</f>
        <v>2148.0998964419859</v>
      </c>
      <c r="I258">
        <f t="shared" si="6"/>
        <v>96478.733990384018</v>
      </c>
      <c r="J258">
        <f t="shared" si="7"/>
        <v>-23.221657149741077</v>
      </c>
    </row>
    <row r="259" spans="1:10">
      <c r="A259" s="1">
        <v>45832</v>
      </c>
      <c r="B259">
        <f>(3/(1+('CurrentPor-LH=40 unchanged'!C259)/100)+103/POWER(1+('CurrentPor-LH=40 unchanged'!D259)/100,2))*100</f>
        <v>9707.5857774288397</v>
      </c>
      <c r="C259">
        <f>(3/(1+('CurrentPor-LH=40 unchanged'!C259+'CurrentPor-LH=40 unchanged'!G259)/100)+103/POWER(1+('CurrentPor-LH=40 unchanged'!D259+'CurrentPor-LH=40 unchanged'!G259)/100,2))*100</f>
        <v>9614.9673582483465</v>
      </c>
      <c r="D259">
        <f>(3/(1+('CurrentPor-LH=40 unchanged'!C259+'CurrentPor-LH=40 unchanged'!H259)/100)+103/POWER(1+('CurrentPor-LH=40 unchanged'!D259+'CurrentPor-LH=40 unchanged'!H259)/100,2))*100</f>
        <v>9601.2395558122898</v>
      </c>
      <c r="E259">
        <f>(3/(1+('CurrentPor-LH=40 unchanged'!C259+'CurrentPor-LH=40 unchanged'!I259)/100)+103/POWER(1+('CurrentPor-LH=40 unchanged'!D259+'CurrentPor-LH=40 unchanged'!I259)/100,2))*100</f>
        <v>9567.6461248609321</v>
      </c>
      <c r="F259">
        <f>Portfolio!B$5*'CurrentPor-LH=40 unchanged'!E259</f>
        <v>52143.895533915893</v>
      </c>
      <c r="G259">
        <f>Portfolio!B$6*'CurrentPor-LH=40 unchanged'!F259</f>
        <v>3696.2945087936532</v>
      </c>
      <c r="H259">
        <f>Portfolio!B$7*'CurrentPor-LH=40 unchanged'!J259</f>
        <v>2148.0998964419859</v>
      </c>
      <c r="I259">
        <f t="shared" si="6"/>
        <v>96479.728755501943</v>
      </c>
      <c r="J259">
        <f t="shared" si="7"/>
        <v>-34.561842599781812</v>
      </c>
    </row>
    <row r="260" spans="1:10">
      <c r="A260" s="1">
        <v>45833</v>
      </c>
      <c r="B260">
        <f>(3/(1+('CurrentPor-LH=40 unchanged'!C260)/100)+103/POWER(1+('CurrentPor-LH=40 unchanged'!D260)/100,2))*100</f>
        <v>9707.5857774288397</v>
      </c>
      <c r="C260">
        <f>(3/(1+('CurrentPor-LH=40 unchanged'!C260+'CurrentPor-LH=40 unchanged'!G260)/100)+103/POWER(1+('CurrentPor-LH=40 unchanged'!D260+'CurrentPor-LH=40 unchanged'!G260)/100,2))*100</f>
        <v>9614.9673582483465</v>
      </c>
      <c r="D260">
        <f>(3/(1+('CurrentPor-LH=40 unchanged'!C260+'CurrentPor-LH=40 unchanged'!H260)/100)+103/POWER(1+('CurrentPor-LH=40 unchanged'!D260+'CurrentPor-LH=40 unchanged'!H260)/100,2))*100</f>
        <v>9601.2395558122898</v>
      </c>
      <c r="E260">
        <f>(3/(1+('CurrentPor-LH=40 unchanged'!C260+'CurrentPor-LH=40 unchanged'!I260)/100)+103/POWER(1+('CurrentPor-LH=40 unchanged'!D260+'CurrentPor-LH=40 unchanged'!I260)/100,2))*100</f>
        <v>9576.146416414138</v>
      </c>
      <c r="F260">
        <f>Portfolio!B$5*'CurrentPor-LH=40 unchanged'!E260</f>
        <v>52143.895533915893</v>
      </c>
      <c r="G260">
        <f>Portfolio!B$6*'CurrentPor-LH=40 unchanged'!F260</f>
        <v>3696.2945087936532</v>
      </c>
      <c r="H260">
        <f>Portfolio!B$7*'CurrentPor-LH=40 unchanged'!J260</f>
        <v>2148.0998964419859</v>
      </c>
      <c r="I260">
        <f t="shared" ref="I260:I263" si="8">SUM(B260:H260)</f>
        <v>96488.229047055138</v>
      </c>
      <c r="J260">
        <f t="shared" si="7"/>
        <v>5.267845670459792E-2</v>
      </c>
    </row>
    <row r="261" spans="1:10">
      <c r="A261" s="1">
        <v>45834</v>
      </c>
      <c r="B261">
        <f>(3/(1+('CurrentPor-LH=40 unchanged'!C261)/100)+103/POWER(1+('CurrentPor-LH=40 unchanged'!D261)/100,2))*100</f>
        <v>9707.5857774288397</v>
      </c>
      <c r="C261">
        <f>(3/(1+('CurrentPor-LH=40 unchanged'!C261+'CurrentPor-LH=40 unchanged'!G261)/100)+103/POWER(1+('CurrentPor-LH=40 unchanged'!D261+'CurrentPor-LH=40 unchanged'!G261)/100,2))*100</f>
        <v>9614.9673582483465</v>
      </c>
      <c r="D261">
        <f>(3/(1+('CurrentPor-LH=40 unchanged'!C261+'CurrentPor-LH=40 unchanged'!H261)/100)+103/POWER(1+('CurrentPor-LH=40 unchanged'!D261+'CurrentPor-LH=40 unchanged'!H261)/100,2))*100</f>
        <v>9601.2395558122898</v>
      </c>
      <c r="E261">
        <f>(3/(1+('CurrentPor-LH=40 unchanged'!C261+'CurrentPor-LH=40 unchanged'!I261)/100)+103/POWER(1+('CurrentPor-LH=40 unchanged'!D261+'CurrentPor-LH=40 unchanged'!I261)/100,2))*100</f>
        <v>9597.7681175900307</v>
      </c>
      <c r="F261">
        <f>Portfolio!B$5*'CurrentPor-LH=40 unchanged'!E261</f>
        <v>52143.895533915893</v>
      </c>
      <c r="G261">
        <f>Portfolio!B$6*'CurrentPor-LH=40 unchanged'!F261</f>
        <v>3696.2945087936532</v>
      </c>
      <c r="H261">
        <f>Portfolio!B$7*'CurrentPor-LH=40 unchanged'!J261</f>
        <v>2148.0998964419859</v>
      </c>
      <c r="I261">
        <f t="shared" si="8"/>
        <v>96509.850748231038</v>
      </c>
      <c r="J261">
        <f t="shared" si="7"/>
        <v>1.8190660995896906</v>
      </c>
    </row>
    <row r="262" spans="1:10">
      <c r="A262" s="1">
        <v>45835</v>
      </c>
      <c r="B262">
        <f>(3/(1+('CurrentPor-LH=40 unchanged'!C262)/100)+103/POWER(1+('CurrentPor-LH=40 unchanged'!D262)/100,2))*100</f>
        <v>9707.5857774288397</v>
      </c>
      <c r="C262">
        <f>(3/(1+('CurrentPor-LH=40 unchanged'!C262+'CurrentPor-LH=40 unchanged'!G262)/100)+103/POWER(1+('CurrentPor-LH=40 unchanged'!D262+'CurrentPor-LH=40 unchanged'!G262)/100,2))*100</f>
        <v>9614.9673582483465</v>
      </c>
      <c r="D262">
        <f>(3/(1+('CurrentPor-LH=40 unchanged'!C262+'CurrentPor-LH=40 unchanged'!H262)/100)+103/POWER(1+('CurrentPor-LH=40 unchanged'!D262+'CurrentPor-LH=40 unchanged'!H262)/100,2))*100</f>
        <v>9601.2395558122898</v>
      </c>
      <c r="E262">
        <f>(3/(1+('CurrentPor-LH=40 unchanged'!C262+'CurrentPor-LH=40 unchanged'!I262)/100)+103/POWER(1+('CurrentPor-LH=40 unchanged'!D262+'CurrentPor-LH=40 unchanged'!I262)/100,2))*100</f>
        <v>9581.1661296490092</v>
      </c>
      <c r="F262">
        <f>Portfolio!B$5*'CurrentPor-LH=40 unchanged'!E262</f>
        <v>52143.895533915893</v>
      </c>
      <c r="G262">
        <f>Portfolio!B$6*'CurrentPor-LH=40 unchanged'!F262</f>
        <v>3696.2945087936532</v>
      </c>
      <c r="H262">
        <f>Portfolio!B$7*'CurrentPor-LH=40 unchanged'!J262</f>
        <v>2148.0998964419859</v>
      </c>
      <c r="I262">
        <f t="shared" si="8"/>
        <v>96493.248760290022</v>
      </c>
      <c r="J262">
        <f t="shared" si="7"/>
        <v>-3.6588916844193591</v>
      </c>
    </row>
    <row r="263" spans="1:10">
      <c r="A263" s="1">
        <v>45838</v>
      </c>
      <c r="B263">
        <f>(3/(1+('CurrentPor-LH=40 unchanged'!C263)/100)+103/POWER(1+('CurrentPor-LH=40 unchanged'!D263)/100,2))*100</f>
        <v>9707.5857774288397</v>
      </c>
      <c r="C263">
        <f>(3/(1+('CurrentPor-LH=40 unchanged'!C263+'CurrentPor-LH=40 unchanged'!G263)/100)+103/POWER(1+('CurrentPor-LH=40 unchanged'!D263+'CurrentPor-LH=40 unchanged'!G263)/100,2))*100</f>
        <v>9614.9673582483465</v>
      </c>
      <c r="D263">
        <f>(3/(1+('CurrentPor-LH=40 unchanged'!C263+'CurrentPor-LH=40 unchanged'!H263)/100)+103/POWER(1+('CurrentPor-LH=40 unchanged'!D263+'CurrentPor-LH=40 unchanged'!H263)/100,2))*100</f>
        <v>9601.2395558122898</v>
      </c>
      <c r="E263">
        <f>(3/(1+('CurrentPor-LH=40 unchanged'!C263+'CurrentPor-LH=40 unchanged'!I263)/100)+103/POWER(1+('CurrentPor-LH=40 unchanged'!D263+'CurrentPor-LH=40 unchanged'!I263)/100,2))*100</f>
        <v>9593.7302485209475</v>
      </c>
      <c r="F263">
        <f>Portfolio!B$5*'CurrentPor-LH=40 unchanged'!E263</f>
        <v>52143.895533915893</v>
      </c>
      <c r="G263">
        <f>Portfolio!B$6*'CurrentPor-LH=40 unchanged'!F263</f>
        <v>3696.2945087936532</v>
      </c>
      <c r="H263">
        <f>Portfolio!B$7*'CurrentPor-LH=40 unchanged'!J263</f>
        <v>2148.0998964419859</v>
      </c>
      <c r="I263">
        <f t="shared" si="8"/>
        <v>96505.812879161953</v>
      </c>
      <c r="J263">
        <f t="shared" si="7"/>
        <v>7.8488429369754158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9F0F-59C3-46B9-935D-3A9998178D87}">
  <dimension ref="A1:L263"/>
  <sheetViews>
    <sheetView topLeftCell="C1" workbookViewId="0">
      <selection activeCell="H8" sqref="H8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(3/(1+('CurrentPor-LH=60 unchanged'!C3)/100)+103/POWER(1+('CurrentPor-LH=60 unchanged'!D3)/100,2))*100</f>
        <v>9707.5857774288397</v>
      </c>
      <c r="C3">
        <f>(3/(1+('CurrentPor-LH=60 unchanged'!C3+'CurrentPor-LH=60 unchanged'!G3)/100)+103/POWER(1+('CurrentPor-LH=60 unchanged'!D3+'CurrentPor-LH=60 unchanged'!G3)/100,2))*100</f>
        <v>9614.9673582483465</v>
      </c>
      <c r="D3">
        <f>(3/(1+('CurrentPor-LH=60 unchanged'!C3+'CurrentPor-LH=60 unchanged'!H3)/100)+103/POWER(1+('CurrentPor-LH=60 unchanged'!D3+'CurrentPor-LH=60 unchanged'!H3)/100,2))*100</f>
        <v>9601.2395558122898</v>
      </c>
      <c r="E3">
        <f>(3/(1+('CurrentPor-LH=60 unchanged'!C3+'CurrentPor-LH=60 unchanged'!I3)/100)+103/POWER(1+('CurrentPor-LH=60 unchanged'!D3+'CurrentPor-LH=60 unchanged'!I3)/100,2))*100</f>
        <v>9581.4547115644182</v>
      </c>
      <c r="F3">
        <f>Portfolio!B$5*'CurrentPor-LH=60 unchanged'!E3</f>
        <v>52143.895533915893</v>
      </c>
      <c r="G3">
        <f>Portfolio!B$6*'CurrentPor-LH=60 unchanged'!F3</f>
        <v>3696.2945087936532</v>
      </c>
      <c r="H3">
        <f>Portfolio!B$7*'CurrentPor-LH=60 unchanged'!J3</f>
        <v>2148.0998964419859</v>
      </c>
      <c r="I3">
        <f>SUM(B3:H3)</f>
        <v>96493.537342205425</v>
      </c>
      <c r="K3" s="8">
        <f>_xlfn.PERCENTILE.INC(J13:J263, 0.025)</f>
        <v>0</v>
      </c>
      <c r="L3">
        <f>AVERAGEIF(J13:J263, "&lt;="&amp;K3,J13:J263)</f>
        <v>0</v>
      </c>
    </row>
    <row r="4" spans="1:12">
      <c r="A4" s="1">
        <v>45475</v>
      </c>
      <c r="B4">
        <f>(3/(1+('CurrentPor-LH=60 unchanged'!C4)/100)+103/POWER(1+('CurrentPor-LH=60 unchanged'!D4)/100,2))*100</f>
        <v>9707.5857774288397</v>
      </c>
      <c r="C4">
        <f>(3/(1+('CurrentPor-LH=60 unchanged'!C4+'CurrentPor-LH=60 unchanged'!G4)/100)+103/POWER(1+('CurrentPor-LH=60 unchanged'!D4+'CurrentPor-LH=60 unchanged'!G4)/100,2))*100</f>
        <v>9614.9673582483465</v>
      </c>
      <c r="D4">
        <f>(3/(1+('CurrentPor-LH=60 unchanged'!C4+'CurrentPor-LH=60 unchanged'!H4)/100)+103/POWER(1+('CurrentPor-LH=60 unchanged'!D4+'CurrentPor-LH=60 unchanged'!H4)/100,2))*100</f>
        <v>9601.2395558122898</v>
      </c>
      <c r="E4">
        <f>(3/(1+('CurrentPor-LH=60 unchanged'!C4+'CurrentPor-LH=60 unchanged'!I4)/100)+103/POWER(1+('CurrentPor-LH=60 unchanged'!D4+'CurrentPor-LH=60 unchanged'!I4)/100,2))*100</f>
        <v>9581.4547115644182</v>
      </c>
      <c r="F4">
        <f>Portfolio!B$5*'CurrentPor-LH=60 unchanged'!E4</f>
        <v>52143.895533915893</v>
      </c>
      <c r="G4">
        <f>Portfolio!B$6*'CurrentPor-LH=60 unchanged'!F4</f>
        <v>3696.2945087936532</v>
      </c>
      <c r="H4">
        <f>Portfolio!B$7*'CurrentPor-LH=60 unchanged'!J4</f>
        <v>2148.0998964419859</v>
      </c>
      <c r="I4">
        <f t="shared" ref="I4:I67" si="0">SUM(B4:H4)</f>
        <v>96493.537342205425</v>
      </c>
    </row>
    <row r="5" spans="1:12">
      <c r="A5" s="1">
        <v>45476</v>
      </c>
      <c r="B5">
        <f>(3/(1+('CurrentPor-LH=60 unchanged'!C5)/100)+103/POWER(1+('CurrentPor-LH=60 unchanged'!D5)/100,2))*100</f>
        <v>9707.5857774288397</v>
      </c>
      <c r="C5">
        <f>(3/(1+('CurrentPor-LH=60 unchanged'!C5+'CurrentPor-LH=60 unchanged'!G5)/100)+103/POWER(1+('CurrentPor-LH=60 unchanged'!D5+'CurrentPor-LH=60 unchanged'!G5)/100,2))*100</f>
        <v>9614.9673582483465</v>
      </c>
      <c r="D5">
        <f>(3/(1+('CurrentPor-LH=60 unchanged'!C5+'CurrentPor-LH=60 unchanged'!H5)/100)+103/POWER(1+('CurrentPor-LH=60 unchanged'!D5+'CurrentPor-LH=60 unchanged'!H5)/100,2))*100</f>
        <v>9601.2395558122898</v>
      </c>
      <c r="E5">
        <f>(3/(1+('CurrentPor-LH=60 unchanged'!C5+'CurrentPor-LH=60 unchanged'!I5)/100)+103/POWER(1+('CurrentPor-LH=60 unchanged'!D5+'CurrentPor-LH=60 unchanged'!I5)/100,2))*100</f>
        <v>9581.4547115644182</v>
      </c>
      <c r="F5">
        <f>Portfolio!B$5*'CurrentPor-LH=60 unchanged'!E5</f>
        <v>52143.895533915893</v>
      </c>
      <c r="G5">
        <f>Portfolio!B$6*'CurrentPor-LH=60 unchanged'!F5</f>
        <v>3696.2945087936532</v>
      </c>
      <c r="H5">
        <f>Portfolio!B$7*'CurrentPor-LH=60 unchanged'!J5</f>
        <v>2148.0998964419859</v>
      </c>
      <c r="I5">
        <f t="shared" si="0"/>
        <v>96493.537342205425</v>
      </c>
    </row>
    <row r="6" spans="1:12">
      <c r="A6" s="1">
        <v>45477</v>
      </c>
      <c r="B6">
        <f>(3/(1+('CurrentPor-LH=60 unchanged'!C6)/100)+103/POWER(1+('CurrentPor-LH=60 unchanged'!D6)/100,2))*100</f>
        <v>9707.5857774288397</v>
      </c>
      <c r="C6">
        <f>(3/(1+('CurrentPor-LH=60 unchanged'!C6+'CurrentPor-LH=60 unchanged'!G6)/100)+103/POWER(1+('CurrentPor-LH=60 unchanged'!D6+'CurrentPor-LH=60 unchanged'!G6)/100,2))*100</f>
        <v>9614.9673582483465</v>
      </c>
      <c r="D6">
        <f>(3/(1+('CurrentPor-LH=60 unchanged'!C6+'CurrentPor-LH=60 unchanged'!H6)/100)+103/POWER(1+('CurrentPor-LH=60 unchanged'!D6+'CurrentPor-LH=60 unchanged'!H6)/100,2))*100</f>
        <v>9601.2395558122898</v>
      </c>
      <c r="E6">
        <f>(3/(1+('CurrentPor-LH=60 unchanged'!C6+'CurrentPor-LH=60 unchanged'!I6)/100)+103/POWER(1+('CurrentPor-LH=60 unchanged'!D6+'CurrentPor-LH=60 unchanged'!I6)/100,2))*100</f>
        <v>9581.4547115644182</v>
      </c>
      <c r="F6">
        <f>Portfolio!B$5*'CurrentPor-LH=60 unchanged'!E6</f>
        <v>52143.895533915893</v>
      </c>
      <c r="G6">
        <f>Portfolio!B$6*'CurrentPor-LH=60 unchanged'!F6</f>
        <v>3696.2945087936532</v>
      </c>
      <c r="H6">
        <f>Portfolio!B$7*'CurrentPor-LH=60 unchanged'!J6</f>
        <v>2148.0998964419859</v>
      </c>
      <c r="I6">
        <f t="shared" si="0"/>
        <v>96493.537342205425</v>
      </c>
    </row>
    <row r="7" spans="1:12">
      <c r="A7" s="1">
        <v>45478</v>
      </c>
      <c r="B7">
        <f>(3/(1+('CurrentPor-LH=60 unchanged'!C7)/100)+103/POWER(1+('CurrentPor-LH=60 unchanged'!D7)/100,2))*100</f>
        <v>9707.5857774288397</v>
      </c>
      <c r="C7">
        <f>(3/(1+('CurrentPor-LH=60 unchanged'!C7+'CurrentPor-LH=60 unchanged'!G7)/100)+103/POWER(1+('CurrentPor-LH=60 unchanged'!D7+'CurrentPor-LH=60 unchanged'!G7)/100,2))*100</f>
        <v>9614.9673582483465</v>
      </c>
      <c r="D7">
        <f>(3/(1+('CurrentPor-LH=60 unchanged'!C7+'CurrentPor-LH=60 unchanged'!H7)/100)+103/POWER(1+('CurrentPor-LH=60 unchanged'!D7+'CurrentPor-LH=60 unchanged'!H7)/100,2))*100</f>
        <v>9601.2395558122898</v>
      </c>
      <c r="E7">
        <f>(3/(1+('CurrentPor-LH=60 unchanged'!C7+'CurrentPor-LH=60 unchanged'!I7)/100)+103/POWER(1+('CurrentPor-LH=60 unchanged'!D7+'CurrentPor-LH=60 unchanged'!I7)/100,2))*100</f>
        <v>9581.4547115644182</v>
      </c>
      <c r="F7">
        <f>Portfolio!B$5*'CurrentPor-LH=60 unchanged'!E7</f>
        <v>52143.895533915893</v>
      </c>
      <c r="G7">
        <f>Portfolio!B$6*'CurrentPor-LH=60 unchanged'!F7</f>
        <v>3696.2945087936532</v>
      </c>
      <c r="H7">
        <f>Portfolio!B$7*'CurrentPor-LH=60 unchanged'!J7</f>
        <v>2148.0998964419859</v>
      </c>
      <c r="I7">
        <f t="shared" si="0"/>
        <v>96493.537342205425</v>
      </c>
    </row>
    <row r="8" spans="1:12">
      <c r="A8" s="1">
        <v>45481</v>
      </c>
      <c r="B8">
        <f>(3/(1+('CurrentPor-LH=60 unchanged'!C8)/100)+103/POWER(1+('CurrentPor-LH=60 unchanged'!D8)/100,2))*100</f>
        <v>9707.5857774288397</v>
      </c>
      <c r="C8">
        <f>(3/(1+('CurrentPor-LH=60 unchanged'!C8+'CurrentPor-LH=60 unchanged'!G8)/100)+103/POWER(1+('CurrentPor-LH=60 unchanged'!D8+'CurrentPor-LH=60 unchanged'!G8)/100,2))*100</f>
        <v>9614.9673582483465</v>
      </c>
      <c r="D8">
        <f>(3/(1+('CurrentPor-LH=60 unchanged'!C8+'CurrentPor-LH=60 unchanged'!H8)/100)+103/POWER(1+('CurrentPor-LH=60 unchanged'!D8+'CurrentPor-LH=60 unchanged'!H8)/100,2))*100</f>
        <v>9601.2395558122898</v>
      </c>
      <c r="E8">
        <f>(3/(1+('CurrentPor-LH=60 unchanged'!C8+'CurrentPor-LH=60 unchanged'!I8)/100)+103/POWER(1+('CurrentPor-LH=60 unchanged'!D8+'CurrentPor-LH=60 unchanged'!I8)/100,2))*100</f>
        <v>9581.4547115644182</v>
      </c>
      <c r="F8">
        <f>Portfolio!B$5*'CurrentPor-LH=60 unchanged'!E8</f>
        <v>52143.895533915893</v>
      </c>
      <c r="G8">
        <f>Portfolio!B$6*'CurrentPor-LH=60 unchanged'!F8</f>
        <v>3696.2945087936532</v>
      </c>
      <c r="H8">
        <f>Portfolio!B$7*'CurrentPor-LH=60 unchanged'!J8</f>
        <v>2148.0998964419859</v>
      </c>
      <c r="I8">
        <f t="shared" si="0"/>
        <v>96493.537342205425</v>
      </c>
    </row>
    <row r="9" spans="1:12">
      <c r="A9" s="1">
        <v>45482</v>
      </c>
      <c r="B9">
        <f>(3/(1+('CurrentPor-LH=60 unchanged'!C9)/100)+103/POWER(1+('CurrentPor-LH=60 unchanged'!D9)/100,2))*100</f>
        <v>9707.5857774288397</v>
      </c>
      <c r="C9">
        <f>(3/(1+('CurrentPor-LH=60 unchanged'!C9+'CurrentPor-LH=60 unchanged'!G9)/100)+103/POWER(1+('CurrentPor-LH=60 unchanged'!D9+'CurrentPor-LH=60 unchanged'!G9)/100,2))*100</f>
        <v>9614.9673582483465</v>
      </c>
      <c r="D9">
        <f>(3/(1+('CurrentPor-LH=60 unchanged'!C9+'CurrentPor-LH=60 unchanged'!H9)/100)+103/POWER(1+('CurrentPor-LH=60 unchanged'!D9+'CurrentPor-LH=60 unchanged'!H9)/100,2))*100</f>
        <v>9601.2395558122898</v>
      </c>
      <c r="E9">
        <f>(3/(1+('CurrentPor-LH=60 unchanged'!C9+'CurrentPor-LH=60 unchanged'!I9)/100)+103/POWER(1+('CurrentPor-LH=60 unchanged'!D9+'CurrentPor-LH=60 unchanged'!I9)/100,2))*100</f>
        <v>9581.4547115644182</v>
      </c>
      <c r="F9">
        <f>Portfolio!B$5*'CurrentPor-LH=60 unchanged'!E9</f>
        <v>52143.895533915893</v>
      </c>
      <c r="G9">
        <f>Portfolio!B$6*'CurrentPor-LH=60 unchanged'!F9</f>
        <v>3696.2945087936532</v>
      </c>
      <c r="H9">
        <f>Portfolio!B$7*'CurrentPor-LH=60 unchanged'!J9</f>
        <v>2148.0998964419859</v>
      </c>
      <c r="I9">
        <f t="shared" si="0"/>
        <v>96493.537342205425</v>
      </c>
    </row>
    <row r="10" spans="1:12">
      <c r="A10" s="1">
        <v>45483</v>
      </c>
      <c r="B10">
        <f>(3/(1+('CurrentPor-LH=60 unchanged'!C10)/100)+103/POWER(1+('CurrentPor-LH=60 unchanged'!D10)/100,2))*100</f>
        <v>9707.5857774288397</v>
      </c>
      <c r="C10">
        <f>(3/(1+('CurrentPor-LH=60 unchanged'!C10+'CurrentPor-LH=60 unchanged'!G10)/100)+103/POWER(1+('CurrentPor-LH=60 unchanged'!D10+'CurrentPor-LH=60 unchanged'!G10)/100,2))*100</f>
        <v>9614.9673582483465</v>
      </c>
      <c r="D10">
        <f>(3/(1+('CurrentPor-LH=60 unchanged'!C10+'CurrentPor-LH=60 unchanged'!H10)/100)+103/POWER(1+('CurrentPor-LH=60 unchanged'!D10+'CurrentPor-LH=60 unchanged'!H10)/100,2))*100</f>
        <v>9601.2395558122898</v>
      </c>
      <c r="E10">
        <f>(3/(1+('CurrentPor-LH=60 unchanged'!C10+'CurrentPor-LH=60 unchanged'!I10)/100)+103/POWER(1+('CurrentPor-LH=60 unchanged'!D10+'CurrentPor-LH=60 unchanged'!I10)/100,2))*100</f>
        <v>9581.4547115644182</v>
      </c>
      <c r="F10">
        <f>Portfolio!B$5*'CurrentPor-LH=60 unchanged'!E10</f>
        <v>52143.895533915893</v>
      </c>
      <c r="G10">
        <f>Portfolio!B$6*'CurrentPor-LH=60 unchanged'!F10</f>
        <v>3696.2945087936532</v>
      </c>
      <c r="H10">
        <f>Portfolio!B$7*'CurrentPor-LH=60 unchanged'!J10</f>
        <v>2148.0998964419859</v>
      </c>
      <c r="I10">
        <f t="shared" si="0"/>
        <v>96493.537342205425</v>
      </c>
    </row>
    <row r="11" spans="1:12">
      <c r="A11" s="1">
        <v>45484</v>
      </c>
      <c r="B11">
        <f>(3/(1+('CurrentPor-LH=60 unchanged'!C11)/100)+103/POWER(1+('CurrentPor-LH=60 unchanged'!D11)/100,2))*100</f>
        <v>9707.5857774288397</v>
      </c>
      <c r="C11">
        <f>(3/(1+('CurrentPor-LH=60 unchanged'!C11+'CurrentPor-LH=60 unchanged'!G11)/100)+103/POWER(1+('CurrentPor-LH=60 unchanged'!D11+'CurrentPor-LH=60 unchanged'!G11)/100,2))*100</f>
        <v>9614.9673582483465</v>
      </c>
      <c r="D11">
        <f>(3/(1+('CurrentPor-LH=60 unchanged'!C11+'CurrentPor-LH=60 unchanged'!H11)/100)+103/POWER(1+('CurrentPor-LH=60 unchanged'!D11+'CurrentPor-LH=60 unchanged'!H11)/100,2))*100</f>
        <v>9601.2395558122898</v>
      </c>
      <c r="E11">
        <f>(3/(1+('CurrentPor-LH=60 unchanged'!C11+'CurrentPor-LH=60 unchanged'!I11)/100)+103/POWER(1+('CurrentPor-LH=60 unchanged'!D11+'CurrentPor-LH=60 unchanged'!I11)/100,2))*100</f>
        <v>9581.4547115644182</v>
      </c>
      <c r="F11">
        <f>Portfolio!B$5*'CurrentPor-LH=60 unchanged'!E11</f>
        <v>52143.895533915893</v>
      </c>
      <c r="G11">
        <f>Portfolio!B$6*'CurrentPor-LH=60 unchanged'!F11</f>
        <v>3696.2945087936532</v>
      </c>
      <c r="H11">
        <f>Portfolio!B$7*'CurrentPor-LH=60 unchanged'!J11</f>
        <v>2148.0998964419859</v>
      </c>
      <c r="I11">
        <f t="shared" si="0"/>
        <v>96493.537342205425</v>
      </c>
    </row>
    <row r="12" spans="1:12">
      <c r="A12" s="1">
        <v>45485</v>
      </c>
      <c r="B12">
        <f>(3/(1+('CurrentPor-LH=60 unchanged'!C12)/100)+103/POWER(1+('CurrentPor-LH=60 unchanged'!D12)/100,2))*100</f>
        <v>9707.5857774288397</v>
      </c>
      <c r="C12">
        <f>(3/(1+('CurrentPor-LH=60 unchanged'!C12+'CurrentPor-LH=60 unchanged'!G12)/100)+103/POWER(1+('CurrentPor-LH=60 unchanged'!D12+'CurrentPor-LH=60 unchanged'!G12)/100,2))*100</f>
        <v>9614.9673582483465</v>
      </c>
      <c r="D12">
        <f>(3/(1+('CurrentPor-LH=60 unchanged'!C12+'CurrentPor-LH=60 unchanged'!H12)/100)+103/POWER(1+('CurrentPor-LH=60 unchanged'!D12+'CurrentPor-LH=60 unchanged'!H12)/100,2))*100</f>
        <v>9601.2395558122898</v>
      </c>
      <c r="E12">
        <f>(3/(1+('CurrentPor-LH=60 unchanged'!C12+'CurrentPor-LH=60 unchanged'!I12)/100)+103/POWER(1+('CurrentPor-LH=60 unchanged'!D12+'CurrentPor-LH=60 unchanged'!I12)/100,2))*100</f>
        <v>9581.4547115644182</v>
      </c>
      <c r="F12">
        <f>Portfolio!B$5*'CurrentPor-LH=60 unchanged'!E12</f>
        <v>52143.895533915893</v>
      </c>
      <c r="G12">
        <f>Portfolio!B$6*'CurrentPor-LH=60 unchanged'!F12</f>
        <v>3696.2945087936532</v>
      </c>
      <c r="H12">
        <f>Portfolio!B$7*'CurrentPor-LH=60 unchanged'!J12</f>
        <v>2148.0998964419859</v>
      </c>
      <c r="I12">
        <f t="shared" si="0"/>
        <v>96493.537342205425</v>
      </c>
    </row>
    <row r="13" spans="1:12">
      <c r="A13" s="1">
        <v>45488</v>
      </c>
      <c r="B13">
        <f>(3/(1+('CurrentPor-LH=60 unchanged'!C13)/100)+103/POWER(1+('CurrentPor-LH=60 unchanged'!D13)/100,2))*100</f>
        <v>9707.5857774288397</v>
      </c>
      <c r="C13">
        <f>(3/(1+('CurrentPor-LH=60 unchanged'!C13+'CurrentPor-LH=60 unchanged'!G13)/100)+103/POWER(1+('CurrentPor-LH=60 unchanged'!D13+'CurrentPor-LH=60 unchanged'!G13)/100,2))*100</f>
        <v>9614.9673582483465</v>
      </c>
      <c r="D13">
        <f>(3/(1+('CurrentPor-LH=60 unchanged'!C13+'CurrentPor-LH=60 unchanged'!H13)/100)+103/POWER(1+('CurrentPor-LH=60 unchanged'!D13+'CurrentPor-LH=60 unchanged'!H13)/100,2))*100</f>
        <v>9601.2395558122898</v>
      </c>
      <c r="E13">
        <f>(3/(1+('CurrentPor-LH=60 unchanged'!C13+'CurrentPor-LH=60 unchanged'!I13)/100)+103/POWER(1+('CurrentPor-LH=60 unchanged'!D13+'CurrentPor-LH=60 unchanged'!I13)/100,2))*100</f>
        <v>9581.4547115644182</v>
      </c>
      <c r="F13">
        <f>Portfolio!B$5*'CurrentPor-LH=60 unchanged'!E13</f>
        <v>52143.895533915893</v>
      </c>
      <c r="G13">
        <f>Portfolio!B$6*'CurrentPor-LH=60 unchanged'!F13</f>
        <v>3696.2945087936532</v>
      </c>
      <c r="H13">
        <f>Portfolio!B$7*'CurrentPor-LH=60 unchanged'!J13</f>
        <v>2148.0998964419859</v>
      </c>
      <c r="I13">
        <f t="shared" si="0"/>
        <v>96493.537342205425</v>
      </c>
      <c r="J13">
        <f>I13-I3</f>
        <v>0</v>
      </c>
    </row>
    <row r="14" spans="1:12">
      <c r="A14" s="1">
        <v>45489</v>
      </c>
      <c r="B14">
        <f>(3/(1+('CurrentPor-LH=60 unchanged'!C14)/100)+103/POWER(1+('CurrentPor-LH=60 unchanged'!D14)/100,2))*100</f>
        <v>9707.5857774288397</v>
      </c>
      <c r="C14">
        <f>(3/(1+('CurrentPor-LH=60 unchanged'!C14+'CurrentPor-LH=60 unchanged'!G14)/100)+103/POWER(1+('CurrentPor-LH=60 unchanged'!D14+'CurrentPor-LH=60 unchanged'!G14)/100,2))*100</f>
        <v>9614.9673582483465</v>
      </c>
      <c r="D14">
        <f>(3/(1+('CurrentPor-LH=60 unchanged'!C14+'CurrentPor-LH=60 unchanged'!H14)/100)+103/POWER(1+('CurrentPor-LH=60 unchanged'!D14+'CurrentPor-LH=60 unchanged'!H14)/100,2))*100</f>
        <v>9601.2395558122898</v>
      </c>
      <c r="E14">
        <f>(3/(1+('CurrentPor-LH=60 unchanged'!C14+'CurrentPor-LH=60 unchanged'!I14)/100)+103/POWER(1+('CurrentPor-LH=60 unchanged'!D14+'CurrentPor-LH=60 unchanged'!I14)/100,2))*100</f>
        <v>9581.4547115644182</v>
      </c>
      <c r="F14">
        <f>Portfolio!B$5*'CurrentPor-LH=60 unchanged'!E14</f>
        <v>52143.895533915893</v>
      </c>
      <c r="G14">
        <f>Portfolio!B$6*'CurrentPor-LH=60 unchanged'!F14</f>
        <v>3696.2945087936532</v>
      </c>
      <c r="H14">
        <f>Portfolio!B$7*'CurrentPor-LH=60 unchanged'!J14</f>
        <v>2148.0998964419859</v>
      </c>
      <c r="I14">
        <f t="shared" si="0"/>
        <v>96493.537342205425</v>
      </c>
      <c r="J14">
        <f t="shared" ref="J14:J77" si="1">I14-I4</f>
        <v>0</v>
      </c>
    </row>
    <row r="15" spans="1:12">
      <c r="A15" s="1">
        <v>45490</v>
      </c>
      <c r="B15">
        <f>(3/(1+('CurrentPor-LH=60 unchanged'!C15)/100)+103/POWER(1+('CurrentPor-LH=60 unchanged'!D15)/100,2))*100</f>
        <v>9707.5857774288397</v>
      </c>
      <c r="C15">
        <f>(3/(1+('CurrentPor-LH=60 unchanged'!C15+'CurrentPor-LH=60 unchanged'!G15)/100)+103/POWER(1+('CurrentPor-LH=60 unchanged'!D15+'CurrentPor-LH=60 unchanged'!G15)/100,2))*100</f>
        <v>9614.9673582483465</v>
      </c>
      <c r="D15">
        <f>(3/(1+('CurrentPor-LH=60 unchanged'!C15+'CurrentPor-LH=60 unchanged'!H15)/100)+103/POWER(1+('CurrentPor-LH=60 unchanged'!D15+'CurrentPor-LH=60 unchanged'!H15)/100,2))*100</f>
        <v>9601.2395558122898</v>
      </c>
      <c r="E15">
        <f>(3/(1+('CurrentPor-LH=60 unchanged'!C15+'CurrentPor-LH=60 unchanged'!I15)/100)+103/POWER(1+('CurrentPor-LH=60 unchanged'!D15+'CurrentPor-LH=60 unchanged'!I15)/100,2))*100</f>
        <v>9581.4547115644182</v>
      </c>
      <c r="F15">
        <f>Portfolio!B$5*'CurrentPor-LH=60 unchanged'!E15</f>
        <v>52143.895533915893</v>
      </c>
      <c r="G15">
        <f>Portfolio!B$6*'CurrentPor-LH=60 unchanged'!F15</f>
        <v>3696.2945087936532</v>
      </c>
      <c r="H15">
        <f>Portfolio!B$7*'CurrentPor-LH=60 unchanged'!J15</f>
        <v>2148.0998964419859</v>
      </c>
      <c r="I15">
        <f t="shared" si="0"/>
        <v>96493.537342205425</v>
      </c>
      <c r="J15">
        <f t="shared" si="1"/>
        <v>0</v>
      </c>
    </row>
    <row r="16" spans="1:12">
      <c r="A16" s="1">
        <v>45491</v>
      </c>
      <c r="B16">
        <f>(3/(1+('CurrentPor-LH=60 unchanged'!C16)/100)+103/POWER(1+('CurrentPor-LH=60 unchanged'!D16)/100,2))*100</f>
        <v>9707.5857774288397</v>
      </c>
      <c r="C16">
        <f>(3/(1+('CurrentPor-LH=60 unchanged'!C16+'CurrentPor-LH=60 unchanged'!G16)/100)+103/POWER(1+('CurrentPor-LH=60 unchanged'!D16+'CurrentPor-LH=60 unchanged'!G16)/100,2))*100</f>
        <v>9614.9673582483465</v>
      </c>
      <c r="D16">
        <f>(3/(1+('CurrentPor-LH=60 unchanged'!C16+'CurrentPor-LH=60 unchanged'!H16)/100)+103/POWER(1+('CurrentPor-LH=60 unchanged'!D16+'CurrentPor-LH=60 unchanged'!H16)/100,2))*100</f>
        <v>9601.2395558122898</v>
      </c>
      <c r="E16">
        <f>(3/(1+('CurrentPor-LH=60 unchanged'!C16+'CurrentPor-LH=60 unchanged'!I16)/100)+103/POWER(1+('CurrentPor-LH=60 unchanged'!D16+'CurrentPor-LH=60 unchanged'!I16)/100,2))*100</f>
        <v>9581.4547115644182</v>
      </c>
      <c r="F16">
        <f>Portfolio!B$5*'CurrentPor-LH=60 unchanged'!E16</f>
        <v>52143.895533915893</v>
      </c>
      <c r="G16">
        <f>Portfolio!B$6*'CurrentPor-LH=60 unchanged'!F16</f>
        <v>3696.2945087936532</v>
      </c>
      <c r="H16">
        <f>Portfolio!B$7*'CurrentPor-LH=60 unchanged'!J16</f>
        <v>2148.0998964419859</v>
      </c>
      <c r="I16">
        <f t="shared" si="0"/>
        <v>96493.537342205425</v>
      </c>
      <c r="J16">
        <f t="shared" si="1"/>
        <v>0</v>
      </c>
    </row>
    <row r="17" spans="1:10">
      <c r="A17" s="1">
        <v>45492</v>
      </c>
      <c r="B17">
        <f>(3/(1+('CurrentPor-LH=60 unchanged'!C17)/100)+103/POWER(1+('CurrentPor-LH=60 unchanged'!D17)/100,2))*100</f>
        <v>9707.5857774288397</v>
      </c>
      <c r="C17">
        <f>(3/(1+('CurrentPor-LH=60 unchanged'!C17+'CurrentPor-LH=60 unchanged'!G17)/100)+103/POWER(1+('CurrentPor-LH=60 unchanged'!D17+'CurrentPor-LH=60 unchanged'!G17)/100,2))*100</f>
        <v>9614.9673582483465</v>
      </c>
      <c r="D17">
        <f>(3/(1+('CurrentPor-LH=60 unchanged'!C17+'CurrentPor-LH=60 unchanged'!H17)/100)+103/POWER(1+('CurrentPor-LH=60 unchanged'!D17+'CurrentPor-LH=60 unchanged'!H17)/100,2))*100</f>
        <v>9601.2395558122898</v>
      </c>
      <c r="E17">
        <f>(3/(1+('CurrentPor-LH=60 unchanged'!C17+'CurrentPor-LH=60 unchanged'!I17)/100)+103/POWER(1+('CurrentPor-LH=60 unchanged'!D17+'CurrentPor-LH=60 unchanged'!I17)/100,2))*100</f>
        <v>9581.4547115644182</v>
      </c>
      <c r="F17">
        <f>Portfolio!B$5*'CurrentPor-LH=60 unchanged'!E17</f>
        <v>52143.895533915893</v>
      </c>
      <c r="G17">
        <f>Portfolio!B$6*'CurrentPor-LH=60 unchanged'!F17</f>
        <v>3696.2945087936532</v>
      </c>
      <c r="H17">
        <f>Portfolio!B$7*'CurrentPor-LH=60 unchanged'!J17</f>
        <v>2148.0998964419859</v>
      </c>
      <c r="I17">
        <f t="shared" si="0"/>
        <v>96493.537342205425</v>
      </c>
      <c r="J17">
        <f t="shared" si="1"/>
        <v>0</v>
      </c>
    </row>
    <row r="18" spans="1:10">
      <c r="A18" s="1">
        <v>45495</v>
      </c>
      <c r="B18">
        <f>(3/(1+('CurrentPor-LH=60 unchanged'!C18)/100)+103/POWER(1+('CurrentPor-LH=60 unchanged'!D18)/100,2))*100</f>
        <v>9707.5857774288397</v>
      </c>
      <c r="C18">
        <f>(3/(1+('CurrentPor-LH=60 unchanged'!C18+'CurrentPor-LH=60 unchanged'!G18)/100)+103/POWER(1+('CurrentPor-LH=60 unchanged'!D18+'CurrentPor-LH=60 unchanged'!G18)/100,2))*100</f>
        <v>9614.9673582483465</v>
      </c>
      <c r="D18">
        <f>(3/(1+('CurrentPor-LH=60 unchanged'!C18+'CurrentPor-LH=60 unchanged'!H18)/100)+103/POWER(1+('CurrentPor-LH=60 unchanged'!D18+'CurrentPor-LH=60 unchanged'!H18)/100,2))*100</f>
        <v>9601.2395558122898</v>
      </c>
      <c r="E18">
        <f>(3/(1+('CurrentPor-LH=60 unchanged'!C18+'CurrentPor-LH=60 unchanged'!I18)/100)+103/POWER(1+('CurrentPor-LH=60 unchanged'!D18+'CurrentPor-LH=60 unchanged'!I18)/100,2))*100</f>
        <v>9581.4547115644182</v>
      </c>
      <c r="F18">
        <f>Portfolio!B$5*'CurrentPor-LH=60 unchanged'!E18</f>
        <v>52143.895533915893</v>
      </c>
      <c r="G18">
        <f>Portfolio!B$6*'CurrentPor-LH=60 unchanged'!F18</f>
        <v>3696.2945087936532</v>
      </c>
      <c r="H18">
        <f>Portfolio!B$7*'CurrentPor-LH=60 unchanged'!J18</f>
        <v>2148.0998964419859</v>
      </c>
      <c r="I18">
        <f t="shared" si="0"/>
        <v>96493.537342205425</v>
      </c>
      <c r="J18">
        <f t="shared" si="1"/>
        <v>0</v>
      </c>
    </row>
    <row r="19" spans="1:10">
      <c r="A19" s="1">
        <v>45496</v>
      </c>
      <c r="B19">
        <f>(3/(1+('CurrentPor-LH=60 unchanged'!C19)/100)+103/POWER(1+('CurrentPor-LH=60 unchanged'!D19)/100,2))*100</f>
        <v>9707.5857774288397</v>
      </c>
      <c r="C19">
        <f>(3/(1+('CurrentPor-LH=60 unchanged'!C19+'CurrentPor-LH=60 unchanged'!G19)/100)+103/POWER(1+('CurrentPor-LH=60 unchanged'!D19+'CurrentPor-LH=60 unchanged'!G19)/100,2))*100</f>
        <v>9614.9673582483465</v>
      </c>
      <c r="D19">
        <f>(3/(1+('CurrentPor-LH=60 unchanged'!C19+'CurrentPor-LH=60 unchanged'!H19)/100)+103/POWER(1+('CurrentPor-LH=60 unchanged'!D19+'CurrentPor-LH=60 unchanged'!H19)/100,2))*100</f>
        <v>9601.2395558122898</v>
      </c>
      <c r="E19">
        <f>(3/(1+('CurrentPor-LH=60 unchanged'!C19+'CurrentPor-LH=60 unchanged'!I19)/100)+103/POWER(1+('CurrentPor-LH=60 unchanged'!D19+'CurrentPor-LH=60 unchanged'!I19)/100,2))*100</f>
        <v>9581.4547115644182</v>
      </c>
      <c r="F19">
        <f>Portfolio!B$5*'CurrentPor-LH=60 unchanged'!E19</f>
        <v>52143.895533915893</v>
      </c>
      <c r="G19">
        <f>Portfolio!B$6*'CurrentPor-LH=60 unchanged'!F19</f>
        <v>3696.2945087936532</v>
      </c>
      <c r="H19">
        <f>Portfolio!B$7*'CurrentPor-LH=60 unchanged'!J19</f>
        <v>2148.0998964419859</v>
      </c>
      <c r="I19">
        <f t="shared" si="0"/>
        <v>96493.537342205425</v>
      </c>
      <c r="J19">
        <f t="shared" si="1"/>
        <v>0</v>
      </c>
    </row>
    <row r="20" spans="1:10">
      <c r="A20" s="1">
        <v>45497</v>
      </c>
      <c r="B20">
        <f>(3/(1+('CurrentPor-LH=60 unchanged'!C20)/100)+103/POWER(1+('CurrentPor-LH=60 unchanged'!D20)/100,2))*100</f>
        <v>9707.5857774288397</v>
      </c>
      <c r="C20">
        <f>(3/(1+('CurrentPor-LH=60 unchanged'!C20+'CurrentPor-LH=60 unchanged'!G20)/100)+103/POWER(1+('CurrentPor-LH=60 unchanged'!D20+'CurrentPor-LH=60 unchanged'!G20)/100,2))*100</f>
        <v>9614.9673582483465</v>
      </c>
      <c r="D20">
        <f>(3/(1+('CurrentPor-LH=60 unchanged'!C20+'CurrentPor-LH=60 unchanged'!H20)/100)+103/POWER(1+('CurrentPor-LH=60 unchanged'!D20+'CurrentPor-LH=60 unchanged'!H20)/100,2))*100</f>
        <v>9601.2395558122898</v>
      </c>
      <c r="E20">
        <f>(3/(1+('CurrentPor-LH=60 unchanged'!C20+'CurrentPor-LH=60 unchanged'!I20)/100)+103/POWER(1+('CurrentPor-LH=60 unchanged'!D20+'CurrentPor-LH=60 unchanged'!I20)/100,2))*100</f>
        <v>9581.4547115644182</v>
      </c>
      <c r="F20">
        <f>Portfolio!B$5*'CurrentPor-LH=60 unchanged'!E20</f>
        <v>52143.895533915893</v>
      </c>
      <c r="G20">
        <f>Portfolio!B$6*'CurrentPor-LH=60 unchanged'!F20</f>
        <v>3696.2945087936532</v>
      </c>
      <c r="H20">
        <f>Portfolio!B$7*'CurrentPor-LH=60 unchanged'!J20</f>
        <v>2148.0998964419859</v>
      </c>
      <c r="I20">
        <f t="shared" si="0"/>
        <v>96493.537342205425</v>
      </c>
      <c r="J20">
        <f t="shared" si="1"/>
        <v>0</v>
      </c>
    </row>
    <row r="21" spans="1:10">
      <c r="A21" s="1">
        <v>45498</v>
      </c>
      <c r="B21">
        <f>(3/(1+('CurrentPor-LH=60 unchanged'!C21)/100)+103/POWER(1+('CurrentPor-LH=60 unchanged'!D21)/100,2))*100</f>
        <v>9707.5857774288397</v>
      </c>
      <c r="C21">
        <f>(3/(1+('CurrentPor-LH=60 unchanged'!C21+'CurrentPor-LH=60 unchanged'!G21)/100)+103/POWER(1+('CurrentPor-LH=60 unchanged'!D21+'CurrentPor-LH=60 unchanged'!G21)/100,2))*100</f>
        <v>9614.9673582483465</v>
      </c>
      <c r="D21">
        <f>(3/(1+('CurrentPor-LH=60 unchanged'!C21+'CurrentPor-LH=60 unchanged'!H21)/100)+103/POWER(1+('CurrentPor-LH=60 unchanged'!D21+'CurrentPor-LH=60 unchanged'!H21)/100,2))*100</f>
        <v>9601.2395558122898</v>
      </c>
      <c r="E21">
        <f>(3/(1+('CurrentPor-LH=60 unchanged'!C21+'CurrentPor-LH=60 unchanged'!I21)/100)+103/POWER(1+('CurrentPor-LH=60 unchanged'!D21+'CurrentPor-LH=60 unchanged'!I21)/100,2))*100</f>
        <v>9581.4547115644182</v>
      </c>
      <c r="F21">
        <f>Portfolio!B$5*'CurrentPor-LH=60 unchanged'!E21</f>
        <v>52143.895533915893</v>
      </c>
      <c r="G21">
        <f>Portfolio!B$6*'CurrentPor-LH=60 unchanged'!F21</f>
        <v>3696.2945087936532</v>
      </c>
      <c r="H21">
        <f>Portfolio!B$7*'CurrentPor-LH=60 unchanged'!J21</f>
        <v>2148.0998964419859</v>
      </c>
      <c r="I21">
        <f t="shared" si="0"/>
        <v>96493.537342205425</v>
      </c>
      <c r="J21">
        <f t="shared" si="1"/>
        <v>0</v>
      </c>
    </row>
    <row r="22" spans="1:10">
      <c r="A22" s="1">
        <v>45499</v>
      </c>
      <c r="B22">
        <f>(3/(1+('CurrentPor-LH=60 unchanged'!C22)/100)+103/POWER(1+('CurrentPor-LH=60 unchanged'!D22)/100,2))*100</f>
        <v>9707.5857774288397</v>
      </c>
      <c r="C22">
        <f>(3/(1+('CurrentPor-LH=60 unchanged'!C22+'CurrentPor-LH=60 unchanged'!G22)/100)+103/POWER(1+('CurrentPor-LH=60 unchanged'!D22+'CurrentPor-LH=60 unchanged'!G22)/100,2))*100</f>
        <v>9614.9673582483465</v>
      </c>
      <c r="D22">
        <f>(3/(1+('CurrentPor-LH=60 unchanged'!C22+'CurrentPor-LH=60 unchanged'!H22)/100)+103/POWER(1+('CurrentPor-LH=60 unchanged'!D22+'CurrentPor-LH=60 unchanged'!H22)/100,2))*100</f>
        <v>9601.2395558122898</v>
      </c>
      <c r="E22">
        <f>(3/(1+('CurrentPor-LH=60 unchanged'!C22+'CurrentPor-LH=60 unchanged'!I22)/100)+103/POWER(1+('CurrentPor-LH=60 unchanged'!D22+'CurrentPor-LH=60 unchanged'!I22)/100,2))*100</f>
        <v>9581.4547115644182</v>
      </c>
      <c r="F22">
        <f>Portfolio!B$5*'CurrentPor-LH=60 unchanged'!E22</f>
        <v>52143.895533915893</v>
      </c>
      <c r="G22">
        <f>Portfolio!B$6*'CurrentPor-LH=60 unchanged'!F22</f>
        <v>3696.2945087936532</v>
      </c>
      <c r="H22">
        <f>Portfolio!B$7*'CurrentPor-LH=60 unchanged'!J22</f>
        <v>2148.0998964419859</v>
      </c>
      <c r="I22">
        <f t="shared" si="0"/>
        <v>96493.537342205425</v>
      </c>
      <c r="J22">
        <f t="shared" si="1"/>
        <v>0</v>
      </c>
    </row>
    <row r="23" spans="1:10">
      <c r="A23" s="1">
        <v>45502</v>
      </c>
      <c r="B23">
        <f>(3/(1+('CurrentPor-LH=60 unchanged'!C23)/100)+103/POWER(1+('CurrentPor-LH=60 unchanged'!D23)/100,2))*100</f>
        <v>9707.5857774288397</v>
      </c>
      <c r="C23">
        <f>(3/(1+('CurrentPor-LH=60 unchanged'!C23+'CurrentPor-LH=60 unchanged'!G23)/100)+103/POWER(1+('CurrentPor-LH=60 unchanged'!D23+'CurrentPor-LH=60 unchanged'!G23)/100,2))*100</f>
        <v>9614.9673582483465</v>
      </c>
      <c r="D23">
        <f>(3/(1+('CurrentPor-LH=60 unchanged'!C23+'CurrentPor-LH=60 unchanged'!H23)/100)+103/POWER(1+('CurrentPor-LH=60 unchanged'!D23+'CurrentPor-LH=60 unchanged'!H23)/100,2))*100</f>
        <v>9601.2395558122898</v>
      </c>
      <c r="E23">
        <f>(3/(1+('CurrentPor-LH=60 unchanged'!C23+'CurrentPor-LH=60 unchanged'!I23)/100)+103/POWER(1+('CurrentPor-LH=60 unchanged'!D23+'CurrentPor-LH=60 unchanged'!I23)/100,2))*100</f>
        <v>9581.4547115644182</v>
      </c>
      <c r="F23">
        <f>Portfolio!B$5*'CurrentPor-LH=60 unchanged'!E23</f>
        <v>52143.895533915893</v>
      </c>
      <c r="G23">
        <f>Portfolio!B$6*'CurrentPor-LH=60 unchanged'!F23</f>
        <v>3696.2945087936532</v>
      </c>
      <c r="H23">
        <f>Portfolio!B$7*'CurrentPor-LH=60 unchanged'!J23</f>
        <v>2148.0998964419859</v>
      </c>
      <c r="I23">
        <f t="shared" si="0"/>
        <v>96493.537342205425</v>
      </c>
      <c r="J23">
        <f t="shared" si="1"/>
        <v>0</v>
      </c>
    </row>
    <row r="24" spans="1:10">
      <c r="A24" s="1">
        <v>45503</v>
      </c>
      <c r="B24">
        <f>(3/(1+('CurrentPor-LH=60 unchanged'!C24)/100)+103/POWER(1+('CurrentPor-LH=60 unchanged'!D24)/100,2))*100</f>
        <v>9707.5857774288397</v>
      </c>
      <c r="C24">
        <f>(3/(1+('CurrentPor-LH=60 unchanged'!C24+'CurrentPor-LH=60 unchanged'!G24)/100)+103/POWER(1+('CurrentPor-LH=60 unchanged'!D24+'CurrentPor-LH=60 unchanged'!G24)/100,2))*100</f>
        <v>9614.9673582483465</v>
      </c>
      <c r="D24">
        <f>(3/(1+('CurrentPor-LH=60 unchanged'!C24+'CurrentPor-LH=60 unchanged'!H24)/100)+103/POWER(1+('CurrentPor-LH=60 unchanged'!D24+'CurrentPor-LH=60 unchanged'!H24)/100,2))*100</f>
        <v>9601.2395558122898</v>
      </c>
      <c r="E24">
        <f>(3/(1+('CurrentPor-LH=60 unchanged'!C24+'CurrentPor-LH=60 unchanged'!I24)/100)+103/POWER(1+('CurrentPor-LH=60 unchanged'!D24+'CurrentPor-LH=60 unchanged'!I24)/100,2))*100</f>
        <v>9581.4547115644182</v>
      </c>
      <c r="F24">
        <f>Portfolio!B$5*'CurrentPor-LH=60 unchanged'!E24</f>
        <v>52143.895533915893</v>
      </c>
      <c r="G24">
        <f>Portfolio!B$6*'CurrentPor-LH=60 unchanged'!F24</f>
        <v>3696.2945087936532</v>
      </c>
      <c r="H24">
        <f>Portfolio!B$7*'CurrentPor-LH=60 unchanged'!J24</f>
        <v>2148.0998964419859</v>
      </c>
      <c r="I24">
        <f t="shared" si="0"/>
        <v>96493.537342205425</v>
      </c>
      <c r="J24">
        <f t="shared" si="1"/>
        <v>0</v>
      </c>
    </row>
    <row r="25" spans="1:10">
      <c r="A25" s="1">
        <v>45504</v>
      </c>
      <c r="B25">
        <f>(3/(1+('CurrentPor-LH=60 unchanged'!C25)/100)+103/POWER(1+('CurrentPor-LH=60 unchanged'!D25)/100,2))*100</f>
        <v>9707.5857774288397</v>
      </c>
      <c r="C25">
        <f>(3/(1+('CurrentPor-LH=60 unchanged'!C25+'CurrentPor-LH=60 unchanged'!G25)/100)+103/POWER(1+('CurrentPor-LH=60 unchanged'!D25+'CurrentPor-LH=60 unchanged'!G25)/100,2))*100</f>
        <v>9614.9673582483465</v>
      </c>
      <c r="D25">
        <f>(3/(1+('CurrentPor-LH=60 unchanged'!C25+'CurrentPor-LH=60 unchanged'!H25)/100)+103/POWER(1+('CurrentPor-LH=60 unchanged'!D25+'CurrentPor-LH=60 unchanged'!H25)/100,2))*100</f>
        <v>9601.2395558122898</v>
      </c>
      <c r="E25">
        <f>(3/(1+('CurrentPor-LH=60 unchanged'!C25+'CurrentPor-LH=60 unchanged'!I25)/100)+103/POWER(1+('CurrentPor-LH=60 unchanged'!D25+'CurrentPor-LH=60 unchanged'!I25)/100,2))*100</f>
        <v>9581.4547115644182</v>
      </c>
      <c r="F25">
        <f>Portfolio!B$5*'CurrentPor-LH=60 unchanged'!E25</f>
        <v>52143.895533915893</v>
      </c>
      <c r="G25">
        <f>Portfolio!B$6*'CurrentPor-LH=60 unchanged'!F25</f>
        <v>3696.2945087936532</v>
      </c>
      <c r="H25">
        <f>Portfolio!B$7*'CurrentPor-LH=60 unchanged'!J25</f>
        <v>2148.0998964419859</v>
      </c>
      <c r="I25">
        <f t="shared" si="0"/>
        <v>96493.537342205425</v>
      </c>
      <c r="J25">
        <f t="shared" si="1"/>
        <v>0</v>
      </c>
    </row>
    <row r="26" spans="1:10">
      <c r="A26" s="1">
        <v>45505</v>
      </c>
      <c r="B26">
        <f>(3/(1+('CurrentPor-LH=60 unchanged'!C26)/100)+103/POWER(1+('CurrentPor-LH=60 unchanged'!D26)/100,2))*100</f>
        <v>9707.5857774288397</v>
      </c>
      <c r="C26">
        <f>(3/(1+('CurrentPor-LH=60 unchanged'!C26+'CurrentPor-LH=60 unchanged'!G26)/100)+103/POWER(1+('CurrentPor-LH=60 unchanged'!D26+'CurrentPor-LH=60 unchanged'!G26)/100,2))*100</f>
        <v>9614.9673582483465</v>
      </c>
      <c r="D26">
        <f>(3/(1+('CurrentPor-LH=60 unchanged'!C26+'CurrentPor-LH=60 unchanged'!H26)/100)+103/POWER(1+('CurrentPor-LH=60 unchanged'!D26+'CurrentPor-LH=60 unchanged'!H26)/100,2))*100</f>
        <v>9601.2395558122898</v>
      </c>
      <c r="E26">
        <f>(3/(1+('CurrentPor-LH=60 unchanged'!C26+'CurrentPor-LH=60 unchanged'!I26)/100)+103/POWER(1+('CurrentPor-LH=60 unchanged'!D26+'CurrentPor-LH=60 unchanged'!I26)/100,2))*100</f>
        <v>9581.4547115644182</v>
      </c>
      <c r="F26">
        <f>Portfolio!B$5*'CurrentPor-LH=60 unchanged'!E26</f>
        <v>52143.895533915893</v>
      </c>
      <c r="G26">
        <f>Portfolio!B$6*'CurrentPor-LH=60 unchanged'!F26</f>
        <v>3696.2945087936532</v>
      </c>
      <c r="H26">
        <f>Portfolio!B$7*'CurrentPor-LH=60 unchanged'!J26</f>
        <v>2148.0998964419859</v>
      </c>
      <c r="I26">
        <f t="shared" si="0"/>
        <v>96493.537342205425</v>
      </c>
      <c r="J26">
        <f t="shared" si="1"/>
        <v>0</v>
      </c>
    </row>
    <row r="27" spans="1:10">
      <c r="A27" s="1">
        <v>45506</v>
      </c>
      <c r="B27">
        <f>(3/(1+('CurrentPor-LH=60 unchanged'!C27)/100)+103/POWER(1+('CurrentPor-LH=60 unchanged'!D27)/100,2))*100</f>
        <v>9707.5857774288397</v>
      </c>
      <c r="C27">
        <f>(3/(1+('CurrentPor-LH=60 unchanged'!C27+'CurrentPor-LH=60 unchanged'!G27)/100)+103/POWER(1+('CurrentPor-LH=60 unchanged'!D27+'CurrentPor-LH=60 unchanged'!G27)/100,2))*100</f>
        <v>9614.9673582483465</v>
      </c>
      <c r="D27">
        <f>(3/(1+('CurrentPor-LH=60 unchanged'!C27+'CurrentPor-LH=60 unchanged'!H27)/100)+103/POWER(1+('CurrentPor-LH=60 unchanged'!D27+'CurrentPor-LH=60 unchanged'!H27)/100,2))*100</f>
        <v>9601.2395558122898</v>
      </c>
      <c r="E27">
        <f>(3/(1+('CurrentPor-LH=60 unchanged'!C27+'CurrentPor-LH=60 unchanged'!I27)/100)+103/POWER(1+('CurrentPor-LH=60 unchanged'!D27+'CurrentPor-LH=60 unchanged'!I27)/100,2))*100</f>
        <v>9581.4547115644182</v>
      </c>
      <c r="F27">
        <f>Portfolio!B$5*'CurrentPor-LH=60 unchanged'!E27</f>
        <v>52143.895533915893</v>
      </c>
      <c r="G27">
        <f>Portfolio!B$6*'CurrentPor-LH=60 unchanged'!F27</f>
        <v>3696.2945087936532</v>
      </c>
      <c r="H27">
        <f>Portfolio!B$7*'CurrentPor-LH=60 unchanged'!J27</f>
        <v>2148.0998964419859</v>
      </c>
      <c r="I27">
        <f t="shared" si="0"/>
        <v>96493.537342205425</v>
      </c>
      <c r="J27">
        <f t="shared" si="1"/>
        <v>0</v>
      </c>
    </row>
    <row r="28" spans="1:10">
      <c r="A28" s="1">
        <v>45509</v>
      </c>
      <c r="B28">
        <f>(3/(1+('CurrentPor-LH=60 unchanged'!C28)/100)+103/POWER(1+('CurrentPor-LH=60 unchanged'!D28)/100,2))*100</f>
        <v>9707.5857774288397</v>
      </c>
      <c r="C28">
        <f>(3/(1+('CurrentPor-LH=60 unchanged'!C28+'CurrentPor-LH=60 unchanged'!G28)/100)+103/POWER(1+('CurrentPor-LH=60 unchanged'!D28+'CurrentPor-LH=60 unchanged'!G28)/100,2))*100</f>
        <v>9614.9673582483465</v>
      </c>
      <c r="D28">
        <f>(3/(1+('CurrentPor-LH=60 unchanged'!C28+'CurrentPor-LH=60 unchanged'!H28)/100)+103/POWER(1+('CurrentPor-LH=60 unchanged'!D28+'CurrentPor-LH=60 unchanged'!H28)/100,2))*100</f>
        <v>9601.2395558122898</v>
      </c>
      <c r="E28">
        <f>(3/(1+('CurrentPor-LH=60 unchanged'!C28+'CurrentPor-LH=60 unchanged'!I28)/100)+103/POWER(1+('CurrentPor-LH=60 unchanged'!D28+'CurrentPor-LH=60 unchanged'!I28)/100,2))*100</f>
        <v>9581.4547115644182</v>
      </c>
      <c r="F28">
        <f>Portfolio!B$5*'CurrentPor-LH=60 unchanged'!E28</f>
        <v>52143.895533915893</v>
      </c>
      <c r="G28">
        <f>Portfolio!B$6*'CurrentPor-LH=60 unchanged'!F28</f>
        <v>3696.2945087936532</v>
      </c>
      <c r="H28">
        <f>Portfolio!B$7*'CurrentPor-LH=60 unchanged'!J28</f>
        <v>2148.0998964419859</v>
      </c>
      <c r="I28">
        <f t="shared" si="0"/>
        <v>96493.537342205425</v>
      </c>
      <c r="J28">
        <f t="shared" si="1"/>
        <v>0</v>
      </c>
    </row>
    <row r="29" spans="1:10">
      <c r="A29" s="1">
        <v>45510</v>
      </c>
      <c r="B29">
        <f>(3/(1+('CurrentPor-LH=60 unchanged'!C29)/100)+103/POWER(1+('CurrentPor-LH=60 unchanged'!D29)/100,2))*100</f>
        <v>9707.5857774288397</v>
      </c>
      <c r="C29">
        <f>(3/(1+('CurrentPor-LH=60 unchanged'!C29+'CurrentPor-LH=60 unchanged'!G29)/100)+103/POWER(1+('CurrentPor-LH=60 unchanged'!D29+'CurrentPor-LH=60 unchanged'!G29)/100,2))*100</f>
        <v>9614.9673582483465</v>
      </c>
      <c r="D29">
        <f>(3/(1+('CurrentPor-LH=60 unchanged'!C29+'CurrentPor-LH=60 unchanged'!H29)/100)+103/POWER(1+('CurrentPor-LH=60 unchanged'!D29+'CurrentPor-LH=60 unchanged'!H29)/100,2))*100</f>
        <v>9601.2395558122898</v>
      </c>
      <c r="E29">
        <f>(3/(1+('CurrentPor-LH=60 unchanged'!C29+'CurrentPor-LH=60 unchanged'!I29)/100)+103/POWER(1+('CurrentPor-LH=60 unchanged'!D29+'CurrentPor-LH=60 unchanged'!I29)/100,2))*100</f>
        <v>9581.4547115644182</v>
      </c>
      <c r="F29">
        <f>Portfolio!B$5*'CurrentPor-LH=60 unchanged'!E29</f>
        <v>52143.895533915893</v>
      </c>
      <c r="G29">
        <f>Portfolio!B$6*'CurrentPor-LH=60 unchanged'!F29</f>
        <v>3696.2945087936532</v>
      </c>
      <c r="H29">
        <f>Portfolio!B$7*'CurrentPor-LH=60 unchanged'!J29</f>
        <v>2148.0998964419859</v>
      </c>
      <c r="I29">
        <f t="shared" si="0"/>
        <v>96493.537342205425</v>
      </c>
      <c r="J29">
        <f t="shared" si="1"/>
        <v>0</v>
      </c>
    </row>
    <row r="30" spans="1:10">
      <c r="A30" s="1">
        <v>45511</v>
      </c>
      <c r="B30">
        <f>(3/(1+('CurrentPor-LH=60 unchanged'!C30)/100)+103/POWER(1+('CurrentPor-LH=60 unchanged'!D30)/100,2))*100</f>
        <v>9707.5857774288397</v>
      </c>
      <c r="C30">
        <f>(3/(1+('CurrentPor-LH=60 unchanged'!C30+'CurrentPor-LH=60 unchanged'!G30)/100)+103/POWER(1+('CurrentPor-LH=60 unchanged'!D30+'CurrentPor-LH=60 unchanged'!G30)/100,2))*100</f>
        <v>9614.9673582483465</v>
      </c>
      <c r="D30">
        <f>(3/(1+('CurrentPor-LH=60 unchanged'!C30+'CurrentPor-LH=60 unchanged'!H30)/100)+103/POWER(1+('CurrentPor-LH=60 unchanged'!D30+'CurrentPor-LH=60 unchanged'!H30)/100,2))*100</f>
        <v>9601.2395558122898</v>
      </c>
      <c r="E30">
        <f>(3/(1+('CurrentPor-LH=60 unchanged'!C30+'CurrentPor-LH=60 unchanged'!I30)/100)+103/POWER(1+('CurrentPor-LH=60 unchanged'!D30+'CurrentPor-LH=60 unchanged'!I30)/100,2))*100</f>
        <v>9581.4547115644182</v>
      </c>
      <c r="F30">
        <f>Portfolio!B$5*'CurrentPor-LH=60 unchanged'!E30</f>
        <v>52143.895533915893</v>
      </c>
      <c r="G30">
        <f>Portfolio!B$6*'CurrentPor-LH=60 unchanged'!F30</f>
        <v>3696.2945087936532</v>
      </c>
      <c r="H30">
        <f>Portfolio!B$7*'CurrentPor-LH=60 unchanged'!J30</f>
        <v>2148.0998964419859</v>
      </c>
      <c r="I30">
        <f t="shared" si="0"/>
        <v>96493.537342205425</v>
      </c>
      <c r="J30">
        <f t="shared" si="1"/>
        <v>0</v>
      </c>
    </row>
    <row r="31" spans="1:10">
      <c r="A31" s="1">
        <v>45512</v>
      </c>
      <c r="B31">
        <f>(3/(1+('CurrentPor-LH=60 unchanged'!C31)/100)+103/POWER(1+('CurrentPor-LH=60 unchanged'!D31)/100,2))*100</f>
        <v>9707.5857774288397</v>
      </c>
      <c r="C31">
        <f>(3/(1+('CurrentPor-LH=60 unchanged'!C31+'CurrentPor-LH=60 unchanged'!G31)/100)+103/POWER(1+('CurrentPor-LH=60 unchanged'!D31+'CurrentPor-LH=60 unchanged'!G31)/100,2))*100</f>
        <v>9614.9673582483465</v>
      </c>
      <c r="D31">
        <f>(3/(1+('CurrentPor-LH=60 unchanged'!C31+'CurrentPor-LH=60 unchanged'!H31)/100)+103/POWER(1+('CurrentPor-LH=60 unchanged'!D31+'CurrentPor-LH=60 unchanged'!H31)/100,2))*100</f>
        <v>9601.2395558122898</v>
      </c>
      <c r="E31">
        <f>(3/(1+('CurrentPor-LH=60 unchanged'!C31+'CurrentPor-LH=60 unchanged'!I31)/100)+103/POWER(1+('CurrentPor-LH=60 unchanged'!D31+'CurrentPor-LH=60 unchanged'!I31)/100,2))*100</f>
        <v>9581.4547115644182</v>
      </c>
      <c r="F31">
        <f>Portfolio!B$5*'CurrentPor-LH=60 unchanged'!E31</f>
        <v>52143.895533915893</v>
      </c>
      <c r="G31">
        <f>Portfolio!B$6*'CurrentPor-LH=60 unchanged'!F31</f>
        <v>3696.2945087936532</v>
      </c>
      <c r="H31">
        <f>Portfolio!B$7*'CurrentPor-LH=60 unchanged'!J31</f>
        <v>2148.0998964419859</v>
      </c>
      <c r="I31">
        <f t="shared" si="0"/>
        <v>96493.537342205425</v>
      </c>
      <c r="J31">
        <f t="shared" si="1"/>
        <v>0</v>
      </c>
    </row>
    <row r="32" spans="1:10">
      <c r="A32" s="1">
        <v>45513</v>
      </c>
      <c r="B32">
        <f>(3/(1+('CurrentPor-LH=60 unchanged'!C32)/100)+103/POWER(1+('CurrentPor-LH=60 unchanged'!D32)/100,2))*100</f>
        <v>9707.5857774288397</v>
      </c>
      <c r="C32">
        <f>(3/(1+('CurrentPor-LH=60 unchanged'!C32+'CurrentPor-LH=60 unchanged'!G32)/100)+103/POWER(1+('CurrentPor-LH=60 unchanged'!D32+'CurrentPor-LH=60 unchanged'!G32)/100,2))*100</f>
        <v>9614.9673582483465</v>
      </c>
      <c r="D32">
        <f>(3/(1+('CurrentPor-LH=60 unchanged'!C32+'CurrentPor-LH=60 unchanged'!H32)/100)+103/POWER(1+('CurrentPor-LH=60 unchanged'!D32+'CurrentPor-LH=60 unchanged'!H32)/100,2))*100</f>
        <v>9601.2395558122898</v>
      </c>
      <c r="E32">
        <f>(3/(1+('CurrentPor-LH=60 unchanged'!C32+'CurrentPor-LH=60 unchanged'!I32)/100)+103/POWER(1+('CurrentPor-LH=60 unchanged'!D32+'CurrentPor-LH=60 unchanged'!I32)/100,2))*100</f>
        <v>9581.4547115644182</v>
      </c>
      <c r="F32">
        <f>Portfolio!B$5*'CurrentPor-LH=60 unchanged'!E32</f>
        <v>52143.895533915893</v>
      </c>
      <c r="G32">
        <f>Portfolio!B$6*'CurrentPor-LH=60 unchanged'!F32</f>
        <v>3696.2945087936532</v>
      </c>
      <c r="H32">
        <f>Portfolio!B$7*'CurrentPor-LH=60 unchanged'!J32</f>
        <v>2148.0998964419859</v>
      </c>
      <c r="I32">
        <f t="shared" si="0"/>
        <v>96493.537342205425</v>
      </c>
      <c r="J32">
        <f t="shared" si="1"/>
        <v>0</v>
      </c>
    </row>
    <row r="33" spans="1:10">
      <c r="A33" s="1">
        <v>45516</v>
      </c>
      <c r="B33">
        <f>(3/(1+('CurrentPor-LH=60 unchanged'!C33)/100)+103/POWER(1+('CurrentPor-LH=60 unchanged'!D33)/100,2))*100</f>
        <v>9707.5857774288397</v>
      </c>
      <c r="C33">
        <f>(3/(1+('CurrentPor-LH=60 unchanged'!C33+'CurrentPor-LH=60 unchanged'!G33)/100)+103/POWER(1+('CurrentPor-LH=60 unchanged'!D33+'CurrentPor-LH=60 unchanged'!G33)/100,2))*100</f>
        <v>9614.9673582483465</v>
      </c>
      <c r="D33">
        <f>(3/(1+('CurrentPor-LH=60 unchanged'!C33+'CurrentPor-LH=60 unchanged'!H33)/100)+103/POWER(1+('CurrentPor-LH=60 unchanged'!D33+'CurrentPor-LH=60 unchanged'!H33)/100,2))*100</f>
        <v>9601.2395558122898</v>
      </c>
      <c r="E33">
        <f>(3/(1+('CurrentPor-LH=60 unchanged'!C33+'CurrentPor-LH=60 unchanged'!I33)/100)+103/POWER(1+('CurrentPor-LH=60 unchanged'!D33+'CurrentPor-LH=60 unchanged'!I33)/100,2))*100</f>
        <v>9581.4547115644182</v>
      </c>
      <c r="F33">
        <f>Portfolio!B$5*'CurrentPor-LH=60 unchanged'!E33</f>
        <v>52143.895533915893</v>
      </c>
      <c r="G33">
        <f>Portfolio!B$6*'CurrentPor-LH=60 unchanged'!F33</f>
        <v>3696.2945087936532</v>
      </c>
      <c r="H33">
        <f>Portfolio!B$7*'CurrentPor-LH=60 unchanged'!J33</f>
        <v>2148.0998964419859</v>
      </c>
      <c r="I33">
        <f t="shared" si="0"/>
        <v>96493.537342205425</v>
      </c>
      <c r="J33">
        <f t="shared" si="1"/>
        <v>0</v>
      </c>
    </row>
    <row r="34" spans="1:10">
      <c r="A34" s="1">
        <v>45517</v>
      </c>
      <c r="B34">
        <f>(3/(1+('CurrentPor-LH=60 unchanged'!C34)/100)+103/POWER(1+('CurrentPor-LH=60 unchanged'!D34)/100,2))*100</f>
        <v>9707.5857774288397</v>
      </c>
      <c r="C34">
        <f>(3/(1+('CurrentPor-LH=60 unchanged'!C34+'CurrentPor-LH=60 unchanged'!G34)/100)+103/POWER(1+('CurrentPor-LH=60 unchanged'!D34+'CurrentPor-LH=60 unchanged'!G34)/100,2))*100</f>
        <v>9614.9673582483465</v>
      </c>
      <c r="D34">
        <f>(3/(1+('CurrentPor-LH=60 unchanged'!C34+'CurrentPor-LH=60 unchanged'!H34)/100)+103/POWER(1+('CurrentPor-LH=60 unchanged'!D34+'CurrentPor-LH=60 unchanged'!H34)/100,2))*100</f>
        <v>9601.2395558122898</v>
      </c>
      <c r="E34">
        <f>(3/(1+('CurrentPor-LH=60 unchanged'!C34+'CurrentPor-LH=60 unchanged'!I34)/100)+103/POWER(1+('CurrentPor-LH=60 unchanged'!D34+'CurrentPor-LH=60 unchanged'!I34)/100,2))*100</f>
        <v>9581.4547115644182</v>
      </c>
      <c r="F34">
        <f>Portfolio!B$5*'CurrentPor-LH=60 unchanged'!E34</f>
        <v>52143.895533915893</v>
      </c>
      <c r="G34">
        <f>Portfolio!B$6*'CurrentPor-LH=60 unchanged'!F34</f>
        <v>3696.2945087936532</v>
      </c>
      <c r="H34">
        <f>Portfolio!B$7*'CurrentPor-LH=60 unchanged'!J34</f>
        <v>2148.0998964419859</v>
      </c>
      <c r="I34">
        <f t="shared" si="0"/>
        <v>96493.537342205425</v>
      </c>
      <c r="J34">
        <f t="shared" si="1"/>
        <v>0</v>
      </c>
    </row>
    <row r="35" spans="1:10">
      <c r="A35" s="1">
        <v>45518</v>
      </c>
      <c r="B35">
        <f>(3/(1+('CurrentPor-LH=60 unchanged'!C35)/100)+103/POWER(1+('CurrentPor-LH=60 unchanged'!D35)/100,2))*100</f>
        <v>9707.5857774288397</v>
      </c>
      <c r="C35">
        <f>(3/(1+('CurrentPor-LH=60 unchanged'!C35+'CurrentPor-LH=60 unchanged'!G35)/100)+103/POWER(1+('CurrentPor-LH=60 unchanged'!D35+'CurrentPor-LH=60 unchanged'!G35)/100,2))*100</f>
        <v>9614.9673582483465</v>
      </c>
      <c r="D35">
        <f>(3/(1+('CurrentPor-LH=60 unchanged'!C35+'CurrentPor-LH=60 unchanged'!H35)/100)+103/POWER(1+('CurrentPor-LH=60 unchanged'!D35+'CurrentPor-LH=60 unchanged'!H35)/100,2))*100</f>
        <v>9601.2395558122898</v>
      </c>
      <c r="E35">
        <f>(3/(1+('CurrentPor-LH=60 unchanged'!C35+'CurrentPor-LH=60 unchanged'!I35)/100)+103/POWER(1+('CurrentPor-LH=60 unchanged'!D35+'CurrentPor-LH=60 unchanged'!I35)/100,2))*100</f>
        <v>9581.4547115644182</v>
      </c>
      <c r="F35">
        <f>Portfolio!B$5*'CurrentPor-LH=60 unchanged'!E35</f>
        <v>52143.895533915893</v>
      </c>
      <c r="G35">
        <f>Portfolio!B$6*'CurrentPor-LH=60 unchanged'!F35</f>
        <v>3696.2945087936532</v>
      </c>
      <c r="H35">
        <f>Portfolio!B$7*'CurrentPor-LH=60 unchanged'!J35</f>
        <v>2148.0998964419859</v>
      </c>
      <c r="I35">
        <f t="shared" si="0"/>
        <v>96493.537342205425</v>
      </c>
      <c r="J35">
        <f t="shared" si="1"/>
        <v>0</v>
      </c>
    </row>
    <row r="36" spans="1:10">
      <c r="A36" s="1">
        <v>45519</v>
      </c>
      <c r="B36">
        <f>(3/(1+('CurrentPor-LH=60 unchanged'!C36)/100)+103/POWER(1+('CurrentPor-LH=60 unchanged'!D36)/100,2))*100</f>
        <v>9707.5857774288397</v>
      </c>
      <c r="C36">
        <f>(3/(1+('CurrentPor-LH=60 unchanged'!C36+'CurrentPor-LH=60 unchanged'!G36)/100)+103/POWER(1+('CurrentPor-LH=60 unchanged'!D36+'CurrentPor-LH=60 unchanged'!G36)/100,2))*100</f>
        <v>9614.9673582483465</v>
      </c>
      <c r="D36">
        <f>(3/(1+('CurrentPor-LH=60 unchanged'!C36+'CurrentPor-LH=60 unchanged'!H36)/100)+103/POWER(1+('CurrentPor-LH=60 unchanged'!D36+'CurrentPor-LH=60 unchanged'!H36)/100,2))*100</f>
        <v>9601.2395558122898</v>
      </c>
      <c r="E36">
        <f>(3/(1+('CurrentPor-LH=60 unchanged'!C36+'CurrentPor-LH=60 unchanged'!I36)/100)+103/POWER(1+('CurrentPor-LH=60 unchanged'!D36+'CurrentPor-LH=60 unchanged'!I36)/100,2))*100</f>
        <v>9581.4547115644182</v>
      </c>
      <c r="F36">
        <f>Portfolio!B$5*'CurrentPor-LH=60 unchanged'!E36</f>
        <v>52143.895533915893</v>
      </c>
      <c r="G36">
        <f>Portfolio!B$6*'CurrentPor-LH=60 unchanged'!F36</f>
        <v>3696.2945087936532</v>
      </c>
      <c r="H36">
        <f>Portfolio!B$7*'CurrentPor-LH=60 unchanged'!J36</f>
        <v>2148.0998964419859</v>
      </c>
      <c r="I36">
        <f t="shared" si="0"/>
        <v>96493.537342205425</v>
      </c>
      <c r="J36">
        <f t="shared" si="1"/>
        <v>0</v>
      </c>
    </row>
    <row r="37" spans="1:10">
      <c r="A37" s="1">
        <v>45520</v>
      </c>
      <c r="B37">
        <f>(3/(1+('CurrentPor-LH=60 unchanged'!C37)/100)+103/POWER(1+('CurrentPor-LH=60 unchanged'!D37)/100,2))*100</f>
        <v>9707.5857774288397</v>
      </c>
      <c r="C37">
        <f>(3/(1+('CurrentPor-LH=60 unchanged'!C37+'CurrentPor-LH=60 unchanged'!G37)/100)+103/POWER(1+('CurrentPor-LH=60 unchanged'!D37+'CurrentPor-LH=60 unchanged'!G37)/100,2))*100</f>
        <v>9614.9673582483465</v>
      </c>
      <c r="D37">
        <f>(3/(1+('CurrentPor-LH=60 unchanged'!C37+'CurrentPor-LH=60 unchanged'!H37)/100)+103/POWER(1+('CurrentPor-LH=60 unchanged'!D37+'CurrentPor-LH=60 unchanged'!H37)/100,2))*100</f>
        <v>9601.2395558122898</v>
      </c>
      <c r="E37">
        <f>(3/(1+('CurrentPor-LH=60 unchanged'!C37+'CurrentPor-LH=60 unchanged'!I37)/100)+103/POWER(1+('CurrentPor-LH=60 unchanged'!D37+'CurrentPor-LH=60 unchanged'!I37)/100,2))*100</f>
        <v>9581.4547115644182</v>
      </c>
      <c r="F37">
        <f>Portfolio!B$5*'CurrentPor-LH=60 unchanged'!E37</f>
        <v>52143.895533915893</v>
      </c>
      <c r="G37">
        <f>Portfolio!B$6*'CurrentPor-LH=60 unchanged'!F37</f>
        <v>3696.2945087936532</v>
      </c>
      <c r="H37">
        <f>Portfolio!B$7*'CurrentPor-LH=60 unchanged'!J37</f>
        <v>2148.0998964419859</v>
      </c>
      <c r="I37">
        <f t="shared" si="0"/>
        <v>96493.537342205425</v>
      </c>
      <c r="J37">
        <f t="shared" si="1"/>
        <v>0</v>
      </c>
    </row>
    <row r="38" spans="1:10">
      <c r="A38" s="1">
        <v>45523</v>
      </c>
      <c r="B38">
        <f>(3/(1+('CurrentPor-LH=60 unchanged'!C38)/100)+103/POWER(1+('CurrentPor-LH=60 unchanged'!D38)/100,2))*100</f>
        <v>9707.5857774288397</v>
      </c>
      <c r="C38">
        <f>(3/(1+('CurrentPor-LH=60 unchanged'!C38+'CurrentPor-LH=60 unchanged'!G38)/100)+103/POWER(1+('CurrentPor-LH=60 unchanged'!D38+'CurrentPor-LH=60 unchanged'!G38)/100,2))*100</f>
        <v>9614.9673582483465</v>
      </c>
      <c r="D38">
        <f>(3/(1+('CurrentPor-LH=60 unchanged'!C38+'CurrentPor-LH=60 unchanged'!H38)/100)+103/POWER(1+('CurrentPor-LH=60 unchanged'!D38+'CurrentPor-LH=60 unchanged'!H38)/100,2))*100</f>
        <v>9601.2395558122898</v>
      </c>
      <c r="E38">
        <f>(3/(1+('CurrentPor-LH=60 unchanged'!C38+'CurrentPor-LH=60 unchanged'!I38)/100)+103/POWER(1+('CurrentPor-LH=60 unchanged'!D38+'CurrentPor-LH=60 unchanged'!I38)/100,2))*100</f>
        <v>9581.4547115644182</v>
      </c>
      <c r="F38">
        <f>Portfolio!B$5*'CurrentPor-LH=60 unchanged'!E38</f>
        <v>52143.895533915893</v>
      </c>
      <c r="G38">
        <f>Portfolio!B$6*'CurrentPor-LH=60 unchanged'!F38</f>
        <v>3696.2945087936532</v>
      </c>
      <c r="H38">
        <f>Portfolio!B$7*'CurrentPor-LH=60 unchanged'!J38</f>
        <v>2148.0998964419859</v>
      </c>
      <c r="I38">
        <f t="shared" si="0"/>
        <v>96493.537342205425</v>
      </c>
      <c r="J38">
        <f t="shared" si="1"/>
        <v>0</v>
      </c>
    </row>
    <row r="39" spans="1:10">
      <c r="A39" s="1">
        <v>45524</v>
      </c>
      <c r="B39">
        <f>(3/(1+('CurrentPor-LH=60 unchanged'!C39)/100)+103/POWER(1+('CurrentPor-LH=60 unchanged'!D39)/100,2))*100</f>
        <v>9707.5857774288397</v>
      </c>
      <c r="C39">
        <f>(3/(1+('CurrentPor-LH=60 unchanged'!C39+'CurrentPor-LH=60 unchanged'!G39)/100)+103/POWER(1+('CurrentPor-LH=60 unchanged'!D39+'CurrentPor-LH=60 unchanged'!G39)/100,2))*100</f>
        <v>9614.9673582483465</v>
      </c>
      <c r="D39">
        <f>(3/(1+('CurrentPor-LH=60 unchanged'!C39+'CurrentPor-LH=60 unchanged'!H39)/100)+103/POWER(1+('CurrentPor-LH=60 unchanged'!D39+'CurrentPor-LH=60 unchanged'!H39)/100,2))*100</f>
        <v>9601.2395558122898</v>
      </c>
      <c r="E39">
        <f>(3/(1+('CurrentPor-LH=60 unchanged'!C39+'CurrentPor-LH=60 unchanged'!I39)/100)+103/POWER(1+('CurrentPor-LH=60 unchanged'!D39+'CurrentPor-LH=60 unchanged'!I39)/100,2))*100</f>
        <v>9581.4547115644182</v>
      </c>
      <c r="F39">
        <f>Portfolio!B$5*'CurrentPor-LH=60 unchanged'!E39</f>
        <v>52143.895533915893</v>
      </c>
      <c r="G39">
        <f>Portfolio!B$6*'CurrentPor-LH=60 unchanged'!F39</f>
        <v>3696.2945087936532</v>
      </c>
      <c r="H39">
        <f>Portfolio!B$7*'CurrentPor-LH=60 unchanged'!J39</f>
        <v>2148.0998964419859</v>
      </c>
      <c r="I39">
        <f t="shared" si="0"/>
        <v>96493.537342205425</v>
      </c>
      <c r="J39">
        <f t="shared" si="1"/>
        <v>0</v>
      </c>
    </row>
    <row r="40" spans="1:10">
      <c r="A40" s="1">
        <v>45525</v>
      </c>
      <c r="B40">
        <f>(3/(1+('CurrentPor-LH=60 unchanged'!C40)/100)+103/POWER(1+('CurrentPor-LH=60 unchanged'!D40)/100,2))*100</f>
        <v>9707.5857774288397</v>
      </c>
      <c r="C40">
        <f>(3/(1+('CurrentPor-LH=60 unchanged'!C40+'CurrentPor-LH=60 unchanged'!G40)/100)+103/POWER(1+('CurrentPor-LH=60 unchanged'!D40+'CurrentPor-LH=60 unchanged'!G40)/100,2))*100</f>
        <v>9614.9673582483465</v>
      </c>
      <c r="D40">
        <f>(3/(1+('CurrentPor-LH=60 unchanged'!C40+'CurrentPor-LH=60 unchanged'!H40)/100)+103/POWER(1+('CurrentPor-LH=60 unchanged'!D40+'CurrentPor-LH=60 unchanged'!H40)/100,2))*100</f>
        <v>9601.2395558122898</v>
      </c>
      <c r="E40">
        <f>(3/(1+('CurrentPor-LH=60 unchanged'!C40+'CurrentPor-LH=60 unchanged'!I40)/100)+103/POWER(1+('CurrentPor-LH=60 unchanged'!D40+'CurrentPor-LH=60 unchanged'!I40)/100,2))*100</f>
        <v>9581.4547115644182</v>
      </c>
      <c r="F40">
        <f>Portfolio!B$5*'CurrentPor-LH=60 unchanged'!E40</f>
        <v>52143.895533915893</v>
      </c>
      <c r="G40">
        <f>Portfolio!B$6*'CurrentPor-LH=60 unchanged'!F40</f>
        <v>3696.2945087936532</v>
      </c>
      <c r="H40">
        <f>Portfolio!B$7*'CurrentPor-LH=60 unchanged'!J40</f>
        <v>2148.0998964419859</v>
      </c>
      <c r="I40">
        <f t="shared" si="0"/>
        <v>96493.537342205425</v>
      </c>
      <c r="J40">
        <f t="shared" si="1"/>
        <v>0</v>
      </c>
    </row>
    <row r="41" spans="1:10">
      <c r="A41" s="1">
        <v>45526</v>
      </c>
      <c r="B41">
        <f>(3/(1+('CurrentPor-LH=60 unchanged'!C41)/100)+103/POWER(1+('CurrentPor-LH=60 unchanged'!D41)/100,2))*100</f>
        <v>9707.5857774288397</v>
      </c>
      <c r="C41">
        <f>(3/(1+('CurrentPor-LH=60 unchanged'!C41+'CurrentPor-LH=60 unchanged'!G41)/100)+103/POWER(1+('CurrentPor-LH=60 unchanged'!D41+'CurrentPor-LH=60 unchanged'!G41)/100,2))*100</f>
        <v>9614.9673582483465</v>
      </c>
      <c r="D41">
        <f>(3/(1+('CurrentPor-LH=60 unchanged'!C41+'CurrentPor-LH=60 unchanged'!H41)/100)+103/POWER(1+('CurrentPor-LH=60 unchanged'!D41+'CurrentPor-LH=60 unchanged'!H41)/100,2))*100</f>
        <v>9601.2395558122898</v>
      </c>
      <c r="E41">
        <f>(3/(1+('CurrentPor-LH=60 unchanged'!C41+'CurrentPor-LH=60 unchanged'!I41)/100)+103/POWER(1+('CurrentPor-LH=60 unchanged'!D41+'CurrentPor-LH=60 unchanged'!I41)/100,2))*100</f>
        <v>9581.4547115644182</v>
      </c>
      <c r="F41">
        <f>Portfolio!B$5*'CurrentPor-LH=60 unchanged'!E41</f>
        <v>52143.895533915893</v>
      </c>
      <c r="G41">
        <f>Portfolio!B$6*'CurrentPor-LH=60 unchanged'!F41</f>
        <v>3696.2945087936532</v>
      </c>
      <c r="H41">
        <f>Portfolio!B$7*'CurrentPor-LH=60 unchanged'!J41</f>
        <v>2148.0998964419859</v>
      </c>
      <c r="I41">
        <f t="shared" si="0"/>
        <v>96493.537342205425</v>
      </c>
      <c r="J41">
        <f t="shared" si="1"/>
        <v>0</v>
      </c>
    </row>
    <row r="42" spans="1:10">
      <c r="A42" s="1">
        <v>45527</v>
      </c>
      <c r="B42">
        <f>(3/(1+('CurrentPor-LH=60 unchanged'!C42)/100)+103/POWER(1+('CurrentPor-LH=60 unchanged'!D42)/100,2))*100</f>
        <v>9707.5857774288397</v>
      </c>
      <c r="C42">
        <f>(3/(1+('CurrentPor-LH=60 unchanged'!C42+'CurrentPor-LH=60 unchanged'!G42)/100)+103/POWER(1+('CurrentPor-LH=60 unchanged'!D42+'CurrentPor-LH=60 unchanged'!G42)/100,2))*100</f>
        <v>9614.9673582483465</v>
      </c>
      <c r="D42">
        <f>(3/(1+('CurrentPor-LH=60 unchanged'!C42+'CurrentPor-LH=60 unchanged'!H42)/100)+103/POWER(1+('CurrentPor-LH=60 unchanged'!D42+'CurrentPor-LH=60 unchanged'!H42)/100,2))*100</f>
        <v>9601.2395558122898</v>
      </c>
      <c r="E42">
        <f>(3/(1+('CurrentPor-LH=60 unchanged'!C42+'CurrentPor-LH=60 unchanged'!I42)/100)+103/POWER(1+('CurrentPor-LH=60 unchanged'!D42+'CurrentPor-LH=60 unchanged'!I42)/100,2))*100</f>
        <v>9581.4547115644182</v>
      </c>
      <c r="F42">
        <f>Portfolio!B$5*'CurrentPor-LH=60 unchanged'!E42</f>
        <v>52143.895533915893</v>
      </c>
      <c r="G42">
        <f>Portfolio!B$6*'CurrentPor-LH=60 unchanged'!F42</f>
        <v>3696.2945087936532</v>
      </c>
      <c r="H42">
        <f>Portfolio!B$7*'CurrentPor-LH=60 unchanged'!J42</f>
        <v>2148.0998964419859</v>
      </c>
      <c r="I42">
        <f t="shared" si="0"/>
        <v>96493.537342205425</v>
      </c>
      <c r="J42">
        <f t="shared" si="1"/>
        <v>0</v>
      </c>
    </row>
    <row r="43" spans="1:10">
      <c r="A43" s="1">
        <v>45530</v>
      </c>
      <c r="B43">
        <f>(3/(1+('CurrentPor-LH=60 unchanged'!C43)/100)+103/POWER(1+('CurrentPor-LH=60 unchanged'!D43)/100,2))*100</f>
        <v>9707.5857774288397</v>
      </c>
      <c r="C43">
        <f>(3/(1+('CurrentPor-LH=60 unchanged'!C43+'CurrentPor-LH=60 unchanged'!G43)/100)+103/POWER(1+('CurrentPor-LH=60 unchanged'!D43+'CurrentPor-LH=60 unchanged'!G43)/100,2))*100</f>
        <v>9614.9673582483465</v>
      </c>
      <c r="D43">
        <f>(3/(1+('CurrentPor-LH=60 unchanged'!C43+'CurrentPor-LH=60 unchanged'!H43)/100)+103/POWER(1+('CurrentPor-LH=60 unchanged'!D43+'CurrentPor-LH=60 unchanged'!H43)/100,2))*100</f>
        <v>9601.2395558122898</v>
      </c>
      <c r="E43">
        <f>(3/(1+('CurrentPor-LH=60 unchanged'!C43+'CurrentPor-LH=60 unchanged'!I43)/100)+103/POWER(1+('CurrentPor-LH=60 unchanged'!D43+'CurrentPor-LH=60 unchanged'!I43)/100,2))*100</f>
        <v>9581.4547115644182</v>
      </c>
      <c r="F43">
        <f>Portfolio!B$5*'CurrentPor-LH=60 unchanged'!E43</f>
        <v>52143.895533915893</v>
      </c>
      <c r="G43">
        <f>Portfolio!B$6*'CurrentPor-LH=60 unchanged'!F43</f>
        <v>3696.2945087936532</v>
      </c>
      <c r="H43">
        <f>Portfolio!B$7*'CurrentPor-LH=60 unchanged'!J43</f>
        <v>2148.0998964419859</v>
      </c>
      <c r="I43">
        <f t="shared" si="0"/>
        <v>96493.537342205425</v>
      </c>
      <c r="J43">
        <f t="shared" si="1"/>
        <v>0</v>
      </c>
    </row>
    <row r="44" spans="1:10">
      <c r="A44" s="1">
        <v>45531</v>
      </c>
      <c r="B44">
        <f>(3/(1+('CurrentPor-LH=60 unchanged'!C44)/100)+103/POWER(1+('CurrentPor-LH=60 unchanged'!D44)/100,2))*100</f>
        <v>9707.5857774288397</v>
      </c>
      <c r="C44">
        <f>(3/(1+('CurrentPor-LH=60 unchanged'!C44+'CurrentPor-LH=60 unchanged'!G44)/100)+103/POWER(1+('CurrentPor-LH=60 unchanged'!D44+'CurrentPor-LH=60 unchanged'!G44)/100,2))*100</f>
        <v>9614.9673582483465</v>
      </c>
      <c r="D44">
        <f>(3/(1+('CurrentPor-LH=60 unchanged'!C44+'CurrentPor-LH=60 unchanged'!H44)/100)+103/POWER(1+('CurrentPor-LH=60 unchanged'!D44+'CurrentPor-LH=60 unchanged'!H44)/100,2))*100</f>
        <v>9601.2395558122898</v>
      </c>
      <c r="E44">
        <f>(3/(1+('CurrentPor-LH=60 unchanged'!C44+'CurrentPor-LH=60 unchanged'!I44)/100)+103/POWER(1+('CurrentPor-LH=60 unchanged'!D44+'CurrentPor-LH=60 unchanged'!I44)/100,2))*100</f>
        <v>9581.4547115644182</v>
      </c>
      <c r="F44">
        <f>Portfolio!B$5*'CurrentPor-LH=60 unchanged'!E44</f>
        <v>52143.895533915893</v>
      </c>
      <c r="G44">
        <f>Portfolio!B$6*'CurrentPor-LH=60 unchanged'!F44</f>
        <v>3696.2945087936532</v>
      </c>
      <c r="H44">
        <f>Portfolio!B$7*'CurrentPor-LH=60 unchanged'!J44</f>
        <v>2148.0998964419859</v>
      </c>
      <c r="I44">
        <f t="shared" si="0"/>
        <v>96493.537342205425</v>
      </c>
      <c r="J44">
        <f t="shared" si="1"/>
        <v>0</v>
      </c>
    </row>
    <row r="45" spans="1:10">
      <c r="A45" s="1">
        <v>45532</v>
      </c>
      <c r="B45">
        <f>(3/(1+('CurrentPor-LH=60 unchanged'!C45)/100)+103/POWER(1+('CurrentPor-LH=60 unchanged'!D45)/100,2))*100</f>
        <v>9707.5857774288397</v>
      </c>
      <c r="C45">
        <f>(3/(1+('CurrentPor-LH=60 unchanged'!C45+'CurrentPor-LH=60 unchanged'!G45)/100)+103/POWER(1+('CurrentPor-LH=60 unchanged'!D45+'CurrentPor-LH=60 unchanged'!G45)/100,2))*100</f>
        <v>9614.9673582483465</v>
      </c>
      <c r="D45">
        <f>(3/(1+('CurrentPor-LH=60 unchanged'!C45+'CurrentPor-LH=60 unchanged'!H45)/100)+103/POWER(1+('CurrentPor-LH=60 unchanged'!D45+'CurrentPor-LH=60 unchanged'!H45)/100,2))*100</f>
        <v>9601.2395558122898</v>
      </c>
      <c r="E45">
        <f>(3/(1+('CurrentPor-LH=60 unchanged'!C45+'CurrentPor-LH=60 unchanged'!I45)/100)+103/POWER(1+('CurrentPor-LH=60 unchanged'!D45+'CurrentPor-LH=60 unchanged'!I45)/100,2))*100</f>
        <v>9581.4547115644182</v>
      </c>
      <c r="F45">
        <f>Portfolio!B$5*'CurrentPor-LH=60 unchanged'!E45</f>
        <v>52143.895533915893</v>
      </c>
      <c r="G45">
        <f>Portfolio!B$6*'CurrentPor-LH=60 unchanged'!F45</f>
        <v>3696.2945087936532</v>
      </c>
      <c r="H45">
        <f>Portfolio!B$7*'CurrentPor-LH=60 unchanged'!J45</f>
        <v>2148.0998964419859</v>
      </c>
      <c r="I45">
        <f t="shared" si="0"/>
        <v>96493.537342205425</v>
      </c>
      <c r="J45">
        <f t="shared" si="1"/>
        <v>0</v>
      </c>
    </row>
    <row r="46" spans="1:10">
      <c r="A46" s="1">
        <v>45533</v>
      </c>
      <c r="B46">
        <f>(3/(1+('CurrentPor-LH=60 unchanged'!C46)/100)+103/POWER(1+('CurrentPor-LH=60 unchanged'!D46)/100,2))*100</f>
        <v>9707.5857774288397</v>
      </c>
      <c r="C46">
        <f>(3/(1+('CurrentPor-LH=60 unchanged'!C46+'CurrentPor-LH=60 unchanged'!G46)/100)+103/POWER(1+('CurrentPor-LH=60 unchanged'!D46+'CurrentPor-LH=60 unchanged'!G46)/100,2))*100</f>
        <v>9614.9673582483465</v>
      </c>
      <c r="D46">
        <f>(3/(1+('CurrentPor-LH=60 unchanged'!C46+'CurrentPor-LH=60 unchanged'!H46)/100)+103/POWER(1+('CurrentPor-LH=60 unchanged'!D46+'CurrentPor-LH=60 unchanged'!H46)/100,2))*100</f>
        <v>9601.2395558122898</v>
      </c>
      <c r="E46">
        <f>(3/(1+('CurrentPor-LH=60 unchanged'!C46+'CurrentPor-LH=60 unchanged'!I46)/100)+103/POWER(1+('CurrentPor-LH=60 unchanged'!D46+'CurrentPor-LH=60 unchanged'!I46)/100,2))*100</f>
        <v>9581.4547115644182</v>
      </c>
      <c r="F46">
        <f>Portfolio!B$5*'CurrentPor-LH=60 unchanged'!E46</f>
        <v>52143.895533915893</v>
      </c>
      <c r="G46">
        <f>Portfolio!B$6*'CurrentPor-LH=60 unchanged'!F46</f>
        <v>3696.2945087936532</v>
      </c>
      <c r="H46">
        <f>Portfolio!B$7*'CurrentPor-LH=60 unchanged'!J46</f>
        <v>2148.0998964419859</v>
      </c>
      <c r="I46">
        <f t="shared" si="0"/>
        <v>96493.537342205425</v>
      </c>
      <c r="J46">
        <f t="shared" si="1"/>
        <v>0</v>
      </c>
    </row>
    <row r="47" spans="1:10">
      <c r="A47" s="1">
        <v>45534</v>
      </c>
      <c r="B47">
        <f>(3/(1+('CurrentPor-LH=60 unchanged'!C47)/100)+103/POWER(1+('CurrentPor-LH=60 unchanged'!D47)/100,2))*100</f>
        <v>9707.5857774288397</v>
      </c>
      <c r="C47">
        <f>(3/(1+('CurrentPor-LH=60 unchanged'!C47+'CurrentPor-LH=60 unchanged'!G47)/100)+103/POWER(1+('CurrentPor-LH=60 unchanged'!D47+'CurrentPor-LH=60 unchanged'!G47)/100,2))*100</f>
        <v>9614.9673582483465</v>
      </c>
      <c r="D47">
        <f>(3/(1+('CurrentPor-LH=60 unchanged'!C47+'CurrentPor-LH=60 unchanged'!H47)/100)+103/POWER(1+('CurrentPor-LH=60 unchanged'!D47+'CurrentPor-LH=60 unchanged'!H47)/100,2))*100</f>
        <v>9601.2395558122898</v>
      </c>
      <c r="E47">
        <f>(3/(1+('CurrentPor-LH=60 unchanged'!C47+'CurrentPor-LH=60 unchanged'!I47)/100)+103/POWER(1+('CurrentPor-LH=60 unchanged'!D47+'CurrentPor-LH=60 unchanged'!I47)/100,2))*100</f>
        <v>9581.4547115644182</v>
      </c>
      <c r="F47">
        <f>Portfolio!B$5*'CurrentPor-LH=60 unchanged'!E47</f>
        <v>52143.895533915893</v>
      </c>
      <c r="G47">
        <f>Portfolio!B$6*'CurrentPor-LH=60 unchanged'!F47</f>
        <v>3696.2945087936532</v>
      </c>
      <c r="H47">
        <f>Portfolio!B$7*'CurrentPor-LH=60 unchanged'!J47</f>
        <v>2148.0998964419859</v>
      </c>
      <c r="I47">
        <f t="shared" si="0"/>
        <v>96493.537342205425</v>
      </c>
      <c r="J47">
        <f t="shared" si="1"/>
        <v>0</v>
      </c>
    </row>
    <row r="48" spans="1:10">
      <c r="A48" s="1">
        <v>45537</v>
      </c>
      <c r="B48">
        <f>(3/(1+('CurrentPor-LH=60 unchanged'!C48)/100)+103/POWER(1+('CurrentPor-LH=60 unchanged'!D48)/100,2))*100</f>
        <v>9707.5857774288397</v>
      </c>
      <c r="C48">
        <f>(3/(1+('CurrentPor-LH=60 unchanged'!C48+'CurrentPor-LH=60 unchanged'!G48)/100)+103/POWER(1+('CurrentPor-LH=60 unchanged'!D48+'CurrentPor-LH=60 unchanged'!G48)/100,2))*100</f>
        <v>9614.9673582483465</v>
      </c>
      <c r="D48">
        <f>(3/(1+('CurrentPor-LH=60 unchanged'!C48+'CurrentPor-LH=60 unchanged'!H48)/100)+103/POWER(1+('CurrentPor-LH=60 unchanged'!D48+'CurrentPor-LH=60 unchanged'!H48)/100,2))*100</f>
        <v>9601.2395558122898</v>
      </c>
      <c r="E48">
        <f>(3/(1+('CurrentPor-LH=60 unchanged'!C48+'CurrentPor-LH=60 unchanged'!I48)/100)+103/POWER(1+('CurrentPor-LH=60 unchanged'!D48+'CurrentPor-LH=60 unchanged'!I48)/100,2))*100</f>
        <v>9581.4547115644182</v>
      </c>
      <c r="F48">
        <f>Portfolio!B$5*'CurrentPor-LH=60 unchanged'!E48</f>
        <v>52143.895533915893</v>
      </c>
      <c r="G48">
        <f>Portfolio!B$6*'CurrentPor-LH=60 unchanged'!F48</f>
        <v>3696.2945087936532</v>
      </c>
      <c r="H48">
        <f>Portfolio!B$7*'CurrentPor-LH=60 unchanged'!J48</f>
        <v>2148.0998964419859</v>
      </c>
      <c r="I48">
        <f t="shared" si="0"/>
        <v>96493.537342205425</v>
      </c>
      <c r="J48">
        <f t="shared" si="1"/>
        <v>0</v>
      </c>
    </row>
    <row r="49" spans="1:10">
      <c r="A49" s="1">
        <v>45538</v>
      </c>
      <c r="B49">
        <f>(3/(1+('CurrentPor-LH=60 unchanged'!C49)/100)+103/POWER(1+('CurrentPor-LH=60 unchanged'!D49)/100,2))*100</f>
        <v>9707.5857774288397</v>
      </c>
      <c r="C49">
        <f>(3/(1+('CurrentPor-LH=60 unchanged'!C49+'CurrentPor-LH=60 unchanged'!G49)/100)+103/POWER(1+('CurrentPor-LH=60 unchanged'!D49+'CurrentPor-LH=60 unchanged'!G49)/100,2))*100</f>
        <v>9614.9673582483465</v>
      </c>
      <c r="D49">
        <f>(3/(1+('CurrentPor-LH=60 unchanged'!C49+'CurrentPor-LH=60 unchanged'!H49)/100)+103/POWER(1+('CurrentPor-LH=60 unchanged'!D49+'CurrentPor-LH=60 unchanged'!H49)/100,2))*100</f>
        <v>9601.2395558122898</v>
      </c>
      <c r="E49">
        <f>(3/(1+('CurrentPor-LH=60 unchanged'!C49+'CurrentPor-LH=60 unchanged'!I49)/100)+103/POWER(1+('CurrentPor-LH=60 unchanged'!D49+'CurrentPor-LH=60 unchanged'!I49)/100,2))*100</f>
        <v>9581.4547115644182</v>
      </c>
      <c r="F49">
        <f>Portfolio!B$5*'CurrentPor-LH=60 unchanged'!E49</f>
        <v>52143.895533915893</v>
      </c>
      <c r="G49">
        <f>Portfolio!B$6*'CurrentPor-LH=60 unchanged'!F49</f>
        <v>3696.2945087936532</v>
      </c>
      <c r="H49">
        <f>Portfolio!B$7*'CurrentPor-LH=60 unchanged'!J49</f>
        <v>2148.0998964419859</v>
      </c>
      <c r="I49">
        <f t="shared" si="0"/>
        <v>96493.537342205425</v>
      </c>
      <c r="J49">
        <f t="shared" si="1"/>
        <v>0</v>
      </c>
    </row>
    <row r="50" spans="1:10">
      <c r="A50" s="1">
        <v>45539</v>
      </c>
      <c r="B50">
        <f>(3/(1+('CurrentPor-LH=60 unchanged'!C50)/100)+103/POWER(1+('CurrentPor-LH=60 unchanged'!D50)/100,2))*100</f>
        <v>9707.5857774288397</v>
      </c>
      <c r="C50">
        <f>(3/(1+('CurrentPor-LH=60 unchanged'!C50+'CurrentPor-LH=60 unchanged'!G50)/100)+103/POWER(1+('CurrentPor-LH=60 unchanged'!D50+'CurrentPor-LH=60 unchanged'!G50)/100,2))*100</f>
        <v>9614.9673582483465</v>
      </c>
      <c r="D50">
        <f>(3/(1+('CurrentPor-LH=60 unchanged'!C50+'CurrentPor-LH=60 unchanged'!H50)/100)+103/POWER(1+('CurrentPor-LH=60 unchanged'!D50+'CurrentPor-LH=60 unchanged'!H50)/100,2))*100</f>
        <v>9601.2395558122898</v>
      </c>
      <c r="E50">
        <f>(3/(1+('CurrentPor-LH=60 unchanged'!C50+'CurrentPor-LH=60 unchanged'!I50)/100)+103/POWER(1+('CurrentPor-LH=60 unchanged'!D50+'CurrentPor-LH=60 unchanged'!I50)/100,2))*100</f>
        <v>9581.4547115644182</v>
      </c>
      <c r="F50">
        <f>Portfolio!B$5*'CurrentPor-LH=60 unchanged'!E50</f>
        <v>52143.895533915893</v>
      </c>
      <c r="G50">
        <f>Portfolio!B$6*'CurrentPor-LH=60 unchanged'!F50</f>
        <v>3696.2945087936532</v>
      </c>
      <c r="H50">
        <f>Portfolio!B$7*'CurrentPor-LH=60 unchanged'!J50</f>
        <v>2148.0998964419859</v>
      </c>
      <c r="I50">
        <f t="shared" si="0"/>
        <v>96493.537342205425</v>
      </c>
      <c r="J50">
        <f t="shared" si="1"/>
        <v>0</v>
      </c>
    </row>
    <row r="51" spans="1:10">
      <c r="A51" s="1">
        <v>45540</v>
      </c>
      <c r="B51">
        <f>(3/(1+('CurrentPor-LH=60 unchanged'!C51)/100)+103/POWER(1+('CurrentPor-LH=60 unchanged'!D51)/100,2))*100</f>
        <v>9707.5857774288397</v>
      </c>
      <c r="C51">
        <f>(3/(1+('CurrentPor-LH=60 unchanged'!C51+'CurrentPor-LH=60 unchanged'!G51)/100)+103/POWER(1+('CurrentPor-LH=60 unchanged'!D51+'CurrentPor-LH=60 unchanged'!G51)/100,2))*100</f>
        <v>9614.9673582483465</v>
      </c>
      <c r="D51">
        <f>(3/(1+('CurrentPor-LH=60 unchanged'!C51+'CurrentPor-LH=60 unchanged'!H51)/100)+103/POWER(1+('CurrentPor-LH=60 unchanged'!D51+'CurrentPor-LH=60 unchanged'!H51)/100,2))*100</f>
        <v>9601.2395558122898</v>
      </c>
      <c r="E51">
        <f>(3/(1+('CurrentPor-LH=60 unchanged'!C51+'CurrentPor-LH=60 unchanged'!I51)/100)+103/POWER(1+('CurrentPor-LH=60 unchanged'!D51+'CurrentPor-LH=60 unchanged'!I51)/100,2))*100</f>
        <v>9581.4547115644182</v>
      </c>
      <c r="F51">
        <f>Portfolio!B$5*'CurrentPor-LH=60 unchanged'!E51</f>
        <v>52143.895533915893</v>
      </c>
      <c r="G51">
        <f>Portfolio!B$6*'CurrentPor-LH=60 unchanged'!F51</f>
        <v>3696.2945087936532</v>
      </c>
      <c r="H51">
        <f>Portfolio!B$7*'CurrentPor-LH=60 unchanged'!J51</f>
        <v>2148.0998964419859</v>
      </c>
      <c r="I51">
        <f t="shared" si="0"/>
        <v>96493.537342205425</v>
      </c>
      <c r="J51">
        <f t="shared" si="1"/>
        <v>0</v>
      </c>
    </row>
    <row r="52" spans="1:10">
      <c r="A52" s="1">
        <v>45541</v>
      </c>
      <c r="B52">
        <f>(3/(1+('CurrentPor-LH=60 unchanged'!C52)/100)+103/POWER(1+('CurrentPor-LH=60 unchanged'!D52)/100,2))*100</f>
        <v>9707.5857774288397</v>
      </c>
      <c r="C52">
        <f>(3/(1+('CurrentPor-LH=60 unchanged'!C52+'CurrentPor-LH=60 unchanged'!G52)/100)+103/POWER(1+('CurrentPor-LH=60 unchanged'!D52+'CurrentPor-LH=60 unchanged'!G52)/100,2))*100</f>
        <v>9614.9673582483465</v>
      </c>
      <c r="D52">
        <f>(3/(1+('CurrentPor-LH=60 unchanged'!C52+'CurrentPor-LH=60 unchanged'!H52)/100)+103/POWER(1+('CurrentPor-LH=60 unchanged'!D52+'CurrentPor-LH=60 unchanged'!H52)/100,2))*100</f>
        <v>9601.2395558122898</v>
      </c>
      <c r="E52">
        <f>(3/(1+('CurrentPor-LH=60 unchanged'!C52+'CurrentPor-LH=60 unchanged'!I52)/100)+103/POWER(1+('CurrentPor-LH=60 unchanged'!D52+'CurrentPor-LH=60 unchanged'!I52)/100,2))*100</f>
        <v>9581.4547115644182</v>
      </c>
      <c r="F52">
        <f>Portfolio!B$5*'CurrentPor-LH=60 unchanged'!E52</f>
        <v>52143.895533915893</v>
      </c>
      <c r="G52">
        <f>Portfolio!B$6*'CurrentPor-LH=60 unchanged'!F52</f>
        <v>3696.2945087936532</v>
      </c>
      <c r="H52">
        <f>Portfolio!B$7*'CurrentPor-LH=60 unchanged'!J52</f>
        <v>2148.0998964419859</v>
      </c>
      <c r="I52">
        <f t="shared" si="0"/>
        <v>96493.537342205425</v>
      </c>
      <c r="J52">
        <f t="shared" si="1"/>
        <v>0</v>
      </c>
    </row>
    <row r="53" spans="1:10">
      <c r="A53" s="1">
        <v>45544</v>
      </c>
      <c r="B53">
        <f>(3/(1+('CurrentPor-LH=60 unchanged'!C53)/100)+103/POWER(1+('CurrentPor-LH=60 unchanged'!D53)/100,2))*100</f>
        <v>9707.5857774288397</v>
      </c>
      <c r="C53">
        <f>(3/(1+('CurrentPor-LH=60 unchanged'!C53+'CurrentPor-LH=60 unchanged'!G53)/100)+103/POWER(1+('CurrentPor-LH=60 unchanged'!D53+'CurrentPor-LH=60 unchanged'!G53)/100,2))*100</f>
        <v>9614.9673582483465</v>
      </c>
      <c r="D53">
        <f>(3/(1+('CurrentPor-LH=60 unchanged'!C53+'CurrentPor-LH=60 unchanged'!H53)/100)+103/POWER(1+('CurrentPor-LH=60 unchanged'!D53+'CurrentPor-LH=60 unchanged'!H53)/100,2))*100</f>
        <v>9601.2395558122898</v>
      </c>
      <c r="E53">
        <f>(3/(1+('CurrentPor-LH=60 unchanged'!C53+'CurrentPor-LH=60 unchanged'!I53)/100)+103/POWER(1+('CurrentPor-LH=60 unchanged'!D53+'CurrentPor-LH=60 unchanged'!I53)/100,2))*100</f>
        <v>9581.4547115644182</v>
      </c>
      <c r="F53">
        <f>Portfolio!B$5*'CurrentPor-LH=60 unchanged'!E53</f>
        <v>52143.895533915893</v>
      </c>
      <c r="G53">
        <f>Portfolio!B$6*'CurrentPor-LH=60 unchanged'!F53</f>
        <v>3696.2945087936532</v>
      </c>
      <c r="H53">
        <f>Portfolio!B$7*'CurrentPor-LH=60 unchanged'!J53</f>
        <v>2148.0998964419859</v>
      </c>
      <c r="I53">
        <f t="shared" si="0"/>
        <v>96493.537342205425</v>
      </c>
      <c r="J53">
        <f t="shared" si="1"/>
        <v>0</v>
      </c>
    </row>
    <row r="54" spans="1:10">
      <c r="A54" s="1">
        <v>45545</v>
      </c>
      <c r="B54">
        <f>(3/(1+('CurrentPor-LH=60 unchanged'!C54)/100)+103/POWER(1+('CurrentPor-LH=60 unchanged'!D54)/100,2))*100</f>
        <v>9707.5857774288397</v>
      </c>
      <c r="C54">
        <f>(3/(1+('CurrentPor-LH=60 unchanged'!C54+'CurrentPor-LH=60 unchanged'!G54)/100)+103/POWER(1+('CurrentPor-LH=60 unchanged'!D54+'CurrentPor-LH=60 unchanged'!G54)/100,2))*100</f>
        <v>9614.9673582483465</v>
      </c>
      <c r="D54">
        <f>(3/(1+('CurrentPor-LH=60 unchanged'!C54+'CurrentPor-LH=60 unchanged'!H54)/100)+103/POWER(1+('CurrentPor-LH=60 unchanged'!D54+'CurrentPor-LH=60 unchanged'!H54)/100,2))*100</f>
        <v>9601.2395558122898</v>
      </c>
      <c r="E54">
        <f>(3/(1+('CurrentPor-LH=60 unchanged'!C54+'CurrentPor-LH=60 unchanged'!I54)/100)+103/POWER(1+('CurrentPor-LH=60 unchanged'!D54+'CurrentPor-LH=60 unchanged'!I54)/100,2))*100</f>
        <v>9581.4547115644182</v>
      </c>
      <c r="F54">
        <f>Portfolio!B$5*'CurrentPor-LH=60 unchanged'!E54</f>
        <v>52143.895533915893</v>
      </c>
      <c r="G54">
        <f>Portfolio!B$6*'CurrentPor-LH=60 unchanged'!F54</f>
        <v>3696.2945087936532</v>
      </c>
      <c r="H54">
        <f>Portfolio!B$7*'CurrentPor-LH=60 unchanged'!J54</f>
        <v>2148.0998964419859</v>
      </c>
      <c r="I54">
        <f t="shared" si="0"/>
        <v>96493.537342205425</v>
      </c>
      <c r="J54">
        <f t="shared" si="1"/>
        <v>0</v>
      </c>
    </row>
    <row r="55" spans="1:10">
      <c r="A55" s="1">
        <v>45546</v>
      </c>
      <c r="B55">
        <f>(3/(1+('CurrentPor-LH=60 unchanged'!C55)/100)+103/POWER(1+('CurrentPor-LH=60 unchanged'!D55)/100,2))*100</f>
        <v>9707.5857774288397</v>
      </c>
      <c r="C55">
        <f>(3/(1+('CurrentPor-LH=60 unchanged'!C55+'CurrentPor-LH=60 unchanged'!G55)/100)+103/POWER(1+('CurrentPor-LH=60 unchanged'!D55+'CurrentPor-LH=60 unchanged'!G55)/100,2))*100</f>
        <v>9614.9673582483465</v>
      </c>
      <c r="D55">
        <f>(3/(1+('CurrentPor-LH=60 unchanged'!C55+'CurrentPor-LH=60 unchanged'!H55)/100)+103/POWER(1+('CurrentPor-LH=60 unchanged'!D55+'CurrentPor-LH=60 unchanged'!H55)/100,2))*100</f>
        <v>9601.2395558122898</v>
      </c>
      <c r="E55">
        <f>(3/(1+('CurrentPor-LH=60 unchanged'!C55+'CurrentPor-LH=60 unchanged'!I55)/100)+103/POWER(1+('CurrentPor-LH=60 unchanged'!D55+'CurrentPor-LH=60 unchanged'!I55)/100,2))*100</f>
        <v>9581.4547115644182</v>
      </c>
      <c r="F55">
        <f>Portfolio!B$5*'CurrentPor-LH=60 unchanged'!E55</f>
        <v>52143.895533915893</v>
      </c>
      <c r="G55">
        <f>Portfolio!B$6*'CurrentPor-LH=60 unchanged'!F55</f>
        <v>3696.2945087936532</v>
      </c>
      <c r="H55">
        <f>Portfolio!B$7*'CurrentPor-LH=60 unchanged'!J55</f>
        <v>2148.0998964419859</v>
      </c>
      <c r="I55">
        <f t="shared" si="0"/>
        <v>96493.537342205425</v>
      </c>
      <c r="J55">
        <f t="shared" si="1"/>
        <v>0</v>
      </c>
    </row>
    <row r="56" spans="1:10">
      <c r="A56" s="1">
        <v>45547</v>
      </c>
      <c r="B56">
        <f>(3/(1+('CurrentPor-LH=60 unchanged'!C56)/100)+103/POWER(1+('CurrentPor-LH=60 unchanged'!D56)/100,2))*100</f>
        <v>9707.5857774288397</v>
      </c>
      <c r="C56">
        <f>(3/(1+('CurrentPor-LH=60 unchanged'!C56+'CurrentPor-LH=60 unchanged'!G56)/100)+103/POWER(1+('CurrentPor-LH=60 unchanged'!D56+'CurrentPor-LH=60 unchanged'!G56)/100,2))*100</f>
        <v>9614.9673582483465</v>
      </c>
      <c r="D56">
        <f>(3/(1+('CurrentPor-LH=60 unchanged'!C56+'CurrentPor-LH=60 unchanged'!H56)/100)+103/POWER(1+('CurrentPor-LH=60 unchanged'!D56+'CurrentPor-LH=60 unchanged'!H56)/100,2))*100</f>
        <v>9601.2395558122898</v>
      </c>
      <c r="E56">
        <f>(3/(1+('CurrentPor-LH=60 unchanged'!C56+'CurrentPor-LH=60 unchanged'!I56)/100)+103/POWER(1+('CurrentPor-LH=60 unchanged'!D56+'CurrentPor-LH=60 unchanged'!I56)/100,2))*100</f>
        <v>9581.4547115644182</v>
      </c>
      <c r="F56">
        <f>Portfolio!B$5*'CurrentPor-LH=60 unchanged'!E56</f>
        <v>52143.895533915893</v>
      </c>
      <c r="G56">
        <f>Portfolio!B$6*'CurrentPor-LH=60 unchanged'!F56</f>
        <v>3696.2945087936532</v>
      </c>
      <c r="H56">
        <f>Portfolio!B$7*'CurrentPor-LH=60 unchanged'!J56</f>
        <v>2148.0998964419859</v>
      </c>
      <c r="I56">
        <f t="shared" si="0"/>
        <v>96493.537342205425</v>
      </c>
      <c r="J56">
        <f t="shared" si="1"/>
        <v>0</v>
      </c>
    </row>
    <row r="57" spans="1:10">
      <c r="A57" s="1">
        <v>45548</v>
      </c>
      <c r="B57">
        <f>(3/(1+('CurrentPor-LH=60 unchanged'!C57)/100)+103/POWER(1+('CurrentPor-LH=60 unchanged'!D57)/100,2))*100</f>
        <v>9707.5857774288397</v>
      </c>
      <c r="C57">
        <f>(3/(1+('CurrentPor-LH=60 unchanged'!C57+'CurrentPor-LH=60 unchanged'!G57)/100)+103/POWER(1+('CurrentPor-LH=60 unchanged'!D57+'CurrentPor-LH=60 unchanged'!G57)/100,2))*100</f>
        <v>9614.9673582483465</v>
      </c>
      <c r="D57">
        <f>(3/(1+('CurrentPor-LH=60 unchanged'!C57+'CurrentPor-LH=60 unchanged'!H57)/100)+103/POWER(1+('CurrentPor-LH=60 unchanged'!D57+'CurrentPor-LH=60 unchanged'!H57)/100,2))*100</f>
        <v>9601.2395558122898</v>
      </c>
      <c r="E57">
        <f>(3/(1+('CurrentPor-LH=60 unchanged'!C57+'CurrentPor-LH=60 unchanged'!I57)/100)+103/POWER(1+('CurrentPor-LH=60 unchanged'!D57+'CurrentPor-LH=60 unchanged'!I57)/100,2))*100</f>
        <v>9581.4547115644182</v>
      </c>
      <c r="F57">
        <f>Portfolio!B$5*'CurrentPor-LH=60 unchanged'!E57</f>
        <v>52143.895533915893</v>
      </c>
      <c r="G57">
        <f>Portfolio!B$6*'CurrentPor-LH=60 unchanged'!F57</f>
        <v>3696.2945087936532</v>
      </c>
      <c r="H57">
        <f>Portfolio!B$7*'CurrentPor-LH=60 unchanged'!J57</f>
        <v>2148.0998964419859</v>
      </c>
      <c r="I57">
        <f t="shared" si="0"/>
        <v>96493.537342205425</v>
      </c>
      <c r="J57">
        <f t="shared" si="1"/>
        <v>0</v>
      </c>
    </row>
    <row r="58" spans="1:10">
      <c r="A58" s="1">
        <v>45551</v>
      </c>
      <c r="B58">
        <f>(3/(1+('CurrentPor-LH=60 unchanged'!C58)/100)+103/POWER(1+('CurrentPor-LH=60 unchanged'!D58)/100,2))*100</f>
        <v>9707.5857774288397</v>
      </c>
      <c r="C58">
        <f>(3/(1+('CurrentPor-LH=60 unchanged'!C58+'CurrentPor-LH=60 unchanged'!G58)/100)+103/POWER(1+('CurrentPor-LH=60 unchanged'!D58+'CurrentPor-LH=60 unchanged'!G58)/100,2))*100</f>
        <v>9614.9673582483465</v>
      </c>
      <c r="D58">
        <f>(3/(1+('CurrentPor-LH=60 unchanged'!C58+'CurrentPor-LH=60 unchanged'!H58)/100)+103/POWER(1+('CurrentPor-LH=60 unchanged'!D58+'CurrentPor-LH=60 unchanged'!H58)/100,2))*100</f>
        <v>9601.2395558122898</v>
      </c>
      <c r="E58">
        <f>(3/(1+('CurrentPor-LH=60 unchanged'!C58+'CurrentPor-LH=60 unchanged'!I58)/100)+103/POWER(1+('CurrentPor-LH=60 unchanged'!D58+'CurrentPor-LH=60 unchanged'!I58)/100,2))*100</f>
        <v>9581.4547115644182</v>
      </c>
      <c r="F58">
        <f>Portfolio!B$5*'CurrentPor-LH=60 unchanged'!E58</f>
        <v>52143.895533915893</v>
      </c>
      <c r="G58">
        <f>Portfolio!B$6*'CurrentPor-LH=60 unchanged'!F58</f>
        <v>3696.2945087936532</v>
      </c>
      <c r="H58">
        <f>Portfolio!B$7*'CurrentPor-LH=60 unchanged'!J58</f>
        <v>2148.0998964419859</v>
      </c>
      <c r="I58">
        <f t="shared" si="0"/>
        <v>96493.537342205425</v>
      </c>
      <c r="J58">
        <f t="shared" si="1"/>
        <v>0</v>
      </c>
    </row>
    <row r="59" spans="1:10">
      <c r="A59" s="1">
        <v>45552</v>
      </c>
      <c r="B59">
        <f>(3/(1+('CurrentPor-LH=60 unchanged'!C59)/100)+103/POWER(1+('CurrentPor-LH=60 unchanged'!D59)/100,2))*100</f>
        <v>9707.5857774288397</v>
      </c>
      <c r="C59">
        <f>(3/(1+('CurrentPor-LH=60 unchanged'!C59+'CurrentPor-LH=60 unchanged'!G59)/100)+103/POWER(1+('CurrentPor-LH=60 unchanged'!D59+'CurrentPor-LH=60 unchanged'!G59)/100,2))*100</f>
        <v>9614.9673582483465</v>
      </c>
      <c r="D59">
        <f>(3/(1+('CurrentPor-LH=60 unchanged'!C59+'CurrentPor-LH=60 unchanged'!H59)/100)+103/POWER(1+('CurrentPor-LH=60 unchanged'!D59+'CurrentPor-LH=60 unchanged'!H59)/100,2))*100</f>
        <v>9601.2395558122898</v>
      </c>
      <c r="E59">
        <f>(3/(1+('CurrentPor-LH=60 unchanged'!C59+'CurrentPor-LH=60 unchanged'!I59)/100)+103/POWER(1+('CurrentPor-LH=60 unchanged'!D59+'CurrentPor-LH=60 unchanged'!I59)/100,2))*100</f>
        <v>9581.4547115644182</v>
      </c>
      <c r="F59">
        <f>Portfolio!B$5*'CurrentPor-LH=60 unchanged'!E59</f>
        <v>52143.895533915893</v>
      </c>
      <c r="G59">
        <f>Portfolio!B$6*'CurrentPor-LH=60 unchanged'!F59</f>
        <v>3696.2945087936532</v>
      </c>
      <c r="H59">
        <f>Portfolio!B$7*'CurrentPor-LH=60 unchanged'!J59</f>
        <v>2148.0998964419859</v>
      </c>
      <c r="I59">
        <f t="shared" si="0"/>
        <v>96493.537342205425</v>
      </c>
      <c r="J59">
        <f t="shared" si="1"/>
        <v>0</v>
      </c>
    </row>
    <row r="60" spans="1:10">
      <c r="A60" s="1">
        <v>45553</v>
      </c>
      <c r="B60">
        <f>(3/(1+('CurrentPor-LH=60 unchanged'!C60)/100)+103/POWER(1+('CurrentPor-LH=60 unchanged'!D60)/100,2))*100</f>
        <v>9707.5857774288397</v>
      </c>
      <c r="C60">
        <f>(3/(1+('CurrentPor-LH=60 unchanged'!C60+'CurrentPor-LH=60 unchanged'!G60)/100)+103/POWER(1+('CurrentPor-LH=60 unchanged'!D60+'CurrentPor-LH=60 unchanged'!G60)/100,2))*100</f>
        <v>9614.9673582483465</v>
      </c>
      <c r="D60">
        <f>(3/(1+('CurrentPor-LH=60 unchanged'!C60+'CurrentPor-LH=60 unchanged'!H60)/100)+103/POWER(1+('CurrentPor-LH=60 unchanged'!D60+'CurrentPor-LH=60 unchanged'!H60)/100,2))*100</f>
        <v>9601.2395558122898</v>
      </c>
      <c r="E60">
        <f>(3/(1+('CurrentPor-LH=60 unchanged'!C60+'CurrentPor-LH=60 unchanged'!I60)/100)+103/POWER(1+('CurrentPor-LH=60 unchanged'!D60+'CurrentPor-LH=60 unchanged'!I60)/100,2))*100</f>
        <v>9581.4547115644182</v>
      </c>
      <c r="F60">
        <f>Portfolio!B$5*'CurrentPor-LH=60 unchanged'!E60</f>
        <v>52143.895533915893</v>
      </c>
      <c r="G60">
        <f>Portfolio!B$6*'CurrentPor-LH=60 unchanged'!F60</f>
        <v>3696.2945087936532</v>
      </c>
      <c r="H60">
        <f>Portfolio!B$7*'CurrentPor-LH=60 unchanged'!J60</f>
        <v>2148.0998964419859</v>
      </c>
      <c r="I60">
        <f t="shared" si="0"/>
        <v>96493.537342205425</v>
      </c>
      <c r="J60">
        <f t="shared" si="1"/>
        <v>0</v>
      </c>
    </row>
    <row r="61" spans="1:10">
      <c r="A61" s="1">
        <v>45554</v>
      </c>
      <c r="B61">
        <f>(3/(1+('CurrentPor-LH=60 unchanged'!C61)/100)+103/POWER(1+('CurrentPor-LH=60 unchanged'!D61)/100,2))*100</f>
        <v>9707.5857774288397</v>
      </c>
      <c r="C61">
        <f>(3/(1+('CurrentPor-LH=60 unchanged'!C61+'CurrentPor-LH=60 unchanged'!G61)/100)+103/POWER(1+('CurrentPor-LH=60 unchanged'!D61+'CurrentPor-LH=60 unchanged'!G61)/100,2))*100</f>
        <v>9614.9673582483465</v>
      </c>
      <c r="D61">
        <f>(3/(1+('CurrentPor-LH=60 unchanged'!C61+'CurrentPor-LH=60 unchanged'!H61)/100)+103/POWER(1+('CurrentPor-LH=60 unchanged'!D61+'CurrentPor-LH=60 unchanged'!H61)/100,2))*100</f>
        <v>9601.2395558122898</v>
      </c>
      <c r="E61">
        <f>(3/(1+('CurrentPor-LH=60 unchanged'!C61+'CurrentPor-LH=60 unchanged'!I61)/100)+103/POWER(1+('CurrentPor-LH=60 unchanged'!D61+'CurrentPor-LH=60 unchanged'!I61)/100,2))*100</f>
        <v>9581.4547115644182</v>
      </c>
      <c r="F61">
        <f>Portfolio!B$5*'CurrentPor-LH=60 unchanged'!E61</f>
        <v>52143.895533915893</v>
      </c>
      <c r="G61">
        <f>Portfolio!B$6*'CurrentPor-LH=60 unchanged'!F61</f>
        <v>3696.2945087936532</v>
      </c>
      <c r="H61">
        <f>Portfolio!B$7*'CurrentPor-LH=60 unchanged'!J61</f>
        <v>2148.0998964419859</v>
      </c>
      <c r="I61">
        <f t="shared" si="0"/>
        <v>96493.537342205425</v>
      </c>
      <c r="J61">
        <f t="shared" si="1"/>
        <v>0</v>
      </c>
    </row>
    <row r="62" spans="1:10">
      <c r="A62" s="1">
        <v>45555</v>
      </c>
      <c r="B62">
        <f>(3/(1+('CurrentPor-LH=60 unchanged'!C62)/100)+103/POWER(1+('CurrentPor-LH=60 unchanged'!D62)/100,2))*100</f>
        <v>9707.5857774288397</v>
      </c>
      <c r="C62">
        <f>(3/(1+('CurrentPor-LH=60 unchanged'!C62+'CurrentPor-LH=60 unchanged'!G62)/100)+103/POWER(1+('CurrentPor-LH=60 unchanged'!D62+'CurrentPor-LH=60 unchanged'!G62)/100,2))*100</f>
        <v>9614.9673582483465</v>
      </c>
      <c r="D62">
        <f>(3/(1+('CurrentPor-LH=60 unchanged'!C62+'CurrentPor-LH=60 unchanged'!H62)/100)+103/POWER(1+('CurrentPor-LH=60 unchanged'!D62+'CurrentPor-LH=60 unchanged'!H62)/100,2))*100</f>
        <v>9601.2395558122898</v>
      </c>
      <c r="E62">
        <f>(3/(1+('CurrentPor-LH=60 unchanged'!C62+'CurrentPor-LH=60 unchanged'!I62)/100)+103/POWER(1+('CurrentPor-LH=60 unchanged'!D62+'CurrentPor-LH=60 unchanged'!I62)/100,2))*100</f>
        <v>9581.4547115644182</v>
      </c>
      <c r="F62">
        <f>Portfolio!B$5*'CurrentPor-LH=60 unchanged'!E62</f>
        <v>52143.895533915893</v>
      </c>
      <c r="G62">
        <f>Portfolio!B$6*'CurrentPor-LH=60 unchanged'!F62</f>
        <v>3696.2945087936532</v>
      </c>
      <c r="H62">
        <f>Portfolio!B$7*'CurrentPor-LH=60 unchanged'!J62</f>
        <v>2148.0998964419859</v>
      </c>
      <c r="I62">
        <f t="shared" si="0"/>
        <v>96493.537342205425</v>
      </c>
      <c r="J62">
        <f t="shared" si="1"/>
        <v>0</v>
      </c>
    </row>
    <row r="63" spans="1:10">
      <c r="A63" s="1">
        <v>45558</v>
      </c>
      <c r="B63">
        <f>(3/(1+('CurrentPor-LH=60 unchanged'!C63)/100)+103/POWER(1+('CurrentPor-LH=60 unchanged'!D63)/100,2))*100</f>
        <v>9707.5857774288397</v>
      </c>
      <c r="C63">
        <f>(3/(1+('CurrentPor-LH=60 unchanged'!C63+'CurrentPor-LH=60 unchanged'!G63)/100)+103/POWER(1+('CurrentPor-LH=60 unchanged'!D63+'CurrentPor-LH=60 unchanged'!G63)/100,2))*100</f>
        <v>9614.9673582483465</v>
      </c>
      <c r="D63">
        <f>(3/(1+('CurrentPor-LH=60 unchanged'!C63+'CurrentPor-LH=60 unchanged'!H63)/100)+103/POWER(1+('CurrentPor-LH=60 unchanged'!D63+'CurrentPor-LH=60 unchanged'!H63)/100,2))*100</f>
        <v>9601.2395558122898</v>
      </c>
      <c r="E63">
        <f>(3/(1+('CurrentPor-LH=60 unchanged'!C63+'CurrentPor-LH=60 unchanged'!I63)/100)+103/POWER(1+('CurrentPor-LH=60 unchanged'!D63+'CurrentPor-LH=60 unchanged'!I63)/100,2))*100</f>
        <v>9581.4547115644182</v>
      </c>
      <c r="F63">
        <f>Portfolio!B$5*'CurrentPor-LH=60 unchanged'!E63</f>
        <v>52143.895533915893</v>
      </c>
      <c r="G63">
        <f>Portfolio!B$6*'CurrentPor-LH=60 unchanged'!F63</f>
        <v>3696.2945087936532</v>
      </c>
      <c r="H63">
        <f>Portfolio!B$7*'CurrentPor-LH=60 unchanged'!J63</f>
        <v>2148.0998964419859</v>
      </c>
      <c r="I63">
        <f t="shared" si="0"/>
        <v>96493.537342205425</v>
      </c>
      <c r="J63">
        <f t="shared" si="1"/>
        <v>0</v>
      </c>
    </row>
    <row r="64" spans="1:10">
      <c r="A64" s="1">
        <v>45559</v>
      </c>
      <c r="B64">
        <f>(3/(1+('CurrentPor-LH=60 unchanged'!C64)/100)+103/POWER(1+('CurrentPor-LH=60 unchanged'!D64)/100,2))*100</f>
        <v>9707.5857774288397</v>
      </c>
      <c r="C64">
        <f>(3/(1+('CurrentPor-LH=60 unchanged'!C64+'CurrentPor-LH=60 unchanged'!G64)/100)+103/POWER(1+('CurrentPor-LH=60 unchanged'!D64+'CurrentPor-LH=60 unchanged'!G64)/100,2))*100</f>
        <v>9614.9673582483465</v>
      </c>
      <c r="D64">
        <f>(3/(1+('CurrentPor-LH=60 unchanged'!C64+'CurrentPor-LH=60 unchanged'!H64)/100)+103/POWER(1+('CurrentPor-LH=60 unchanged'!D64+'CurrentPor-LH=60 unchanged'!H64)/100,2))*100</f>
        <v>9601.2395558122898</v>
      </c>
      <c r="E64">
        <f>(3/(1+('CurrentPor-LH=60 unchanged'!C64+'CurrentPor-LH=60 unchanged'!I64)/100)+103/POWER(1+('CurrentPor-LH=60 unchanged'!D64+'CurrentPor-LH=60 unchanged'!I64)/100,2))*100</f>
        <v>9581.4547115644182</v>
      </c>
      <c r="F64">
        <f>Portfolio!B$5*'CurrentPor-LH=60 unchanged'!E64</f>
        <v>52143.895533915893</v>
      </c>
      <c r="G64">
        <f>Portfolio!B$6*'CurrentPor-LH=60 unchanged'!F64</f>
        <v>3696.2945087936532</v>
      </c>
      <c r="H64">
        <f>Portfolio!B$7*'CurrentPor-LH=60 unchanged'!J64</f>
        <v>2148.0998964419859</v>
      </c>
      <c r="I64">
        <f t="shared" si="0"/>
        <v>96493.537342205425</v>
      </c>
      <c r="J64">
        <f t="shared" si="1"/>
        <v>0</v>
      </c>
    </row>
    <row r="65" spans="1:10">
      <c r="A65" s="1">
        <v>45560</v>
      </c>
      <c r="B65">
        <f>(3/(1+('CurrentPor-LH=60 unchanged'!C65)/100)+103/POWER(1+('CurrentPor-LH=60 unchanged'!D65)/100,2))*100</f>
        <v>9707.5857774288397</v>
      </c>
      <c r="C65">
        <f>(3/(1+('CurrentPor-LH=60 unchanged'!C65+'CurrentPor-LH=60 unchanged'!G65)/100)+103/POWER(1+('CurrentPor-LH=60 unchanged'!D65+'CurrentPor-LH=60 unchanged'!G65)/100,2))*100</f>
        <v>9614.9673582483465</v>
      </c>
      <c r="D65">
        <f>(3/(1+('CurrentPor-LH=60 unchanged'!C65+'CurrentPor-LH=60 unchanged'!H65)/100)+103/POWER(1+('CurrentPor-LH=60 unchanged'!D65+'CurrentPor-LH=60 unchanged'!H65)/100,2))*100</f>
        <v>9601.2395558122898</v>
      </c>
      <c r="E65">
        <f>(3/(1+('CurrentPor-LH=60 unchanged'!C65+'CurrentPor-LH=60 unchanged'!I65)/100)+103/POWER(1+('CurrentPor-LH=60 unchanged'!D65+'CurrentPor-LH=60 unchanged'!I65)/100,2))*100</f>
        <v>9581.4547115644182</v>
      </c>
      <c r="F65">
        <f>Portfolio!B$5*'CurrentPor-LH=60 unchanged'!E65</f>
        <v>52143.895533915893</v>
      </c>
      <c r="G65">
        <f>Portfolio!B$6*'CurrentPor-LH=60 unchanged'!F65</f>
        <v>3696.2945087936532</v>
      </c>
      <c r="H65">
        <f>Portfolio!B$7*'CurrentPor-LH=60 unchanged'!J65</f>
        <v>2148.0998964419859</v>
      </c>
      <c r="I65">
        <f t="shared" si="0"/>
        <v>96493.537342205425</v>
      </c>
      <c r="J65">
        <f t="shared" si="1"/>
        <v>0</v>
      </c>
    </row>
    <row r="66" spans="1:10">
      <c r="A66" s="1">
        <v>45561</v>
      </c>
      <c r="B66">
        <f>(3/(1+('CurrentPor-LH=60 unchanged'!C66)/100)+103/POWER(1+('CurrentPor-LH=60 unchanged'!D66)/100,2))*100</f>
        <v>9707.5857774288397</v>
      </c>
      <c r="C66">
        <f>(3/(1+('CurrentPor-LH=60 unchanged'!C66+'CurrentPor-LH=60 unchanged'!G66)/100)+103/POWER(1+('CurrentPor-LH=60 unchanged'!D66+'CurrentPor-LH=60 unchanged'!G66)/100,2))*100</f>
        <v>9614.9673582483465</v>
      </c>
      <c r="D66">
        <f>(3/(1+('CurrentPor-LH=60 unchanged'!C66+'CurrentPor-LH=60 unchanged'!H66)/100)+103/POWER(1+('CurrentPor-LH=60 unchanged'!D66+'CurrentPor-LH=60 unchanged'!H66)/100,2))*100</f>
        <v>9601.2395558122898</v>
      </c>
      <c r="E66">
        <f>(3/(1+('CurrentPor-LH=60 unchanged'!C66+'CurrentPor-LH=60 unchanged'!I66)/100)+103/POWER(1+('CurrentPor-LH=60 unchanged'!D66+'CurrentPor-LH=60 unchanged'!I66)/100,2))*100</f>
        <v>9581.4547115644182</v>
      </c>
      <c r="F66">
        <f>Portfolio!B$5*'CurrentPor-LH=60 unchanged'!E66</f>
        <v>52143.895533915893</v>
      </c>
      <c r="G66">
        <f>Portfolio!B$6*'CurrentPor-LH=60 unchanged'!F66</f>
        <v>3696.2945087936532</v>
      </c>
      <c r="H66">
        <f>Portfolio!B$7*'CurrentPor-LH=60 unchanged'!J66</f>
        <v>2148.0998964419859</v>
      </c>
      <c r="I66">
        <f t="shared" si="0"/>
        <v>96493.537342205425</v>
      </c>
      <c r="J66">
        <f t="shared" si="1"/>
        <v>0</v>
      </c>
    </row>
    <row r="67" spans="1:10">
      <c r="A67" s="1">
        <v>45562</v>
      </c>
      <c r="B67">
        <f>(3/(1+('CurrentPor-LH=60 unchanged'!C67)/100)+103/POWER(1+('CurrentPor-LH=60 unchanged'!D67)/100,2))*100</f>
        <v>9707.5857774288397</v>
      </c>
      <c r="C67">
        <f>(3/(1+('CurrentPor-LH=60 unchanged'!C67+'CurrentPor-LH=60 unchanged'!G67)/100)+103/POWER(1+('CurrentPor-LH=60 unchanged'!D67+'CurrentPor-LH=60 unchanged'!G67)/100,2))*100</f>
        <v>9614.9673582483465</v>
      </c>
      <c r="D67">
        <f>(3/(1+('CurrentPor-LH=60 unchanged'!C67+'CurrentPor-LH=60 unchanged'!H67)/100)+103/POWER(1+('CurrentPor-LH=60 unchanged'!D67+'CurrentPor-LH=60 unchanged'!H67)/100,2))*100</f>
        <v>9601.2395558122898</v>
      </c>
      <c r="E67">
        <f>(3/(1+('CurrentPor-LH=60 unchanged'!C67+'CurrentPor-LH=60 unchanged'!I67)/100)+103/POWER(1+('CurrentPor-LH=60 unchanged'!D67+'CurrentPor-LH=60 unchanged'!I67)/100,2))*100</f>
        <v>9581.4547115644182</v>
      </c>
      <c r="F67">
        <f>Portfolio!B$5*'CurrentPor-LH=60 unchanged'!E67</f>
        <v>52143.895533915893</v>
      </c>
      <c r="G67">
        <f>Portfolio!B$6*'CurrentPor-LH=60 unchanged'!F67</f>
        <v>3696.2945087936532</v>
      </c>
      <c r="H67">
        <f>Portfolio!B$7*'CurrentPor-LH=60 unchanged'!J67</f>
        <v>2148.0998964419859</v>
      </c>
      <c r="I67">
        <f t="shared" si="0"/>
        <v>96493.537342205425</v>
      </c>
      <c r="J67">
        <f t="shared" si="1"/>
        <v>0</v>
      </c>
    </row>
    <row r="68" spans="1:10">
      <c r="A68" s="1">
        <v>45565</v>
      </c>
      <c r="B68">
        <f>(3/(1+('CurrentPor-LH=60 unchanged'!C68)/100)+103/POWER(1+('CurrentPor-LH=60 unchanged'!D68)/100,2))*100</f>
        <v>9707.5857774288397</v>
      </c>
      <c r="C68">
        <f>(3/(1+('CurrentPor-LH=60 unchanged'!C68+'CurrentPor-LH=60 unchanged'!G68)/100)+103/POWER(1+('CurrentPor-LH=60 unchanged'!D68+'CurrentPor-LH=60 unchanged'!G68)/100,2))*100</f>
        <v>9614.9673582483465</v>
      </c>
      <c r="D68">
        <f>(3/(1+('CurrentPor-LH=60 unchanged'!C68+'CurrentPor-LH=60 unchanged'!H68)/100)+103/POWER(1+('CurrentPor-LH=60 unchanged'!D68+'CurrentPor-LH=60 unchanged'!H68)/100,2))*100</f>
        <v>9601.2395558122898</v>
      </c>
      <c r="E68">
        <f>(3/(1+('CurrentPor-LH=60 unchanged'!C68+'CurrentPor-LH=60 unchanged'!I68)/100)+103/POWER(1+('CurrentPor-LH=60 unchanged'!D68+'CurrentPor-LH=60 unchanged'!I68)/100,2))*100</f>
        <v>9581.4547115644182</v>
      </c>
      <c r="F68">
        <f>Portfolio!B$5*'CurrentPor-LH=60 unchanged'!E68</f>
        <v>52143.895533915893</v>
      </c>
      <c r="G68">
        <f>Portfolio!B$6*'CurrentPor-LH=60 unchanged'!F68</f>
        <v>3696.2945087936532</v>
      </c>
      <c r="H68">
        <f>Portfolio!B$7*'CurrentPor-LH=60 unchanged'!J68</f>
        <v>2148.0998964419859</v>
      </c>
      <c r="I68">
        <f t="shared" ref="I68:I131" si="2">SUM(B68:H68)</f>
        <v>96493.537342205425</v>
      </c>
      <c r="J68">
        <f t="shared" si="1"/>
        <v>0</v>
      </c>
    </row>
    <row r="69" spans="1:10">
      <c r="A69" s="1">
        <v>45566</v>
      </c>
      <c r="B69">
        <f>(3/(1+('CurrentPor-LH=60 unchanged'!C69)/100)+103/POWER(1+('CurrentPor-LH=60 unchanged'!D69)/100,2))*100</f>
        <v>9707.5857774288397</v>
      </c>
      <c r="C69">
        <f>(3/(1+('CurrentPor-LH=60 unchanged'!C69+'CurrentPor-LH=60 unchanged'!G69)/100)+103/POWER(1+('CurrentPor-LH=60 unchanged'!D69+'CurrentPor-LH=60 unchanged'!G69)/100,2))*100</f>
        <v>9614.9673582483465</v>
      </c>
      <c r="D69">
        <f>(3/(1+('CurrentPor-LH=60 unchanged'!C69+'CurrentPor-LH=60 unchanged'!H69)/100)+103/POWER(1+('CurrentPor-LH=60 unchanged'!D69+'CurrentPor-LH=60 unchanged'!H69)/100,2))*100</f>
        <v>9601.2395558122898</v>
      </c>
      <c r="E69">
        <f>(3/(1+('CurrentPor-LH=60 unchanged'!C69+'CurrentPor-LH=60 unchanged'!I69)/100)+103/POWER(1+('CurrentPor-LH=60 unchanged'!D69+'CurrentPor-LH=60 unchanged'!I69)/100,2))*100</f>
        <v>9581.4547115644182</v>
      </c>
      <c r="F69">
        <f>Portfolio!B$5*'CurrentPor-LH=60 unchanged'!E69</f>
        <v>52143.895533915893</v>
      </c>
      <c r="G69">
        <f>Portfolio!B$6*'CurrentPor-LH=60 unchanged'!F69</f>
        <v>3696.2945087936532</v>
      </c>
      <c r="H69">
        <f>Portfolio!B$7*'CurrentPor-LH=60 unchanged'!J69</f>
        <v>2148.0998964419859</v>
      </c>
      <c r="I69">
        <f t="shared" si="2"/>
        <v>96493.537342205425</v>
      </c>
      <c r="J69">
        <f t="shared" si="1"/>
        <v>0</v>
      </c>
    </row>
    <row r="70" spans="1:10">
      <c r="A70" s="1">
        <v>45567</v>
      </c>
      <c r="B70">
        <f>(3/(1+('CurrentPor-LH=60 unchanged'!C70)/100)+103/POWER(1+('CurrentPor-LH=60 unchanged'!D70)/100,2))*100</f>
        <v>9707.5857774288397</v>
      </c>
      <c r="C70">
        <f>(3/(1+('CurrentPor-LH=60 unchanged'!C70+'CurrentPor-LH=60 unchanged'!G70)/100)+103/POWER(1+('CurrentPor-LH=60 unchanged'!D70+'CurrentPor-LH=60 unchanged'!G70)/100,2))*100</f>
        <v>9614.9673582483465</v>
      </c>
      <c r="D70">
        <f>(3/(1+('CurrentPor-LH=60 unchanged'!C70+'CurrentPor-LH=60 unchanged'!H70)/100)+103/POWER(1+('CurrentPor-LH=60 unchanged'!D70+'CurrentPor-LH=60 unchanged'!H70)/100,2))*100</f>
        <v>9601.2395558122898</v>
      </c>
      <c r="E70">
        <f>(3/(1+('CurrentPor-LH=60 unchanged'!C70+'CurrentPor-LH=60 unchanged'!I70)/100)+103/POWER(1+('CurrentPor-LH=60 unchanged'!D70+'CurrentPor-LH=60 unchanged'!I70)/100,2))*100</f>
        <v>9581.4547115644182</v>
      </c>
      <c r="F70">
        <f>Portfolio!B$5*'CurrentPor-LH=60 unchanged'!E70</f>
        <v>52143.895533915893</v>
      </c>
      <c r="G70">
        <f>Portfolio!B$6*'CurrentPor-LH=60 unchanged'!F70</f>
        <v>3696.2945087936532</v>
      </c>
      <c r="H70">
        <f>Portfolio!B$7*'CurrentPor-LH=60 unchanged'!J70</f>
        <v>2148.0998964419859</v>
      </c>
      <c r="I70">
        <f t="shared" si="2"/>
        <v>96493.537342205425</v>
      </c>
      <c r="J70">
        <f t="shared" si="1"/>
        <v>0</v>
      </c>
    </row>
    <row r="71" spans="1:10">
      <c r="A71" s="1">
        <v>45568</v>
      </c>
      <c r="B71">
        <f>(3/(1+('CurrentPor-LH=60 unchanged'!C71)/100)+103/POWER(1+('CurrentPor-LH=60 unchanged'!D71)/100,2))*100</f>
        <v>9707.5857774288397</v>
      </c>
      <c r="C71">
        <f>(3/(1+('CurrentPor-LH=60 unchanged'!C71+'CurrentPor-LH=60 unchanged'!G71)/100)+103/POWER(1+('CurrentPor-LH=60 unchanged'!D71+'CurrentPor-LH=60 unchanged'!G71)/100,2))*100</f>
        <v>9614.9673582483465</v>
      </c>
      <c r="D71">
        <f>(3/(1+('CurrentPor-LH=60 unchanged'!C71+'CurrentPor-LH=60 unchanged'!H71)/100)+103/POWER(1+('CurrentPor-LH=60 unchanged'!D71+'CurrentPor-LH=60 unchanged'!H71)/100,2))*100</f>
        <v>9601.2395558122898</v>
      </c>
      <c r="E71">
        <f>(3/(1+('CurrentPor-LH=60 unchanged'!C71+'CurrentPor-LH=60 unchanged'!I71)/100)+103/POWER(1+('CurrentPor-LH=60 unchanged'!D71+'CurrentPor-LH=60 unchanged'!I71)/100,2))*100</f>
        <v>9581.4547115644182</v>
      </c>
      <c r="F71">
        <f>Portfolio!B$5*'CurrentPor-LH=60 unchanged'!E71</f>
        <v>52143.895533915893</v>
      </c>
      <c r="G71">
        <f>Portfolio!B$6*'CurrentPor-LH=60 unchanged'!F71</f>
        <v>3696.2945087936532</v>
      </c>
      <c r="H71">
        <f>Portfolio!B$7*'CurrentPor-LH=60 unchanged'!J71</f>
        <v>2148.0998964419859</v>
      </c>
      <c r="I71">
        <f t="shared" si="2"/>
        <v>96493.537342205425</v>
      </c>
      <c r="J71">
        <f t="shared" si="1"/>
        <v>0</v>
      </c>
    </row>
    <row r="72" spans="1:10">
      <c r="A72" s="1">
        <v>45569</v>
      </c>
      <c r="B72">
        <f>(3/(1+('CurrentPor-LH=60 unchanged'!C72)/100)+103/POWER(1+('CurrentPor-LH=60 unchanged'!D72)/100,2))*100</f>
        <v>9707.5857774288397</v>
      </c>
      <c r="C72">
        <f>(3/(1+('CurrentPor-LH=60 unchanged'!C72+'CurrentPor-LH=60 unchanged'!G72)/100)+103/POWER(1+('CurrentPor-LH=60 unchanged'!D72+'CurrentPor-LH=60 unchanged'!G72)/100,2))*100</f>
        <v>9614.9673582483465</v>
      </c>
      <c r="D72">
        <f>(3/(1+('CurrentPor-LH=60 unchanged'!C72+'CurrentPor-LH=60 unchanged'!H72)/100)+103/POWER(1+('CurrentPor-LH=60 unchanged'!D72+'CurrentPor-LH=60 unchanged'!H72)/100,2))*100</f>
        <v>9601.2395558122898</v>
      </c>
      <c r="E72">
        <f>(3/(1+('CurrentPor-LH=60 unchanged'!C72+'CurrentPor-LH=60 unchanged'!I72)/100)+103/POWER(1+('CurrentPor-LH=60 unchanged'!D72+'CurrentPor-LH=60 unchanged'!I72)/100,2))*100</f>
        <v>9581.4547115644182</v>
      </c>
      <c r="F72">
        <f>Portfolio!B$5*'CurrentPor-LH=60 unchanged'!E72</f>
        <v>52143.895533915893</v>
      </c>
      <c r="G72">
        <f>Portfolio!B$6*'CurrentPor-LH=60 unchanged'!F72</f>
        <v>3696.2945087936532</v>
      </c>
      <c r="H72">
        <f>Portfolio!B$7*'CurrentPor-LH=60 unchanged'!J72</f>
        <v>2148.0998964419859</v>
      </c>
      <c r="I72">
        <f t="shared" si="2"/>
        <v>96493.537342205425</v>
      </c>
      <c r="J72">
        <f t="shared" si="1"/>
        <v>0</v>
      </c>
    </row>
    <row r="73" spans="1:10">
      <c r="A73" s="1">
        <v>45572</v>
      </c>
      <c r="B73">
        <f>(3/(1+('CurrentPor-LH=60 unchanged'!C73)/100)+103/POWER(1+('CurrentPor-LH=60 unchanged'!D73)/100,2))*100</f>
        <v>9707.5857774288397</v>
      </c>
      <c r="C73">
        <f>(3/(1+('CurrentPor-LH=60 unchanged'!C73+'CurrentPor-LH=60 unchanged'!G73)/100)+103/POWER(1+('CurrentPor-LH=60 unchanged'!D73+'CurrentPor-LH=60 unchanged'!G73)/100,2))*100</f>
        <v>9614.9673582483465</v>
      </c>
      <c r="D73">
        <f>(3/(1+('CurrentPor-LH=60 unchanged'!C73+'CurrentPor-LH=60 unchanged'!H73)/100)+103/POWER(1+('CurrentPor-LH=60 unchanged'!D73+'CurrentPor-LH=60 unchanged'!H73)/100,2))*100</f>
        <v>9601.2395558122898</v>
      </c>
      <c r="E73">
        <f>(3/(1+('CurrentPor-LH=60 unchanged'!C73+'CurrentPor-LH=60 unchanged'!I73)/100)+103/POWER(1+('CurrentPor-LH=60 unchanged'!D73+'CurrentPor-LH=60 unchanged'!I73)/100,2))*100</f>
        <v>9581.4547115644182</v>
      </c>
      <c r="F73">
        <f>Portfolio!B$5*'CurrentPor-LH=60 unchanged'!E73</f>
        <v>52143.895533915893</v>
      </c>
      <c r="G73">
        <f>Portfolio!B$6*'CurrentPor-LH=60 unchanged'!F73</f>
        <v>3696.2945087936532</v>
      </c>
      <c r="H73">
        <f>Portfolio!B$7*'CurrentPor-LH=60 unchanged'!J73</f>
        <v>2148.0998964419859</v>
      </c>
      <c r="I73">
        <f t="shared" si="2"/>
        <v>96493.537342205425</v>
      </c>
      <c r="J73">
        <f t="shared" si="1"/>
        <v>0</v>
      </c>
    </row>
    <row r="74" spans="1:10">
      <c r="A74" s="1">
        <v>45573</v>
      </c>
      <c r="B74">
        <f>(3/(1+('CurrentPor-LH=60 unchanged'!C74)/100)+103/POWER(1+('CurrentPor-LH=60 unchanged'!D74)/100,2))*100</f>
        <v>9707.5857774288397</v>
      </c>
      <c r="C74">
        <f>(3/(1+('CurrentPor-LH=60 unchanged'!C74+'CurrentPor-LH=60 unchanged'!G74)/100)+103/POWER(1+('CurrentPor-LH=60 unchanged'!D74+'CurrentPor-LH=60 unchanged'!G74)/100,2))*100</f>
        <v>9614.9673582483465</v>
      </c>
      <c r="D74">
        <f>(3/(1+('CurrentPor-LH=60 unchanged'!C74+'CurrentPor-LH=60 unchanged'!H74)/100)+103/POWER(1+('CurrentPor-LH=60 unchanged'!D74+'CurrentPor-LH=60 unchanged'!H74)/100,2))*100</f>
        <v>9601.2395558122898</v>
      </c>
      <c r="E74">
        <f>(3/(1+('CurrentPor-LH=60 unchanged'!C74+'CurrentPor-LH=60 unchanged'!I74)/100)+103/POWER(1+('CurrentPor-LH=60 unchanged'!D74+'CurrentPor-LH=60 unchanged'!I74)/100,2))*100</f>
        <v>9581.4547115644182</v>
      </c>
      <c r="F74">
        <f>Portfolio!B$5*'CurrentPor-LH=60 unchanged'!E74</f>
        <v>52143.895533915893</v>
      </c>
      <c r="G74">
        <f>Portfolio!B$6*'CurrentPor-LH=60 unchanged'!F74</f>
        <v>3696.2945087936532</v>
      </c>
      <c r="H74">
        <f>Portfolio!B$7*'CurrentPor-LH=60 unchanged'!J74</f>
        <v>2148.0998964419859</v>
      </c>
      <c r="I74">
        <f t="shared" si="2"/>
        <v>96493.537342205425</v>
      </c>
      <c r="J74">
        <f t="shared" si="1"/>
        <v>0</v>
      </c>
    </row>
    <row r="75" spans="1:10">
      <c r="A75" s="1">
        <v>45574</v>
      </c>
      <c r="B75">
        <f>(3/(1+('CurrentPor-LH=60 unchanged'!C75)/100)+103/POWER(1+('CurrentPor-LH=60 unchanged'!D75)/100,2))*100</f>
        <v>9707.5857774288397</v>
      </c>
      <c r="C75">
        <f>(3/(1+('CurrentPor-LH=60 unchanged'!C75+'CurrentPor-LH=60 unchanged'!G75)/100)+103/POWER(1+('CurrentPor-LH=60 unchanged'!D75+'CurrentPor-LH=60 unchanged'!G75)/100,2))*100</f>
        <v>9614.9673582483465</v>
      </c>
      <c r="D75">
        <f>(3/(1+('CurrentPor-LH=60 unchanged'!C75+'CurrentPor-LH=60 unchanged'!H75)/100)+103/POWER(1+('CurrentPor-LH=60 unchanged'!D75+'CurrentPor-LH=60 unchanged'!H75)/100,2))*100</f>
        <v>9601.2395558122898</v>
      </c>
      <c r="E75">
        <f>(3/(1+('CurrentPor-LH=60 unchanged'!C75+'CurrentPor-LH=60 unchanged'!I75)/100)+103/POWER(1+('CurrentPor-LH=60 unchanged'!D75+'CurrentPor-LH=60 unchanged'!I75)/100,2))*100</f>
        <v>9581.4547115644182</v>
      </c>
      <c r="F75">
        <f>Portfolio!B$5*'CurrentPor-LH=60 unchanged'!E75</f>
        <v>52143.895533915893</v>
      </c>
      <c r="G75">
        <f>Portfolio!B$6*'CurrentPor-LH=60 unchanged'!F75</f>
        <v>3696.2945087936532</v>
      </c>
      <c r="H75">
        <f>Portfolio!B$7*'CurrentPor-LH=60 unchanged'!J75</f>
        <v>2148.0998964419859</v>
      </c>
      <c r="I75">
        <f t="shared" si="2"/>
        <v>96493.537342205425</v>
      </c>
      <c r="J75">
        <f t="shared" si="1"/>
        <v>0</v>
      </c>
    </row>
    <row r="76" spans="1:10">
      <c r="A76" s="1">
        <v>45575</v>
      </c>
      <c r="B76">
        <f>(3/(1+('CurrentPor-LH=60 unchanged'!C76)/100)+103/POWER(1+('CurrentPor-LH=60 unchanged'!D76)/100,2))*100</f>
        <v>9707.5857774288397</v>
      </c>
      <c r="C76">
        <f>(3/(1+('CurrentPor-LH=60 unchanged'!C76+'CurrentPor-LH=60 unchanged'!G76)/100)+103/POWER(1+('CurrentPor-LH=60 unchanged'!D76+'CurrentPor-LH=60 unchanged'!G76)/100,2))*100</f>
        <v>9614.9673582483465</v>
      </c>
      <c r="D76">
        <f>(3/(1+('CurrentPor-LH=60 unchanged'!C76+'CurrentPor-LH=60 unchanged'!H76)/100)+103/POWER(1+('CurrentPor-LH=60 unchanged'!D76+'CurrentPor-LH=60 unchanged'!H76)/100,2))*100</f>
        <v>9601.2395558122898</v>
      </c>
      <c r="E76">
        <f>(3/(1+('CurrentPor-LH=60 unchanged'!C76+'CurrentPor-LH=60 unchanged'!I76)/100)+103/POWER(1+('CurrentPor-LH=60 unchanged'!D76+'CurrentPor-LH=60 unchanged'!I76)/100,2))*100</f>
        <v>9581.4547115644182</v>
      </c>
      <c r="F76">
        <f>Portfolio!B$5*'CurrentPor-LH=60 unchanged'!E76</f>
        <v>52143.895533915893</v>
      </c>
      <c r="G76">
        <f>Portfolio!B$6*'CurrentPor-LH=60 unchanged'!F76</f>
        <v>3696.2945087936532</v>
      </c>
      <c r="H76">
        <f>Portfolio!B$7*'CurrentPor-LH=60 unchanged'!J76</f>
        <v>2148.0998964419859</v>
      </c>
      <c r="I76">
        <f t="shared" si="2"/>
        <v>96493.537342205425</v>
      </c>
      <c r="J76">
        <f t="shared" si="1"/>
        <v>0</v>
      </c>
    </row>
    <row r="77" spans="1:10">
      <c r="A77" s="1">
        <v>45576</v>
      </c>
      <c r="B77">
        <f>(3/(1+('CurrentPor-LH=60 unchanged'!C77)/100)+103/POWER(1+('CurrentPor-LH=60 unchanged'!D77)/100,2))*100</f>
        <v>9707.5857774288397</v>
      </c>
      <c r="C77">
        <f>(3/(1+('CurrentPor-LH=60 unchanged'!C77+'CurrentPor-LH=60 unchanged'!G77)/100)+103/POWER(1+('CurrentPor-LH=60 unchanged'!D77+'CurrentPor-LH=60 unchanged'!G77)/100,2))*100</f>
        <v>9614.9673582483465</v>
      </c>
      <c r="D77">
        <f>(3/(1+('CurrentPor-LH=60 unchanged'!C77+'CurrentPor-LH=60 unchanged'!H77)/100)+103/POWER(1+('CurrentPor-LH=60 unchanged'!D77+'CurrentPor-LH=60 unchanged'!H77)/100,2))*100</f>
        <v>9601.2395558122898</v>
      </c>
      <c r="E77">
        <f>(3/(1+('CurrentPor-LH=60 unchanged'!C77+'CurrentPor-LH=60 unchanged'!I77)/100)+103/POWER(1+('CurrentPor-LH=60 unchanged'!D77+'CurrentPor-LH=60 unchanged'!I77)/100,2))*100</f>
        <v>9581.4547115644182</v>
      </c>
      <c r="F77">
        <f>Portfolio!B$5*'CurrentPor-LH=60 unchanged'!E77</f>
        <v>52143.895533915893</v>
      </c>
      <c r="G77">
        <f>Portfolio!B$6*'CurrentPor-LH=60 unchanged'!F77</f>
        <v>3696.2945087936532</v>
      </c>
      <c r="H77">
        <f>Portfolio!B$7*'CurrentPor-LH=60 unchanged'!J77</f>
        <v>2148.0998964419859</v>
      </c>
      <c r="I77">
        <f t="shared" si="2"/>
        <v>96493.537342205425</v>
      </c>
      <c r="J77">
        <f t="shared" si="1"/>
        <v>0</v>
      </c>
    </row>
    <row r="78" spans="1:10">
      <c r="A78" s="1">
        <v>45579</v>
      </c>
      <c r="B78">
        <f>(3/(1+('CurrentPor-LH=60 unchanged'!C78)/100)+103/POWER(1+('CurrentPor-LH=60 unchanged'!D78)/100,2))*100</f>
        <v>9707.5857774288397</v>
      </c>
      <c r="C78">
        <f>(3/(1+('CurrentPor-LH=60 unchanged'!C78+'CurrentPor-LH=60 unchanged'!G78)/100)+103/POWER(1+('CurrentPor-LH=60 unchanged'!D78+'CurrentPor-LH=60 unchanged'!G78)/100,2))*100</f>
        <v>9614.9673582483465</v>
      </c>
      <c r="D78">
        <f>(3/(1+('CurrentPor-LH=60 unchanged'!C78+'CurrentPor-LH=60 unchanged'!H78)/100)+103/POWER(1+('CurrentPor-LH=60 unchanged'!D78+'CurrentPor-LH=60 unchanged'!H78)/100,2))*100</f>
        <v>9601.2395558122898</v>
      </c>
      <c r="E78">
        <f>(3/(1+('CurrentPor-LH=60 unchanged'!C78+'CurrentPor-LH=60 unchanged'!I78)/100)+103/POWER(1+('CurrentPor-LH=60 unchanged'!D78+'CurrentPor-LH=60 unchanged'!I78)/100,2))*100</f>
        <v>9581.4547115644182</v>
      </c>
      <c r="F78">
        <f>Portfolio!B$5*'CurrentPor-LH=60 unchanged'!E78</f>
        <v>52143.895533915893</v>
      </c>
      <c r="G78">
        <f>Portfolio!B$6*'CurrentPor-LH=60 unchanged'!F78</f>
        <v>3696.2945087936532</v>
      </c>
      <c r="H78">
        <f>Portfolio!B$7*'CurrentPor-LH=60 unchanged'!J78</f>
        <v>2148.0998964419859</v>
      </c>
      <c r="I78">
        <f t="shared" si="2"/>
        <v>96493.537342205425</v>
      </c>
      <c r="J78">
        <f t="shared" ref="J78:J141" si="3">I78-I68</f>
        <v>0</v>
      </c>
    </row>
    <row r="79" spans="1:10">
      <c r="A79" s="1">
        <v>45580</v>
      </c>
      <c r="B79">
        <f>(3/(1+('CurrentPor-LH=60 unchanged'!C79)/100)+103/POWER(1+('CurrentPor-LH=60 unchanged'!D79)/100,2))*100</f>
        <v>9707.5857774288397</v>
      </c>
      <c r="C79">
        <f>(3/(1+('CurrentPor-LH=60 unchanged'!C79+'CurrentPor-LH=60 unchanged'!G79)/100)+103/POWER(1+('CurrentPor-LH=60 unchanged'!D79+'CurrentPor-LH=60 unchanged'!G79)/100,2))*100</f>
        <v>9614.9673582483465</v>
      </c>
      <c r="D79">
        <f>(3/(1+('CurrentPor-LH=60 unchanged'!C79+'CurrentPor-LH=60 unchanged'!H79)/100)+103/POWER(1+('CurrentPor-LH=60 unchanged'!D79+'CurrentPor-LH=60 unchanged'!H79)/100,2))*100</f>
        <v>9601.2395558122898</v>
      </c>
      <c r="E79">
        <f>(3/(1+('CurrentPor-LH=60 unchanged'!C79+'CurrentPor-LH=60 unchanged'!I79)/100)+103/POWER(1+('CurrentPor-LH=60 unchanged'!D79+'CurrentPor-LH=60 unchanged'!I79)/100,2))*100</f>
        <v>9581.4547115644182</v>
      </c>
      <c r="F79">
        <f>Portfolio!B$5*'CurrentPor-LH=60 unchanged'!E79</f>
        <v>52143.895533915893</v>
      </c>
      <c r="G79">
        <f>Portfolio!B$6*'CurrentPor-LH=60 unchanged'!F79</f>
        <v>3696.2945087936532</v>
      </c>
      <c r="H79">
        <f>Portfolio!B$7*'CurrentPor-LH=60 unchanged'!J79</f>
        <v>2148.0998964419859</v>
      </c>
      <c r="I79">
        <f t="shared" si="2"/>
        <v>96493.537342205425</v>
      </c>
      <c r="J79">
        <f t="shared" si="3"/>
        <v>0</v>
      </c>
    </row>
    <row r="80" spans="1:10">
      <c r="A80" s="1">
        <v>45581</v>
      </c>
      <c r="B80">
        <f>(3/(1+('CurrentPor-LH=60 unchanged'!C80)/100)+103/POWER(1+('CurrentPor-LH=60 unchanged'!D80)/100,2))*100</f>
        <v>9707.5857774288397</v>
      </c>
      <c r="C80">
        <f>(3/(1+('CurrentPor-LH=60 unchanged'!C80+'CurrentPor-LH=60 unchanged'!G80)/100)+103/POWER(1+('CurrentPor-LH=60 unchanged'!D80+'CurrentPor-LH=60 unchanged'!G80)/100,2))*100</f>
        <v>9614.9673582483465</v>
      </c>
      <c r="D80">
        <f>(3/(1+('CurrentPor-LH=60 unchanged'!C80+'CurrentPor-LH=60 unchanged'!H80)/100)+103/POWER(1+('CurrentPor-LH=60 unchanged'!D80+'CurrentPor-LH=60 unchanged'!H80)/100,2))*100</f>
        <v>9601.2395558122898</v>
      </c>
      <c r="E80">
        <f>(3/(1+('CurrentPor-LH=60 unchanged'!C80+'CurrentPor-LH=60 unchanged'!I80)/100)+103/POWER(1+('CurrentPor-LH=60 unchanged'!D80+'CurrentPor-LH=60 unchanged'!I80)/100,2))*100</f>
        <v>9581.4547115644182</v>
      </c>
      <c r="F80">
        <f>Portfolio!B$5*'CurrentPor-LH=60 unchanged'!E80</f>
        <v>52143.895533915893</v>
      </c>
      <c r="G80">
        <f>Portfolio!B$6*'CurrentPor-LH=60 unchanged'!F80</f>
        <v>3696.2945087936532</v>
      </c>
      <c r="H80">
        <f>Portfolio!B$7*'CurrentPor-LH=60 unchanged'!J80</f>
        <v>2148.0998964419859</v>
      </c>
      <c r="I80">
        <f t="shared" si="2"/>
        <v>96493.537342205425</v>
      </c>
      <c r="J80">
        <f t="shared" si="3"/>
        <v>0</v>
      </c>
    </row>
    <row r="81" spans="1:10">
      <c r="A81" s="1">
        <v>45582</v>
      </c>
      <c r="B81">
        <f>(3/(1+('CurrentPor-LH=60 unchanged'!C81)/100)+103/POWER(1+('CurrentPor-LH=60 unchanged'!D81)/100,2))*100</f>
        <v>9707.5857774288397</v>
      </c>
      <c r="C81">
        <f>(3/(1+('CurrentPor-LH=60 unchanged'!C81+'CurrentPor-LH=60 unchanged'!G81)/100)+103/POWER(1+('CurrentPor-LH=60 unchanged'!D81+'CurrentPor-LH=60 unchanged'!G81)/100,2))*100</f>
        <v>9614.9673582483465</v>
      </c>
      <c r="D81">
        <f>(3/(1+('CurrentPor-LH=60 unchanged'!C81+'CurrentPor-LH=60 unchanged'!H81)/100)+103/POWER(1+('CurrentPor-LH=60 unchanged'!D81+'CurrentPor-LH=60 unchanged'!H81)/100,2))*100</f>
        <v>9601.2395558122898</v>
      </c>
      <c r="E81">
        <f>(3/(1+('CurrentPor-LH=60 unchanged'!C81+'CurrentPor-LH=60 unchanged'!I81)/100)+103/POWER(1+('CurrentPor-LH=60 unchanged'!D81+'CurrentPor-LH=60 unchanged'!I81)/100,2))*100</f>
        <v>9581.4547115644182</v>
      </c>
      <c r="F81">
        <f>Portfolio!B$5*'CurrentPor-LH=60 unchanged'!E81</f>
        <v>52143.895533915893</v>
      </c>
      <c r="G81">
        <f>Portfolio!B$6*'CurrentPor-LH=60 unchanged'!F81</f>
        <v>3696.2945087936532</v>
      </c>
      <c r="H81">
        <f>Portfolio!B$7*'CurrentPor-LH=60 unchanged'!J81</f>
        <v>2148.0998964419859</v>
      </c>
      <c r="I81">
        <f t="shared" si="2"/>
        <v>96493.537342205425</v>
      </c>
      <c r="J81">
        <f t="shared" si="3"/>
        <v>0</v>
      </c>
    </row>
    <row r="82" spans="1:10">
      <c r="A82" s="1">
        <v>45583</v>
      </c>
      <c r="B82">
        <f>(3/(1+('CurrentPor-LH=60 unchanged'!C82)/100)+103/POWER(1+('CurrentPor-LH=60 unchanged'!D82)/100,2))*100</f>
        <v>9707.5857774288397</v>
      </c>
      <c r="C82">
        <f>(3/(1+('CurrentPor-LH=60 unchanged'!C82+'CurrentPor-LH=60 unchanged'!G82)/100)+103/POWER(1+('CurrentPor-LH=60 unchanged'!D82+'CurrentPor-LH=60 unchanged'!G82)/100,2))*100</f>
        <v>9614.9673582483465</v>
      </c>
      <c r="D82">
        <f>(3/(1+('CurrentPor-LH=60 unchanged'!C82+'CurrentPor-LH=60 unchanged'!H82)/100)+103/POWER(1+('CurrentPor-LH=60 unchanged'!D82+'CurrentPor-LH=60 unchanged'!H82)/100,2))*100</f>
        <v>9601.2395558122898</v>
      </c>
      <c r="E82">
        <f>(3/(1+('CurrentPor-LH=60 unchanged'!C82+'CurrentPor-LH=60 unchanged'!I82)/100)+103/POWER(1+('CurrentPor-LH=60 unchanged'!D82+'CurrentPor-LH=60 unchanged'!I82)/100,2))*100</f>
        <v>9581.4547115644182</v>
      </c>
      <c r="F82">
        <f>Portfolio!B$5*'CurrentPor-LH=60 unchanged'!E82</f>
        <v>52143.895533915893</v>
      </c>
      <c r="G82">
        <f>Portfolio!B$6*'CurrentPor-LH=60 unchanged'!F82</f>
        <v>3696.2945087936532</v>
      </c>
      <c r="H82">
        <f>Portfolio!B$7*'CurrentPor-LH=60 unchanged'!J82</f>
        <v>2148.0998964419859</v>
      </c>
      <c r="I82">
        <f t="shared" si="2"/>
        <v>96493.537342205425</v>
      </c>
      <c r="J82">
        <f t="shared" si="3"/>
        <v>0</v>
      </c>
    </row>
    <row r="83" spans="1:10">
      <c r="A83" s="1">
        <v>45586</v>
      </c>
      <c r="B83">
        <f>(3/(1+('CurrentPor-LH=60 unchanged'!C83)/100)+103/POWER(1+('CurrentPor-LH=60 unchanged'!D83)/100,2))*100</f>
        <v>9707.5857774288397</v>
      </c>
      <c r="C83">
        <f>(3/(1+('CurrentPor-LH=60 unchanged'!C83+'CurrentPor-LH=60 unchanged'!G83)/100)+103/POWER(1+('CurrentPor-LH=60 unchanged'!D83+'CurrentPor-LH=60 unchanged'!G83)/100,2))*100</f>
        <v>9614.9673582483465</v>
      </c>
      <c r="D83">
        <f>(3/(1+('CurrentPor-LH=60 unchanged'!C83+'CurrentPor-LH=60 unchanged'!H83)/100)+103/POWER(1+('CurrentPor-LH=60 unchanged'!D83+'CurrentPor-LH=60 unchanged'!H83)/100,2))*100</f>
        <v>9601.2395558122898</v>
      </c>
      <c r="E83">
        <f>(3/(1+('CurrentPor-LH=60 unchanged'!C83+'CurrentPor-LH=60 unchanged'!I83)/100)+103/POWER(1+('CurrentPor-LH=60 unchanged'!D83+'CurrentPor-LH=60 unchanged'!I83)/100,2))*100</f>
        <v>9581.4547115644182</v>
      </c>
      <c r="F83">
        <f>Portfolio!B$5*'CurrentPor-LH=60 unchanged'!E83</f>
        <v>52143.895533915893</v>
      </c>
      <c r="G83">
        <f>Portfolio!B$6*'CurrentPor-LH=60 unchanged'!F83</f>
        <v>3696.2945087936532</v>
      </c>
      <c r="H83">
        <f>Portfolio!B$7*'CurrentPor-LH=60 unchanged'!J83</f>
        <v>2148.0998964419859</v>
      </c>
      <c r="I83">
        <f t="shared" si="2"/>
        <v>96493.537342205425</v>
      </c>
      <c r="J83">
        <f t="shared" si="3"/>
        <v>0</v>
      </c>
    </row>
    <row r="84" spans="1:10">
      <c r="A84" s="1">
        <v>45587</v>
      </c>
      <c r="B84">
        <f>(3/(1+('CurrentPor-LH=60 unchanged'!C84)/100)+103/POWER(1+('CurrentPor-LH=60 unchanged'!D84)/100,2))*100</f>
        <v>9707.5857774288397</v>
      </c>
      <c r="C84">
        <f>(3/(1+('CurrentPor-LH=60 unchanged'!C84+'CurrentPor-LH=60 unchanged'!G84)/100)+103/POWER(1+('CurrentPor-LH=60 unchanged'!D84+'CurrentPor-LH=60 unchanged'!G84)/100,2))*100</f>
        <v>9614.9673582483465</v>
      </c>
      <c r="D84">
        <f>(3/(1+('CurrentPor-LH=60 unchanged'!C84+'CurrentPor-LH=60 unchanged'!H84)/100)+103/POWER(1+('CurrentPor-LH=60 unchanged'!D84+'CurrentPor-LH=60 unchanged'!H84)/100,2))*100</f>
        <v>9601.2395558122898</v>
      </c>
      <c r="E84">
        <f>(3/(1+('CurrentPor-LH=60 unchanged'!C84+'CurrentPor-LH=60 unchanged'!I84)/100)+103/POWER(1+('CurrentPor-LH=60 unchanged'!D84+'CurrentPor-LH=60 unchanged'!I84)/100,2))*100</f>
        <v>9581.4547115644182</v>
      </c>
      <c r="F84">
        <f>Portfolio!B$5*'CurrentPor-LH=60 unchanged'!E84</f>
        <v>52143.895533915893</v>
      </c>
      <c r="G84">
        <f>Portfolio!B$6*'CurrentPor-LH=60 unchanged'!F84</f>
        <v>3696.2945087936532</v>
      </c>
      <c r="H84">
        <f>Portfolio!B$7*'CurrentPor-LH=60 unchanged'!J84</f>
        <v>2148.0998964419859</v>
      </c>
      <c r="I84">
        <f t="shared" si="2"/>
        <v>96493.537342205425</v>
      </c>
      <c r="J84">
        <f t="shared" si="3"/>
        <v>0</v>
      </c>
    </row>
    <row r="85" spans="1:10">
      <c r="A85" s="1">
        <v>45588</v>
      </c>
      <c r="B85">
        <f>(3/(1+('CurrentPor-LH=60 unchanged'!C85)/100)+103/POWER(1+('CurrentPor-LH=60 unchanged'!D85)/100,2))*100</f>
        <v>9707.5857774288397</v>
      </c>
      <c r="C85">
        <f>(3/(1+('CurrentPor-LH=60 unchanged'!C85+'CurrentPor-LH=60 unchanged'!G85)/100)+103/POWER(1+('CurrentPor-LH=60 unchanged'!D85+'CurrentPor-LH=60 unchanged'!G85)/100,2))*100</f>
        <v>9614.9673582483465</v>
      </c>
      <c r="D85">
        <f>(3/(1+('CurrentPor-LH=60 unchanged'!C85+'CurrentPor-LH=60 unchanged'!H85)/100)+103/POWER(1+('CurrentPor-LH=60 unchanged'!D85+'CurrentPor-LH=60 unchanged'!H85)/100,2))*100</f>
        <v>9601.2395558122898</v>
      </c>
      <c r="E85">
        <f>(3/(1+('CurrentPor-LH=60 unchanged'!C85+'CurrentPor-LH=60 unchanged'!I85)/100)+103/POWER(1+('CurrentPor-LH=60 unchanged'!D85+'CurrentPor-LH=60 unchanged'!I85)/100,2))*100</f>
        <v>9581.4547115644182</v>
      </c>
      <c r="F85">
        <f>Portfolio!B$5*'CurrentPor-LH=60 unchanged'!E85</f>
        <v>52143.895533915893</v>
      </c>
      <c r="G85">
        <f>Portfolio!B$6*'CurrentPor-LH=60 unchanged'!F85</f>
        <v>3696.2945087936532</v>
      </c>
      <c r="H85">
        <f>Portfolio!B$7*'CurrentPor-LH=60 unchanged'!J85</f>
        <v>2148.0998964419859</v>
      </c>
      <c r="I85">
        <f t="shared" si="2"/>
        <v>96493.537342205425</v>
      </c>
      <c r="J85">
        <f t="shared" si="3"/>
        <v>0</v>
      </c>
    </row>
    <row r="86" spans="1:10">
      <c r="A86" s="1">
        <v>45589</v>
      </c>
      <c r="B86">
        <f>(3/(1+('CurrentPor-LH=60 unchanged'!C86)/100)+103/POWER(1+('CurrentPor-LH=60 unchanged'!D86)/100,2))*100</f>
        <v>9707.5857774288397</v>
      </c>
      <c r="C86">
        <f>(3/(1+('CurrentPor-LH=60 unchanged'!C86+'CurrentPor-LH=60 unchanged'!G86)/100)+103/POWER(1+('CurrentPor-LH=60 unchanged'!D86+'CurrentPor-LH=60 unchanged'!G86)/100,2))*100</f>
        <v>9614.9673582483465</v>
      </c>
      <c r="D86">
        <f>(3/(1+('CurrentPor-LH=60 unchanged'!C86+'CurrentPor-LH=60 unchanged'!H86)/100)+103/POWER(1+('CurrentPor-LH=60 unchanged'!D86+'CurrentPor-LH=60 unchanged'!H86)/100,2))*100</f>
        <v>9601.2395558122898</v>
      </c>
      <c r="E86">
        <f>(3/(1+('CurrentPor-LH=60 unchanged'!C86+'CurrentPor-LH=60 unchanged'!I86)/100)+103/POWER(1+('CurrentPor-LH=60 unchanged'!D86+'CurrentPor-LH=60 unchanged'!I86)/100,2))*100</f>
        <v>9581.4547115644182</v>
      </c>
      <c r="F86">
        <f>Portfolio!B$5*'CurrentPor-LH=60 unchanged'!E86</f>
        <v>52143.895533915893</v>
      </c>
      <c r="G86">
        <f>Portfolio!B$6*'CurrentPor-LH=60 unchanged'!F86</f>
        <v>3696.2945087936532</v>
      </c>
      <c r="H86">
        <f>Portfolio!B$7*'CurrentPor-LH=60 unchanged'!J86</f>
        <v>2148.0998964419859</v>
      </c>
      <c r="I86">
        <f t="shared" si="2"/>
        <v>96493.537342205425</v>
      </c>
      <c r="J86">
        <f t="shared" si="3"/>
        <v>0</v>
      </c>
    </row>
    <row r="87" spans="1:10">
      <c r="A87" s="1">
        <v>45590</v>
      </c>
      <c r="B87">
        <f>(3/(1+('CurrentPor-LH=60 unchanged'!C87)/100)+103/POWER(1+('CurrentPor-LH=60 unchanged'!D87)/100,2))*100</f>
        <v>9707.5857774288397</v>
      </c>
      <c r="C87">
        <f>(3/(1+('CurrentPor-LH=60 unchanged'!C87+'CurrentPor-LH=60 unchanged'!G87)/100)+103/POWER(1+('CurrentPor-LH=60 unchanged'!D87+'CurrentPor-LH=60 unchanged'!G87)/100,2))*100</f>
        <v>9614.9673582483465</v>
      </c>
      <c r="D87">
        <f>(3/(1+('CurrentPor-LH=60 unchanged'!C87+'CurrentPor-LH=60 unchanged'!H87)/100)+103/POWER(1+('CurrentPor-LH=60 unchanged'!D87+'CurrentPor-LH=60 unchanged'!H87)/100,2))*100</f>
        <v>9601.2395558122898</v>
      </c>
      <c r="E87">
        <f>(3/(1+('CurrentPor-LH=60 unchanged'!C87+'CurrentPor-LH=60 unchanged'!I87)/100)+103/POWER(1+('CurrentPor-LH=60 unchanged'!D87+'CurrentPor-LH=60 unchanged'!I87)/100,2))*100</f>
        <v>9581.4547115644182</v>
      </c>
      <c r="F87">
        <f>Portfolio!B$5*'CurrentPor-LH=60 unchanged'!E87</f>
        <v>52143.895533915893</v>
      </c>
      <c r="G87">
        <f>Portfolio!B$6*'CurrentPor-LH=60 unchanged'!F87</f>
        <v>3696.2945087936532</v>
      </c>
      <c r="H87">
        <f>Portfolio!B$7*'CurrentPor-LH=60 unchanged'!J87</f>
        <v>2148.0998964419859</v>
      </c>
      <c r="I87">
        <f t="shared" si="2"/>
        <v>96493.537342205425</v>
      </c>
      <c r="J87">
        <f t="shared" si="3"/>
        <v>0</v>
      </c>
    </row>
    <row r="88" spans="1:10">
      <c r="A88" s="1">
        <v>45593</v>
      </c>
      <c r="B88">
        <f>(3/(1+('CurrentPor-LH=60 unchanged'!C88)/100)+103/POWER(1+('CurrentPor-LH=60 unchanged'!D88)/100,2))*100</f>
        <v>9707.5857774288397</v>
      </c>
      <c r="C88">
        <f>(3/(1+('CurrentPor-LH=60 unchanged'!C88+'CurrentPor-LH=60 unchanged'!G88)/100)+103/POWER(1+('CurrentPor-LH=60 unchanged'!D88+'CurrentPor-LH=60 unchanged'!G88)/100,2))*100</f>
        <v>9614.9673582483465</v>
      </c>
      <c r="D88">
        <f>(3/(1+('CurrentPor-LH=60 unchanged'!C88+'CurrentPor-LH=60 unchanged'!H88)/100)+103/POWER(1+('CurrentPor-LH=60 unchanged'!D88+'CurrentPor-LH=60 unchanged'!H88)/100,2))*100</f>
        <v>9601.2395558122898</v>
      </c>
      <c r="E88">
        <f>(3/(1+('CurrentPor-LH=60 unchanged'!C88+'CurrentPor-LH=60 unchanged'!I88)/100)+103/POWER(1+('CurrentPor-LH=60 unchanged'!D88+'CurrentPor-LH=60 unchanged'!I88)/100,2))*100</f>
        <v>9581.4547115644182</v>
      </c>
      <c r="F88">
        <f>Portfolio!B$5*'CurrentPor-LH=60 unchanged'!E88</f>
        <v>52143.895533915893</v>
      </c>
      <c r="G88">
        <f>Portfolio!B$6*'CurrentPor-LH=60 unchanged'!F88</f>
        <v>3696.2945087936532</v>
      </c>
      <c r="H88">
        <f>Portfolio!B$7*'CurrentPor-LH=60 unchanged'!J88</f>
        <v>2148.0998964419859</v>
      </c>
      <c r="I88">
        <f t="shared" si="2"/>
        <v>96493.537342205425</v>
      </c>
      <c r="J88">
        <f t="shared" si="3"/>
        <v>0</v>
      </c>
    </row>
    <row r="89" spans="1:10">
      <c r="A89" s="1">
        <v>45594</v>
      </c>
      <c r="B89">
        <f>(3/(1+('CurrentPor-LH=60 unchanged'!C89)/100)+103/POWER(1+('CurrentPor-LH=60 unchanged'!D89)/100,2))*100</f>
        <v>9707.5857774288397</v>
      </c>
      <c r="C89">
        <f>(3/(1+('CurrentPor-LH=60 unchanged'!C89+'CurrentPor-LH=60 unchanged'!G89)/100)+103/POWER(1+('CurrentPor-LH=60 unchanged'!D89+'CurrentPor-LH=60 unchanged'!G89)/100,2))*100</f>
        <v>9614.9673582483465</v>
      </c>
      <c r="D89">
        <f>(3/(1+('CurrentPor-LH=60 unchanged'!C89+'CurrentPor-LH=60 unchanged'!H89)/100)+103/POWER(1+('CurrentPor-LH=60 unchanged'!D89+'CurrentPor-LH=60 unchanged'!H89)/100,2))*100</f>
        <v>9601.2395558122898</v>
      </c>
      <c r="E89">
        <f>(3/(1+('CurrentPor-LH=60 unchanged'!C89+'CurrentPor-LH=60 unchanged'!I89)/100)+103/POWER(1+('CurrentPor-LH=60 unchanged'!D89+'CurrentPor-LH=60 unchanged'!I89)/100,2))*100</f>
        <v>9581.4547115644182</v>
      </c>
      <c r="F89">
        <f>Portfolio!B$5*'CurrentPor-LH=60 unchanged'!E89</f>
        <v>52143.895533915893</v>
      </c>
      <c r="G89">
        <f>Portfolio!B$6*'CurrentPor-LH=60 unchanged'!F89</f>
        <v>3696.2945087936532</v>
      </c>
      <c r="H89">
        <f>Portfolio!B$7*'CurrentPor-LH=60 unchanged'!J89</f>
        <v>2148.0998964419859</v>
      </c>
      <c r="I89">
        <f t="shared" si="2"/>
        <v>96493.537342205425</v>
      </c>
      <c r="J89">
        <f t="shared" si="3"/>
        <v>0</v>
      </c>
    </row>
    <row r="90" spans="1:10">
      <c r="A90" s="1">
        <v>45595</v>
      </c>
      <c r="B90">
        <f>(3/(1+('CurrentPor-LH=60 unchanged'!C90)/100)+103/POWER(1+('CurrentPor-LH=60 unchanged'!D90)/100,2))*100</f>
        <v>9707.5857774288397</v>
      </c>
      <c r="C90">
        <f>(3/(1+('CurrentPor-LH=60 unchanged'!C90+'CurrentPor-LH=60 unchanged'!G90)/100)+103/POWER(1+('CurrentPor-LH=60 unchanged'!D90+'CurrentPor-LH=60 unchanged'!G90)/100,2))*100</f>
        <v>9614.9673582483465</v>
      </c>
      <c r="D90">
        <f>(3/(1+('CurrentPor-LH=60 unchanged'!C90+'CurrentPor-LH=60 unchanged'!H90)/100)+103/POWER(1+('CurrentPor-LH=60 unchanged'!D90+'CurrentPor-LH=60 unchanged'!H90)/100,2))*100</f>
        <v>9601.2395558122898</v>
      </c>
      <c r="E90">
        <f>(3/(1+('CurrentPor-LH=60 unchanged'!C90+'CurrentPor-LH=60 unchanged'!I90)/100)+103/POWER(1+('CurrentPor-LH=60 unchanged'!D90+'CurrentPor-LH=60 unchanged'!I90)/100,2))*100</f>
        <v>9581.4547115644182</v>
      </c>
      <c r="F90">
        <f>Portfolio!B$5*'CurrentPor-LH=60 unchanged'!E90</f>
        <v>52143.895533915893</v>
      </c>
      <c r="G90">
        <f>Portfolio!B$6*'CurrentPor-LH=60 unchanged'!F90</f>
        <v>3696.2945087936532</v>
      </c>
      <c r="H90">
        <f>Portfolio!B$7*'CurrentPor-LH=60 unchanged'!J90</f>
        <v>2148.0998964419859</v>
      </c>
      <c r="I90">
        <f t="shared" si="2"/>
        <v>96493.537342205425</v>
      </c>
      <c r="J90">
        <f t="shared" si="3"/>
        <v>0</v>
      </c>
    </row>
    <row r="91" spans="1:10">
      <c r="A91" s="1">
        <v>45596</v>
      </c>
      <c r="B91">
        <f>(3/(1+('CurrentPor-LH=60 unchanged'!C91)/100)+103/POWER(1+('CurrentPor-LH=60 unchanged'!D91)/100,2))*100</f>
        <v>9707.5857774288397</v>
      </c>
      <c r="C91">
        <f>(3/(1+('CurrentPor-LH=60 unchanged'!C91+'CurrentPor-LH=60 unchanged'!G91)/100)+103/POWER(1+('CurrentPor-LH=60 unchanged'!D91+'CurrentPor-LH=60 unchanged'!G91)/100,2))*100</f>
        <v>9614.9673582483465</v>
      </c>
      <c r="D91">
        <f>(3/(1+('CurrentPor-LH=60 unchanged'!C91+'CurrentPor-LH=60 unchanged'!H91)/100)+103/POWER(1+('CurrentPor-LH=60 unchanged'!D91+'CurrentPor-LH=60 unchanged'!H91)/100,2))*100</f>
        <v>9601.2395558122898</v>
      </c>
      <c r="E91">
        <f>(3/(1+('CurrentPor-LH=60 unchanged'!C91+'CurrentPor-LH=60 unchanged'!I91)/100)+103/POWER(1+('CurrentPor-LH=60 unchanged'!D91+'CurrentPor-LH=60 unchanged'!I91)/100,2))*100</f>
        <v>9581.4547115644182</v>
      </c>
      <c r="F91">
        <f>Portfolio!B$5*'CurrentPor-LH=60 unchanged'!E91</f>
        <v>52143.895533915893</v>
      </c>
      <c r="G91">
        <f>Portfolio!B$6*'CurrentPor-LH=60 unchanged'!F91</f>
        <v>3696.2945087936532</v>
      </c>
      <c r="H91">
        <f>Portfolio!B$7*'CurrentPor-LH=60 unchanged'!J91</f>
        <v>2148.0998964419859</v>
      </c>
      <c r="I91">
        <f t="shared" si="2"/>
        <v>96493.537342205425</v>
      </c>
      <c r="J91">
        <f t="shared" si="3"/>
        <v>0</v>
      </c>
    </row>
    <row r="92" spans="1:10">
      <c r="A92" s="1">
        <v>45597</v>
      </c>
      <c r="B92">
        <f>(3/(1+('CurrentPor-LH=60 unchanged'!C92)/100)+103/POWER(1+('CurrentPor-LH=60 unchanged'!D92)/100,2))*100</f>
        <v>9707.5857774288397</v>
      </c>
      <c r="C92">
        <f>(3/(1+('CurrentPor-LH=60 unchanged'!C92+'CurrentPor-LH=60 unchanged'!G92)/100)+103/POWER(1+('CurrentPor-LH=60 unchanged'!D92+'CurrentPor-LH=60 unchanged'!G92)/100,2))*100</f>
        <v>9614.9673582483465</v>
      </c>
      <c r="D92">
        <f>(3/(1+('CurrentPor-LH=60 unchanged'!C92+'CurrentPor-LH=60 unchanged'!H92)/100)+103/POWER(1+('CurrentPor-LH=60 unchanged'!D92+'CurrentPor-LH=60 unchanged'!H92)/100,2))*100</f>
        <v>9601.2395558122898</v>
      </c>
      <c r="E92">
        <f>(3/(1+('CurrentPor-LH=60 unchanged'!C92+'CurrentPor-LH=60 unchanged'!I92)/100)+103/POWER(1+('CurrentPor-LH=60 unchanged'!D92+'CurrentPor-LH=60 unchanged'!I92)/100,2))*100</f>
        <v>9581.4547115644182</v>
      </c>
      <c r="F92">
        <f>Portfolio!B$5*'CurrentPor-LH=60 unchanged'!E92</f>
        <v>52143.895533915893</v>
      </c>
      <c r="G92">
        <f>Portfolio!B$6*'CurrentPor-LH=60 unchanged'!F92</f>
        <v>3696.2945087936532</v>
      </c>
      <c r="H92">
        <f>Portfolio!B$7*'CurrentPor-LH=60 unchanged'!J92</f>
        <v>2148.0998964419859</v>
      </c>
      <c r="I92">
        <f t="shared" si="2"/>
        <v>96493.537342205425</v>
      </c>
      <c r="J92">
        <f t="shared" si="3"/>
        <v>0</v>
      </c>
    </row>
    <row r="93" spans="1:10">
      <c r="A93" s="1">
        <v>45600</v>
      </c>
      <c r="B93">
        <f>(3/(1+('CurrentPor-LH=60 unchanged'!C93)/100)+103/POWER(1+('CurrentPor-LH=60 unchanged'!D93)/100,2))*100</f>
        <v>9707.5857774288397</v>
      </c>
      <c r="C93">
        <f>(3/(1+('CurrentPor-LH=60 unchanged'!C93+'CurrentPor-LH=60 unchanged'!G93)/100)+103/POWER(1+('CurrentPor-LH=60 unchanged'!D93+'CurrentPor-LH=60 unchanged'!G93)/100,2))*100</f>
        <v>9614.9673582483465</v>
      </c>
      <c r="D93">
        <f>(3/(1+('CurrentPor-LH=60 unchanged'!C93+'CurrentPor-LH=60 unchanged'!H93)/100)+103/POWER(1+('CurrentPor-LH=60 unchanged'!D93+'CurrentPor-LH=60 unchanged'!H93)/100,2))*100</f>
        <v>9601.2395558122898</v>
      </c>
      <c r="E93">
        <f>(3/(1+('CurrentPor-LH=60 unchanged'!C93+'CurrentPor-LH=60 unchanged'!I93)/100)+103/POWER(1+('CurrentPor-LH=60 unchanged'!D93+'CurrentPor-LH=60 unchanged'!I93)/100,2))*100</f>
        <v>9581.4547115644182</v>
      </c>
      <c r="F93">
        <f>Portfolio!B$5*'CurrentPor-LH=60 unchanged'!E93</f>
        <v>52143.895533915893</v>
      </c>
      <c r="G93">
        <f>Portfolio!B$6*'CurrentPor-LH=60 unchanged'!F93</f>
        <v>3696.2945087936532</v>
      </c>
      <c r="H93">
        <f>Portfolio!B$7*'CurrentPor-LH=60 unchanged'!J93</f>
        <v>2148.0998964419859</v>
      </c>
      <c r="I93">
        <f t="shared" si="2"/>
        <v>96493.537342205425</v>
      </c>
      <c r="J93">
        <f t="shared" si="3"/>
        <v>0</v>
      </c>
    </row>
    <row r="94" spans="1:10">
      <c r="A94" s="1">
        <v>45601</v>
      </c>
      <c r="B94">
        <f>(3/(1+('CurrentPor-LH=60 unchanged'!C94)/100)+103/POWER(1+('CurrentPor-LH=60 unchanged'!D94)/100,2))*100</f>
        <v>9707.5857774288397</v>
      </c>
      <c r="C94">
        <f>(3/(1+('CurrentPor-LH=60 unchanged'!C94+'CurrentPor-LH=60 unchanged'!G94)/100)+103/POWER(1+('CurrentPor-LH=60 unchanged'!D94+'CurrentPor-LH=60 unchanged'!G94)/100,2))*100</f>
        <v>9614.9673582483465</v>
      </c>
      <c r="D94">
        <f>(3/(1+('CurrentPor-LH=60 unchanged'!C94+'CurrentPor-LH=60 unchanged'!H94)/100)+103/POWER(1+('CurrentPor-LH=60 unchanged'!D94+'CurrentPor-LH=60 unchanged'!H94)/100,2))*100</f>
        <v>9601.2395558122898</v>
      </c>
      <c r="E94">
        <f>(3/(1+('CurrentPor-LH=60 unchanged'!C94+'CurrentPor-LH=60 unchanged'!I94)/100)+103/POWER(1+('CurrentPor-LH=60 unchanged'!D94+'CurrentPor-LH=60 unchanged'!I94)/100,2))*100</f>
        <v>9581.4547115644182</v>
      </c>
      <c r="F94">
        <f>Portfolio!B$5*'CurrentPor-LH=60 unchanged'!E94</f>
        <v>52143.895533915893</v>
      </c>
      <c r="G94">
        <f>Portfolio!B$6*'CurrentPor-LH=60 unchanged'!F94</f>
        <v>3696.2945087936532</v>
      </c>
      <c r="H94">
        <f>Portfolio!B$7*'CurrentPor-LH=60 unchanged'!J94</f>
        <v>2148.0998964419859</v>
      </c>
      <c r="I94">
        <f t="shared" si="2"/>
        <v>96493.537342205425</v>
      </c>
      <c r="J94">
        <f t="shared" si="3"/>
        <v>0</v>
      </c>
    </row>
    <row r="95" spans="1:10">
      <c r="A95" s="1">
        <v>45602</v>
      </c>
      <c r="B95">
        <f>(3/(1+('CurrentPor-LH=60 unchanged'!C95)/100)+103/POWER(1+('CurrentPor-LH=60 unchanged'!D95)/100,2))*100</f>
        <v>9707.5857774288397</v>
      </c>
      <c r="C95">
        <f>(3/(1+('CurrentPor-LH=60 unchanged'!C95+'CurrentPor-LH=60 unchanged'!G95)/100)+103/POWER(1+('CurrentPor-LH=60 unchanged'!D95+'CurrentPor-LH=60 unchanged'!G95)/100,2))*100</f>
        <v>9614.9673582483465</v>
      </c>
      <c r="D95">
        <f>(3/(1+('CurrentPor-LH=60 unchanged'!C95+'CurrentPor-LH=60 unchanged'!H95)/100)+103/POWER(1+('CurrentPor-LH=60 unchanged'!D95+'CurrentPor-LH=60 unchanged'!H95)/100,2))*100</f>
        <v>9601.2395558122898</v>
      </c>
      <c r="E95">
        <f>(3/(1+('CurrentPor-LH=60 unchanged'!C95+'CurrentPor-LH=60 unchanged'!I95)/100)+103/POWER(1+('CurrentPor-LH=60 unchanged'!D95+'CurrentPor-LH=60 unchanged'!I95)/100,2))*100</f>
        <v>9581.4547115644182</v>
      </c>
      <c r="F95">
        <f>Portfolio!B$5*'CurrentPor-LH=60 unchanged'!E95</f>
        <v>52143.895533915893</v>
      </c>
      <c r="G95">
        <f>Portfolio!B$6*'CurrentPor-LH=60 unchanged'!F95</f>
        <v>3696.2945087936532</v>
      </c>
      <c r="H95">
        <f>Portfolio!B$7*'CurrentPor-LH=60 unchanged'!J95</f>
        <v>2148.0998964419859</v>
      </c>
      <c r="I95">
        <f t="shared" si="2"/>
        <v>96493.537342205425</v>
      </c>
      <c r="J95">
        <f t="shared" si="3"/>
        <v>0</v>
      </c>
    </row>
    <row r="96" spans="1:10">
      <c r="A96" s="1">
        <v>45603</v>
      </c>
      <c r="B96">
        <f>(3/(1+('CurrentPor-LH=60 unchanged'!C96)/100)+103/POWER(1+('CurrentPor-LH=60 unchanged'!D96)/100,2))*100</f>
        <v>9707.5857774288397</v>
      </c>
      <c r="C96">
        <f>(3/(1+('CurrentPor-LH=60 unchanged'!C96+'CurrentPor-LH=60 unchanged'!G96)/100)+103/POWER(1+('CurrentPor-LH=60 unchanged'!D96+'CurrentPor-LH=60 unchanged'!G96)/100,2))*100</f>
        <v>9614.9673582483465</v>
      </c>
      <c r="D96">
        <f>(3/(1+('CurrentPor-LH=60 unchanged'!C96+'CurrentPor-LH=60 unchanged'!H96)/100)+103/POWER(1+('CurrentPor-LH=60 unchanged'!D96+'CurrentPor-LH=60 unchanged'!H96)/100,2))*100</f>
        <v>9601.2395558122898</v>
      </c>
      <c r="E96">
        <f>(3/(1+('CurrentPor-LH=60 unchanged'!C96+'CurrentPor-LH=60 unchanged'!I96)/100)+103/POWER(1+('CurrentPor-LH=60 unchanged'!D96+'CurrentPor-LH=60 unchanged'!I96)/100,2))*100</f>
        <v>9581.4547115644182</v>
      </c>
      <c r="F96">
        <f>Portfolio!B$5*'CurrentPor-LH=60 unchanged'!E96</f>
        <v>52143.895533915893</v>
      </c>
      <c r="G96">
        <f>Portfolio!B$6*'CurrentPor-LH=60 unchanged'!F96</f>
        <v>3696.2945087936532</v>
      </c>
      <c r="H96">
        <f>Portfolio!B$7*'CurrentPor-LH=60 unchanged'!J96</f>
        <v>2148.0998964419859</v>
      </c>
      <c r="I96">
        <f t="shared" si="2"/>
        <v>96493.537342205425</v>
      </c>
      <c r="J96">
        <f t="shared" si="3"/>
        <v>0</v>
      </c>
    </row>
    <row r="97" spans="1:10">
      <c r="A97" s="1">
        <v>45604</v>
      </c>
      <c r="B97">
        <f>(3/(1+('CurrentPor-LH=60 unchanged'!C97)/100)+103/POWER(1+('CurrentPor-LH=60 unchanged'!D97)/100,2))*100</f>
        <v>9707.5857774288397</v>
      </c>
      <c r="C97">
        <f>(3/(1+('CurrentPor-LH=60 unchanged'!C97+'CurrentPor-LH=60 unchanged'!G97)/100)+103/POWER(1+('CurrentPor-LH=60 unchanged'!D97+'CurrentPor-LH=60 unchanged'!G97)/100,2))*100</f>
        <v>9614.9673582483465</v>
      </c>
      <c r="D97">
        <f>(3/(1+('CurrentPor-LH=60 unchanged'!C97+'CurrentPor-LH=60 unchanged'!H97)/100)+103/POWER(1+('CurrentPor-LH=60 unchanged'!D97+'CurrentPor-LH=60 unchanged'!H97)/100,2))*100</f>
        <v>9601.2395558122898</v>
      </c>
      <c r="E97">
        <f>(3/(1+('CurrentPor-LH=60 unchanged'!C97+'CurrentPor-LH=60 unchanged'!I97)/100)+103/POWER(1+('CurrentPor-LH=60 unchanged'!D97+'CurrentPor-LH=60 unchanged'!I97)/100,2))*100</f>
        <v>9581.4547115644182</v>
      </c>
      <c r="F97">
        <f>Portfolio!B$5*'CurrentPor-LH=60 unchanged'!E97</f>
        <v>52143.895533915893</v>
      </c>
      <c r="G97">
        <f>Portfolio!B$6*'CurrentPor-LH=60 unchanged'!F97</f>
        <v>3696.2945087936532</v>
      </c>
      <c r="H97">
        <f>Portfolio!B$7*'CurrentPor-LH=60 unchanged'!J97</f>
        <v>2148.0998964419859</v>
      </c>
      <c r="I97">
        <f t="shared" si="2"/>
        <v>96493.537342205425</v>
      </c>
      <c r="J97">
        <f t="shared" si="3"/>
        <v>0</v>
      </c>
    </row>
    <row r="98" spans="1:10">
      <c r="A98" s="1">
        <v>45607</v>
      </c>
      <c r="B98">
        <f>(3/(1+('CurrentPor-LH=60 unchanged'!C98)/100)+103/POWER(1+('CurrentPor-LH=60 unchanged'!D98)/100,2))*100</f>
        <v>9707.5857774288397</v>
      </c>
      <c r="C98">
        <f>(3/(1+('CurrentPor-LH=60 unchanged'!C98+'CurrentPor-LH=60 unchanged'!G98)/100)+103/POWER(1+('CurrentPor-LH=60 unchanged'!D98+'CurrentPor-LH=60 unchanged'!G98)/100,2))*100</f>
        <v>9614.9673582483465</v>
      </c>
      <c r="D98">
        <f>(3/(1+('CurrentPor-LH=60 unchanged'!C98+'CurrentPor-LH=60 unchanged'!H98)/100)+103/POWER(1+('CurrentPor-LH=60 unchanged'!D98+'CurrentPor-LH=60 unchanged'!H98)/100,2))*100</f>
        <v>9601.2395558122898</v>
      </c>
      <c r="E98">
        <f>(3/(1+('CurrentPor-LH=60 unchanged'!C98+'CurrentPor-LH=60 unchanged'!I98)/100)+103/POWER(1+('CurrentPor-LH=60 unchanged'!D98+'CurrentPor-LH=60 unchanged'!I98)/100,2))*100</f>
        <v>9581.4547115644182</v>
      </c>
      <c r="F98">
        <f>Portfolio!B$5*'CurrentPor-LH=60 unchanged'!E98</f>
        <v>52143.895533915893</v>
      </c>
      <c r="G98">
        <f>Portfolio!B$6*'CurrentPor-LH=60 unchanged'!F98</f>
        <v>3696.2945087936532</v>
      </c>
      <c r="H98">
        <f>Portfolio!B$7*'CurrentPor-LH=60 unchanged'!J98</f>
        <v>2148.0998964419859</v>
      </c>
      <c r="I98">
        <f t="shared" si="2"/>
        <v>96493.537342205425</v>
      </c>
      <c r="J98">
        <f t="shared" si="3"/>
        <v>0</v>
      </c>
    </row>
    <row r="99" spans="1:10">
      <c r="A99" s="1">
        <v>45608</v>
      </c>
      <c r="B99">
        <f>(3/(1+('CurrentPor-LH=60 unchanged'!C99)/100)+103/POWER(1+('CurrentPor-LH=60 unchanged'!D99)/100,2))*100</f>
        <v>9707.5857774288397</v>
      </c>
      <c r="C99">
        <f>(3/(1+('CurrentPor-LH=60 unchanged'!C99+'CurrentPor-LH=60 unchanged'!G99)/100)+103/POWER(1+('CurrentPor-LH=60 unchanged'!D99+'CurrentPor-LH=60 unchanged'!G99)/100,2))*100</f>
        <v>9614.9673582483465</v>
      </c>
      <c r="D99">
        <f>(3/(1+('CurrentPor-LH=60 unchanged'!C99+'CurrentPor-LH=60 unchanged'!H99)/100)+103/POWER(1+('CurrentPor-LH=60 unchanged'!D99+'CurrentPor-LH=60 unchanged'!H99)/100,2))*100</f>
        <v>9601.2395558122898</v>
      </c>
      <c r="E99">
        <f>(3/(1+('CurrentPor-LH=60 unchanged'!C99+'CurrentPor-LH=60 unchanged'!I99)/100)+103/POWER(1+('CurrentPor-LH=60 unchanged'!D99+'CurrentPor-LH=60 unchanged'!I99)/100,2))*100</f>
        <v>9581.4547115644182</v>
      </c>
      <c r="F99">
        <f>Portfolio!B$5*'CurrentPor-LH=60 unchanged'!E99</f>
        <v>52143.895533915893</v>
      </c>
      <c r="G99">
        <f>Portfolio!B$6*'CurrentPor-LH=60 unchanged'!F99</f>
        <v>3696.2945087936532</v>
      </c>
      <c r="H99">
        <f>Portfolio!B$7*'CurrentPor-LH=60 unchanged'!J99</f>
        <v>2148.0998964419859</v>
      </c>
      <c r="I99">
        <f t="shared" si="2"/>
        <v>96493.537342205425</v>
      </c>
      <c r="J99">
        <f t="shared" si="3"/>
        <v>0</v>
      </c>
    </row>
    <row r="100" spans="1:10">
      <c r="A100" s="1">
        <v>45609</v>
      </c>
      <c r="B100">
        <f>(3/(1+('CurrentPor-LH=60 unchanged'!C100)/100)+103/POWER(1+('CurrentPor-LH=60 unchanged'!D100)/100,2))*100</f>
        <v>9707.5857774288397</v>
      </c>
      <c r="C100">
        <f>(3/(1+('CurrentPor-LH=60 unchanged'!C100+'CurrentPor-LH=60 unchanged'!G100)/100)+103/POWER(1+('CurrentPor-LH=60 unchanged'!D100+'CurrentPor-LH=60 unchanged'!G100)/100,2))*100</f>
        <v>9614.9673582483465</v>
      </c>
      <c r="D100">
        <f>(3/(1+('CurrentPor-LH=60 unchanged'!C100+'CurrentPor-LH=60 unchanged'!H100)/100)+103/POWER(1+('CurrentPor-LH=60 unchanged'!D100+'CurrentPor-LH=60 unchanged'!H100)/100,2))*100</f>
        <v>9601.2395558122898</v>
      </c>
      <c r="E100">
        <f>(3/(1+('CurrentPor-LH=60 unchanged'!C100+'CurrentPor-LH=60 unchanged'!I100)/100)+103/POWER(1+('CurrentPor-LH=60 unchanged'!D100+'CurrentPor-LH=60 unchanged'!I100)/100,2))*100</f>
        <v>9581.4547115644182</v>
      </c>
      <c r="F100">
        <f>Portfolio!B$5*'CurrentPor-LH=60 unchanged'!E100</f>
        <v>52143.895533915893</v>
      </c>
      <c r="G100">
        <f>Portfolio!B$6*'CurrentPor-LH=60 unchanged'!F100</f>
        <v>3696.2945087936532</v>
      </c>
      <c r="H100">
        <f>Portfolio!B$7*'CurrentPor-LH=60 unchanged'!J100</f>
        <v>2148.0998964419859</v>
      </c>
      <c r="I100">
        <f t="shared" si="2"/>
        <v>96493.537342205425</v>
      </c>
      <c r="J100">
        <f t="shared" si="3"/>
        <v>0</v>
      </c>
    </row>
    <row r="101" spans="1:10">
      <c r="A101" s="1">
        <v>45610</v>
      </c>
      <c r="B101">
        <f>(3/(1+('CurrentPor-LH=60 unchanged'!C101)/100)+103/POWER(1+('CurrentPor-LH=60 unchanged'!D101)/100,2))*100</f>
        <v>9707.5857774288397</v>
      </c>
      <c r="C101">
        <f>(3/(1+('CurrentPor-LH=60 unchanged'!C101+'CurrentPor-LH=60 unchanged'!G101)/100)+103/POWER(1+('CurrentPor-LH=60 unchanged'!D101+'CurrentPor-LH=60 unchanged'!G101)/100,2))*100</f>
        <v>9614.9673582483465</v>
      </c>
      <c r="D101">
        <f>(3/(1+('CurrentPor-LH=60 unchanged'!C101+'CurrentPor-LH=60 unchanged'!H101)/100)+103/POWER(1+('CurrentPor-LH=60 unchanged'!D101+'CurrentPor-LH=60 unchanged'!H101)/100,2))*100</f>
        <v>9601.2395558122898</v>
      </c>
      <c r="E101">
        <f>(3/(1+('CurrentPor-LH=60 unchanged'!C101+'CurrentPor-LH=60 unchanged'!I101)/100)+103/POWER(1+('CurrentPor-LH=60 unchanged'!D101+'CurrentPor-LH=60 unchanged'!I101)/100,2))*100</f>
        <v>9581.4547115644182</v>
      </c>
      <c r="F101">
        <f>Portfolio!B$5*'CurrentPor-LH=60 unchanged'!E101</f>
        <v>52143.895533915893</v>
      </c>
      <c r="G101">
        <f>Portfolio!B$6*'CurrentPor-LH=60 unchanged'!F101</f>
        <v>3696.2945087936532</v>
      </c>
      <c r="H101">
        <f>Portfolio!B$7*'CurrentPor-LH=60 unchanged'!J101</f>
        <v>2148.0998964419859</v>
      </c>
      <c r="I101">
        <f t="shared" si="2"/>
        <v>96493.537342205425</v>
      </c>
      <c r="J101">
        <f t="shared" si="3"/>
        <v>0</v>
      </c>
    </row>
    <row r="102" spans="1:10">
      <c r="A102" s="1">
        <v>45611</v>
      </c>
      <c r="B102">
        <f>(3/(1+('CurrentPor-LH=60 unchanged'!C102)/100)+103/POWER(1+('CurrentPor-LH=60 unchanged'!D102)/100,2))*100</f>
        <v>9707.5857774288397</v>
      </c>
      <c r="C102">
        <f>(3/(1+('CurrentPor-LH=60 unchanged'!C102+'CurrentPor-LH=60 unchanged'!G102)/100)+103/POWER(1+('CurrentPor-LH=60 unchanged'!D102+'CurrentPor-LH=60 unchanged'!G102)/100,2))*100</f>
        <v>9614.9673582483465</v>
      </c>
      <c r="D102">
        <f>(3/(1+('CurrentPor-LH=60 unchanged'!C102+'CurrentPor-LH=60 unchanged'!H102)/100)+103/POWER(1+('CurrentPor-LH=60 unchanged'!D102+'CurrentPor-LH=60 unchanged'!H102)/100,2))*100</f>
        <v>9601.2395558122898</v>
      </c>
      <c r="E102">
        <f>(3/(1+('CurrentPor-LH=60 unchanged'!C102+'CurrentPor-LH=60 unchanged'!I102)/100)+103/POWER(1+('CurrentPor-LH=60 unchanged'!D102+'CurrentPor-LH=60 unchanged'!I102)/100,2))*100</f>
        <v>9581.4547115644182</v>
      </c>
      <c r="F102">
        <f>Portfolio!B$5*'CurrentPor-LH=60 unchanged'!E102</f>
        <v>52143.895533915893</v>
      </c>
      <c r="G102">
        <f>Portfolio!B$6*'CurrentPor-LH=60 unchanged'!F102</f>
        <v>3696.2945087936532</v>
      </c>
      <c r="H102">
        <f>Portfolio!B$7*'CurrentPor-LH=60 unchanged'!J102</f>
        <v>2148.0998964419859</v>
      </c>
      <c r="I102">
        <f t="shared" si="2"/>
        <v>96493.537342205425</v>
      </c>
      <c r="J102">
        <f t="shared" si="3"/>
        <v>0</v>
      </c>
    </row>
    <row r="103" spans="1:10">
      <c r="A103" s="1">
        <v>45614</v>
      </c>
      <c r="B103">
        <f>(3/(1+('CurrentPor-LH=60 unchanged'!C103)/100)+103/POWER(1+('CurrentPor-LH=60 unchanged'!D103)/100,2))*100</f>
        <v>9707.5857774288397</v>
      </c>
      <c r="C103">
        <f>(3/(1+('CurrentPor-LH=60 unchanged'!C103+'CurrentPor-LH=60 unchanged'!G103)/100)+103/POWER(1+('CurrentPor-LH=60 unchanged'!D103+'CurrentPor-LH=60 unchanged'!G103)/100,2))*100</f>
        <v>9614.9673582483465</v>
      </c>
      <c r="D103">
        <f>(3/(1+('CurrentPor-LH=60 unchanged'!C103+'CurrentPor-LH=60 unchanged'!H103)/100)+103/POWER(1+('CurrentPor-LH=60 unchanged'!D103+'CurrentPor-LH=60 unchanged'!H103)/100,2))*100</f>
        <v>9601.2395558122898</v>
      </c>
      <c r="E103">
        <f>(3/(1+('CurrentPor-LH=60 unchanged'!C103+'CurrentPor-LH=60 unchanged'!I103)/100)+103/POWER(1+('CurrentPor-LH=60 unchanged'!D103+'CurrentPor-LH=60 unchanged'!I103)/100,2))*100</f>
        <v>9581.4547115644182</v>
      </c>
      <c r="F103">
        <f>Portfolio!B$5*'CurrentPor-LH=60 unchanged'!E103</f>
        <v>52143.895533915893</v>
      </c>
      <c r="G103">
        <f>Portfolio!B$6*'CurrentPor-LH=60 unchanged'!F103</f>
        <v>3696.2945087936532</v>
      </c>
      <c r="H103">
        <f>Portfolio!B$7*'CurrentPor-LH=60 unchanged'!J103</f>
        <v>2148.0998964419859</v>
      </c>
      <c r="I103">
        <f t="shared" si="2"/>
        <v>96493.537342205425</v>
      </c>
      <c r="J103">
        <f t="shared" si="3"/>
        <v>0</v>
      </c>
    </row>
    <row r="104" spans="1:10">
      <c r="A104" s="1">
        <v>45615</v>
      </c>
      <c r="B104">
        <f>(3/(1+('CurrentPor-LH=60 unchanged'!C104)/100)+103/POWER(1+('CurrentPor-LH=60 unchanged'!D104)/100,2))*100</f>
        <v>9707.5857774288397</v>
      </c>
      <c r="C104">
        <f>(3/(1+('CurrentPor-LH=60 unchanged'!C104+'CurrentPor-LH=60 unchanged'!G104)/100)+103/POWER(1+('CurrentPor-LH=60 unchanged'!D104+'CurrentPor-LH=60 unchanged'!G104)/100,2))*100</f>
        <v>9614.9673582483465</v>
      </c>
      <c r="D104">
        <f>(3/(1+('CurrentPor-LH=60 unchanged'!C104+'CurrentPor-LH=60 unchanged'!H104)/100)+103/POWER(1+('CurrentPor-LH=60 unchanged'!D104+'CurrentPor-LH=60 unchanged'!H104)/100,2))*100</f>
        <v>9601.2395558122898</v>
      </c>
      <c r="E104">
        <f>(3/(1+('CurrentPor-LH=60 unchanged'!C104+'CurrentPor-LH=60 unchanged'!I104)/100)+103/POWER(1+('CurrentPor-LH=60 unchanged'!D104+'CurrentPor-LH=60 unchanged'!I104)/100,2))*100</f>
        <v>9581.4547115644182</v>
      </c>
      <c r="F104">
        <f>Portfolio!B$5*'CurrentPor-LH=60 unchanged'!E104</f>
        <v>52143.895533915893</v>
      </c>
      <c r="G104">
        <f>Portfolio!B$6*'CurrentPor-LH=60 unchanged'!F104</f>
        <v>3696.2945087936532</v>
      </c>
      <c r="H104">
        <f>Portfolio!B$7*'CurrentPor-LH=60 unchanged'!J104</f>
        <v>2148.0998964419859</v>
      </c>
      <c r="I104">
        <f t="shared" si="2"/>
        <v>96493.537342205425</v>
      </c>
      <c r="J104">
        <f t="shared" si="3"/>
        <v>0</v>
      </c>
    </row>
    <row r="105" spans="1:10">
      <c r="A105" s="1">
        <v>45616</v>
      </c>
      <c r="B105">
        <f>(3/(1+('CurrentPor-LH=60 unchanged'!C105)/100)+103/POWER(1+('CurrentPor-LH=60 unchanged'!D105)/100,2))*100</f>
        <v>9707.5857774288397</v>
      </c>
      <c r="C105">
        <f>(3/(1+('CurrentPor-LH=60 unchanged'!C105+'CurrentPor-LH=60 unchanged'!G105)/100)+103/POWER(1+('CurrentPor-LH=60 unchanged'!D105+'CurrentPor-LH=60 unchanged'!G105)/100,2))*100</f>
        <v>9614.9673582483465</v>
      </c>
      <c r="D105">
        <f>(3/(1+('CurrentPor-LH=60 unchanged'!C105+'CurrentPor-LH=60 unchanged'!H105)/100)+103/POWER(1+('CurrentPor-LH=60 unchanged'!D105+'CurrentPor-LH=60 unchanged'!H105)/100,2))*100</f>
        <v>9601.2395558122898</v>
      </c>
      <c r="E105">
        <f>(3/(1+('CurrentPor-LH=60 unchanged'!C105+'CurrentPor-LH=60 unchanged'!I105)/100)+103/POWER(1+('CurrentPor-LH=60 unchanged'!D105+'CurrentPor-LH=60 unchanged'!I105)/100,2))*100</f>
        <v>9581.4547115644182</v>
      </c>
      <c r="F105">
        <f>Portfolio!B$5*'CurrentPor-LH=60 unchanged'!E105</f>
        <v>52143.895533915893</v>
      </c>
      <c r="G105">
        <f>Portfolio!B$6*'CurrentPor-LH=60 unchanged'!F105</f>
        <v>3696.2945087936532</v>
      </c>
      <c r="H105">
        <f>Portfolio!B$7*'CurrentPor-LH=60 unchanged'!J105</f>
        <v>2148.0998964419859</v>
      </c>
      <c r="I105">
        <f t="shared" si="2"/>
        <v>96493.537342205425</v>
      </c>
      <c r="J105">
        <f t="shared" si="3"/>
        <v>0</v>
      </c>
    </row>
    <row r="106" spans="1:10">
      <c r="A106" s="1">
        <v>45617</v>
      </c>
      <c r="B106">
        <f>(3/(1+('CurrentPor-LH=60 unchanged'!C106)/100)+103/POWER(1+('CurrentPor-LH=60 unchanged'!D106)/100,2))*100</f>
        <v>9707.5857774288397</v>
      </c>
      <c r="C106">
        <f>(3/(1+('CurrentPor-LH=60 unchanged'!C106+'CurrentPor-LH=60 unchanged'!G106)/100)+103/POWER(1+('CurrentPor-LH=60 unchanged'!D106+'CurrentPor-LH=60 unchanged'!G106)/100,2))*100</f>
        <v>9614.9673582483465</v>
      </c>
      <c r="D106">
        <f>(3/(1+('CurrentPor-LH=60 unchanged'!C106+'CurrentPor-LH=60 unchanged'!H106)/100)+103/POWER(1+('CurrentPor-LH=60 unchanged'!D106+'CurrentPor-LH=60 unchanged'!H106)/100,2))*100</f>
        <v>9601.2395558122898</v>
      </c>
      <c r="E106">
        <f>(3/(1+('CurrentPor-LH=60 unchanged'!C106+'CurrentPor-LH=60 unchanged'!I106)/100)+103/POWER(1+('CurrentPor-LH=60 unchanged'!D106+'CurrentPor-LH=60 unchanged'!I106)/100,2))*100</f>
        <v>9581.4547115644182</v>
      </c>
      <c r="F106">
        <f>Portfolio!B$5*'CurrentPor-LH=60 unchanged'!E106</f>
        <v>52143.895533915893</v>
      </c>
      <c r="G106">
        <f>Portfolio!B$6*'CurrentPor-LH=60 unchanged'!F106</f>
        <v>3696.2945087936532</v>
      </c>
      <c r="H106">
        <f>Portfolio!B$7*'CurrentPor-LH=60 unchanged'!J106</f>
        <v>2148.0998964419859</v>
      </c>
      <c r="I106">
        <f t="shared" si="2"/>
        <v>96493.537342205425</v>
      </c>
      <c r="J106">
        <f t="shared" si="3"/>
        <v>0</v>
      </c>
    </row>
    <row r="107" spans="1:10">
      <c r="A107" s="1">
        <v>45618</v>
      </c>
      <c r="B107">
        <f>(3/(1+('CurrentPor-LH=60 unchanged'!C107)/100)+103/POWER(1+('CurrentPor-LH=60 unchanged'!D107)/100,2))*100</f>
        <v>9707.5857774288397</v>
      </c>
      <c r="C107">
        <f>(3/(1+('CurrentPor-LH=60 unchanged'!C107+'CurrentPor-LH=60 unchanged'!G107)/100)+103/POWER(1+('CurrentPor-LH=60 unchanged'!D107+'CurrentPor-LH=60 unchanged'!G107)/100,2))*100</f>
        <v>9614.9673582483465</v>
      </c>
      <c r="D107">
        <f>(3/(1+('CurrentPor-LH=60 unchanged'!C107+'CurrentPor-LH=60 unchanged'!H107)/100)+103/POWER(1+('CurrentPor-LH=60 unchanged'!D107+'CurrentPor-LH=60 unchanged'!H107)/100,2))*100</f>
        <v>9601.2395558122898</v>
      </c>
      <c r="E107">
        <f>(3/(1+('CurrentPor-LH=60 unchanged'!C107+'CurrentPor-LH=60 unchanged'!I107)/100)+103/POWER(1+('CurrentPor-LH=60 unchanged'!D107+'CurrentPor-LH=60 unchanged'!I107)/100,2))*100</f>
        <v>9581.4547115644182</v>
      </c>
      <c r="F107">
        <f>Portfolio!B$5*'CurrentPor-LH=60 unchanged'!E107</f>
        <v>52143.895533915893</v>
      </c>
      <c r="G107">
        <f>Portfolio!B$6*'CurrentPor-LH=60 unchanged'!F107</f>
        <v>3696.2945087936532</v>
      </c>
      <c r="H107">
        <f>Portfolio!B$7*'CurrentPor-LH=60 unchanged'!J107</f>
        <v>2148.0998964419859</v>
      </c>
      <c r="I107">
        <f t="shared" si="2"/>
        <v>96493.537342205425</v>
      </c>
      <c r="J107">
        <f t="shared" si="3"/>
        <v>0</v>
      </c>
    </row>
    <row r="108" spans="1:10">
      <c r="A108" s="1">
        <v>45621</v>
      </c>
      <c r="B108">
        <f>(3/(1+('CurrentPor-LH=60 unchanged'!C108)/100)+103/POWER(1+('CurrentPor-LH=60 unchanged'!D108)/100,2))*100</f>
        <v>9707.5857774288397</v>
      </c>
      <c r="C108">
        <f>(3/(1+('CurrentPor-LH=60 unchanged'!C108+'CurrentPor-LH=60 unchanged'!G108)/100)+103/POWER(1+('CurrentPor-LH=60 unchanged'!D108+'CurrentPor-LH=60 unchanged'!G108)/100,2))*100</f>
        <v>9614.9673582483465</v>
      </c>
      <c r="D108">
        <f>(3/(1+('CurrentPor-LH=60 unchanged'!C108+'CurrentPor-LH=60 unchanged'!H108)/100)+103/POWER(1+('CurrentPor-LH=60 unchanged'!D108+'CurrentPor-LH=60 unchanged'!H108)/100,2))*100</f>
        <v>9601.2395558122898</v>
      </c>
      <c r="E108">
        <f>(3/(1+('CurrentPor-LH=60 unchanged'!C108+'CurrentPor-LH=60 unchanged'!I108)/100)+103/POWER(1+('CurrentPor-LH=60 unchanged'!D108+'CurrentPor-LH=60 unchanged'!I108)/100,2))*100</f>
        <v>9581.4547115644182</v>
      </c>
      <c r="F108">
        <f>Portfolio!B$5*'CurrentPor-LH=60 unchanged'!E108</f>
        <v>52143.895533915893</v>
      </c>
      <c r="G108">
        <f>Portfolio!B$6*'CurrentPor-LH=60 unchanged'!F108</f>
        <v>3696.2945087936532</v>
      </c>
      <c r="H108">
        <f>Portfolio!B$7*'CurrentPor-LH=60 unchanged'!J108</f>
        <v>2148.0998964419859</v>
      </c>
      <c r="I108">
        <f t="shared" si="2"/>
        <v>96493.537342205425</v>
      </c>
      <c r="J108">
        <f t="shared" si="3"/>
        <v>0</v>
      </c>
    </row>
    <row r="109" spans="1:10">
      <c r="A109" s="1">
        <v>45622</v>
      </c>
      <c r="B109">
        <f>(3/(1+('CurrentPor-LH=60 unchanged'!C109)/100)+103/POWER(1+('CurrentPor-LH=60 unchanged'!D109)/100,2))*100</f>
        <v>9707.5857774288397</v>
      </c>
      <c r="C109">
        <f>(3/(1+('CurrentPor-LH=60 unchanged'!C109+'CurrentPor-LH=60 unchanged'!G109)/100)+103/POWER(1+('CurrentPor-LH=60 unchanged'!D109+'CurrentPor-LH=60 unchanged'!G109)/100,2))*100</f>
        <v>9614.9673582483465</v>
      </c>
      <c r="D109">
        <f>(3/(1+('CurrentPor-LH=60 unchanged'!C109+'CurrentPor-LH=60 unchanged'!H109)/100)+103/POWER(1+('CurrentPor-LH=60 unchanged'!D109+'CurrentPor-LH=60 unchanged'!H109)/100,2))*100</f>
        <v>9601.2395558122898</v>
      </c>
      <c r="E109">
        <f>(3/(1+('CurrentPor-LH=60 unchanged'!C109+'CurrentPor-LH=60 unchanged'!I109)/100)+103/POWER(1+('CurrentPor-LH=60 unchanged'!D109+'CurrentPor-LH=60 unchanged'!I109)/100,2))*100</f>
        <v>9581.4547115644182</v>
      </c>
      <c r="F109">
        <f>Portfolio!B$5*'CurrentPor-LH=60 unchanged'!E109</f>
        <v>52143.895533915893</v>
      </c>
      <c r="G109">
        <f>Portfolio!B$6*'CurrentPor-LH=60 unchanged'!F109</f>
        <v>3696.2945087936532</v>
      </c>
      <c r="H109">
        <f>Portfolio!B$7*'CurrentPor-LH=60 unchanged'!J109</f>
        <v>2148.0998964419859</v>
      </c>
      <c r="I109">
        <f t="shared" si="2"/>
        <v>96493.537342205425</v>
      </c>
      <c r="J109">
        <f t="shared" si="3"/>
        <v>0</v>
      </c>
    </row>
    <row r="110" spans="1:10">
      <c r="A110" s="1">
        <v>45623</v>
      </c>
      <c r="B110">
        <f>(3/(1+('CurrentPor-LH=60 unchanged'!C110)/100)+103/POWER(1+('CurrentPor-LH=60 unchanged'!D110)/100,2))*100</f>
        <v>9707.5857774288397</v>
      </c>
      <c r="C110">
        <f>(3/(1+('CurrentPor-LH=60 unchanged'!C110+'CurrentPor-LH=60 unchanged'!G110)/100)+103/POWER(1+('CurrentPor-LH=60 unchanged'!D110+'CurrentPor-LH=60 unchanged'!G110)/100,2))*100</f>
        <v>9614.9673582483465</v>
      </c>
      <c r="D110">
        <f>(3/(1+('CurrentPor-LH=60 unchanged'!C110+'CurrentPor-LH=60 unchanged'!H110)/100)+103/POWER(1+('CurrentPor-LH=60 unchanged'!D110+'CurrentPor-LH=60 unchanged'!H110)/100,2))*100</f>
        <v>9601.2395558122898</v>
      </c>
      <c r="E110">
        <f>(3/(1+('CurrentPor-LH=60 unchanged'!C110+'CurrentPor-LH=60 unchanged'!I110)/100)+103/POWER(1+('CurrentPor-LH=60 unchanged'!D110+'CurrentPor-LH=60 unchanged'!I110)/100,2))*100</f>
        <v>9581.4547115644182</v>
      </c>
      <c r="F110">
        <f>Portfolio!B$5*'CurrentPor-LH=60 unchanged'!E110</f>
        <v>52143.895533915893</v>
      </c>
      <c r="G110">
        <f>Portfolio!B$6*'CurrentPor-LH=60 unchanged'!F110</f>
        <v>3696.2945087936532</v>
      </c>
      <c r="H110">
        <f>Portfolio!B$7*'CurrentPor-LH=60 unchanged'!J110</f>
        <v>2148.0998964419859</v>
      </c>
      <c r="I110">
        <f t="shared" si="2"/>
        <v>96493.537342205425</v>
      </c>
      <c r="J110">
        <f t="shared" si="3"/>
        <v>0</v>
      </c>
    </row>
    <row r="111" spans="1:10">
      <c r="A111" s="1">
        <v>45624</v>
      </c>
      <c r="B111">
        <f>(3/(1+('CurrentPor-LH=60 unchanged'!C111)/100)+103/POWER(1+('CurrentPor-LH=60 unchanged'!D111)/100,2))*100</f>
        <v>9707.5857774288397</v>
      </c>
      <c r="C111">
        <f>(3/(1+('CurrentPor-LH=60 unchanged'!C111+'CurrentPor-LH=60 unchanged'!G111)/100)+103/POWER(1+('CurrentPor-LH=60 unchanged'!D111+'CurrentPor-LH=60 unchanged'!G111)/100,2))*100</f>
        <v>9614.9673582483465</v>
      </c>
      <c r="D111">
        <f>(3/(1+('CurrentPor-LH=60 unchanged'!C111+'CurrentPor-LH=60 unchanged'!H111)/100)+103/POWER(1+('CurrentPor-LH=60 unchanged'!D111+'CurrentPor-LH=60 unchanged'!H111)/100,2))*100</f>
        <v>9601.2395558122898</v>
      </c>
      <c r="E111">
        <f>(3/(1+('CurrentPor-LH=60 unchanged'!C111+'CurrentPor-LH=60 unchanged'!I111)/100)+103/POWER(1+('CurrentPor-LH=60 unchanged'!D111+'CurrentPor-LH=60 unchanged'!I111)/100,2))*100</f>
        <v>9581.4547115644182</v>
      </c>
      <c r="F111">
        <f>Portfolio!B$5*'CurrentPor-LH=60 unchanged'!E111</f>
        <v>52143.895533915893</v>
      </c>
      <c r="G111">
        <f>Portfolio!B$6*'CurrentPor-LH=60 unchanged'!F111</f>
        <v>3696.2945087936532</v>
      </c>
      <c r="H111">
        <f>Portfolio!B$7*'CurrentPor-LH=60 unchanged'!J111</f>
        <v>2148.0998964419859</v>
      </c>
      <c r="I111">
        <f t="shared" si="2"/>
        <v>96493.537342205425</v>
      </c>
      <c r="J111">
        <f t="shared" si="3"/>
        <v>0</v>
      </c>
    </row>
    <row r="112" spans="1:10">
      <c r="A112" s="1">
        <v>45625</v>
      </c>
      <c r="B112">
        <f>(3/(1+('CurrentPor-LH=60 unchanged'!C112)/100)+103/POWER(1+('CurrentPor-LH=60 unchanged'!D112)/100,2))*100</f>
        <v>9707.5857774288397</v>
      </c>
      <c r="C112">
        <f>(3/(1+('CurrentPor-LH=60 unchanged'!C112+'CurrentPor-LH=60 unchanged'!G112)/100)+103/POWER(1+('CurrentPor-LH=60 unchanged'!D112+'CurrentPor-LH=60 unchanged'!G112)/100,2))*100</f>
        <v>9614.9673582483465</v>
      </c>
      <c r="D112">
        <f>(3/(1+('CurrentPor-LH=60 unchanged'!C112+'CurrentPor-LH=60 unchanged'!H112)/100)+103/POWER(1+('CurrentPor-LH=60 unchanged'!D112+'CurrentPor-LH=60 unchanged'!H112)/100,2))*100</f>
        <v>9601.2395558122898</v>
      </c>
      <c r="E112">
        <f>(3/(1+('CurrentPor-LH=60 unchanged'!C112+'CurrentPor-LH=60 unchanged'!I112)/100)+103/POWER(1+('CurrentPor-LH=60 unchanged'!D112+'CurrentPor-LH=60 unchanged'!I112)/100,2))*100</f>
        <v>9581.4547115644182</v>
      </c>
      <c r="F112">
        <f>Portfolio!B$5*'CurrentPor-LH=60 unchanged'!E112</f>
        <v>52143.895533915893</v>
      </c>
      <c r="G112">
        <f>Portfolio!B$6*'CurrentPor-LH=60 unchanged'!F112</f>
        <v>3696.2945087936532</v>
      </c>
      <c r="H112">
        <f>Portfolio!B$7*'CurrentPor-LH=60 unchanged'!J112</f>
        <v>2148.0998964419859</v>
      </c>
      <c r="I112">
        <f t="shared" si="2"/>
        <v>96493.537342205425</v>
      </c>
      <c r="J112">
        <f t="shared" si="3"/>
        <v>0</v>
      </c>
    </row>
    <row r="113" spans="1:10">
      <c r="A113" s="1">
        <v>45628</v>
      </c>
      <c r="B113">
        <f>(3/(1+('CurrentPor-LH=60 unchanged'!C113)/100)+103/POWER(1+('CurrentPor-LH=60 unchanged'!D113)/100,2))*100</f>
        <v>9707.5857774288397</v>
      </c>
      <c r="C113">
        <f>(3/(1+('CurrentPor-LH=60 unchanged'!C113+'CurrentPor-LH=60 unchanged'!G113)/100)+103/POWER(1+('CurrentPor-LH=60 unchanged'!D113+'CurrentPor-LH=60 unchanged'!G113)/100,2))*100</f>
        <v>9614.9673582483465</v>
      </c>
      <c r="D113">
        <f>(3/(1+('CurrentPor-LH=60 unchanged'!C113+'CurrentPor-LH=60 unchanged'!H113)/100)+103/POWER(1+('CurrentPor-LH=60 unchanged'!D113+'CurrentPor-LH=60 unchanged'!H113)/100,2))*100</f>
        <v>9601.2395558122898</v>
      </c>
      <c r="E113">
        <f>(3/(1+('CurrentPor-LH=60 unchanged'!C113+'CurrentPor-LH=60 unchanged'!I113)/100)+103/POWER(1+('CurrentPor-LH=60 unchanged'!D113+'CurrentPor-LH=60 unchanged'!I113)/100,2))*100</f>
        <v>9581.4547115644182</v>
      </c>
      <c r="F113">
        <f>Portfolio!B$5*'CurrentPor-LH=60 unchanged'!E113</f>
        <v>52143.895533915893</v>
      </c>
      <c r="G113">
        <f>Portfolio!B$6*'CurrentPor-LH=60 unchanged'!F113</f>
        <v>3696.2945087936532</v>
      </c>
      <c r="H113">
        <f>Portfolio!B$7*'CurrentPor-LH=60 unchanged'!J113</f>
        <v>2148.0998964419859</v>
      </c>
      <c r="I113">
        <f t="shared" si="2"/>
        <v>96493.537342205425</v>
      </c>
      <c r="J113">
        <f t="shared" si="3"/>
        <v>0</v>
      </c>
    </row>
    <row r="114" spans="1:10">
      <c r="A114" s="1">
        <v>45629</v>
      </c>
      <c r="B114">
        <f>(3/(1+('CurrentPor-LH=60 unchanged'!C114)/100)+103/POWER(1+('CurrentPor-LH=60 unchanged'!D114)/100,2))*100</f>
        <v>9707.5857774288397</v>
      </c>
      <c r="C114">
        <f>(3/(1+('CurrentPor-LH=60 unchanged'!C114+'CurrentPor-LH=60 unchanged'!G114)/100)+103/POWER(1+('CurrentPor-LH=60 unchanged'!D114+'CurrentPor-LH=60 unchanged'!G114)/100,2))*100</f>
        <v>9614.9673582483465</v>
      </c>
      <c r="D114">
        <f>(3/(1+('CurrentPor-LH=60 unchanged'!C114+'CurrentPor-LH=60 unchanged'!H114)/100)+103/POWER(1+('CurrentPor-LH=60 unchanged'!D114+'CurrentPor-LH=60 unchanged'!H114)/100,2))*100</f>
        <v>9601.2395558122898</v>
      </c>
      <c r="E114">
        <f>(3/(1+('CurrentPor-LH=60 unchanged'!C114+'CurrentPor-LH=60 unchanged'!I114)/100)+103/POWER(1+('CurrentPor-LH=60 unchanged'!D114+'CurrentPor-LH=60 unchanged'!I114)/100,2))*100</f>
        <v>9581.4547115644182</v>
      </c>
      <c r="F114">
        <f>Portfolio!B$5*'CurrentPor-LH=60 unchanged'!E114</f>
        <v>52143.895533915893</v>
      </c>
      <c r="G114">
        <f>Portfolio!B$6*'CurrentPor-LH=60 unchanged'!F114</f>
        <v>3696.2945087936532</v>
      </c>
      <c r="H114">
        <f>Portfolio!B$7*'CurrentPor-LH=60 unchanged'!J114</f>
        <v>2148.0998964419859</v>
      </c>
      <c r="I114">
        <f t="shared" si="2"/>
        <v>96493.537342205425</v>
      </c>
      <c r="J114">
        <f t="shared" si="3"/>
        <v>0</v>
      </c>
    </row>
    <row r="115" spans="1:10">
      <c r="A115" s="1">
        <v>45630</v>
      </c>
      <c r="B115">
        <f>(3/(1+('CurrentPor-LH=60 unchanged'!C115)/100)+103/POWER(1+('CurrentPor-LH=60 unchanged'!D115)/100,2))*100</f>
        <v>9707.5857774288397</v>
      </c>
      <c r="C115">
        <f>(3/(1+('CurrentPor-LH=60 unchanged'!C115+'CurrentPor-LH=60 unchanged'!G115)/100)+103/POWER(1+('CurrentPor-LH=60 unchanged'!D115+'CurrentPor-LH=60 unchanged'!G115)/100,2))*100</f>
        <v>9614.9673582483465</v>
      </c>
      <c r="D115">
        <f>(3/(1+('CurrentPor-LH=60 unchanged'!C115+'CurrentPor-LH=60 unchanged'!H115)/100)+103/POWER(1+('CurrentPor-LH=60 unchanged'!D115+'CurrentPor-LH=60 unchanged'!H115)/100,2))*100</f>
        <v>9601.2395558122898</v>
      </c>
      <c r="E115">
        <f>(3/(1+('CurrentPor-LH=60 unchanged'!C115+'CurrentPor-LH=60 unchanged'!I115)/100)+103/POWER(1+('CurrentPor-LH=60 unchanged'!D115+'CurrentPor-LH=60 unchanged'!I115)/100,2))*100</f>
        <v>9581.4547115644182</v>
      </c>
      <c r="F115">
        <f>Portfolio!B$5*'CurrentPor-LH=60 unchanged'!E115</f>
        <v>52143.895533915893</v>
      </c>
      <c r="G115">
        <f>Portfolio!B$6*'CurrentPor-LH=60 unchanged'!F115</f>
        <v>3696.2945087936532</v>
      </c>
      <c r="H115">
        <f>Portfolio!B$7*'CurrentPor-LH=60 unchanged'!J115</f>
        <v>2148.0998964419859</v>
      </c>
      <c r="I115">
        <f t="shared" si="2"/>
        <v>96493.537342205425</v>
      </c>
      <c r="J115">
        <f t="shared" si="3"/>
        <v>0</v>
      </c>
    </row>
    <row r="116" spans="1:10">
      <c r="A116" s="1">
        <v>45631</v>
      </c>
      <c r="B116">
        <f>(3/(1+('CurrentPor-LH=60 unchanged'!C116)/100)+103/POWER(1+('CurrentPor-LH=60 unchanged'!D116)/100,2))*100</f>
        <v>9707.5857774288397</v>
      </c>
      <c r="C116">
        <f>(3/(1+('CurrentPor-LH=60 unchanged'!C116+'CurrentPor-LH=60 unchanged'!G116)/100)+103/POWER(1+('CurrentPor-LH=60 unchanged'!D116+'CurrentPor-LH=60 unchanged'!G116)/100,2))*100</f>
        <v>9614.9673582483465</v>
      </c>
      <c r="D116">
        <f>(3/(1+('CurrentPor-LH=60 unchanged'!C116+'CurrentPor-LH=60 unchanged'!H116)/100)+103/POWER(1+('CurrentPor-LH=60 unchanged'!D116+'CurrentPor-LH=60 unchanged'!H116)/100,2))*100</f>
        <v>9601.2395558122898</v>
      </c>
      <c r="E116">
        <f>(3/(1+('CurrentPor-LH=60 unchanged'!C116+'CurrentPor-LH=60 unchanged'!I116)/100)+103/POWER(1+('CurrentPor-LH=60 unchanged'!D116+'CurrentPor-LH=60 unchanged'!I116)/100,2))*100</f>
        <v>9581.4547115644182</v>
      </c>
      <c r="F116">
        <f>Portfolio!B$5*'CurrentPor-LH=60 unchanged'!E116</f>
        <v>52143.895533915893</v>
      </c>
      <c r="G116">
        <f>Portfolio!B$6*'CurrentPor-LH=60 unchanged'!F116</f>
        <v>3696.2945087936532</v>
      </c>
      <c r="H116">
        <f>Portfolio!B$7*'CurrentPor-LH=60 unchanged'!J116</f>
        <v>2148.0998964419859</v>
      </c>
      <c r="I116">
        <f t="shared" si="2"/>
        <v>96493.537342205425</v>
      </c>
      <c r="J116">
        <f t="shared" si="3"/>
        <v>0</v>
      </c>
    </row>
    <row r="117" spans="1:10">
      <c r="A117" s="1">
        <v>45632</v>
      </c>
      <c r="B117">
        <f>(3/(1+('CurrentPor-LH=60 unchanged'!C117)/100)+103/POWER(1+('CurrentPor-LH=60 unchanged'!D117)/100,2))*100</f>
        <v>9707.5857774288397</v>
      </c>
      <c r="C117">
        <f>(3/(1+('CurrentPor-LH=60 unchanged'!C117+'CurrentPor-LH=60 unchanged'!G117)/100)+103/POWER(1+('CurrentPor-LH=60 unchanged'!D117+'CurrentPor-LH=60 unchanged'!G117)/100,2))*100</f>
        <v>9614.9673582483465</v>
      </c>
      <c r="D117">
        <f>(3/(1+('CurrentPor-LH=60 unchanged'!C117+'CurrentPor-LH=60 unchanged'!H117)/100)+103/POWER(1+('CurrentPor-LH=60 unchanged'!D117+'CurrentPor-LH=60 unchanged'!H117)/100,2))*100</f>
        <v>9601.2395558122898</v>
      </c>
      <c r="E117">
        <f>(3/(1+('CurrentPor-LH=60 unchanged'!C117+'CurrentPor-LH=60 unchanged'!I117)/100)+103/POWER(1+('CurrentPor-LH=60 unchanged'!D117+'CurrentPor-LH=60 unchanged'!I117)/100,2))*100</f>
        <v>9581.4547115644182</v>
      </c>
      <c r="F117">
        <f>Portfolio!B$5*'CurrentPor-LH=60 unchanged'!E117</f>
        <v>52143.895533915893</v>
      </c>
      <c r="G117">
        <f>Portfolio!B$6*'CurrentPor-LH=60 unchanged'!F117</f>
        <v>3696.2945087936532</v>
      </c>
      <c r="H117">
        <f>Portfolio!B$7*'CurrentPor-LH=60 unchanged'!J117</f>
        <v>2148.0998964419859</v>
      </c>
      <c r="I117">
        <f t="shared" si="2"/>
        <v>96493.537342205425</v>
      </c>
      <c r="J117">
        <f t="shared" si="3"/>
        <v>0</v>
      </c>
    </row>
    <row r="118" spans="1:10">
      <c r="A118" s="1">
        <v>45635</v>
      </c>
      <c r="B118">
        <f>(3/(1+('CurrentPor-LH=60 unchanged'!C118)/100)+103/POWER(1+('CurrentPor-LH=60 unchanged'!D118)/100,2))*100</f>
        <v>9707.5857774288397</v>
      </c>
      <c r="C118">
        <f>(3/(1+('CurrentPor-LH=60 unchanged'!C118+'CurrentPor-LH=60 unchanged'!G118)/100)+103/POWER(1+('CurrentPor-LH=60 unchanged'!D118+'CurrentPor-LH=60 unchanged'!G118)/100,2))*100</f>
        <v>9614.9673582483465</v>
      </c>
      <c r="D118">
        <f>(3/(1+('CurrentPor-LH=60 unchanged'!C118+'CurrentPor-LH=60 unchanged'!H118)/100)+103/POWER(1+('CurrentPor-LH=60 unchanged'!D118+'CurrentPor-LH=60 unchanged'!H118)/100,2))*100</f>
        <v>9601.2395558122898</v>
      </c>
      <c r="E118">
        <f>(3/(1+('CurrentPor-LH=60 unchanged'!C118+'CurrentPor-LH=60 unchanged'!I118)/100)+103/POWER(1+('CurrentPor-LH=60 unchanged'!D118+'CurrentPor-LH=60 unchanged'!I118)/100,2))*100</f>
        <v>9581.4547115644182</v>
      </c>
      <c r="F118">
        <f>Portfolio!B$5*'CurrentPor-LH=60 unchanged'!E118</f>
        <v>52143.895533915893</v>
      </c>
      <c r="G118">
        <f>Portfolio!B$6*'CurrentPor-LH=60 unchanged'!F118</f>
        <v>3696.2945087936532</v>
      </c>
      <c r="H118">
        <f>Portfolio!B$7*'CurrentPor-LH=60 unchanged'!J118</f>
        <v>2148.0998964419859</v>
      </c>
      <c r="I118">
        <f t="shared" si="2"/>
        <v>96493.537342205425</v>
      </c>
      <c r="J118">
        <f t="shared" si="3"/>
        <v>0</v>
      </c>
    </row>
    <row r="119" spans="1:10">
      <c r="A119" s="1">
        <v>45636</v>
      </c>
      <c r="B119">
        <f>(3/(1+('CurrentPor-LH=60 unchanged'!C119)/100)+103/POWER(1+('CurrentPor-LH=60 unchanged'!D119)/100,2))*100</f>
        <v>9707.5857774288397</v>
      </c>
      <c r="C119">
        <f>(3/(1+('CurrentPor-LH=60 unchanged'!C119+'CurrentPor-LH=60 unchanged'!G119)/100)+103/POWER(1+('CurrentPor-LH=60 unchanged'!D119+'CurrentPor-LH=60 unchanged'!G119)/100,2))*100</f>
        <v>9614.9673582483465</v>
      </c>
      <c r="D119">
        <f>(3/(1+('CurrentPor-LH=60 unchanged'!C119+'CurrentPor-LH=60 unchanged'!H119)/100)+103/POWER(1+('CurrentPor-LH=60 unchanged'!D119+'CurrentPor-LH=60 unchanged'!H119)/100,2))*100</f>
        <v>9601.2395558122898</v>
      </c>
      <c r="E119">
        <f>(3/(1+('CurrentPor-LH=60 unchanged'!C119+'CurrentPor-LH=60 unchanged'!I119)/100)+103/POWER(1+('CurrentPor-LH=60 unchanged'!D119+'CurrentPor-LH=60 unchanged'!I119)/100,2))*100</f>
        <v>9581.4547115644182</v>
      </c>
      <c r="F119">
        <f>Portfolio!B$5*'CurrentPor-LH=60 unchanged'!E119</f>
        <v>52143.895533915893</v>
      </c>
      <c r="G119">
        <f>Portfolio!B$6*'CurrentPor-LH=60 unchanged'!F119</f>
        <v>3696.2945087936532</v>
      </c>
      <c r="H119">
        <f>Portfolio!B$7*'CurrentPor-LH=60 unchanged'!J119</f>
        <v>2148.0998964419859</v>
      </c>
      <c r="I119">
        <f t="shared" si="2"/>
        <v>96493.537342205425</v>
      </c>
      <c r="J119">
        <f t="shared" si="3"/>
        <v>0</v>
      </c>
    </row>
    <row r="120" spans="1:10">
      <c r="A120" s="1">
        <v>45637</v>
      </c>
      <c r="B120">
        <f>(3/(1+('CurrentPor-LH=60 unchanged'!C120)/100)+103/POWER(1+('CurrentPor-LH=60 unchanged'!D120)/100,2))*100</f>
        <v>9707.5857774288397</v>
      </c>
      <c r="C120">
        <f>(3/(1+('CurrentPor-LH=60 unchanged'!C120+'CurrentPor-LH=60 unchanged'!G120)/100)+103/POWER(1+('CurrentPor-LH=60 unchanged'!D120+'CurrentPor-LH=60 unchanged'!G120)/100,2))*100</f>
        <v>9614.9673582483465</v>
      </c>
      <c r="D120">
        <f>(3/(1+('CurrentPor-LH=60 unchanged'!C120+'CurrentPor-LH=60 unchanged'!H120)/100)+103/POWER(1+('CurrentPor-LH=60 unchanged'!D120+'CurrentPor-LH=60 unchanged'!H120)/100,2))*100</f>
        <v>9601.2395558122898</v>
      </c>
      <c r="E120">
        <f>(3/(1+('CurrentPor-LH=60 unchanged'!C120+'CurrentPor-LH=60 unchanged'!I120)/100)+103/POWER(1+('CurrentPor-LH=60 unchanged'!D120+'CurrentPor-LH=60 unchanged'!I120)/100,2))*100</f>
        <v>9581.4547115644182</v>
      </c>
      <c r="F120">
        <f>Portfolio!B$5*'CurrentPor-LH=60 unchanged'!E120</f>
        <v>52143.895533915893</v>
      </c>
      <c r="G120">
        <f>Portfolio!B$6*'CurrentPor-LH=60 unchanged'!F120</f>
        <v>3696.2945087936532</v>
      </c>
      <c r="H120">
        <f>Portfolio!B$7*'CurrentPor-LH=60 unchanged'!J120</f>
        <v>2148.0998964419859</v>
      </c>
      <c r="I120">
        <f t="shared" si="2"/>
        <v>96493.537342205425</v>
      </c>
      <c r="J120">
        <f t="shared" si="3"/>
        <v>0</v>
      </c>
    </row>
    <row r="121" spans="1:10">
      <c r="A121" s="1">
        <v>45638</v>
      </c>
      <c r="B121">
        <f>(3/(1+('CurrentPor-LH=60 unchanged'!C121)/100)+103/POWER(1+('CurrentPor-LH=60 unchanged'!D121)/100,2))*100</f>
        <v>9707.5857774288397</v>
      </c>
      <c r="C121">
        <f>(3/(1+('CurrentPor-LH=60 unchanged'!C121+'CurrentPor-LH=60 unchanged'!G121)/100)+103/POWER(1+('CurrentPor-LH=60 unchanged'!D121+'CurrentPor-LH=60 unchanged'!G121)/100,2))*100</f>
        <v>9614.9673582483465</v>
      </c>
      <c r="D121">
        <f>(3/(1+('CurrentPor-LH=60 unchanged'!C121+'CurrentPor-LH=60 unchanged'!H121)/100)+103/POWER(1+('CurrentPor-LH=60 unchanged'!D121+'CurrentPor-LH=60 unchanged'!H121)/100,2))*100</f>
        <v>9601.2395558122898</v>
      </c>
      <c r="E121">
        <f>(3/(1+('CurrentPor-LH=60 unchanged'!C121+'CurrentPor-LH=60 unchanged'!I121)/100)+103/POWER(1+('CurrentPor-LH=60 unchanged'!D121+'CurrentPor-LH=60 unchanged'!I121)/100,2))*100</f>
        <v>9581.4547115644182</v>
      </c>
      <c r="F121">
        <f>Portfolio!B$5*'CurrentPor-LH=60 unchanged'!E121</f>
        <v>52143.895533915893</v>
      </c>
      <c r="G121">
        <f>Portfolio!B$6*'CurrentPor-LH=60 unchanged'!F121</f>
        <v>3696.2945087936532</v>
      </c>
      <c r="H121">
        <f>Portfolio!B$7*'CurrentPor-LH=60 unchanged'!J121</f>
        <v>2148.0998964419859</v>
      </c>
      <c r="I121">
        <f t="shared" si="2"/>
        <v>96493.537342205425</v>
      </c>
      <c r="J121">
        <f t="shared" si="3"/>
        <v>0</v>
      </c>
    </row>
    <row r="122" spans="1:10">
      <c r="A122" s="1">
        <v>45639</v>
      </c>
      <c r="B122">
        <f>(3/(1+('CurrentPor-LH=60 unchanged'!C122)/100)+103/POWER(1+('CurrentPor-LH=60 unchanged'!D122)/100,2))*100</f>
        <v>9707.5857774288397</v>
      </c>
      <c r="C122">
        <f>(3/(1+('CurrentPor-LH=60 unchanged'!C122+'CurrentPor-LH=60 unchanged'!G122)/100)+103/POWER(1+('CurrentPor-LH=60 unchanged'!D122+'CurrentPor-LH=60 unchanged'!G122)/100,2))*100</f>
        <v>9614.9673582483465</v>
      </c>
      <c r="D122">
        <f>(3/(1+('CurrentPor-LH=60 unchanged'!C122+'CurrentPor-LH=60 unchanged'!H122)/100)+103/POWER(1+('CurrentPor-LH=60 unchanged'!D122+'CurrentPor-LH=60 unchanged'!H122)/100,2))*100</f>
        <v>9601.2395558122898</v>
      </c>
      <c r="E122">
        <f>(3/(1+('CurrentPor-LH=60 unchanged'!C122+'CurrentPor-LH=60 unchanged'!I122)/100)+103/POWER(1+('CurrentPor-LH=60 unchanged'!D122+'CurrentPor-LH=60 unchanged'!I122)/100,2))*100</f>
        <v>9581.4547115644182</v>
      </c>
      <c r="F122">
        <f>Portfolio!B$5*'CurrentPor-LH=60 unchanged'!E122</f>
        <v>52143.895533915893</v>
      </c>
      <c r="G122">
        <f>Portfolio!B$6*'CurrentPor-LH=60 unchanged'!F122</f>
        <v>3696.2945087936532</v>
      </c>
      <c r="H122">
        <f>Portfolio!B$7*'CurrentPor-LH=60 unchanged'!J122</f>
        <v>2148.0998964419859</v>
      </c>
      <c r="I122">
        <f t="shared" si="2"/>
        <v>96493.537342205425</v>
      </c>
      <c r="J122">
        <f t="shared" si="3"/>
        <v>0</v>
      </c>
    </row>
    <row r="123" spans="1:10">
      <c r="A123" s="1">
        <v>45642</v>
      </c>
      <c r="B123">
        <f>(3/(1+('CurrentPor-LH=60 unchanged'!C123)/100)+103/POWER(1+('CurrentPor-LH=60 unchanged'!D123)/100,2))*100</f>
        <v>9707.5857774288397</v>
      </c>
      <c r="C123">
        <f>(3/(1+('CurrentPor-LH=60 unchanged'!C123+'CurrentPor-LH=60 unchanged'!G123)/100)+103/POWER(1+('CurrentPor-LH=60 unchanged'!D123+'CurrentPor-LH=60 unchanged'!G123)/100,2))*100</f>
        <v>9614.9673582483465</v>
      </c>
      <c r="D123">
        <f>(3/(1+('CurrentPor-LH=60 unchanged'!C123+'CurrentPor-LH=60 unchanged'!H123)/100)+103/POWER(1+('CurrentPor-LH=60 unchanged'!D123+'CurrentPor-LH=60 unchanged'!H123)/100,2))*100</f>
        <v>9601.2395558122898</v>
      </c>
      <c r="E123">
        <f>(3/(1+('CurrentPor-LH=60 unchanged'!C123+'CurrentPor-LH=60 unchanged'!I123)/100)+103/POWER(1+('CurrentPor-LH=60 unchanged'!D123+'CurrentPor-LH=60 unchanged'!I123)/100,2))*100</f>
        <v>9581.4547115644182</v>
      </c>
      <c r="F123">
        <f>Portfolio!B$5*'CurrentPor-LH=60 unchanged'!E123</f>
        <v>52143.895533915893</v>
      </c>
      <c r="G123">
        <f>Portfolio!B$6*'CurrentPor-LH=60 unchanged'!F123</f>
        <v>3696.2945087936532</v>
      </c>
      <c r="H123">
        <f>Portfolio!B$7*'CurrentPor-LH=60 unchanged'!J123</f>
        <v>2148.0998964419859</v>
      </c>
      <c r="I123">
        <f t="shared" si="2"/>
        <v>96493.537342205425</v>
      </c>
      <c r="J123">
        <f t="shared" si="3"/>
        <v>0</v>
      </c>
    </row>
    <row r="124" spans="1:10">
      <c r="A124" s="1">
        <v>45643</v>
      </c>
      <c r="B124">
        <f>(3/(1+('CurrentPor-LH=60 unchanged'!C124)/100)+103/POWER(1+('CurrentPor-LH=60 unchanged'!D124)/100,2))*100</f>
        <v>9707.5857774288397</v>
      </c>
      <c r="C124">
        <f>(3/(1+('CurrentPor-LH=60 unchanged'!C124+'CurrentPor-LH=60 unchanged'!G124)/100)+103/POWER(1+('CurrentPor-LH=60 unchanged'!D124+'CurrentPor-LH=60 unchanged'!G124)/100,2))*100</f>
        <v>9614.9673582483465</v>
      </c>
      <c r="D124">
        <f>(3/(1+('CurrentPor-LH=60 unchanged'!C124+'CurrentPor-LH=60 unchanged'!H124)/100)+103/POWER(1+('CurrentPor-LH=60 unchanged'!D124+'CurrentPor-LH=60 unchanged'!H124)/100,2))*100</f>
        <v>9601.2395558122898</v>
      </c>
      <c r="E124">
        <f>(3/(1+('CurrentPor-LH=60 unchanged'!C124+'CurrentPor-LH=60 unchanged'!I124)/100)+103/POWER(1+('CurrentPor-LH=60 unchanged'!D124+'CurrentPor-LH=60 unchanged'!I124)/100,2))*100</f>
        <v>9581.4547115644182</v>
      </c>
      <c r="F124">
        <f>Portfolio!B$5*'CurrentPor-LH=60 unchanged'!E124</f>
        <v>52143.895533915893</v>
      </c>
      <c r="G124">
        <f>Portfolio!B$6*'CurrentPor-LH=60 unchanged'!F124</f>
        <v>3696.2945087936532</v>
      </c>
      <c r="H124">
        <f>Portfolio!B$7*'CurrentPor-LH=60 unchanged'!J124</f>
        <v>2148.0998964419859</v>
      </c>
      <c r="I124">
        <f t="shared" si="2"/>
        <v>96493.537342205425</v>
      </c>
      <c r="J124">
        <f t="shared" si="3"/>
        <v>0</v>
      </c>
    </row>
    <row r="125" spans="1:10">
      <c r="A125" s="1">
        <v>45644</v>
      </c>
      <c r="B125">
        <f>(3/(1+('CurrentPor-LH=60 unchanged'!C125)/100)+103/POWER(1+('CurrentPor-LH=60 unchanged'!D125)/100,2))*100</f>
        <v>9707.5857774288397</v>
      </c>
      <c r="C125">
        <f>(3/(1+('CurrentPor-LH=60 unchanged'!C125+'CurrentPor-LH=60 unchanged'!G125)/100)+103/POWER(1+('CurrentPor-LH=60 unchanged'!D125+'CurrentPor-LH=60 unchanged'!G125)/100,2))*100</f>
        <v>9614.9673582483465</v>
      </c>
      <c r="D125">
        <f>(3/(1+('CurrentPor-LH=60 unchanged'!C125+'CurrentPor-LH=60 unchanged'!H125)/100)+103/POWER(1+('CurrentPor-LH=60 unchanged'!D125+'CurrentPor-LH=60 unchanged'!H125)/100,2))*100</f>
        <v>9601.2395558122898</v>
      </c>
      <c r="E125">
        <f>(3/(1+('CurrentPor-LH=60 unchanged'!C125+'CurrentPor-LH=60 unchanged'!I125)/100)+103/POWER(1+('CurrentPor-LH=60 unchanged'!D125+'CurrentPor-LH=60 unchanged'!I125)/100,2))*100</f>
        <v>9581.4547115644182</v>
      </c>
      <c r="F125">
        <f>Portfolio!B$5*'CurrentPor-LH=60 unchanged'!E125</f>
        <v>52143.895533915893</v>
      </c>
      <c r="G125">
        <f>Portfolio!B$6*'CurrentPor-LH=60 unchanged'!F125</f>
        <v>3696.2945087936532</v>
      </c>
      <c r="H125">
        <f>Portfolio!B$7*'CurrentPor-LH=60 unchanged'!J125</f>
        <v>2148.0998964419859</v>
      </c>
      <c r="I125">
        <f t="shared" si="2"/>
        <v>96493.537342205425</v>
      </c>
      <c r="J125">
        <f t="shared" si="3"/>
        <v>0</v>
      </c>
    </row>
    <row r="126" spans="1:10">
      <c r="A126" s="1">
        <v>45645</v>
      </c>
      <c r="B126">
        <f>(3/(1+('CurrentPor-LH=60 unchanged'!C126)/100)+103/POWER(1+('CurrentPor-LH=60 unchanged'!D126)/100,2))*100</f>
        <v>9707.5857774288397</v>
      </c>
      <c r="C126">
        <f>(3/(1+('CurrentPor-LH=60 unchanged'!C126+'CurrentPor-LH=60 unchanged'!G126)/100)+103/POWER(1+('CurrentPor-LH=60 unchanged'!D126+'CurrentPor-LH=60 unchanged'!G126)/100,2))*100</f>
        <v>9614.9673582483465</v>
      </c>
      <c r="D126">
        <f>(3/(1+('CurrentPor-LH=60 unchanged'!C126+'CurrentPor-LH=60 unchanged'!H126)/100)+103/POWER(1+('CurrentPor-LH=60 unchanged'!D126+'CurrentPor-LH=60 unchanged'!H126)/100,2))*100</f>
        <v>9601.2395558122898</v>
      </c>
      <c r="E126">
        <f>(3/(1+('CurrentPor-LH=60 unchanged'!C126+'CurrentPor-LH=60 unchanged'!I126)/100)+103/POWER(1+('CurrentPor-LH=60 unchanged'!D126+'CurrentPor-LH=60 unchanged'!I126)/100,2))*100</f>
        <v>9581.4547115644182</v>
      </c>
      <c r="F126">
        <f>Portfolio!B$5*'CurrentPor-LH=60 unchanged'!E126</f>
        <v>52143.895533915893</v>
      </c>
      <c r="G126">
        <f>Portfolio!B$6*'CurrentPor-LH=60 unchanged'!F126</f>
        <v>3696.2945087936532</v>
      </c>
      <c r="H126">
        <f>Portfolio!B$7*'CurrentPor-LH=60 unchanged'!J126</f>
        <v>2148.0998964419859</v>
      </c>
      <c r="I126">
        <f t="shared" si="2"/>
        <v>96493.537342205425</v>
      </c>
      <c r="J126">
        <f t="shared" si="3"/>
        <v>0</v>
      </c>
    </row>
    <row r="127" spans="1:10">
      <c r="A127" s="1">
        <v>45646</v>
      </c>
      <c r="B127">
        <f>(3/(1+('CurrentPor-LH=60 unchanged'!C127)/100)+103/POWER(1+('CurrentPor-LH=60 unchanged'!D127)/100,2))*100</f>
        <v>9707.5857774288397</v>
      </c>
      <c r="C127">
        <f>(3/(1+('CurrentPor-LH=60 unchanged'!C127+'CurrentPor-LH=60 unchanged'!G127)/100)+103/POWER(1+('CurrentPor-LH=60 unchanged'!D127+'CurrentPor-LH=60 unchanged'!G127)/100,2))*100</f>
        <v>9614.9673582483465</v>
      </c>
      <c r="D127">
        <f>(3/(1+('CurrentPor-LH=60 unchanged'!C127+'CurrentPor-LH=60 unchanged'!H127)/100)+103/POWER(1+('CurrentPor-LH=60 unchanged'!D127+'CurrentPor-LH=60 unchanged'!H127)/100,2))*100</f>
        <v>9601.2395558122898</v>
      </c>
      <c r="E127">
        <f>(3/(1+('CurrentPor-LH=60 unchanged'!C127+'CurrentPor-LH=60 unchanged'!I127)/100)+103/POWER(1+('CurrentPor-LH=60 unchanged'!D127+'CurrentPor-LH=60 unchanged'!I127)/100,2))*100</f>
        <v>9581.4547115644182</v>
      </c>
      <c r="F127">
        <f>Portfolio!B$5*'CurrentPor-LH=60 unchanged'!E127</f>
        <v>52143.895533915893</v>
      </c>
      <c r="G127">
        <f>Portfolio!B$6*'CurrentPor-LH=60 unchanged'!F127</f>
        <v>3696.2945087936532</v>
      </c>
      <c r="H127">
        <f>Portfolio!B$7*'CurrentPor-LH=60 unchanged'!J127</f>
        <v>2148.0998964419859</v>
      </c>
      <c r="I127">
        <f t="shared" si="2"/>
        <v>96493.537342205425</v>
      </c>
      <c r="J127">
        <f t="shared" si="3"/>
        <v>0</v>
      </c>
    </row>
    <row r="128" spans="1:10">
      <c r="A128" s="1">
        <v>45649</v>
      </c>
      <c r="B128">
        <f>(3/(1+('CurrentPor-LH=60 unchanged'!C128)/100)+103/POWER(1+('CurrentPor-LH=60 unchanged'!D128)/100,2))*100</f>
        <v>9707.5857774288397</v>
      </c>
      <c r="C128">
        <f>(3/(1+('CurrentPor-LH=60 unchanged'!C128+'CurrentPor-LH=60 unchanged'!G128)/100)+103/POWER(1+('CurrentPor-LH=60 unchanged'!D128+'CurrentPor-LH=60 unchanged'!G128)/100,2))*100</f>
        <v>9614.9673582483465</v>
      </c>
      <c r="D128">
        <f>(3/(1+('CurrentPor-LH=60 unchanged'!C128+'CurrentPor-LH=60 unchanged'!H128)/100)+103/POWER(1+('CurrentPor-LH=60 unchanged'!D128+'CurrentPor-LH=60 unchanged'!H128)/100,2))*100</f>
        <v>9601.2395558122898</v>
      </c>
      <c r="E128">
        <f>(3/(1+('CurrentPor-LH=60 unchanged'!C128+'CurrentPor-LH=60 unchanged'!I128)/100)+103/POWER(1+('CurrentPor-LH=60 unchanged'!D128+'CurrentPor-LH=60 unchanged'!I128)/100,2))*100</f>
        <v>9581.4547115644182</v>
      </c>
      <c r="F128">
        <f>Portfolio!B$5*'CurrentPor-LH=60 unchanged'!E128</f>
        <v>52143.895533915893</v>
      </c>
      <c r="G128">
        <f>Portfolio!B$6*'CurrentPor-LH=60 unchanged'!F128</f>
        <v>3696.2945087936532</v>
      </c>
      <c r="H128">
        <f>Portfolio!B$7*'CurrentPor-LH=60 unchanged'!J128</f>
        <v>2148.0998964419859</v>
      </c>
      <c r="I128">
        <f t="shared" si="2"/>
        <v>96493.537342205425</v>
      </c>
      <c r="J128">
        <f t="shared" si="3"/>
        <v>0</v>
      </c>
    </row>
    <row r="129" spans="1:10">
      <c r="A129" s="1">
        <v>45650</v>
      </c>
      <c r="B129">
        <f>(3/(1+('CurrentPor-LH=60 unchanged'!C129)/100)+103/POWER(1+('CurrentPor-LH=60 unchanged'!D129)/100,2))*100</f>
        <v>9707.5857774288397</v>
      </c>
      <c r="C129">
        <f>(3/(1+('CurrentPor-LH=60 unchanged'!C129+'CurrentPor-LH=60 unchanged'!G129)/100)+103/POWER(1+('CurrentPor-LH=60 unchanged'!D129+'CurrentPor-LH=60 unchanged'!G129)/100,2))*100</f>
        <v>9614.9673582483465</v>
      </c>
      <c r="D129">
        <f>(3/(1+('CurrentPor-LH=60 unchanged'!C129+'CurrentPor-LH=60 unchanged'!H129)/100)+103/POWER(1+('CurrentPor-LH=60 unchanged'!D129+'CurrentPor-LH=60 unchanged'!H129)/100,2))*100</f>
        <v>9601.2395558122898</v>
      </c>
      <c r="E129">
        <f>(3/(1+('CurrentPor-LH=60 unchanged'!C129+'CurrentPor-LH=60 unchanged'!I129)/100)+103/POWER(1+('CurrentPor-LH=60 unchanged'!D129+'CurrentPor-LH=60 unchanged'!I129)/100,2))*100</f>
        <v>9581.4547115644182</v>
      </c>
      <c r="F129">
        <f>Portfolio!B$5*'CurrentPor-LH=60 unchanged'!E129</f>
        <v>52143.895533915893</v>
      </c>
      <c r="G129">
        <f>Portfolio!B$6*'CurrentPor-LH=60 unchanged'!F129</f>
        <v>3696.2945087936532</v>
      </c>
      <c r="H129">
        <f>Portfolio!B$7*'CurrentPor-LH=60 unchanged'!J129</f>
        <v>2148.0998964419859</v>
      </c>
      <c r="I129">
        <f t="shared" si="2"/>
        <v>96493.537342205425</v>
      </c>
      <c r="J129">
        <f t="shared" si="3"/>
        <v>0</v>
      </c>
    </row>
    <row r="130" spans="1:10">
      <c r="A130" s="1">
        <v>45651</v>
      </c>
      <c r="B130">
        <f>(3/(1+('CurrentPor-LH=60 unchanged'!C130)/100)+103/POWER(1+('CurrentPor-LH=60 unchanged'!D130)/100,2))*100</f>
        <v>9707.5857774288397</v>
      </c>
      <c r="C130">
        <f>(3/(1+('CurrentPor-LH=60 unchanged'!C130+'CurrentPor-LH=60 unchanged'!G130)/100)+103/POWER(1+('CurrentPor-LH=60 unchanged'!D130+'CurrentPor-LH=60 unchanged'!G130)/100,2))*100</f>
        <v>9614.9673582483465</v>
      </c>
      <c r="D130">
        <f>(3/(1+('CurrentPor-LH=60 unchanged'!C130+'CurrentPor-LH=60 unchanged'!H130)/100)+103/POWER(1+('CurrentPor-LH=60 unchanged'!D130+'CurrentPor-LH=60 unchanged'!H130)/100,2))*100</f>
        <v>9601.2395558122898</v>
      </c>
      <c r="E130">
        <f>(3/(1+('CurrentPor-LH=60 unchanged'!C130+'CurrentPor-LH=60 unchanged'!I130)/100)+103/POWER(1+('CurrentPor-LH=60 unchanged'!D130+'CurrentPor-LH=60 unchanged'!I130)/100,2))*100</f>
        <v>9581.4547115644182</v>
      </c>
      <c r="F130">
        <f>Portfolio!B$5*'CurrentPor-LH=60 unchanged'!E130</f>
        <v>52143.895533915893</v>
      </c>
      <c r="G130">
        <f>Portfolio!B$6*'CurrentPor-LH=60 unchanged'!F130</f>
        <v>3696.2945087936532</v>
      </c>
      <c r="H130">
        <f>Portfolio!B$7*'CurrentPor-LH=60 unchanged'!J130</f>
        <v>2148.0998964419859</v>
      </c>
      <c r="I130">
        <f t="shared" si="2"/>
        <v>96493.537342205425</v>
      </c>
      <c r="J130">
        <f t="shared" si="3"/>
        <v>0</v>
      </c>
    </row>
    <row r="131" spans="1:10">
      <c r="A131" s="1">
        <v>45652</v>
      </c>
      <c r="B131">
        <f>(3/(1+('CurrentPor-LH=60 unchanged'!C131)/100)+103/POWER(1+('CurrentPor-LH=60 unchanged'!D131)/100,2))*100</f>
        <v>9707.5857774288397</v>
      </c>
      <c r="C131">
        <f>(3/(1+('CurrentPor-LH=60 unchanged'!C131+'CurrentPor-LH=60 unchanged'!G131)/100)+103/POWER(1+('CurrentPor-LH=60 unchanged'!D131+'CurrentPor-LH=60 unchanged'!G131)/100,2))*100</f>
        <v>9614.9673582483465</v>
      </c>
      <c r="D131">
        <f>(3/(1+('CurrentPor-LH=60 unchanged'!C131+'CurrentPor-LH=60 unchanged'!H131)/100)+103/POWER(1+('CurrentPor-LH=60 unchanged'!D131+'CurrentPor-LH=60 unchanged'!H131)/100,2))*100</f>
        <v>9601.2395558122898</v>
      </c>
      <c r="E131">
        <f>(3/(1+('CurrentPor-LH=60 unchanged'!C131+'CurrentPor-LH=60 unchanged'!I131)/100)+103/POWER(1+('CurrentPor-LH=60 unchanged'!D131+'CurrentPor-LH=60 unchanged'!I131)/100,2))*100</f>
        <v>9581.4547115644182</v>
      </c>
      <c r="F131">
        <f>Portfolio!B$5*'CurrentPor-LH=60 unchanged'!E131</f>
        <v>52143.895533915893</v>
      </c>
      <c r="G131">
        <f>Portfolio!B$6*'CurrentPor-LH=60 unchanged'!F131</f>
        <v>3696.2945087936532</v>
      </c>
      <c r="H131">
        <f>Portfolio!B$7*'CurrentPor-LH=60 unchanged'!J131</f>
        <v>2148.0998964419859</v>
      </c>
      <c r="I131">
        <f t="shared" si="2"/>
        <v>96493.537342205425</v>
      </c>
      <c r="J131">
        <f t="shared" si="3"/>
        <v>0</v>
      </c>
    </row>
    <row r="132" spans="1:10">
      <c r="A132" s="1">
        <v>45653</v>
      </c>
      <c r="B132">
        <f>(3/(1+('CurrentPor-LH=60 unchanged'!C132)/100)+103/POWER(1+('CurrentPor-LH=60 unchanged'!D132)/100,2))*100</f>
        <v>9707.5857774288397</v>
      </c>
      <c r="C132">
        <f>(3/(1+('CurrentPor-LH=60 unchanged'!C132+'CurrentPor-LH=60 unchanged'!G132)/100)+103/POWER(1+('CurrentPor-LH=60 unchanged'!D132+'CurrentPor-LH=60 unchanged'!G132)/100,2))*100</f>
        <v>9614.9673582483465</v>
      </c>
      <c r="D132">
        <f>(3/(1+('CurrentPor-LH=60 unchanged'!C132+'CurrentPor-LH=60 unchanged'!H132)/100)+103/POWER(1+('CurrentPor-LH=60 unchanged'!D132+'CurrentPor-LH=60 unchanged'!H132)/100,2))*100</f>
        <v>9601.2395558122898</v>
      </c>
      <c r="E132">
        <f>(3/(1+('CurrentPor-LH=60 unchanged'!C132+'CurrentPor-LH=60 unchanged'!I132)/100)+103/POWER(1+('CurrentPor-LH=60 unchanged'!D132+'CurrentPor-LH=60 unchanged'!I132)/100,2))*100</f>
        <v>9581.4547115644182</v>
      </c>
      <c r="F132">
        <f>Portfolio!B$5*'CurrentPor-LH=60 unchanged'!E132</f>
        <v>52143.895533915893</v>
      </c>
      <c r="G132">
        <f>Portfolio!B$6*'CurrentPor-LH=60 unchanged'!F132</f>
        <v>3696.2945087936532</v>
      </c>
      <c r="H132">
        <f>Portfolio!B$7*'CurrentPor-LH=60 unchanged'!J132</f>
        <v>2148.0998964419859</v>
      </c>
      <c r="I132">
        <f t="shared" ref="I132:I195" si="4">SUM(B132:H132)</f>
        <v>96493.537342205425</v>
      </c>
      <c r="J132">
        <f t="shared" si="3"/>
        <v>0</v>
      </c>
    </row>
    <row r="133" spans="1:10">
      <c r="A133" s="1">
        <v>45656</v>
      </c>
      <c r="B133">
        <f>(3/(1+('CurrentPor-LH=60 unchanged'!C133)/100)+103/POWER(1+('CurrentPor-LH=60 unchanged'!D133)/100,2))*100</f>
        <v>9707.5857774288397</v>
      </c>
      <c r="C133">
        <f>(3/(1+('CurrentPor-LH=60 unchanged'!C133+'CurrentPor-LH=60 unchanged'!G133)/100)+103/POWER(1+('CurrentPor-LH=60 unchanged'!D133+'CurrentPor-LH=60 unchanged'!G133)/100,2))*100</f>
        <v>9614.9673582483465</v>
      </c>
      <c r="D133">
        <f>(3/(1+('CurrentPor-LH=60 unchanged'!C133+'CurrentPor-LH=60 unchanged'!H133)/100)+103/POWER(1+('CurrentPor-LH=60 unchanged'!D133+'CurrentPor-LH=60 unchanged'!H133)/100,2))*100</f>
        <v>9601.2395558122898</v>
      </c>
      <c r="E133">
        <f>(3/(1+('CurrentPor-LH=60 unchanged'!C133+'CurrentPor-LH=60 unchanged'!I133)/100)+103/POWER(1+('CurrentPor-LH=60 unchanged'!D133+'CurrentPor-LH=60 unchanged'!I133)/100,2))*100</f>
        <v>9581.4547115644182</v>
      </c>
      <c r="F133">
        <f>Portfolio!B$5*'CurrentPor-LH=60 unchanged'!E133</f>
        <v>52143.895533915893</v>
      </c>
      <c r="G133">
        <f>Portfolio!B$6*'CurrentPor-LH=60 unchanged'!F133</f>
        <v>3696.2945087936532</v>
      </c>
      <c r="H133">
        <f>Portfolio!B$7*'CurrentPor-LH=60 unchanged'!J133</f>
        <v>2148.0998964419859</v>
      </c>
      <c r="I133">
        <f t="shared" si="4"/>
        <v>96493.537342205425</v>
      </c>
      <c r="J133">
        <f t="shared" si="3"/>
        <v>0</v>
      </c>
    </row>
    <row r="134" spans="1:10">
      <c r="A134" s="1">
        <v>45657</v>
      </c>
      <c r="B134">
        <f>(3/(1+('CurrentPor-LH=60 unchanged'!C134)/100)+103/POWER(1+('CurrentPor-LH=60 unchanged'!D134)/100,2))*100</f>
        <v>9707.5857774288397</v>
      </c>
      <c r="C134">
        <f>(3/(1+('CurrentPor-LH=60 unchanged'!C134+'CurrentPor-LH=60 unchanged'!G134)/100)+103/POWER(1+('CurrentPor-LH=60 unchanged'!D134+'CurrentPor-LH=60 unchanged'!G134)/100,2))*100</f>
        <v>9614.9673582483465</v>
      </c>
      <c r="D134">
        <f>(3/(1+('CurrentPor-LH=60 unchanged'!C134+'CurrentPor-LH=60 unchanged'!H134)/100)+103/POWER(1+('CurrentPor-LH=60 unchanged'!D134+'CurrentPor-LH=60 unchanged'!H134)/100,2))*100</f>
        <v>9601.2395558122898</v>
      </c>
      <c r="E134">
        <f>(3/(1+('CurrentPor-LH=60 unchanged'!C134+'CurrentPor-LH=60 unchanged'!I134)/100)+103/POWER(1+('CurrentPor-LH=60 unchanged'!D134+'CurrentPor-LH=60 unchanged'!I134)/100,2))*100</f>
        <v>9581.4547115644182</v>
      </c>
      <c r="F134">
        <f>Portfolio!B$5*'CurrentPor-LH=60 unchanged'!E134</f>
        <v>52143.895533915893</v>
      </c>
      <c r="G134">
        <f>Portfolio!B$6*'CurrentPor-LH=60 unchanged'!F134</f>
        <v>3696.2945087936532</v>
      </c>
      <c r="H134">
        <f>Portfolio!B$7*'CurrentPor-LH=60 unchanged'!J134</f>
        <v>2148.0998964419859</v>
      </c>
      <c r="I134">
        <f t="shared" si="4"/>
        <v>96493.537342205425</v>
      </c>
      <c r="J134">
        <f t="shared" si="3"/>
        <v>0</v>
      </c>
    </row>
    <row r="135" spans="1:10">
      <c r="A135" s="1">
        <v>45658</v>
      </c>
      <c r="B135">
        <f>(3/(1+('CurrentPor-LH=60 unchanged'!C135)/100)+103/POWER(1+('CurrentPor-LH=60 unchanged'!D135)/100,2))*100</f>
        <v>9707.5857774288397</v>
      </c>
      <c r="C135">
        <f>(3/(1+('CurrentPor-LH=60 unchanged'!C135+'CurrentPor-LH=60 unchanged'!G135)/100)+103/POWER(1+('CurrentPor-LH=60 unchanged'!D135+'CurrentPor-LH=60 unchanged'!G135)/100,2))*100</f>
        <v>9614.9673582483465</v>
      </c>
      <c r="D135">
        <f>(3/(1+('CurrentPor-LH=60 unchanged'!C135+'CurrentPor-LH=60 unchanged'!H135)/100)+103/POWER(1+('CurrentPor-LH=60 unchanged'!D135+'CurrentPor-LH=60 unchanged'!H135)/100,2))*100</f>
        <v>9601.2395558122898</v>
      </c>
      <c r="E135">
        <f>(3/(1+('CurrentPor-LH=60 unchanged'!C135+'CurrentPor-LH=60 unchanged'!I135)/100)+103/POWER(1+('CurrentPor-LH=60 unchanged'!D135+'CurrentPor-LH=60 unchanged'!I135)/100,2))*100</f>
        <v>9581.4547115644182</v>
      </c>
      <c r="F135">
        <f>Portfolio!B$5*'CurrentPor-LH=60 unchanged'!E135</f>
        <v>52143.895533915893</v>
      </c>
      <c r="G135">
        <f>Portfolio!B$6*'CurrentPor-LH=60 unchanged'!F135</f>
        <v>3696.2945087936532</v>
      </c>
      <c r="H135">
        <f>Portfolio!B$7*'CurrentPor-LH=60 unchanged'!J135</f>
        <v>2148.0998964419859</v>
      </c>
      <c r="I135">
        <f t="shared" si="4"/>
        <v>96493.537342205425</v>
      </c>
      <c r="J135">
        <f t="shared" si="3"/>
        <v>0</v>
      </c>
    </row>
    <row r="136" spans="1:10">
      <c r="A136" s="1">
        <v>45659</v>
      </c>
      <c r="B136">
        <f>(3/(1+('CurrentPor-LH=60 unchanged'!C136)/100)+103/POWER(1+('CurrentPor-LH=60 unchanged'!D136)/100,2))*100</f>
        <v>9707.5857774288397</v>
      </c>
      <c r="C136">
        <f>(3/(1+('CurrentPor-LH=60 unchanged'!C136+'CurrentPor-LH=60 unchanged'!G136)/100)+103/POWER(1+('CurrentPor-LH=60 unchanged'!D136+'CurrentPor-LH=60 unchanged'!G136)/100,2))*100</f>
        <v>9614.9673582483465</v>
      </c>
      <c r="D136">
        <f>(3/(1+('CurrentPor-LH=60 unchanged'!C136+'CurrentPor-LH=60 unchanged'!H136)/100)+103/POWER(1+('CurrentPor-LH=60 unchanged'!D136+'CurrentPor-LH=60 unchanged'!H136)/100,2))*100</f>
        <v>9601.2395558122898</v>
      </c>
      <c r="E136">
        <f>(3/(1+('CurrentPor-LH=60 unchanged'!C136+'CurrentPor-LH=60 unchanged'!I136)/100)+103/POWER(1+('CurrentPor-LH=60 unchanged'!D136+'CurrentPor-LH=60 unchanged'!I136)/100,2))*100</f>
        <v>9581.4547115644182</v>
      </c>
      <c r="F136">
        <f>Portfolio!B$5*'CurrentPor-LH=60 unchanged'!E136</f>
        <v>52143.895533915893</v>
      </c>
      <c r="G136">
        <f>Portfolio!B$6*'CurrentPor-LH=60 unchanged'!F136</f>
        <v>3696.2945087936532</v>
      </c>
      <c r="H136">
        <f>Portfolio!B$7*'CurrentPor-LH=60 unchanged'!J136</f>
        <v>2148.0998964419859</v>
      </c>
      <c r="I136">
        <f t="shared" si="4"/>
        <v>96493.537342205425</v>
      </c>
      <c r="J136">
        <f t="shared" si="3"/>
        <v>0</v>
      </c>
    </row>
    <row r="137" spans="1:10">
      <c r="A137" s="1">
        <v>45660</v>
      </c>
      <c r="B137">
        <f>(3/(1+('CurrentPor-LH=60 unchanged'!C137)/100)+103/POWER(1+('CurrentPor-LH=60 unchanged'!D137)/100,2))*100</f>
        <v>9707.5857774288397</v>
      </c>
      <c r="C137">
        <f>(3/(1+('CurrentPor-LH=60 unchanged'!C137+'CurrentPor-LH=60 unchanged'!G137)/100)+103/POWER(1+('CurrentPor-LH=60 unchanged'!D137+'CurrentPor-LH=60 unchanged'!G137)/100,2))*100</f>
        <v>9614.9673582483465</v>
      </c>
      <c r="D137">
        <f>(3/(1+('CurrentPor-LH=60 unchanged'!C137+'CurrentPor-LH=60 unchanged'!H137)/100)+103/POWER(1+('CurrentPor-LH=60 unchanged'!D137+'CurrentPor-LH=60 unchanged'!H137)/100,2))*100</f>
        <v>9601.2395558122898</v>
      </c>
      <c r="E137">
        <f>(3/(1+('CurrentPor-LH=60 unchanged'!C137+'CurrentPor-LH=60 unchanged'!I137)/100)+103/POWER(1+('CurrentPor-LH=60 unchanged'!D137+'CurrentPor-LH=60 unchanged'!I137)/100,2))*100</f>
        <v>9581.4547115644182</v>
      </c>
      <c r="F137">
        <f>Portfolio!B$5*'CurrentPor-LH=60 unchanged'!E137</f>
        <v>52143.895533915893</v>
      </c>
      <c r="G137">
        <f>Portfolio!B$6*'CurrentPor-LH=60 unchanged'!F137</f>
        <v>3696.2945087936532</v>
      </c>
      <c r="H137">
        <f>Portfolio!B$7*'CurrentPor-LH=60 unchanged'!J137</f>
        <v>2148.0998964419859</v>
      </c>
      <c r="I137">
        <f t="shared" si="4"/>
        <v>96493.537342205425</v>
      </c>
      <c r="J137">
        <f t="shared" si="3"/>
        <v>0</v>
      </c>
    </row>
    <row r="138" spans="1:10">
      <c r="A138" s="1">
        <v>45663</v>
      </c>
      <c r="B138">
        <f>(3/(1+('CurrentPor-LH=60 unchanged'!C138)/100)+103/POWER(1+('CurrentPor-LH=60 unchanged'!D138)/100,2))*100</f>
        <v>9707.5857774288397</v>
      </c>
      <c r="C138">
        <f>(3/(1+('CurrentPor-LH=60 unchanged'!C138+'CurrentPor-LH=60 unchanged'!G138)/100)+103/POWER(1+('CurrentPor-LH=60 unchanged'!D138+'CurrentPor-LH=60 unchanged'!G138)/100,2))*100</f>
        <v>9614.9673582483465</v>
      </c>
      <c r="D138">
        <f>(3/(1+('CurrentPor-LH=60 unchanged'!C138+'CurrentPor-LH=60 unchanged'!H138)/100)+103/POWER(1+('CurrentPor-LH=60 unchanged'!D138+'CurrentPor-LH=60 unchanged'!H138)/100,2))*100</f>
        <v>9601.2395558122898</v>
      </c>
      <c r="E138">
        <f>(3/(1+('CurrentPor-LH=60 unchanged'!C138+'CurrentPor-LH=60 unchanged'!I138)/100)+103/POWER(1+('CurrentPor-LH=60 unchanged'!D138+'CurrentPor-LH=60 unchanged'!I138)/100,2))*100</f>
        <v>9581.4547115644182</v>
      </c>
      <c r="F138">
        <f>Portfolio!B$5*'CurrentPor-LH=60 unchanged'!E138</f>
        <v>52143.895533915893</v>
      </c>
      <c r="G138">
        <f>Portfolio!B$6*'CurrentPor-LH=60 unchanged'!F138</f>
        <v>3696.2945087936532</v>
      </c>
      <c r="H138">
        <f>Portfolio!B$7*'CurrentPor-LH=60 unchanged'!J138</f>
        <v>2148.0998964419859</v>
      </c>
      <c r="I138">
        <f t="shared" si="4"/>
        <v>96493.537342205425</v>
      </c>
      <c r="J138">
        <f t="shared" si="3"/>
        <v>0</v>
      </c>
    </row>
    <row r="139" spans="1:10">
      <c r="A139" s="1">
        <v>45664</v>
      </c>
      <c r="B139">
        <f>(3/(1+('CurrentPor-LH=60 unchanged'!C139)/100)+103/POWER(1+('CurrentPor-LH=60 unchanged'!D139)/100,2))*100</f>
        <v>9707.5857774288397</v>
      </c>
      <c r="C139">
        <f>(3/(1+('CurrentPor-LH=60 unchanged'!C139+'CurrentPor-LH=60 unchanged'!G139)/100)+103/POWER(1+('CurrentPor-LH=60 unchanged'!D139+'CurrentPor-LH=60 unchanged'!G139)/100,2))*100</f>
        <v>9614.9673582483465</v>
      </c>
      <c r="D139">
        <f>(3/(1+('CurrentPor-LH=60 unchanged'!C139+'CurrentPor-LH=60 unchanged'!H139)/100)+103/POWER(1+('CurrentPor-LH=60 unchanged'!D139+'CurrentPor-LH=60 unchanged'!H139)/100,2))*100</f>
        <v>9601.2395558122898</v>
      </c>
      <c r="E139">
        <f>(3/(1+('CurrentPor-LH=60 unchanged'!C139+'CurrentPor-LH=60 unchanged'!I139)/100)+103/POWER(1+('CurrentPor-LH=60 unchanged'!D139+'CurrentPor-LH=60 unchanged'!I139)/100,2))*100</f>
        <v>9581.4547115644182</v>
      </c>
      <c r="F139">
        <f>Portfolio!B$5*'CurrentPor-LH=60 unchanged'!E139</f>
        <v>52143.895533915893</v>
      </c>
      <c r="G139">
        <f>Portfolio!B$6*'CurrentPor-LH=60 unchanged'!F139</f>
        <v>3696.2945087936532</v>
      </c>
      <c r="H139">
        <f>Portfolio!B$7*'CurrentPor-LH=60 unchanged'!J139</f>
        <v>2148.0998964419859</v>
      </c>
      <c r="I139">
        <f t="shared" si="4"/>
        <v>96493.537342205425</v>
      </c>
      <c r="J139">
        <f t="shared" si="3"/>
        <v>0</v>
      </c>
    </row>
    <row r="140" spans="1:10">
      <c r="A140" s="1">
        <v>45665</v>
      </c>
      <c r="B140">
        <f>(3/(1+('CurrentPor-LH=60 unchanged'!C140)/100)+103/POWER(1+('CurrentPor-LH=60 unchanged'!D140)/100,2))*100</f>
        <v>9707.5857774288397</v>
      </c>
      <c r="C140">
        <f>(3/(1+('CurrentPor-LH=60 unchanged'!C140+'CurrentPor-LH=60 unchanged'!G140)/100)+103/POWER(1+('CurrentPor-LH=60 unchanged'!D140+'CurrentPor-LH=60 unchanged'!G140)/100,2))*100</f>
        <v>9614.9673582483465</v>
      </c>
      <c r="D140">
        <f>(3/(1+('CurrentPor-LH=60 unchanged'!C140+'CurrentPor-LH=60 unchanged'!H140)/100)+103/POWER(1+('CurrentPor-LH=60 unchanged'!D140+'CurrentPor-LH=60 unchanged'!H140)/100,2))*100</f>
        <v>9601.2395558122898</v>
      </c>
      <c r="E140">
        <f>(3/(1+('CurrentPor-LH=60 unchanged'!C140+'CurrentPor-LH=60 unchanged'!I140)/100)+103/POWER(1+('CurrentPor-LH=60 unchanged'!D140+'CurrentPor-LH=60 unchanged'!I140)/100,2))*100</f>
        <v>9581.4547115644182</v>
      </c>
      <c r="F140">
        <f>Portfolio!B$5*'CurrentPor-LH=60 unchanged'!E140</f>
        <v>52143.895533915893</v>
      </c>
      <c r="G140">
        <f>Portfolio!B$6*'CurrentPor-LH=60 unchanged'!F140</f>
        <v>3696.2945087936532</v>
      </c>
      <c r="H140">
        <f>Portfolio!B$7*'CurrentPor-LH=60 unchanged'!J140</f>
        <v>2148.0998964419859</v>
      </c>
      <c r="I140">
        <f t="shared" si="4"/>
        <v>96493.537342205425</v>
      </c>
      <c r="J140">
        <f t="shared" si="3"/>
        <v>0</v>
      </c>
    </row>
    <row r="141" spans="1:10">
      <c r="A141" s="1">
        <v>45666</v>
      </c>
      <c r="B141">
        <f>(3/(1+('CurrentPor-LH=60 unchanged'!C141)/100)+103/POWER(1+('CurrentPor-LH=60 unchanged'!D141)/100,2))*100</f>
        <v>9707.5857774288397</v>
      </c>
      <c r="C141">
        <f>(3/(1+('CurrentPor-LH=60 unchanged'!C141+'CurrentPor-LH=60 unchanged'!G141)/100)+103/POWER(1+('CurrentPor-LH=60 unchanged'!D141+'CurrentPor-LH=60 unchanged'!G141)/100,2))*100</f>
        <v>9614.9673582483465</v>
      </c>
      <c r="D141">
        <f>(3/(1+('CurrentPor-LH=60 unchanged'!C141+'CurrentPor-LH=60 unchanged'!H141)/100)+103/POWER(1+('CurrentPor-LH=60 unchanged'!D141+'CurrentPor-LH=60 unchanged'!H141)/100,2))*100</f>
        <v>9601.2395558122898</v>
      </c>
      <c r="E141">
        <f>(3/(1+('CurrentPor-LH=60 unchanged'!C141+'CurrentPor-LH=60 unchanged'!I141)/100)+103/POWER(1+('CurrentPor-LH=60 unchanged'!D141+'CurrentPor-LH=60 unchanged'!I141)/100,2))*100</f>
        <v>9581.4547115644182</v>
      </c>
      <c r="F141">
        <f>Portfolio!B$5*'CurrentPor-LH=60 unchanged'!E141</f>
        <v>52143.895533915893</v>
      </c>
      <c r="G141">
        <f>Portfolio!B$6*'CurrentPor-LH=60 unchanged'!F141</f>
        <v>3696.2945087936532</v>
      </c>
      <c r="H141">
        <f>Portfolio!B$7*'CurrentPor-LH=60 unchanged'!J141</f>
        <v>2148.0998964419859</v>
      </c>
      <c r="I141">
        <f t="shared" si="4"/>
        <v>96493.537342205425</v>
      </c>
      <c r="J141">
        <f t="shared" si="3"/>
        <v>0</v>
      </c>
    </row>
    <row r="142" spans="1:10">
      <c r="A142" s="1">
        <v>45667</v>
      </c>
      <c r="B142">
        <f>(3/(1+('CurrentPor-LH=60 unchanged'!C142)/100)+103/POWER(1+('CurrentPor-LH=60 unchanged'!D142)/100,2))*100</f>
        <v>9707.5857774288397</v>
      </c>
      <c r="C142">
        <f>(3/(1+('CurrentPor-LH=60 unchanged'!C142+'CurrentPor-LH=60 unchanged'!G142)/100)+103/POWER(1+('CurrentPor-LH=60 unchanged'!D142+'CurrentPor-LH=60 unchanged'!G142)/100,2))*100</f>
        <v>9614.9673582483465</v>
      </c>
      <c r="D142">
        <f>(3/(1+('CurrentPor-LH=60 unchanged'!C142+'CurrentPor-LH=60 unchanged'!H142)/100)+103/POWER(1+('CurrentPor-LH=60 unchanged'!D142+'CurrentPor-LH=60 unchanged'!H142)/100,2))*100</f>
        <v>9601.2395558122898</v>
      </c>
      <c r="E142">
        <f>(3/(1+('CurrentPor-LH=60 unchanged'!C142+'CurrentPor-LH=60 unchanged'!I142)/100)+103/POWER(1+('CurrentPor-LH=60 unchanged'!D142+'CurrentPor-LH=60 unchanged'!I142)/100,2))*100</f>
        <v>9581.4547115644182</v>
      </c>
      <c r="F142">
        <f>Portfolio!B$5*'CurrentPor-LH=60 unchanged'!E142</f>
        <v>52143.895533915893</v>
      </c>
      <c r="G142">
        <f>Portfolio!B$6*'CurrentPor-LH=60 unchanged'!F142</f>
        <v>3696.2945087936532</v>
      </c>
      <c r="H142">
        <f>Portfolio!B$7*'CurrentPor-LH=60 unchanged'!J142</f>
        <v>2148.0998964419859</v>
      </c>
      <c r="I142">
        <f t="shared" si="4"/>
        <v>96493.537342205425</v>
      </c>
      <c r="J142">
        <f t="shared" ref="J142:J205" si="5">I142-I132</f>
        <v>0</v>
      </c>
    </row>
    <row r="143" spans="1:10">
      <c r="A143" s="1">
        <v>45670</v>
      </c>
      <c r="B143">
        <f>(3/(1+('CurrentPor-LH=60 unchanged'!C143)/100)+103/POWER(1+('CurrentPor-LH=60 unchanged'!D143)/100,2))*100</f>
        <v>9707.5857774288397</v>
      </c>
      <c r="C143">
        <f>(3/(1+('CurrentPor-LH=60 unchanged'!C143+'CurrentPor-LH=60 unchanged'!G143)/100)+103/POWER(1+('CurrentPor-LH=60 unchanged'!D143+'CurrentPor-LH=60 unchanged'!G143)/100,2))*100</f>
        <v>9614.9673582483465</v>
      </c>
      <c r="D143">
        <f>(3/(1+('CurrentPor-LH=60 unchanged'!C143+'CurrentPor-LH=60 unchanged'!H143)/100)+103/POWER(1+('CurrentPor-LH=60 unchanged'!D143+'CurrentPor-LH=60 unchanged'!H143)/100,2))*100</f>
        <v>9601.2395558122898</v>
      </c>
      <c r="E143">
        <f>(3/(1+('CurrentPor-LH=60 unchanged'!C143+'CurrentPor-LH=60 unchanged'!I143)/100)+103/POWER(1+('CurrentPor-LH=60 unchanged'!D143+'CurrentPor-LH=60 unchanged'!I143)/100,2))*100</f>
        <v>9581.4547115644182</v>
      </c>
      <c r="F143">
        <f>Portfolio!B$5*'CurrentPor-LH=60 unchanged'!E143</f>
        <v>52143.895533915893</v>
      </c>
      <c r="G143">
        <f>Portfolio!B$6*'CurrentPor-LH=60 unchanged'!F143</f>
        <v>3696.2945087936532</v>
      </c>
      <c r="H143">
        <f>Portfolio!B$7*'CurrentPor-LH=60 unchanged'!J143</f>
        <v>2148.0998964419859</v>
      </c>
      <c r="I143">
        <f t="shared" si="4"/>
        <v>96493.537342205425</v>
      </c>
      <c r="J143">
        <f t="shared" si="5"/>
        <v>0</v>
      </c>
    </row>
    <row r="144" spans="1:10">
      <c r="A144" s="1">
        <v>45671</v>
      </c>
      <c r="B144">
        <f>(3/(1+('CurrentPor-LH=60 unchanged'!C144)/100)+103/POWER(1+('CurrentPor-LH=60 unchanged'!D144)/100,2))*100</f>
        <v>9707.5857774288397</v>
      </c>
      <c r="C144">
        <f>(3/(1+('CurrentPor-LH=60 unchanged'!C144+'CurrentPor-LH=60 unchanged'!G144)/100)+103/POWER(1+('CurrentPor-LH=60 unchanged'!D144+'CurrentPor-LH=60 unchanged'!G144)/100,2))*100</f>
        <v>9614.9673582483465</v>
      </c>
      <c r="D144">
        <f>(3/(1+('CurrentPor-LH=60 unchanged'!C144+'CurrentPor-LH=60 unchanged'!H144)/100)+103/POWER(1+('CurrentPor-LH=60 unchanged'!D144+'CurrentPor-LH=60 unchanged'!H144)/100,2))*100</f>
        <v>9601.2395558122898</v>
      </c>
      <c r="E144">
        <f>(3/(1+('CurrentPor-LH=60 unchanged'!C144+'CurrentPor-LH=60 unchanged'!I144)/100)+103/POWER(1+('CurrentPor-LH=60 unchanged'!D144+'CurrentPor-LH=60 unchanged'!I144)/100,2))*100</f>
        <v>9581.4547115644182</v>
      </c>
      <c r="F144">
        <f>Portfolio!B$5*'CurrentPor-LH=60 unchanged'!E144</f>
        <v>52143.895533915893</v>
      </c>
      <c r="G144">
        <f>Portfolio!B$6*'CurrentPor-LH=60 unchanged'!F144</f>
        <v>3696.2945087936532</v>
      </c>
      <c r="H144">
        <f>Portfolio!B$7*'CurrentPor-LH=60 unchanged'!J144</f>
        <v>2148.0998964419859</v>
      </c>
      <c r="I144">
        <f t="shared" si="4"/>
        <v>96493.537342205425</v>
      </c>
      <c r="J144">
        <f t="shared" si="5"/>
        <v>0</v>
      </c>
    </row>
    <row r="145" spans="1:10">
      <c r="A145" s="1">
        <v>45672</v>
      </c>
      <c r="B145">
        <f>(3/(1+('CurrentPor-LH=60 unchanged'!C145)/100)+103/POWER(1+('CurrentPor-LH=60 unchanged'!D145)/100,2))*100</f>
        <v>9707.5857774288397</v>
      </c>
      <c r="C145">
        <f>(3/(1+('CurrentPor-LH=60 unchanged'!C145+'CurrentPor-LH=60 unchanged'!G145)/100)+103/POWER(1+('CurrentPor-LH=60 unchanged'!D145+'CurrentPor-LH=60 unchanged'!G145)/100,2))*100</f>
        <v>9614.9673582483465</v>
      </c>
      <c r="D145">
        <f>(3/(1+('CurrentPor-LH=60 unchanged'!C145+'CurrentPor-LH=60 unchanged'!H145)/100)+103/POWER(1+('CurrentPor-LH=60 unchanged'!D145+'CurrentPor-LH=60 unchanged'!H145)/100,2))*100</f>
        <v>9601.2395558122898</v>
      </c>
      <c r="E145">
        <f>(3/(1+('CurrentPor-LH=60 unchanged'!C145+'CurrentPor-LH=60 unchanged'!I145)/100)+103/POWER(1+('CurrentPor-LH=60 unchanged'!D145+'CurrentPor-LH=60 unchanged'!I145)/100,2))*100</f>
        <v>9581.4547115644182</v>
      </c>
      <c r="F145">
        <f>Portfolio!B$5*'CurrentPor-LH=60 unchanged'!E145</f>
        <v>52143.895533915893</v>
      </c>
      <c r="G145">
        <f>Portfolio!B$6*'CurrentPor-LH=60 unchanged'!F145</f>
        <v>3696.2945087936532</v>
      </c>
      <c r="H145">
        <f>Portfolio!B$7*'CurrentPor-LH=60 unchanged'!J145</f>
        <v>2148.0998964419859</v>
      </c>
      <c r="I145">
        <f t="shared" si="4"/>
        <v>96493.537342205425</v>
      </c>
      <c r="J145">
        <f t="shared" si="5"/>
        <v>0</v>
      </c>
    </row>
    <row r="146" spans="1:10">
      <c r="A146" s="1">
        <v>45673</v>
      </c>
      <c r="B146">
        <f>(3/(1+('CurrentPor-LH=60 unchanged'!C146)/100)+103/POWER(1+('CurrentPor-LH=60 unchanged'!D146)/100,2))*100</f>
        <v>9707.5857774288397</v>
      </c>
      <c r="C146">
        <f>(3/(1+('CurrentPor-LH=60 unchanged'!C146+'CurrentPor-LH=60 unchanged'!G146)/100)+103/POWER(1+('CurrentPor-LH=60 unchanged'!D146+'CurrentPor-LH=60 unchanged'!G146)/100,2))*100</f>
        <v>9614.9673582483465</v>
      </c>
      <c r="D146">
        <f>(3/(1+('CurrentPor-LH=60 unchanged'!C146+'CurrentPor-LH=60 unchanged'!H146)/100)+103/POWER(1+('CurrentPor-LH=60 unchanged'!D146+'CurrentPor-LH=60 unchanged'!H146)/100,2))*100</f>
        <v>9601.2395558122898</v>
      </c>
      <c r="E146">
        <f>(3/(1+('CurrentPor-LH=60 unchanged'!C146+'CurrentPor-LH=60 unchanged'!I146)/100)+103/POWER(1+('CurrentPor-LH=60 unchanged'!D146+'CurrentPor-LH=60 unchanged'!I146)/100,2))*100</f>
        <v>9581.4547115644182</v>
      </c>
      <c r="F146">
        <f>Portfolio!B$5*'CurrentPor-LH=60 unchanged'!E146</f>
        <v>52143.895533915893</v>
      </c>
      <c r="G146">
        <f>Portfolio!B$6*'CurrentPor-LH=60 unchanged'!F146</f>
        <v>3696.2945087936532</v>
      </c>
      <c r="H146">
        <f>Portfolio!B$7*'CurrentPor-LH=60 unchanged'!J146</f>
        <v>2148.0998964419859</v>
      </c>
      <c r="I146">
        <f t="shared" si="4"/>
        <v>96493.537342205425</v>
      </c>
      <c r="J146">
        <f t="shared" si="5"/>
        <v>0</v>
      </c>
    </row>
    <row r="147" spans="1:10">
      <c r="A147" s="1">
        <v>45674</v>
      </c>
      <c r="B147">
        <f>(3/(1+('CurrentPor-LH=60 unchanged'!C147)/100)+103/POWER(1+('CurrentPor-LH=60 unchanged'!D147)/100,2))*100</f>
        <v>9707.5857774288397</v>
      </c>
      <c r="C147">
        <f>(3/(1+('CurrentPor-LH=60 unchanged'!C147+'CurrentPor-LH=60 unchanged'!G147)/100)+103/POWER(1+('CurrentPor-LH=60 unchanged'!D147+'CurrentPor-LH=60 unchanged'!G147)/100,2))*100</f>
        <v>9614.9673582483465</v>
      </c>
      <c r="D147">
        <f>(3/(1+('CurrentPor-LH=60 unchanged'!C147+'CurrentPor-LH=60 unchanged'!H147)/100)+103/POWER(1+('CurrentPor-LH=60 unchanged'!D147+'CurrentPor-LH=60 unchanged'!H147)/100,2))*100</f>
        <v>9601.2395558122898</v>
      </c>
      <c r="E147">
        <f>(3/(1+('CurrentPor-LH=60 unchanged'!C147+'CurrentPor-LH=60 unchanged'!I147)/100)+103/POWER(1+('CurrentPor-LH=60 unchanged'!D147+'CurrentPor-LH=60 unchanged'!I147)/100,2))*100</f>
        <v>9581.4547115644182</v>
      </c>
      <c r="F147">
        <f>Portfolio!B$5*'CurrentPor-LH=60 unchanged'!E147</f>
        <v>52143.895533915893</v>
      </c>
      <c r="G147">
        <f>Portfolio!B$6*'CurrentPor-LH=60 unchanged'!F147</f>
        <v>3696.2945087936532</v>
      </c>
      <c r="H147">
        <f>Portfolio!B$7*'CurrentPor-LH=60 unchanged'!J147</f>
        <v>2148.0998964419859</v>
      </c>
      <c r="I147">
        <f t="shared" si="4"/>
        <v>96493.537342205425</v>
      </c>
      <c r="J147">
        <f t="shared" si="5"/>
        <v>0</v>
      </c>
    </row>
    <row r="148" spans="1:10">
      <c r="A148" s="1">
        <v>45677</v>
      </c>
      <c r="B148">
        <f>(3/(1+('CurrentPor-LH=60 unchanged'!C148)/100)+103/POWER(1+('CurrentPor-LH=60 unchanged'!D148)/100,2))*100</f>
        <v>9707.5857774288397</v>
      </c>
      <c r="C148">
        <f>(3/(1+('CurrentPor-LH=60 unchanged'!C148+'CurrentPor-LH=60 unchanged'!G148)/100)+103/POWER(1+('CurrentPor-LH=60 unchanged'!D148+'CurrentPor-LH=60 unchanged'!G148)/100,2))*100</f>
        <v>9614.9673582483465</v>
      </c>
      <c r="D148">
        <f>(3/(1+('CurrentPor-LH=60 unchanged'!C148+'CurrentPor-LH=60 unchanged'!H148)/100)+103/POWER(1+('CurrentPor-LH=60 unchanged'!D148+'CurrentPor-LH=60 unchanged'!H148)/100,2))*100</f>
        <v>9601.2395558122898</v>
      </c>
      <c r="E148">
        <f>(3/(1+('CurrentPor-LH=60 unchanged'!C148+'CurrentPor-LH=60 unchanged'!I148)/100)+103/POWER(1+('CurrentPor-LH=60 unchanged'!D148+'CurrentPor-LH=60 unchanged'!I148)/100,2))*100</f>
        <v>9581.4547115644182</v>
      </c>
      <c r="F148">
        <f>Portfolio!B$5*'CurrentPor-LH=60 unchanged'!E148</f>
        <v>52143.895533915893</v>
      </c>
      <c r="G148">
        <f>Portfolio!B$6*'CurrentPor-LH=60 unchanged'!F148</f>
        <v>3696.2945087936532</v>
      </c>
      <c r="H148">
        <f>Portfolio!B$7*'CurrentPor-LH=60 unchanged'!J148</f>
        <v>2148.0998964419859</v>
      </c>
      <c r="I148">
        <f t="shared" si="4"/>
        <v>96493.537342205425</v>
      </c>
      <c r="J148">
        <f t="shared" si="5"/>
        <v>0</v>
      </c>
    </row>
    <row r="149" spans="1:10">
      <c r="A149" s="1">
        <v>45678</v>
      </c>
      <c r="B149">
        <f>(3/(1+('CurrentPor-LH=60 unchanged'!C149)/100)+103/POWER(1+('CurrentPor-LH=60 unchanged'!D149)/100,2))*100</f>
        <v>9707.5857774288397</v>
      </c>
      <c r="C149">
        <f>(3/(1+('CurrentPor-LH=60 unchanged'!C149+'CurrentPor-LH=60 unchanged'!G149)/100)+103/POWER(1+('CurrentPor-LH=60 unchanged'!D149+'CurrentPor-LH=60 unchanged'!G149)/100,2))*100</f>
        <v>9614.9673582483465</v>
      </c>
      <c r="D149">
        <f>(3/(1+('CurrentPor-LH=60 unchanged'!C149+'CurrentPor-LH=60 unchanged'!H149)/100)+103/POWER(1+('CurrentPor-LH=60 unchanged'!D149+'CurrentPor-LH=60 unchanged'!H149)/100,2))*100</f>
        <v>9601.2395558122898</v>
      </c>
      <c r="E149">
        <f>(3/(1+('CurrentPor-LH=60 unchanged'!C149+'CurrentPor-LH=60 unchanged'!I149)/100)+103/POWER(1+('CurrentPor-LH=60 unchanged'!D149+'CurrentPor-LH=60 unchanged'!I149)/100,2))*100</f>
        <v>9581.4547115644182</v>
      </c>
      <c r="F149">
        <f>Portfolio!B$5*'CurrentPor-LH=60 unchanged'!E149</f>
        <v>52143.895533915893</v>
      </c>
      <c r="G149">
        <f>Portfolio!B$6*'CurrentPor-LH=60 unchanged'!F149</f>
        <v>3696.2945087936532</v>
      </c>
      <c r="H149">
        <f>Portfolio!B$7*'CurrentPor-LH=60 unchanged'!J149</f>
        <v>2148.0998964419859</v>
      </c>
      <c r="I149">
        <f t="shared" si="4"/>
        <v>96493.537342205425</v>
      </c>
      <c r="J149">
        <f t="shared" si="5"/>
        <v>0</v>
      </c>
    </row>
    <row r="150" spans="1:10">
      <c r="A150" s="1">
        <v>45679</v>
      </c>
      <c r="B150">
        <f>(3/(1+('CurrentPor-LH=60 unchanged'!C150)/100)+103/POWER(1+('CurrentPor-LH=60 unchanged'!D150)/100,2))*100</f>
        <v>9707.5857774288397</v>
      </c>
      <c r="C150">
        <f>(3/(1+('CurrentPor-LH=60 unchanged'!C150+'CurrentPor-LH=60 unchanged'!G150)/100)+103/POWER(1+('CurrentPor-LH=60 unchanged'!D150+'CurrentPor-LH=60 unchanged'!G150)/100,2))*100</f>
        <v>9614.9673582483465</v>
      </c>
      <c r="D150">
        <f>(3/(1+('CurrentPor-LH=60 unchanged'!C150+'CurrentPor-LH=60 unchanged'!H150)/100)+103/POWER(1+('CurrentPor-LH=60 unchanged'!D150+'CurrentPor-LH=60 unchanged'!H150)/100,2))*100</f>
        <v>9601.2395558122898</v>
      </c>
      <c r="E150">
        <f>(3/(1+('CurrentPor-LH=60 unchanged'!C150+'CurrentPor-LH=60 unchanged'!I150)/100)+103/POWER(1+('CurrentPor-LH=60 unchanged'!D150+'CurrentPor-LH=60 unchanged'!I150)/100,2))*100</f>
        <v>9581.4547115644182</v>
      </c>
      <c r="F150">
        <f>Portfolio!B$5*'CurrentPor-LH=60 unchanged'!E150</f>
        <v>52143.895533915893</v>
      </c>
      <c r="G150">
        <f>Portfolio!B$6*'CurrentPor-LH=60 unchanged'!F150</f>
        <v>3696.2945087936532</v>
      </c>
      <c r="H150">
        <f>Portfolio!B$7*'CurrentPor-LH=60 unchanged'!J150</f>
        <v>2148.0998964419859</v>
      </c>
      <c r="I150">
        <f t="shared" si="4"/>
        <v>96493.537342205425</v>
      </c>
      <c r="J150">
        <f t="shared" si="5"/>
        <v>0</v>
      </c>
    </row>
    <row r="151" spans="1:10">
      <c r="A151" s="1">
        <v>45680</v>
      </c>
      <c r="B151">
        <f>(3/(1+('CurrentPor-LH=60 unchanged'!C151)/100)+103/POWER(1+('CurrentPor-LH=60 unchanged'!D151)/100,2))*100</f>
        <v>9707.5857774288397</v>
      </c>
      <c r="C151">
        <f>(3/(1+('CurrentPor-LH=60 unchanged'!C151+'CurrentPor-LH=60 unchanged'!G151)/100)+103/POWER(1+('CurrentPor-LH=60 unchanged'!D151+'CurrentPor-LH=60 unchanged'!G151)/100,2))*100</f>
        <v>9614.9673582483465</v>
      </c>
      <c r="D151">
        <f>(3/(1+('CurrentPor-LH=60 unchanged'!C151+'CurrentPor-LH=60 unchanged'!H151)/100)+103/POWER(1+('CurrentPor-LH=60 unchanged'!D151+'CurrentPor-LH=60 unchanged'!H151)/100,2))*100</f>
        <v>9601.2395558122898</v>
      </c>
      <c r="E151">
        <f>(3/(1+('CurrentPor-LH=60 unchanged'!C151+'CurrentPor-LH=60 unchanged'!I151)/100)+103/POWER(1+('CurrentPor-LH=60 unchanged'!D151+'CurrentPor-LH=60 unchanged'!I151)/100,2))*100</f>
        <v>9581.4547115644182</v>
      </c>
      <c r="F151">
        <f>Portfolio!B$5*'CurrentPor-LH=60 unchanged'!E151</f>
        <v>52143.895533915893</v>
      </c>
      <c r="G151">
        <f>Portfolio!B$6*'CurrentPor-LH=60 unchanged'!F151</f>
        <v>3696.2945087936532</v>
      </c>
      <c r="H151">
        <f>Portfolio!B$7*'CurrentPor-LH=60 unchanged'!J151</f>
        <v>2148.0998964419859</v>
      </c>
      <c r="I151">
        <f t="shared" si="4"/>
        <v>96493.537342205425</v>
      </c>
      <c r="J151">
        <f t="shared" si="5"/>
        <v>0</v>
      </c>
    </row>
    <row r="152" spans="1:10">
      <c r="A152" s="1">
        <v>45681</v>
      </c>
      <c r="B152">
        <f>(3/(1+('CurrentPor-LH=60 unchanged'!C152)/100)+103/POWER(1+('CurrentPor-LH=60 unchanged'!D152)/100,2))*100</f>
        <v>9707.5857774288397</v>
      </c>
      <c r="C152">
        <f>(3/(1+('CurrentPor-LH=60 unchanged'!C152+'CurrentPor-LH=60 unchanged'!G152)/100)+103/POWER(1+('CurrentPor-LH=60 unchanged'!D152+'CurrentPor-LH=60 unchanged'!G152)/100,2))*100</f>
        <v>9614.9673582483465</v>
      </c>
      <c r="D152">
        <f>(3/(1+('CurrentPor-LH=60 unchanged'!C152+'CurrentPor-LH=60 unchanged'!H152)/100)+103/POWER(1+('CurrentPor-LH=60 unchanged'!D152+'CurrentPor-LH=60 unchanged'!H152)/100,2))*100</f>
        <v>9601.2395558122898</v>
      </c>
      <c r="E152">
        <f>(3/(1+('CurrentPor-LH=60 unchanged'!C152+'CurrentPor-LH=60 unchanged'!I152)/100)+103/POWER(1+('CurrentPor-LH=60 unchanged'!D152+'CurrentPor-LH=60 unchanged'!I152)/100,2))*100</f>
        <v>9581.4547115644182</v>
      </c>
      <c r="F152">
        <f>Portfolio!B$5*'CurrentPor-LH=60 unchanged'!E152</f>
        <v>52143.895533915893</v>
      </c>
      <c r="G152">
        <f>Portfolio!B$6*'CurrentPor-LH=60 unchanged'!F152</f>
        <v>3696.2945087936532</v>
      </c>
      <c r="H152">
        <f>Portfolio!B$7*'CurrentPor-LH=60 unchanged'!J152</f>
        <v>2148.0998964419859</v>
      </c>
      <c r="I152">
        <f t="shared" si="4"/>
        <v>96493.537342205425</v>
      </c>
      <c r="J152">
        <f t="shared" si="5"/>
        <v>0</v>
      </c>
    </row>
    <row r="153" spans="1:10">
      <c r="A153" s="1">
        <v>45684</v>
      </c>
      <c r="B153">
        <f>(3/(1+('CurrentPor-LH=60 unchanged'!C153)/100)+103/POWER(1+('CurrentPor-LH=60 unchanged'!D153)/100,2))*100</f>
        <v>9707.5857774288397</v>
      </c>
      <c r="C153">
        <f>(3/(1+('CurrentPor-LH=60 unchanged'!C153+'CurrentPor-LH=60 unchanged'!G153)/100)+103/POWER(1+('CurrentPor-LH=60 unchanged'!D153+'CurrentPor-LH=60 unchanged'!G153)/100,2))*100</f>
        <v>9614.9673582483465</v>
      </c>
      <c r="D153">
        <f>(3/(1+('CurrentPor-LH=60 unchanged'!C153+'CurrentPor-LH=60 unchanged'!H153)/100)+103/POWER(1+('CurrentPor-LH=60 unchanged'!D153+'CurrentPor-LH=60 unchanged'!H153)/100,2))*100</f>
        <v>9601.2395558122898</v>
      </c>
      <c r="E153">
        <f>(3/(1+('CurrentPor-LH=60 unchanged'!C153+'CurrentPor-LH=60 unchanged'!I153)/100)+103/POWER(1+('CurrentPor-LH=60 unchanged'!D153+'CurrentPor-LH=60 unchanged'!I153)/100,2))*100</f>
        <v>9581.4547115644182</v>
      </c>
      <c r="F153">
        <f>Portfolio!B$5*'CurrentPor-LH=60 unchanged'!E153</f>
        <v>52143.895533915893</v>
      </c>
      <c r="G153">
        <f>Portfolio!B$6*'CurrentPor-LH=60 unchanged'!F153</f>
        <v>3696.2945087936532</v>
      </c>
      <c r="H153">
        <f>Portfolio!B$7*'CurrentPor-LH=60 unchanged'!J153</f>
        <v>2148.0998964419859</v>
      </c>
      <c r="I153">
        <f t="shared" si="4"/>
        <v>96493.537342205425</v>
      </c>
      <c r="J153">
        <f t="shared" si="5"/>
        <v>0</v>
      </c>
    </row>
    <row r="154" spans="1:10">
      <c r="A154" s="1">
        <v>45685</v>
      </c>
      <c r="B154">
        <f>(3/(1+('CurrentPor-LH=60 unchanged'!C154)/100)+103/POWER(1+('CurrentPor-LH=60 unchanged'!D154)/100,2))*100</f>
        <v>9707.5857774288397</v>
      </c>
      <c r="C154">
        <f>(3/(1+('CurrentPor-LH=60 unchanged'!C154+'CurrentPor-LH=60 unchanged'!G154)/100)+103/POWER(1+('CurrentPor-LH=60 unchanged'!D154+'CurrentPor-LH=60 unchanged'!G154)/100,2))*100</f>
        <v>9614.9673582483465</v>
      </c>
      <c r="D154">
        <f>(3/(1+('CurrentPor-LH=60 unchanged'!C154+'CurrentPor-LH=60 unchanged'!H154)/100)+103/POWER(1+('CurrentPor-LH=60 unchanged'!D154+'CurrentPor-LH=60 unchanged'!H154)/100,2))*100</f>
        <v>9601.2395558122898</v>
      </c>
      <c r="E154">
        <f>(3/(1+('CurrentPor-LH=60 unchanged'!C154+'CurrentPor-LH=60 unchanged'!I154)/100)+103/POWER(1+('CurrentPor-LH=60 unchanged'!D154+'CurrentPor-LH=60 unchanged'!I154)/100,2))*100</f>
        <v>9581.4547115644182</v>
      </c>
      <c r="F154">
        <f>Portfolio!B$5*'CurrentPor-LH=60 unchanged'!E154</f>
        <v>52143.895533915893</v>
      </c>
      <c r="G154">
        <f>Portfolio!B$6*'CurrentPor-LH=60 unchanged'!F154</f>
        <v>3696.2945087936532</v>
      </c>
      <c r="H154">
        <f>Portfolio!B$7*'CurrentPor-LH=60 unchanged'!J154</f>
        <v>2148.0998964419859</v>
      </c>
      <c r="I154">
        <f t="shared" si="4"/>
        <v>96493.537342205425</v>
      </c>
      <c r="J154">
        <f t="shared" si="5"/>
        <v>0</v>
      </c>
    </row>
    <row r="155" spans="1:10">
      <c r="A155" s="1">
        <v>45686</v>
      </c>
      <c r="B155">
        <f>(3/(1+('CurrentPor-LH=60 unchanged'!C155)/100)+103/POWER(1+('CurrentPor-LH=60 unchanged'!D155)/100,2))*100</f>
        <v>9707.5857774288397</v>
      </c>
      <c r="C155">
        <f>(3/(1+('CurrentPor-LH=60 unchanged'!C155+'CurrentPor-LH=60 unchanged'!G155)/100)+103/POWER(1+('CurrentPor-LH=60 unchanged'!D155+'CurrentPor-LH=60 unchanged'!G155)/100,2))*100</f>
        <v>9614.9673582483465</v>
      </c>
      <c r="D155">
        <f>(3/(1+('CurrentPor-LH=60 unchanged'!C155+'CurrentPor-LH=60 unchanged'!H155)/100)+103/POWER(1+('CurrentPor-LH=60 unchanged'!D155+'CurrentPor-LH=60 unchanged'!H155)/100,2))*100</f>
        <v>9601.2395558122898</v>
      </c>
      <c r="E155">
        <f>(3/(1+('CurrentPor-LH=60 unchanged'!C155+'CurrentPor-LH=60 unchanged'!I155)/100)+103/POWER(1+('CurrentPor-LH=60 unchanged'!D155+'CurrentPor-LH=60 unchanged'!I155)/100,2))*100</f>
        <v>9581.4547115644182</v>
      </c>
      <c r="F155">
        <f>Portfolio!B$5*'CurrentPor-LH=60 unchanged'!E155</f>
        <v>52143.895533915893</v>
      </c>
      <c r="G155">
        <f>Portfolio!B$6*'CurrentPor-LH=60 unchanged'!F155</f>
        <v>3696.2945087936532</v>
      </c>
      <c r="H155">
        <f>Portfolio!B$7*'CurrentPor-LH=60 unchanged'!J155</f>
        <v>2148.0998964419859</v>
      </c>
      <c r="I155">
        <f t="shared" si="4"/>
        <v>96493.537342205425</v>
      </c>
      <c r="J155">
        <f t="shared" si="5"/>
        <v>0</v>
      </c>
    </row>
    <row r="156" spans="1:10">
      <c r="A156" s="1">
        <v>45687</v>
      </c>
      <c r="B156">
        <f>(3/(1+('CurrentPor-LH=60 unchanged'!C156)/100)+103/POWER(1+('CurrentPor-LH=60 unchanged'!D156)/100,2))*100</f>
        <v>9707.5857774288397</v>
      </c>
      <c r="C156">
        <f>(3/(1+('CurrentPor-LH=60 unchanged'!C156+'CurrentPor-LH=60 unchanged'!G156)/100)+103/POWER(1+('CurrentPor-LH=60 unchanged'!D156+'CurrentPor-LH=60 unchanged'!G156)/100,2))*100</f>
        <v>9614.9673582483465</v>
      </c>
      <c r="D156">
        <f>(3/(1+('CurrentPor-LH=60 unchanged'!C156+'CurrentPor-LH=60 unchanged'!H156)/100)+103/POWER(1+('CurrentPor-LH=60 unchanged'!D156+'CurrentPor-LH=60 unchanged'!H156)/100,2))*100</f>
        <v>9601.2395558122898</v>
      </c>
      <c r="E156">
        <f>(3/(1+('CurrentPor-LH=60 unchanged'!C156+'CurrentPor-LH=60 unchanged'!I156)/100)+103/POWER(1+('CurrentPor-LH=60 unchanged'!D156+'CurrentPor-LH=60 unchanged'!I156)/100,2))*100</f>
        <v>9581.4547115644182</v>
      </c>
      <c r="F156">
        <f>Portfolio!B$5*'CurrentPor-LH=60 unchanged'!E156</f>
        <v>52143.895533915893</v>
      </c>
      <c r="G156">
        <f>Portfolio!B$6*'CurrentPor-LH=60 unchanged'!F156</f>
        <v>3696.2945087936532</v>
      </c>
      <c r="H156">
        <f>Portfolio!B$7*'CurrentPor-LH=60 unchanged'!J156</f>
        <v>2148.0998964419859</v>
      </c>
      <c r="I156">
        <f t="shared" si="4"/>
        <v>96493.537342205425</v>
      </c>
      <c r="J156">
        <f t="shared" si="5"/>
        <v>0</v>
      </c>
    </row>
    <row r="157" spans="1:10">
      <c r="A157" s="1">
        <v>45688</v>
      </c>
      <c r="B157">
        <f>(3/(1+('CurrentPor-LH=60 unchanged'!C157)/100)+103/POWER(1+('CurrentPor-LH=60 unchanged'!D157)/100,2))*100</f>
        <v>9707.5857774288397</v>
      </c>
      <c r="C157">
        <f>(3/(1+('CurrentPor-LH=60 unchanged'!C157+'CurrentPor-LH=60 unchanged'!G157)/100)+103/POWER(1+('CurrentPor-LH=60 unchanged'!D157+'CurrentPor-LH=60 unchanged'!G157)/100,2))*100</f>
        <v>9614.9673582483465</v>
      </c>
      <c r="D157">
        <f>(3/(1+('CurrentPor-LH=60 unchanged'!C157+'CurrentPor-LH=60 unchanged'!H157)/100)+103/POWER(1+('CurrentPor-LH=60 unchanged'!D157+'CurrentPor-LH=60 unchanged'!H157)/100,2))*100</f>
        <v>9601.2395558122898</v>
      </c>
      <c r="E157">
        <f>(3/(1+('CurrentPor-LH=60 unchanged'!C157+'CurrentPor-LH=60 unchanged'!I157)/100)+103/POWER(1+('CurrentPor-LH=60 unchanged'!D157+'CurrentPor-LH=60 unchanged'!I157)/100,2))*100</f>
        <v>9581.4547115644182</v>
      </c>
      <c r="F157">
        <f>Portfolio!B$5*'CurrentPor-LH=60 unchanged'!E157</f>
        <v>52143.895533915893</v>
      </c>
      <c r="G157">
        <f>Portfolio!B$6*'CurrentPor-LH=60 unchanged'!F157</f>
        <v>3696.2945087936532</v>
      </c>
      <c r="H157">
        <f>Portfolio!B$7*'CurrentPor-LH=60 unchanged'!J157</f>
        <v>2148.0998964419859</v>
      </c>
      <c r="I157">
        <f t="shared" si="4"/>
        <v>96493.537342205425</v>
      </c>
      <c r="J157">
        <f t="shared" si="5"/>
        <v>0</v>
      </c>
    </row>
    <row r="158" spans="1:10">
      <c r="A158" s="1">
        <v>45691</v>
      </c>
      <c r="B158">
        <f>(3/(1+('CurrentPor-LH=60 unchanged'!C158)/100)+103/POWER(1+('CurrentPor-LH=60 unchanged'!D158)/100,2))*100</f>
        <v>9707.5857774288397</v>
      </c>
      <c r="C158">
        <f>(3/(1+('CurrentPor-LH=60 unchanged'!C158+'CurrentPor-LH=60 unchanged'!G158)/100)+103/POWER(1+('CurrentPor-LH=60 unchanged'!D158+'CurrentPor-LH=60 unchanged'!G158)/100,2))*100</f>
        <v>9614.9673582483465</v>
      </c>
      <c r="D158">
        <f>(3/(1+('CurrentPor-LH=60 unchanged'!C158+'CurrentPor-LH=60 unchanged'!H158)/100)+103/POWER(1+('CurrentPor-LH=60 unchanged'!D158+'CurrentPor-LH=60 unchanged'!H158)/100,2))*100</f>
        <v>9601.2395558122898</v>
      </c>
      <c r="E158">
        <f>(3/(1+('CurrentPor-LH=60 unchanged'!C158+'CurrentPor-LH=60 unchanged'!I158)/100)+103/POWER(1+('CurrentPor-LH=60 unchanged'!D158+'CurrentPor-LH=60 unchanged'!I158)/100,2))*100</f>
        <v>9581.4547115644182</v>
      </c>
      <c r="F158">
        <f>Portfolio!B$5*'CurrentPor-LH=60 unchanged'!E158</f>
        <v>52143.895533915893</v>
      </c>
      <c r="G158">
        <f>Portfolio!B$6*'CurrentPor-LH=60 unchanged'!F158</f>
        <v>3696.2945087936532</v>
      </c>
      <c r="H158">
        <f>Portfolio!B$7*'CurrentPor-LH=60 unchanged'!J158</f>
        <v>2148.0998964419859</v>
      </c>
      <c r="I158">
        <f t="shared" si="4"/>
        <v>96493.537342205425</v>
      </c>
      <c r="J158">
        <f t="shared" si="5"/>
        <v>0</v>
      </c>
    </row>
    <row r="159" spans="1:10">
      <c r="A159" s="1">
        <v>45692</v>
      </c>
      <c r="B159">
        <f>(3/(1+('CurrentPor-LH=60 unchanged'!C159)/100)+103/POWER(1+('CurrentPor-LH=60 unchanged'!D159)/100,2))*100</f>
        <v>9707.5857774288397</v>
      </c>
      <c r="C159">
        <f>(3/(1+('CurrentPor-LH=60 unchanged'!C159+'CurrentPor-LH=60 unchanged'!G159)/100)+103/POWER(1+('CurrentPor-LH=60 unchanged'!D159+'CurrentPor-LH=60 unchanged'!G159)/100,2))*100</f>
        <v>9614.9673582483465</v>
      </c>
      <c r="D159">
        <f>(3/(1+('CurrentPor-LH=60 unchanged'!C159+'CurrentPor-LH=60 unchanged'!H159)/100)+103/POWER(1+('CurrentPor-LH=60 unchanged'!D159+'CurrentPor-LH=60 unchanged'!H159)/100,2))*100</f>
        <v>9601.2395558122898</v>
      </c>
      <c r="E159">
        <f>(3/(1+('CurrentPor-LH=60 unchanged'!C159+'CurrentPor-LH=60 unchanged'!I159)/100)+103/POWER(1+('CurrentPor-LH=60 unchanged'!D159+'CurrentPor-LH=60 unchanged'!I159)/100,2))*100</f>
        <v>9581.4547115644182</v>
      </c>
      <c r="F159">
        <f>Portfolio!B$5*'CurrentPor-LH=60 unchanged'!E159</f>
        <v>52143.895533915893</v>
      </c>
      <c r="G159">
        <f>Portfolio!B$6*'CurrentPor-LH=60 unchanged'!F159</f>
        <v>3696.2945087936532</v>
      </c>
      <c r="H159">
        <f>Portfolio!B$7*'CurrentPor-LH=60 unchanged'!J159</f>
        <v>2148.0998964419859</v>
      </c>
      <c r="I159">
        <f t="shared" si="4"/>
        <v>96493.537342205425</v>
      </c>
      <c r="J159">
        <f t="shared" si="5"/>
        <v>0</v>
      </c>
    </row>
    <row r="160" spans="1:10">
      <c r="A160" s="1">
        <v>45693</v>
      </c>
      <c r="B160">
        <f>(3/(1+('CurrentPor-LH=60 unchanged'!C160)/100)+103/POWER(1+('CurrentPor-LH=60 unchanged'!D160)/100,2))*100</f>
        <v>9707.5857774288397</v>
      </c>
      <c r="C160">
        <f>(3/(1+('CurrentPor-LH=60 unchanged'!C160+'CurrentPor-LH=60 unchanged'!G160)/100)+103/POWER(1+('CurrentPor-LH=60 unchanged'!D160+'CurrentPor-LH=60 unchanged'!G160)/100,2))*100</f>
        <v>9614.9673582483465</v>
      </c>
      <c r="D160">
        <f>(3/(1+('CurrentPor-LH=60 unchanged'!C160+'CurrentPor-LH=60 unchanged'!H160)/100)+103/POWER(1+('CurrentPor-LH=60 unchanged'!D160+'CurrentPor-LH=60 unchanged'!H160)/100,2))*100</f>
        <v>9601.2395558122898</v>
      </c>
      <c r="E160">
        <f>(3/(1+('CurrentPor-LH=60 unchanged'!C160+'CurrentPor-LH=60 unchanged'!I160)/100)+103/POWER(1+('CurrentPor-LH=60 unchanged'!D160+'CurrentPor-LH=60 unchanged'!I160)/100,2))*100</f>
        <v>9581.4547115644182</v>
      </c>
      <c r="F160">
        <f>Portfolio!B$5*'CurrentPor-LH=60 unchanged'!E160</f>
        <v>52143.895533915893</v>
      </c>
      <c r="G160">
        <f>Portfolio!B$6*'CurrentPor-LH=60 unchanged'!F160</f>
        <v>3696.2945087936532</v>
      </c>
      <c r="H160">
        <f>Portfolio!B$7*'CurrentPor-LH=60 unchanged'!J160</f>
        <v>2148.0998964419859</v>
      </c>
      <c r="I160">
        <f t="shared" si="4"/>
        <v>96493.537342205425</v>
      </c>
      <c r="J160">
        <f t="shared" si="5"/>
        <v>0</v>
      </c>
    </row>
    <row r="161" spans="1:10">
      <c r="A161" s="1">
        <v>45694</v>
      </c>
      <c r="B161">
        <f>(3/(1+('CurrentPor-LH=60 unchanged'!C161)/100)+103/POWER(1+('CurrentPor-LH=60 unchanged'!D161)/100,2))*100</f>
        <v>9707.5857774288397</v>
      </c>
      <c r="C161">
        <f>(3/(1+('CurrentPor-LH=60 unchanged'!C161+'CurrentPor-LH=60 unchanged'!G161)/100)+103/POWER(1+('CurrentPor-LH=60 unchanged'!D161+'CurrentPor-LH=60 unchanged'!G161)/100,2))*100</f>
        <v>9614.9673582483465</v>
      </c>
      <c r="D161">
        <f>(3/(1+('CurrentPor-LH=60 unchanged'!C161+'CurrentPor-LH=60 unchanged'!H161)/100)+103/POWER(1+('CurrentPor-LH=60 unchanged'!D161+'CurrentPor-LH=60 unchanged'!H161)/100,2))*100</f>
        <v>9601.2395558122898</v>
      </c>
      <c r="E161">
        <f>(3/(1+('CurrentPor-LH=60 unchanged'!C161+'CurrentPor-LH=60 unchanged'!I161)/100)+103/POWER(1+('CurrentPor-LH=60 unchanged'!D161+'CurrentPor-LH=60 unchanged'!I161)/100,2))*100</f>
        <v>9581.4547115644182</v>
      </c>
      <c r="F161">
        <f>Portfolio!B$5*'CurrentPor-LH=60 unchanged'!E161</f>
        <v>52143.895533915893</v>
      </c>
      <c r="G161">
        <f>Portfolio!B$6*'CurrentPor-LH=60 unchanged'!F161</f>
        <v>3696.2945087936532</v>
      </c>
      <c r="H161">
        <f>Portfolio!B$7*'CurrentPor-LH=60 unchanged'!J161</f>
        <v>2148.0998964419859</v>
      </c>
      <c r="I161">
        <f t="shared" si="4"/>
        <v>96493.537342205425</v>
      </c>
      <c r="J161">
        <f t="shared" si="5"/>
        <v>0</v>
      </c>
    </row>
    <row r="162" spans="1:10">
      <c r="A162" s="1">
        <v>45695</v>
      </c>
      <c r="B162">
        <f>(3/(1+('CurrentPor-LH=60 unchanged'!C162)/100)+103/POWER(1+('CurrentPor-LH=60 unchanged'!D162)/100,2))*100</f>
        <v>9707.5857774288397</v>
      </c>
      <c r="C162">
        <f>(3/(1+('CurrentPor-LH=60 unchanged'!C162+'CurrentPor-LH=60 unchanged'!G162)/100)+103/POWER(1+('CurrentPor-LH=60 unchanged'!D162+'CurrentPor-LH=60 unchanged'!G162)/100,2))*100</f>
        <v>9614.9673582483465</v>
      </c>
      <c r="D162">
        <f>(3/(1+('CurrentPor-LH=60 unchanged'!C162+'CurrentPor-LH=60 unchanged'!H162)/100)+103/POWER(1+('CurrentPor-LH=60 unchanged'!D162+'CurrentPor-LH=60 unchanged'!H162)/100,2))*100</f>
        <v>9601.2395558122898</v>
      </c>
      <c r="E162">
        <f>(3/(1+('CurrentPor-LH=60 unchanged'!C162+'CurrentPor-LH=60 unchanged'!I162)/100)+103/POWER(1+('CurrentPor-LH=60 unchanged'!D162+'CurrentPor-LH=60 unchanged'!I162)/100,2))*100</f>
        <v>9581.4547115644182</v>
      </c>
      <c r="F162">
        <f>Portfolio!B$5*'CurrentPor-LH=60 unchanged'!E162</f>
        <v>52143.895533915893</v>
      </c>
      <c r="G162">
        <f>Portfolio!B$6*'CurrentPor-LH=60 unchanged'!F162</f>
        <v>3696.2945087936532</v>
      </c>
      <c r="H162">
        <f>Portfolio!B$7*'CurrentPor-LH=60 unchanged'!J162</f>
        <v>2148.0998964419859</v>
      </c>
      <c r="I162">
        <f t="shared" si="4"/>
        <v>96493.537342205425</v>
      </c>
      <c r="J162">
        <f t="shared" si="5"/>
        <v>0</v>
      </c>
    </row>
    <row r="163" spans="1:10">
      <c r="A163" s="1">
        <v>45698</v>
      </c>
      <c r="B163">
        <f>(3/(1+('CurrentPor-LH=60 unchanged'!C163)/100)+103/POWER(1+('CurrentPor-LH=60 unchanged'!D163)/100,2))*100</f>
        <v>9707.5857774288397</v>
      </c>
      <c r="C163">
        <f>(3/(1+('CurrentPor-LH=60 unchanged'!C163+'CurrentPor-LH=60 unchanged'!G163)/100)+103/POWER(1+('CurrentPor-LH=60 unchanged'!D163+'CurrentPor-LH=60 unchanged'!G163)/100,2))*100</f>
        <v>9614.9673582483465</v>
      </c>
      <c r="D163">
        <f>(3/(1+('CurrentPor-LH=60 unchanged'!C163+'CurrentPor-LH=60 unchanged'!H163)/100)+103/POWER(1+('CurrentPor-LH=60 unchanged'!D163+'CurrentPor-LH=60 unchanged'!H163)/100,2))*100</f>
        <v>9601.2395558122898</v>
      </c>
      <c r="E163">
        <f>(3/(1+('CurrentPor-LH=60 unchanged'!C163+'CurrentPor-LH=60 unchanged'!I163)/100)+103/POWER(1+('CurrentPor-LH=60 unchanged'!D163+'CurrentPor-LH=60 unchanged'!I163)/100,2))*100</f>
        <v>9581.4547115644182</v>
      </c>
      <c r="F163">
        <f>Portfolio!B$5*'CurrentPor-LH=60 unchanged'!E163</f>
        <v>52143.895533915893</v>
      </c>
      <c r="G163">
        <f>Portfolio!B$6*'CurrentPor-LH=60 unchanged'!F163</f>
        <v>3696.2945087936532</v>
      </c>
      <c r="H163">
        <f>Portfolio!B$7*'CurrentPor-LH=60 unchanged'!J163</f>
        <v>2148.0998964419859</v>
      </c>
      <c r="I163">
        <f t="shared" si="4"/>
        <v>96493.537342205425</v>
      </c>
      <c r="J163">
        <f t="shared" si="5"/>
        <v>0</v>
      </c>
    </row>
    <row r="164" spans="1:10">
      <c r="A164" s="1">
        <v>45699</v>
      </c>
      <c r="B164">
        <f>(3/(1+('CurrentPor-LH=60 unchanged'!C164)/100)+103/POWER(1+('CurrentPor-LH=60 unchanged'!D164)/100,2))*100</f>
        <v>9707.5857774288397</v>
      </c>
      <c r="C164">
        <f>(3/(1+('CurrentPor-LH=60 unchanged'!C164+'CurrentPor-LH=60 unchanged'!G164)/100)+103/POWER(1+('CurrentPor-LH=60 unchanged'!D164+'CurrentPor-LH=60 unchanged'!G164)/100,2))*100</f>
        <v>9614.9673582483465</v>
      </c>
      <c r="D164">
        <f>(3/(1+('CurrentPor-LH=60 unchanged'!C164+'CurrentPor-LH=60 unchanged'!H164)/100)+103/POWER(1+('CurrentPor-LH=60 unchanged'!D164+'CurrentPor-LH=60 unchanged'!H164)/100,2))*100</f>
        <v>9601.2395558122898</v>
      </c>
      <c r="E164">
        <f>(3/(1+('CurrentPor-LH=60 unchanged'!C164+'CurrentPor-LH=60 unchanged'!I164)/100)+103/POWER(1+('CurrentPor-LH=60 unchanged'!D164+'CurrentPor-LH=60 unchanged'!I164)/100,2))*100</f>
        <v>9581.4547115644182</v>
      </c>
      <c r="F164">
        <f>Portfolio!B$5*'CurrentPor-LH=60 unchanged'!E164</f>
        <v>52143.895533915893</v>
      </c>
      <c r="G164">
        <f>Portfolio!B$6*'CurrentPor-LH=60 unchanged'!F164</f>
        <v>3696.2945087936532</v>
      </c>
      <c r="H164">
        <f>Portfolio!B$7*'CurrentPor-LH=60 unchanged'!J164</f>
        <v>2148.0998964419859</v>
      </c>
      <c r="I164">
        <f t="shared" si="4"/>
        <v>96493.537342205425</v>
      </c>
      <c r="J164">
        <f t="shared" si="5"/>
        <v>0</v>
      </c>
    </row>
    <row r="165" spans="1:10">
      <c r="A165" s="1">
        <v>45700</v>
      </c>
      <c r="B165">
        <f>(3/(1+('CurrentPor-LH=60 unchanged'!C165)/100)+103/POWER(1+('CurrentPor-LH=60 unchanged'!D165)/100,2))*100</f>
        <v>9707.5857774288397</v>
      </c>
      <c r="C165">
        <f>(3/(1+('CurrentPor-LH=60 unchanged'!C165+'CurrentPor-LH=60 unchanged'!G165)/100)+103/POWER(1+('CurrentPor-LH=60 unchanged'!D165+'CurrentPor-LH=60 unchanged'!G165)/100,2))*100</f>
        <v>9614.9673582483465</v>
      </c>
      <c r="D165">
        <f>(3/(1+('CurrentPor-LH=60 unchanged'!C165+'CurrentPor-LH=60 unchanged'!H165)/100)+103/POWER(1+('CurrentPor-LH=60 unchanged'!D165+'CurrentPor-LH=60 unchanged'!H165)/100,2))*100</f>
        <v>9601.2395558122898</v>
      </c>
      <c r="E165">
        <f>(3/(1+('CurrentPor-LH=60 unchanged'!C165+'CurrentPor-LH=60 unchanged'!I165)/100)+103/POWER(1+('CurrentPor-LH=60 unchanged'!D165+'CurrentPor-LH=60 unchanged'!I165)/100,2))*100</f>
        <v>9581.4547115644182</v>
      </c>
      <c r="F165">
        <f>Portfolio!B$5*'CurrentPor-LH=60 unchanged'!E165</f>
        <v>52143.895533915893</v>
      </c>
      <c r="G165">
        <f>Portfolio!B$6*'CurrentPor-LH=60 unchanged'!F165</f>
        <v>3696.2945087936532</v>
      </c>
      <c r="H165">
        <f>Portfolio!B$7*'CurrentPor-LH=60 unchanged'!J165</f>
        <v>2148.0998964419859</v>
      </c>
      <c r="I165">
        <f t="shared" si="4"/>
        <v>96493.537342205425</v>
      </c>
      <c r="J165">
        <f t="shared" si="5"/>
        <v>0</v>
      </c>
    </row>
    <row r="166" spans="1:10">
      <c r="A166" s="1">
        <v>45701</v>
      </c>
      <c r="B166">
        <f>(3/(1+('CurrentPor-LH=60 unchanged'!C166)/100)+103/POWER(1+('CurrentPor-LH=60 unchanged'!D166)/100,2))*100</f>
        <v>9707.5857774288397</v>
      </c>
      <c r="C166">
        <f>(3/(1+('CurrentPor-LH=60 unchanged'!C166+'CurrentPor-LH=60 unchanged'!G166)/100)+103/POWER(1+('CurrentPor-LH=60 unchanged'!D166+'CurrentPor-LH=60 unchanged'!G166)/100,2))*100</f>
        <v>9614.9673582483465</v>
      </c>
      <c r="D166">
        <f>(3/(1+('CurrentPor-LH=60 unchanged'!C166+'CurrentPor-LH=60 unchanged'!H166)/100)+103/POWER(1+('CurrentPor-LH=60 unchanged'!D166+'CurrentPor-LH=60 unchanged'!H166)/100,2))*100</f>
        <v>9601.2395558122898</v>
      </c>
      <c r="E166">
        <f>(3/(1+('CurrentPor-LH=60 unchanged'!C166+'CurrentPor-LH=60 unchanged'!I166)/100)+103/POWER(1+('CurrentPor-LH=60 unchanged'!D166+'CurrentPor-LH=60 unchanged'!I166)/100,2))*100</f>
        <v>9581.4547115644182</v>
      </c>
      <c r="F166">
        <f>Portfolio!B$5*'CurrentPor-LH=60 unchanged'!E166</f>
        <v>52143.895533915893</v>
      </c>
      <c r="G166">
        <f>Portfolio!B$6*'CurrentPor-LH=60 unchanged'!F166</f>
        <v>3696.2945087936532</v>
      </c>
      <c r="H166">
        <f>Portfolio!B$7*'CurrentPor-LH=60 unchanged'!J166</f>
        <v>2148.0998964419859</v>
      </c>
      <c r="I166">
        <f t="shared" si="4"/>
        <v>96493.537342205425</v>
      </c>
      <c r="J166">
        <f t="shared" si="5"/>
        <v>0</v>
      </c>
    </row>
    <row r="167" spans="1:10">
      <c r="A167" s="1">
        <v>45702</v>
      </c>
      <c r="B167">
        <f>(3/(1+('CurrentPor-LH=60 unchanged'!C167)/100)+103/POWER(1+('CurrentPor-LH=60 unchanged'!D167)/100,2))*100</f>
        <v>9707.5857774288397</v>
      </c>
      <c r="C167">
        <f>(3/(1+('CurrentPor-LH=60 unchanged'!C167+'CurrentPor-LH=60 unchanged'!G167)/100)+103/POWER(1+('CurrentPor-LH=60 unchanged'!D167+'CurrentPor-LH=60 unchanged'!G167)/100,2))*100</f>
        <v>9614.9673582483465</v>
      </c>
      <c r="D167">
        <f>(3/(1+('CurrentPor-LH=60 unchanged'!C167+'CurrentPor-LH=60 unchanged'!H167)/100)+103/POWER(1+('CurrentPor-LH=60 unchanged'!D167+'CurrentPor-LH=60 unchanged'!H167)/100,2))*100</f>
        <v>9601.2395558122898</v>
      </c>
      <c r="E167">
        <f>(3/(1+('CurrentPor-LH=60 unchanged'!C167+'CurrentPor-LH=60 unchanged'!I167)/100)+103/POWER(1+('CurrentPor-LH=60 unchanged'!D167+'CurrentPor-LH=60 unchanged'!I167)/100,2))*100</f>
        <v>9581.4547115644182</v>
      </c>
      <c r="F167">
        <f>Portfolio!B$5*'CurrentPor-LH=60 unchanged'!E167</f>
        <v>52143.895533915893</v>
      </c>
      <c r="G167">
        <f>Portfolio!B$6*'CurrentPor-LH=60 unchanged'!F167</f>
        <v>3696.2945087936532</v>
      </c>
      <c r="H167">
        <f>Portfolio!B$7*'CurrentPor-LH=60 unchanged'!J167</f>
        <v>2148.0998964419859</v>
      </c>
      <c r="I167">
        <f t="shared" si="4"/>
        <v>96493.537342205425</v>
      </c>
      <c r="J167">
        <f t="shared" si="5"/>
        <v>0</v>
      </c>
    </row>
    <row r="168" spans="1:10">
      <c r="A168" s="1">
        <v>45705</v>
      </c>
      <c r="B168">
        <f>(3/(1+('CurrentPor-LH=60 unchanged'!C168)/100)+103/POWER(1+('CurrentPor-LH=60 unchanged'!D168)/100,2))*100</f>
        <v>9707.5857774288397</v>
      </c>
      <c r="C168">
        <f>(3/(1+('CurrentPor-LH=60 unchanged'!C168+'CurrentPor-LH=60 unchanged'!G168)/100)+103/POWER(1+('CurrentPor-LH=60 unchanged'!D168+'CurrentPor-LH=60 unchanged'!G168)/100,2))*100</f>
        <v>9614.9673582483465</v>
      </c>
      <c r="D168">
        <f>(3/(1+('CurrentPor-LH=60 unchanged'!C168+'CurrentPor-LH=60 unchanged'!H168)/100)+103/POWER(1+('CurrentPor-LH=60 unchanged'!D168+'CurrentPor-LH=60 unchanged'!H168)/100,2))*100</f>
        <v>9601.2395558122898</v>
      </c>
      <c r="E168">
        <f>(3/(1+('CurrentPor-LH=60 unchanged'!C168+'CurrentPor-LH=60 unchanged'!I168)/100)+103/POWER(1+('CurrentPor-LH=60 unchanged'!D168+'CurrentPor-LH=60 unchanged'!I168)/100,2))*100</f>
        <v>9581.4547115644182</v>
      </c>
      <c r="F168">
        <f>Portfolio!B$5*'CurrentPor-LH=60 unchanged'!E168</f>
        <v>52143.895533915893</v>
      </c>
      <c r="G168">
        <f>Portfolio!B$6*'CurrentPor-LH=60 unchanged'!F168</f>
        <v>3696.2945087936532</v>
      </c>
      <c r="H168">
        <f>Portfolio!B$7*'CurrentPor-LH=60 unchanged'!J168</f>
        <v>2148.0998964419859</v>
      </c>
      <c r="I168">
        <f t="shared" si="4"/>
        <v>96493.537342205425</v>
      </c>
      <c r="J168">
        <f t="shared" si="5"/>
        <v>0</v>
      </c>
    </row>
    <row r="169" spans="1:10">
      <c r="A169" s="1">
        <v>45706</v>
      </c>
      <c r="B169">
        <f>(3/(1+('CurrentPor-LH=60 unchanged'!C169)/100)+103/POWER(1+('CurrentPor-LH=60 unchanged'!D169)/100,2))*100</f>
        <v>9707.5857774288397</v>
      </c>
      <c r="C169">
        <f>(3/(1+('CurrentPor-LH=60 unchanged'!C169+'CurrentPor-LH=60 unchanged'!G169)/100)+103/POWER(1+('CurrentPor-LH=60 unchanged'!D169+'CurrentPor-LH=60 unchanged'!G169)/100,2))*100</f>
        <v>9614.9673582483465</v>
      </c>
      <c r="D169">
        <f>(3/(1+('CurrentPor-LH=60 unchanged'!C169+'CurrentPor-LH=60 unchanged'!H169)/100)+103/POWER(1+('CurrentPor-LH=60 unchanged'!D169+'CurrentPor-LH=60 unchanged'!H169)/100,2))*100</f>
        <v>9601.2395558122898</v>
      </c>
      <c r="E169">
        <f>(3/(1+('CurrentPor-LH=60 unchanged'!C169+'CurrentPor-LH=60 unchanged'!I169)/100)+103/POWER(1+('CurrentPor-LH=60 unchanged'!D169+'CurrentPor-LH=60 unchanged'!I169)/100,2))*100</f>
        <v>9581.4547115644182</v>
      </c>
      <c r="F169">
        <f>Portfolio!B$5*'CurrentPor-LH=60 unchanged'!E169</f>
        <v>52143.895533915893</v>
      </c>
      <c r="G169">
        <f>Portfolio!B$6*'CurrentPor-LH=60 unchanged'!F169</f>
        <v>3696.2945087936532</v>
      </c>
      <c r="H169">
        <f>Portfolio!B$7*'CurrentPor-LH=60 unchanged'!J169</f>
        <v>2148.0998964419859</v>
      </c>
      <c r="I169">
        <f t="shared" si="4"/>
        <v>96493.537342205425</v>
      </c>
      <c r="J169">
        <f t="shared" si="5"/>
        <v>0</v>
      </c>
    </row>
    <row r="170" spans="1:10">
      <c r="A170" s="1">
        <v>45707</v>
      </c>
      <c r="B170">
        <f>(3/(1+('CurrentPor-LH=60 unchanged'!C170)/100)+103/POWER(1+('CurrentPor-LH=60 unchanged'!D170)/100,2))*100</f>
        <v>9707.5857774288397</v>
      </c>
      <c r="C170">
        <f>(3/(1+('CurrentPor-LH=60 unchanged'!C170+'CurrentPor-LH=60 unchanged'!G170)/100)+103/POWER(1+('CurrentPor-LH=60 unchanged'!D170+'CurrentPor-LH=60 unchanged'!G170)/100,2))*100</f>
        <v>9614.9673582483465</v>
      </c>
      <c r="D170">
        <f>(3/(1+('CurrentPor-LH=60 unchanged'!C170+'CurrentPor-LH=60 unchanged'!H170)/100)+103/POWER(1+('CurrentPor-LH=60 unchanged'!D170+'CurrentPor-LH=60 unchanged'!H170)/100,2))*100</f>
        <v>9601.2395558122898</v>
      </c>
      <c r="E170">
        <f>(3/(1+('CurrentPor-LH=60 unchanged'!C170+'CurrentPor-LH=60 unchanged'!I170)/100)+103/POWER(1+('CurrentPor-LH=60 unchanged'!D170+'CurrentPor-LH=60 unchanged'!I170)/100,2))*100</f>
        <v>9581.4547115644182</v>
      </c>
      <c r="F170">
        <f>Portfolio!B$5*'CurrentPor-LH=60 unchanged'!E170</f>
        <v>52143.895533915893</v>
      </c>
      <c r="G170">
        <f>Portfolio!B$6*'CurrentPor-LH=60 unchanged'!F170</f>
        <v>3696.2945087936532</v>
      </c>
      <c r="H170">
        <f>Portfolio!B$7*'CurrentPor-LH=60 unchanged'!J170</f>
        <v>2148.0998964419859</v>
      </c>
      <c r="I170">
        <f t="shared" si="4"/>
        <v>96493.537342205425</v>
      </c>
      <c r="J170">
        <f t="shared" si="5"/>
        <v>0</v>
      </c>
    </row>
    <row r="171" spans="1:10">
      <c r="A171" s="1">
        <v>45708</v>
      </c>
      <c r="B171">
        <f>(3/(1+('CurrentPor-LH=60 unchanged'!C171)/100)+103/POWER(1+('CurrentPor-LH=60 unchanged'!D171)/100,2))*100</f>
        <v>9707.5857774288397</v>
      </c>
      <c r="C171">
        <f>(3/(1+('CurrentPor-LH=60 unchanged'!C171+'CurrentPor-LH=60 unchanged'!G171)/100)+103/POWER(1+('CurrentPor-LH=60 unchanged'!D171+'CurrentPor-LH=60 unchanged'!G171)/100,2))*100</f>
        <v>9614.9673582483465</v>
      </c>
      <c r="D171">
        <f>(3/(1+('CurrentPor-LH=60 unchanged'!C171+'CurrentPor-LH=60 unchanged'!H171)/100)+103/POWER(1+('CurrentPor-LH=60 unchanged'!D171+'CurrentPor-LH=60 unchanged'!H171)/100,2))*100</f>
        <v>9601.2395558122898</v>
      </c>
      <c r="E171">
        <f>(3/(1+('CurrentPor-LH=60 unchanged'!C171+'CurrentPor-LH=60 unchanged'!I171)/100)+103/POWER(1+('CurrentPor-LH=60 unchanged'!D171+'CurrentPor-LH=60 unchanged'!I171)/100,2))*100</f>
        <v>9581.4547115644182</v>
      </c>
      <c r="F171">
        <f>Portfolio!B$5*'CurrentPor-LH=60 unchanged'!E171</f>
        <v>52143.895533915893</v>
      </c>
      <c r="G171">
        <f>Portfolio!B$6*'CurrentPor-LH=60 unchanged'!F171</f>
        <v>3696.2945087936532</v>
      </c>
      <c r="H171">
        <f>Portfolio!B$7*'CurrentPor-LH=60 unchanged'!J171</f>
        <v>2148.0998964419859</v>
      </c>
      <c r="I171">
        <f t="shared" si="4"/>
        <v>96493.537342205425</v>
      </c>
      <c r="J171">
        <f t="shared" si="5"/>
        <v>0</v>
      </c>
    </row>
    <row r="172" spans="1:10">
      <c r="A172" s="1">
        <v>45709</v>
      </c>
      <c r="B172">
        <f>(3/(1+('CurrentPor-LH=60 unchanged'!C172)/100)+103/POWER(1+('CurrentPor-LH=60 unchanged'!D172)/100,2))*100</f>
        <v>9707.5857774288397</v>
      </c>
      <c r="C172">
        <f>(3/(1+('CurrentPor-LH=60 unchanged'!C172+'CurrentPor-LH=60 unchanged'!G172)/100)+103/POWER(1+('CurrentPor-LH=60 unchanged'!D172+'CurrentPor-LH=60 unchanged'!G172)/100,2))*100</f>
        <v>9614.9673582483465</v>
      </c>
      <c r="D172">
        <f>(3/(1+('CurrentPor-LH=60 unchanged'!C172+'CurrentPor-LH=60 unchanged'!H172)/100)+103/POWER(1+('CurrentPor-LH=60 unchanged'!D172+'CurrentPor-LH=60 unchanged'!H172)/100,2))*100</f>
        <v>9601.2395558122898</v>
      </c>
      <c r="E172">
        <f>(3/(1+('CurrentPor-LH=60 unchanged'!C172+'CurrentPor-LH=60 unchanged'!I172)/100)+103/POWER(1+('CurrentPor-LH=60 unchanged'!D172+'CurrentPor-LH=60 unchanged'!I172)/100,2))*100</f>
        <v>9581.4547115644182</v>
      </c>
      <c r="F172">
        <f>Portfolio!B$5*'CurrentPor-LH=60 unchanged'!E172</f>
        <v>52143.895533915893</v>
      </c>
      <c r="G172">
        <f>Portfolio!B$6*'CurrentPor-LH=60 unchanged'!F172</f>
        <v>3696.2945087936532</v>
      </c>
      <c r="H172">
        <f>Portfolio!B$7*'CurrentPor-LH=60 unchanged'!J172</f>
        <v>2148.0998964419859</v>
      </c>
      <c r="I172">
        <f t="shared" si="4"/>
        <v>96493.537342205425</v>
      </c>
      <c r="J172">
        <f t="shared" si="5"/>
        <v>0</v>
      </c>
    </row>
    <row r="173" spans="1:10">
      <c r="A173" s="1">
        <v>45712</v>
      </c>
      <c r="B173">
        <f>(3/(1+('CurrentPor-LH=60 unchanged'!C173)/100)+103/POWER(1+('CurrentPor-LH=60 unchanged'!D173)/100,2))*100</f>
        <v>9707.5857774288397</v>
      </c>
      <c r="C173">
        <f>(3/(1+('CurrentPor-LH=60 unchanged'!C173+'CurrentPor-LH=60 unchanged'!G173)/100)+103/POWER(1+('CurrentPor-LH=60 unchanged'!D173+'CurrentPor-LH=60 unchanged'!G173)/100,2))*100</f>
        <v>9614.9673582483465</v>
      </c>
      <c r="D173">
        <f>(3/(1+('CurrentPor-LH=60 unchanged'!C173+'CurrentPor-LH=60 unchanged'!H173)/100)+103/POWER(1+('CurrentPor-LH=60 unchanged'!D173+'CurrentPor-LH=60 unchanged'!H173)/100,2))*100</f>
        <v>9601.2395558122898</v>
      </c>
      <c r="E173">
        <f>(3/(1+('CurrentPor-LH=60 unchanged'!C173+'CurrentPor-LH=60 unchanged'!I173)/100)+103/POWER(1+('CurrentPor-LH=60 unchanged'!D173+'CurrentPor-LH=60 unchanged'!I173)/100,2))*100</f>
        <v>9581.4547115644182</v>
      </c>
      <c r="F173">
        <f>Portfolio!B$5*'CurrentPor-LH=60 unchanged'!E173</f>
        <v>52143.895533915893</v>
      </c>
      <c r="G173">
        <f>Portfolio!B$6*'CurrentPor-LH=60 unchanged'!F173</f>
        <v>3696.2945087936532</v>
      </c>
      <c r="H173">
        <f>Portfolio!B$7*'CurrentPor-LH=60 unchanged'!J173</f>
        <v>2148.0998964419859</v>
      </c>
      <c r="I173">
        <f t="shared" si="4"/>
        <v>96493.537342205425</v>
      </c>
      <c r="J173">
        <f t="shared" si="5"/>
        <v>0</v>
      </c>
    </row>
    <row r="174" spans="1:10">
      <c r="A174" s="1">
        <v>45713</v>
      </c>
      <c r="B174">
        <f>(3/(1+('CurrentPor-LH=60 unchanged'!C174)/100)+103/POWER(1+('CurrentPor-LH=60 unchanged'!D174)/100,2))*100</f>
        <v>9707.5857774288397</v>
      </c>
      <c r="C174">
        <f>(3/(1+('CurrentPor-LH=60 unchanged'!C174+'CurrentPor-LH=60 unchanged'!G174)/100)+103/POWER(1+('CurrentPor-LH=60 unchanged'!D174+'CurrentPor-LH=60 unchanged'!G174)/100,2))*100</f>
        <v>9614.9673582483465</v>
      </c>
      <c r="D174">
        <f>(3/(1+('CurrentPor-LH=60 unchanged'!C174+'CurrentPor-LH=60 unchanged'!H174)/100)+103/POWER(1+('CurrentPor-LH=60 unchanged'!D174+'CurrentPor-LH=60 unchanged'!H174)/100,2))*100</f>
        <v>9601.2395558122898</v>
      </c>
      <c r="E174">
        <f>(3/(1+('CurrentPor-LH=60 unchanged'!C174+'CurrentPor-LH=60 unchanged'!I174)/100)+103/POWER(1+('CurrentPor-LH=60 unchanged'!D174+'CurrentPor-LH=60 unchanged'!I174)/100,2))*100</f>
        <v>9581.4547115644182</v>
      </c>
      <c r="F174">
        <f>Portfolio!B$5*'CurrentPor-LH=60 unchanged'!E174</f>
        <v>52143.895533915893</v>
      </c>
      <c r="G174">
        <f>Portfolio!B$6*'CurrentPor-LH=60 unchanged'!F174</f>
        <v>3696.2945087936532</v>
      </c>
      <c r="H174">
        <f>Portfolio!B$7*'CurrentPor-LH=60 unchanged'!J174</f>
        <v>2148.0998964419859</v>
      </c>
      <c r="I174">
        <f t="shared" si="4"/>
        <v>96493.537342205425</v>
      </c>
      <c r="J174">
        <f t="shared" si="5"/>
        <v>0</v>
      </c>
    </row>
    <row r="175" spans="1:10">
      <c r="A175" s="1">
        <v>45714</v>
      </c>
      <c r="B175">
        <f>(3/(1+('CurrentPor-LH=60 unchanged'!C175)/100)+103/POWER(1+('CurrentPor-LH=60 unchanged'!D175)/100,2))*100</f>
        <v>9707.5857774288397</v>
      </c>
      <c r="C175">
        <f>(3/(1+('CurrentPor-LH=60 unchanged'!C175+'CurrentPor-LH=60 unchanged'!G175)/100)+103/POWER(1+('CurrentPor-LH=60 unchanged'!D175+'CurrentPor-LH=60 unchanged'!G175)/100,2))*100</f>
        <v>9614.9673582483465</v>
      </c>
      <c r="D175">
        <f>(3/(1+('CurrentPor-LH=60 unchanged'!C175+'CurrentPor-LH=60 unchanged'!H175)/100)+103/POWER(1+('CurrentPor-LH=60 unchanged'!D175+'CurrentPor-LH=60 unchanged'!H175)/100,2))*100</f>
        <v>9601.2395558122898</v>
      </c>
      <c r="E175">
        <f>(3/(1+('CurrentPor-LH=60 unchanged'!C175+'CurrentPor-LH=60 unchanged'!I175)/100)+103/POWER(1+('CurrentPor-LH=60 unchanged'!D175+'CurrentPor-LH=60 unchanged'!I175)/100,2))*100</f>
        <v>9581.4547115644182</v>
      </c>
      <c r="F175">
        <f>Portfolio!B$5*'CurrentPor-LH=60 unchanged'!E175</f>
        <v>52143.895533915893</v>
      </c>
      <c r="G175">
        <f>Portfolio!B$6*'CurrentPor-LH=60 unchanged'!F175</f>
        <v>3696.2945087936532</v>
      </c>
      <c r="H175">
        <f>Portfolio!B$7*'CurrentPor-LH=60 unchanged'!J175</f>
        <v>2148.0998964419859</v>
      </c>
      <c r="I175">
        <f t="shared" si="4"/>
        <v>96493.537342205425</v>
      </c>
      <c r="J175">
        <f t="shared" si="5"/>
        <v>0</v>
      </c>
    </row>
    <row r="176" spans="1:10">
      <c r="A176" s="1">
        <v>45715</v>
      </c>
      <c r="B176">
        <f>(3/(1+('CurrentPor-LH=60 unchanged'!C176)/100)+103/POWER(1+('CurrentPor-LH=60 unchanged'!D176)/100,2))*100</f>
        <v>9707.5857774288397</v>
      </c>
      <c r="C176">
        <f>(3/(1+('CurrentPor-LH=60 unchanged'!C176+'CurrentPor-LH=60 unchanged'!G176)/100)+103/POWER(1+('CurrentPor-LH=60 unchanged'!D176+'CurrentPor-LH=60 unchanged'!G176)/100,2))*100</f>
        <v>9614.9673582483465</v>
      </c>
      <c r="D176">
        <f>(3/(1+('CurrentPor-LH=60 unchanged'!C176+'CurrentPor-LH=60 unchanged'!H176)/100)+103/POWER(1+('CurrentPor-LH=60 unchanged'!D176+'CurrentPor-LH=60 unchanged'!H176)/100,2))*100</f>
        <v>9601.2395558122898</v>
      </c>
      <c r="E176">
        <f>(3/(1+('CurrentPor-LH=60 unchanged'!C176+'CurrentPor-LH=60 unchanged'!I176)/100)+103/POWER(1+('CurrentPor-LH=60 unchanged'!D176+'CurrentPor-LH=60 unchanged'!I176)/100,2))*100</f>
        <v>9581.4547115644182</v>
      </c>
      <c r="F176">
        <f>Portfolio!B$5*'CurrentPor-LH=60 unchanged'!E176</f>
        <v>52143.895533915893</v>
      </c>
      <c r="G176">
        <f>Portfolio!B$6*'CurrentPor-LH=60 unchanged'!F176</f>
        <v>3696.2945087936532</v>
      </c>
      <c r="H176">
        <f>Portfolio!B$7*'CurrentPor-LH=60 unchanged'!J176</f>
        <v>2148.0998964419859</v>
      </c>
      <c r="I176">
        <f t="shared" si="4"/>
        <v>96493.537342205425</v>
      </c>
      <c r="J176">
        <f t="shared" si="5"/>
        <v>0</v>
      </c>
    </row>
    <row r="177" spans="1:10">
      <c r="A177" s="1">
        <v>45716</v>
      </c>
      <c r="B177">
        <f>(3/(1+('CurrentPor-LH=60 unchanged'!C177)/100)+103/POWER(1+('CurrentPor-LH=60 unchanged'!D177)/100,2))*100</f>
        <v>9707.5857774288397</v>
      </c>
      <c r="C177">
        <f>(3/(1+('CurrentPor-LH=60 unchanged'!C177+'CurrentPor-LH=60 unchanged'!G177)/100)+103/POWER(1+('CurrentPor-LH=60 unchanged'!D177+'CurrentPor-LH=60 unchanged'!G177)/100,2))*100</f>
        <v>9614.9673582483465</v>
      </c>
      <c r="D177">
        <f>(3/(1+('CurrentPor-LH=60 unchanged'!C177+'CurrentPor-LH=60 unchanged'!H177)/100)+103/POWER(1+('CurrentPor-LH=60 unchanged'!D177+'CurrentPor-LH=60 unchanged'!H177)/100,2))*100</f>
        <v>9601.2395558122898</v>
      </c>
      <c r="E177">
        <f>(3/(1+('CurrentPor-LH=60 unchanged'!C177+'CurrentPor-LH=60 unchanged'!I177)/100)+103/POWER(1+('CurrentPor-LH=60 unchanged'!D177+'CurrentPor-LH=60 unchanged'!I177)/100,2))*100</f>
        <v>9581.4547115644182</v>
      </c>
      <c r="F177">
        <f>Portfolio!B$5*'CurrentPor-LH=60 unchanged'!E177</f>
        <v>52143.895533915893</v>
      </c>
      <c r="G177">
        <f>Portfolio!B$6*'CurrentPor-LH=60 unchanged'!F177</f>
        <v>3696.2945087936532</v>
      </c>
      <c r="H177">
        <f>Portfolio!B$7*'CurrentPor-LH=60 unchanged'!J177</f>
        <v>2148.0998964419859</v>
      </c>
      <c r="I177">
        <f t="shared" si="4"/>
        <v>96493.537342205425</v>
      </c>
      <c r="J177">
        <f t="shared" si="5"/>
        <v>0</v>
      </c>
    </row>
    <row r="178" spans="1:10">
      <c r="A178" s="1">
        <v>45719</v>
      </c>
      <c r="B178">
        <f>(3/(1+('CurrentPor-LH=60 unchanged'!C178)/100)+103/POWER(1+('CurrentPor-LH=60 unchanged'!D178)/100,2))*100</f>
        <v>9707.5857774288397</v>
      </c>
      <c r="C178">
        <f>(3/(1+('CurrentPor-LH=60 unchanged'!C178+'CurrentPor-LH=60 unchanged'!G178)/100)+103/POWER(1+('CurrentPor-LH=60 unchanged'!D178+'CurrentPor-LH=60 unchanged'!G178)/100,2))*100</f>
        <v>9614.9673582483465</v>
      </c>
      <c r="D178">
        <f>(3/(1+('CurrentPor-LH=60 unchanged'!C178+'CurrentPor-LH=60 unchanged'!H178)/100)+103/POWER(1+('CurrentPor-LH=60 unchanged'!D178+'CurrentPor-LH=60 unchanged'!H178)/100,2))*100</f>
        <v>9601.2395558122898</v>
      </c>
      <c r="E178">
        <f>(3/(1+('CurrentPor-LH=60 unchanged'!C178+'CurrentPor-LH=60 unchanged'!I178)/100)+103/POWER(1+('CurrentPor-LH=60 unchanged'!D178+'CurrentPor-LH=60 unchanged'!I178)/100,2))*100</f>
        <v>9581.4547115644182</v>
      </c>
      <c r="F178">
        <f>Portfolio!B$5*'CurrentPor-LH=60 unchanged'!E178</f>
        <v>52143.895533915893</v>
      </c>
      <c r="G178">
        <f>Portfolio!B$6*'CurrentPor-LH=60 unchanged'!F178</f>
        <v>3696.2945087936532</v>
      </c>
      <c r="H178">
        <f>Portfolio!B$7*'CurrentPor-LH=60 unchanged'!J178</f>
        <v>2148.0998964419859</v>
      </c>
      <c r="I178">
        <f t="shared" si="4"/>
        <v>96493.537342205425</v>
      </c>
      <c r="J178">
        <f t="shared" si="5"/>
        <v>0</v>
      </c>
    </row>
    <row r="179" spans="1:10">
      <c r="A179" s="1">
        <v>45720</v>
      </c>
      <c r="B179">
        <f>(3/(1+('CurrentPor-LH=60 unchanged'!C179)/100)+103/POWER(1+('CurrentPor-LH=60 unchanged'!D179)/100,2))*100</f>
        <v>9707.5857774288397</v>
      </c>
      <c r="C179">
        <f>(3/(1+('CurrentPor-LH=60 unchanged'!C179+'CurrentPor-LH=60 unchanged'!G179)/100)+103/POWER(1+('CurrentPor-LH=60 unchanged'!D179+'CurrentPor-LH=60 unchanged'!G179)/100,2))*100</f>
        <v>9614.9673582483465</v>
      </c>
      <c r="D179">
        <f>(3/(1+('CurrentPor-LH=60 unchanged'!C179+'CurrentPor-LH=60 unchanged'!H179)/100)+103/POWER(1+('CurrentPor-LH=60 unchanged'!D179+'CurrentPor-LH=60 unchanged'!H179)/100,2))*100</f>
        <v>9601.2395558122898</v>
      </c>
      <c r="E179">
        <f>(3/(1+('CurrentPor-LH=60 unchanged'!C179+'CurrentPor-LH=60 unchanged'!I179)/100)+103/POWER(1+('CurrentPor-LH=60 unchanged'!D179+'CurrentPor-LH=60 unchanged'!I179)/100,2))*100</f>
        <v>9581.4547115644182</v>
      </c>
      <c r="F179">
        <f>Portfolio!B$5*'CurrentPor-LH=60 unchanged'!E179</f>
        <v>52143.895533915893</v>
      </c>
      <c r="G179">
        <f>Portfolio!B$6*'CurrentPor-LH=60 unchanged'!F179</f>
        <v>3696.2945087936532</v>
      </c>
      <c r="H179">
        <f>Portfolio!B$7*'CurrentPor-LH=60 unchanged'!J179</f>
        <v>2148.0998964419859</v>
      </c>
      <c r="I179">
        <f t="shared" si="4"/>
        <v>96493.537342205425</v>
      </c>
      <c r="J179">
        <f t="shared" si="5"/>
        <v>0</v>
      </c>
    </row>
    <row r="180" spans="1:10">
      <c r="A180" s="1">
        <v>45721</v>
      </c>
      <c r="B180">
        <f>(3/(1+('CurrentPor-LH=60 unchanged'!C180)/100)+103/POWER(1+('CurrentPor-LH=60 unchanged'!D180)/100,2))*100</f>
        <v>9707.5857774288397</v>
      </c>
      <c r="C180">
        <f>(3/(1+('CurrentPor-LH=60 unchanged'!C180+'CurrentPor-LH=60 unchanged'!G180)/100)+103/POWER(1+('CurrentPor-LH=60 unchanged'!D180+'CurrentPor-LH=60 unchanged'!G180)/100,2))*100</f>
        <v>9614.9673582483465</v>
      </c>
      <c r="D180">
        <f>(3/(1+('CurrentPor-LH=60 unchanged'!C180+'CurrentPor-LH=60 unchanged'!H180)/100)+103/POWER(1+('CurrentPor-LH=60 unchanged'!D180+'CurrentPor-LH=60 unchanged'!H180)/100,2))*100</f>
        <v>9601.2395558122898</v>
      </c>
      <c r="E180">
        <f>(3/(1+('CurrentPor-LH=60 unchanged'!C180+'CurrentPor-LH=60 unchanged'!I180)/100)+103/POWER(1+('CurrentPor-LH=60 unchanged'!D180+'CurrentPor-LH=60 unchanged'!I180)/100,2))*100</f>
        <v>9581.4547115644182</v>
      </c>
      <c r="F180">
        <f>Portfolio!B$5*'CurrentPor-LH=60 unchanged'!E180</f>
        <v>52143.895533915893</v>
      </c>
      <c r="G180">
        <f>Portfolio!B$6*'CurrentPor-LH=60 unchanged'!F180</f>
        <v>3696.2945087936532</v>
      </c>
      <c r="H180">
        <f>Portfolio!B$7*'CurrentPor-LH=60 unchanged'!J180</f>
        <v>2148.0998964419859</v>
      </c>
      <c r="I180">
        <f t="shared" si="4"/>
        <v>96493.537342205425</v>
      </c>
      <c r="J180">
        <f t="shared" si="5"/>
        <v>0</v>
      </c>
    </row>
    <row r="181" spans="1:10">
      <c r="A181" s="1">
        <v>45722</v>
      </c>
      <c r="B181">
        <f>(3/(1+('CurrentPor-LH=60 unchanged'!C181)/100)+103/POWER(1+('CurrentPor-LH=60 unchanged'!D181)/100,2))*100</f>
        <v>9707.5857774288397</v>
      </c>
      <c r="C181">
        <f>(3/(1+('CurrentPor-LH=60 unchanged'!C181+'CurrentPor-LH=60 unchanged'!G181)/100)+103/POWER(1+('CurrentPor-LH=60 unchanged'!D181+'CurrentPor-LH=60 unchanged'!G181)/100,2))*100</f>
        <v>9614.9673582483465</v>
      </c>
      <c r="D181">
        <f>(3/(1+('CurrentPor-LH=60 unchanged'!C181+'CurrentPor-LH=60 unchanged'!H181)/100)+103/POWER(1+('CurrentPor-LH=60 unchanged'!D181+'CurrentPor-LH=60 unchanged'!H181)/100,2))*100</f>
        <v>9601.2395558122898</v>
      </c>
      <c r="E181">
        <f>(3/(1+('CurrentPor-LH=60 unchanged'!C181+'CurrentPor-LH=60 unchanged'!I181)/100)+103/POWER(1+('CurrentPor-LH=60 unchanged'!D181+'CurrentPor-LH=60 unchanged'!I181)/100,2))*100</f>
        <v>9581.4547115644182</v>
      </c>
      <c r="F181">
        <f>Portfolio!B$5*'CurrentPor-LH=60 unchanged'!E181</f>
        <v>52143.895533915893</v>
      </c>
      <c r="G181">
        <f>Portfolio!B$6*'CurrentPor-LH=60 unchanged'!F181</f>
        <v>3696.2945087936532</v>
      </c>
      <c r="H181">
        <f>Portfolio!B$7*'CurrentPor-LH=60 unchanged'!J181</f>
        <v>2148.0998964419859</v>
      </c>
      <c r="I181">
        <f t="shared" si="4"/>
        <v>96493.537342205425</v>
      </c>
      <c r="J181">
        <f t="shared" si="5"/>
        <v>0</v>
      </c>
    </row>
    <row r="182" spans="1:10">
      <c r="A182" s="1">
        <v>45723</v>
      </c>
      <c r="B182">
        <f>(3/(1+('CurrentPor-LH=60 unchanged'!C182)/100)+103/POWER(1+('CurrentPor-LH=60 unchanged'!D182)/100,2))*100</f>
        <v>9707.5857774288397</v>
      </c>
      <c r="C182">
        <f>(3/(1+('CurrentPor-LH=60 unchanged'!C182+'CurrentPor-LH=60 unchanged'!G182)/100)+103/POWER(1+('CurrentPor-LH=60 unchanged'!D182+'CurrentPor-LH=60 unchanged'!G182)/100,2))*100</f>
        <v>9614.9673582483465</v>
      </c>
      <c r="D182">
        <f>(3/(1+('CurrentPor-LH=60 unchanged'!C182+'CurrentPor-LH=60 unchanged'!H182)/100)+103/POWER(1+('CurrentPor-LH=60 unchanged'!D182+'CurrentPor-LH=60 unchanged'!H182)/100,2))*100</f>
        <v>9601.2395558122898</v>
      </c>
      <c r="E182">
        <f>(3/(1+('CurrentPor-LH=60 unchanged'!C182+'CurrentPor-LH=60 unchanged'!I182)/100)+103/POWER(1+('CurrentPor-LH=60 unchanged'!D182+'CurrentPor-LH=60 unchanged'!I182)/100,2))*100</f>
        <v>9581.4547115644182</v>
      </c>
      <c r="F182">
        <f>Portfolio!B$5*'CurrentPor-LH=60 unchanged'!E182</f>
        <v>52143.895533915893</v>
      </c>
      <c r="G182">
        <f>Portfolio!B$6*'CurrentPor-LH=60 unchanged'!F182</f>
        <v>3696.2945087936532</v>
      </c>
      <c r="H182">
        <f>Portfolio!B$7*'CurrentPor-LH=60 unchanged'!J182</f>
        <v>2148.0998964419859</v>
      </c>
      <c r="I182">
        <f t="shared" si="4"/>
        <v>96493.537342205425</v>
      </c>
      <c r="J182">
        <f t="shared" si="5"/>
        <v>0</v>
      </c>
    </row>
    <row r="183" spans="1:10">
      <c r="A183" s="1">
        <v>45726</v>
      </c>
      <c r="B183">
        <f>(3/(1+('CurrentPor-LH=60 unchanged'!C183)/100)+103/POWER(1+('CurrentPor-LH=60 unchanged'!D183)/100,2))*100</f>
        <v>9707.5857774288397</v>
      </c>
      <c r="C183">
        <f>(3/(1+('CurrentPor-LH=60 unchanged'!C183+'CurrentPor-LH=60 unchanged'!G183)/100)+103/POWER(1+('CurrentPor-LH=60 unchanged'!D183+'CurrentPor-LH=60 unchanged'!G183)/100,2))*100</f>
        <v>9614.9673582483465</v>
      </c>
      <c r="D183">
        <f>(3/(1+('CurrentPor-LH=60 unchanged'!C183+'CurrentPor-LH=60 unchanged'!H183)/100)+103/POWER(1+('CurrentPor-LH=60 unchanged'!D183+'CurrentPor-LH=60 unchanged'!H183)/100,2))*100</f>
        <v>9601.2395558122898</v>
      </c>
      <c r="E183">
        <f>(3/(1+('CurrentPor-LH=60 unchanged'!C183+'CurrentPor-LH=60 unchanged'!I183)/100)+103/POWER(1+('CurrentPor-LH=60 unchanged'!D183+'CurrentPor-LH=60 unchanged'!I183)/100,2))*100</f>
        <v>9581.4547115644182</v>
      </c>
      <c r="F183">
        <f>Portfolio!B$5*'CurrentPor-LH=60 unchanged'!E183</f>
        <v>52143.895533915893</v>
      </c>
      <c r="G183">
        <f>Portfolio!B$6*'CurrentPor-LH=60 unchanged'!F183</f>
        <v>3696.2945087936532</v>
      </c>
      <c r="H183">
        <f>Portfolio!B$7*'CurrentPor-LH=60 unchanged'!J183</f>
        <v>2148.0998964419859</v>
      </c>
      <c r="I183">
        <f t="shared" si="4"/>
        <v>96493.537342205425</v>
      </c>
      <c r="J183">
        <f t="shared" si="5"/>
        <v>0</v>
      </c>
    </row>
    <row r="184" spans="1:10">
      <c r="A184" s="1">
        <v>45727</v>
      </c>
      <c r="B184">
        <f>(3/(1+('CurrentPor-LH=60 unchanged'!C184)/100)+103/POWER(1+('CurrentPor-LH=60 unchanged'!D184)/100,2))*100</f>
        <v>9707.5857774288397</v>
      </c>
      <c r="C184">
        <f>(3/(1+('CurrentPor-LH=60 unchanged'!C184+'CurrentPor-LH=60 unchanged'!G184)/100)+103/POWER(1+('CurrentPor-LH=60 unchanged'!D184+'CurrentPor-LH=60 unchanged'!G184)/100,2))*100</f>
        <v>9614.9673582483465</v>
      </c>
      <c r="D184">
        <f>(3/(1+('CurrentPor-LH=60 unchanged'!C184+'CurrentPor-LH=60 unchanged'!H184)/100)+103/POWER(1+('CurrentPor-LH=60 unchanged'!D184+'CurrentPor-LH=60 unchanged'!H184)/100,2))*100</f>
        <v>9601.2395558122898</v>
      </c>
      <c r="E184">
        <f>(3/(1+('CurrentPor-LH=60 unchanged'!C184+'CurrentPor-LH=60 unchanged'!I184)/100)+103/POWER(1+('CurrentPor-LH=60 unchanged'!D184+'CurrentPor-LH=60 unchanged'!I184)/100,2))*100</f>
        <v>9581.4547115644182</v>
      </c>
      <c r="F184">
        <f>Portfolio!B$5*'CurrentPor-LH=60 unchanged'!E184</f>
        <v>52143.895533915893</v>
      </c>
      <c r="G184">
        <f>Portfolio!B$6*'CurrentPor-LH=60 unchanged'!F184</f>
        <v>3696.2945087936532</v>
      </c>
      <c r="H184">
        <f>Portfolio!B$7*'CurrentPor-LH=60 unchanged'!J184</f>
        <v>2148.0998964419859</v>
      </c>
      <c r="I184">
        <f t="shared" si="4"/>
        <v>96493.537342205425</v>
      </c>
      <c r="J184">
        <f t="shared" si="5"/>
        <v>0</v>
      </c>
    </row>
    <row r="185" spans="1:10">
      <c r="A185" s="1">
        <v>45728</v>
      </c>
      <c r="B185">
        <f>(3/(1+('CurrentPor-LH=60 unchanged'!C185)/100)+103/POWER(1+('CurrentPor-LH=60 unchanged'!D185)/100,2))*100</f>
        <v>9707.5857774288397</v>
      </c>
      <c r="C185">
        <f>(3/(1+('CurrentPor-LH=60 unchanged'!C185+'CurrentPor-LH=60 unchanged'!G185)/100)+103/POWER(1+('CurrentPor-LH=60 unchanged'!D185+'CurrentPor-LH=60 unchanged'!G185)/100,2))*100</f>
        <v>9614.9673582483465</v>
      </c>
      <c r="D185">
        <f>(3/(1+('CurrentPor-LH=60 unchanged'!C185+'CurrentPor-LH=60 unchanged'!H185)/100)+103/POWER(1+('CurrentPor-LH=60 unchanged'!D185+'CurrentPor-LH=60 unchanged'!H185)/100,2))*100</f>
        <v>9601.2395558122898</v>
      </c>
      <c r="E185">
        <f>(3/(1+('CurrentPor-LH=60 unchanged'!C185+'CurrentPor-LH=60 unchanged'!I185)/100)+103/POWER(1+('CurrentPor-LH=60 unchanged'!D185+'CurrentPor-LH=60 unchanged'!I185)/100,2))*100</f>
        <v>9581.4547115644182</v>
      </c>
      <c r="F185">
        <f>Portfolio!B$5*'CurrentPor-LH=60 unchanged'!E185</f>
        <v>52143.895533915893</v>
      </c>
      <c r="G185">
        <f>Portfolio!B$6*'CurrentPor-LH=60 unchanged'!F185</f>
        <v>3696.2945087936532</v>
      </c>
      <c r="H185">
        <f>Portfolio!B$7*'CurrentPor-LH=60 unchanged'!J185</f>
        <v>2148.0998964419859</v>
      </c>
      <c r="I185">
        <f t="shared" si="4"/>
        <v>96493.537342205425</v>
      </c>
      <c r="J185">
        <f t="shared" si="5"/>
        <v>0</v>
      </c>
    </row>
    <row r="186" spans="1:10">
      <c r="A186" s="1">
        <v>45729</v>
      </c>
      <c r="B186">
        <f>(3/(1+('CurrentPor-LH=60 unchanged'!C186)/100)+103/POWER(1+('CurrentPor-LH=60 unchanged'!D186)/100,2))*100</f>
        <v>9707.5857774288397</v>
      </c>
      <c r="C186">
        <f>(3/(1+('CurrentPor-LH=60 unchanged'!C186+'CurrentPor-LH=60 unchanged'!G186)/100)+103/POWER(1+('CurrentPor-LH=60 unchanged'!D186+'CurrentPor-LH=60 unchanged'!G186)/100,2))*100</f>
        <v>9614.9673582483465</v>
      </c>
      <c r="D186">
        <f>(3/(1+('CurrentPor-LH=60 unchanged'!C186+'CurrentPor-LH=60 unchanged'!H186)/100)+103/POWER(1+('CurrentPor-LH=60 unchanged'!D186+'CurrentPor-LH=60 unchanged'!H186)/100,2))*100</f>
        <v>9601.2395558122898</v>
      </c>
      <c r="E186">
        <f>(3/(1+('CurrentPor-LH=60 unchanged'!C186+'CurrentPor-LH=60 unchanged'!I186)/100)+103/POWER(1+('CurrentPor-LH=60 unchanged'!D186+'CurrentPor-LH=60 unchanged'!I186)/100,2))*100</f>
        <v>9581.4547115644182</v>
      </c>
      <c r="F186">
        <f>Portfolio!B$5*'CurrentPor-LH=60 unchanged'!E186</f>
        <v>52143.895533915893</v>
      </c>
      <c r="G186">
        <f>Portfolio!B$6*'CurrentPor-LH=60 unchanged'!F186</f>
        <v>3696.2945087936532</v>
      </c>
      <c r="H186">
        <f>Portfolio!B$7*'CurrentPor-LH=60 unchanged'!J186</f>
        <v>2148.0998964419859</v>
      </c>
      <c r="I186">
        <f t="shared" si="4"/>
        <v>96493.537342205425</v>
      </c>
      <c r="J186">
        <f t="shared" si="5"/>
        <v>0</v>
      </c>
    </row>
    <row r="187" spans="1:10">
      <c r="A187" s="1">
        <v>45730</v>
      </c>
      <c r="B187">
        <f>(3/(1+('CurrentPor-LH=60 unchanged'!C187)/100)+103/POWER(1+('CurrentPor-LH=60 unchanged'!D187)/100,2))*100</f>
        <v>9707.5857774288397</v>
      </c>
      <c r="C187">
        <f>(3/(1+('CurrentPor-LH=60 unchanged'!C187+'CurrentPor-LH=60 unchanged'!G187)/100)+103/POWER(1+('CurrentPor-LH=60 unchanged'!D187+'CurrentPor-LH=60 unchanged'!G187)/100,2))*100</f>
        <v>9614.9673582483465</v>
      </c>
      <c r="D187">
        <f>(3/(1+('CurrentPor-LH=60 unchanged'!C187+'CurrentPor-LH=60 unchanged'!H187)/100)+103/POWER(1+('CurrentPor-LH=60 unchanged'!D187+'CurrentPor-LH=60 unchanged'!H187)/100,2))*100</f>
        <v>9601.2395558122898</v>
      </c>
      <c r="E187">
        <f>(3/(1+('CurrentPor-LH=60 unchanged'!C187+'CurrentPor-LH=60 unchanged'!I187)/100)+103/POWER(1+('CurrentPor-LH=60 unchanged'!D187+'CurrentPor-LH=60 unchanged'!I187)/100,2))*100</f>
        <v>9581.4547115644182</v>
      </c>
      <c r="F187">
        <f>Portfolio!B$5*'CurrentPor-LH=60 unchanged'!E187</f>
        <v>52143.895533915893</v>
      </c>
      <c r="G187">
        <f>Portfolio!B$6*'CurrentPor-LH=60 unchanged'!F187</f>
        <v>3696.2945087936532</v>
      </c>
      <c r="H187">
        <f>Portfolio!B$7*'CurrentPor-LH=60 unchanged'!J187</f>
        <v>2148.0998964419859</v>
      </c>
      <c r="I187">
        <f t="shared" si="4"/>
        <v>96493.537342205425</v>
      </c>
      <c r="J187">
        <f t="shared" si="5"/>
        <v>0</v>
      </c>
    </row>
    <row r="188" spans="1:10">
      <c r="A188" s="13">
        <v>45733</v>
      </c>
      <c r="B188">
        <f>(3/(1+('CurrentPor-LH=60 unchanged'!C188)/100)+103/POWER(1+('CurrentPor-LH=60 unchanged'!D188)/100,2))*100</f>
        <v>9707.5857774288397</v>
      </c>
      <c r="C188">
        <f>(3/(1+('CurrentPor-LH=60 unchanged'!C188+'CurrentPor-LH=60 unchanged'!G188)/100)+103/POWER(1+('CurrentPor-LH=60 unchanged'!D188+'CurrentPor-LH=60 unchanged'!G188)/100,2))*100</f>
        <v>9614.9673582483465</v>
      </c>
      <c r="D188">
        <f>(3/(1+('CurrentPor-LH=60 unchanged'!C188+'CurrentPor-LH=60 unchanged'!H188)/100)+103/POWER(1+('CurrentPor-LH=60 unchanged'!D188+'CurrentPor-LH=60 unchanged'!H188)/100,2))*100</f>
        <v>9601.2395558122898</v>
      </c>
      <c r="E188">
        <f>(3/(1+('CurrentPor-LH=60 unchanged'!C188+'CurrentPor-LH=60 unchanged'!I188)/100)+103/POWER(1+('CurrentPor-LH=60 unchanged'!D188+'CurrentPor-LH=60 unchanged'!I188)/100,2))*100</f>
        <v>9581.4547115644182</v>
      </c>
      <c r="F188">
        <f>Portfolio!B$5*'CurrentPor-LH=60 unchanged'!E188</f>
        <v>52143.895533915893</v>
      </c>
      <c r="G188">
        <f>Portfolio!B$6*'CurrentPor-LH=60 unchanged'!F188</f>
        <v>3696.2945087936532</v>
      </c>
      <c r="H188">
        <f>Portfolio!B$7*'CurrentPor-LH=60 unchanged'!J188</f>
        <v>2148.0998964419859</v>
      </c>
      <c r="I188">
        <f t="shared" si="4"/>
        <v>96493.537342205425</v>
      </c>
      <c r="J188">
        <f t="shared" si="5"/>
        <v>0</v>
      </c>
    </row>
    <row r="189" spans="1:10">
      <c r="A189" s="1">
        <v>45734</v>
      </c>
      <c r="B189">
        <f>(3/(1+('CurrentPor-LH=60 unchanged'!C189)/100)+103/POWER(1+('CurrentPor-LH=60 unchanged'!D189)/100,2))*100</f>
        <v>9707.5857774288397</v>
      </c>
      <c r="C189">
        <f>(3/(1+('CurrentPor-LH=60 unchanged'!C189+'CurrentPor-LH=60 unchanged'!G189)/100)+103/POWER(1+('CurrentPor-LH=60 unchanged'!D189+'CurrentPor-LH=60 unchanged'!G189)/100,2))*100</f>
        <v>9614.9673582483465</v>
      </c>
      <c r="D189">
        <f>(3/(1+('CurrentPor-LH=60 unchanged'!C189+'CurrentPor-LH=60 unchanged'!H189)/100)+103/POWER(1+('CurrentPor-LH=60 unchanged'!D189+'CurrentPor-LH=60 unchanged'!H189)/100,2))*100</f>
        <v>9601.2395558122898</v>
      </c>
      <c r="E189">
        <f>(3/(1+('CurrentPor-LH=60 unchanged'!C189+'CurrentPor-LH=60 unchanged'!I189)/100)+103/POWER(1+('CurrentPor-LH=60 unchanged'!D189+'CurrentPor-LH=60 unchanged'!I189)/100,2))*100</f>
        <v>9581.4547115644182</v>
      </c>
      <c r="F189">
        <f>Portfolio!B$5*'CurrentPor-LH=60 unchanged'!E189</f>
        <v>52143.895533915893</v>
      </c>
      <c r="G189">
        <f>Portfolio!B$6*'CurrentPor-LH=60 unchanged'!F189</f>
        <v>3696.2945087936532</v>
      </c>
      <c r="H189">
        <f>Portfolio!B$7*'CurrentPor-LH=60 unchanged'!J189</f>
        <v>2148.0998964419859</v>
      </c>
      <c r="I189">
        <f t="shared" si="4"/>
        <v>96493.537342205425</v>
      </c>
      <c r="J189">
        <f t="shared" si="5"/>
        <v>0</v>
      </c>
    </row>
    <row r="190" spans="1:10">
      <c r="A190" s="1">
        <v>45735</v>
      </c>
      <c r="B190">
        <f>(3/(1+('CurrentPor-LH=60 unchanged'!C190)/100)+103/POWER(1+('CurrentPor-LH=60 unchanged'!D190)/100,2))*100</f>
        <v>9707.5857774288397</v>
      </c>
      <c r="C190">
        <f>(3/(1+('CurrentPor-LH=60 unchanged'!C190+'CurrentPor-LH=60 unchanged'!G190)/100)+103/POWER(1+('CurrentPor-LH=60 unchanged'!D190+'CurrentPor-LH=60 unchanged'!G190)/100,2))*100</f>
        <v>9614.9673582483465</v>
      </c>
      <c r="D190">
        <f>(3/(1+('CurrentPor-LH=60 unchanged'!C190+'CurrentPor-LH=60 unchanged'!H190)/100)+103/POWER(1+('CurrentPor-LH=60 unchanged'!D190+'CurrentPor-LH=60 unchanged'!H190)/100,2))*100</f>
        <v>9601.2395558122898</v>
      </c>
      <c r="E190">
        <f>(3/(1+('CurrentPor-LH=60 unchanged'!C190+'CurrentPor-LH=60 unchanged'!I190)/100)+103/POWER(1+('CurrentPor-LH=60 unchanged'!D190+'CurrentPor-LH=60 unchanged'!I190)/100,2))*100</f>
        <v>9581.4547115644182</v>
      </c>
      <c r="F190">
        <f>Portfolio!B$5*'CurrentPor-LH=60 unchanged'!E190</f>
        <v>52143.895533915893</v>
      </c>
      <c r="G190">
        <f>Portfolio!B$6*'CurrentPor-LH=60 unchanged'!F190</f>
        <v>3696.2945087936532</v>
      </c>
      <c r="H190">
        <f>Portfolio!B$7*'CurrentPor-LH=60 unchanged'!J190</f>
        <v>2148.0998964419859</v>
      </c>
      <c r="I190">
        <f t="shared" si="4"/>
        <v>96493.537342205425</v>
      </c>
      <c r="J190">
        <f t="shared" si="5"/>
        <v>0</v>
      </c>
    </row>
    <row r="191" spans="1:10">
      <c r="A191" s="1">
        <v>45736</v>
      </c>
      <c r="B191">
        <f>(3/(1+('CurrentPor-LH=60 unchanged'!C191)/100)+103/POWER(1+('CurrentPor-LH=60 unchanged'!D191)/100,2))*100</f>
        <v>9707.5857774288397</v>
      </c>
      <c r="C191">
        <f>(3/(1+('CurrentPor-LH=60 unchanged'!C191+'CurrentPor-LH=60 unchanged'!G191)/100)+103/POWER(1+('CurrentPor-LH=60 unchanged'!D191+'CurrentPor-LH=60 unchanged'!G191)/100,2))*100</f>
        <v>9614.9673582483465</v>
      </c>
      <c r="D191">
        <f>(3/(1+('CurrentPor-LH=60 unchanged'!C191+'CurrentPor-LH=60 unchanged'!H191)/100)+103/POWER(1+('CurrentPor-LH=60 unchanged'!D191+'CurrentPor-LH=60 unchanged'!H191)/100,2))*100</f>
        <v>9601.2395558122898</v>
      </c>
      <c r="E191">
        <f>(3/(1+('CurrentPor-LH=60 unchanged'!C191+'CurrentPor-LH=60 unchanged'!I191)/100)+103/POWER(1+('CurrentPor-LH=60 unchanged'!D191+'CurrentPor-LH=60 unchanged'!I191)/100,2))*100</f>
        <v>9581.4547115644182</v>
      </c>
      <c r="F191">
        <f>Portfolio!B$5*'CurrentPor-LH=60 unchanged'!E191</f>
        <v>52143.895533915893</v>
      </c>
      <c r="G191">
        <f>Portfolio!B$6*'CurrentPor-LH=60 unchanged'!F191</f>
        <v>3696.2945087936532</v>
      </c>
      <c r="H191">
        <f>Portfolio!B$7*'CurrentPor-LH=60 unchanged'!J191</f>
        <v>2148.0998964419859</v>
      </c>
      <c r="I191">
        <f t="shared" si="4"/>
        <v>96493.537342205425</v>
      </c>
      <c r="J191">
        <f t="shared" si="5"/>
        <v>0</v>
      </c>
    </row>
    <row r="192" spans="1:10">
      <c r="A192" s="1">
        <v>45737</v>
      </c>
      <c r="B192">
        <f>(3/(1+('CurrentPor-LH=60 unchanged'!C192)/100)+103/POWER(1+('CurrentPor-LH=60 unchanged'!D192)/100,2))*100</f>
        <v>9707.5857774288397</v>
      </c>
      <c r="C192">
        <f>(3/(1+('CurrentPor-LH=60 unchanged'!C192+'CurrentPor-LH=60 unchanged'!G192)/100)+103/POWER(1+('CurrentPor-LH=60 unchanged'!D192+'CurrentPor-LH=60 unchanged'!G192)/100,2))*100</f>
        <v>9614.9673582483465</v>
      </c>
      <c r="D192">
        <f>(3/(1+('CurrentPor-LH=60 unchanged'!C192+'CurrentPor-LH=60 unchanged'!H192)/100)+103/POWER(1+('CurrentPor-LH=60 unchanged'!D192+'CurrentPor-LH=60 unchanged'!H192)/100,2))*100</f>
        <v>9601.2395558122898</v>
      </c>
      <c r="E192">
        <f>(3/(1+('CurrentPor-LH=60 unchanged'!C192+'CurrentPor-LH=60 unchanged'!I192)/100)+103/POWER(1+('CurrentPor-LH=60 unchanged'!D192+'CurrentPor-LH=60 unchanged'!I192)/100,2))*100</f>
        <v>9581.4547115644182</v>
      </c>
      <c r="F192">
        <f>Portfolio!B$5*'CurrentPor-LH=60 unchanged'!E192</f>
        <v>52143.895533915893</v>
      </c>
      <c r="G192">
        <f>Portfolio!B$6*'CurrentPor-LH=60 unchanged'!F192</f>
        <v>3696.2945087936532</v>
      </c>
      <c r="H192">
        <f>Portfolio!B$7*'CurrentPor-LH=60 unchanged'!J192</f>
        <v>2148.0998964419859</v>
      </c>
      <c r="I192">
        <f t="shared" si="4"/>
        <v>96493.537342205425</v>
      </c>
      <c r="J192">
        <f t="shared" si="5"/>
        <v>0</v>
      </c>
    </row>
    <row r="193" spans="1:10">
      <c r="A193" s="1">
        <v>45740</v>
      </c>
      <c r="B193">
        <f>(3/(1+('CurrentPor-LH=60 unchanged'!C193)/100)+103/POWER(1+('CurrentPor-LH=60 unchanged'!D193)/100,2))*100</f>
        <v>9707.5857774288397</v>
      </c>
      <c r="C193">
        <f>(3/(1+('CurrentPor-LH=60 unchanged'!C193+'CurrentPor-LH=60 unchanged'!G193)/100)+103/POWER(1+('CurrentPor-LH=60 unchanged'!D193+'CurrentPor-LH=60 unchanged'!G193)/100,2))*100</f>
        <v>9614.9673582483465</v>
      </c>
      <c r="D193">
        <f>(3/(1+('CurrentPor-LH=60 unchanged'!C193+'CurrentPor-LH=60 unchanged'!H193)/100)+103/POWER(1+('CurrentPor-LH=60 unchanged'!D193+'CurrentPor-LH=60 unchanged'!H193)/100,2))*100</f>
        <v>9601.2395558122898</v>
      </c>
      <c r="E193">
        <f>(3/(1+('CurrentPor-LH=60 unchanged'!C193+'CurrentPor-LH=60 unchanged'!I193)/100)+103/POWER(1+('CurrentPor-LH=60 unchanged'!D193+'CurrentPor-LH=60 unchanged'!I193)/100,2))*100</f>
        <v>9581.4547115644182</v>
      </c>
      <c r="F193">
        <f>Portfolio!B$5*'CurrentPor-LH=60 unchanged'!E193</f>
        <v>52143.895533915893</v>
      </c>
      <c r="G193">
        <f>Portfolio!B$6*'CurrentPor-LH=60 unchanged'!F193</f>
        <v>3696.2945087936532</v>
      </c>
      <c r="H193">
        <f>Portfolio!B$7*'CurrentPor-LH=60 unchanged'!J193</f>
        <v>2148.0998964419859</v>
      </c>
      <c r="I193">
        <f t="shared" si="4"/>
        <v>96493.537342205425</v>
      </c>
      <c r="J193">
        <f t="shared" si="5"/>
        <v>0</v>
      </c>
    </row>
    <row r="194" spans="1:10">
      <c r="A194" s="1">
        <v>45741</v>
      </c>
      <c r="B194">
        <f>(3/(1+('CurrentPor-LH=60 unchanged'!C194)/100)+103/POWER(1+('CurrentPor-LH=60 unchanged'!D194)/100,2))*100</f>
        <v>9707.5857774288397</v>
      </c>
      <c r="C194">
        <f>(3/(1+('CurrentPor-LH=60 unchanged'!C194+'CurrentPor-LH=60 unchanged'!G194)/100)+103/POWER(1+('CurrentPor-LH=60 unchanged'!D194+'CurrentPor-LH=60 unchanged'!G194)/100,2))*100</f>
        <v>9614.9673582483465</v>
      </c>
      <c r="D194">
        <f>(3/(1+('CurrentPor-LH=60 unchanged'!C194+'CurrentPor-LH=60 unchanged'!H194)/100)+103/POWER(1+('CurrentPor-LH=60 unchanged'!D194+'CurrentPor-LH=60 unchanged'!H194)/100,2))*100</f>
        <v>9601.2395558122898</v>
      </c>
      <c r="E194">
        <f>(3/(1+('CurrentPor-LH=60 unchanged'!C194+'CurrentPor-LH=60 unchanged'!I194)/100)+103/POWER(1+('CurrentPor-LH=60 unchanged'!D194+'CurrentPor-LH=60 unchanged'!I194)/100,2))*100</f>
        <v>9581.4547115644182</v>
      </c>
      <c r="F194">
        <f>Portfolio!B$5*'CurrentPor-LH=60 unchanged'!E194</f>
        <v>52143.895533915893</v>
      </c>
      <c r="G194">
        <f>Portfolio!B$6*'CurrentPor-LH=60 unchanged'!F194</f>
        <v>3696.2945087936532</v>
      </c>
      <c r="H194">
        <f>Portfolio!B$7*'CurrentPor-LH=60 unchanged'!J194</f>
        <v>2148.0998964419859</v>
      </c>
      <c r="I194">
        <f t="shared" si="4"/>
        <v>96493.537342205425</v>
      </c>
      <c r="J194">
        <f t="shared" si="5"/>
        <v>0</v>
      </c>
    </row>
    <row r="195" spans="1:10">
      <c r="A195" s="1">
        <v>45742</v>
      </c>
      <c r="B195">
        <f>(3/(1+('CurrentPor-LH=60 unchanged'!C195)/100)+103/POWER(1+('CurrentPor-LH=60 unchanged'!D195)/100,2))*100</f>
        <v>9707.5857774288397</v>
      </c>
      <c r="C195">
        <f>(3/(1+('CurrentPor-LH=60 unchanged'!C195+'CurrentPor-LH=60 unchanged'!G195)/100)+103/POWER(1+('CurrentPor-LH=60 unchanged'!D195+'CurrentPor-LH=60 unchanged'!G195)/100,2))*100</f>
        <v>9614.9673582483465</v>
      </c>
      <c r="D195">
        <f>(3/(1+('CurrentPor-LH=60 unchanged'!C195+'CurrentPor-LH=60 unchanged'!H195)/100)+103/POWER(1+('CurrentPor-LH=60 unchanged'!D195+'CurrentPor-LH=60 unchanged'!H195)/100,2))*100</f>
        <v>9601.2395558122898</v>
      </c>
      <c r="E195">
        <f>(3/(1+('CurrentPor-LH=60 unchanged'!C195+'CurrentPor-LH=60 unchanged'!I195)/100)+103/POWER(1+('CurrentPor-LH=60 unchanged'!D195+'CurrentPor-LH=60 unchanged'!I195)/100,2))*100</f>
        <v>9581.4547115644182</v>
      </c>
      <c r="F195">
        <f>Portfolio!B$5*'CurrentPor-LH=60 unchanged'!E195</f>
        <v>52143.895533915893</v>
      </c>
      <c r="G195">
        <f>Portfolio!B$6*'CurrentPor-LH=60 unchanged'!F195</f>
        <v>3696.2945087936532</v>
      </c>
      <c r="H195">
        <f>Portfolio!B$7*'CurrentPor-LH=60 unchanged'!J195</f>
        <v>2148.0998964419859</v>
      </c>
      <c r="I195">
        <f t="shared" si="4"/>
        <v>96493.537342205425</v>
      </c>
      <c r="J195">
        <f t="shared" si="5"/>
        <v>0</v>
      </c>
    </row>
    <row r="196" spans="1:10">
      <c r="A196" s="1">
        <v>45743</v>
      </c>
      <c r="B196">
        <f>(3/(1+('CurrentPor-LH=60 unchanged'!C196)/100)+103/POWER(1+('CurrentPor-LH=60 unchanged'!D196)/100,2))*100</f>
        <v>9707.5857774288397</v>
      </c>
      <c r="C196">
        <f>(3/(1+('CurrentPor-LH=60 unchanged'!C196+'CurrentPor-LH=60 unchanged'!G196)/100)+103/POWER(1+('CurrentPor-LH=60 unchanged'!D196+'CurrentPor-LH=60 unchanged'!G196)/100,2))*100</f>
        <v>9614.9673582483465</v>
      </c>
      <c r="D196">
        <f>(3/(1+('CurrentPor-LH=60 unchanged'!C196+'CurrentPor-LH=60 unchanged'!H196)/100)+103/POWER(1+('CurrentPor-LH=60 unchanged'!D196+'CurrentPor-LH=60 unchanged'!H196)/100,2))*100</f>
        <v>9601.2395558122898</v>
      </c>
      <c r="E196">
        <f>(3/(1+('CurrentPor-LH=60 unchanged'!C196+'CurrentPor-LH=60 unchanged'!I196)/100)+103/POWER(1+('CurrentPor-LH=60 unchanged'!D196+'CurrentPor-LH=60 unchanged'!I196)/100,2))*100</f>
        <v>9581.4547115644182</v>
      </c>
      <c r="F196">
        <f>Portfolio!B$5*'CurrentPor-LH=60 unchanged'!E196</f>
        <v>52143.895533915893</v>
      </c>
      <c r="G196">
        <f>Portfolio!B$6*'CurrentPor-LH=60 unchanged'!F196</f>
        <v>3696.2945087936532</v>
      </c>
      <c r="H196">
        <f>Portfolio!B$7*'CurrentPor-LH=60 unchanged'!J196</f>
        <v>2148.0998964419859</v>
      </c>
      <c r="I196">
        <f t="shared" ref="I196:I259" si="6">SUM(B196:H196)</f>
        <v>96493.537342205425</v>
      </c>
      <c r="J196">
        <f t="shared" si="5"/>
        <v>0</v>
      </c>
    </row>
    <row r="197" spans="1:10">
      <c r="A197" s="1">
        <v>45744</v>
      </c>
      <c r="B197">
        <f>(3/(1+('CurrentPor-LH=60 unchanged'!C197)/100)+103/POWER(1+('CurrentPor-LH=60 unchanged'!D197)/100,2))*100</f>
        <v>9707.5857774288397</v>
      </c>
      <c r="C197">
        <f>(3/(1+('CurrentPor-LH=60 unchanged'!C197+'CurrentPor-LH=60 unchanged'!G197)/100)+103/POWER(1+('CurrentPor-LH=60 unchanged'!D197+'CurrentPor-LH=60 unchanged'!G197)/100,2))*100</f>
        <v>9614.9673582483465</v>
      </c>
      <c r="D197">
        <f>(3/(1+('CurrentPor-LH=60 unchanged'!C197+'CurrentPor-LH=60 unchanged'!H197)/100)+103/POWER(1+('CurrentPor-LH=60 unchanged'!D197+'CurrentPor-LH=60 unchanged'!H197)/100,2))*100</f>
        <v>9601.2395558122898</v>
      </c>
      <c r="E197">
        <f>(3/(1+('CurrentPor-LH=60 unchanged'!C197+'CurrentPor-LH=60 unchanged'!I197)/100)+103/POWER(1+('CurrentPor-LH=60 unchanged'!D197+'CurrentPor-LH=60 unchanged'!I197)/100,2))*100</f>
        <v>9581.4547115644182</v>
      </c>
      <c r="F197">
        <f>Portfolio!B$5*'CurrentPor-LH=60 unchanged'!E197</f>
        <v>52143.895533915893</v>
      </c>
      <c r="G197">
        <f>Portfolio!B$6*'CurrentPor-LH=60 unchanged'!F197</f>
        <v>3696.2945087936532</v>
      </c>
      <c r="H197">
        <f>Portfolio!B$7*'CurrentPor-LH=60 unchanged'!J197</f>
        <v>2148.0998964419859</v>
      </c>
      <c r="I197">
        <f t="shared" si="6"/>
        <v>96493.537342205425</v>
      </c>
      <c r="J197">
        <f t="shared" si="5"/>
        <v>0</v>
      </c>
    </row>
    <row r="198" spans="1:10">
      <c r="A198" s="1">
        <v>45747</v>
      </c>
      <c r="B198">
        <f>(3/(1+('CurrentPor-LH=60 unchanged'!C198)/100)+103/POWER(1+('CurrentPor-LH=60 unchanged'!D198)/100,2))*100</f>
        <v>9707.5857774288397</v>
      </c>
      <c r="C198">
        <f>(3/(1+('CurrentPor-LH=60 unchanged'!C198+'CurrentPor-LH=60 unchanged'!G198)/100)+103/POWER(1+('CurrentPor-LH=60 unchanged'!D198+'CurrentPor-LH=60 unchanged'!G198)/100,2))*100</f>
        <v>9614.9673582483465</v>
      </c>
      <c r="D198">
        <f>(3/(1+('CurrentPor-LH=60 unchanged'!C198+'CurrentPor-LH=60 unchanged'!H198)/100)+103/POWER(1+('CurrentPor-LH=60 unchanged'!D198+'CurrentPor-LH=60 unchanged'!H198)/100,2))*100</f>
        <v>9601.2395558122898</v>
      </c>
      <c r="E198">
        <f>(3/(1+('CurrentPor-LH=60 unchanged'!C198+'CurrentPor-LH=60 unchanged'!I198)/100)+103/POWER(1+('CurrentPor-LH=60 unchanged'!D198+'CurrentPor-LH=60 unchanged'!I198)/100,2))*100</f>
        <v>9581.4547115644182</v>
      </c>
      <c r="F198">
        <f>Portfolio!B$5*'CurrentPor-LH=60 unchanged'!E198</f>
        <v>52143.895533915893</v>
      </c>
      <c r="G198">
        <f>Portfolio!B$6*'CurrentPor-LH=60 unchanged'!F198</f>
        <v>3696.2945087936532</v>
      </c>
      <c r="H198">
        <f>Portfolio!B$7*'CurrentPor-LH=60 unchanged'!J198</f>
        <v>2148.0998964419859</v>
      </c>
      <c r="I198">
        <f t="shared" si="6"/>
        <v>96493.537342205425</v>
      </c>
      <c r="J198">
        <f t="shared" si="5"/>
        <v>0</v>
      </c>
    </row>
    <row r="199" spans="1:10">
      <c r="A199" s="1">
        <v>45748</v>
      </c>
      <c r="B199">
        <f>(3/(1+('CurrentPor-LH=60 unchanged'!C199)/100)+103/POWER(1+('CurrentPor-LH=60 unchanged'!D199)/100,2))*100</f>
        <v>9707.5857774288397</v>
      </c>
      <c r="C199">
        <f>(3/(1+('CurrentPor-LH=60 unchanged'!C199+'CurrentPor-LH=60 unchanged'!G199)/100)+103/POWER(1+('CurrentPor-LH=60 unchanged'!D199+'CurrentPor-LH=60 unchanged'!G199)/100,2))*100</f>
        <v>9614.9673582483465</v>
      </c>
      <c r="D199">
        <f>(3/(1+('CurrentPor-LH=60 unchanged'!C199+'CurrentPor-LH=60 unchanged'!H199)/100)+103/POWER(1+('CurrentPor-LH=60 unchanged'!D199+'CurrentPor-LH=60 unchanged'!H199)/100,2))*100</f>
        <v>9601.2395558122898</v>
      </c>
      <c r="E199">
        <f>(3/(1+('CurrentPor-LH=60 unchanged'!C199+'CurrentPor-LH=60 unchanged'!I199)/100)+103/POWER(1+('CurrentPor-LH=60 unchanged'!D199+'CurrentPor-LH=60 unchanged'!I199)/100,2))*100</f>
        <v>9581.4547115644182</v>
      </c>
      <c r="F199">
        <f>Portfolio!B$5*'CurrentPor-LH=60 unchanged'!E199</f>
        <v>52143.895533915893</v>
      </c>
      <c r="G199">
        <f>Portfolio!B$6*'CurrentPor-LH=60 unchanged'!F199</f>
        <v>3696.2945087936532</v>
      </c>
      <c r="H199">
        <f>Portfolio!B$7*'CurrentPor-LH=60 unchanged'!J199</f>
        <v>2148.0998964419859</v>
      </c>
      <c r="I199">
        <f t="shared" si="6"/>
        <v>96493.537342205425</v>
      </c>
      <c r="J199">
        <f t="shared" si="5"/>
        <v>0</v>
      </c>
    </row>
    <row r="200" spans="1:10">
      <c r="A200" s="1">
        <v>45749</v>
      </c>
      <c r="B200">
        <f>(3/(1+('CurrentPor-LH=60 unchanged'!C200)/100)+103/POWER(1+('CurrentPor-LH=60 unchanged'!D200)/100,2))*100</f>
        <v>9707.5857774288397</v>
      </c>
      <c r="C200">
        <f>(3/(1+('CurrentPor-LH=60 unchanged'!C200+'CurrentPor-LH=60 unchanged'!G200)/100)+103/POWER(1+('CurrentPor-LH=60 unchanged'!D200+'CurrentPor-LH=60 unchanged'!G200)/100,2))*100</f>
        <v>9614.9673582483465</v>
      </c>
      <c r="D200">
        <f>(3/(1+('CurrentPor-LH=60 unchanged'!C200+'CurrentPor-LH=60 unchanged'!H200)/100)+103/POWER(1+('CurrentPor-LH=60 unchanged'!D200+'CurrentPor-LH=60 unchanged'!H200)/100,2))*100</f>
        <v>9601.2395558122898</v>
      </c>
      <c r="E200">
        <f>(3/(1+('CurrentPor-LH=60 unchanged'!C200+'CurrentPor-LH=60 unchanged'!I200)/100)+103/POWER(1+('CurrentPor-LH=60 unchanged'!D200+'CurrentPor-LH=60 unchanged'!I200)/100,2))*100</f>
        <v>9581.4547115644182</v>
      </c>
      <c r="F200">
        <f>Portfolio!B$5*'CurrentPor-LH=60 unchanged'!E200</f>
        <v>52143.895533915893</v>
      </c>
      <c r="G200">
        <f>Portfolio!B$6*'CurrentPor-LH=60 unchanged'!F200</f>
        <v>3696.2945087936532</v>
      </c>
      <c r="H200">
        <f>Portfolio!B$7*'CurrentPor-LH=60 unchanged'!J200</f>
        <v>2148.0998964419859</v>
      </c>
      <c r="I200">
        <f t="shared" si="6"/>
        <v>96493.537342205425</v>
      </c>
      <c r="J200">
        <f t="shared" si="5"/>
        <v>0</v>
      </c>
    </row>
    <row r="201" spans="1:10">
      <c r="A201" s="1">
        <v>45750</v>
      </c>
      <c r="B201">
        <f>(3/(1+('CurrentPor-LH=60 unchanged'!C201)/100)+103/POWER(1+('CurrentPor-LH=60 unchanged'!D201)/100,2))*100</f>
        <v>9707.5857774288397</v>
      </c>
      <c r="C201">
        <f>(3/(1+('CurrentPor-LH=60 unchanged'!C201+'CurrentPor-LH=60 unchanged'!G201)/100)+103/POWER(1+('CurrentPor-LH=60 unchanged'!D201+'CurrentPor-LH=60 unchanged'!G201)/100,2))*100</f>
        <v>9614.9673582483465</v>
      </c>
      <c r="D201">
        <f>(3/(1+('CurrentPor-LH=60 unchanged'!C201+'CurrentPor-LH=60 unchanged'!H201)/100)+103/POWER(1+('CurrentPor-LH=60 unchanged'!D201+'CurrentPor-LH=60 unchanged'!H201)/100,2))*100</f>
        <v>9601.2395558122898</v>
      </c>
      <c r="E201">
        <f>(3/(1+('CurrentPor-LH=60 unchanged'!C201+'CurrentPor-LH=60 unchanged'!I201)/100)+103/POWER(1+('CurrentPor-LH=60 unchanged'!D201+'CurrentPor-LH=60 unchanged'!I201)/100,2))*100</f>
        <v>9581.4547115644182</v>
      </c>
      <c r="F201">
        <f>Portfolio!B$5*'CurrentPor-LH=60 unchanged'!E201</f>
        <v>52143.895533915893</v>
      </c>
      <c r="G201">
        <f>Portfolio!B$6*'CurrentPor-LH=60 unchanged'!F201</f>
        <v>3696.2945087936532</v>
      </c>
      <c r="H201">
        <f>Portfolio!B$7*'CurrentPor-LH=60 unchanged'!J201</f>
        <v>2148.0998964419859</v>
      </c>
      <c r="I201">
        <f t="shared" si="6"/>
        <v>96493.537342205425</v>
      </c>
      <c r="J201">
        <f t="shared" si="5"/>
        <v>0</v>
      </c>
    </row>
    <row r="202" spans="1:10">
      <c r="A202" s="1">
        <v>45751</v>
      </c>
      <c r="B202">
        <f>(3/(1+('CurrentPor-LH=60 unchanged'!C202)/100)+103/POWER(1+('CurrentPor-LH=60 unchanged'!D202)/100,2))*100</f>
        <v>9707.5857774288397</v>
      </c>
      <c r="C202">
        <f>(3/(1+('CurrentPor-LH=60 unchanged'!C202+'CurrentPor-LH=60 unchanged'!G202)/100)+103/POWER(1+('CurrentPor-LH=60 unchanged'!D202+'CurrentPor-LH=60 unchanged'!G202)/100,2))*100</f>
        <v>9614.9673582483465</v>
      </c>
      <c r="D202">
        <f>(3/(1+('CurrentPor-LH=60 unchanged'!C202+'CurrentPor-LH=60 unchanged'!H202)/100)+103/POWER(1+('CurrentPor-LH=60 unchanged'!D202+'CurrentPor-LH=60 unchanged'!H202)/100,2))*100</f>
        <v>9601.2395558122898</v>
      </c>
      <c r="E202">
        <f>(3/(1+('CurrentPor-LH=60 unchanged'!C202+'CurrentPor-LH=60 unchanged'!I202)/100)+103/POWER(1+('CurrentPor-LH=60 unchanged'!D202+'CurrentPor-LH=60 unchanged'!I202)/100,2))*100</f>
        <v>9581.4547115644182</v>
      </c>
      <c r="F202">
        <f>Portfolio!B$5*'CurrentPor-LH=60 unchanged'!E202</f>
        <v>52143.895533915893</v>
      </c>
      <c r="G202">
        <f>Portfolio!B$6*'CurrentPor-LH=60 unchanged'!F202</f>
        <v>3696.2945087936532</v>
      </c>
      <c r="H202">
        <f>Portfolio!B$7*'CurrentPor-LH=60 unchanged'!J202</f>
        <v>2148.0998964419859</v>
      </c>
      <c r="I202">
        <f t="shared" si="6"/>
        <v>96493.537342205425</v>
      </c>
      <c r="J202">
        <f t="shared" si="5"/>
        <v>0</v>
      </c>
    </row>
    <row r="203" spans="1:10">
      <c r="A203" s="1">
        <v>45754</v>
      </c>
      <c r="B203">
        <f>(3/(1+('CurrentPor-LH=60 unchanged'!C203)/100)+103/POWER(1+('CurrentPor-LH=60 unchanged'!D203)/100,2))*100</f>
        <v>9707.5857774288397</v>
      </c>
      <c r="C203">
        <f>(3/(1+('CurrentPor-LH=60 unchanged'!C203+'CurrentPor-LH=60 unchanged'!G203)/100)+103/POWER(1+('CurrentPor-LH=60 unchanged'!D203+'CurrentPor-LH=60 unchanged'!G203)/100,2))*100</f>
        <v>9614.9673582483465</v>
      </c>
      <c r="D203">
        <f>(3/(1+('CurrentPor-LH=60 unchanged'!C203+'CurrentPor-LH=60 unchanged'!H203)/100)+103/POWER(1+('CurrentPor-LH=60 unchanged'!D203+'CurrentPor-LH=60 unchanged'!H203)/100,2))*100</f>
        <v>9601.2395558122898</v>
      </c>
      <c r="E203">
        <f>(3/(1+('CurrentPor-LH=60 unchanged'!C203+'CurrentPor-LH=60 unchanged'!I203)/100)+103/POWER(1+('CurrentPor-LH=60 unchanged'!D203+'CurrentPor-LH=60 unchanged'!I203)/100,2))*100</f>
        <v>9581.4547115644182</v>
      </c>
      <c r="F203">
        <f>Portfolio!B$5*'CurrentPor-LH=60 unchanged'!E203</f>
        <v>52143.895533915893</v>
      </c>
      <c r="G203">
        <f>Portfolio!B$6*'CurrentPor-LH=60 unchanged'!F203</f>
        <v>3696.2945087936532</v>
      </c>
      <c r="H203">
        <f>Portfolio!B$7*'CurrentPor-LH=60 unchanged'!J203</f>
        <v>2148.0998964419859</v>
      </c>
      <c r="I203">
        <f t="shared" si="6"/>
        <v>96493.537342205425</v>
      </c>
      <c r="J203">
        <f t="shared" si="5"/>
        <v>0</v>
      </c>
    </row>
    <row r="204" spans="1:10">
      <c r="A204" s="1">
        <v>45755</v>
      </c>
      <c r="B204">
        <f>(3/(1+('CurrentPor-LH=60 unchanged'!C204)/100)+103/POWER(1+('CurrentPor-LH=60 unchanged'!D204)/100,2))*100</f>
        <v>9707.5857774288397</v>
      </c>
      <c r="C204">
        <f>(3/(1+('CurrentPor-LH=60 unchanged'!C204+'CurrentPor-LH=60 unchanged'!G204)/100)+103/POWER(1+('CurrentPor-LH=60 unchanged'!D204+'CurrentPor-LH=60 unchanged'!G204)/100,2))*100</f>
        <v>9614.9673582483465</v>
      </c>
      <c r="D204">
        <f>(3/(1+('CurrentPor-LH=60 unchanged'!C204+'CurrentPor-LH=60 unchanged'!H204)/100)+103/POWER(1+('CurrentPor-LH=60 unchanged'!D204+'CurrentPor-LH=60 unchanged'!H204)/100,2))*100</f>
        <v>9601.2395558122898</v>
      </c>
      <c r="E204">
        <f>(3/(1+('CurrentPor-LH=60 unchanged'!C204+'CurrentPor-LH=60 unchanged'!I204)/100)+103/POWER(1+('CurrentPor-LH=60 unchanged'!D204+'CurrentPor-LH=60 unchanged'!I204)/100,2))*100</f>
        <v>9581.4547115644182</v>
      </c>
      <c r="F204">
        <f>Portfolio!B$5*'CurrentPor-LH=60 unchanged'!E204</f>
        <v>52143.895533915893</v>
      </c>
      <c r="G204">
        <f>Portfolio!B$6*'CurrentPor-LH=60 unchanged'!F204</f>
        <v>3696.2945087936532</v>
      </c>
      <c r="H204">
        <f>Portfolio!B$7*'CurrentPor-LH=60 unchanged'!J204</f>
        <v>2148.0998964419859</v>
      </c>
      <c r="I204">
        <f t="shared" si="6"/>
        <v>96493.537342205425</v>
      </c>
      <c r="J204">
        <f t="shared" si="5"/>
        <v>0</v>
      </c>
    </row>
    <row r="205" spans="1:10">
      <c r="A205" s="1">
        <v>45756</v>
      </c>
      <c r="B205">
        <f>(3/(1+('CurrentPor-LH=60 unchanged'!C205)/100)+103/POWER(1+('CurrentPor-LH=60 unchanged'!D205)/100,2))*100</f>
        <v>9707.5857774288397</v>
      </c>
      <c r="C205">
        <f>(3/(1+('CurrentPor-LH=60 unchanged'!C205+'CurrentPor-LH=60 unchanged'!G205)/100)+103/POWER(1+('CurrentPor-LH=60 unchanged'!D205+'CurrentPor-LH=60 unchanged'!G205)/100,2))*100</f>
        <v>9614.9673582483465</v>
      </c>
      <c r="D205">
        <f>(3/(1+('CurrentPor-LH=60 unchanged'!C205+'CurrentPor-LH=60 unchanged'!H205)/100)+103/POWER(1+('CurrentPor-LH=60 unchanged'!D205+'CurrentPor-LH=60 unchanged'!H205)/100,2))*100</f>
        <v>9601.2395558122898</v>
      </c>
      <c r="E205">
        <f>(3/(1+('CurrentPor-LH=60 unchanged'!C205+'CurrentPor-LH=60 unchanged'!I205)/100)+103/POWER(1+('CurrentPor-LH=60 unchanged'!D205+'CurrentPor-LH=60 unchanged'!I205)/100,2))*100</f>
        <v>9581.4547115644182</v>
      </c>
      <c r="F205">
        <f>Portfolio!B$5*'CurrentPor-LH=60 unchanged'!E205</f>
        <v>52143.895533915893</v>
      </c>
      <c r="G205">
        <f>Portfolio!B$6*'CurrentPor-LH=60 unchanged'!F205</f>
        <v>3696.2945087936532</v>
      </c>
      <c r="H205">
        <f>Portfolio!B$7*'CurrentPor-LH=60 unchanged'!J205</f>
        <v>2148.0998964419859</v>
      </c>
      <c r="I205">
        <f t="shared" si="6"/>
        <v>96493.537342205425</v>
      </c>
      <c r="J205">
        <f t="shared" si="5"/>
        <v>0</v>
      </c>
    </row>
    <row r="206" spans="1:10">
      <c r="A206" s="1">
        <v>45757</v>
      </c>
      <c r="B206">
        <f>(3/(1+('CurrentPor-LH=60 unchanged'!C206)/100)+103/POWER(1+('CurrentPor-LH=60 unchanged'!D206)/100,2))*100</f>
        <v>9707.5857774288397</v>
      </c>
      <c r="C206">
        <f>(3/(1+('CurrentPor-LH=60 unchanged'!C206+'CurrentPor-LH=60 unchanged'!G206)/100)+103/POWER(1+('CurrentPor-LH=60 unchanged'!D206+'CurrentPor-LH=60 unchanged'!G206)/100,2))*100</f>
        <v>9614.9673582483465</v>
      </c>
      <c r="D206">
        <f>(3/(1+('CurrentPor-LH=60 unchanged'!C206+'CurrentPor-LH=60 unchanged'!H206)/100)+103/POWER(1+('CurrentPor-LH=60 unchanged'!D206+'CurrentPor-LH=60 unchanged'!H206)/100,2))*100</f>
        <v>9601.2395558122898</v>
      </c>
      <c r="E206">
        <f>(3/(1+('CurrentPor-LH=60 unchanged'!C206+'CurrentPor-LH=60 unchanged'!I206)/100)+103/POWER(1+('CurrentPor-LH=60 unchanged'!D206+'CurrentPor-LH=60 unchanged'!I206)/100,2))*100</f>
        <v>9581.4547115644182</v>
      </c>
      <c r="F206">
        <f>Portfolio!B$5*'CurrentPor-LH=60 unchanged'!E206</f>
        <v>52143.895533915893</v>
      </c>
      <c r="G206">
        <f>Portfolio!B$6*'CurrentPor-LH=60 unchanged'!F206</f>
        <v>3696.2945087936532</v>
      </c>
      <c r="H206">
        <f>Portfolio!B$7*'CurrentPor-LH=60 unchanged'!J206</f>
        <v>2148.0998964419859</v>
      </c>
      <c r="I206">
        <f t="shared" si="6"/>
        <v>96493.537342205425</v>
      </c>
      <c r="J206">
        <f t="shared" ref="J206:J263" si="7">I206-I196</f>
        <v>0</v>
      </c>
    </row>
    <row r="207" spans="1:10">
      <c r="A207" s="1">
        <v>45758</v>
      </c>
      <c r="B207">
        <f>(3/(1+('CurrentPor-LH=60 unchanged'!C207)/100)+103/POWER(1+('CurrentPor-LH=60 unchanged'!D207)/100,2))*100</f>
        <v>9707.5857774288397</v>
      </c>
      <c r="C207">
        <f>(3/(1+('CurrentPor-LH=60 unchanged'!C207+'CurrentPor-LH=60 unchanged'!G207)/100)+103/POWER(1+('CurrentPor-LH=60 unchanged'!D207+'CurrentPor-LH=60 unchanged'!G207)/100,2))*100</f>
        <v>9614.9673582483465</v>
      </c>
      <c r="D207">
        <f>(3/(1+('CurrentPor-LH=60 unchanged'!C207+'CurrentPor-LH=60 unchanged'!H207)/100)+103/POWER(1+('CurrentPor-LH=60 unchanged'!D207+'CurrentPor-LH=60 unchanged'!H207)/100,2))*100</f>
        <v>9601.2395558122898</v>
      </c>
      <c r="E207">
        <f>(3/(1+('CurrentPor-LH=60 unchanged'!C207+'CurrentPor-LH=60 unchanged'!I207)/100)+103/POWER(1+('CurrentPor-LH=60 unchanged'!D207+'CurrentPor-LH=60 unchanged'!I207)/100,2))*100</f>
        <v>9581.4547115644182</v>
      </c>
      <c r="F207">
        <f>Portfolio!B$5*'CurrentPor-LH=60 unchanged'!E207</f>
        <v>52143.895533915893</v>
      </c>
      <c r="G207">
        <f>Portfolio!B$6*'CurrentPor-LH=60 unchanged'!F207</f>
        <v>3696.2945087936532</v>
      </c>
      <c r="H207">
        <f>Portfolio!B$7*'CurrentPor-LH=60 unchanged'!J207</f>
        <v>2148.0998964419859</v>
      </c>
      <c r="I207">
        <f t="shared" si="6"/>
        <v>96493.537342205425</v>
      </c>
      <c r="J207">
        <f t="shared" si="7"/>
        <v>0</v>
      </c>
    </row>
    <row r="208" spans="1:10">
      <c r="A208" s="1">
        <v>45761</v>
      </c>
      <c r="B208">
        <f>(3/(1+('CurrentPor-LH=60 unchanged'!C208)/100)+103/POWER(1+('CurrentPor-LH=60 unchanged'!D208)/100,2))*100</f>
        <v>9707.5857774288397</v>
      </c>
      <c r="C208">
        <f>(3/(1+('CurrentPor-LH=60 unchanged'!C208+'CurrentPor-LH=60 unchanged'!G208)/100)+103/POWER(1+('CurrentPor-LH=60 unchanged'!D208+'CurrentPor-LH=60 unchanged'!G208)/100,2))*100</f>
        <v>9614.9673582483465</v>
      </c>
      <c r="D208">
        <f>(3/(1+('CurrentPor-LH=60 unchanged'!C208+'CurrentPor-LH=60 unchanged'!H208)/100)+103/POWER(1+('CurrentPor-LH=60 unchanged'!D208+'CurrentPor-LH=60 unchanged'!H208)/100,2))*100</f>
        <v>9601.2395558122898</v>
      </c>
      <c r="E208">
        <f>(3/(1+('CurrentPor-LH=60 unchanged'!C208+'CurrentPor-LH=60 unchanged'!I208)/100)+103/POWER(1+('CurrentPor-LH=60 unchanged'!D208+'CurrentPor-LH=60 unchanged'!I208)/100,2))*100</f>
        <v>9581.4547115644182</v>
      </c>
      <c r="F208">
        <f>Portfolio!B$5*'CurrentPor-LH=60 unchanged'!E208</f>
        <v>52143.895533915893</v>
      </c>
      <c r="G208">
        <f>Portfolio!B$6*'CurrentPor-LH=60 unchanged'!F208</f>
        <v>3696.2945087936532</v>
      </c>
      <c r="H208">
        <f>Portfolio!B$7*'CurrentPor-LH=60 unchanged'!J208</f>
        <v>2148.0998964419859</v>
      </c>
      <c r="I208">
        <f t="shared" si="6"/>
        <v>96493.537342205425</v>
      </c>
      <c r="J208">
        <f t="shared" si="7"/>
        <v>0</v>
      </c>
    </row>
    <row r="209" spans="1:10">
      <c r="A209" s="1">
        <v>45762</v>
      </c>
      <c r="B209">
        <f>(3/(1+('CurrentPor-LH=60 unchanged'!C209)/100)+103/POWER(1+('CurrentPor-LH=60 unchanged'!D209)/100,2))*100</f>
        <v>9707.5857774288397</v>
      </c>
      <c r="C209">
        <f>(3/(1+('CurrentPor-LH=60 unchanged'!C209+'CurrentPor-LH=60 unchanged'!G209)/100)+103/POWER(1+('CurrentPor-LH=60 unchanged'!D209+'CurrentPor-LH=60 unchanged'!G209)/100,2))*100</f>
        <v>9614.9673582483465</v>
      </c>
      <c r="D209">
        <f>(3/(1+('CurrentPor-LH=60 unchanged'!C209+'CurrentPor-LH=60 unchanged'!H209)/100)+103/POWER(1+('CurrentPor-LH=60 unchanged'!D209+'CurrentPor-LH=60 unchanged'!H209)/100,2))*100</f>
        <v>9601.2395558122898</v>
      </c>
      <c r="E209">
        <f>(3/(1+('CurrentPor-LH=60 unchanged'!C209+'CurrentPor-LH=60 unchanged'!I209)/100)+103/POWER(1+('CurrentPor-LH=60 unchanged'!D209+'CurrentPor-LH=60 unchanged'!I209)/100,2))*100</f>
        <v>9581.4547115644182</v>
      </c>
      <c r="F209">
        <f>Portfolio!B$5*'CurrentPor-LH=60 unchanged'!E209</f>
        <v>52143.895533915893</v>
      </c>
      <c r="G209">
        <f>Portfolio!B$6*'CurrentPor-LH=60 unchanged'!F209</f>
        <v>3696.2945087936532</v>
      </c>
      <c r="H209">
        <f>Portfolio!B$7*'CurrentPor-LH=60 unchanged'!J209</f>
        <v>2148.0998964419859</v>
      </c>
      <c r="I209">
        <f t="shared" si="6"/>
        <v>96493.537342205425</v>
      </c>
      <c r="J209">
        <f t="shared" si="7"/>
        <v>0</v>
      </c>
    </row>
    <row r="210" spans="1:10">
      <c r="A210" s="1">
        <v>45763</v>
      </c>
      <c r="B210">
        <f>(3/(1+('CurrentPor-LH=60 unchanged'!C210)/100)+103/POWER(1+('CurrentPor-LH=60 unchanged'!D210)/100,2))*100</f>
        <v>9707.5857774288397</v>
      </c>
      <c r="C210">
        <f>(3/(1+('CurrentPor-LH=60 unchanged'!C210+'CurrentPor-LH=60 unchanged'!G210)/100)+103/POWER(1+('CurrentPor-LH=60 unchanged'!D210+'CurrentPor-LH=60 unchanged'!G210)/100,2))*100</f>
        <v>9614.9673582483465</v>
      </c>
      <c r="D210">
        <f>(3/(1+('CurrentPor-LH=60 unchanged'!C210+'CurrentPor-LH=60 unchanged'!H210)/100)+103/POWER(1+('CurrentPor-LH=60 unchanged'!D210+'CurrentPor-LH=60 unchanged'!H210)/100,2))*100</f>
        <v>9601.2395558122898</v>
      </c>
      <c r="E210">
        <f>(3/(1+('CurrentPor-LH=60 unchanged'!C210+'CurrentPor-LH=60 unchanged'!I210)/100)+103/POWER(1+('CurrentPor-LH=60 unchanged'!D210+'CurrentPor-LH=60 unchanged'!I210)/100,2))*100</f>
        <v>9581.4547115644182</v>
      </c>
      <c r="F210">
        <f>Portfolio!B$5*'CurrentPor-LH=60 unchanged'!E210</f>
        <v>52143.895533915893</v>
      </c>
      <c r="G210">
        <f>Portfolio!B$6*'CurrentPor-LH=60 unchanged'!F210</f>
        <v>3696.2945087936532</v>
      </c>
      <c r="H210">
        <f>Portfolio!B$7*'CurrentPor-LH=60 unchanged'!J210</f>
        <v>2148.0998964419859</v>
      </c>
      <c r="I210">
        <f t="shared" si="6"/>
        <v>96493.537342205425</v>
      </c>
      <c r="J210">
        <f t="shared" si="7"/>
        <v>0</v>
      </c>
    </row>
    <row r="211" spans="1:10">
      <c r="A211" s="1">
        <v>45764</v>
      </c>
      <c r="B211">
        <f>(3/(1+('CurrentPor-LH=60 unchanged'!C211)/100)+103/POWER(1+('CurrentPor-LH=60 unchanged'!D211)/100,2))*100</f>
        <v>9707.5857774288397</v>
      </c>
      <c r="C211">
        <f>(3/(1+('CurrentPor-LH=60 unchanged'!C211+'CurrentPor-LH=60 unchanged'!G211)/100)+103/POWER(1+('CurrentPor-LH=60 unchanged'!D211+'CurrentPor-LH=60 unchanged'!G211)/100,2))*100</f>
        <v>9614.9673582483465</v>
      </c>
      <c r="D211">
        <f>(3/(1+('CurrentPor-LH=60 unchanged'!C211+'CurrentPor-LH=60 unchanged'!H211)/100)+103/POWER(1+('CurrentPor-LH=60 unchanged'!D211+'CurrentPor-LH=60 unchanged'!H211)/100,2))*100</f>
        <v>9601.2395558122898</v>
      </c>
      <c r="E211">
        <f>(3/(1+('CurrentPor-LH=60 unchanged'!C211+'CurrentPor-LH=60 unchanged'!I211)/100)+103/POWER(1+('CurrentPor-LH=60 unchanged'!D211+'CurrentPor-LH=60 unchanged'!I211)/100,2))*100</f>
        <v>9581.4547115644182</v>
      </c>
      <c r="F211">
        <f>Portfolio!B$5*'CurrentPor-LH=60 unchanged'!E211</f>
        <v>52143.895533915893</v>
      </c>
      <c r="G211">
        <f>Portfolio!B$6*'CurrentPor-LH=60 unchanged'!F211</f>
        <v>3696.2945087936532</v>
      </c>
      <c r="H211">
        <f>Portfolio!B$7*'CurrentPor-LH=60 unchanged'!J211</f>
        <v>2148.0998964419859</v>
      </c>
      <c r="I211">
        <f t="shared" si="6"/>
        <v>96493.537342205425</v>
      </c>
      <c r="J211">
        <f t="shared" si="7"/>
        <v>0</v>
      </c>
    </row>
    <row r="212" spans="1:10">
      <c r="A212" s="1">
        <v>45765</v>
      </c>
      <c r="B212">
        <f>(3/(1+('CurrentPor-LH=60 unchanged'!C212)/100)+103/POWER(1+('CurrentPor-LH=60 unchanged'!D212)/100,2))*100</f>
        <v>9707.5857774288397</v>
      </c>
      <c r="C212">
        <f>(3/(1+('CurrentPor-LH=60 unchanged'!C212+'CurrentPor-LH=60 unchanged'!G212)/100)+103/POWER(1+('CurrentPor-LH=60 unchanged'!D212+'CurrentPor-LH=60 unchanged'!G212)/100,2))*100</f>
        <v>9614.9673582483465</v>
      </c>
      <c r="D212">
        <f>(3/(1+('CurrentPor-LH=60 unchanged'!C212+'CurrentPor-LH=60 unchanged'!H212)/100)+103/POWER(1+('CurrentPor-LH=60 unchanged'!D212+'CurrentPor-LH=60 unchanged'!H212)/100,2))*100</f>
        <v>9601.2395558122898</v>
      </c>
      <c r="E212">
        <f>(3/(1+('CurrentPor-LH=60 unchanged'!C212+'CurrentPor-LH=60 unchanged'!I212)/100)+103/POWER(1+('CurrentPor-LH=60 unchanged'!D212+'CurrentPor-LH=60 unchanged'!I212)/100,2))*100</f>
        <v>9581.4547115644182</v>
      </c>
      <c r="F212">
        <f>Portfolio!B$5*'CurrentPor-LH=60 unchanged'!E212</f>
        <v>52143.895533915893</v>
      </c>
      <c r="G212">
        <f>Portfolio!B$6*'CurrentPor-LH=60 unchanged'!F212</f>
        <v>3696.2945087936532</v>
      </c>
      <c r="H212">
        <f>Portfolio!B$7*'CurrentPor-LH=60 unchanged'!J212</f>
        <v>2148.0998964419859</v>
      </c>
      <c r="I212">
        <f t="shared" si="6"/>
        <v>96493.537342205425</v>
      </c>
      <c r="J212">
        <f t="shared" si="7"/>
        <v>0</v>
      </c>
    </row>
    <row r="213" spans="1:10">
      <c r="A213" s="1">
        <v>45768</v>
      </c>
      <c r="B213">
        <f>(3/(1+('CurrentPor-LH=60 unchanged'!C213)/100)+103/POWER(1+('CurrentPor-LH=60 unchanged'!D213)/100,2))*100</f>
        <v>9707.5857774288397</v>
      </c>
      <c r="C213">
        <f>(3/(1+('CurrentPor-LH=60 unchanged'!C213+'CurrentPor-LH=60 unchanged'!G213)/100)+103/POWER(1+('CurrentPor-LH=60 unchanged'!D213+'CurrentPor-LH=60 unchanged'!G213)/100,2))*100</f>
        <v>9614.9673582483465</v>
      </c>
      <c r="D213">
        <f>(3/(1+('CurrentPor-LH=60 unchanged'!C213+'CurrentPor-LH=60 unchanged'!H213)/100)+103/POWER(1+('CurrentPor-LH=60 unchanged'!D213+'CurrentPor-LH=60 unchanged'!H213)/100,2))*100</f>
        <v>9601.2395558122898</v>
      </c>
      <c r="E213">
        <f>(3/(1+('CurrentPor-LH=60 unchanged'!C213+'CurrentPor-LH=60 unchanged'!I213)/100)+103/POWER(1+('CurrentPor-LH=60 unchanged'!D213+'CurrentPor-LH=60 unchanged'!I213)/100,2))*100</f>
        <v>9581.4547115644182</v>
      </c>
      <c r="F213">
        <f>Portfolio!B$5*'CurrentPor-LH=60 unchanged'!E213</f>
        <v>52143.895533915893</v>
      </c>
      <c r="G213">
        <f>Portfolio!B$6*'CurrentPor-LH=60 unchanged'!F213</f>
        <v>3696.2945087936532</v>
      </c>
      <c r="H213">
        <f>Portfolio!B$7*'CurrentPor-LH=60 unchanged'!J213</f>
        <v>2148.0998964419859</v>
      </c>
      <c r="I213">
        <f t="shared" si="6"/>
        <v>96493.537342205425</v>
      </c>
      <c r="J213">
        <f t="shared" si="7"/>
        <v>0</v>
      </c>
    </row>
    <row r="214" spans="1:10">
      <c r="A214" s="1">
        <v>45769</v>
      </c>
      <c r="B214">
        <f>(3/(1+('CurrentPor-LH=60 unchanged'!C214)/100)+103/POWER(1+('CurrentPor-LH=60 unchanged'!D214)/100,2))*100</f>
        <v>9707.5857774288397</v>
      </c>
      <c r="C214">
        <f>(3/(1+('CurrentPor-LH=60 unchanged'!C214+'CurrentPor-LH=60 unchanged'!G214)/100)+103/POWER(1+('CurrentPor-LH=60 unchanged'!D214+'CurrentPor-LH=60 unchanged'!G214)/100,2))*100</f>
        <v>9614.9673582483465</v>
      </c>
      <c r="D214">
        <f>(3/(1+('CurrentPor-LH=60 unchanged'!C214+'CurrentPor-LH=60 unchanged'!H214)/100)+103/POWER(1+('CurrentPor-LH=60 unchanged'!D214+'CurrentPor-LH=60 unchanged'!H214)/100,2))*100</f>
        <v>9601.2395558122898</v>
      </c>
      <c r="E214">
        <f>(3/(1+('CurrentPor-LH=60 unchanged'!C214+'CurrentPor-LH=60 unchanged'!I214)/100)+103/POWER(1+('CurrentPor-LH=60 unchanged'!D214+'CurrentPor-LH=60 unchanged'!I214)/100,2))*100</f>
        <v>9581.4547115644182</v>
      </c>
      <c r="F214">
        <f>Portfolio!B$5*'CurrentPor-LH=60 unchanged'!E214</f>
        <v>52143.895533915893</v>
      </c>
      <c r="G214">
        <f>Portfolio!B$6*'CurrentPor-LH=60 unchanged'!F214</f>
        <v>3696.2945087936532</v>
      </c>
      <c r="H214">
        <f>Portfolio!B$7*'CurrentPor-LH=60 unchanged'!J214</f>
        <v>2148.0998964419859</v>
      </c>
      <c r="I214">
        <f t="shared" si="6"/>
        <v>96493.537342205425</v>
      </c>
      <c r="J214">
        <f t="shared" si="7"/>
        <v>0</v>
      </c>
    </row>
    <row r="215" spans="1:10">
      <c r="A215" s="1">
        <v>45770</v>
      </c>
      <c r="B215">
        <f>(3/(1+('CurrentPor-LH=60 unchanged'!C215)/100)+103/POWER(1+('CurrentPor-LH=60 unchanged'!D215)/100,2))*100</f>
        <v>9707.5857774288397</v>
      </c>
      <c r="C215">
        <f>(3/(1+('CurrentPor-LH=60 unchanged'!C215+'CurrentPor-LH=60 unchanged'!G215)/100)+103/POWER(1+('CurrentPor-LH=60 unchanged'!D215+'CurrentPor-LH=60 unchanged'!G215)/100,2))*100</f>
        <v>9614.9673582483465</v>
      </c>
      <c r="D215">
        <f>(3/(1+('CurrentPor-LH=60 unchanged'!C215+'CurrentPor-LH=60 unchanged'!H215)/100)+103/POWER(1+('CurrentPor-LH=60 unchanged'!D215+'CurrentPor-LH=60 unchanged'!H215)/100,2))*100</f>
        <v>9601.2395558122898</v>
      </c>
      <c r="E215">
        <f>(3/(1+('CurrentPor-LH=60 unchanged'!C215+'CurrentPor-LH=60 unchanged'!I215)/100)+103/POWER(1+('CurrentPor-LH=60 unchanged'!D215+'CurrentPor-LH=60 unchanged'!I215)/100,2))*100</f>
        <v>9581.4547115644182</v>
      </c>
      <c r="F215">
        <f>Portfolio!B$5*'CurrentPor-LH=60 unchanged'!E215</f>
        <v>52143.895533915893</v>
      </c>
      <c r="G215">
        <f>Portfolio!B$6*'CurrentPor-LH=60 unchanged'!F215</f>
        <v>3696.2945087936532</v>
      </c>
      <c r="H215">
        <f>Portfolio!B$7*'CurrentPor-LH=60 unchanged'!J215</f>
        <v>2148.0998964419859</v>
      </c>
      <c r="I215">
        <f t="shared" si="6"/>
        <v>96493.537342205425</v>
      </c>
      <c r="J215">
        <f t="shared" si="7"/>
        <v>0</v>
      </c>
    </row>
    <row r="216" spans="1:10">
      <c r="A216" s="1">
        <v>45771</v>
      </c>
      <c r="B216">
        <f>(3/(1+('CurrentPor-LH=60 unchanged'!C216)/100)+103/POWER(1+('CurrentPor-LH=60 unchanged'!D216)/100,2))*100</f>
        <v>9707.5857774288397</v>
      </c>
      <c r="C216">
        <f>(3/(1+('CurrentPor-LH=60 unchanged'!C216+'CurrentPor-LH=60 unchanged'!G216)/100)+103/POWER(1+('CurrentPor-LH=60 unchanged'!D216+'CurrentPor-LH=60 unchanged'!G216)/100,2))*100</f>
        <v>9614.9673582483465</v>
      </c>
      <c r="D216">
        <f>(3/(1+('CurrentPor-LH=60 unchanged'!C216+'CurrentPor-LH=60 unchanged'!H216)/100)+103/POWER(1+('CurrentPor-LH=60 unchanged'!D216+'CurrentPor-LH=60 unchanged'!H216)/100,2))*100</f>
        <v>9601.2395558122898</v>
      </c>
      <c r="E216">
        <f>(3/(1+('CurrentPor-LH=60 unchanged'!C216+'CurrentPor-LH=60 unchanged'!I216)/100)+103/POWER(1+('CurrentPor-LH=60 unchanged'!D216+'CurrentPor-LH=60 unchanged'!I216)/100,2))*100</f>
        <v>9581.4547115644182</v>
      </c>
      <c r="F216">
        <f>Portfolio!B$5*'CurrentPor-LH=60 unchanged'!E216</f>
        <v>52143.895533915893</v>
      </c>
      <c r="G216">
        <f>Portfolio!B$6*'CurrentPor-LH=60 unchanged'!F216</f>
        <v>3696.2945087936532</v>
      </c>
      <c r="H216">
        <f>Portfolio!B$7*'CurrentPor-LH=60 unchanged'!J216</f>
        <v>2148.0998964419859</v>
      </c>
      <c r="I216">
        <f t="shared" si="6"/>
        <v>96493.537342205425</v>
      </c>
      <c r="J216">
        <f t="shared" si="7"/>
        <v>0</v>
      </c>
    </row>
    <row r="217" spans="1:10">
      <c r="A217" s="1">
        <v>45772</v>
      </c>
      <c r="B217">
        <f>(3/(1+('CurrentPor-LH=60 unchanged'!C217)/100)+103/POWER(1+('CurrentPor-LH=60 unchanged'!D217)/100,2))*100</f>
        <v>9707.5857774288397</v>
      </c>
      <c r="C217">
        <f>(3/(1+('CurrentPor-LH=60 unchanged'!C217+'CurrentPor-LH=60 unchanged'!G217)/100)+103/POWER(1+('CurrentPor-LH=60 unchanged'!D217+'CurrentPor-LH=60 unchanged'!G217)/100,2))*100</f>
        <v>9614.9673582483465</v>
      </c>
      <c r="D217">
        <f>(3/(1+('CurrentPor-LH=60 unchanged'!C217+'CurrentPor-LH=60 unchanged'!H217)/100)+103/POWER(1+('CurrentPor-LH=60 unchanged'!D217+'CurrentPor-LH=60 unchanged'!H217)/100,2))*100</f>
        <v>9601.2395558122898</v>
      </c>
      <c r="E217">
        <f>(3/(1+('CurrentPor-LH=60 unchanged'!C217+'CurrentPor-LH=60 unchanged'!I217)/100)+103/POWER(1+('CurrentPor-LH=60 unchanged'!D217+'CurrentPor-LH=60 unchanged'!I217)/100,2))*100</f>
        <v>9581.4547115644182</v>
      </c>
      <c r="F217">
        <f>Portfolio!B$5*'CurrentPor-LH=60 unchanged'!E217</f>
        <v>52143.895533915893</v>
      </c>
      <c r="G217">
        <f>Portfolio!B$6*'CurrentPor-LH=60 unchanged'!F217</f>
        <v>3696.2945087936532</v>
      </c>
      <c r="H217">
        <f>Portfolio!B$7*'CurrentPor-LH=60 unchanged'!J217</f>
        <v>2148.0998964419859</v>
      </c>
      <c r="I217">
        <f t="shared" si="6"/>
        <v>96493.537342205425</v>
      </c>
      <c r="J217">
        <f t="shared" si="7"/>
        <v>0</v>
      </c>
    </row>
    <row r="218" spans="1:10">
      <c r="A218" s="1">
        <v>45775</v>
      </c>
      <c r="B218">
        <f>(3/(1+('CurrentPor-LH=60 unchanged'!C218)/100)+103/POWER(1+('CurrentPor-LH=60 unchanged'!D218)/100,2))*100</f>
        <v>9707.5857774288397</v>
      </c>
      <c r="C218">
        <f>(3/(1+('CurrentPor-LH=60 unchanged'!C218+'CurrentPor-LH=60 unchanged'!G218)/100)+103/POWER(1+('CurrentPor-LH=60 unchanged'!D218+'CurrentPor-LH=60 unchanged'!G218)/100,2))*100</f>
        <v>9614.9673582483465</v>
      </c>
      <c r="D218">
        <f>(3/(1+('CurrentPor-LH=60 unchanged'!C218+'CurrentPor-LH=60 unchanged'!H218)/100)+103/POWER(1+('CurrentPor-LH=60 unchanged'!D218+'CurrentPor-LH=60 unchanged'!H218)/100,2))*100</f>
        <v>9601.2395558122898</v>
      </c>
      <c r="E218">
        <f>(3/(1+('CurrentPor-LH=60 unchanged'!C218+'CurrentPor-LH=60 unchanged'!I218)/100)+103/POWER(1+('CurrentPor-LH=60 unchanged'!D218+'CurrentPor-LH=60 unchanged'!I218)/100,2))*100</f>
        <v>9581.4547115644182</v>
      </c>
      <c r="F218">
        <f>Portfolio!B$5*'CurrentPor-LH=60 unchanged'!E218</f>
        <v>52143.895533915893</v>
      </c>
      <c r="G218">
        <f>Portfolio!B$6*'CurrentPor-LH=60 unchanged'!F218</f>
        <v>3696.2945087936532</v>
      </c>
      <c r="H218">
        <f>Portfolio!B$7*'CurrentPor-LH=60 unchanged'!J218</f>
        <v>2148.0998964419859</v>
      </c>
      <c r="I218">
        <f t="shared" si="6"/>
        <v>96493.537342205425</v>
      </c>
      <c r="J218">
        <f t="shared" si="7"/>
        <v>0</v>
      </c>
    </row>
    <row r="219" spans="1:10">
      <c r="A219" s="1">
        <v>45776</v>
      </c>
      <c r="B219">
        <f>(3/(1+('CurrentPor-LH=60 unchanged'!C219)/100)+103/POWER(1+('CurrentPor-LH=60 unchanged'!D219)/100,2))*100</f>
        <v>9707.5857774288397</v>
      </c>
      <c r="C219">
        <f>(3/(1+('CurrentPor-LH=60 unchanged'!C219+'CurrentPor-LH=60 unchanged'!G219)/100)+103/POWER(1+('CurrentPor-LH=60 unchanged'!D219+'CurrentPor-LH=60 unchanged'!G219)/100,2))*100</f>
        <v>9614.9673582483465</v>
      </c>
      <c r="D219">
        <f>(3/(1+('CurrentPor-LH=60 unchanged'!C219+'CurrentPor-LH=60 unchanged'!H219)/100)+103/POWER(1+('CurrentPor-LH=60 unchanged'!D219+'CurrentPor-LH=60 unchanged'!H219)/100,2))*100</f>
        <v>9601.2395558122898</v>
      </c>
      <c r="E219">
        <f>(3/(1+('CurrentPor-LH=60 unchanged'!C219+'CurrentPor-LH=60 unchanged'!I219)/100)+103/POWER(1+('CurrentPor-LH=60 unchanged'!D219+'CurrentPor-LH=60 unchanged'!I219)/100,2))*100</f>
        <v>9581.4547115644182</v>
      </c>
      <c r="F219">
        <f>Portfolio!B$5*'CurrentPor-LH=60 unchanged'!E219</f>
        <v>52143.895533915893</v>
      </c>
      <c r="G219">
        <f>Portfolio!B$6*'CurrentPor-LH=60 unchanged'!F219</f>
        <v>3696.2945087936532</v>
      </c>
      <c r="H219">
        <f>Portfolio!B$7*'CurrentPor-LH=60 unchanged'!J219</f>
        <v>2148.0998964419859</v>
      </c>
      <c r="I219">
        <f t="shared" si="6"/>
        <v>96493.537342205425</v>
      </c>
      <c r="J219">
        <f t="shared" si="7"/>
        <v>0</v>
      </c>
    </row>
    <row r="220" spans="1:10">
      <c r="A220" s="1">
        <v>45777</v>
      </c>
      <c r="B220">
        <f>(3/(1+('CurrentPor-LH=60 unchanged'!C220)/100)+103/POWER(1+('CurrentPor-LH=60 unchanged'!D220)/100,2))*100</f>
        <v>9707.5857774288397</v>
      </c>
      <c r="C220">
        <f>(3/(1+('CurrentPor-LH=60 unchanged'!C220+'CurrentPor-LH=60 unchanged'!G220)/100)+103/POWER(1+('CurrentPor-LH=60 unchanged'!D220+'CurrentPor-LH=60 unchanged'!G220)/100,2))*100</f>
        <v>9614.9673582483465</v>
      </c>
      <c r="D220">
        <f>(3/(1+('CurrentPor-LH=60 unchanged'!C220+'CurrentPor-LH=60 unchanged'!H220)/100)+103/POWER(1+('CurrentPor-LH=60 unchanged'!D220+'CurrentPor-LH=60 unchanged'!H220)/100,2))*100</f>
        <v>9601.2395558122898</v>
      </c>
      <c r="E220">
        <f>(3/(1+('CurrentPor-LH=60 unchanged'!C220+'CurrentPor-LH=60 unchanged'!I220)/100)+103/POWER(1+('CurrentPor-LH=60 unchanged'!D220+'CurrentPor-LH=60 unchanged'!I220)/100,2))*100</f>
        <v>9581.4547115644182</v>
      </c>
      <c r="F220">
        <f>Portfolio!B$5*'CurrentPor-LH=60 unchanged'!E220</f>
        <v>52143.895533915893</v>
      </c>
      <c r="G220">
        <f>Portfolio!B$6*'CurrentPor-LH=60 unchanged'!F220</f>
        <v>3696.2945087936532</v>
      </c>
      <c r="H220">
        <f>Portfolio!B$7*'CurrentPor-LH=60 unchanged'!J220</f>
        <v>2148.0998964419859</v>
      </c>
      <c r="I220">
        <f t="shared" si="6"/>
        <v>96493.537342205425</v>
      </c>
      <c r="J220">
        <f t="shared" si="7"/>
        <v>0</v>
      </c>
    </row>
    <row r="221" spans="1:10">
      <c r="A221" s="1">
        <v>45778</v>
      </c>
      <c r="B221">
        <f>(3/(1+('CurrentPor-LH=60 unchanged'!C221)/100)+103/POWER(1+('CurrentPor-LH=60 unchanged'!D221)/100,2))*100</f>
        <v>9707.5857774288397</v>
      </c>
      <c r="C221">
        <f>(3/(1+('CurrentPor-LH=60 unchanged'!C221+'CurrentPor-LH=60 unchanged'!G221)/100)+103/POWER(1+('CurrentPor-LH=60 unchanged'!D221+'CurrentPor-LH=60 unchanged'!G221)/100,2))*100</f>
        <v>9614.9673582483465</v>
      </c>
      <c r="D221">
        <f>(3/(1+('CurrentPor-LH=60 unchanged'!C221+'CurrentPor-LH=60 unchanged'!H221)/100)+103/POWER(1+('CurrentPor-LH=60 unchanged'!D221+'CurrentPor-LH=60 unchanged'!H221)/100,2))*100</f>
        <v>9601.2395558122898</v>
      </c>
      <c r="E221">
        <f>(3/(1+('CurrentPor-LH=60 unchanged'!C221+'CurrentPor-LH=60 unchanged'!I221)/100)+103/POWER(1+('CurrentPor-LH=60 unchanged'!D221+'CurrentPor-LH=60 unchanged'!I221)/100,2))*100</f>
        <v>9581.4547115644182</v>
      </c>
      <c r="F221">
        <f>Portfolio!B$5*'CurrentPor-LH=60 unchanged'!E221</f>
        <v>52143.895533915893</v>
      </c>
      <c r="G221">
        <f>Portfolio!B$6*'CurrentPor-LH=60 unchanged'!F221</f>
        <v>3696.2945087936532</v>
      </c>
      <c r="H221">
        <f>Portfolio!B$7*'CurrentPor-LH=60 unchanged'!J221</f>
        <v>2148.0998964419859</v>
      </c>
      <c r="I221">
        <f t="shared" si="6"/>
        <v>96493.537342205425</v>
      </c>
      <c r="J221">
        <f t="shared" si="7"/>
        <v>0</v>
      </c>
    </row>
    <row r="222" spans="1:10">
      <c r="A222" s="1">
        <v>45779</v>
      </c>
      <c r="B222">
        <f>(3/(1+('CurrentPor-LH=60 unchanged'!C222)/100)+103/POWER(1+('CurrentPor-LH=60 unchanged'!D222)/100,2))*100</f>
        <v>9707.5857774288397</v>
      </c>
      <c r="C222">
        <f>(3/(1+('CurrentPor-LH=60 unchanged'!C222+'CurrentPor-LH=60 unchanged'!G222)/100)+103/POWER(1+('CurrentPor-LH=60 unchanged'!D222+'CurrentPor-LH=60 unchanged'!G222)/100,2))*100</f>
        <v>9614.9673582483465</v>
      </c>
      <c r="D222">
        <f>(3/(1+('CurrentPor-LH=60 unchanged'!C222+'CurrentPor-LH=60 unchanged'!H222)/100)+103/POWER(1+('CurrentPor-LH=60 unchanged'!D222+'CurrentPor-LH=60 unchanged'!H222)/100,2))*100</f>
        <v>9601.2395558122898</v>
      </c>
      <c r="E222">
        <f>(3/(1+('CurrentPor-LH=60 unchanged'!C222+'CurrentPor-LH=60 unchanged'!I222)/100)+103/POWER(1+('CurrentPor-LH=60 unchanged'!D222+'CurrentPor-LH=60 unchanged'!I222)/100,2))*100</f>
        <v>9581.4547115644182</v>
      </c>
      <c r="F222">
        <f>Portfolio!B$5*'CurrentPor-LH=60 unchanged'!E222</f>
        <v>52143.895533915893</v>
      </c>
      <c r="G222">
        <f>Portfolio!B$6*'CurrentPor-LH=60 unchanged'!F222</f>
        <v>3696.2945087936532</v>
      </c>
      <c r="H222">
        <f>Portfolio!B$7*'CurrentPor-LH=60 unchanged'!J222</f>
        <v>2148.0998964419859</v>
      </c>
      <c r="I222">
        <f t="shared" si="6"/>
        <v>96493.537342205425</v>
      </c>
      <c r="J222">
        <f t="shared" si="7"/>
        <v>0</v>
      </c>
    </row>
    <row r="223" spans="1:10">
      <c r="A223" s="1">
        <v>45782</v>
      </c>
      <c r="B223">
        <f>(3/(1+('CurrentPor-LH=60 unchanged'!C223)/100)+103/POWER(1+('CurrentPor-LH=60 unchanged'!D223)/100,2))*100</f>
        <v>9707.5857774288397</v>
      </c>
      <c r="C223">
        <f>(3/(1+('CurrentPor-LH=60 unchanged'!C223+'CurrentPor-LH=60 unchanged'!G223)/100)+103/POWER(1+('CurrentPor-LH=60 unchanged'!D223+'CurrentPor-LH=60 unchanged'!G223)/100,2))*100</f>
        <v>9614.9673582483465</v>
      </c>
      <c r="D223">
        <f>(3/(1+('CurrentPor-LH=60 unchanged'!C223+'CurrentPor-LH=60 unchanged'!H223)/100)+103/POWER(1+('CurrentPor-LH=60 unchanged'!D223+'CurrentPor-LH=60 unchanged'!H223)/100,2))*100</f>
        <v>9601.2395558122898</v>
      </c>
      <c r="E223">
        <f>(3/(1+('CurrentPor-LH=60 unchanged'!C223+'CurrentPor-LH=60 unchanged'!I223)/100)+103/POWER(1+('CurrentPor-LH=60 unchanged'!D223+'CurrentPor-LH=60 unchanged'!I223)/100,2))*100</f>
        <v>9581.4547115644182</v>
      </c>
      <c r="F223">
        <f>Portfolio!B$5*'CurrentPor-LH=60 unchanged'!E223</f>
        <v>52143.895533915893</v>
      </c>
      <c r="G223">
        <f>Portfolio!B$6*'CurrentPor-LH=60 unchanged'!F223</f>
        <v>3696.2945087936532</v>
      </c>
      <c r="H223">
        <f>Portfolio!B$7*'CurrentPor-LH=60 unchanged'!J223</f>
        <v>2148.0998964419859</v>
      </c>
      <c r="I223">
        <f t="shared" si="6"/>
        <v>96493.537342205425</v>
      </c>
      <c r="J223">
        <f t="shared" si="7"/>
        <v>0</v>
      </c>
    </row>
    <row r="224" spans="1:10">
      <c r="A224" s="1">
        <v>45783</v>
      </c>
      <c r="B224">
        <f>(3/(1+('CurrentPor-LH=60 unchanged'!C224)/100)+103/POWER(1+('CurrentPor-LH=60 unchanged'!D224)/100,2))*100</f>
        <v>9707.5857774288397</v>
      </c>
      <c r="C224">
        <f>(3/(1+('CurrentPor-LH=60 unchanged'!C224+'CurrentPor-LH=60 unchanged'!G224)/100)+103/POWER(1+('CurrentPor-LH=60 unchanged'!D224+'CurrentPor-LH=60 unchanged'!G224)/100,2))*100</f>
        <v>9614.9673582483465</v>
      </c>
      <c r="D224">
        <f>(3/(1+('CurrentPor-LH=60 unchanged'!C224+'CurrentPor-LH=60 unchanged'!H224)/100)+103/POWER(1+('CurrentPor-LH=60 unchanged'!D224+'CurrentPor-LH=60 unchanged'!H224)/100,2))*100</f>
        <v>9601.2395558122898</v>
      </c>
      <c r="E224">
        <f>(3/(1+('CurrentPor-LH=60 unchanged'!C224+'CurrentPor-LH=60 unchanged'!I224)/100)+103/POWER(1+('CurrentPor-LH=60 unchanged'!D224+'CurrentPor-LH=60 unchanged'!I224)/100,2))*100</f>
        <v>9581.4547115644182</v>
      </c>
      <c r="F224">
        <f>Portfolio!B$5*'CurrentPor-LH=60 unchanged'!E224</f>
        <v>52143.895533915893</v>
      </c>
      <c r="G224">
        <f>Portfolio!B$6*'CurrentPor-LH=60 unchanged'!F224</f>
        <v>3696.2945087936532</v>
      </c>
      <c r="H224">
        <f>Portfolio!B$7*'CurrentPor-LH=60 unchanged'!J224</f>
        <v>2148.0998964419859</v>
      </c>
      <c r="I224">
        <f t="shared" si="6"/>
        <v>96493.537342205425</v>
      </c>
      <c r="J224">
        <f t="shared" si="7"/>
        <v>0</v>
      </c>
    </row>
    <row r="225" spans="1:10">
      <c r="A225" s="1">
        <v>45784</v>
      </c>
      <c r="B225">
        <f>(3/(1+('CurrentPor-LH=60 unchanged'!C225)/100)+103/POWER(1+('CurrentPor-LH=60 unchanged'!D225)/100,2))*100</f>
        <v>9707.5857774288397</v>
      </c>
      <c r="C225">
        <f>(3/(1+('CurrentPor-LH=60 unchanged'!C225+'CurrentPor-LH=60 unchanged'!G225)/100)+103/POWER(1+('CurrentPor-LH=60 unchanged'!D225+'CurrentPor-LH=60 unchanged'!G225)/100,2))*100</f>
        <v>9614.9673582483465</v>
      </c>
      <c r="D225">
        <f>(3/(1+('CurrentPor-LH=60 unchanged'!C225+'CurrentPor-LH=60 unchanged'!H225)/100)+103/POWER(1+('CurrentPor-LH=60 unchanged'!D225+'CurrentPor-LH=60 unchanged'!H225)/100,2))*100</f>
        <v>9601.2395558122898</v>
      </c>
      <c r="E225">
        <f>(3/(1+('CurrentPor-LH=60 unchanged'!C225+'CurrentPor-LH=60 unchanged'!I225)/100)+103/POWER(1+('CurrentPor-LH=60 unchanged'!D225+'CurrentPor-LH=60 unchanged'!I225)/100,2))*100</f>
        <v>9581.4547115644182</v>
      </c>
      <c r="F225">
        <f>Portfolio!B$5*'CurrentPor-LH=60 unchanged'!E225</f>
        <v>52143.895533915893</v>
      </c>
      <c r="G225">
        <f>Portfolio!B$6*'CurrentPor-LH=60 unchanged'!F225</f>
        <v>3696.2945087936532</v>
      </c>
      <c r="H225">
        <f>Portfolio!B$7*'CurrentPor-LH=60 unchanged'!J225</f>
        <v>2148.0998964419859</v>
      </c>
      <c r="I225">
        <f t="shared" si="6"/>
        <v>96493.537342205425</v>
      </c>
      <c r="J225">
        <f t="shared" si="7"/>
        <v>0</v>
      </c>
    </row>
    <row r="226" spans="1:10">
      <c r="A226" s="1">
        <v>45785</v>
      </c>
      <c r="B226">
        <f>(3/(1+('CurrentPor-LH=60 unchanged'!C226)/100)+103/POWER(1+('CurrentPor-LH=60 unchanged'!D226)/100,2))*100</f>
        <v>9707.5857774288397</v>
      </c>
      <c r="C226">
        <f>(3/(1+('CurrentPor-LH=60 unchanged'!C226+'CurrentPor-LH=60 unchanged'!G226)/100)+103/POWER(1+('CurrentPor-LH=60 unchanged'!D226+'CurrentPor-LH=60 unchanged'!G226)/100,2))*100</f>
        <v>9614.9673582483465</v>
      </c>
      <c r="D226">
        <f>(3/(1+('CurrentPor-LH=60 unchanged'!C226+'CurrentPor-LH=60 unchanged'!H226)/100)+103/POWER(1+('CurrentPor-LH=60 unchanged'!D226+'CurrentPor-LH=60 unchanged'!H226)/100,2))*100</f>
        <v>9601.2395558122898</v>
      </c>
      <c r="E226">
        <f>(3/(1+('CurrentPor-LH=60 unchanged'!C226+'CurrentPor-LH=60 unchanged'!I226)/100)+103/POWER(1+('CurrentPor-LH=60 unchanged'!D226+'CurrentPor-LH=60 unchanged'!I226)/100,2))*100</f>
        <v>9581.4547115644182</v>
      </c>
      <c r="F226">
        <f>Portfolio!B$5*'CurrentPor-LH=60 unchanged'!E226</f>
        <v>52143.895533915893</v>
      </c>
      <c r="G226">
        <f>Portfolio!B$6*'CurrentPor-LH=60 unchanged'!F226</f>
        <v>3696.2945087936532</v>
      </c>
      <c r="H226">
        <f>Portfolio!B$7*'CurrentPor-LH=60 unchanged'!J226</f>
        <v>2148.0998964419859</v>
      </c>
      <c r="I226">
        <f t="shared" si="6"/>
        <v>96493.537342205425</v>
      </c>
      <c r="J226">
        <f t="shared" si="7"/>
        <v>0</v>
      </c>
    </row>
    <row r="227" spans="1:10">
      <c r="A227" s="1">
        <v>45786</v>
      </c>
      <c r="B227">
        <f>(3/(1+('CurrentPor-LH=60 unchanged'!C227)/100)+103/POWER(1+('CurrentPor-LH=60 unchanged'!D227)/100,2))*100</f>
        <v>9707.5857774288397</v>
      </c>
      <c r="C227">
        <f>(3/(1+('CurrentPor-LH=60 unchanged'!C227+'CurrentPor-LH=60 unchanged'!G227)/100)+103/POWER(1+('CurrentPor-LH=60 unchanged'!D227+'CurrentPor-LH=60 unchanged'!G227)/100,2))*100</f>
        <v>9614.9673582483465</v>
      </c>
      <c r="D227">
        <f>(3/(1+('CurrentPor-LH=60 unchanged'!C227+'CurrentPor-LH=60 unchanged'!H227)/100)+103/POWER(1+('CurrentPor-LH=60 unchanged'!D227+'CurrentPor-LH=60 unchanged'!H227)/100,2))*100</f>
        <v>9601.2395558122898</v>
      </c>
      <c r="E227">
        <f>(3/(1+('CurrentPor-LH=60 unchanged'!C227+'CurrentPor-LH=60 unchanged'!I227)/100)+103/POWER(1+('CurrentPor-LH=60 unchanged'!D227+'CurrentPor-LH=60 unchanged'!I227)/100,2))*100</f>
        <v>9581.4547115644182</v>
      </c>
      <c r="F227">
        <f>Portfolio!B$5*'CurrentPor-LH=60 unchanged'!E227</f>
        <v>52143.895533915893</v>
      </c>
      <c r="G227">
        <f>Portfolio!B$6*'CurrentPor-LH=60 unchanged'!F227</f>
        <v>3696.2945087936532</v>
      </c>
      <c r="H227">
        <f>Portfolio!B$7*'CurrentPor-LH=60 unchanged'!J227</f>
        <v>2148.0998964419859</v>
      </c>
      <c r="I227">
        <f t="shared" si="6"/>
        <v>96493.537342205425</v>
      </c>
      <c r="J227">
        <f t="shared" si="7"/>
        <v>0</v>
      </c>
    </row>
    <row r="228" spans="1:10">
      <c r="A228" s="1">
        <v>45789</v>
      </c>
      <c r="B228">
        <f>(3/(1+('CurrentPor-LH=60 unchanged'!C228)/100)+103/POWER(1+('CurrentPor-LH=60 unchanged'!D228)/100,2))*100</f>
        <v>9707.5857774288397</v>
      </c>
      <c r="C228">
        <f>(3/(1+('CurrentPor-LH=60 unchanged'!C228+'CurrentPor-LH=60 unchanged'!G228)/100)+103/POWER(1+('CurrentPor-LH=60 unchanged'!D228+'CurrentPor-LH=60 unchanged'!G228)/100,2))*100</f>
        <v>9614.9673582483465</v>
      </c>
      <c r="D228">
        <f>(3/(1+('CurrentPor-LH=60 unchanged'!C228+'CurrentPor-LH=60 unchanged'!H228)/100)+103/POWER(1+('CurrentPor-LH=60 unchanged'!D228+'CurrentPor-LH=60 unchanged'!H228)/100,2))*100</f>
        <v>9601.2395558122898</v>
      </c>
      <c r="E228">
        <f>(3/(1+('CurrentPor-LH=60 unchanged'!C228+'CurrentPor-LH=60 unchanged'!I228)/100)+103/POWER(1+('CurrentPor-LH=60 unchanged'!D228+'CurrentPor-LH=60 unchanged'!I228)/100,2))*100</f>
        <v>9581.4547115644182</v>
      </c>
      <c r="F228">
        <f>Portfolio!B$5*'CurrentPor-LH=60 unchanged'!E228</f>
        <v>52143.895533915893</v>
      </c>
      <c r="G228">
        <f>Portfolio!B$6*'CurrentPor-LH=60 unchanged'!F228</f>
        <v>3696.2945087936532</v>
      </c>
      <c r="H228">
        <f>Portfolio!B$7*'CurrentPor-LH=60 unchanged'!J228</f>
        <v>2148.0998964419859</v>
      </c>
      <c r="I228">
        <f t="shared" si="6"/>
        <v>96493.537342205425</v>
      </c>
      <c r="J228">
        <f t="shared" si="7"/>
        <v>0</v>
      </c>
    </row>
    <row r="229" spans="1:10">
      <c r="A229" s="1">
        <v>45790</v>
      </c>
      <c r="B229">
        <f>(3/(1+('CurrentPor-LH=60 unchanged'!C229)/100)+103/POWER(1+('CurrentPor-LH=60 unchanged'!D229)/100,2))*100</f>
        <v>9707.5857774288397</v>
      </c>
      <c r="C229">
        <f>(3/(1+('CurrentPor-LH=60 unchanged'!C229+'CurrentPor-LH=60 unchanged'!G229)/100)+103/POWER(1+('CurrentPor-LH=60 unchanged'!D229+'CurrentPor-LH=60 unchanged'!G229)/100,2))*100</f>
        <v>9614.9673582483465</v>
      </c>
      <c r="D229">
        <f>(3/(1+('CurrentPor-LH=60 unchanged'!C229+'CurrentPor-LH=60 unchanged'!H229)/100)+103/POWER(1+('CurrentPor-LH=60 unchanged'!D229+'CurrentPor-LH=60 unchanged'!H229)/100,2))*100</f>
        <v>9601.2395558122898</v>
      </c>
      <c r="E229">
        <f>(3/(1+('CurrentPor-LH=60 unchanged'!C229+'CurrentPor-LH=60 unchanged'!I229)/100)+103/POWER(1+('CurrentPor-LH=60 unchanged'!D229+'CurrentPor-LH=60 unchanged'!I229)/100,2))*100</f>
        <v>9581.4547115644182</v>
      </c>
      <c r="F229">
        <f>Portfolio!B$5*'CurrentPor-LH=60 unchanged'!E229</f>
        <v>52143.895533915893</v>
      </c>
      <c r="G229">
        <f>Portfolio!B$6*'CurrentPor-LH=60 unchanged'!F229</f>
        <v>3696.2945087936532</v>
      </c>
      <c r="H229">
        <f>Portfolio!B$7*'CurrentPor-LH=60 unchanged'!J229</f>
        <v>2148.0998964419859</v>
      </c>
      <c r="I229">
        <f t="shared" si="6"/>
        <v>96493.537342205425</v>
      </c>
      <c r="J229">
        <f t="shared" si="7"/>
        <v>0</v>
      </c>
    </row>
    <row r="230" spans="1:10">
      <c r="A230" s="1">
        <v>45791</v>
      </c>
      <c r="B230">
        <f>(3/(1+('CurrentPor-LH=60 unchanged'!C230)/100)+103/POWER(1+('CurrentPor-LH=60 unchanged'!D230)/100,2))*100</f>
        <v>9707.5857774288397</v>
      </c>
      <c r="C230">
        <f>(3/(1+('CurrentPor-LH=60 unchanged'!C230+'CurrentPor-LH=60 unchanged'!G230)/100)+103/POWER(1+('CurrentPor-LH=60 unchanged'!D230+'CurrentPor-LH=60 unchanged'!G230)/100,2))*100</f>
        <v>9614.9673582483465</v>
      </c>
      <c r="D230">
        <f>(3/(1+('CurrentPor-LH=60 unchanged'!C230+'CurrentPor-LH=60 unchanged'!H230)/100)+103/POWER(1+('CurrentPor-LH=60 unchanged'!D230+'CurrentPor-LH=60 unchanged'!H230)/100,2))*100</f>
        <v>9601.2395558122898</v>
      </c>
      <c r="E230">
        <f>(3/(1+('CurrentPor-LH=60 unchanged'!C230+'CurrentPor-LH=60 unchanged'!I230)/100)+103/POWER(1+('CurrentPor-LH=60 unchanged'!D230+'CurrentPor-LH=60 unchanged'!I230)/100,2))*100</f>
        <v>9581.4547115644182</v>
      </c>
      <c r="F230">
        <f>Portfolio!B$5*'CurrentPor-LH=60 unchanged'!E230</f>
        <v>52143.895533915893</v>
      </c>
      <c r="G230">
        <f>Portfolio!B$6*'CurrentPor-LH=60 unchanged'!F230</f>
        <v>3696.2945087936532</v>
      </c>
      <c r="H230">
        <f>Portfolio!B$7*'CurrentPor-LH=60 unchanged'!J230</f>
        <v>2148.0998964419859</v>
      </c>
      <c r="I230">
        <f t="shared" si="6"/>
        <v>96493.537342205425</v>
      </c>
      <c r="J230">
        <f t="shared" si="7"/>
        <v>0</v>
      </c>
    </row>
    <row r="231" spans="1:10">
      <c r="A231" s="1">
        <v>45792</v>
      </c>
      <c r="B231">
        <f>(3/(1+('CurrentPor-LH=60 unchanged'!C231)/100)+103/POWER(1+('CurrentPor-LH=60 unchanged'!D231)/100,2))*100</f>
        <v>9707.5857774288397</v>
      </c>
      <c r="C231">
        <f>(3/(1+('CurrentPor-LH=60 unchanged'!C231+'CurrentPor-LH=60 unchanged'!G231)/100)+103/POWER(1+('CurrentPor-LH=60 unchanged'!D231+'CurrentPor-LH=60 unchanged'!G231)/100,2))*100</f>
        <v>9614.9673582483465</v>
      </c>
      <c r="D231">
        <f>(3/(1+('CurrentPor-LH=60 unchanged'!C231+'CurrentPor-LH=60 unchanged'!H231)/100)+103/POWER(1+('CurrentPor-LH=60 unchanged'!D231+'CurrentPor-LH=60 unchanged'!H231)/100,2))*100</f>
        <v>9601.2395558122898</v>
      </c>
      <c r="E231">
        <f>(3/(1+('CurrentPor-LH=60 unchanged'!C231+'CurrentPor-LH=60 unchanged'!I231)/100)+103/POWER(1+('CurrentPor-LH=60 unchanged'!D231+'CurrentPor-LH=60 unchanged'!I231)/100,2))*100</f>
        <v>9581.4547115644182</v>
      </c>
      <c r="F231">
        <f>Portfolio!B$5*'CurrentPor-LH=60 unchanged'!E231</f>
        <v>52143.895533915893</v>
      </c>
      <c r="G231">
        <f>Portfolio!B$6*'CurrentPor-LH=60 unchanged'!F231</f>
        <v>3696.2945087936532</v>
      </c>
      <c r="H231">
        <f>Portfolio!B$7*'CurrentPor-LH=60 unchanged'!J231</f>
        <v>2148.0998964419859</v>
      </c>
      <c r="I231">
        <f t="shared" si="6"/>
        <v>96493.537342205425</v>
      </c>
      <c r="J231">
        <f t="shared" si="7"/>
        <v>0</v>
      </c>
    </row>
    <row r="232" spans="1:10">
      <c r="A232" s="1">
        <v>45793</v>
      </c>
      <c r="B232">
        <f>(3/(1+('CurrentPor-LH=60 unchanged'!C232)/100)+103/POWER(1+('CurrentPor-LH=60 unchanged'!D232)/100,2))*100</f>
        <v>9707.5857774288397</v>
      </c>
      <c r="C232">
        <f>(3/(1+('CurrentPor-LH=60 unchanged'!C232+'CurrentPor-LH=60 unchanged'!G232)/100)+103/POWER(1+('CurrentPor-LH=60 unchanged'!D232+'CurrentPor-LH=60 unchanged'!G232)/100,2))*100</f>
        <v>9614.9673582483465</v>
      </c>
      <c r="D232">
        <f>(3/(1+('CurrentPor-LH=60 unchanged'!C232+'CurrentPor-LH=60 unchanged'!H232)/100)+103/POWER(1+('CurrentPor-LH=60 unchanged'!D232+'CurrentPor-LH=60 unchanged'!H232)/100,2))*100</f>
        <v>9601.2395558122898</v>
      </c>
      <c r="E232">
        <f>(3/(1+('CurrentPor-LH=60 unchanged'!C232+'CurrentPor-LH=60 unchanged'!I232)/100)+103/POWER(1+('CurrentPor-LH=60 unchanged'!D232+'CurrentPor-LH=60 unchanged'!I232)/100,2))*100</f>
        <v>9581.4547115644182</v>
      </c>
      <c r="F232">
        <f>Portfolio!B$5*'CurrentPor-LH=60 unchanged'!E232</f>
        <v>52143.895533915893</v>
      </c>
      <c r="G232">
        <f>Portfolio!B$6*'CurrentPor-LH=60 unchanged'!F232</f>
        <v>3696.2945087936532</v>
      </c>
      <c r="H232">
        <f>Portfolio!B$7*'CurrentPor-LH=60 unchanged'!J232</f>
        <v>2148.0998964419859</v>
      </c>
      <c r="I232">
        <f t="shared" si="6"/>
        <v>96493.537342205425</v>
      </c>
      <c r="J232">
        <f t="shared" si="7"/>
        <v>0</v>
      </c>
    </row>
    <row r="233" spans="1:10">
      <c r="A233" s="1">
        <v>45796</v>
      </c>
      <c r="B233">
        <f>(3/(1+('CurrentPor-LH=60 unchanged'!C233)/100)+103/POWER(1+('CurrentPor-LH=60 unchanged'!D233)/100,2))*100</f>
        <v>9707.5857774288397</v>
      </c>
      <c r="C233">
        <f>(3/(1+('CurrentPor-LH=60 unchanged'!C233+'CurrentPor-LH=60 unchanged'!G233)/100)+103/POWER(1+('CurrentPor-LH=60 unchanged'!D233+'CurrentPor-LH=60 unchanged'!G233)/100,2))*100</f>
        <v>9614.9673582483465</v>
      </c>
      <c r="D233">
        <f>(3/(1+('CurrentPor-LH=60 unchanged'!C233+'CurrentPor-LH=60 unchanged'!H233)/100)+103/POWER(1+('CurrentPor-LH=60 unchanged'!D233+'CurrentPor-LH=60 unchanged'!H233)/100,2))*100</f>
        <v>9601.2395558122898</v>
      </c>
      <c r="E233">
        <f>(3/(1+('CurrentPor-LH=60 unchanged'!C233+'CurrentPor-LH=60 unchanged'!I233)/100)+103/POWER(1+('CurrentPor-LH=60 unchanged'!D233+'CurrentPor-LH=60 unchanged'!I233)/100,2))*100</f>
        <v>9581.4547115644182</v>
      </c>
      <c r="F233">
        <f>Portfolio!B$5*'CurrentPor-LH=60 unchanged'!E233</f>
        <v>52143.895533915893</v>
      </c>
      <c r="G233">
        <f>Portfolio!B$6*'CurrentPor-LH=60 unchanged'!F233</f>
        <v>3696.2945087936532</v>
      </c>
      <c r="H233">
        <f>Portfolio!B$7*'CurrentPor-LH=60 unchanged'!J233</f>
        <v>2148.0998964419859</v>
      </c>
      <c r="I233">
        <f t="shared" si="6"/>
        <v>96493.537342205425</v>
      </c>
      <c r="J233">
        <f t="shared" si="7"/>
        <v>0</v>
      </c>
    </row>
    <row r="234" spans="1:10">
      <c r="A234" s="1">
        <v>45797</v>
      </c>
      <c r="B234">
        <f>(3/(1+('CurrentPor-LH=60 unchanged'!C234)/100)+103/POWER(1+('CurrentPor-LH=60 unchanged'!D234)/100,2))*100</f>
        <v>9707.5857774288397</v>
      </c>
      <c r="C234">
        <f>(3/(1+('CurrentPor-LH=60 unchanged'!C234+'CurrentPor-LH=60 unchanged'!G234)/100)+103/POWER(1+('CurrentPor-LH=60 unchanged'!D234+'CurrentPor-LH=60 unchanged'!G234)/100,2))*100</f>
        <v>9614.9673582483465</v>
      </c>
      <c r="D234">
        <f>(3/(1+('CurrentPor-LH=60 unchanged'!C234+'CurrentPor-LH=60 unchanged'!H234)/100)+103/POWER(1+('CurrentPor-LH=60 unchanged'!D234+'CurrentPor-LH=60 unchanged'!H234)/100,2))*100</f>
        <v>9601.2395558122898</v>
      </c>
      <c r="E234">
        <f>(3/(1+('CurrentPor-LH=60 unchanged'!C234+'CurrentPor-LH=60 unchanged'!I234)/100)+103/POWER(1+('CurrentPor-LH=60 unchanged'!D234+'CurrentPor-LH=60 unchanged'!I234)/100,2))*100</f>
        <v>9581.4547115644182</v>
      </c>
      <c r="F234">
        <f>Portfolio!B$5*'CurrentPor-LH=60 unchanged'!E234</f>
        <v>52143.895533915893</v>
      </c>
      <c r="G234">
        <f>Portfolio!B$6*'CurrentPor-LH=60 unchanged'!F234</f>
        <v>3696.2945087936532</v>
      </c>
      <c r="H234">
        <f>Portfolio!B$7*'CurrentPor-LH=60 unchanged'!J234</f>
        <v>2148.0998964419859</v>
      </c>
      <c r="I234">
        <f t="shared" si="6"/>
        <v>96493.537342205425</v>
      </c>
      <c r="J234">
        <f t="shared" si="7"/>
        <v>0</v>
      </c>
    </row>
    <row r="235" spans="1:10">
      <c r="A235" s="1">
        <v>45798</v>
      </c>
      <c r="B235">
        <f>(3/(1+('CurrentPor-LH=60 unchanged'!C235)/100)+103/POWER(1+('CurrentPor-LH=60 unchanged'!D235)/100,2))*100</f>
        <v>9707.5857774288397</v>
      </c>
      <c r="C235">
        <f>(3/(1+('CurrentPor-LH=60 unchanged'!C235+'CurrentPor-LH=60 unchanged'!G235)/100)+103/POWER(1+('CurrentPor-LH=60 unchanged'!D235+'CurrentPor-LH=60 unchanged'!G235)/100,2))*100</f>
        <v>9614.9673582483465</v>
      </c>
      <c r="D235">
        <f>(3/(1+('CurrentPor-LH=60 unchanged'!C235+'CurrentPor-LH=60 unchanged'!H235)/100)+103/POWER(1+('CurrentPor-LH=60 unchanged'!D235+'CurrentPor-LH=60 unchanged'!H235)/100,2))*100</f>
        <v>9601.2395558122898</v>
      </c>
      <c r="E235">
        <f>(3/(1+('CurrentPor-LH=60 unchanged'!C235+'CurrentPor-LH=60 unchanged'!I235)/100)+103/POWER(1+('CurrentPor-LH=60 unchanged'!D235+'CurrentPor-LH=60 unchanged'!I235)/100,2))*100</f>
        <v>9581.4547115644182</v>
      </c>
      <c r="F235">
        <f>Portfolio!B$5*'CurrentPor-LH=60 unchanged'!E235</f>
        <v>52143.895533915893</v>
      </c>
      <c r="G235">
        <f>Portfolio!B$6*'CurrentPor-LH=60 unchanged'!F235</f>
        <v>3696.2945087936532</v>
      </c>
      <c r="H235">
        <f>Portfolio!B$7*'CurrentPor-LH=60 unchanged'!J235</f>
        <v>2148.0998964419859</v>
      </c>
      <c r="I235">
        <f t="shared" si="6"/>
        <v>96493.537342205425</v>
      </c>
      <c r="J235">
        <f t="shared" si="7"/>
        <v>0</v>
      </c>
    </row>
    <row r="236" spans="1:10">
      <c r="A236" s="1">
        <v>45799</v>
      </c>
      <c r="B236">
        <f>(3/(1+('CurrentPor-LH=60 unchanged'!C236)/100)+103/POWER(1+('CurrentPor-LH=60 unchanged'!D236)/100,2))*100</f>
        <v>9707.5857774288397</v>
      </c>
      <c r="C236">
        <f>(3/(1+('CurrentPor-LH=60 unchanged'!C236+'CurrentPor-LH=60 unchanged'!G236)/100)+103/POWER(1+('CurrentPor-LH=60 unchanged'!D236+'CurrentPor-LH=60 unchanged'!G236)/100,2))*100</f>
        <v>9614.9673582483465</v>
      </c>
      <c r="D236">
        <f>(3/(1+('CurrentPor-LH=60 unchanged'!C236+'CurrentPor-LH=60 unchanged'!H236)/100)+103/POWER(1+('CurrentPor-LH=60 unchanged'!D236+'CurrentPor-LH=60 unchanged'!H236)/100,2))*100</f>
        <v>9601.2395558122898</v>
      </c>
      <c r="E236">
        <f>(3/(1+('CurrentPor-LH=60 unchanged'!C236+'CurrentPor-LH=60 unchanged'!I236)/100)+103/POWER(1+('CurrentPor-LH=60 unchanged'!D236+'CurrentPor-LH=60 unchanged'!I236)/100,2))*100</f>
        <v>9581.4547115644182</v>
      </c>
      <c r="F236">
        <f>Portfolio!B$5*'CurrentPor-LH=60 unchanged'!E236</f>
        <v>52143.895533915893</v>
      </c>
      <c r="G236">
        <f>Portfolio!B$6*'CurrentPor-LH=60 unchanged'!F236</f>
        <v>3696.2945087936532</v>
      </c>
      <c r="H236">
        <f>Portfolio!B$7*'CurrentPor-LH=60 unchanged'!J236</f>
        <v>2148.0998964419859</v>
      </c>
      <c r="I236">
        <f t="shared" si="6"/>
        <v>96493.537342205425</v>
      </c>
      <c r="J236">
        <f t="shared" si="7"/>
        <v>0</v>
      </c>
    </row>
    <row r="237" spans="1:10">
      <c r="A237" s="1">
        <v>45800</v>
      </c>
      <c r="B237">
        <f>(3/(1+('CurrentPor-LH=60 unchanged'!C237)/100)+103/POWER(1+('CurrentPor-LH=60 unchanged'!D237)/100,2))*100</f>
        <v>9707.5857774288397</v>
      </c>
      <c r="C237">
        <f>(3/(1+('CurrentPor-LH=60 unchanged'!C237+'CurrentPor-LH=60 unchanged'!G237)/100)+103/POWER(1+('CurrentPor-LH=60 unchanged'!D237+'CurrentPor-LH=60 unchanged'!G237)/100,2))*100</f>
        <v>9614.9673582483465</v>
      </c>
      <c r="D237">
        <f>(3/(1+('CurrentPor-LH=60 unchanged'!C237+'CurrentPor-LH=60 unchanged'!H237)/100)+103/POWER(1+('CurrentPor-LH=60 unchanged'!D237+'CurrentPor-LH=60 unchanged'!H237)/100,2))*100</f>
        <v>9601.2395558122898</v>
      </c>
      <c r="E237">
        <f>(3/(1+('CurrentPor-LH=60 unchanged'!C237+'CurrentPor-LH=60 unchanged'!I237)/100)+103/POWER(1+('CurrentPor-LH=60 unchanged'!D237+'CurrentPor-LH=60 unchanged'!I237)/100,2))*100</f>
        <v>9581.4547115644182</v>
      </c>
      <c r="F237">
        <f>Portfolio!B$5*'CurrentPor-LH=60 unchanged'!E237</f>
        <v>52143.895533915893</v>
      </c>
      <c r="G237">
        <f>Portfolio!B$6*'CurrentPor-LH=60 unchanged'!F237</f>
        <v>3696.2945087936532</v>
      </c>
      <c r="H237">
        <f>Portfolio!B$7*'CurrentPor-LH=60 unchanged'!J237</f>
        <v>2148.0998964419859</v>
      </c>
      <c r="I237">
        <f t="shared" si="6"/>
        <v>96493.537342205425</v>
      </c>
      <c r="J237">
        <f t="shared" si="7"/>
        <v>0</v>
      </c>
    </row>
    <row r="238" spans="1:10">
      <c r="A238" s="1">
        <v>45803</v>
      </c>
      <c r="B238">
        <f>(3/(1+('CurrentPor-LH=60 unchanged'!C238)/100)+103/POWER(1+('CurrentPor-LH=60 unchanged'!D238)/100,2))*100</f>
        <v>9707.5857774288397</v>
      </c>
      <c r="C238">
        <f>(3/(1+('CurrentPor-LH=60 unchanged'!C238+'CurrentPor-LH=60 unchanged'!G238)/100)+103/POWER(1+('CurrentPor-LH=60 unchanged'!D238+'CurrentPor-LH=60 unchanged'!G238)/100,2))*100</f>
        <v>9614.9673582483465</v>
      </c>
      <c r="D238">
        <f>(3/(1+('CurrentPor-LH=60 unchanged'!C238+'CurrentPor-LH=60 unchanged'!H238)/100)+103/POWER(1+('CurrentPor-LH=60 unchanged'!D238+'CurrentPor-LH=60 unchanged'!H238)/100,2))*100</f>
        <v>9601.2395558122898</v>
      </c>
      <c r="E238">
        <f>(3/(1+('CurrentPor-LH=60 unchanged'!C238+'CurrentPor-LH=60 unchanged'!I238)/100)+103/POWER(1+('CurrentPor-LH=60 unchanged'!D238+'CurrentPor-LH=60 unchanged'!I238)/100,2))*100</f>
        <v>9581.4547115644182</v>
      </c>
      <c r="F238">
        <f>Portfolio!B$5*'CurrentPor-LH=60 unchanged'!E238</f>
        <v>52143.895533915893</v>
      </c>
      <c r="G238">
        <f>Portfolio!B$6*'CurrentPor-LH=60 unchanged'!F238</f>
        <v>3696.2945087936532</v>
      </c>
      <c r="H238">
        <f>Portfolio!B$7*'CurrentPor-LH=60 unchanged'!J238</f>
        <v>2148.0998964419859</v>
      </c>
      <c r="I238">
        <f t="shared" si="6"/>
        <v>96493.537342205425</v>
      </c>
      <c r="J238">
        <f t="shared" si="7"/>
        <v>0</v>
      </c>
    </row>
    <row r="239" spans="1:10">
      <c r="A239" s="1">
        <v>45804</v>
      </c>
      <c r="B239">
        <f>(3/(1+('CurrentPor-LH=60 unchanged'!C239)/100)+103/POWER(1+('CurrentPor-LH=60 unchanged'!D239)/100,2))*100</f>
        <v>9707.5857774288397</v>
      </c>
      <c r="C239">
        <f>(3/(1+('CurrentPor-LH=60 unchanged'!C239+'CurrentPor-LH=60 unchanged'!G239)/100)+103/POWER(1+('CurrentPor-LH=60 unchanged'!D239+'CurrentPor-LH=60 unchanged'!G239)/100,2))*100</f>
        <v>9614.9673582483465</v>
      </c>
      <c r="D239">
        <f>(3/(1+('CurrentPor-LH=60 unchanged'!C239+'CurrentPor-LH=60 unchanged'!H239)/100)+103/POWER(1+('CurrentPor-LH=60 unchanged'!D239+'CurrentPor-LH=60 unchanged'!H239)/100,2))*100</f>
        <v>9601.2395558122898</v>
      </c>
      <c r="E239">
        <f>(3/(1+('CurrentPor-LH=60 unchanged'!C239+'CurrentPor-LH=60 unchanged'!I239)/100)+103/POWER(1+('CurrentPor-LH=60 unchanged'!D239+'CurrentPor-LH=60 unchanged'!I239)/100,2))*100</f>
        <v>9581.4547115644182</v>
      </c>
      <c r="F239">
        <f>Portfolio!B$5*'CurrentPor-LH=60 unchanged'!E239</f>
        <v>52143.895533915893</v>
      </c>
      <c r="G239">
        <f>Portfolio!B$6*'CurrentPor-LH=60 unchanged'!F239</f>
        <v>3696.2945087936532</v>
      </c>
      <c r="H239">
        <f>Portfolio!B$7*'CurrentPor-LH=60 unchanged'!J239</f>
        <v>2148.0998964419859</v>
      </c>
      <c r="I239">
        <f t="shared" si="6"/>
        <v>96493.537342205425</v>
      </c>
      <c r="J239">
        <f t="shared" si="7"/>
        <v>0</v>
      </c>
    </row>
    <row r="240" spans="1:10">
      <c r="A240" s="1">
        <v>45805</v>
      </c>
      <c r="B240">
        <f>(3/(1+('CurrentPor-LH=60 unchanged'!C240)/100)+103/POWER(1+('CurrentPor-LH=60 unchanged'!D240)/100,2))*100</f>
        <v>9707.5857774288397</v>
      </c>
      <c r="C240">
        <f>(3/(1+('CurrentPor-LH=60 unchanged'!C240+'CurrentPor-LH=60 unchanged'!G240)/100)+103/POWER(1+('CurrentPor-LH=60 unchanged'!D240+'CurrentPor-LH=60 unchanged'!G240)/100,2))*100</f>
        <v>9614.9673582483465</v>
      </c>
      <c r="D240">
        <f>(3/(1+('CurrentPor-LH=60 unchanged'!C240+'CurrentPor-LH=60 unchanged'!H240)/100)+103/POWER(1+('CurrentPor-LH=60 unchanged'!D240+'CurrentPor-LH=60 unchanged'!H240)/100,2))*100</f>
        <v>9601.2395558122898</v>
      </c>
      <c r="E240">
        <f>(3/(1+('CurrentPor-LH=60 unchanged'!C240+'CurrentPor-LH=60 unchanged'!I240)/100)+103/POWER(1+('CurrentPor-LH=60 unchanged'!D240+'CurrentPor-LH=60 unchanged'!I240)/100,2))*100</f>
        <v>9581.4547115644182</v>
      </c>
      <c r="F240">
        <f>Portfolio!B$5*'CurrentPor-LH=60 unchanged'!E240</f>
        <v>52143.895533915893</v>
      </c>
      <c r="G240">
        <f>Portfolio!B$6*'CurrentPor-LH=60 unchanged'!F240</f>
        <v>3696.2945087936532</v>
      </c>
      <c r="H240">
        <f>Portfolio!B$7*'CurrentPor-LH=60 unchanged'!J240</f>
        <v>2148.0998964419859</v>
      </c>
      <c r="I240">
        <f t="shared" si="6"/>
        <v>96493.537342205425</v>
      </c>
      <c r="J240">
        <f t="shared" si="7"/>
        <v>0</v>
      </c>
    </row>
    <row r="241" spans="1:10">
      <c r="A241" s="1">
        <v>45806</v>
      </c>
      <c r="B241">
        <f>(3/(1+('CurrentPor-LH=60 unchanged'!C241)/100)+103/POWER(1+('CurrentPor-LH=60 unchanged'!D241)/100,2))*100</f>
        <v>9707.5857774288397</v>
      </c>
      <c r="C241">
        <f>(3/(1+('CurrentPor-LH=60 unchanged'!C241+'CurrentPor-LH=60 unchanged'!G241)/100)+103/POWER(1+('CurrentPor-LH=60 unchanged'!D241+'CurrentPor-LH=60 unchanged'!G241)/100,2))*100</f>
        <v>9614.9673582483465</v>
      </c>
      <c r="D241">
        <f>(3/(1+('CurrentPor-LH=60 unchanged'!C241+'CurrentPor-LH=60 unchanged'!H241)/100)+103/POWER(1+('CurrentPor-LH=60 unchanged'!D241+'CurrentPor-LH=60 unchanged'!H241)/100,2))*100</f>
        <v>9601.2395558122898</v>
      </c>
      <c r="E241">
        <f>(3/(1+('CurrentPor-LH=60 unchanged'!C241+'CurrentPor-LH=60 unchanged'!I241)/100)+103/POWER(1+('CurrentPor-LH=60 unchanged'!D241+'CurrentPor-LH=60 unchanged'!I241)/100,2))*100</f>
        <v>9581.4547115644182</v>
      </c>
      <c r="F241">
        <f>Portfolio!B$5*'CurrentPor-LH=60 unchanged'!E241</f>
        <v>52143.895533915893</v>
      </c>
      <c r="G241">
        <f>Portfolio!B$6*'CurrentPor-LH=60 unchanged'!F241</f>
        <v>3696.2945087936532</v>
      </c>
      <c r="H241">
        <f>Portfolio!B$7*'CurrentPor-LH=60 unchanged'!J241</f>
        <v>2148.0998964419859</v>
      </c>
      <c r="I241">
        <f t="shared" si="6"/>
        <v>96493.537342205425</v>
      </c>
      <c r="J241">
        <f t="shared" si="7"/>
        <v>0</v>
      </c>
    </row>
    <row r="242" spans="1:10">
      <c r="A242" s="1">
        <v>45807</v>
      </c>
      <c r="B242">
        <f>(3/(1+('CurrentPor-LH=60 unchanged'!C242)/100)+103/POWER(1+('CurrentPor-LH=60 unchanged'!D242)/100,2))*100</f>
        <v>9707.5857774288397</v>
      </c>
      <c r="C242">
        <f>(3/(1+('CurrentPor-LH=60 unchanged'!C242+'CurrentPor-LH=60 unchanged'!G242)/100)+103/POWER(1+('CurrentPor-LH=60 unchanged'!D242+'CurrentPor-LH=60 unchanged'!G242)/100,2))*100</f>
        <v>9614.9673582483465</v>
      </c>
      <c r="D242">
        <f>(3/(1+('CurrentPor-LH=60 unchanged'!C242+'CurrentPor-LH=60 unchanged'!H242)/100)+103/POWER(1+('CurrentPor-LH=60 unchanged'!D242+'CurrentPor-LH=60 unchanged'!H242)/100,2))*100</f>
        <v>9601.2395558122898</v>
      </c>
      <c r="E242">
        <f>(3/(1+('CurrentPor-LH=60 unchanged'!C242+'CurrentPor-LH=60 unchanged'!I242)/100)+103/POWER(1+('CurrentPor-LH=60 unchanged'!D242+'CurrentPor-LH=60 unchanged'!I242)/100,2))*100</f>
        <v>9581.4547115644182</v>
      </c>
      <c r="F242">
        <f>Portfolio!B$5*'CurrentPor-LH=60 unchanged'!E242</f>
        <v>52143.895533915893</v>
      </c>
      <c r="G242">
        <f>Portfolio!B$6*'CurrentPor-LH=60 unchanged'!F242</f>
        <v>3696.2945087936532</v>
      </c>
      <c r="H242">
        <f>Portfolio!B$7*'CurrentPor-LH=60 unchanged'!J242</f>
        <v>2148.0998964419859</v>
      </c>
      <c r="I242">
        <f t="shared" si="6"/>
        <v>96493.537342205425</v>
      </c>
      <c r="J242">
        <f t="shared" si="7"/>
        <v>0</v>
      </c>
    </row>
    <row r="243" spans="1:10">
      <c r="A243" s="1">
        <v>45810</v>
      </c>
      <c r="B243">
        <f>(3/(1+('CurrentPor-LH=60 unchanged'!C243)/100)+103/POWER(1+('CurrentPor-LH=60 unchanged'!D243)/100,2))*100</f>
        <v>9707.5857774288397</v>
      </c>
      <c r="C243">
        <f>(3/(1+('CurrentPor-LH=60 unchanged'!C243+'CurrentPor-LH=60 unchanged'!G243)/100)+103/POWER(1+('CurrentPor-LH=60 unchanged'!D243+'CurrentPor-LH=60 unchanged'!G243)/100,2))*100</f>
        <v>9614.9673582483465</v>
      </c>
      <c r="D243">
        <f>(3/(1+('CurrentPor-LH=60 unchanged'!C243+'CurrentPor-LH=60 unchanged'!H243)/100)+103/POWER(1+('CurrentPor-LH=60 unchanged'!D243+'CurrentPor-LH=60 unchanged'!H243)/100,2))*100</f>
        <v>9601.2395558122898</v>
      </c>
      <c r="E243">
        <f>(3/(1+('CurrentPor-LH=60 unchanged'!C243+'CurrentPor-LH=60 unchanged'!I243)/100)+103/POWER(1+('CurrentPor-LH=60 unchanged'!D243+'CurrentPor-LH=60 unchanged'!I243)/100,2))*100</f>
        <v>9581.4547115644182</v>
      </c>
      <c r="F243">
        <f>Portfolio!B$5*'CurrentPor-LH=60 unchanged'!E243</f>
        <v>52143.895533915893</v>
      </c>
      <c r="G243">
        <f>Portfolio!B$6*'CurrentPor-LH=60 unchanged'!F243</f>
        <v>3696.2945087936532</v>
      </c>
      <c r="H243">
        <f>Portfolio!B$7*'CurrentPor-LH=60 unchanged'!J243</f>
        <v>2148.0998964419859</v>
      </c>
      <c r="I243">
        <f t="shared" si="6"/>
        <v>96493.537342205425</v>
      </c>
      <c r="J243">
        <f t="shared" si="7"/>
        <v>0</v>
      </c>
    </row>
    <row r="244" spans="1:10">
      <c r="A244" s="1">
        <v>45811</v>
      </c>
      <c r="B244">
        <f>(3/(1+('CurrentPor-LH=60 unchanged'!C244)/100)+103/POWER(1+('CurrentPor-LH=60 unchanged'!D244)/100,2))*100</f>
        <v>9707.5857774288397</v>
      </c>
      <c r="C244">
        <f>(3/(1+('CurrentPor-LH=60 unchanged'!C244+'CurrentPor-LH=60 unchanged'!G244)/100)+103/POWER(1+('CurrentPor-LH=60 unchanged'!D244+'CurrentPor-LH=60 unchanged'!G244)/100,2))*100</f>
        <v>9614.9673582483465</v>
      </c>
      <c r="D244">
        <f>(3/(1+('CurrentPor-LH=60 unchanged'!C244+'CurrentPor-LH=60 unchanged'!H244)/100)+103/POWER(1+('CurrentPor-LH=60 unchanged'!D244+'CurrentPor-LH=60 unchanged'!H244)/100,2))*100</f>
        <v>9601.2395558122898</v>
      </c>
      <c r="E244">
        <f>(3/(1+('CurrentPor-LH=60 unchanged'!C244+'CurrentPor-LH=60 unchanged'!I244)/100)+103/POWER(1+('CurrentPor-LH=60 unchanged'!D244+'CurrentPor-LH=60 unchanged'!I244)/100,2))*100</f>
        <v>9581.4547115644182</v>
      </c>
      <c r="F244">
        <f>Portfolio!B$5*'CurrentPor-LH=60 unchanged'!E244</f>
        <v>52143.895533915893</v>
      </c>
      <c r="G244">
        <f>Portfolio!B$6*'CurrentPor-LH=60 unchanged'!F244</f>
        <v>3696.2945087936532</v>
      </c>
      <c r="H244">
        <f>Portfolio!B$7*'CurrentPor-LH=60 unchanged'!J244</f>
        <v>2148.0998964419859</v>
      </c>
      <c r="I244">
        <f t="shared" si="6"/>
        <v>96493.537342205425</v>
      </c>
      <c r="J244">
        <f t="shared" si="7"/>
        <v>0</v>
      </c>
    </row>
    <row r="245" spans="1:10">
      <c r="A245" s="1">
        <v>45812</v>
      </c>
      <c r="B245">
        <f>(3/(1+('CurrentPor-LH=60 unchanged'!C245)/100)+103/POWER(1+('CurrentPor-LH=60 unchanged'!D245)/100,2))*100</f>
        <v>9707.5857774288397</v>
      </c>
      <c r="C245">
        <f>(3/(1+('CurrentPor-LH=60 unchanged'!C245+'CurrentPor-LH=60 unchanged'!G245)/100)+103/POWER(1+('CurrentPor-LH=60 unchanged'!D245+'CurrentPor-LH=60 unchanged'!G245)/100,2))*100</f>
        <v>9614.9673582483465</v>
      </c>
      <c r="D245">
        <f>(3/(1+('CurrentPor-LH=60 unchanged'!C245+'CurrentPor-LH=60 unchanged'!H245)/100)+103/POWER(1+('CurrentPor-LH=60 unchanged'!D245+'CurrentPor-LH=60 unchanged'!H245)/100,2))*100</f>
        <v>9601.2395558122898</v>
      </c>
      <c r="E245">
        <f>(3/(1+('CurrentPor-LH=60 unchanged'!C245+'CurrentPor-LH=60 unchanged'!I245)/100)+103/POWER(1+('CurrentPor-LH=60 unchanged'!D245+'CurrentPor-LH=60 unchanged'!I245)/100,2))*100</f>
        <v>9581.4547115644182</v>
      </c>
      <c r="F245">
        <f>Portfolio!B$5*'CurrentPor-LH=60 unchanged'!E245</f>
        <v>52143.895533915893</v>
      </c>
      <c r="G245">
        <f>Portfolio!B$6*'CurrentPor-LH=60 unchanged'!F245</f>
        <v>3696.2945087936532</v>
      </c>
      <c r="H245">
        <f>Portfolio!B$7*'CurrentPor-LH=60 unchanged'!J245</f>
        <v>2148.0998964419859</v>
      </c>
      <c r="I245">
        <f t="shared" si="6"/>
        <v>96493.537342205425</v>
      </c>
      <c r="J245">
        <f t="shared" si="7"/>
        <v>0</v>
      </c>
    </row>
    <row r="246" spans="1:10">
      <c r="A246" s="1">
        <v>45813</v>
      </c>
      <c r="B246">
        <f>(3/(1+('CurrentPor-LH=60 unchanged'!C246)/100)+103/POWER(1+('CurrentPor-LH=60 unchanged'!D246)/100,2))*100</f>
        <v>9707.5857774288397</v>
      </c>
      <c r="C246">
        <f>(3/(1+('CurrentPor-LH=60 unchanged'!C246+'CurrentPor-LH=60 unchanged'!G246)/100)+103/POWER(1+('CurrentPor-LH=60 unchanged'!D246+'CurrentPor-LH=60 unchanged'!G246)/100,2))*100</f>
        <v>9614.9673582483465</v>
      </c>
      <c r="D246">
        <f>(3/(1+('CurrentPor-LH=60 unchanged'!C246+'CurrentPor-LH=60 unchanged'!H246)/100)+103/POWER(1+('CurrentPor-LH=60 unchanged'!D246+'CurrentPor-LH=60 unchanged'!H246)/100,2))*100</f>
        <v>9601.2395558122898</v>
      </c>
      <c r="E246">
        <f>(3/(1+('CurrentPor-LH=60 unchanged'!C246+'CurrentPor-LH=60 unchanged'!I246)/100)+103/POWER(1+('CurrentPor-LH=60 unchanged'!D246+'CurrentPor-LH=60 unchanged'!I246)/100,2))*100</f>
        <v>9581.4547115644182</v>
      </c>
      <c r="F246">
        <f>Portfolio!B$5*'CurrentPor-LH=60 unchanged'!E246</f>
        <v>52143.895533915893</v>
      </c>
      <c r="G246">
        <f>Portfolio!B$6*'CurrentPor-LH=60 unchanged'!F246</f>
        <v>3696.2945087936532</v>
      </c>
      <c r="H246">
        <f>Portfolio!B$7*'CurrentPor-LH=60 unchanged'!J246</f>
        <v>2148.0998964419859</v>
      </c>
      <c r="I246">
        <f t="shared" si="6"/>
        <v>96493.537342205425</v>
      </c>
      <c r="J246">
        <f t="shared" si="7"/>
        <v>0</v>
      </c>
    </row>
    <row r="247" spans="1:10">
      <c r="A247" s="1">
        <v>45814</v>
      </c>
      <c r="B247">
        <f>(3/(1+('CurrentPor-LH=60 unchanged'!C247)/100)+103/POWER(1+('CurrentPor-LH=60 unchanged'!D247)/100,2))*100</f>
        <v>9707.5857774288397</v>
      </c>
      <c r="C247">
        <f>(3/(1+('CurrentPor-LH=60 unchanged'!C247+'CurrentPor-LH=60 unchanged'!G247)/100)+103/POWER(1+('CurrentPor-LH=60 unchanged'!D247+'CurrentPor-LH=60 unchanged'!G247)/100,2))*100</f>
        <v>9614.9673582483465</v>
      </c>
      <c r="D247">
        <f>(3/(1+('CurrentPor-LH=60 unchanged'!C247+'CurrentPor-LH=60 unchanged'!H247)/100)+103/POWER(1+('CurrentPor-LH=60 unchanged'!D247+'CurrentPor-LH=60 unchanged'!H247)/100,2))*100</f>
        <v>9601.2395558122898</v>
      </c>
      <c r="E247">
        <f>(3/(1+('CurrentPor-LH=60 unchanged'!C247+'CurrentPor-LH=60 unchanged'!I247)/100)+103/POWER(1+('CurrentPor-LH=60 unchanged'!D247+'CurrentPor-LH=60 unchanged'!I247)/100,2))*100</f>
        <v>9581.4547115644182</v>
      </c>
      <c r="F247">
        <f>Portfolio!B$5*'CurrentPor-LH=60 unchanged'!E247</f>
        <v>52143.895533915893</v>
      </c>
      <c r="G247">
        <f>Portfolio!B$6*'CurrentPor-LH=60 unchanged'!F247</f>
        <v>3696.2945087936532</v>
      </c>
      <c r="H247">
        <f>Portfolio!B$7*'CurrentPor-LH=60 unchanged'!J247</f>
        <v>2148.0998964419859</v>
      </c>
      <c r="I247">
        <f t="shared" si="6"/>
        <v>96493.537342205425</v>
      </c>
      <c r="J247">
        <f t="shared" si="7"/>
        <v>0</v>
      </c>
    </row>
    <row r="248" spans="1:10">
      <c r="A248" s="1">
        <v>45817</v>
      </c>
      <c r="B248">
        <f>(3/(1+('CurrentPor-LH=60 unchanged'!C248)/100)+103/POWER(1+('CurrentPor-LH=60 unchanged'!D248)/100,2))*100</f>
        <v>9707.5857774288397</v>
      </c>
      <c r="C248">
        <f>(3/(1+('CurrentPor-LH=60 unchanged'!C248+'CurrentPor-LH=60 unchanged'!G248)/100)+103/POWER(1+('CurrentPor-LH=60 unchanged'!D248+'CurrentPor-LH=60 unchanged'!G248)/100,2))*100</f>
        <v>9614.9673582483465</v>
      </c>
      <c r="D248">
        <f>(3/(1+('CurrentPor-LH=60 unchanged'!C248+'CurrentPor-LH=60 unchanged'!H248)/100)+103/POWER(1+('CurrentPor-LH=60 unchanged'!D248+'CurrentPor-LH=60 unchanged'!H248)/100,2))*100</f>
        <v>9601.2395558122898</v>
      </c>
      <c r="E248">
        <f>(3/(1+('CurrentPor-LH=60 unchanged'!C248+'CurrentPor-LH=60 unchanged'!I248)/100)+103/POWER(1+('CurrentPor-LH=60 unchanged'!D248+'CurrentPor-LH=60 unchanged'!I248)/100,2))*100</f>
        <v>9581.4547115644182</v>
      </c>
      <c r="F248">
        <f>Portfolio!B$5*'CurrentPor-LH=60 unchanged'!E248</f>
        <v>52143.895533915893</v>
      </c>
      <c r="G248">
        <f>Portfolio!B$6*'CurrentPor-LH=60 unchanged'!F248</f>
        <v>3696.2945087936532</v>
      </c>
      <c r="H248">
        <f>Portfolio!B$7*'CurrentPor-LH=60 unchanged'!J248</f>
        <v>2148.0998964419859</v>
      </c>
      <c r="I248">
        <f t="shared" si="6"/>
        <v>96493.537342205425</v>
      </c>
      <c r="J248">
        <f t="shared" si="7"/>
        <v>0</v>
      </c>
    </row>
    <row r="249" spans="1:10">
      <c r="A249" s="1">
        <v>45818</v>
      </c>
      <c r="B249">
        <f>(3/(1+('CurrentPor-LH=60 unchanged'!C249)/100)+103/POWER(1+('CurrentPor-LH=60 unchanged'!D249)/100,2))*100</f>
        <v>9707.5857774288397</v>
      </c>
      <c r="C249">
        <f>(3/(1+('CurrentPor-LH=60 unchanged'!C249+'CurrentPor-LH=60 unchanged'!G249)/100)+103/POWER(1+('CurrentPor-LH=60 unchanged'!D249+'CurrentPor-LH=60 unchanged'!G249)/100,2))*100</f>
        <v>9614.9673582483465</v>
      </c>
      <c r="D249">
        <f>(3/(1+('CurrentPor-LH=60 unchanged'!C249+'CurrentPor-LH=60 unchanged'!H249)/100)+103/POWER(1+('CurrentPor-LH=60 unchanged'!D249+'CurrentPor-LH=60 unchanged'!H249)/100,2))*100</f>
        <v>9601.2395558122898</v>
      </c>
      <c r="E249">
        <f>(3/(1+('CurrentPor-LH=60 unchanged'!C249+'CurrentPor-LH=60 unchanged'!I249)/100)+103/POWER(1+('CurrentPor-LH=60 unchanged'!D249+'CurrentPor-LH=60 unchanged'!I249)/100,2))*100</f>
        <v>9581.4547115644182</v>
      </c>
      <c r="F249">
        <f>Portfolio!B$5*'CurrentPor-LH=60 unchanged'!E249</f>
        <v>52143.895533915893</v>
      </c>
      <c r="G249">
        <f>Portfolio!B$6*'CurrentPor-LH=60 unchanged'!F249</f>
        <v>3696.2945087936532</v>
      </c>
      <c r="H249">
        <f>Portfolio!B$7*'CurrentPor-LH=60 unchanged'!J249</f>
        <v>2148.0998964419859</v>
      </c>
      <c r="I249">
        <f t="shared" si="6"/>
        <v>96493.537342205425</v>
      </c>
      <c r="J249">
        <f t="shared" si="7"/>
        <v>0</v>
      </c>
    </row>
    <row r="250" spans="1:10">
      <c r="A250" s="1">
        <v>45819</v>
      </c>
      <c r="B250">
        <f>(3/(1+('CurrentPor-LH=60 unchanged'!C250)/100)+103/POWER(1+('CurrentPor-LH=60 unchanged'!D250)/100,2))*100</f>
        <v>9707.5857774288397</v>
      </c>
      <c r="C250">
        <f>(3/(1+('CurrentPor-LH=60 unchanged'!C250+'CurrentPor-LH=60 unchanged'!G250)/100)+103/POWER(1+('CurrentPor-LH=60 unchanged'!D250+'CurrentPor-LH=60 unchanged'!G250)/100,2))*100</f>
        <v>9614.9673582483465</v>
      </c>
      <c r="D250">
        <f>(3/(1+('CurrentPor-LH=60 unchanged'!C250+'CurrentPor-LH=60 unchanged'!H250)/100)+103/POWER(1+('CurrentPor-LH=60 unchanged'!D250+'CurrentPor-LH=60 unchanged'!H250)/100,2))*100</f>
        <v>9601.2395558122898</v>
      </c>
      <c r="E250">
        <f>(3/(1+('CurrentPor-LH=60 unchanged'!C250+'CurrentPor-LH=60 unchanged'!I250)/100)+103/POWER(1+('CurrentPor-LH=60 unchanged'!D250+'CurrentPor-LH=60 unchanged'!I250)/100,2))*100</f>
        <v>9581.4547115644182</v>
      </c>
      <c r="F250">
        <f>Portfolio!B$5*'CurrentPor-LH=60 unchanged'!E250</f>
        <v>52143.895533915893</v>
      </c>
      <c r="G250">
        <f>Portfolio!B$6*'CurrentPor-LH=60 unchanged'!F250</f>
        <v>3696.2945087936532</v>
      </c>
      <c r="H250">
        <f>Portfolio!B$7*'CurrentPor-LH=60 unchanged'!J250</f>
        <v>2148.0998964419859</v>
      </c>
      <c r="I250">
        <f t="shared" si="6"/>
        <v>96493.537342205425</v>
      </c>
      <c r="J250">
        <f t="shared" si="7"/>
        <v>0</v>
      </c>
    </row>
    <row r="251" spans="1:10">
      <c r="A251" s="1">
        <v>45820</v>
      </c>
      <c r="B251">
        <f>(3/(1+('CurrentPor-LH=60 unchanged'!C251)/100)+103/POWER(1+('CurrentPor-LH=60 unchanged'!D251)/100,2))*100</f>
        <v>9707.5857774288397</v>
      </c>
      <c r="C251">
        <f>(3/(1+('CurrentPor-LH=60 unchanged'!C251+'CurrentPor-LH=60 unchanged'!G251)/100)+103/POWER(1+('CurrentPor-LH=60 unchanged'!D251+'CurrentPor-LH=60 unchanged'!G251)/100,2))*100</f>
        <v>9614.9673582483465</v>
      </c>
      <c r="D251">
        <f>(3/(1+('CurrentPor-LH=60 unchanged'!C251+'CurrentPor-LH=60 unchanged'!H251)/100)+103/POWER(1+('CurrentPor-LH=60 unchanged'!D251+'CurrentPor-LH=60 unchanged'!H251)/100,2))*100</f>
        <v>9601.2395558122898</v>
      </c>
      <c r="E251">
        <f>(3/(1+('CurrentPor-LH=60 unchanged'!C251+'CurrentPor-LH=60 unchanged'!I251)/100)+103/POWER(1+('CurrentPor-LH=60 unchanged'!D251+'CurrentPor-LH=60 unchanged'!I251)/100,2))*100</f>
        <v>9581.4547115644182</v>
      </c>
      <c r="F251">
        <f>Portfolio!B$5*'CurrentPor-LH=60 unchanged'!E251</f>
        <v>52143.895533915893</v>
      </c>
      <c r="G251">
        <f>Portfolio!B$6*'CurrentPor-LH=60 unchanged'!F251</f>
        <v>3696.2945087936532</v>
      </c>
      <c r="H251">
        <f>Portfolio!B$7*'CurrentPor-LH=60 unchanged'!J251</f>
        <v>2148.0998964419859</v>
      </c>
      <c r="I251">
        <f t="shared" si="6"/>
        <v>96493.537342205425</v>
      </c>
      <c r="J251">
        <f t="shared" si="7"/>
        <v>0</v>
      </c>
    </row>
    <row r="252" spans="1:10">
      <c r="A252" s="1">
        <v>45821</v>
      </c>
      <c r="B252">
        <f>(3/(1+('CurrentPor-LH=60 unchanged'!C252)/100)+103/POWER(1+('CurrentPor-LH=60 unchanged'!D252)/100,2))*100</f>
        <v>9707.5857774288397</v>
      </c>
      <c r="C252">
        <f>(3/(1+('CurrentPor-LH=60 unchanged'!C252+'CurrentPor-LH=60 unchanged'!G252)/100)+103/POWER(1+('CurrentPor-LH=60 unchanged'!D252+'CurrentPor-LH=60 unchanged'!G252)/100,2))*100</f>
        <v>9614.9673582483465</v>
      </c>
      <c r="D252">
        <f>(3/(1+('CurrentPor-LH=60 unchanged'!C252+'CurrentPor-LH=60 unchanged'!H252)/100)+103/POWER(1+('CurrentPor-LH=60 unchanged'!D252+'CurrentPor-LH=60 unchanged'!H252)/100,2))*100</f>
        <v>9601.2395558122898</v>
      </c>
      <c r="E252">
        <f>(3/(1+('CurrentPor-LH=60 unchanged'!C252+'CurrentPor-LH=60 unchanged'!I252)/100)+103/POWER(1+('CurrentPor-LH=60 unchanged'!D252+'CurrentPor-LH=60 unchanged'!I252)/100,2))*100</f>
        <v>9581.4547115644182</v>
      </c>
      <c r="F252">
        <f>Portfolio!B$5*'CurrentPor-LH=60 unchanged'!E252</f>
        <v>52143.895533915893</v>
      </c>
      <c r="G252">
        <f>Portfolio!B$6*'CurrentPor-LH=60 unchanged'!F252</f>
        <v>3696.2945087936532</v>
      </c>
      <c r="H252">
        <f>Portfolio!B$7*'CurrentPor-LH=60 unchanged'!J252</f>
        <v>2148.0998964419859</v>
      </c>
      <c r="I252">
        <f t="shared" si="6"/>
        <v>96493.537342205425</v>
      </c>
      <c r="J252">
        <f t="shared" si="7"/>
        <v>0</v>
      </c>
    </row>
    <row r="253" spans="1:10">
      <c r="A253" s="1">
        <v>45824</v>
      </c>
      <c r="B253">
        <f>(3/(1+('CurrentPor-LH=60 unchanged'!C253)/100)+103/POWER(1+('CurrentPor-LH=60 unchanged'!D253)/100,2))*100</f>
        <v>9707.5857774288397</v>
      </c>
      <c r="C253">
        <f>(3/(1+('CurrentPor-LH=60 unchanged'!C253+'CurrentPor-LH=60 unchanged'!G253)/100)+103/POWER(1+('CurrentPor-LH=60 unchanged'!D253+'CurrentPor-LH=60 unchanged'!G253)/100,2))*100</f>
        <v>9614.9673582483465</v>
      </c>
      <c r="D253">
        <f>(3/(1+('CurrentPor-LH=60 unchanged'!C253+'CurrentPor-LH=60 unchanged'!H253)/100)+103/POWER(1+('CurrentPor-LH=60 unchanged'!D253+'CurrentPor-LH=60 unchanged'!H253)/100,2))*100</f>
        <v>9601.2395558122898</v>
      </c>
      <c r="E253">
        <f>(3/(1+('CurrentPor-LH=60 unchanged'!C253+'CurrentPor-LH=60 unchanged'!I253)/100)+103/POWER(1+('CurrentPor-LH=60 unchanged'!D253+'CurrentPor-LH=60 unchanged'!I253)/100,2))*100</f>
        <v>9581.4547115644182</v>
      </c>
      <c r="F253">
        <f>Portfolio!B$5*'CurrentPor-LH=60 unchanged'!E253</f>
        <v>52143.895533915893</v>
      </c>
      <c r="G253">
        <f>Portfolio!B$6*'CurrentPor-LH=60 unchanged'!F253</f>
        <v>3696.2945087936532</v>
      </c>
      <c r="H253">
        <f>Portfolio!B$7*'CurrentPor-LH=60 unchanged'!J253</f>
        <v>2148.0998964419859</v>
      </c>
      <c r="I253">
        <f t="shared" si="6"/>
        <v>96493.537342205425</v>
      </c>
      <c r="J253">
        <f t="shared" si="7"/>
        <v>0</v>
      </c>
    </row>
    <row r="254" spans="1:10">
      <c r="A254" s="1">
        <v>45825</v>
      </c>
      <c r="B254">
        <f>(3/(1+('CurrentPor-LH=60 unchanged'!C254)/100)+103/POWER(1+('CurrentPor-LH=60 unchanged'!D254)/100,2))*100</f>
        <v>9707.5857774288397</v>
      </c>
      <c r="C254">
        <f>(3/(1+('CurrentPor-LH=60 unchanged'!C254+'CurrentPor-LH=60 unchanged'!G254)/100)+103/POWER(1+('CurrentPor-LH=60 unchanged'!D254+'CurrentPor-LH=60 unchanged'!G254)/100,2))*100</f>
        <v>9614.9673582483465</v>
      </c>
      <c r="D254">
        <f>(3/(1+('CurrentPor-LH=60 unchanged'!C254+'CurrentPor-LH=60 unchanged'!H254)/100)+103/POWER(1+('CurrentPor-LH=60 unchanged'!D254+'CurrentPor-LH=60 unchanged'!H254)/100,2))*100</f>
        <v>9601.2395558122898</v>
      </c>
      <c r="E254">
        <f>(3/(1+('CurrentPor-LH=60 unchanged'!C254+'CurrentPor-LH=60 unchanged'!I254)/100)+103/POWER(1+('CurrentPor-LH=60 unchanged'!D254+'CurrentPor-LH=60 unchanged'!I254)/100,2))*100</f>
        <v>9581.4547115644182</v>
      </c>
      <c r="F254">
        <f>Portfolio!B$5*'CurrentPor-LH=60 unchanged'!E254</f>
        <v>52143.895533915893</v>
      </c>
      <c r="G254">
        <f>Portfolio!B$6*'CurrentPor-LH=60 unchanged'!F254</f>
        <v>3696.2945087936532</v>
      </c>
      <c r="H254">
        <f>Portfolio!B$7*'CurrentPor-LH=60 unchanged'!J254</f>
        <v>2148.0998964419859</v>
      </c>
      <c r="I254">
        <f t="shared" si="6"/>
        <v>96493.537342205425</v>
      </c>
      <c r="J254">
        <f t="shared" si="7"/>
        <v>0</v>
      </c>
    </row>
    <row r="255" spans="1:10">
      <c r="A255" s="1">
        <v>45826</v>
      </c>
      <c r="B255">
        <f>(3/(1+('CurrentPor-LH=60 unchanged'!C255)/100)+103/POWER(1+('CurrentPor-LH=60 unchanged'!D255)/100,2))*100</f>
        <v>9707.5857774288397</v>
      </c>
      <c r="C255">
        <f>(3/(1+('CurrentPor-LH=60 unchanged'!C255+'CurrentPor-LH=60 unchanged'!G255)/100)+103/POWER(1+('CurrentPor-LH=60 unchanged'!D255+'CurrentPor-LH=60 unchanged'!G255)/100,2))*100</f>
        <v>9614.9673582483465</v>
      </c>
      <c r="D255">
        <f>(3/(1+('CurrentPor-LH=60 unchanged'!C255+'CurrentPor-LH=60 unchanged'!H255)/100)+103/POWER(1+('CurrentPor-LH=60 unchanged'!D255+'CurrentPor-LH=60 unchanged'!H255)/100,2))*100</f>
        <v>9601.2395558122898</v>
      </c>
      <c r="E255">
        <f>(3/(1+('CurrentPor-LH=60 unchanged'!C255+'CurrentPor-LH=60 unchanged'!I255)/100)+103/POWER(1+('CurrentPor-LH=60 unchanged'!D255+'CurrentPor-LH=60 unchanged'!I255)/100,2))*100</f>
        <v>9581.4547115644182</v>
      </c>
      <c r="F255">
        <f>Portfolio!B$5*'CurrentPor-LH=60 unchanged'!E255</f>
        <v>52143.895533915893</v>
      </c>
      <c r="G255">
        <f>Portfolio!B$6*'CurrentPor-LH=60 unchanged'!F255</f>
        <v>3696.2945087936532</v>
      </c>
      <c r="H255">
        <f>Portfolio!B$7*'CurrentPor-LH=60 unchanged'!J255</f>
        <v>2148.0998964419859</v>
      </c>
      <c r="I255">
        <f t="shared" si="6"/>
        <v>96493.537342205425</v>
      </c>
      <c r="J255">
        <f t="shared" si="7"/>
        <v>0</v>
      </c>
    </row>
    <row r="256" spans="1:10">
      <c r="A256" s="1">
        <v>45827</v>
      </c>
      <c r="B256">
        <f>(3/(1+('CurrentPor-LH=60 unchanged'!C256)/100)+103/POWER(1+('CurrentPor-LH=60 unchanged'!D256)/100,2))*100</f>
        <v>9707.5857774288397</v>
      </c>
      <c r="C256">
        <f>(3/(1+('CurrentPor-LH=60 unchanged'!C256+'CurrentPor-LH=60 unchanged'!G256)/100)+103/POWER(1+('CurrentPor-LH=60 unchanged'!D256+'CurrentPor-LH=60 unchanged'!G256)/100,2))*100</f>
        <v>9614.9673582483465</v>
      </c>
      <c r="D256">
        <f>(3/(1+('CurrentPor-LH=60 unchanged'!C256+'CurrentPor-LH=60 unchanged'!H256)/100)+103/POWER(1+('CurrentPor-LH=60 unchanged'!D256+'CurrentPor-LH=60 unchanged'!H256)/100,2))*100</f>
        <v>9601.2395558122898</v>
      </c>
      <c r="E256">
        <f>(3/(1+('CurrentPor-LH=60 unchanged'!C256+'CurrentPor-LH=60 unchanged'!I256)/100)+103/POWER(1+('CurrentPor-LH=60 unchanged'!D256+'CurrentPor-LH=60 unchanged'!I256)/100,2))*100</f>
        <v>9581.4547115644182</v>
      </c>
      <c r="F256">
        <f>Portfolio!B$5*'CurrentPor-LH=60 unchanged'!E256</f>
        <v>52143.895533915893</v>
      </c>
      <c r="G256">
        <f>Portfolio!B$6*'CurrentPor-LH=60 unchanged'!F256</f>
        <v>3696.2945087936532</v>
      </c>
      <c r="H256">
        <f>Portfolio!B$7*'CurrentPor-LH=60 unchanged'!J256</f>
        <v>2148.0998964419859</v>
      </c>
      <c r="I256">
        <f t="shared" si="6"/>
        <v>96493.537342205425</v>
      </c>
      <c r="J256">
        <f t="shared" si="7"/>
        <v>0</v>
      </c>
    </row>
    <row r="257" spans="1:10">
      <c r="A257" s="1">
        <v>45828</v>
      </c>
      <c r="B257">
        <f>(3/(1+('CurrentPor-LH=60 unchanged'!C257)/100)+103/POWER(1+('CurrentPor-LH=60 unchanged'!D257)/100,2))*100</f>
        <v>9707.5857774288397</v>
      </c>
      <c r="C257">
        <f>(3/(1+('CurrentPor-LH=60 unchanged'!C257+'CurrentPor-LH=60 unchanged'!G257)/100)+103/POWER(1+('CurrentPor-LH=60 unchanged'!D257+'CurrentPor-LH=60 unchanged'!G257)/100,2))*100</f>
        <v>9614.9673582483465</v>
      </c>
      <c r="D257">
        <f>(3/(1+('CurrentPor-LH=60 unchanged'!C257+'CurrentPor-LH=60 unchanged'!H257)/100)+103/POWER(1+('CurrentPor-LH=60 unchanged'!D257+'CurrentPor-LH=60 unchanged'!H257)/100,2))*100</f>
        <v>9601.2395558122898</v>
      </c>
      <c r="E257">
        <f>(3/(1+('CurrentPor-LH=60 unchanged'!C257+'CurrentPor-LH=60 unchanged'!I257)/100)+103/POWER(1+('CurrentPor-LH=60 unchanged'!D257+'CurrentPor-LH=60 unchanged'!I257)/100,2))*100</f>
        <v>9581.4547115644182</v>
      </c>
      <c r="F257">
        <f>Portfolio!B$5*'CurrentPor-LH=60 unchanged'!E257</f>
        <v>52143.895533915893</v>
      </c>
      <c r="G257">
        <f>Portfolio!B$6*'CurrentPor-LH=60 unchanged'!F257</f>
        <v>3696.2945087936532</v>
      </c>
      <c r="H257">
        <f>Portfolio!B$7*'CurrentPor-LH=60 unchanged'!J257</f>
        <v>2148.0998964419859</v>
      </c>
      <c r="I257">
        <f t="shared" si="6"/>
        <v>96493.537342205425</v>
      </c>
      <c r="J257">
        <f t="shared" si="7"/>
        <v>0</v>
      </c>
    </row>
    <row r="258" spans="1:10">
      <c r="A258" s="1">
        <v>45831</v>
      </c>
      <c r="B258">
        <f>(3/(1+('CurrentPor-LH=60 unchanged'!C258)/100)+103/POWER(1+('CurrentPor-LH=60 unchanged'!D258)/100,2))*100</f>
        <v>9707.5857774288397</v>
      </c>
      <c r="C258">
        <f>(3/(1+('CurrentPor-LH=60 unchanged'!C258+'CurrentPor-LH=60 unchanged'!G258)/100)+103/POWER(1+('CurrentPor-LH=60 unchanged'!D258+'CurrentPor-LH=60 unchanged'!G258)/100,2))*100</f>
        <v>9614.9673582483465</v>
      </c>
      <c r="D258">
        <f>(3/(1+('CurrentPor-LH=60 unchanged'!C258+'CurrentPor-LH=60 unchanged'!H258)/100)+103/POWER(1+('CurrentPor-LH=60 unchanged'!D258+'CurrentPor-LH=60 unchanged'!H258)/100,2))*100</f>
        <v>9601.2395558122898</v>
      </c>
      <c r="E258">
        <f>(3/(1+('CurrentPor-LH=60 unchanged'!C258+'CurrentPor-LH=60 unchanged'!I258)/100)+103/POWER(1+('CurrentPor-LH=60 unchanged'!D258+'CurrentPor-LH=60 unchanged'!I258)/100,2))*100</f>
        <v>9581.4547115644182</v>
      </c>
      <c r="F258">
        <f>Portfolio!B$5*'CurrentPor-LH=60 unchanged'!E258</f>
        <v>52143.895533915893</v>
      </c>
      <c r="G258">
        <f>Portfolio!B$6*'CurrentPor-LH=60 unchanged'!F258</f>
        <v>3696.2945087936532</v>
      </c>
      <c r="H258">
        <f>Portfolio!B$7*'CurrentPor-LH=60 unchanged'!J258</f>
        <v>2148.0998964419859</v>
      </c>
      <c r="I258">
        <f t="shared" si="6"/>
        <v>96493.537342205425</v>
      </c>
      <c r="J258">
        <f t="shared" si="7"/>
        <v>0</v>
      </c>
    </row>
    <row r="259" spans="1:10">
      <c r="A259" s="1">
        <v>45832</v>
      </c>
      <c r="B259">
        <f>(3/(1+('CurrentPor-LH=60 unchanged'!C259)/100)+103/POWER(1+('CurrentPor-LH=60 unchanged'!D259)/100,2))*100</f>
        <v>9707.5857774288397</v>
      </c>
      <c r="C259">
        <f>(3/(1+('CurrentPor-LH=60 unchanged'!C259+'CurrentPor-LH=60 unchanged'!G259)/100)+103/POWER(1+('CurrentPor-LH=60 unchanged'!D259+'CurrentPor-LH=60 unchanged'!G259)/100,2))*100</f>
        <v>9614.9673582483465</v>
      </c>
      <c r="D259">
        <f>(3/(1+('CurrentPor-LH=60 unchanged'!C259+'CurrentPor-LH=60 unchanged'!H259)/100)+103/POWER(1+('CurrentPor-LH=60 unchanged'!D259+'CurrentPor-LH=60 unchanged'!H259)/100,2))*100</f>
        <v>9601.2395558122898</v>
      </c>
      <c r="E259">
        <f>(3/(1+('CurrentPor-LH=60 unchanged'!C259+'CurrentPor-LH=60 unchanged'!I259)/100)+103/POWER(1+('CurrentPor-LH=60 unchanged'!D259+'CurrentPor-LH=60 unchanged'!I259)/100,2))*100</f>
        <v>9581.4547115644182</v>
      </c>
      <c r="F259">
        <f>Portfolio!B$5*'CurrentPor-LH=60 unchanged'!E259</f>
        <v>52143.895533915893</v>
      </c>
      <c r="G259">
        <f>Portfolio!B$6*'CurrentPor-LH=60 unchanged'!F259</f>
        <v>3696.2945087936532</v>
      </c>
      <c r="H259">
        <f>Portfolio!B$7*'CurrentPor-LH=60 unchanged'!J259</f>
        <v>2148.0998964419859</v>
      </c>
      <c r="I259">
        <f t="shared" si="6"/>
        <v>96493.537342205425</v>
      </c>
      <c r="J259">
        <f t="shared" si="7"/>
        <v>0</v>
      </c>
    </row>
    <row r="260" spans="1:10">
      <c r="A260" s="1">
        <v>45833</v>
      </c>
      <c r="B260">
        <f>(3/(1+('CurrentPor-LH=60 unchanged'!C260)/100)+103/POWER(1+('CurrentPor-LH=60 unchanged'!D260)/100,2))*100</f>
        <v>9707.5857774288397</v>
      </c>
      <c r="C260">
        <f>(3/(1+('CurrentPor-LH=60 unchanged'!C260+'CurrentPor-LH=60 unchanged'!G260)/100)+103/POWER(1+('CurrentPor-LH=60 unchanged'!D260+'CurrentPor-LH=60 unchanged'!G260)/100,2))*100</f>
        <v>9614.9673582483465</v>
      </c>
      <c r="D260">
        <f>(3/(1+('CurrentPor-LH=60 unchanged'!C260+'CurrentPor-LH=60 unchanged'!H260)/100)+103/POWER(1+('CurrentPor-LH=60 unchanged'!D260+'CurrentPor-LH=60 unchanged'!H260)/100,2))*100</f>
        <v>9601.2395558122898</v>
      </c>
      <c r="E260">
        <f>(3/(1+('CurrentPor-LH=60 unchanged'!C260+'CurrentPor-LH=60 unchanged'!I260)/100)+103/POWER(1+('CurrentPor-LH=60 unchanged'!D260+'CurrentPor-LH=60 unchanged'!I260)/100,2))*100</f>
        <v>9581.4547115644182</v>
      </c>
      <c r="F260">
        <f>Portfolio!B$5*'CurrentPor-LH=60 unchanged'!E260</f>
        <v>52143.895533915893</v>
      </c>
      <c r="G260">
        <f>Portfolio!B$6*'CurrentPor-LH=60 unchanged'!F260</f>
        <v>3696.2945087936532</v>
      </c>
      <c r="H260">
        <f>Portfolio!B$7*'CurrentPor-LH=60 unchanged'!J260</f>
        <v>2148.0998964419859</v>
      </c>
      <c r="I260">
        <f t="shared" ref="I260:I263" si="8">SUM(B260:H260)</f>
        <v>96493.537342205425</v>
      </c>
      <c r="J260">
        <f t="shared" si="7"/>
        <v>0</v>
      </c>
    </row>
    <row r="261" spans="1:10">
      <c r="A261" s="1">
        <v>45834</v>
      </c>
      <c r="B261">
        <f>(3/(1+('CurrentPor-LH=60 unchanged'!C261)/100)+103/POWER(1+('CurrentPor-LH=60 unchanged'!D261)/100,2))*100</f>
        <v>9707.5857774288397</v>
      </c>
      <c r="C261">
        <f>(3/(1+('CurrentPor-LH=60 unchanged'!C261+'CurrentPor-LH=60 unchanged'!G261)/100)+103/POWER(1+('CurrentPor-LH=60 unchanged'!D261+'CurrentPor-LH=60 unchanged'!G261)/100,2))*100</f>
        <v>9614.9673582483465</v>
      </c>
      <c r="D261">
        <f>(3/(1+('CurrentPor-LH=60 unchanged'!C261+'CurrentPor-LH=60 unchanged'!H261)/100)+103/POWER(1+('CurrentPor-LH=60 unchanged'!D261+'CurrentPor-LH=60 unchanged'!H261)/100,2))*100</f>
        <v>9601.2395558122898</v>
      </c>
      <c r="E261">
        <f>(3/(1+('CurrentPor-LH=60 unchanged'!C261+'CurrentPor-LH=60 unchanged'!I261)/100)+103/POWER(1+('CurrentPor-LH=60 unchanged'!D261+'CurrentPor-LH=60 unchanged'!I261)/100,2))*100</f>
        <v>9581.4547115644182</v>
      </c>
      <c r="F261">
        <f>Portfolio!B$5*'CurrentPor-LH=60 unchanged'!E261</f>
        <v>52143.895533915893</v>
      </c>
      <c r="G261">
        <f>Portfolio!B$6*'CurrentPor-LH=60 unchanged'!F261</f>
        <v>3696.2945087936532</v>
      </c>
      <c r="H261">
        <f>Portfolio!B$7*'CurrentPor-LH=60 unchanged'!J261</f>
        <v>2148.0998964419859</v>
      </c>
      <c r="I261">
        <f t="shared" si="8"/>
        <v>96493.537342205425</v>
      </c>
      <c r="J261">
        <f t="shared" si="7"/>
        <v>0</v>
      </c>
    </row>
    <row r="262" spans="1:10">
      <c r="A262" s="1">
        <v>45835</v>
      </c>
      <c r="B262">
        <f>(3/(1+('CurrentPor-LH=60 unchanged'!C262)/100)+103/POWER(1+('CurrentPor-LH=60 unchanged'!D262)/100,2))*100</f>
        <v>9707.5857774288397</v>
      </c>
      <c r="C262">
        <f>(3/(1+('CurrentPor-LH=60 unchanged'!C262+'CurrentPor-LH=60 unchanged'!G262)/100)+103/POWER(1+('CurrentPor-LH=60 unchanged'!D262+'CurrentPor-LH=60 unchanged'!G262)/100,2))*100</f>
        <v>9614.9673582483465</v>
      </c>
      <c r="D262">
        <f>(3/(1+('CurrentPor-LH=60 unchanged'!C262+'CurrentPor-LH=60 unchanged'!H262)/100)+103/POWER(1+('CurrentPor-LH=60 unchanged'!D262+'CurrentPor-LH=60 unchanged'!H262)/100,2))*100</f>
        <v>9601.2395558122898</v>
      </c>
      <c r="E262">
        <f>(3/(1+('CurrentPor-LH=60 unchanged'!C262+'CurrentPor-LH=60 unchanged'!I262)/100)+103/POWER(1+('CurrentPor-LH=60 unchanged'!D262+'CurrentPor-LH=60 unchanged'!I262)/100,2))*100</f>
        <v>9581.4547115644182</v>
      </c>
      <c r="F262">
        <f>Portfolio!B$5*'CurrentPor-LH=60 unchanged'!E262</f>
        <v>52143.895533915893</v>
      </c>
      <c r="G262">
        <f>Portfolio!B$6*'CurrentPor-LH=60 unchanged'!F262</f>
        <v>3696.2945087936532</v>
      </c>
      <c r="H262">
        <f>Portfolio!B$7*'CurrentPor-LH=60 unchanged'!J262</f>
        <v>2148.0998964419859</v>
      </c>
      <c r="I262">
        <f t="shared" si="8"/>
        <v>96493.537342205425</v>
      </c>
      <c r="J262">
        <f t="shared" si="7"/>
        <v>0</v>
      </c>
    </row>
    <row r="263" spans="1:10">
      <c r="A263" s="1">
        <v>45838</v>
      </c>
      <c r="B263">
        <f>(3/(1+('CurrentPor-LH=60 unchanged'!C263)/100)+103/POWER(1+('CurrentPor-LH=60 unchanged'!D263)/100,2))*100</f>
        <v>9707.5857774288397</v>
      </c>
      <c r="C263">
        <f>(3/(1+('CurrentPor-LH=60 unchanged'!C263+'CurrentPor-LH=60 unchanged'!G263)/100)+103/POWER(1+('CurrentPor-LH=60 unchanged'!D263+'CurrentPor-LH=60 unchanged'!G263)/100,2))*100</f>
        <v>9614.9673582483465</v>
      </c>
      <c r="D263">
        <f>(3/(1+('CurrentPor-LH=60 unchanged'!C263+'CurrentPor-LH=60 unchanged'!H263)/100)+103/POWER(1+('CurrentPor-LH=60 unchanged'!D263+'CurrentPor-LH=60 unchanged'!H263)/100,2))*100</f>
        <v>9601.2395558122898</v>
      </c>
      <c r="E263">
        <f>(3/(1+('CurrentPor-LH=60 unchanged'!C263+'CurrentPor-LH=60 unchanged'!I263)/100)+103/POWER(1+('CurrentPor-LH=60 unchanged'!D263+'CurrentPor-LH=60 unchanged'!I263)/100,2))*100</f>
        <v>9581.4547115644182</v>
      </c>
      <c r="F263">
        <f>Portfolio!B$5*'CurrentPor-LH=60 unchanged'!E263</f>
        <v>52143.895533915893</v>
      </c>
      <c r="G263">
        <f>Portfolio!B$6*'CurrentPor-LH=60 unchanged'!F263</f>
        <v>3696.2945087936532</v>
      </c>
      <c r="H263">
        <f>Portfolio!B$7*'CurrentPor-LH=60 unchanged'!J263</f>
        <v>2148.0998964419859</v>
      </c>
      <c r="I263">
        <f t="shared" si="8"/>
        <v>96493.537342205425</v>
      </c>
      <c r="J263">
        <f t="shared" si="7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topLeftCell="A27"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/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CurrentPor-Equ Factor Movements</vt:lpstr>
      <vt:lpstr>CurrentPor-LH=10 unchanged</vt:lpstr>
      <vt:lpstr>CurrentPor-LH=20 unchanged</vt:lpstr>
      <vt:lpstr>CurrentPor-LH=40 unchanged</vt:lpstr>
      <vt:lpstr>CurrentPor-LH=60 unchanged</vt:lpstr>
      <vt:lpstr>Portfolio</vt:lpstr>
      <vt:lpstr>ES, Equity factor movement</vt:lpstr>
      <vt:lpstr>ES, Credit LH=10Unchanged</vt:lpstr>
      <vt:lpstr>ES, Credit LH=20Unchanged</vt:lpstr>
      <vt:lpstr>ES, Credit LH=40Unchanged</vt:lpstr>
      <vt:lpstr>ES, Credit LH=60Unchanged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2025-11-08T09:49:31Z</dcterms:modified>
</cp:coreProperties>
</file>