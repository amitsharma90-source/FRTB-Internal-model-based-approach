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amits\Desktop\All quant workshop\Market Risk\FRTB\FRTB-IMA,modellable risk factors\PnL attribution\Artefacts\"/>
    </mc:Choice>
  </mc:AlternateContent>
  <xr:revisionPtr revIDLastSave="0" documentId="13_ncr:1_{F1524568-3767-4F28-849F-E1100E6CEE49}" xr6:coauthVersionLast="47" xr6:coauthVersionMax="47" xr10:uidLastSave="{00000000-0000-0000-0000-000000000000}"/>
  <bookViews>
    <workbookView xWindow="-110" yWindow="-110" windowWidth="19420" windowHeight="10300" firstSheet="5" activeTab="5" xr2:uid="{00000000-000D-0000-FFFF-FFFF00000000}"/>
  </bookViews>
  <sheets>
    <sheet name="00_README" sheetId="1" r:id="rId1"/>
    <sheet name="05_why_real_prices" sheetId="2" r:id="rId2"/>
    <sheet name="10_decision_map" sheetId="3" r:id="rId3"/>
    <sheet name="20_regulatory_buckets" sheetId="4" r:id="rId4"/>
    <sheet name="30_instrument_coverage" sheetId="5" r:id="rId5"/>
    <sheet name="40_own_vs_regulatory" sheetId="6" r:id="rId6"/>
    <sheet name="45_guardrail" sheetId="7" r:id="rId7"/>
    <sheet name="50_special_cases" sheetId="8" r:id="rId8"/>
    <sheet name="55_systematic_proxy_nmrf" sheetId="9" r:id="rId9"/>
    <sheet name="57_seven_principles" sheetId="10" r:id="rId10"/>
    <sheet name="60_calculator" sheetId="11" r:id="rId11"/>
    <sheet name="70_rfet_results" sheetId="12" r:id="rId12"/>
    <sheet name="90_citations" sheetId="13" r:id="rId13"/>
  </sheets>
  <definedNames>
    <definedName name="_xlnm._FilterDatabase" localSheetId="10" hidden="1">'60_calculator'!$A$5:$V$405</definedName>
    <definedName name="AsOf">'60_calculator'!$B$3</definedName>
    <definedName name="RowA_low">'20_regulatory_buckets'!$J$6:$J$14</definedName>
    <definedName name="RowB_low">'20_regulatory_buckets'!$K$6:$K$11</definedName>
    <definedName name="RowC_low">'20_regulatory_buckets'!$L$6:$L$10</definedName>
    <definedName name="RowD_low">'20_regulatory_buckets'!$M$6:$M$10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405" i="11" l="1"/>
  <c r="U405" i="11"/>
  <c r="T405" i="11"/>
  <c r="R405" i="11"/>
  <c r="P405" i="11"/>
  <c r="O405" i="11"/>
  <c r="L405" i="11"/>
  <c r="K405" i="11"/>
  <c r="V404" i="11"/>
  <c r="U404" i="11"/>
  <c r="T404" i="11"/>
  <c r="R404" i="11"/>
  <c r="P404" i="11"/>
  <c r="O404" i="11"/>
  <c r="L404" i="11"/>
  <c r="K404" i="11"/>
  <c r="V403" i="11"/>
  <c r="U403" i="11"/>
  <c r="T403" i="11"/>
  <c r="R403" i="11"/>
  <c r="P403" i="11"/>
  <c r="O403" i="11"/>
  <c r="L403" i="11"/>
  <c r="K403" i="11"/>
  <c r="V402" i="11"/>
  <c r="U402" i="11"/>
  <c r="T402" i="11"/>
  <c r="R402" i="11"/>
  <c r="P402" i="11"/>
  <c r="O402" i="11"/>
  <c r="L402" i="11"/>
  <c r="K402" i="11"/>
  <c r="V401" i="11"/>
  <c r="U401" i="11"/>
  <c r="T401" i="11"/>
  <c r="R401" i="11"/>
  <c r="P401" i="11"/>
  <c r="O401" i="11"/>
  <c r="L401" i="11"/>
  <c r="K401" i="11"/>
  <c r="V400" i="11"/>
  <c r="U400" i="11"/>
  <c r="T400" i="11"/>
  <c r="R400" i="11"/>
  <c r="P400" i="11"/>
  <c r="O400" i="11"/>
  <c r="L400" i="11"/>
  <c r="K400" i="11"/>
  <c r="V399" i="11"/>
  <c r="U399" i="11"/>
  <c r="T399" i="11"/>
  <c r="R399" i="11"/>
  <c r="P399" i="11"/>
  <c r="O399" i="11"/>
  <c r="L399" i="11"/>
  <c r="K399" i="11"/>
  <c r="V398" i="11"/>
  <c r="U398" i="11"/>
  <c r="T398" i="11"/>
  <c r="R398" i="11"/>
  <c r="P398" i="11"/>
  <c r="O398" i="11"/>
  <c r="L398" i="11"/>
  <c r="K398" i="11"/>
  <c r="V397" i="11"/>
  <c r="U397" i="11"/>
  <c r="T397" i="11"/>
  <c r="R397" i="11"/>
  <c r="P397" i="11"/>
  <c r="O397" i="11"/>
  <c r="L397" i="11"/>
  <c r="K397" i="11"/>
  <c r="V396" i="11"/>
  <c r="U396" i="11"/>
  <c r="T396" i="11"/>
  <c r="R396" i="11"/>
  <c r="P396" i="11"/>
  <c r="O396" i="11"/>
  <c r="L396" i="11"/>
  <c r="K396" i="11"/>
  <c r="V395" i="11"/>
  <c r="U395" i="11"/>
  <c r="T395" i="11"/>
  <c r="R395" i="11"/>
  <c r="P395" i="11"/>
  <c r="O395" i="11"/>
  <c r="L395" i="11"/>
  <c r="K395" i="11"/>
  <c r="V394" i="11"/>
  <c r="U394" i="11"/>
  <c r="T394" i="11"/>
  <c r="R394" i="11"/>
  <c r="P394" i="11"/>
  <c r="O394" i="11"/>
  <c r="L394" i="11"/>
  <c r="K394" i="11"/>
  <c r="V393" i="11"/>
  <c r="U393" i="11"/>
  <c r="T393" i="11"/>
  <c r="R393" i="11"/>
  <c r="P393" i="11"/>
  <c r="O393" i="11"/>
  <c r="L393" i="11"/>
  <c r="K393" i="11"/>
  <c r="V392" i="11"/>
  <c r="U392" i="11"/>
  <c r="T392" i="11"/>
  <c r="R392" i="11"/>
  <c r="P392" i="11"/>
  <c r="O392" i="11"/>
  <c r="L392" i="11"/>
  <c r="K392" i="11"/>
  <c r="V391" i="11"/>
  <c r="U391" i="11"/>
  <c r="T391" i="11"/>
  <c r="R391" i="11"/>
  <c r="P391" i="11"/>
  <c r="O391" i="11"/>
  <c r="L391" i="11"/>
  <c r="K391" i="11"/>
  <c r="V390" i="11"/>
  <c r="U390" i="11"/>
  <c r="T390" i="11"/>
  <c r="R390" i="11"/>
  <c r="P390" i="11"/>
  <c r="O390" i="11"/>
  <c r="L390" i="11"/>
  <c r="K390" i="11"/>
  <c r="V389" i="11"/>
  <c r="U389" i="11"/>
  <c r="T389" i="11"/>
  <c r="R389" i="11"/>
  <c r="P389" i="11"/>
  <c r="O389" i="11"/>
  <c r="L389" i="11"/>
  <c r="K389" i="11"/>
  <c r="V388" i="11"/>
  <c r="U388" i="11"/>
  <c r="T388" i="11"/>
  <c r="R388" i="11"/>
  <c r="P388" i="11"/>
  <c r="O388" i="11"/>
  <c r="L388" i="11"/>
  <c r="K388" i="11"/>
  <c r="V387" i="11"/>
  <c r="U387" i="11"/>
  <c r="T387" i="11"/>
  <c r="R387" i="11"/>
  <c r="P387" i="11"/>
  <c r="O387" i="11"/>
  <c r="L387" i="11"/>
  <c r="K387" i="11"/>
  <c r="V386" i="11"/>
  <c r="U386" i="11"/>
  <c r="T386" i="11"/>
  <c r="R386" i="11"/>
  <c r="P386" i="11"/>
  <c r="O386" i="11"/>
  <c r="L386" i="11"/>
  <c r="K386" i="11"/>
  <c r="V385" i="11"/>
  <c r="U385" i="11"/>
  <c r="T385" i="11"/>
  <c r="R385" i="11"/>
  <c r="P385" i="11"/>
  <c r="O385" i="11"/>
  <c r="L385" i="11"/>
  <c r="K385" i="11"/>
  <c r="V384" i="11"/>
  <c r="U384" i="11"/>
  <c r="T384" i="11"/>
  <c r="R384" i="11"/>
  <c r="P384" i="11"/>
  <c r="O384" i="11"/>
  <c r="L384" i="11"/>
  <c r="K384" i="11"/>
  <c r="V383" i="11"/>
  <c r="U383" i="11"/>
  <c r="T383" i="11"/>
  <c r="R383" i="11"/>
  <c r="P383" i="11"/>
  <c r="O383" i="11"/>
  <c r="L383" i="11"/>
  <c r="K383" i="11"/>
  <c r="V382" i="11"/>
  <c r="U382" i="11"/>
  <c r="T382" i="11"/>
  <c r="R382" i="11"/>
  <c r="P382" i="11"/>
  <c r="O382" i="11"/>
  <c r="L382" i="11"/>
  <c r="K382" i="11"/>
  <c r="V381" i="11"/>
  <c r="U381" i="11"/>
  <c r="T381" i="11"/>
  <c r="R381" i="11"/>
  <c r="P381" i="11"/>
  <c r="O381" i="11"/>
  <c r="L381" i="11"/>
  <c r="K381" i="11"/>
  <c r="V380" i="11"/>
  <c r="U380" i="11"/>
  <c r="T380" i="11"/>
  <c r="R380" i="11"/>
  <c r="P380" i="11"/>
  <c r="O380" i="11"/>
  <c r="L380" i="11"/>
  <c r="K380" i="11"/>
  <c r="V379" i="11"/>
  <c r="U379" i="11"/>
  <c r="T379" i="11"/>
  <c r="R379" i="11"/>
  <c r="P379" i="11"/>
  <c r="O379" i="11"/>
  <c r="L379" i="11"/>
  <c r="K379" i="11"/>
  <c r="V378" i="11"/>
  <c r="U378" i="11"/>
  <c r="T378" i="11"/>
  <c r="R378" i="11"/>
  <c r="P378" i="11"/>
  <c r="O378" i="11"/>
  <c r="L378" i="11"/>
  <c r="K378" i="11"/>
  <c r="V377" i="11"/>
  <c r="U377" i="11"/>
  <c r="T377" i="11"/>
  <c r="R377" i="11"/>
  <c r="P377" i="11"/>
  <c r="O377" i="11"/>
  <c r="L377" i="11"/>
  <c r="K377" i="11"/>
  <c r="V376" i="11"/>
  <c r="U376" i="11"/>
  <c r="T376" i="11"/>
  <c r="R376" i="11"/>
  <c r="P376" i="11"/>
  <c r="O376" i="11"/>
  <c r="L376" i="11"/>
  <c r="K376" i="11"/>
  <c r="V375" i="11"/>
  <c r="U375" i="11"/>
  <c r="T375" i="11"/>
  <c r="R375" i="11"/>
  <c r="P375" i="11"/>
  <c r="O375" i="11"/>
  <c r="L375" i="11"/>
  <c r="K375" i="11"/>
  <c r="V374" i="11"/>
  <c r="U374" i="11"/>
  <c r="T374" i="11"/>
  <c r="R374" i="11"/>
  <c r="P374" i="11"/>
  <c r="O374" i="11"/>
  <c r="L374" i="11"/>
  <c r="K374" i="11"/>
  <c r="V373" i="11"/>
  <c r="U373" i="11"/>
  <c r="T373" i="11"/>
  <c r="R373" i="11"/>
  <c r="P373" i="11"/>
  <c r="O373" i="11"/>
  <c r="L373" i="11"/>
  <c r="K373" i="11"/>
  <c r="V372" i="11"/>
  <c r="U372" i="11"/>
  <c r="T372" i="11"/>
  <c r="R372" i="11"/>
  <c r="P372" i="11"/>
  <c r="O372" i="11"/>
  <c r="L372" i="11"/>
  <c r="K372" i="11"/>
  <c r="V371" i="11"/>
  <c r="U371" i="11"/>
  <c r="T371" i="11"/>
  <c r="R371" i="11"/>
  <c r="P371" i="11"/>
  <c r="O371" i="11"/>
  <c r="L371" i="11"/>
  <c r="K371" i="11"/>
  <c r="V370" i="11"/>
  <c r="U370" i="11"/>
  <c r="T370" i="11"/>
  <c r="R370" i="11"/>
  <c r="P370" i="11"/>
  <c r="O370" i="11"/>
  <c r="L370" i="11"/>
  <c r="K370" i="11"/>
  <c r="V369" i="11"/>
  <c r="U369" i="11"/>
  <c r="T369" i="11"/>
  <c r="R369" i="11"/>
  <c r="P369" i="11"/>
  <c r="O369" i="11"/>
  <c r="L369" i="11"/>
  <c r="K369" i="11"/>
  <c r="V368" i="11"/>
  <c r="U368" i="11"/>
  <c r="T368" i="11"/>
  <c r="R368" i="11"/>
  <c r="P368" i="11"/>
  <c r="O368" i="11"/>
  <c r="L368" i="11"/>
  <c r="K368" i="11"/>
  <c r="V367" i="11"/>
  <c r="U367" i="11"/>
  <c r="T367" i="11"/>
  <c r="R367" i="11"/>
  <c r="P367" i="11"/>
  <c r="O367" i="11"/>
  <c r="L367" i="11"/>
  <c r="K367" i="11"/>
  <c r="V366" i="11"/>
  <c r="U366" i="11"/>
  <c r="T366" i="11"/>
  <c r="R366" i="11"/>
  <c r="P366" i="11"/>
  <c r="O366" i="11"/>
  <c r="L366" i="11"/>
  <c r="K366" i="11"/>
  <c r="V365" i="11"/>
  <c r="U365" i="11"/>
  <c r="T365" i="11"/>
  <c r="R365" i="11"/>
  <c r="P365" i="11"/>
  <c r="O365" i="11"/>
  <c r="L365" i="11"/>
  <c r="K365" i="11"/>
  <c r="V364" i="11"/>
  <c r="U364" i="11"/>
  <c r="T364" i="11"/>
  <c r="R364" i="11"/>
  <c r="P364" i="11"/>
  <c r="O364" i="11"/>
  <c r="L364" i="11"/>
  <c r="K364" i="11"/>
  <c r="V363" i="11"/>
  <c r="U363" i="11"/>
  <c r="T363" i="11"/>
  <c r="R363" i="11"/>
  <c r="P363" i="11"/>
  <c r="O363" i="11"/>
  <c r="L363" i="11"/>
  <c r="K363" i="11"/>
  <c r="V362" i="11"/>
  <c r="U362" i="11"/>
  <c r="T362" i="11"/>
  <c r="R362" i="11"/>
  <c r="P362" i="11"/>
  <c r="O362" i="11"/>
  <c r="L362" i="11"/>
  <c r="K362" i="11"/>
  <c r="V361" i="11"/>
  <c r="U361" i="11"/>
  <c r="T361" i="11"/>
  <c r="R361" i="11"/>
  <c r="P361" i="11"/>
  <c r="O361" i="11"/>
  <c r="L361" i="11"/>
  <c r="K361" i="11"/>
  <c r="V360" i="11"/>
  <c r="U360" i="11"/>
  <c r="T360" i="11"/>
  <c r="R360" i="11"/>
  <c r="P360" i="11"/>
  <c r="O360" i="11"/>
  <c r="L360" i="11"/>
  <c r="K360" i="11"/>
  <c r="V359" i="11"/>
  <c r="U359" i="11"/>
  <c r="T359" i="11"/>
  <c r="R359" i="11"/>
  <c r="P359" i="11"/>
  <c r="O359" i="11"/>
  <c r="L359" i="11"/>
  <c r="K359" i="11"/>
  <c r="V358" i="11"/>
  <c r="U358" i="11"/>
  <c r="T358" i="11"/>
  <c r="R358" i="11"/>
  <c r="P358" i="11"/>
  <c r="O358" i="11"/>
  <c r="L358" i="11"/>
  <c r="K358" i="11"/>
  <c r="V357" i="11"/>
  <c r="U357" i="11"/>
  <c r="T357" i="11"/>
  <c r="R357" i="11"/>
  <c r="P357" i="11"/>
  <c r="O357" i="11"/>
  <c r="L357" i="11"/>
  <c r="K357" i="11"/>
  <c r="V356" i="11"/>
  <c r="U356" i="11"/>
  <c r="T356" i="11"/>
  <c r="R356" i="11"/>
  <c r="P356" i="11"/>
  <c r="O356" i="11"/>
  <c r="L356" i="11"/>
  <c r="K356" i="11"/>
  <c r="V355" i="11"/>
  <c r="U355" i="11"/>
  <c r="T355" i="11"/>
  <c r="R355" i="11"/>
  <c r="P355" i="11"/>
  <c r="O355" i="11"/>
  <c r="L355" i="11"/>
  <c r="K355" i="11"/>
  <c r="V354" i="11"/>
  <c r="U354" i="11"/>
  <c r="T354" i="11"/>
  <c r="R354" i="11"/>
  <c r="P354" i="11"/>
  <c r="O354" i="11"/>
  <c r="L354" i="11"/>
  <c r="K354" i="11"/>
  <c r="V353" i="11"/>
  <c r="U353" i="11"/>
  <c r="T353" i="11"/>
  <c r="R353" i="11"/>
  <c r="P353" i="11"/>
  <c r="O353" i="11"/>
  <c r="L353" i="11"/>
  <c r="K353" i="11"/>
  <c r="V352" i="11"/>
  <c r="U352" i="11"/>
  <c r="T352" i="11"/>
  <c r="R352" i="11"/>
  <c r="P352" i="11"/>
  <c r="O352" i="11"/>
  <c r="L352" i="11"/>
  <c r="K352" i="11"/>
  <c r="V351" i="11"/>
  <c r="U351" i="11"/>
  <c r="T351" i="11"/>
  <c r="R351" i="11"/>
  <c r="P351" i="11"/>
  <c r="O351" i="11"/>
  <c r="L351" i="11"/>
  <c r="K351" i="11"/>
  <c r="V350" i="11"/>
  <c r="U350" i="11"/>
  <c r="T350" i="11"/>
  <c r="R350" i="11"/>
  <c r="P350" i="11"/>
  <c r="O350" i="11"/>
  <c r="L350" i="11"/>
  <c r="K350" i="11"/>
  <c r="V349" i="11"/>
  <c r="U349" i="11"/>
  <c r="T349" i="11"/>
  <c r="R349" i="11"/>
  <c r="P349" i="11"/>
  <c r="O349" i="11"/>
  <c r="L349" i="11"/>
  <c r="K349" i="11"/>
  <c r="V348" i="11"/>
  <c r="U348" i="11"/>
  <c r="T348" i="11"/>
  <c r="R348" i="11"/>
  <c r="P348" i="11"/>
  <c r="O348" i="11"/>
  <c r="L348" i="11"/>
  <c r="K348" i="11"/>
  <c r="V347" i="11"/>
  <c r="U347" i="11"/>
  <c r="T347" i="11"/>
  <c r="R347" i="11"/>
  <c r="P347" i="11"/>
  <c r="O347" i="11"/>
  <c r="L347" i="11"/>
  <c r="K347" i="11"/>
  <c r="V346" i="11"/>
  <c r="U346" i="11"/>
  <c r="T346" i="11"/>
  <c r="R346" i="11"/>
  <c r="P346" i="11"/>
  <c r="O346" i="11"/>
  <c r="L346" i="11"/>
  <c r="K346" i="11"/>
  <c r="V345" i="11"/>
  <c r="U345" i="11"/>
  <c r="T345" i="11"/>
  <c r="R345" i="11"/>
  <c r="P345" i="11"/>
  <c r="O345" i="11"/>
  <c r="L345" i="11"/>
  <c r="K345" i="11"/>
  <c r="V344" i="11"/>
  <c r="U344" i="11"/>
  <c r="T344" i="11"/>
  <c r="R344" i="11"/>
  <c r="P344" i="11"/>
  <c r="O344" i="11"/>
  <c r="L344" i="11"/>
  <c r="K344" i="11"/>
  <c r="V343" i="11"/>
  <c r="U343" i="11"/>
  <c r="T343" i="11"/>
  <c r="R343" i="11"/>
  <c r="P343" i="11"/>
  <c r="O343" i="11"/>
  <c r="L343" i="11"/>
  <c r="K343" i="11"/>
  <c r="V342" i="11"/>
  <c r="U342" i="11"/>
  <c r="T342" i="11"/>
  <c r="R342" i="11"/>
  <c r="P342" i="11"/>
  <c r="O342" i="11"/>
  <c r="L342" i="11"/>
  <c r="K342" i="11"/>
  <c r="V341" i="11"/>
  <c r="U341" i="11"/>
  <c r="T341" i="11"/>
  <c r="R341" i="11"/>
  <c r="P341" i="11"/>
  <c r="O341" i="11"/>
  <c r="L341" i="11"/>
  <c r="K341" i="11"/>
  <c r="V340" i="11"/>
  <c r="U340" i="11"/>
  <c r="T340" i="11"/>
  <c r="R340" i="11"/>
  <c r="P340" i="11"/>
  <c r="O340" i="11"/>
  <c r="L340" i="11"/>
  <c r="K340" i="11"/>
  <c r="V339" i="11"/>
  <c r="U339" i="11"/>
  <c r="T339" i="11"/>
  <c r="R339" i="11"/>
  <c r="P339" i="11"/>
  <c r="O339" i="11"/>
  <c r="L339" i="11"/>
  <c r="K339" i="11"/>
  <c r="V338" i="11"/>
  <c r="U338" i="11"/>
  <c r="T338" i="11"/>
  <c r="R338" i="11"/>
  <c r="P338" i="11"/>
  <c r="O338" i="11"/>
  <c r="L338" i="11"/>
  <c r="K338" i="11"/>
  <c r="V337" i="11"/>
  <c r="U337" i="11"/>
  <c r="T337" i="11"/>
  <c r="R337" i="11"/>
  <c r="P337" i="11"/>
  <c r="O337" i="11"/>
  <c r="L337" i="11"/>
  <c r="K337" i="11"/>
  <c r="V336" i="11"/>
  <c r="U336" i="11"/>
  <c r="T336" i="11"/>
  <c r="R336" i="11"/>
  <c r="P336" i="11"/>
  <c r="O336" i="11"/>
  <c r="L336" i="11"/>
  <c r="K336" i="11"/>
  <c r="V335" i="11"/>
  <c r="U335" i="11"/>
  <c r="T335" i="11"/>
  <c r="R335" i="11"/>
  <c r="P335" i="11"/>
  <c r="O335" i="11"/>
  <c r="L335" i="11"/>
  <c r="K335" i="11"/>
  <c r="V334" i="11"/>
  <c r="U334" i="11"/>
  <c r="T334" i="11"/>
  <c r="R334" i="11"/>
  <c r="P334" i="11"/>
  <c r="O334" i="11"/>
  <c r="L334" i="11"/>
  <c r="K334" i="11"/>
  <c r="V333" i="11"/>
  <c r="U333" i="11"/>
  <c r="T333" i="11"/>
  <c r="R333" i="11"/>
  <c r="P333" i="11"/>
  <c r="O333" i="11"/>
  <c r="L333" i="11"/>
  <c r="K333" i="11"/>
  <c r="V332" i="11"/>
  <c r="U332" i="11"/>
  <c r="T332" i="11"/>
  <c r="R332" i="11"/>
  <c r="P332" i="11"/>
  <c r="O332" i="11"/>
  <c r="L332" i="11"/>
  <c r="K332" i="11"/>
  <c r="V331" i="11"/>
  <c r="U331" i="11"/>
  <c r="T331" i="11"/>
  <c r="R331" i="11"/>
  <c r="P331" i="11"/>
  <c r="O331" i="11"/>
  <c r="L331" i="11"/>
  <c r="K331" i="11"/>
  <c r="V330" i="11"/>
  <c r="U330" i="11"/>
  <c r="T330" i="11"/>
  <c r="R330" i="11"/>
  <c r="P330" i="11"/>
  <c r="O330" i="11"/>
  <c r="L330" i="11"/>
  <c r="K330" i="11"/>
  <c r="V329" i="11"/>
  <c r="U329" i="11"/>
  <c r="T329" i="11"/>
  <c r="R329" i="11"/>
  <c r="P329" i="11"/>
  <c r="O329" i="11"/>
  <c r="L329" i="11"/>
  <c r="K329" i="11"/>
  <c r="V328" i="11"/>
  <c r="U328" i="11"/>
  <c r="T328" i="11"/>
  <c r="R328" i="11"/>
  <c r="P328" i="11"/>
  <c r="O328" i="11"/>
  <c r="L328" i="11"/>
  <c r="K328" i="11"/>
  <c r="V327" i="11"/>
  <c r="U327" i="11"/>
  <c r="T327" i="11"/>
  <c r="R327" i="11"/>
  <c r="P327" i="11"/>
  <c r="O327" i="11"/>
  <c r="L327" i="11"/>
  <c r="K327" i="11"/>
  <c r="V326" i="11"/>
  <c r="U326" i="11"/>
  <c r="T326" i="11"/>
  <c r="R326" i="11"/>
  <c r="P326" i="11"/>
  <c r="O326" i="11"/>
  <c r="L326" i="11"/>
  <c r="K326" i="11"/>
  <c r="V325" i="11"/>
  <c r="U325" i="11"/>
  <c r="T325" i="11"/>
  <c r="R325" i="11"/>
  <c r="P325" i="11"/>
  <c r="O325" i="11"/>
  <c r="L325" i="11"/>
  <c r="K325" i="11"/>
  <c r="V324" i="11"/>
  <c r="U324" i="11"/>
  <c r="T324" i="11"/>
  <c r="R324" i="11"/>
  <c r="P324" i="11"/>
  <c r="O324" i="11"/>
  <c r="L324" i="11"/>
  <c r="K324" i="11"/>
  <c r="V323" i="11"/>
  <c r="U323" i="11"/>
  <c r="T323" i="11"/>
  <c r="R323" i="11"/>
  <c r="P323" i="11"/>
  <c r="O323" i="11"/>
  <c r="L323" i="11"/>
  <c r="K323" i="11"/>
  <c r="V322" i="11"/>
  <c r="U322" i="11"/>
  <c r="T322" i="11"/>
  <c r="R322" i="11"/>
  <c r="P322" i="11"/>
  <c r="O322" i="11"/>
  <c r="L322" i="11"/>
  <c r="K322" i="11"/>
  <c r="V321" i="11"/>
  <c r="U321" i="11"/>
  <c r="T321" i="11"/>
  <c r="R321" i="11"/>
  <c r="P321" i="11"/>
  <c r="O321" i="11"/>
  <c r="L321" i="11"/>
  <c r="K321" i="11"/>
  <c r="V320" i="11"/>
  <c r="U320" i="11"/>
  <c r="T320" i="11"/>
  <c r="R320" i="11"/>
  <c r="P320" i="11"/>
  <c r="O320" i="11"/>
  <c r="L320" i="11"/>
  <c r="K320" i="11"/>
  <c r="V319" i="11"/>
  <c r="U319" i="11"/>
  <c r="T319" i="11"/>
  <c r="R319" i="11"/>
  <c r="P319" i="11"/>
  <c r="O319" i="11"/>
  <c r="L319" i="11"/>
  <c r="K319" i="11"/>
  <c r="V318" i="11"/>
  <c r="U318" i="11"/>
  <c r="T318" i="11"/>
  <c r="R318" i="11"/>
  <c r="P318" i="11"/>
  <c r="O318" i="11"/>
  <c r="L318" i="11"/>
  <c r="K318" i="11"/>
  <c r="V317" i="11"/>
  <c r="U317" i="11"/>
  <c r="T317" i="11"/>
  <c r="R317" i="11"/>
  <c r="P317" i="11"/>
  <c r="O317" i="11"/>
  <c r="L317" i="11"/>
  <c r="K317" i="11"/>
  <c r="V316" i="11"/>
  <c r="U316" i="11"/>
  <c r="T316" i="11"/>
  <c r="R316" i="11"/>
  <c r="P316" i="11"/>
  <c r="O316" i="11"/>
  <c r="L316" i="11"/>
  <c r="K316" i="11"/>
  <c r="V315" i="11"/>
  <c r="U315" i="11"/>
  <c r="T315" i="11"/>
  <c r="R315" i="11"/>
  <c r="P315" i="11"/>
  <c r="O315" i="11"/>
  <c r="L315" i="11"/>
  <c r="K315" i="11"/>
  <c r="V314" i="11"/>
  <c r="U314" i="11"/>
  <c r="T314" i="11"/>
  <c r="R314" i="11"/>
  <c r="P314" i="11"/>
  <c r="O314" i="11"/>
  <c r="L314" i="11"/>
  <c r="K314" i="11"/>
  <c r="V313" i="11"/>
  <c r="U313" i="11"/>
  <c r="T313" i="11"/>
  <c r="R313" i="11"/>
  <c r="P313" i="11"/>
  <c r="O313" i="11"/>
  <c r="L313" i="11"/>
  <c r="K313" i="11"/>
  <c r="V312" i="11"/>
  <c r="U312" i="11"/>
  <c r="T312" i="11"/>
  <c r="R312" i="11"/>
  <c r="P312" i="11"/>
  <c r="O312" i="11"/>
  <c r="L312" i="11"/>
  <c r="K312" i="11"/>
  <c r="V311" i="11"/>
  <c r="U311" i="11"/>
  <c r="T311" i="11"/>
  <c r="R311" i="11"/>
  <c r="P311" i="11"/>
  <c r="O311" i="11"/>
  <c r="L311" i="11"/>
  <c r="K311" i="11"/>
  <c r="V310" i="11"/>
  <c r="U310" i="11"/>
  <c r="T310" i="11"/>
  <c r="R310" i="11"/>
  <c r="P310" i="11"/>
  <c r="O310" i="11"/>
  <c r="L310" i="11"/>
  <c r="K310" i="11"/>
  <c r="V309" i="11"/>
  <c r="U309" i="11"/>
  <c r="T309" i="11"/>
  <c r="R309" i="11"/>
  <c r="P309" i="11"/>
  <c r="O309" i="11"/>
  <c r="L309" i="11"/>
  <c r="K309" i="11"/>
  <c r="V308" i="11"/>
  <c r="U308" i="11"/>
  <c r="T308" i="11"/>
  <c r="R308" i="11"/>
  <c r="P308" i="11"/>
  <c r="O308" i="11"/>
  <c r="L308" i="11"/>
  <c r="K308" i="11"/>
  <c r="V307" i="11"/>
  <c r="U307" i="11"/>
  <c r="T307" i="11"/>
  <c r="R307" i="11"/>
  <c r="P307" i="11"/>
  <c r="O307" i="11"/>
  <c r="L307" i="11"/>
  <c r="K307" i="11"/>
  <c r="V306" i="11"/>
  <c r="U306" i="11"/>
  <c r="T306" i="11"/>
  <c r="R306" i="11"/>
  <c r="P306" i="11"/>
  <c r="O306" i="11"/>
  <c r="L306" i="11"/>
  <c r="K306" i="11"/>
  <c r="V305" i="11"/>
  <c r="U305" i="11"/>
  <c r="T305" i="11"/>
  <c r="R305" i="11"/>
  <c r="P305" i="11"/>
  <c r="O305" i="11"/>
  <c r="L305" i="11"/>
  <c r="K305" i="11"/>
  <c r="V304" i="11"/>
  <c r="U304" i="11"/>
  <c r="T304" i="11"/>
  <c r="R304" i="11"/>
  <c r="P304" i="11"/>
  <c r="O304" i="11"/>
  <c r="L304" i="11"/>
  <c r="K304" i="11"/>
  <c r="V303" i="11"/>
  <c r="U303" i="11"/>
  <c r="T303" i="11"/>
  <c r="R303" i="11"/>
  <c r="P303" i="11"/>
  <c r="O303" i="11"/>
  <c r="L303" i="11"/>
  <c r="K303" i="11"/>
  <c r="V302" i="11"/>
  <c r="U302" i="11"/>
  <c r="T302" i="11"/>
  <c r="R302" i="11"/>
  <c r="P302" i="11"/>
  <c r="O302" i="11"/>
  <c r="L302" i="11"/>
  <c r="K302" i="11"/>
  <c r="V301" i="11"/>
  <c r="U301" i="11"/>
  <c r="T301" i="11"/>
  <c r="R301" i="11"/>
  <c r="P301" i="11"/>
  <c r="O301" i="11"/>
  <c r="L301" i="11"/>
  <c r="K301" i="11"/>
  <c r="V300" i="11"/>
  <c r="U300" i="11"/>
  <c r="T300" i="11"/>
  <c r="R300" i="11"/>
  <c r="P300" i="11"/>
  <c r="O300" i="11"/>
  <c r="L300" i="11"/>
  <c r="K300" i="11"/>
  <c r="V299" i="11"/>
  <c r="U299" i="11"/>
  <c r="T299" i="11"/>
  <c r="R299" i="11"/>
  <c r="P299" i="11"/>
  <c r="O299" i="11"/>
  <c r="L299" i="11"/>
  <c r="K299" i="11"/>
  <c r="V298" i="11"/>
  <c r="U298" i="11"/>
  <c r="T298" i="11"/>
  <c r="R298" i="11"/>
  <c r="P298" i="11"/>
  <c r="O298" i="11"/>
  <c r="L298" i="11"/>
  <c r="K298" i="11"/>
  <c r="V297" i="11"/>
  <c r="U297" i="11"/>
  <c r="T297" i="11"/>
  <c r="R297" i="11"/>
  <c r="P297" i="11"/>
  <c r="O297" i="11"/>
  <c r="L297" i="11"/>
  <c r="K297" i="11"/>
  <c r="V296" i="11"/>
  <c r="U296" i="11"/>
  <c r="T296" i="11"/>
  <c r="R296" i="11"/>
  <c r="P296" i="11"/>
  <c r="O296" i="11"/>
  <c r="L296" i="11"/>
  <c r="K296" i="11"/>
  <c r="V295" i="11"/>
  <c r="U295" i="11"/>
  <c r="T295" i="11"/>
  <c r="R295" i="11"/>
  <c r="P295" i="11"/>
  <c r="O295" i="11"/>
  <c r="L295" i="11"/>
  <c r="K295" i="11"/>
  <c r="V294" i="11"/>
  <c r="U294" i="11"/>
  <c r="T294" i="11"/>
  <c r="R294" i="11"/>
  <c r="P294" i="11"/>
  <c r="O294" i="11"/>
  <c r="L294" i="11"/>
  <c r="K294" i="11"/>
  <c r="V293" i="11"/>
  <c r="U293" i="11"/>
  <c r="T293" i="11"/>
  <c r="R293" i="11"/>
  <c r="P293" i="11"/>
  <c r="O293" i="11"/>
  <c r="L293" i="11"/>
  <c r="K293" i="11"/>
  <c r="V292" i="11"/>
  <c r="U292" i="11"/>
  <c r="T292" i="11"/>
  <c r="R292" i="11"/>
  <c r="P292" i="11"/>
  <c r="O292" i="11"/>
  <c r="L292" i="11"/>
  <c r="K292" i="11"/>
  <c r="V291" i="11"/>
  <c r="U291" i="11"/>
  <c r="T291" i="11"/>
  <c r="R291" i="11"/>
  <c r="P291" i="11"/>
  <c r="O291" i="11"/>
  <c r="L291" i="11"/>
  <c r="K291" i="11"/>
  <c r="V290" i="11"/>
  <c r="U290" i="11"/>
  <c r="T290" i="11"/>
  <c r="R290" i="11"/>
  <c r="P290" i="11"/>
  <c r="O290" i="11"/>
  <c r="L290" i="11"/>
  <c r="K290" i="11"/>
  <c r="V289" i="11"/>
  <c r="U289" i="11"/>
  <c r="T289" i="11"/>
  <c r="R289" i="11"/>
  <c r="P289" i="11"/>
  <c r="O289" i="11"/>
  <c r="L289" i="11"/>
  <c r="K289" i="11"/>
  <c r="V288" i="11"/>
  <c r="U288" i="11"/>
  <c r="T288" i="11"/>
  <c r="R288" i="11"/>
  <c r="P288" i="11"/>
  <c r="O288" i="11"/>
  <c r="L288" i="11"/>
  <c r="K288" i="11"/>
  <c r="V287" i="11"/>
  <c r="U287" i="11"/>
  <c r="T287" i="11"/>
  <c r="R287" i="11"/>
  <c r="P287" i="11"/>
  <c r="O287" i="11"/>
  <c r="L287" i="11"/>
  <c r="K287" i="11"/>
  <c r="V286" i="11"/>
  <c r="U286" i="11"/>
  <c r="T286" i="11"/>
  <c r="R286" i="11"/>
  <c r="P286" i="11"/>
  <c r="O286" i="11"/>
  <c r="L286" i="11"/>
  <c r="K286" i="11"/>
  <c r="V285" i="11"/>
  <c r="U285" i="11"/>
  <c r="T285" i="11"/>
  <c r="R285" i="11"/>
  <c r="P285" i="11"/>
  <c r="O285" i="11"/>
  <c r="L285" i="11"/>
  <c r="K285" i="11"/>
  <c r="V284" i="11"/>
  <c r="U284" i="11"/>
  <c r="T284" i="11"/>
  <c r="R284" i="11"/>
  <c r="P284" i="11"/>
  <c r="O284" i="11"/>
  <c r="L284" i="11"/>
  <c r="K284" i="11"/>
  <c r="V283" i="11"/>
  <c r="U283" i="11"/>
  <c r="T283" i="11"/>
  <c r="R283" i="11"/>
  <c r="P283" i="11"/>
  <c r="O283" i="11"/>
  <c r="L283" i="11"/>
  <c r="K283" i="11"/>
  <c r="V282" i="11"/>
  <c r="U282" i="11"/>
  <c r="T282" i="11"/>
  <c r="R282" i="11"/>
  <c r="P282" i="11"/>
  <c r="O282" i="11"/>
  <c r="L282" i="11"/>
  <c r="K282" i="11"/>
  <c r="V281" i="11"/>
  <c r="U281" i="11"/>
  <c r="T281" i="11"/>
  <c r="R281" i="11"/>
  <c r="P281" i="11"/>
  <c r="O281" i="11"/>
  <c r="L281" i="11"/>
  <c r="K281" i="11"/>
  <c r="V280" i="11"/>
  <c r="U280" i="11"/>
  <c r="T280" i="11"/>
  <c r="R280" i="11"/>
  <c r="P280" i="11"/>
  <c r="O280" i="11"/>
  <c r="L280" i="11"/>
  <c r="K280" i="11"/>
  <c r="V279" i="11"/>
  <c r="U279" i="11"/>
  <c r="T279" i="11"/>
  <c r="R279" i="11"/>
  <c r="P279" i="11"/>
  <c r="O279" i="11"/>
  <c r="L279" i="11"/>
  <c r="K279" i="11"/>
  <c r="V278" i="11"/>
  <c r="U278" i="11"/>
  <c r="T278" i="11"/>
  <c r="R278" i="11"/>
  <c r="P278" i="11"/>
  <c r="O278" i="11"/>
  <c r="L278" i="11"/>
  <c r="K278" i="11"/>
  <c r="V277" i="11"/>
  <c r="U277" i="11"/>
  <c r="T277" i="11"/>
  <c r="R277" i="11"/>
  <c r="P277" i="11"/>
  <c r="O277" i="11"/>
  <c r="L277" i="11"/>
  <c r="K277" i="11"/>
  <c r="V276" i="11"/>
  <c r="U276" i="11"/>
  <c r="T276" i="11"/>
  <c r="R276" i="11"/>
  <c r="P276" i="11"/>
  <c r="O276" i="11"/>
  <c r="L276" i="11"/>
  <c r="K276" i="11"/>
  <c r="V275" i="11"/>
  <c r="U275" i="11"/>
  <c r="T275" i="11"/>
  <c r="R275" i="11"/>
  <c r="P275" i="11"/>
  <c r="O275" i="11"/>
  <c r="L275" i="11"/>
  <c r="K275" i="11"/>
  <c r="V274" i="11"/>
  <c r="U274" i="11"/>
  <c r="T274" i="11"/>
  <c r="R274" i="11"/>
  <c r="P274" i="11"/>
  <c r="O274" i="11"/>
  <c r="L274" i="11"/>
  <c r="K274" i="11"/>
  <c r="V273" i="11"/>
  <c r="U273" i="11"/>
  <c r="T273" i="11"/>
  <c r="R273" i="11"/>
  <c r="P273" i="11"/>
  <c r="O273" i="11"/>
  <c r="L273" i="11"/>
  <c r="K273" i="11"/>
  <c r="V272" i="11"/>
  <c r="U272" i="11"/>
  <c r="T272" i="11"/>
  <c r="R272" i="11"/>
  <c r="P272" i="11"/>
  <c r="O272" i="11"/>
  <c r="L272" i="11"/>
  <c r="K272" i="11"/>
  <c r="V271" i="11"/>
  <c r="U271" i="11"/>
  <c r="T271" i="11"/>
  <c r="R271" i="11"/>
  <c r="P271" i="11"/>
  <c r="O271" i="11"/>
  <c r="L271" i="11"/>
  <c r="K271" i="11"/>
  <c r="V270" i="11"/>
  <c r="U270" i="11"/>
  <c r="T270" i="11"/>
  <c r="R270" i="11"/>
  <c r="P270" i="11"/>
  <c r="O270" i="11"/>
  <c r="L270" i="11"/>
  <c r="K270" i="11"/>
  <c r="V269" i="11"/>
  <c r="U269" i="11"/>
  <c r="T269" i="11"/>
  <c r="R269" i="11"/>
  <c r="P269" i="11"/>
  <c r="O269" i="11"/>
  <c r="L269" i="11"/>
  <c r="K269" i="11"/>
  <c r="V268" i="11"/>
  <c r="U268" i="11"/>
  <c r="T268" i="11"/>
  <c r="R268" i="11"/>
  <c r="P268" i="11"/>
  <c r="O268" i="11"/>
  <c r="L268" i="11"/>
  <c r="K268" i="11"/>
  <c r="V267" i="11"/>
  <c r="U267" i="11"/>
  <c r="T267" i="11"/>
  <c r="R267" i="11"/>
  <c r="P267" i="11"/>
  <c r="O267" i="11"/>
  <c r="L267" i="11"/>
  <c r="K267" i="11"/>
  <c r="V266" i="11"/>
  <c r="U266" i="11"/>
  <c r="T266" i="11"/>
  <c r="R266" i="11"/>
  <c r="P266" i="11"/>
  <c r="O266" i="11"/>
  <c r="L266" i="11"/>
  <c r="K266" i="11"/>
  <c r="V265" i="11"/>
  <c r="U265" i="11"/>
  <c r="T265" i="11"/>
  <c r="R265" i="11"/>
  <c r="P265" i="11"/>
  <c r="O265" i="11"/>
  <c r="L265" i="11"/>
  <c r="K265" i="11"/>
  <c r="V264" i="11"/>
  <c r="U264" i="11"/>
  <c r="T264" i="11"/>
  <c r="R264" i="11"/>
  <c r="P264" i="11"/>
  <c r="O264" i="11"/>
  <c r="L264" i="11"/>
  <c r="K264" i="11"/>
  <c r="V263" i="11"/>
  <c r="U263" i="11"/>
  <c r="T263" i="11"/>
  <c r="R263" i="11"/>
  <c r="P263" i="11"/>
  <c r="O263" i="11"/>
  <c r="L263" i="11"/>
  <c r="K263" i="11"/>
  <c r="V262" i="11"/>
  <c r="U262" i="11"/>
  <c r="T262" i="11"/>
  <c r="R262" i="11"/>
  <c r="P262" i="11"/>
  <c r="O262" i="11"/>
  <c r="L262" i="11"/>
  <c r="K262" i="11"/>
  <c r="V261" i="11"/>
  <c r="U261" i="11"/>
  <c r="T261" i="11"/>
  <c r="R261" i="11"/>
  <c r="P261" i="11"/>
  <c r="O261" i="11"/>
  <c r="L261" i="11"/>
  <c r="K261" i="11"/>
  <c r="V260" i="11"/>
  <c r="U260" i="11"/>
  <c r="T260" i="11"/>
  <c r="R260" i="11"/>
  <c r="P260" i="11"/>
  <c r="O260" i="11"/>
  <c r="L260" i="11"/>
  <c r="K260" i="11"/>
  <c r="V259" i="11"/>
  <c r="U259" i="11"/>
  <c r="T259" i="11"/>
  <c r="R259" i="11"/>
  <c r="P259" i="11"/>
  <c r="O259" i="11"/>
  <c r="L259" i="11"/>
  <c r="K259" i="11"/>
  <c r="V258" i="11"/>
  <c r="U258" i="11"/>
  <c r="T258" i="11"/>
  <c r="R258" i="11"/>
  <c r="P258" i="11"/>
  <c r="O258" i="11"/>
  <c r="L258" i="11"/>
  <c r="K258" i="11"/>
  <c r="V257" i="11"/>
  <c r="U257" i="11"/>
  <c r="T257" i="11"/>
  <c r="R257" i="11"/>
  <c r="P257" i="11"/>
  <c r="O257" i="11"/>
  <c r="L257" i="11"/>
  <c r="K257" i="11"/>
  <c r="V256" i="11"/>
  <c r="U256" i="11"/>
  <c r="T256" i="11"/>
  <c r="R256" i="11"/>
  <c r="P256" i="11"/>
  <c r="O256" i="11"/>
  <c r="L256" i="11"/>
  <c r="K256" i="11"/>
  <c r="V255" i="11"/>
  <c r="U255" i="11"/>
  <c r="T255" i="11"/>
  <c r="R255" i="11"/>
  <c r="P255" i="11"/>
  <c r="O255" i="11"/>
  <c r="L255" i="11"/>
  <c r="K255" i="11"/>
  <c r="V254" i="11"/>
  <c r="U254" i="11"/>
  <c r="T254" i="11"/>
  <c r="R254" i="11"/>
  <c r="P254" i="11"/>
  <c r="O254" i="11"/>
  <c r="L254" i="11"/>
  <c r="K254" i="11"/>
  <c r="V253" i="11"/>
  <c r="U253" i="11"/>
  <c r="T253" i="11"/>
  <c r="R253" i="11"/>
  <c r="P253" i="11"/>
  <c r="O253" i="11"/>
  <c r="L253" i="11"/>
  <c r="K253" i="11"/>
  <c r="V252" i="11"/>
  <c r="U252" i="11"/>
  <c r="T252" i="11"/>
  <c r="R252" i="11"/>
  <c r="P252" i="11"/>
  <c r="O252" i="11"/>
  <c r="L252" i="11"/>
  <c r="K252" i="11"/>
  <c r="V251" i="11"/>
  <c r="U251" i="11"/>
  <c r="T251" i="11"/>
  <c r="R251" i="11"/>
  <c r="P251" i="11"/>
  <c r="O251" i="11"/>
  <c r="L251" i="11"/>
  <c r="K251" i="11"/>
  <c r="V250" i="11"/>
  <c r="U250" i="11"/>
  <c r="T250" i="11"/>
  <c r="R250" i="11"/>
  <c r="P250" i="11"/>
  <c r="O250" i="11"/>
  <c r="L250" i="11"/>
  <c r="K250" i="11"/>
  <c r="V249" i="11"/>
  <c r="U249" i="11"/>
  <c r="T249" i="11"/>
  <c r="R249" i="11"/>
  <c r="P249" i="11"/>
  <c r="O249" i="11"/>
  <c r="L249" i="11"/>
  <c r="K249" i="11"/>
  <c r="V248" i="11"/>
  <c r="U248" i="11"/>
  <c r="T248" i="11"/>
  <c r="R248" i="11"/>
  <c r="P248" i="11"/>
  <c r="O248" i="11"/>
  <c r="L248" i="11"/>
  <c r="K248" i="11"/>
  <c r="V247" i="11"/>
  <c r="U247" i="11"/>
  <c r="T247" i="11"/>
  <c r="R247" i="11"/>
  <c r="P247" i="11"/>
  <c r="O247" i="11"/>
  <c r="L247" i="11"/>
  <c r="K247" i="11"/>
  <c r="V246" i="11"/>
  <c r="U246" i="11"/>
  <c r="T246" i="11"/>
  <c r="R246" i="11"/>
  <c r="P246" i="11"/>
  <c r="O246" i="11"/>
  <c r="L246" i="11"/>
  <c r="K246" i="11"/>
  <c r="V245" i="11"/>
  <c r="U245" i="11"/>
  <c r="T245" i="11"/>
  <c r="R245" i="11"/>
  <c r="P245" i="11"/>
  <c r="O245" i="11"/>
  <c r="L245" i="11"/>
  <c r="K245" i="11"/>
  <c r="V244" i="11"/>
  <c r="U244" i="11"/>
  <c r="T244" i="11"/>
  <c r="R244" i="11"/>
  <c r="P244" i="11"/>
  <c r="O244" i="11"/>
  <c r="L244" i="11"/>
  <c r="K244" i="11"/>
  <c r="V243" i="11"/>
  <c r="U243" i="11"/>
  <c r="T243" i="11"/>
  <c r="R243" i="11"/>
  <c r="P243" i="11"/>
  <c r="O243" i="11"/>
  <c r="L243" i="11"/>
  <c r="K243" i="11"/>
  <c r="V242" i="11"/>
  <c r="U242" i="11"/>
  <c r="T242" i="11"/>
  <c r="R242" i="11"/>
  <c r="P242" i="11"/>
  <c r="O242" i="11"/>
  <c r="L242" i="11"/>
  <c r="K242" i="11"/>
  <c r="V241" i="11"/>
  <c r="U241" i="11"/>
  <c r="T241" i="11"/>
  <c r="R241" i="11"/>
  <c r="P241" i="11"/>
  <c r="O241" i="11"/>
  <c r="L241" i="11"/>
  <c r="K241" i="11"/>
  <c r="V240" i="11"/>
  <c r="U240" i="11"/>
  <c r="T240" i="11"/>
  <c r="R240" i="11"/>
  <c r="P240" i="11"/>
  <c r="O240" i="11"/>
  <c r="L240" i="11"/>
  <c r="K240" i="11"/>
  <c r="V239" i="11"/>
  <c r="U239" i="11"/>
  <c r="T239" i="11"/>
  <c r="R239" i="11"/>
  <c r="P239" i="11"/>
  <c r="O239" i="11"/>
  <c r="L239" i="11"/>
  <c r="K239" i="11"/>
  <c r="V238" i="11"/>
  <c r="U238" i="11"/>
  <c r="T238" i="11"/>
  <c r="R238" i="11"/>
  <c r="P238" i="11"/>
  <c r="O238" i="11"/>
  <c r="L238" i="11"/>
  <c r="K238" i="11"/>
  <c r="V237" i="11"/>
  <c r="U237" i="11"/>
  <c r="T237" i="11"/>
  <c r="R237" i="11"/>
  <c r="P237" i="11"/>
  <c r="O237" i="11"/>
  <c r="L237" i="11"/>
  <c r="K237" i="11"/>
  <c r="V236" i="11"/>
  <c r="U236" i="11"/>
  <c r="T236" i="11"/>
  <c r="R236" i="11"/>
  <c r="P236" i="11"/>
  <c r="O236" i="11"/>
  <c r="L236" i="11"/>
  <c r="K236" i="11"/>
  <c r="V235" i="11"/>
  <c r="U235" i="11"/>
  <c r="T235" i="11"/>
  <c r="R235" i="11"/>
  <c r="P235" i="11"/>
  <c r="O235" i="11"/>
  <c r="L235" i="11"/>
  <c r="K235" i="11"/>
  <c r="V234" i="11"/>
  <c r="U234" i="11"/>
  <c r="T234" i="11"/>
  <c r="R234" i="11"/>
  <c r="P234" i="11"/>
  <c r="O234" i="11"/>
  <c r="L234" i="11"/>
  <c r="K234" i="11"/>
  <c r="V233" i="11"/>
  <c r="U233" i="11"/>
  <c r="T233" i="11"/>
  <c r="R233" i="11"/>
  <c r="P233" i="11"/>
  <c r="O233" i="11"/>
  <c r="L233" i="11"/>
  <c r="K233" i="11"/>
  <c r="V232" i="11"/>
  <c r="U232" i="11"/>
  <c r="T232" i="11"/>
  <c r="R232" i="11"/>
  <c r="P232" i="11"/>
  <c r="O232" i="11"/>
  <c r="L232" i="11"/>
  <c r="K232" i="11"/>
  <c r="V231" i="11"/>
  <c r="U231" i="11"/>
  <c r="T231" i="11"/>
  <c r="R231" i="11"/>
  <c r="P231" i="11"/>
  <c r="O231" i="11"/>
  <c r="L231" i="11"/>
  <c r="K231" i="11"/>
  <c r="V230" i="11"/>
  <c r="U230" i="11"/>
  <c r="T230" i="11"/>
  <c r="R230" i="11"/>
  <c r="P230" i="11"/>
  <c r="O230" i="11"/>
  <c r="L230" i="11"/>
  <c r="K230" i="11"/>
  <c r="V229" i="11"/>
  <c r="U229" i="11"/>
  <c r="T229" i="11"/>
  <c r="R229" i="11"/>
  <c r="P229" i="11"/>
  <c r="O229" i="11"/>
  <c r="L229" i="11"/>
  <c r="K229" i="11"/>
  <c r="V228" i="11"/>
  <c r="U228" i="11"/>
  <c r="T228" i="11"/>
  <c r="R228" i="11"/>
  <c r="P228" i="11"/>
  <c r="O228" i="11"/>
  <c r="L228" i="11"/>
  <c r="K228" i="11"/>
  <c r="V227" i="11"/>
  <c r="U227" i="11"/>
  <c r="T227" i="11"/>
  <c r="R227" i="11"/>
  <c r="P227" i="11"/>
  <c r="O227" i="11"/>
  <c r="L227" i="11"/>
  <c r="K227" i="11"/>
  <c r="V226" i="11"/>
  <c r="U226" i="11"/>
  <c r="T226" i="11"/>
  <c r="R226" i="11"/>
  <c r="P226" i="11"/>
  <c r="O226" i="11"/>
  <c r="L226" i="11"/>
  <c r="K226" i="11"/>
  <c r="V225" i="11"/>
  <c r="U225" i="11"/>
  <c r="T225" i="11"/>
  <c r="R225" i="11"/>
  <c r="P225" i="11"/>
  <c r="O225" i="11"/>
  <c r="L225" i="11"/>
  <c r="K225" i="11"/>
  <c r="V224" i="11"/>
  <c r="U224" i="11"/>
  <c r="T224" i="11"/>
  <c r="R224" i="11"/>
  <c r="P224" i="11"/>
  <c r="O224" i="11"/>
  <c r="L224" i="11"/>
  <c r="K224" i="11"/>
  <c r="V223" i="11"/>
  <c r="U223" i="11"/>
  <c r="T223" i="11"/>
  <c r="R223" i="11"/>
  <c r="P223" i="11"/>
  <c r="O223" i="11"/>
  <c r="L223" i="11"/>
  <c r="K223" i="11"/>
  <c r="V222" i="11"/>
  <c r="U222" i="11"/>
  <c r="T222" i="11"/>
  <c r="R222" i="11"/>
  <c r="P222" i="11"/>
  <c r="O222" i="11"/>
  <c r="L222" i="11"/>
  <c r="K222" i="11"/>
  <c r="V221" i="11"/>
  <c r="U221" i="11"/>
  <c r="T221" i="11"/>
  <c r="R221" i="11"/>
  <c r="P221" i="11"/>
  <c r="O221" i="11"/>
  <c r="L221" i="11"/>
  <c r="K221" i="11"/>
  <c r="V220" i="11"/>
  <c r="U220" i="11"/>
  <c r="T220" i="11"/>
  <c r="R220" i="11"/>
  <c r="P220" i="11"/>
  <c r="O220" i="11"/>
  <c r="L220" i="11"/>
  <c r="K220" i="11"/>
  <c r="V219" i="11"/>
  <c r="U219" i="11"/>
  <c r="T219" i="11"/>
  <c r="R219" i="11"/>
  <c r="P219" i="11"/>
  <c r="O219" i="11"/>
  <c r="L219" i="11"/>
  <c r="K219" i="11"/>
  <c r="V218" i="11"/>
  <c r="U218" i="11"/>
  <c r="T218" i="11"/>
  <c r="R218" i="11"/>
  <c r="P218" i="11"/>
  <c r="O218" i="11"/>
  <c r="L218" i="11"/>
  <c r="K218" i="11"/>
  <c r="V217" i="11"/>
  <c r="U217" i="11"/>
  <c r="T217" i="11"/>
  <c r="R217" i="11"/>
  <c r="P217" i="11"/>
  <c r="O217" i="11"/>
  <c r="L217" i="11"/>
  <c r="K217" i="11"/>
  <c r="V216" i="11"/>
  <c r="U216" i="11"/>
  <c r="T216" i="11"/>
  <c r="R216" i="11"/>
  <c r="P216" i="11"/>
  <c r="O216" i="11"/>
  <c r="L216" i="11"/>
  <c r="K216" i="11"/>
  <c r="V215" i="11"/>
  <c r="U215" i="11"/>
  <c r="T215" i="11"/>
  <c r="R215" i="11"/>
  <c r="P215" i="11"/>
  <c r="O215" i="11"/>
  <c r="L215" i="11"/>
  <c r="K215" i="11"/>
  <c r="V214" i="11"/>
  <c r="U214" i="11"/>
  <c r="T214" i="11"/>
  <c r="R214" i="11"/>
  <c r="P214" i="11"/>
  <c r="O214" i="11"/>
  <c r="L214" i="11"/>
  <c r="K214" i="11"/>
  <c r="V213" i="11"/>
  <c r="U213" i="11"/>
  <c r="T213" i="11"/>
  <c r="R213" i="11"/>
  <c r="P213" i="11"/>
  <c r="O213" i="11"/>
  <c r="L213" i="11"/>
  <c r="K213" i="11"/>
  <c r="V212" i="11"/>
  <c r="U212" i="11"/>
  <c r="T212" i="11"/>
  <c r="R212" i="11"/>
  <c r="P212" i="11"/>
  <c r="O212" i="11"/>
  <c r="L212" i="11"/>
  <c r="K212" i="11"/>
  <c r="V211" i="11"/>
  <c r="U211" i="11"/>
  <c r="T211" i="11"/>
  <c r="R211" i="11"/>
  <c r="P211" i="11"/>
  <c r="O211" i="11"/>
  <c r="L211" i="11"/>
  <c r="K211" i="11"/>
  <c r="V210" i="11"/>
  <c r="U210" i="11"/>
  <c r="T210" i="11"/>
  <c r="R210" i="11"/>
  <c r="P210" i="11"/>
  <c r="O210" i="11"/>
  <c r="L210" i="11"/>
  <c r="K210" i="11"/>
  <c r="V209" i="11"/>
  <c r="U209" i="11"/>
  <c r="T209" i="11"/>
  <c r="R209" i="11"/>
  <c r="P209" i="11"/>
  <c r="O209" i="11"/>
  <c r="L209" i="11"/>
  <c r="K209" i="11"/>
  <c r="V208" i="11"/>
  <c r="U208" i="11"/>
  <c r="T208" i="11"/>
  <c r="R208" i="11"/>
  <c r="P208" i="11"/>
  <c r="O208" i="11"/>
  <c r="L208" i="11"/>
  <c r="K208" i="11"/>
  <c r="V207" i="11"/>
  <c r="U207" i="11"/>
  <c r="T207" i="11"/>
  <c r="R207" i="11"/>
  <c r="P207" i="11"/>
  <c r="O207" i="11"/>
  <c r="L207" i="11"/>
  <c r="K207" i="11"/>
  <c r="V206" i="11"/>
  <c r="U206" i="11"/>
  <c r="T206" i="11"/>
  <c r="R206" i="11"/>
  <c r="P206" i="11"/>
  <c r="O206" i="11"/>
  <c r="L206" i="11"/>
  <c r="K206" i="11"/>
  <c r="V205" i="11"/>
  <c r="U205" i="11"/>
  <c r="T205" i="11"/>
  <c r="R205" i="11"/>
  <c r="P205" i="11"/>
  <c r="O205" i="11"/>
  <c r="L205" i="11"/>
  <c r="K205" i="11"/>
  <c r="V204" i="11"/>
  <c r="U204" i="11"/>
  <c r="T204" i="11"/>
  <c r="R204" i="11"/>
  <c r="P204" i="11"/>
  <c r="O204" i="11"/>
  <c r="L204" i="11"/>
  <c r="K204" i="11"/>
  <c r="V203" i="11"/>
  <c r="U203" i="11"/>
  <c r="T203" i="11"/>
  <c r="R203" i="11"/>
  <c r="P203" i="11"/>
  <c r="O203" i="11"/>
  <c r="L203" i="11"/>
  <c r="K203" i="11"/>
  <c r="V202" i="11"/>
  <c r="U202" i="11"/>
  <c r="T202" i="11"/>
  <c r="R202" i="11"/>
  <c r="P202" i="11"/>
  <c r="O202" i="11"/>
  <c r="L202" i="11"/>
  <c r="K202" i="11"/>
  <c r="V201" i="11"/>
  <c r="U201" i="11"/>
  <c r="T201" i="11"/>
  <c r="R201" i="11"/>
  <c r="P201" i="11"/>
  <c r="O201" i="11"/>
  <c r="L201" i="11"/>
  <c r="K201" i="11"/>
  <c r="V200" i="11"/>
  <c r="U200" i="11"/>
  <c r="T200" i="11"/>
  <c r="R200" i="11"/>
  <c r="P200" i="11"/>
  <c r="O200" i="11"/>
  <c r="L200" i="11"/>
  <c r="K200" i="11"/>
  <c r="V199" i="11"/>
  <c r="U199" i="11"/>
  <c r="T199" i="11"/>
  <c r="R199" i="11"/>
  <c r="P199" i="11"/>
  <c r="O199" i="11"/>
  <c r="L199" i="11"/>
  <c r="K199" i="11"/>
  <c r="V198" i="11"/>
  <c r="U198" i="11"/>
  <c r="T198" i="11"/>
  <c r="R198" i="11"/>
  <c r="P198" i="11"/>
  <c r="O198" i="11"/>
  <c r="L198" i="11"/>
  <c r="K198" i="11"/>
  <c r="V197" i="11"/>
  <c r="U197" i="11"/>
  <c r="T197" i="11"/>
  <c r="R197" i="11"/>
  <c r="P197" i="11"/>
  <c r="O197" i="11"/>
  <c r="L197" i="11"/>
  <c r="K197" i="11"/>
  <c r="V196" i="11"/>
  <c r="U196" i="11"/>
  <c r="T196" i="11"/>
  <c r="R196" i="11"/>
  <c r="P196" i="11"/>
  <c r="O196" i="11"/>
  <c r="L196" i="11"/>
  <c r="K196" i="11"/>
  <c r="V195" i="11"/>
  <c r="U195" i="11"/>
  <c r="T195" i="11"/>
  <c r="R195" i="11"/>
  <c r="P195" i="11"/>
  <c r="O195" i="11"/>
  <c r="L195" i="11"/>
  <c r="K195" i="11"/>
  <c r="V194" i="11"/>
  <c r="U194" i="11"/>
  <c r="T194" i="11"/>
  <c r="R194" i="11"/>
  <c r="P194" i="11"/>
  <c r="O194" i="11"/>
  <c r="L194" i="11"/>
  <c r="K194" i="11"/>
  <c r="V193" i="11"/>
  <c r="U193" i="11"/>
  <c r="T193" i="11"/>
  <c r="R193" i="11"/>
  <c r="P193" i="11"/>
  <c r="O193" i="11"/>
  <c r="L193" i="11"/>
  <c r="K193" i="11"/>
  <c r="V192" i="11"/>
  <c r="U192" i="11"/>
  <c r="T192" i="11"/>
  <c r="R192" i="11"/>
  <c r="P192" i="11"/>
  <c r="O192" i="11"/>
  <c r="L192" i="11"/>
  <c r="K192" i="11"/>
  <c r="V191" i="11"/>
  <c r="U191" i="11"/>
  <c r="T191" i="11"/>
  <c r="R191" i="11"/>
  <c r="P191" i="11"/>
  <c r="O191" i="11"/>
  <c r="L191" i="11"/>
  <c r="K191" i="11"/>
  <c r="V190" i="11"/>
  <c r="U190" i="11"/>
  <c r="T190" i="11"/>
  <c r="R190" i="11"/>
  <c r="P190" i="11"/>
  <c r="O190" i="11"/>
  <c r="L190" i="11"/>
  <c r="K190" i="11"/>
  <c r="V189" i="11"/>
  <c r="U189" i="11"/>
  <c r="T189" i="11"/>
  <c r="R189" i="11"/>
  <c r="P189" i="11"/>
  <c r="O189" i="11"/>
  <c r="L189" i="11"/>
  <c r="K189" i="11"/>
  <c r="V188" i="11"/>
  <c r="U188" i="11"/>
  <c r="T188" i="11"/>
  <c r="R188" i="11"/>
  <c r="P188" i="11"/>
  <c r="O188" i="11"/>
  <c r="L188" i="11"/>
  <c r="K188" i="11"/>
  <c r="V187" i="11"/>
  <c r="U187" i="11"/>
  <c r="T187" i="11"/>
  <c r="R187" i="11"/>
  <c r="P187" i="11"/>
  <c r="O187" i="11"/>
  <c r="L187" i="11"/>
  <c r="K187" i="11"/>
  <c r="V186" i="11"/>
  <c r="U186" i="11"/>
  <c r="T186" i="11"/>
  <c r="R186" i="11"/>
  <c r="P186" i="11"/>
  <c r="O186" i="11"/>
  <c r="L186" i="11"/>
  <c r="K186" i="11"/>
  <c r="V185" i="11"/>
  <c r="U185" i="11"/>
  <c r="T185" i="11"/>
  <c r="R185" i="11"/>
  <c r="P185" i="11"/>
  <c r="O185" i="11"/>
  <c r="L185" i="11"/>
  <c r="K185" i="11"/>
  <c r="V184" i="11"/>
  <c r="U184" i="11"/>
  <c r="T184" i="11"/>
  <c r="R184" i="11"/>
  <c r="P184" i="11"/>
  <c r="O184" i="11"/>
  <c r="L184" i="11"/>
  <c r="K184" i="11"/>
  <c r="V183" i="11"/>
  <c r="U183" i="11"/>
  <c r="T183" i="11"/>
  <c r="R183" i="11"/>
  <c r="P183" i="11"/>
  <c r="O183" i="11"/>
  <c r="L183" i="11"/>
  <c r="K183" i="11"/>
  <c r="V182" i="11"/>
  <c r="U182" i="11"/>
  <c r="T182" i="11"/>
  <c r="R182" i="11"/>
  <c r="P182" i="11"/>
  <c r="O182" i="11"/>
  <c r="L182" i="11"/>
  <c r="K182" i="11"/>
  <c r="V181" i="11"/>
  <c r="U181" i="11"/>
  <c r="T181" i="11"/>
  <c r="R181" i="11"/>
  <c r="P181" i="11"/>
  <c r="O181" i="11"/>
  <c r="L181" i="11"/>
  <c r="K181" i="11"/>
  <c r="V180" i="11"/>
  <c r="U180" i="11"/>
  <c r="T180" i="11"/>
  <c r="R180" i="11"/>
  <c r="P180" i="11"/>
  <c r="O180" i="11"/>
  <c r="L180" i="11"/>
  <c r="K180" i="11"/>
  <c r="V179" i="11"/>
  <c r="U179" i="11"/>
  <c r="T179" i="11"/>
  <c r="R179" i="11"/>
  <c r="P179" i="11"/>
  <c r="O179" i="11"/>
  <c r="L179" i="11"/>
  <c r="K179" i="11"/>
  <c r="V178" i="11"/>
  <c r="U178" i="11"/>
  <c r="T178" i="11"/>
  <c r="R178" i="11"/>
  <c r="P178" i="11"/>
  <c r="O178" i="11"/>
  <c r="L178" i="11"/>
  <c r="K178" i="11"/>
  <c r="V177" i="11"/>
  <c r="U177" i="11"/>
  <c r="T177" i="11"/>
  <c r="R177" i="11"/>
  <c r="P177" i="11"/>
  <c r="O177" i="11"/>
  <c r="L177" i="11"/>
  <c r="K177" i="11"/>
  <c r="V176" i="11"/>
  <c r="U176" i="11"/>
  <c r="T176" i="11"/>
  <c r="R176" i="11"/>
  <c r="P176" i="11"/>
  <c r="O176" i="11"/>
  <c r="L176" i="11"/>
  <c r="K176" i="11"/>
  <c r="V175" i="11"/>
  <c r="U175" i="11"/>
  <c r="T175" i="11"/>
  <c r="R175" i="11"/>
  <c r="P175" i="11"/>
  <c r="O175" i="11"/>
  <c r="L175" i="11"/>
  <c r="K175" i="11"/>
  <c r="V174" i="11"/>
  <c r="U174" i="11"/>
  <c r="T174" i="11"/>
  <c r="R174" i="11"/>
  <c r="P174" i="11"/>
  <c r="O174" i="11"/>
  <c r="L174" i="11"/>
  <c r="K174" i="11"/>
  <c r="V173" i="11"/>
  <c r="U173" i="11"/>
  <c r="T173" i="11"/>
  <c r="R173" i="11"/>
  <c r="P173" i="11"/>
  <c r="O173" i="11"/>
  <c r="L173" i="11"/>
  <c r="K173" i="11"/>
  <c r="V172" i="11"/>
  <c r="U172" i="11"/>
  <c r="T172" i="11"/>
  <c r="R172" i="11"/>
  <c r="P172" i="11"/>
  <c r="O172" i="11"/>
  <c r="L172" i="11"/>
  <c r="K172" i="11"/>
  <c r="V171" i="11"/>
  <c r="U171" i="11"/>
  <c r="T171" i="11"/>
  <c r="R171" i="11"/>
  <c r="P171" i="11"/>
  <c r="O171" i="11"/>
  <c r="L171" i="11"/>
  <c r="K171" i="11"/>
  <c r="V170" i="11"/>
  <c r="U170" i="11"/>
  <c r="T170" i="11"/>
  <c r="R170" i="11"/>
  <c r="P170" i="11"/>
  <c r="O170" i="11"/>
  <c r="L170" i="11"/>
  <c r="K170" i="11"/>
  <c r="V169" i="11"/>
  <c r="U169" i="11"/>
  <c r="T169" i="11"/>
  <c r="R169" i="11"/>
  <c r="P169" i="11"/>
  <c r="O169" i="11"/>
  <c r="L169" i="11"/>
  <c r="K169" i="11"/>
  <c r="V168" i="11"/>
  <c r="U168" i="11"/>
  <c r="T168" i="11"/>
  <c r="R168" i="11"/>
  <c r="P168" i="11"/>
  <c r="O168" i="11"/>
  <c r="L168" i="11"/>
  <c r="K168" i="11"/>
  <c r="V167" i="11"/>
  <c r="U167" i="11"/>
  <c r="T167" i="11"/>
  <c r="R167" i="11"/>
  <c r="P167" i="11"/>
  <c r="O167" i="11"/>
  <c r="L167" i="11"/>
  <c r="K167" i="11"/>
  <c r="V166" i="11"/>
  <c r="U166" i="11"/>
  <c r="T166" i="11"/>
  <c r="R166" i="11"/>
  <c r="P166" i="11"/>
  <c r="O166" i="11"/>
  <c r="L166" i="11"/>
  <c r="K166" i="11"/>
  <c r="V165" i="11"/>
  <c r="U165" i="11"/>
  <c r="T165" i="11"/>
  <c r="R165" i="11"/>
  <c r="P165" i="11"/>
  <c r="O165" i="11"/>
  <c r="L165" i="11"/>
  <c r="K165" i="11"/>
  <c r="V164" i="11"/>
  <c r="U164" i="11"/>
  <c r="T164" i="11"/>
  <c r="R164" i="11"/>
  <c r="P164" i="11"/>
  <c r="O164" i="11"/>
  <c r="L164" i="11"/>
  <c r="K164" i="11"/>
  <c r="V163" i="11"/>
  <c r="U163" i="11"/>
  <c r="T163" i="11"/>
  <c r="R163" i="11"/>
  <c r="P163" i="11"/>
  <c r="O163" i="11"/>
  <c r="L163" i="11"/>
  <c r="K163" i="11"/>
  <c r="V162" i="11"/>
  <c r="U162" i="11"/>
  <c r="T162" i="11"/>
  <c r="R162" i="11"/>
  <c r="P162" i="11"/>
  <c r="O162" i="11"/>
  <c r="L162" i="11"/>
  <c r="K162" i="11"/>
  <c r="V161" i="11"/>
  <c r="U161" i="11"/>
  <c r="T161" i="11"/>
  <c r="R161" i="11"/>
  <c r="P161" i="11"/>
  <c r="O161" i="11"/>
  <c r="L161" i="11"/>
  <c r="K161" i="11"/>
  <c r="V160" i="11"/>
  <c r="U160" i="11"/>
  <c r="T160" i="11"/>
  <c r="R160" i="11"/>
  <c r="P160" i="11"/>
  <c r="O160" i="11"/>
  <c r="L160" i="11"/>
  <c r="K160" i="11"/>
  <c r="V159" i="11"/>
  <c r="U159" i="11"/>
  <c r="T159" i="11"/>
  <c r="R159" i="11"/>
  <c r="P159" i="11"/>
  <c r="O159" i="11"/>
  <c r="L159" i="11"/>
  <c r="K159" i="11"/>
  <c r="V158" i="11"/>
  <c r="U158" i="11"/>
  <c r="T158" i="11"/>
  <c r="R158" i="11"/>
  <c r="P158" i="11"/>
  <c r="O158" i="11"/>
  <c r="L158" i="11"/>
  <c r="K158" i="11"/>
  <c r="V157" i="11"/>
  <c r="U157" i="11"/>
  <c r="T157" i="11"/>
  <c r="R157" i="11"/>
  <c r="P157" i="11"/>
  <c r="O157" i="11"/>
  <c r="L157" i="11"/>
  <c r="K157" i="11"/>
  <c r="V156" i="11"/>
  <c r="U156" i="11"/>
  <c r="T156" i="11"/>
  <c r="R156" i="11"/>
  <c r="P156" i="11"/>
  <c r="O156" i="11"/>
  <c r="L156" i="11"/>
  <c r="K156" i="11"/>
  <c r="V155" i="11"/>
  <c r="U155" i="11"/>
  <c r="T155" i="11"/>
  <c r="R155" i="11"/>
  <c r="P155" i="11"/>
  <c r="O155" i="11"/>
  <c r="L155" i="11"/>
  <c r="K155" i="11"/>
  <c r="V154" i="11"/>
  <c r="U154" i="11"/>
  <c r="T154" i="11"/>
  <c r="R154" i="11"/>
  <c r="P154" i="11"/>
  <c r="O154" i="11"/>
  <c r="L154" i="11"/>
  <c r="K154" i="11"/>
  <c r="V153" i="11"/>
  <c r="U153" i="11"/>
  <c r="T153" i="11"/>
  <c r="R153" i="11"/>
  <c r="P153" i="11"/>
  <c r="O153" i="11"/>
  <c r="L153" i="11"/>
  <c r="K153" i="11"/>
  <c r="V152" i="11"/>
  <c r="U152" i="11"/>
  <c r="T152" i="11"/>
  <c r="R152" i="11"/>
  <c r="P152" i="11"/>
  <c r="O152" i="11"/>
  <c r="L152" i="11"/>
  <c r="K152" i="11"/>
  <c r="V151" i="11"/>
  <c r="U151" i="11"/>
  <c r="T151" i="11"/>
  <c r="R151" i="11"/>
  <c r="P151" i="11"/>
  <c r="O151" i="11"/>
  <c r="L151" i="11"/>
  <c r="K151" i="11"/>
  <c r="V150" i="11"/>
  <c r="U150" i="11"/>
  <c r="T150" i="11"/>
  <c r="R150" i="11"/>
  <c r="P150" i="11"/>
  <c r="O150" i="11"/>
  <c r="L150" i="11"/>
  <c r="K150" i="11"/>
  <c r="V149" i="11"/>
  <c r="U149" i="11"/>
  <c r="T149" i="11"/>
  <c r="R149" i="11"/>
  <c r="P149" i="11"/>
  <c r="O149" i="11"/>
  <c r="L149" i="11"/>
  <c r="K149" i="11"/>
  <c r="V148" i="11"/>
  <c r="U148" i="11"/>
  <c r="T148" i="11"/>
  <c r="R148" i="11"/>
  <c r="P148" i="11"/>
  <c r="O148" i="11"/>
  <c r="L148" i="11"/>
  <c r="K148" i="11"/>
  <c r="V147" i="11"/>
  <c r="U147" i="11"/>
  <c r="T147" i="11"/>
  <c r="R147" i="11"/>
  <c r="P147" i="11"/>
  <c r="O147" i="11"/>
  <c r="L147" i="11"/>
  <c r="K147" i="11"/>
  <c r="V146" i="11"/>
  <c r="U146" i="11"/>
  <c r="T146" i="11"/>
  <c r="R146" i="11"/>
  <c r="P146" i="11"/>
  <c r="O146" i="11"/>
  <c r="L146" i="11"/>
  <c r="K146" i="11"/>
  <c r="V145" i="11"/>
  <c r="U145" i="11"/>
  <c r="T145" i="11"/>
  <c r="R145" i="11"/>
  <c r="P145" i="11"/>
  <c r="O145" i="11"/>
  <c r="L145" i="11"/>
  <c r="K145" i="11"/>
  <c r="V144" i="11"/>
  <c r="U144" i="11"/>
  <c r="T144" i="11"/>
  <c r="R144" i="11"/>
  <c r="P144" i="11"/>
  <c r="O144" i="11"/>
  <c r="L144" i="11"/>
  <c r="K144" i="11"/>
  <c r="V143" i="11"/>
  <c r="U143" i="11"/>
  <c r="T143" i="11"/>
  <c r="R143" i="11"/>
  <c r="P143" i="11"/>
  <c r="O143" i="11"/>
  <c r="L143" i="11"/>
  <c r="K143" i="11"/>
  <c r="V142" i="11"/>
  <c r="U142" i="11"/>
  <c r="T142" i="11"/>
  <c r="R142" i="11"/>
  <c r="P142" i="11"/>
  <c r="O142" i="11"/>
  <c r="L142" i="11"/>
  <c r="K142" i="11"/>
  <c r="V141" i="11"/>
  <c r="U141" i="11"/>
  <c r="T141" i="11"/>
  <c r="R141" i="11"/>
  <c r="P141" i="11"/>
  <c r="O141" i="11"/>
  <c r="L141" i="11"/>
  <c r="K141" i="11"/>
  <c r="V140" i="11"/>
  <c r="U140" i="11"/>
  <c r="T140" i="11"/>
  <c r="R140" i="11"/>
  <c r="P140" i="11"/>
  <c r="O140" i="11"/>
  <c r="L140" i="11"/>
  <c r="K140" i="11"/>
  <c r="V139" i="11"/>
  <c r="U139" i="11"/>
  <c r="T139" i="11"/>
  <c r="R139" i="11"/>
  <c r="P139" i="11"/>
  <c r="O139" i="11"/>
  <c r="L139" i="11"/>
  <c r="K139" i="11"/>
  <c r="V138" i="11"/>
  <c r="U138" i="11"/>
  <c r="T138" i="11"/>
  <c r="R138" i="11"/>
  <c r="P138" i="11"/>
  <c r="O138" i="11"/>
  <c r="L138" i="11"/>
  <c r="K138" i="11"/>
  <c r="V137" i="11"/>
  <c r="U137" i="11"/>
  <c r="T137" i="11"/>
  <c r="R137" i="11"/>
  <c r="P137" i="11"/>
  <c r="O137" i="11"/>
  <c r="L137" i="11"/>
  <c r="K137" i="11"/>
  <c r="V136" i="11"/>
  <c r="U136" i="11"/>
  <c r="T136" i="11"/>
  <c r="R136" i="11"/>
  <c r="P136" i="11"/>
  <c r="O136" i="11"/>
  <c r="L136" i="11"/>
  <c r="K136" i="11"/>
  <c r="V135" i="11"/>
  <c r="U135" i="11"/>
  <c r="T135" i="11"/>
  <c r="R135" i="11"/>
  <c r="P135" i="11"/>
  <c r="O135" i="11"/>
  <c r="L135" i="11"/>
  <c r="K135" i="11"/>
  <c r="V134" i="11"/>
  <c r="U134" i="11"/>
  <c r="T134" i="11"/>
  <c r="R134" i="11"/>
  <c r="P134" i="11"/>
  <c r="O134" i="11"/>
  <c r="L134" i="11"/>
  <c r="K134" i="11"/>
  <c r="V133" i="11"/>
  <c r="U133" i="11"/>
  <c r="T133" i="11"/>
  <c r="R133" i="11"/>
  <c r="P133" i="11"/>
  <c r="O133" i="11"/>
  <c r="L133" i="11"/>
  <c r="K133" i="11"/>
  <c r="V132" i="11"/>
  <c r="U132" i="11"/>
  <c r="T132" i="11"/>
  <c r="R132" i="11"/>
  <c r="P132" i="11"/>
  <c r="O132" i="11"/>
  <c r="L132" i="11"/>
  <c r="K132" i="11"/>
  <c r="V131" i="11"/>
  <c r="U131" i="11"/>
  <c r="T131" i="11"/>
  <c r="R131" i="11"/>
  <c r="P131" i="11"/>
  <c r="O131" i="11"/>
  <c r="L131" i="11"/>
  <c r="K131" i="11"/>
  <c r="V130" i="11"/>
  <c r="U130" i="11"/>
  <c r="T130" i="11"/>
  <c r="R130" i="11"/>
  <c r="P130" i="11"/>
  <c r="O130" i="11"/>
  <c r="L130" i="11"/>
  <c r="K130" i="11"/>
  <c r="V129" i="11"/>
  <c r="U129" i="11"/>
  <c r="T129" i="11"/>
  <c r="R129" i="11"/>
  <c r="P129" i="11"/>
  <c r="O129" i="11"/>
  <c r="L129" i="11"/>
  <c r="K129" i="11"/>
  <c r="V128" i="11"/>
  <c r="U128" i="11"/>
  <c r="T128" i="11"/>
  <c r="R128" i="11"/>
  <c r="P128" i="11"/>
  <c r="O128" i="11"/>
  <c r="L128" i="11"/>
  <c r="K128" i="11"/>
  <c r="V127" i="11"/>
  <c r="U127" i="11"/>
  <c r="T127" i="11"/>
  <c r="R127" i="11"/>
  <c r="P127" i="11"/>
  <c r="O127" i="11"/>
  <c r="L127" i="11"/>
  <c r="K127" i="11"/>
  <c r="V126" i="11"/>
  <c r="U126" i="11"/>
  <c r="T126" i="11"/>
  <c r="R126" i="11"/>
  <c r="P126" i="11"/>
  <c r="O126" i="11"/>
  <c r="L126" i="11"/>
  <c r="K126" i="11"/>
  <c r="R125" i="11"/>
  <c r="P125" i="11"/>
  <c r="O125" i="11"/>
  <c r="K125" i="11"/>
  <c r="L125" i="11" s="1"/>
  <c r="T125" i="11" s="1"/>
  <c r="R124" i="11"/>
  <c r="P124" i="11"/>
  <c r="O124" i="11"/>
  <c r="K124" i="11"/>
  <c r="L124" i="11" s="1"/>
  <c r="T124" i="11" s="1"/>
  <c r="R123" i="11"/>
  <c r="P123" i="11"/>
  <c r="O123" i="11"/>
  <c r="K123" i="11"/>
  <c r="L123" i="11" s="1"/>
  <c r="T123" i="11" s="1"/>
  <c r="R122" i="11"/>
  <c r="P122" i="11"/>
  <c r="O122" i="11"/>
  <c r="K122" i="11"/>
  <c r="L122" i="11" s="1"/>
  <c r="T122" i="11" s="1"/>
  <c r="R121" i="11"/>
  <c r="P121" i="11"/>
  <c r="O121" i="11"/>
  <c r="K121" i="11"/>
  <c r="L121" i="11" s="1"/>
  <c r="T121" i="11" s="1"/>
  <c r="R120" i="11"/>
  <c r="P120" i="11"/>
  <c r="O120" i="11"/>
  <c r="K120" i="11"/>
  <c r="L120" i="11" s="1"/>
  <c r="T120" i="11" s="1"/>
  <c r="R119" i="11"/>
  <c r="P119" i="11"/>
  <c r="O119" i="11"/>
  <c r="K119" i="11"/>
  <c r="L119" i="11" s="1"/>
  <c r="T119" i="11" s="1"/>
  <c r="R118" i="11"/>
  <c r="P118" i="11"/>
  <c r="O118" i="11"/>
  <c r="K118" i="11"/>
  <c r="L118" i="11" s="1"/>
  <c r="T118" i="11" s="1"/>
  <c r="R117" i="11"/>
  <c r="P117" i="11"/>
  <c r="O117" i="11"/>
  <c r="K117" i="11"/>
  <c r="L117" i="11" s="1"/>
  <c r="T117" i="11" s="1"/>
  <c r="R116" i="11"/>
  <c r="P116" i="11"/>
  <c r="O116" i="11"/>
  <c r="K116" i="11"/>
  <c r="L116" i="11" s="1"/>
  <c r="T116" i="11" s="1"/>
  <c r="R115" i="11"/>
  <c r="P115" i="11"/>
  <c r="O115" i="11"/>
  <c r="K115" i="11"/>
  <c r="L115" i="11" s="1"/>
  <c r="T115" i="11" s="1"/>
  <c r="R114" i="11"/>
  <c r="P114" i="11"/>
  <c r="O114" i="11"/>
  <c r="K114" i="11"/>
  <c r="L114" i="11" s="1"/>
  <c r="T114" i="11" s="1"/>
  <c r="R113" i="11"/>
  <c r="P113" i="11"/>
  <c r="O113" i="11"/>
  <c r="K113" i="11"/>
  <c r="L113" i="11" s="1"/>
  <c r="T113" i="11" s="1"/>
  <c r="R112" i="11"/>
  <c r="P112" i="11"/>
  <c r="O112" i="11"/>
  <c r="K112" i="11"/>
  <c r="L112" i="11" s="1"/>
  <c r="T112" i="11" s="1"/>
  <c r="R111" i="11"/>
  <c r="P111" i="11"/>
  <c r="O111" i="11"/>
  <c r="K111" i="11"/>
  <c r="L111" i="11" s="1"/>
  <c r="T111" i="11" s="1"/>
  <c r="R110" i="11"/>
  <c r="P110" i="11"/>
  <c r="O110" i="11"/>
  <c r="K110" i="11"/>
  <c r="L110" i="11" s="1"/>
  <c r="T110" i="11" s="1"/>
  <c r="R109" i="11"/>
  <c r="P109" i="11"/>
  <c r="O109" i="11"/>
  <c r="K109" i="11"/>
  <c r="L109" i="11" s="1"/>
  <c r="T109" i="11" s="1"/>
  <c r="R108" i="11"/>
  <c r="P108" i="11"/>
  <c r="O108" i="11"/>
  <c r="K108" i="11"/>
  <c r="L108" i="11" s="1"/>
  <c r="T108" i="11" s="1"/>
  <c r="R107" i="11"/>
  <c r="P107" i="11"/>
  <c r="O107" i="11"/>
  <c r="K107" i="11"/>
  <c r="L107" i="11" s="1"/>
  <c r="T107" i="11" s="1"/>
  <c r="R106" i="11"/>
  <c r="P106" i="11"/>
  <c r="O106" i="11"/>
  <c r="K106" i="11"/>
  <c r="L106" i="11" s="1"/>
  <c r="T106" i="11" s="1"/>
  <c r="R105" i="11"/>
  <c r="P105" i="11"/>
  <c r="O105" i="11"/>
  <c r="K105" i="11"/>
  <c r="L105" i="11" s="1"/>
  <c r="T105" i="11" s="1"/>
  <c r="R104" i="11"/>
  <c r="P104" i="11"/>
  <c r="O104" i="11"/>
  <c r="K104" i="11"/>
  <c r="L104" i="11" s="1"/>
  <c r="T104" i="11" s="1"/>
  <c r="R103" i="11"/>
  <c r="P103" i="11"/>
  <c r="O103" i="11"/>
  <c r="K103" i="11"/>
  <c r="L103" i="11" s="1"/>
  <c r="T103" i="11" s="1"/>
  <c r="R102" i="11"/>
  <c r="P102" i="11"/>
  <c r="O102" i="11"/>
  <c r="K102" i="11"/>
  <c r="L102" i="11" s="1"/>
  <c r="T102" i="11" s="1"/>
  <c r="R101" i="11"/>
  <c r="P101" i="11"/>
  <c r="O101" i="11"/>
  <c r="K101" i="11"/>
  <c r="L101" i="11" s="1"/>
  <c r="T101" i="11" s="1"/>
  <c r="R100" i="11"/>
  <c r="P100" i="11"/>
  <c r="O100" i="11"/>
  <c r="K100" i="11"/>
  <c r="L100" i="11" s="1"/>
  <c r="T100" i="11" s="1"/>
  <c r="R99" i="11"/>
  <c r="P99" i="11"/>
  <c r="O99" i="11"/>
  <c r="K99" i="11"/>
  <c r="L99" i="11" s="1"/>
  <c r="T99" i="11" s="1"/>
  <c r="R98" i="11"/>
  <c r="P98" i="11"/>
  <c r="O98" i="11"/>
  <c r="K98" i="11"/>
  <c r="L98" i="11" s="1"/>
  <c r="R97" i="11"/>
  <c r="P97" i="11"/>
  <c r="O97" i="11"/>
  <c r="K97" i="11"/>
  <c r="L97" i="11" s="1"/>
  <c r="T97" i="11" s="1"/>
  <c r="R96" i="11"/>
  <c r="P96" i="11"/>
  <c r="O96" i="11"/>
  <c r="K96" i="11"/>
  <c r="L96" i="11" s="1"/>
  <c r="T96" i="11" s="1"/>
  <c r="R95" i="11"/>
  <c r="P95" i="11"/>
  <c r="O95" i="11"/>
  <c r="K95" i="11"/>
  <c r="L95" i="11" s="1"/>
  <c r="T95" i="11" s="1"/>
  <c r="R94" i="11"/>
  <c r="P94" i="11"/>
  <c r="O94" i="11"/>
  <c r="K94" i="11"/>
  <c r="L94" i="11" s="1"/>
  <c r="T94" i="11" s="1"/>
  <c r="R93" i="11"/>
  <c r="P93" i="11"/>
  <c r="O93" i="11"/>
  <c r="K93" i="11"/>
  <c r="L93" i="11" s="1"/>
  <c r="T93" i="11" s="1"/>
  <c r="R92" i="11"/>
  <c r="P92" i="11"/>
  <c r="O92" i="11"/>
  <c r="K92" i="11"/>
  <c r="L92" i="11" s="1"/>
  <c r="T92" i="11" s="1"/>
  <c r="R91" i="11"/>
  <c r="P91" i="11"/>
  <c r="O91" i="11"/>
  <c r="K91" i="11"/>
  <c r="L91" i="11" s="1"/>
  <c r="T91" i="11" s="1"/>
  <c r="R90" i="11"/>
  <c r="P90" i="11"/>
  <c r="O90" i="11"/>
  <c r="K90" i="11"/>
  <c r="L90" i="11" s="1"/>
  <c r="T90" i="11" s="1"/>
  <c r="R89" i="11"/>
  <c r="P89" i="11"/>
  <c r="O89" i="11"/>
  <c r="K89" i="11"/>
  <c r="L89" i="11" s="1"/>
  <c r="T89" i="11" s="1"/>
  <c r="R88" i="11"/>
  <c r="P88" i="11"/>
  <c r="O88" i="11"/>
  <c r="K88" i="11"/>
  <c r="L88" i="11" s="1"/>
  <c r="T88" i="11" s="1"/>
  <c r="R87" i="11"/>
  <c r="P87" i="11"/>
  <c r="O87" i="11"/>
  <c r="K87" i="11"/>
  <c r="L87" i="11" s="1"/>
  <c r="T87" i="11" s="1"/>
  <c r="R86" i="11"/>
  <c r="P86" i="11"/>
  <c r="O86" i="11"/>
  <c r="K86" i="11"/>
  <c r="L86" i="11" s="1"/>
  <c r="T86" i="11" s="1"/>
  <c r="R85" i="11"/>
  <c r="P85" i="11"/>
  <c r="O85" i="11"/>
  <c r="K85" i="11"/>
  <c r="L85" i="11" s="1"/>
  <c r="T85" i="11" s="1"/>
  <c r="R84" i="11"/>
  <c r="P84" i="11"/>
  <c r="O84" i="11"/>
  <c r="K84" i="11"/>
  <c r="L84" i="11" s="1"/>
  <c r="T84" i="11" s="1"/>
  <c r="R83" i="11"/>
  <c r="P83" i="11"/>
  <c r="O83" i="11"/>
  <c r="K83" i="11"/>
  <c r="L83" i="11" s="1"/>
  <c r="T83" i="11" s="1"/>
  <c r="R82" i="11"/>
  <c r="P82" i="11"/>
  <c r="O82" i="11"/>
  <c r="K82" i="11"/>
  <c r="L82" i="11" s="1"/>
  <c r="T82" i="11" s="1"/>
  <c r="R81" i="11"/>
  <c r="P81" i="11"/>
  <c r="O81" i="11"/>
  <c r="K81" i="11"/>
  <c r="L81" i="11" s="1"/>
  <c r="T81" i="11" s="1"/>
  <c r="R80" i="11"/>
  <c r="P80" i="11"/>
  <c r="O80" i="11"/>
  <c r="K80" i="11"/>
  <c r="L80" i="11" s="1"/>
  <c r="T80" i="11" s="1"/>
  <c r="R79" i="11"/>
  <c r="P79" i="11"/>
  <c r="O79" i="11"/>
  <c r="K79" i="11"/>
  <c r="L79" i="11" s="1"/>
  <c r="T79" i="11" s="1"/>
  <c r="R78" i="11"/>
  <c r="P78" i="11"/>
  <c r="O78" i="11"/>
  <c r="K78" i="11"/>
  <c r="L78" i="11" s="1"/>
  <c r="T78" i="11" s="1"/>
  <c r="R77" i="11"/>
  <c r="P77" i="11"/>
  <c r="O77" i="11"/>
  <c r="K77" i="11"/>
  <c r="L77" i="11" s="1"/>
  <c r="T77" i="11" s="1"/>
  <c r="R76" i="11"/>
  <c r="P76" i="11"/>
  <c r="O76" i="11"/>
  <c r="K76" i="11"/>
  <c r="L76" i="11" s="1"/>
  <c r="T76" i="11" s="1"/>
  <c r="R75" i="11"/>
  <c r="P75" i="11"/>
  <c r="O75" i="11"/>
  <c r="K75" i="11"/>
  <c r="L75" i="11" s="1"/>
  <c r="T75" i="11" s="1"/>
  <c r="R74" i="11"/>
  <c r="P74" i="11"/>
  <c r="O74" i="11"/>
  <c r="K74" i="11"/>
  <c r="L74" i="11" s="1"/>
  <c r="T74" i="11" s="1"/>
  <c r="R73" i="11"/>
  <c r="P73" i="11"/>
  <c r="O73" i="11"/>
  <c r="K73" i="11"/>
  <c r="L73" i="11" s="1"/>
  <c r="T73" i="11" s="1"/>
  <c r="R72" i="11"/>
  <c r="P72" i="11"/>
  <c r="O72" i="11"/>
  <c r="K72" i="11"/>
  <c r="L72" i="11" s="1"/>
  <c r="T72" i="11" s="1"/>
  <c r="R71" i="11"/>
  <c r="P71" i="11"/>
  <c r="O71" i="11"/>
  <c r="K71" i="11"/>
  <c r="L71" i="11" s="1"/>
  <c r="T71" i="11" s="1"/>
  <c r="R70" i="11"/>
  <c r="P70" i="11"/>
  <c r="O70" i="11"/>
  <c r="K70" i="11"/>
  <c r="L70" i="11" s="1"/>
  <c r="T70" i="11" s="1"/>
  <c r="R69" i="11"/>
  <c r="P69" i="11"/>
  <c r="O69" i="11"/>
  <c r="K69" i="11"/>
  <c r="L69" i="11" s="1"/>
  <c r="T69" i="11" s="1"/>
  <c r="R68" i="11"/>
  <c r="P68" i="11"/>
  <c r="O68" i="11"/>
  <c r="K68" i="11"/>
  <c r="L68" i="11" s="1"/>
  <c r="T68" i="11" s="1"/>
  <c r="R67" i="11"/>
  <c r="P67" i="11"/>
  <c r="O67" i="11"/>
  <c r="K67" i="11"/>
  <c r="L67" i="11" s="1"/>
  <c r="T67" i="11" s="1"/>
  <c r="R66" i="11"/>
  <c r="P66" i="11"/>
  <c r="O66" i="11"/>
  <c r="K66" i="11"/>
  <c r="L66" i="11" s="1"/>
  <c r="T66" i="11" s="1"/>
  <c r="R65" i="11"/>
  <c r="P65" i="11"/>
  <c r="O65" i="11"/>
  <c r="K65" i="11"/>
  <c r="L65" i="11" s="1"/>
  <c r="T65" i="11" s="1"/>
  <c r="R64" i="11"/>
  <c r="P64" i="11"/>
  <c r="O64" i="11"/>
  <c r="K64" i="11"/>
  <c r="L64" i="11" s="1"/>
  <c r="T64" i="11" s="1"/>
  <c r="R63" i="11"/>
  <c r="P63" i="11"/>
  <c r="O63" i="11"/>
  <c r="K63" i="11"/>
  <c r="L63" i="11" s="1"/>
  <c r="T63" i="11" s="1"/>
  <c r="R62" i="11"/>
  <c r="P62" i="11"/>
  <c r="O62" i="11"/>
  <c r="K62" i="11"/>
  <c r="L62" i="11" s="1"/>
  <c r="T62" i="11" s="1"/>
  <c r="R61" i="11"/>
  <c r="P61" i="11"/>
  <c r="O61" i="11"/>
  <c r="K61" i="11"/>
  <c r="L61" i="11" s="1"/>
  <c r="T61" i="11" s="1"/>
  <c r="R60" i="11"/>
  <c r="P60" i="11"/>
  <c r="O60" i="11"/>
  <c r="K60" i="11"/>
  <c r="L60" i="11" s="1"/>
  <c r="T60" i="11" s="1"/>
  <c r="R59" i="11"/>
  <c r="P59" i="11"/>
  <c r="O59" i="11"/>
  <c r="K59" i="11"/>
  <c r="L59" i="11" s="1"/>
  <c r="T59" i="11" s="1"/>
  <c r="R58" i="11"/>
  <c r="P58" i="11"/>
  <c r="O58" i="11"/>
  <c r="K58" i="11"/>
  <c r="L58" i="11" s="1"/>
  <c r="T58" i="11" s="1"/>
  <c r="R57" i="11"/>
  <c r="P57" i="11"/>
  <c r="O57" i="11"/>
  <c r="K57" i="11"/>
  <c r="L57" i="11" s="1"/>
  <c r="T57" i="11" s="1"/>
  <c r="R56" i="11"/>
  <c r="P56" i="11"/>
  <c r="O56" i="11"/>
  <c r="K56" i="11"/>
  <c r="L56" i="11" s="1"/>
  <c r="T56" i="11" s="1"/>
  <c r="R55" i="11"/>
  <c r="P55" i="11"/>
  <c r="O55" i="11"/>
  <c r="K55" i="11"/>
  <c r="L55" i="11" s="1"/>
  <c r="T55" i="11" s="1"/>
  <c r="R54" i="11"/>
  <c r="P54" i="11"/>
  <c r="O54" i="11"/>
  <c r="K54" i="11"/>
  <c r="L54" i="11" s="1"/>
  <c r="T54" i="11" s="1"/>
  <c r="R53" i="11"/>
  <c r="P53" i="11"/>
  <c r="O53" i="11"/>
  <c r="K53" i="11"/>
  <c r="L53" i="11" s="1"/>
  <c r="T53" i="11" s="1"/>
  <c r="R52" i="11"/>
  <c r="P52" i="11"/>
  <c r="O52" i="11"/>
  <c r="K52" i="11"/>
  <c r="L52" i="11" s="1"/>
  <c r="T52" i="11" s="1"/>
  <c r="R51" i="11"/>
  <c r="P51" i="11"/>
  <c r="O51" i="11"/>
  <c r="K51" i="11"/>
  <c r="L51" i="11" s="1"/>
  <c r="T51" i="11" s="1"/>
  <c r="R50" i="11"/>
  <c r="P50" i="11"/>
  <c r="O50" i="11"/>
  <c r="K50" i="11"/>
  <c r="L50" i="11" s="1"/>
  <c r="T50" i="11" s="1"/>
  <c r="R49" i="11"/>
  <c r="P49" i="11"/>
  <c r="O49" i="11"/>
  <c r="K49" i="11"/>
  <c r="L49" i="11" s="1"/>
  <c r="T49" i="11" s="1"/>
  <c r="R48" i="11"/>
  <c r="P48" i="11"/>
  <c r="O48" i="11"/>
  <c r="K48" i="11"/>
  <c r="L48" i="11" s="1"/>
  <c r="T48" i="11" s="1"/>
  <c r="R47" i="11"/>
  <c r="P47" i="11"/>
  <c r="O47" i="11"/>
  <c r="K47" i="11"/>
  <c r="L47" i="11" s="1"/>
  <c r="T47" i="11" s="1"/>
  <c r="R46" i="11"/>
  <c r="P46" i="11"/>
  <c r="O46" i="11"/>
  <c r="K46" i="11"/>
  <c r="L46" i="11" s="1"/>
  <c r="T46" i="11" s="1"/>
  <c r="R45" i="11"/>
  <c r="P45" i="11"/>
  <c r="O45" i="11"/>
  <c r="K45" i="11"/>
  <c r="L45" i="11" s="1"/>
  <c r="T45" i="11" s="1"/>
  <c r="R44" i="11"/>
  <c r="P44" i="11"/>
  <c r="O44" i="11"/>
  <c r="K44" i="11"/>
  <c r="L44" i="11" s="1"/>
  <c r="T44" i="11" s="1"/>
  <c r="R43" i="11"/>
  <c r="P43" i="11"/>
  <c r="O43" i="11"/>
  <c r="K43" i="11"/>
  <c r="L43" i="11" s="1"/>
  <c r="T43" i="11" s="1"/>
  <c r="R42" i="11"/>
  <c r="P42" i="11"/>
  <c r="O42" i="11"/>
  <c r="K42" i="11"/>
  <c r="L42" i="11" s="1"/>
  <c r="T42" i="11" s="1"/>
  <c r="R41" i="11"/>
  <c r="P41" i="11"/>
  <c r="O41" i="11"/>
  <c r="K41" i="11"/>
  <c r="L41" i="11" s="1"/>
  <c r="T41" i="11" s="1"/>
  <c r="R40" i="11"/>
  <c r="P40" i="11"/>
  <c r="O40" i="11"/>
  <c r="K40" i="11"/>
  <c r="L40" i="11" s="1"/>
  <c r="T40" i="11" s="1"/>
  <c r="R39" i="11"/>
  <c r="P39" i="11"/>
  <c r="O39" i="11"/>
  <c r="K39" i="11"/>
  <c r="L39" i="11" s="1"/>
  <c r="T39" i="11" s="1"/>
  <c r="R38" i="11"/>
  <c r="P38" i="11"/>
  <c r="O38" i="11"/>
  <c r="K38" i="11"/>
  <c r="L38" i="11" s="1"/>
  <c r="T38" i="11" s="1"/>
  <c r="R37" i="11"/>
  <c r="P37" i="11"/>
  <c r="O37" i="11"/>
  <c r="K37" i="11"/>
  <c r="L37" i="11" s="1"/>
  <c r="T37" i="11" s="1"/>
  <c r="R36" i="11"/>
  <c r="P36" i="11"/>
  <c r="O36" i="11"/>
  <c r="K36" i="11"/>
  <c r="L36" i="11" s="1"/>
  <c r="R35" i="11"/>
  <c r="P35" i="11"/>
  <c r="O35" i="11"/>
  <c r="K35" i="11"/>
  <c r="L35" i="11" s="1"/>
  <c r="T35" i="11" s="1"/>
  <c r="R34" i="11"/>
  <c r="P34" i="11"/>
  <c r="O34" i="11"/>
  <c r="K34" i="11"/>
  <c r="L34" i="11" s="1"/>
  <c r="T34" i="11" s="1"/>
  <c r="R33" i="11"/>
  <c r="P33" i="11"/>
  <c r="O33" i="11"/>
  <c r="K33" i="11"/>
  <c r="L33" i="11" s="1"/>
  <c r="T33" i="11" s="1"/>
  <c r="R32" i="11"/>
  <c r="P32" i="11"/>
  <c r="O32" i="11"/>
  <c r="K32" i="11"/>
  <c r="L32" i="11" s="1"/>
  <c r="T32" i="11" s="1"/>
  <c r="R31" i="11"/>
  <c r="P31" i="11"/>
  <c r="O31" i="11"/>
  <c r="K31" i="11"/>
  <c r="L31" i="11" s="1"/>
  <c r="T31" i="11" s="1"/>
  <c r="R30" i="11"/>
  <c r="P30" i="11"/>
  <c r="O30" i="11"/>
  <c r="K30" i="11"/>
  <c r="L30" i="11" s="1"/>
  <c r="T30" i="11" s="1"/>
  <c r="R29" i="11"/>
  <c r="P29" i="11"/>
  <c r="O29" i="11"/>
  <c r="K29" i="11"/>
  <c r="L29" i="11" s="1"/>
  <c r="T29" i="11" s="1"/>
  <c r="R28" i="11"/>
  <c r="P28" i="11"/>
  <c r="O28" i="11"/>
  <c r="K28" i="11"/>
  <c r="L28" i="11" s="1"/>
  <c r="T28" i="11" s="1"/>
  <c r="R27" i="11"/>
  <c r="P27" i="11"/>
  <c r="O27" i="11"/>
  <c r="K27" i="11"/>
  <c r="L27" i="11" s="1"/>
  <c r="T27" i="11" s="1"/>
  <c r="R26" i="11"/>
  <c r="P26" i="11"/>
  <c r="O26" i="11"/>
  <c r="K26" i="11"/>
  <c r="L26" i="11" s="1"/>
  <c r="T26" i="11" s="1"/>
  <c r="R25" i="11"/>
  <c r="P25" i="11"/>
  <c r="O25" i="11"/>
  <c r="K25" i="11"/>
  <c r="L25" i="11" s="1"/>
  <c r="T25" i="11" s="1"/>
  <c r="R24" i="11"/>
  <c r="P24" i="11"/>
  <c r="O24" i="11"/>
  <c r="K24" i="11"/>
  <c r="L24" i="11" s="1"/>
  <c r="T24" i="11" s="1"/>
  <c r="R23" i="11"/>
  <c r="P23" i="11"/>
  <c r="O23" i="11"/>
  <c r="K23" i="11"/>
  <c r="L23" i="11" s="1"/>
  <c r="T23" i="11" s="1"/>
  <c r="R22" i="11"/>
  <c r="P22" i="11"/>
  <c r="O22" i="11"/>
  <c r="K22" i="11"/>
  <c r="L22" i="11" s="1"/>
  <c r="T22" i="11" s="1"/>
  <c r="R21" i="11"/>
  <c r="P21" i="11"/>
  <c r="O21" i="11"/>
  <c r="K21" i="11"/>
  <c r="L21" i="11" s="1"/>
  <c r="T21" i="11" s="1"/>
  <c r="R20" i="11"/>
  <c r="P20" i="11"/>
  <c r="O20" i="11"/>
  <c r="K20" i="11"/>
  <c r="L20" i="11" s="1"/>
  <c r="T20" i="11" s="1"/>
  <c r="R19" i="11"/>
  <c r="P19" i="11"/>
  <c r="O19" i="11"/>
  <c r="K19" i="11"/>
  <c r="L19" i="11" s="1"/>
  <c r="T19" i="11" s="1"/>
  <c r="R18" i="11"/>
  <c r="P18" i="11"/>
  <c r="O18" i="11"/>
  <c r="K18" i="11"/>
  <c r="L18" i="11" s="1"/>
  <c r="T18" i="11" s="1"/>
  <c r="R17" i="11"/>
  <c r="P17" i="11"/>
  <c r="O17" i="11"/>
  <c r="K17" i="11"/>
  <c r="L17" i="11" s="1"/>
  <c r="T17" i="11" s="1"/>
  <c r="R16" i="11"/>
  <c r="P16" i="11"/>
  <c r="O16" i="11"/>
  <c r="K16" i="11"/>
  <c r="L16" i="11" s="1"/>
  <c r="T16" i="11" s="1"/>
  <c r="R15" i="11"/>
  <c r="P15" i="11"/>
  <c r="O15" i="11"/>
  <c r="K15" i="11"/>
  <c r="L15" i="11" s="1"/>
  <c r="T15" i="11" s="1"/>
  <c r="R14" i="11"/>
  <c r="P14" i="11"/>
  <c r="O14" i="11"/>
  <c r="K14" i="11"/>
  <c r="L14" i="11" s="1"/>
  <c r="T14" i="11" s="1"/>
  <c r="R13" i="11"/>
  <c r="P13" i="11"/>
  <c r="O13" i="11"/>
  <c r="K13" i="11"/>
  <c r="L13" i="11" s="1"/>
  <c r="T13" i="11" s="1"/>
  <c r="R12" i="11"/>
  <c r="P12" i="11"/>
  <c r="O12" i="11"/>
  <c r="K12" i="11"/>
  <c r="L12" i="11" s="1"/>
  <c r="T12" i="11" s="1"/>
  <c r="R11" i="11"/>
  <c r="P11" i="11"/>
  <c r="O11" i="11"/>
  <c r="K11" i="11"/>
  <c r="L11" i="11" s="1"/>
  <c r="T11" i="11" s="1"/>
  <c r="R10" i="11"/>
  <c r="P10" i="11"/>
  <c r="O10" i="11"/>
  <c r="K10" i="11"/>
  <c r="L10" i="11" s="1"/>
  <c r="T10" i="11" s="1"/>
  <c r="R9" i="11"/>
  <c r="P9" i="11"/>
  <c r="O9" i="11"/>
  <c r="K9" i="11"/>
  <c r="L9" i="11" s="1"/>
  <c r="T9" i="11" s="1"/>
  <c r="R8" i="11"/>
  <c r="P8" i="11"/>
  <c r="O8" i="11"/>
  <c r="K8" i="11"/>
  <c r="L8" i="11" s="1"/>
  <c r="T8" i="11" s="1"/>
  <c r="R7" i="11"/>
  <c r="P7" i="11"/>
  <c r="O7" i="11"/>
  <c r="K7" i="11"/>
  <c r="L7" i="11" s="1"/>
  <c r="T7" i="11" s="1"/>
  <c r="R6" i="11"/>
  <c r="P6" i="11"/>
  <c r="O6" i="11"/>
  <c r="K6" i="11"/>
  <c r="L6" i="11" s="1"/>
  <c r="T6" i="11" s="1"/>
  <c r="T98" i="11" l="1"/>
  <c r="T36" i="11"/>
  <c r="U125" i="11"/>
  <c r="V125" i="11"/>
  <c r="U124" i="11"/>
  <c r="V124" i="11"/>
  <c r="V123" i="11"/>
  <c r="U123" i="11"/>
  <c r="U122" i="11"/>
  <c r="V122" i="11"/>
  <c r="U121" i="11"/>
  <c r="V121" i="11"/>
  <c r="V120" i="11"/>
  <c r="U120" i="11"/>
  <c r="V119" i="11"/>
  <c r="V118" i="11"/>
  <c r="V117" i="11"/>
  <c r="U117" i="11"/>
  <c r="U116" i="11"/>
  <c r="V116" i="11"/>
  <c r="U115" i="11"/>
  <c r="V115" i="11"/>
  <c r="V114" i="11"/>
  <c r="U114" i="11"/>
  <c r="U113" i="11"/>
  <c r="V113" i="11"/>
  <c r="U112" i="11"/>
  <c r="V112" i="11"/>
  <c r="U111" i="11"/>
  <c r="U110" i="11"/>
  <c r="U109" i="11"/>
  <c r="V109" i="11"/>
  <c r="V108" i="11"/>
  <c r="U108" i="11"/>
  <c r="V107" i="11"/>
  <c r="U107" i="11"/>
  <c r="U106" i="11"/>
  <c r="V106" i="11"/>
  <c r="U105" i="11"/>
  <c r="V105" i="11"/>
  <c r="U104" i="11"/>
  <c r="V104" i="11"/>
  <c r="U103" i="11"/>
  <c r="V103" i="11"/>
  <c r="U102" i="11"/>
  <c r="V102" i="11"/>
  <c r="U101" i="11"/>
  <c r="V101" i="11"/>
  <c r="U100" i="11"/>
  <c r="V100" i="11"/>
  <c r="U99" i="11"/>
  <c r="V99" i="11"/>
  <c r="U98" i="11"/>
  <c r="V98" i="11"/>
  <c r="U97" i="11"/>
  <c r="V97" i="11"/>
  <c r="U96" i="11"/>
  <c r="V96" i="11"/>
  <c r="U95" i="11"/>
  <c r="V95" i="11"/>
  <c r="U94" i="11"/>
  <c r="V94" i="11"/>
  <c r="U93" i="11"/>
  <c r="V93" i="11"/>
  <c r="U92" i="11"/>
  <c r="V92" i="11"/>
  <c r="U91" i="11"/>
  <c r="V91" i="11"/>
  <c r="U90" i="11"/>
  <c r="V90" i="11"/>
  <c r="U89" i="11"/>
  <c r="V89" i="11"/>
  <c r="U88" i="11"/>
  <c r="V87" i="11"/>
  <c r="V86" i="11"/>
  <c r="U86" i="11"/>
  <c r="U85" i="11"/>
  <c r="V85" i="11"/>
  <c r="V84" i="11"/>
  <c r="U84" i="11"/>
  <c r="V83" i="11"/>
  <c r="U83" i="11"/>
  <c r="V82" i="11"/>
  <c r="U82" i="11"/>
  <c r="U81" i="11"/>
  <c r="V81" i="11"/>
  <c r="U80" i="11"/>
  <c r="V80" i="11"/>
  <c r="U79" i="11"/>
  <c r="V79" i="11"/>
  <c r="U78" i="11"/>
  <c r="V78" i="11"/>
  <c r="U77" i="11"/>
  <c r="V77" i="11"/>
  <c r="V76" i="11"/>
  <c r="U76" i="11"/>
  <c r="V75" i="11"/>
  <c r="U75" i="11"/>
  <c r="U74" i="11"/>
  <c r="V74" i="11"/>
  <c r="V73" i="11"/>
  <c r="U73" i="11"/>
  <c r="V71" i="11"/>
  <c r="U71" i="11"/>
  <c r="U70" i="11"/>
  <c r="V70" i="11"/>
  <c r="U69" i="11"/>
  <c r="V69" i="11"/>
  <c r="V68" i="11"/>
  <c r="U68" i="11"/>
  <c r="U67" i="11"/>
  <c r="V67" i="11"/>
  <c r="U66" i="11"/>
  <c r="V66" i="11"/>
  <c r="U65" i="11"/>
  <c r="V65" i="11"/>
  <c r="V63" i="11"/>
  <c r="U63" i="11"/>
  <c r="V62" i="11"/>
  <c r="U62" i="11"/>
  <c r="V61" i="11"/>
  <c r="U61" i="11"/>
  <c r="U60" i="11"/>
  <c r="V60" i="11"/>
  <c r="V59" i="11"/>
  <c r="U59" i="11"/>
  <c r="U58" i="11"/>
  <c r="V58" i="11"/>
  <c r="V57" i="11"/>
  <c r="U57" i="11"/>
  <c r="U56" i="11"/>
  <c r="V56" i="11"/>
  <c r="V55" i="11"/>
  <c r="U55" i="11"/>
  <c r="V54" i="11"/>
  <c r="U54" i="11"/>
  <c r="U53" i="11"/>
  <c r="V53" i="11"/>
  <c r="U52" i="11"/>
  <c r="V52" i="11"/>
  <c r="V51" i="11"/>
  <c r="U51" i="11"/>
  <c r="V50" i="11"/>
  <c r="U50" i="11"/>
  <c r="V48" i="11"/>
  <c r="U48" i="11"/>
  <c r="V47" i="11"/>
  <c r="U47" i="11"/>
  <c r="U46" i="11"/>
  <c r="V46" i="11"/>
  <c r="V45" i="11"/>
  <c r="U45" i="11"/>
  <c r="V44" i="11"/>
  <c r="U44" i="11"/>
  <c r="U43" i="11"/>
  <c r="V43" i="11"/>
  <c r="U42" i="11"/>
  <c r="V42" i="11"/>
  <c r="U41" i="11"/>
  <c r="V41" i="11"/>
  <c r="U40" i="11"/>
  <c r="V40" i="11"/>
  <c r="U39" i="11"/>
  <c r="V39" i="11"/>
  <c r="V38" i="11"/>
  <c r="U38" i="11"/>
  <c r="V37" i="11"/>
  <c r="U37" i="11"/>
  <c r="U36" i="11"/>
  <c r="V36" i="11"/>
  <c r="U35" i="11"/>
  <c r="V35" i="11"/>
  <c r="V34" i="11"/>
  <c r="V33" i="11"/>
  <c r="U33" i="11"/>
  <c r="V32" i="11"/>
  <c r="U32" i="11"/>
  <c r="V31" i="11"/>
  <c r="U31" i="11"/>
  <c r="U30" i="11"/>
  <c r="V30" i="11"/>
  <c r="U29" i="11"/>
  <c r="V29" i="11"/>
  <c r="U28" i="11"/>
  <c r="V28" i="11"/>
  <c r="U27" i="11"/>
  <c r="V27" i="11"/>
  <c r="V26" i="11"/>
  <c r="U25" i="11"/>
  <c r="V25" i="11"/>
  <c r="U24" i="11"/>
  <c r="V24" i="11"/>
  <c r="U23" i="11"/>
  <c r="V23" i="11"/>
  <c r="U22" i="11"/>
  <c r="V22" i="11"/>
  <c r="U21" i="11"/>
  <c r="V21" i="11"/>
  <c r="U20" i="11"/>
  <c r="V20" i="11"/>
  <c r="U19" i="11"/>
  <c r="V19" i="11"/>
  <c r="U18" i="11"/>
  <c r="V18" i="11"/>
  <c r="U17" i="11"/>
  <c r="V17" i="11"/>
  <c r="U16" i="11"/>
  <c r="V16" i="11"/>
  <c r="U15" i="11"/>
  <c r="V15" i="11"/>
  <c r="U14" i="11"/>
  <c r="V14" i="11"/>
  <c r="U13" i="11"/>
  <c r="V13" i="11"/>
  <c r="U12" i="11"/>
  <c r="V12" i="11"/>
  <c r="U11" i="11"/>
  <c r="V11" i="11"/>
  <c r="U10" i="11"/>
  <c r="V10" i="11"/>
  <c r="U9" i="11"/>
  <c r="V9" i="11"/>
  <c r="U8" i="11"/>
  <c r="V8" i="11"/>
  <c r="U7" i="11"/>
  <c r="V7" i="11"/>
  <c r="U6" i="11"/>
  <c r="V6" i="11"/>
  <c r="B9" i="12"/>
  <c r="B5" i="12"/>
  <c r="U119" i="11" l="1"/>
  <c r="U118" i="11"/>
  <c r="V111" i="11"/>
  <c r="V110" i="11"/>
  <c r="B10" i="12" s="1"/>
  <c r="V88" i="11"/>
  <c r="B8" i="12" s="1"/>
  <c r="U87" i="11"/>
  <c r="V72" i="11"/>
  <c r="U72" i="11"/>
  <c r="V64" i="11"/>
  <c r="B7" i="12" s="1"/>
  <c r="U64" i="11"/>
  <c r="U49" i="11"/>
  <c r="V49" i="11"/>
  <c r="B6" i="12" s="1"/>
  <c r="U34" i="11"/>
  <c r="U26" i="11"/>
  <c r="C5" i="12" s="1"/>
  <c r="D5" i="12" s="1"/>
  <c r="F5" i="12" s="1"/>
  <c r="G5" i="12" s="1"/>
  <c r="C9" i="12"/>
  <c r="D9" i="12" s="1"/>
  <c r="F9" i="12" s="1"/>
  <c r="G9" i="12" s="1"/>
  <c r="E9" i="12"/>
  <c r="E5" i="12"/>
  <c r="C10" i="12" l="1"/>
  <c r="D10" i="12" s="1"/>
  <c r="F10" i="12" s="1"/>
  <c r="G10" i="12" s="1"/>
  <c r="E10" i="12"/>
  <c r="C8" i="12"/>
  <c r="D8" i="12" s="1"/>
  <c r="F8" i="12" s="1"/>
  <c r="G8" i="12" s="1"/>
  <c r="E8" i="12"/>
  <c r="E7" i="12"/>
  <c r="C7" i="12"/>
  <c r="D7" i="12" s="1"/>
  <c r="F7" i="12" s="1"/>
  <c r="G7" i="12" s="1"/>
  <c r="E6" i="12"/>
  <c r="C6" i="12"/>
  <c r="D6" i="12" s="1"/>
  <c r="F6" i="12" s="1"/>
  <c r="G6" i="12" s="1"/>
</calcChain>
</file>

<file path=xl/sharedStrings.xml><?xml version="1.0" encoding="utf-8"?>
<sst xmlns="http://schemas.openxmlformats.org/spreadsheetml/2006/main" count="1995" uniqueCount="946">
  <si>
    <t>MAR31.16(1) vs (2) — Own vs Regulatory Bucketing</t>
  </si>
  <si>
    <t>The two permitted approaches, their constraints, the per-object election, and the four routes for a thin tenor — in reading order: comparison → doctrine → election → anatomy → route 4 → documentation.</t>
  </si>
  <si>
    <t>Dimension</t>
  </si>
  <si>
    <t>OWN (31.16(1))</t>
  </si>
  <si>
    <t>REGULATORY (31.16(2))</t>
  </si>
  <si>
    <t>Who defines buckets</t>
  </si>
  <si>
    <t>Bank (subject to constraints)</t>
  </si>
  <si>
    <t>BCBS fixed grid (Table 1)</t>
  </si>
  <si>
    <t>Risk factors per bucket</t>
  </si>
  <si>
    <t>EXACTLY ONE (31.16(1)(a))</t>
  </si>
  <si>
    <t>MAY be SEVERAL — obs pool across all factors in the bucket (31.17)</t>
  </si>
  <si>
    <t>Bucket vs RTPL grid</t>
  </si>
  <si>
    <t>Bucket = one RTPL factor (fn 5) — the two are tied</t>
  </si>
  <si>
    <t>Bucket only COUNTS prices; RTPL keeps its own (finer) grid</t>
  </si>
  <si>
    <t>Pooling for thin tenors</t>
  </si>
  <si>
    <t>ACROSS TENOR SPACE only — the bucket may be drawn wide over UNCLAIMED tenors (route 4: 6Y prints feed the 7Y factor), but can never reach another FACTOR's prints (those sit in its own bucket; single count, 31.18). A thin factor with no nearby no-man's-land liquidity ⇒ NMRF</t>
  </si>
  <si>
    <t>ACROSS FACTORS too — a band may hold several factors and every print in it counts toward EACH (31.17): the thin 7Y borrows the 5Y pillar's own trades</t>
  </si>
  <si>
    <t>Effect on PLA</t>
  </si>
  <si>
    <t>Fine IF you keep RTPL fine (widening a bucket widens RTPL → PLA risk)</t>
  </si>
  <si>
    <t>None — RTPL stays fine, so PLA is unaffected</t>
  </si>
  <si>
    <t>Non-overlapping</t>
  </si>
  <si>
    <t>Required (31.16(1)(b))</t>
  </si>
  <si>
    <t>Non-overlapping by construction</t>
  </si>
  <si>
    <t>Justification burden</t>
  </si>
  <si>
    <t>Must define &amp; defend the scheme to supervisor</t>
  </si>
  <si>
    <t>Safe harbour — no scheme to defend</t>
  </si>
  <si>
    <t>Granularity / control</t>
  </si>
  <si>
    <t>Tune boundaries to your book &amp; RTPL</t>
  </si>
  <si>
    <t>Fixed, one-size-fits-all</t>
  </si>
  <si>
    <t>Best for</t>
  </si>
  <si>
    <t>Fine control when tenors are liquid enough — or when spare liquidity sits in no-man's-land (route 4)</t>
  </si>
  <si>
    <t>Thin/illiquid tenors (legit pooling); fast compliance</t>
  </si>
  <si>
    <t>WHAT 31.16(1)(a) ACTUALLY FORBIDS: the 'free lunch' of a wide SELF-DEFINED bucket (pool trades → pass RFET) sitting over a FINE RTPL (pass PLA). Under the OWN approach each bucket must equal ONE RTPL factor, so you cannot pool ACROSS FACTORS via your own buckets — pooling across UNCLAIMED tenor space (route 4) remains open. If you want CROSS-FACTOR pooling, use the REGULATORY grid — BCBS controls the pooling width. KEY: an RFET bucket only COUNTS prices; it does NOT set RTPL. PLA fails when the RTPL GRID is coarse, not when an RFET bucket is wide.</t>
  </si>
  <si>
    <t>31.17 POOLING: 'one risk factor per bucket' is an OWN-approach rule only. A REGULATORY bucket may contain several risk factors, and all real prices in it count toward EACH of them (31.17) — e.g. a 3.5–7.5y band lets a thin 7Y borrow the 5Y's trades to pass the RFET, WHILE RTPL keeps 5Y and 7Y separate. So regulatory pooling helps thin tenors WITHOUT any PLA cost — it is the legitimate route, not the higher-PLA-risk one. → Worked 31.17 example (the pooling subsidy vs the representativeness bill) on 50_special_cases.</t>
  </si>
  <si>
    <t>GEOMETRY IS SHARED, ONLY RANGES DIFFER: the curve/surface/cube structure (a band per axis → rectangle → box, see the diagram on 30_instrument_coverage) applies to BOTH approaches. It is inherent to the risk factor (31.16 chapeau) and, for OWN bucketing, FORCED by 31.16(1)(a): a surface own-bucket must be bounded on EVERY axis, else it would hold &gt;1 risk factor. Only the fixed RANGES (Table 1 bands) and the (a)–(f) row assignments are regulatory-only; own bucketing keeps the same geometry and just draws its own edges. Own does NOT borrow structure from regulatory — the geometry is a property of the risk factor.</t>
  </si>
  <si>
    <t>FOOTNOTE 5 &amp; THE INVARIANT TRADE-OFF: fn 5 ties own buckets to the RTPL segmentation for PLA and warns that finer granularity helps PLA but strains the RFET (fewer prices per bucket). That trade-off — granularity vs genuine data sufficiency — is INVARIANT; it does not vanish under the regulatory approach, it RELOCATES. Regulatory pooling relaxes the raw COUNT, but is capped by REPRESENTATIVENESS: a 3.6y trade may only count toward a fine 7Y factor if it is genuinely representative of it (31.17), and source accuracy matters (31.25). So the cost of pooling is a QUALITY/representativeness cost (and supervisor scrutiny of 'borrowed' modellability) — NOT a PLA cost. Regulatory is the norm for thin/illiquid books; own is chosen for control and the cleanest 'each factor on its own trades' defensibility.</t>
  </si>
  <si>
    <t>→ See '45_guardrail' for the nomenclature, the SA floor (31.3) and ROUTES 1–3 for a thin tenor (worked as a Credit desk / 7Y CDS). ROUTE 4 — own-bucket capture of no-man's-land liquidity — is worked at the bottom of THIS sheet.</t>
  </si>
  <si>
    <t>ELECTION GRANULARITY: the own-vs-regulatory choice is made PER CURVE / SURFACE / CUBE — own on the liquid EUR swap curve and regulatory on a thin single-name CDS curve can coexist (EU codification: Art. 5(1), Delegated Regulation (EU) 2022/2060 — buckets are determined 'for each curve, surface or cube' using EITHER approach; the MAR31.16 chapeau is likewise object-level). NEVER two schemes within one object: buckets must partition the axis and each observation counts in a single bucket (31.18). Record the per-curve election in the 31.15 policy set. Note: 2022/2060 attaches 'consistently over time' to the SHIFTED-PERIOD election (Art. 1(2)/5(3)), not to this choice — but re-electing each quarter to whichever approach passes is gaming; treat an approach switch as a model change needing justification.</t>
  </si>
  <si>
    <t>Worked election — ONE book, MIXED approaches (per-object election; see the granularity note above)</t>
  </si>
  <si>
    <t>Curve / surface / cube</t>
  </si>
  <si>
    <t>Liquidity &amp; model profile</t>
  </si>
  <si>
    <t>Election</t>
  </si>
  <si>
    <t>Why</t>
  </si>
  <si>
    <t>EUR swap curve (GIRR)</t>
  </si>
  <si>
    <t>all desk pillars liquid; RTPL fine (0.25y–30y)</t>
  </si>
  <si>
    <t>OWN</t>
  </si>
  <si>
    <t>each pillar = its own bucket = its own trades; cleanest 31.16(1)(a) evidence; no pooling needed</t>
  </si>
  <si>
    <t>ACME 5Y/7Y CDS curve</t>
  </si>
  <si>
    <t>5Y ~40 trades/yr; 7Y ~12</t>
  </si>
  <si>
    <t>REGULATORY (row C)</t>
  </si>
  <si>
    <t>the 3.5–7.5y band pools 5Y+7Y prints while RTPL keeps them separate → PLA safe (route 3, 45_guardrail)</t>
  </si>
  <si>
    <t>EUR swaption vol cube</t>
  </si>
  <si>
    <t>core expiry×tenor grid quoted daily; wings sparse</t>
  </si>
  <si>
    <t>REGULATORY (B×C×D)</t>
  </si>
  <si>
    <t>off-benchmark expiry×tenor points and near-ATM strikes borrow the daily benchmark prints that land in the same B×C×D box (31.17); deep strike wings sit in their own D-bands and typically stay NMRF — 3-D walkthrough on 50_special_cases</t>
  </si>
  <si>
    <t>EURUSD vol surface</t>
  </si>
  <si>
    <t>desk model = 3 params per expiry (ATM/RR/BF); pillar quotes liquid</t>
  </si>
  <si>
    <t>own buckets drawn = the parameter factors (one per bucket); RFET passed on the calibration quotes (31.19); δ-convention conversion per fn6 — 31.19 walkthrough on 50_special_cases</t>
  </si>
  <si>
    <t>WTI futures curve</t>
  </si>
  <si>
    <t>front 6 contracts liquid; 12–18M months thin</t>
  </si>
  <si>
    <t>REGULATORY (row A)</t>
  </si>
  <si>
    <t>thin back months pool inside the 0.75–1.5y band; monthly RTPL pillars stay intact</t>
  </si>
  <si>
    <t>HUF swap curve (GIRR)</t>
  </si>
  <si>
    <t>only 2Y/5Y/10Y trade regularly; other tenors sporadic</t>
  </si>
  <si>
    <t>same product type as the EUR swap curve, OPPOSITE election — thin tenors pool inside the A-bands while the RTPL pillars stay intact (per-object granularity in action) — tenor-by-tenor anatomy below (rows 39–48)</t>
  </si>
  <si>
    <t>DEF Corp CDS curve</t>
  </si>
  <si>
    <t>index constituent; 5Y prints ~daily, full curve quoted</t>
  </si>
  <si>
    <t>same product type as ACME, opposite election — every pillar passes on its OWN trades; no borrowed modellability to defend</t>
  </si>
  <si>
    <t>iTraxx Europe index curve (systematic factor)</t>
  </si>
  <si>
    <t>index trades daily across 3/5/7/10Y pillars</t>
  </si>
  <si>
    <t>31.21: even a systematic curve's maturity axis must be bucketed — liquid at every pillar, so own is free and clean</t>
  </si>
  <si>
    <t>USDTRY vol surface</t>
  </si>
  <si>
    <t>pillar quotes patchy beyond 1Y; wings rarely quoted</t>
  </si>
  <si>
    <t>REGULATORY (C×D)</t>
  </si>
  <si>
    <t>same product type as EURUSD, opposite election — sparse expiries/strikes accumulate within their C- and D-bands; the fn6 δ-conversion is accepted as the price of pooling</t>
  </si>
  <si>
    <t>SX5E index vol surface</t>
  </si>
  <si>
    <t>dense listed quotes across expiries &amp; strikes</t>
  </si>
  <si>
    <t>the listed market gives per-pillar evidence at every point the model keeps; no pooling needed</t>
  </si>
  <si>
    <t>MidCap AG single-name equity vol</t>
  </si>
  <si>
    <t>monthly listed prints; few strikes</t>
  </si>
  <si>
    <t>sparse single-name options pool within bands; deep strike wings likely stay NMRF regardless (cube walkthrough logic, 50_special_cases)</t>
  </si>
  <si>
    <t>EURUSD xccy basis curve</t>
  </si>
  <si>
    <t>5Y/10Y quoted daily; 15Y+ sporadic</t>
  </si>
  <si>
    <t>sporadic long-end prints accumulate WITH EACH OTHER inside the 12–18y / 18–25y bands; the liquid front passes on its own prints — a regulatory election costs the liquid points nothing</t>
  </si>
  <si>
    <t>THE REGISTER RULE — one election per OBJECT (= curve/surface/cube, i.e. product type × currency/underlying); ALL points on the object follow it; mixing ACROSS objects is the intended design (Art. 5(1), Delegated Regulation (EU) 2022/2060 — note the same-product, opposite-election pairs above), and mixing WITHIN one object has no payoff: under a regulatory election the liquid points still pass on their OWN prints. Decide by asking FROM WHERE the thin points would borrow: (a) another FACTOR's pillars → REGULATORY (only the grid may pool across factors); (b) UNCLAIMED tenor space where no factor lives → OWN captures it (route 4 below); (c) no borrowing anywhere → OWN. Record every election, with rationale and review date, in the register (documentation map at the foot of this sheet).</t>
  </si>
  <si>
    <t>Anatomy of ONE election — the HUF swap curve, tenor by tenor (why 'own for the liquid pillars' is never a reason to split an object)</t>
  </si>
  <si>
    <t>Tenor (liquidity)</t>
  </si>
  <si>
    <t>Row-A band it lands in</t>
  </si>
  <si>
    <t>Liquid neighbour in the band</t>
  </si>
  <si>
    <t>Verdict under a WHOLE-CURVE regulatory election</t>
  </si>
  <si>
    <t>2Y — liquid</t>
  </si>
  <si>
    <t>1.5 ≤ t &lt; 4y</t>
  </si>
  <si>
    <t>— (itself)</t>
  </si>
  <si>
    <t>passes on its OWN prints — exactly what own bucketing would deliver</t>
  </si>
  <si>
    <t>3Y — sporadic</t>
  </si>
  <si>
    <t>the 2Y</t>
  </si>
  <si>
    <t>borrows the 2Y's prints → passes (31.17)</t>
  </si>
  <si>
    <t>5Y — liquid</t>
  </si>
  <si>
    <t>4 ≤ t &lt; 7y</t>
  </si>
  <si>
    <t>passes on its own prints</t>
  </si>
  <si>
    <t>6Y — sporadic</t>
  </si>
  <si>
    <t>the 5Y</t>
  </si>
  <si>
    <t>borrows → passes</t>
  </si>
  <si>
    <t>7Y — sporadic</t>
  </si>
  <si>
    <t>7 ≤ t &lt; 12y  (bands are closed-left / open-right: 7Y is NOT in 4–7y)</t>
  </si>
  <si>
    <t>the 10Y</t>
  </si>
  <si>
    <t>borrows the 10Y's prints → passes</t>
  </si>
  <si>
    <t>10Y — liquid</t>
  </si>
  <si>
    <t>7 ≤ t &lt; 12y</t>
  </si>
  <si>
    <t>15Y — sporadic</t>
  </si>
  <si>
    <t>12 ≤ t &lt; 18y</t>
  </si>
  <si>
    <t>NONE — no liquid occupant</t>
  </si>
  <si>
    <t>STILL FAILS → NMRF. Pooling never crosses a band boundary; a band with no liquid neighbour gets no subsidy (same hard edge as the swaption wings, 50_special_cases)</t>
  </si>
  <si>
    <t>The liquid pillars gain NOTHING from an own election — the RFET is binary, and a passing factor cannot pass harder. An own election for this curve would leave 2Y/5Y/10Y passing and strand the 3Y/6Y/7Y (each alone in its own bucket → NMRF): strictly worse. The 15Y shows the pooling subsidy's honest limit — its answer is route 1 (NMRF), never a wider bucket.</t>
  </si>
  <si>
    <t>ROUTE 4 — OWN-bucket capture of 'no-man's-land' liquidity (plentiful 6Y prints, but 6Y is NOT a model factor). Routes 1–3 are defined and worked on 45_guardrail §3–5.</t>
  </si>
  <si>
    <t>Scenario &amp; legality</t>
  </si>
  <si>
    <t>The 7Y factor is thin (~12 prints/yr), but the market prints 6Y actively — and the model has NO 6Y risk factor. Draw the 7Y factor's OWN bucket as [6y, 7.5y). Legality check: the bucket holds exactly ONE RTPL factor — 31.16(1)(a) counts FACTORS, not empty tenor space ✓; non-overlapping with the 5Y and 10Y buckets ✓; no SA vertex swallowed (CSR vertices 0.5/1/3/5/10) ✓; the representativeness reach is ONE year — the regulatory row-C band itself tolerates 3.6y→7.4y, so a 6y→7y extraction claim is stronger than the sanctioned route-3 borrow ✓; and the PLA cost is ZERO — nothing was merged, the 7Y stays a distinct RTPL factor.</t>
  </si>
  <si>
    <t>Audit-proofing caveats</t>
  </si>
  <si>
    <t>(1) SINGLE COUNT (31.18) — 6Y prints routed to the 7Y bucket cannot also feed the 5Y; the allocation is a documented choice, not a default. (2) P1 COHERENCE — if the model prices a 6.5y exposure ~50/50 off the 5Y and 7Y factors, be ready to defend assigning the 6y-region evidence wholly to the 7Y (interpolation mapping vs bucketing scheme). (3) FRAGILITY — the construction lives on '6Y is not a factor'; the day a 6Y factor is added, the bucket must split (one factor per bucket) and the 7Y may go straight back to thin — note the trigger in the register. (4) EDGES DRAWN ONCE, on structural grounds, in the 31.15 policy — redrawing quarterly to chase prints is the counting-window version of election-flipping.</t>
  </si>
  <si>
    <t>Where the election is DOCUMENTED (real-bank artefacts)</t>
  </si>
  <si>
    <t>(1) RFET / RISK-FACTOR MODELLABILITY POLICY — the 31.15 policy set: election criteria, representativeness and price→risk-factor mapping rules; owned by Market Risk Methodology, approved through model governance.   (2) The ELECTION REGISTER — a policy appendix inventorying EVERY curve, surface and cube in the model with its election, rationale and last review date; the table above is a TEMPLATE for it.   (3) IMA MODEL DOCUMENTATION in the supervisory approval file (EU: the CRR Art. 325az IMA permission; methodology governed by the RTS under Art. 325be = Del. Reg. 2022/2060) — the supervisor sees the elections at approval and at every review.   (4) MODEL CHANGE FRAMEWORK — switching an object's election changes RFET outcomes: a documented model change with internal-validation review and supervisor notification where material (never a quarterly convenience re-election).   (5) INTERNAL VALIDATION &amp; AUDIT reports, and the quarterly RFET results pack, both referencing the register.</t>
  </si>
  <si>
    <t>FRTB RFET — Bucketing Approach Reference &amp; Live Calculator</t>
  </si>
  <si>
    <t>BCBS MAR31.12–31.26 — bucketing, the RFET and modellability | Generic / self-contained | reference sheets · worked examples · live calculator</t>
  </si>
  <si>
    <t>Purpose</t>
  </si>
  <si>
    <t>A 13-sheet reference and course on MAR31 risk-factor modellability: why real prices gate capital (05), the bucketing machinery (10–30), the own-vs-regulatory election and its guardrail (40–45), worked special cases (50), the quantified systematic/idio and proxy splits (55), the seven data principles (57), a LIVE calculator with verdicts (60–70), and verbatim citations (90).</t>
  </si>
  <si>
    <t>What the RFET is</t>
  </si>
  <si>
    <t>The Risk Factor Eligibility Test (MAR31.12). A necessary condition for a risk factor to be MODELLABLE (and so allowed in the Expected Shortfall capital model, MAR33). A factor that fails the RFET is a Non-Modellable Risk Factor (NMRF) and attracts a separate, punitive stressed capital add-on.</t>
  </si>
  <si>
    <t>Why bucketing exists</t>
  </si>
  <si>
    <t>Most risk factors are POINTS on a curve / surface / cube (e.g. the 5Y point of a swap curve; the 1Y-expiry / 0.50-delta point of a vol surface). Real trades rarely land exactly on a point, so MAR31.16 lets banks group observations into BUCKETS and count any trade inside a bucket toward the factor (MAR31.17). Without bucketing almost nothing would pass.</t>
  </si>
  <si>
    <t>Dimensional geometry</t>
  </si>
  <si>
    <t>Curve = 1-D (one axis, e.g. tenor). Surface = 2-D (e.g. expiry x strike). Cube = 3-D (e.g. swaption: underlying tenor x expiry x strike). 'delta' (δ) on the strike axis = the probability the option finishes in-the-money.</t>
  </si>
  <si>
    <t>Two bucketing approaches (MAR31.16)</t>
  </si>
  <si>
    <t>(1) OWN buckets — bank-defined; MUST be one risk factor per bucket, non-overlapping, and the buckets must CORRESPOND to the RTPL risk factors used for the PLA test — the requirement sits in the BODY of 31.16(1)(a); footnote 5 explains its rationale (same buckets/segmentation for PLA &amp; RFET; granularity helps PLA but strains sourcing real prices per bucket). (2) REGULATORY buckets — the fixed standard grid (Table 1, rows A/B/C/D).</t>
  </si>
  <si>
    <t>The PLA linkage (why this matters)</t>
  </si>
  <si>
    <t>MAR31.16(1)(a) hard-wires the bucketing grid to RTPL. So the bucketing choice is simultaneously a MODELLABILITY decision (RFET) and a PnL-ATTRIBUTION decision (PLA, MAR32). Widening buckets eases the RFET but coarsens RTPL -&gt; RTPL drifts from HPL -&gt; the desk can fail PLA and lose IMA. Finding a grid that passes BOTH gates is the core design judgement.</t>
  </si>
  <si>
    <t>Authoritative source</t>
  </si>
  <si>
    <t>BCBS MAR31 'Internal models approach: model requirements' (in-force 01 Jan 2023). No regulatory constant in this workbook is invented — every boundary and threshold is transcribed from MAR31. See '90_citations'.</t>
  </si>
  <si>
    <t>Sheet guide</t>
  </si>
  <si>
    <t>REFERENCE — 10_decision_map · 20_regulatory_buckets · 30_instrument_coverage · 90_citations   |   NARRATIVE — 05_why_real_prices · 40_own_vs_regulatory · 45_guardrail   |   WORKED EXAMPLES — 50_special_cases · 55_systematic_proxy_nmrf · 57_seven_principles   |   LIVE — 60_calculator → 70_rfet_results</t>
  </si>
  <si>
    <t>How to use the calculator</t>
  </si>
  <si>
    <t>Go to 60_calculator. Each row = one real-price observation. Fill the WHITE input cells (date, class, flags, dimension values, real-price criterion). The GREY cells derive automatically (row, bucket index, risk-factor key). Then read 70_rfet_results for the pass/fail and modellable/NMRF verdict per risk factor.</t>
  </si>
  <si>
    <t>Working vocabulary</t>
  </si>
  <si>
    <t>prints = real-price observations (trades / committed quotes, 31.12) · pillar = an evidenced curve point kept as a risk factor · drought = the longest observation gap incl. window edges (70) · election = the per-object own-vs-regulatory choice (40) · register = the policy appendix recording every election (40) · no-man's-land = tenor space where no model factor lives (40, route 4) · free lunch = a wide self-defined bucket over fine RTPL — forbidden (45) · the rent = the seven ongoing data principles (57)</t>
  </si>
  <si>
    <t>Reading order</t>
  </si>
  <si>
    <t>LEARN: 05 → 10 → 20 → 30 → 40 → 45 → 50 → 55 → 57.   USE: 60 → 70 (set the as-of date, paste observations, read verdicts).   VERIFY: 90. The companion deck's five sessions follow the same arc.</t>
  </si>
  <si>
    <t>Why Real Prices? — the philosophy of the RFET, and the life of a price after the pass</t>
  </si>
  <si>
    <t>Why the framework fixates on price availability when an army of quants can generate a PnL series for anything (the moon swap included) — and why the prices are never thrown away after the pass. Anchors: 31.12–31.15, 31.22–31.23, 31.25–31.26 (Principles 3–4), 31.13 (quarterly/monthly), MAR33.16–33.17.</t>
  </si>
  <si>
    <t>1 · Why price availability gates capital — a generated series is not evidence</t>
  </si>
  <si>
    <t>The circularity problem</t>
  </si>
  <si>
    <t>A PnL series produced by your own interpolator has volatility = your smoothing assumption and correlation = your interpolation weights. Feed it to ES and the ES measures the risk OF YOUR INTERPOLATOR — the model validates itself on data it manufactured. A real price is the only exogenous number in the loop, the only input able to prove the model wrong. (That is why 31.12 excludes the bank's own valuations and collateral reconciliations BY NAME: they are model output, not market evidence.)</t>
  </si>
  <si>
    <t>The smooth-series pathology</t>
  </si>
  <si>
    <t>Interpolated marks are smooth and over-correlated. XYZ 7Y CDS marked daily by 5Y–10Y interpolation shows low σ and ρ ≈ 1 with the 5Y → ES sees a calm, hedged book. On the twist day the real 7Y prints +8bp while the interpolated series moves +2.4bp: the generated-series machine would have capitalised about a THIRD of the real risk AND manufactured a diversification benefit that never existed. 2008's super-senior and correlation books were this pathology at scale — immaculate marked-to-model PnL, tiny VaR, no exit price. Principle 3 ('do not understate volatility… by inappropriate averaging or proxies') is its statutory memory.</t>
  </si>
  <si>
    <t>Coordinates ≠ dynamics</t>
  </si>
  <si>
    <t>Knowing that the point EXISTS — (3M, 4Y, ATM), or the moon swap — is not knowing its DYNAMICS. The RFET operationalises one question: does the market regularly emit independent information about this point (≥24 prints/yr, 90-day density)? A series without that anchor has a generator but no way to be wrong — and a capital model must be falsifiable by the market it claims to measure.</t>
  </si>
  <si>
    <t>What the rule does NOT do</t>
  </si>
  <si>
    <t>Failing the RFET does not ban the model. The NMRF stays in desk risk management, stays in RTPL (which is computed with ALL risk factors, NMRFs included), and its series drives the SES scenario construction. Price availability gates something narrower: THE CAPITAL CREDIT FOR THE MODEL'S STATISTICS. Modellable → evidenced vols/correlations earn full ES treatment (netting, diversification, 97.5% point-in-time). NMRF → stress-calibrated capital with severely restricted diversification (33.16–33.17). Unverifiable statistics are not allowed to REDUCE capital — that is the entire rule.</t>
  </si>
  <si>
    <t>The two gates</t>
  </si>
  <si>
    <t>If generated series earned full ES treatment, the incentive gradient points one way: series would be built smooth, mean-reverting and hedge-correlated, because that minimises capital. Backtesting and PLA cannot catch it — HPL is built from front-office MARKS, and for an illiquid point the marks come from the same interpolator: model vs model, everything green. PLA tests INTERNAL consistency (model vs marks); the RFET is the only gate in the framework testing EXTERNAL validity (marks vs market). Remove the second gate and the first one tests nothing.</t>
  </si>
  <si>
    <t>2 · After the pass — the prices are never thrown away (GATE → POLICE → EVIDENCE; calibration is the only job they lose)</t>
  </si>
  <si>
    <t>GATE — rolling, not one-shot</t>
  </si>
  <si>
    <t>31.13: the criteria must be met on a QUARTERLY basis and criterion (1) monitored MONTHLY, on a rolling 12-month window. Modellability is never 'established' — it is re-earned every quarter; a factor that goes quiet flips to NMRF the next quarter, capital consequences following automatically. (60_calculator / 70_rfet_results mimic exactly this production process via the As-of date.)</t>
  </si>
  <si>
    <t>POLICE — the mandated recon (Principle 4)</t>
  </si>
  <si>
    <t>31.26(4), near-verbatim: 'the bank must periodically reconcile price data used in a risk model with front office and back office prices… risk model prices should be included in the comparison… comparisons of risk prices with REAL PRICE OBSERVATIONS' (FO/BO prices only where real prices are not widely available). Principle 3 adds: data sources must yield vols and correlations that are 'reasonable approximations of correlations among real price observations'. Enforcement: 31.23 — principles unmet ⇒ the supervisor pulls the factor from ES → NMRF, DESPITE the RFET pass. The RFET is the entry ticket; the principles are the rent.</t>
  </si>
  <si>
    <t>EVIDENCE — retrievable on demand</t>
  </si>
  <si>
    <t>31.14: the vendor must provide evidence of the transaction or committed quote to supervisors ON REQUEST, and remain subject to an audit whose results are available to the supervisor; 31.15: documented price→risk-factor mapping policies. The modellability claim must be reproducible quarters later — the observation archive is part of the model's audit trail.</t>
  </si>
  <si>
    <t>CALIBRATE — the one job they lose</t>
  </si>
  <si>
    <t>31.22: once a factor passes, the ES model may be CALIBRATED on different, richer data — vendor series, consensus marks — chosen for quality (31.23/31.25 still apply). Real prices GATE, POLICE and EVIDENCE; they need not be the calibration input. It is a division of labour, not a retirement.</t>
  </si>
  <si>
    <t>MAR31.16(2)(a)–(f) — Decision Map: which bucket row applies</t>
  </si>
  <si>
    <t>Given a risk factor's object type and axes, which standard rows (A/B/C/D) bucket each dimension.</t>
  </si>
  <si>
    <t>#</t>
  </si>
  <si>
    <t>Risk-factor type / object</t>
  </si>
  <si>
    <t>Object</t>
  </si>
  <si>
    <t>Dimension(s)</t>
  </si>
  <si>
    <t>Maturity/expiry row</t>
  </si>
  <si>
    <t>Strike row</t>
  </si>
  <si>
    <t>MAR31.16(2) ref</t>
  </si>
  <si>
    <t>a</t>
  </si>
  <si>
    <t>IR / FX / commodity — single maturity dimension (excl. vol)</t>
  </si>
  <si>
    <t>Curve</t>
  </si>
  <si>
    <t>maturity</t>
  </si>
  <si>
    <t>A</t>
  </si>
  <si>
    <t>—</t>
  </si>
  <si>
    <t>(a)</t>
  </si>
  <si>
    <t>b</t>
  </si>
  <si>
    <t>IR / FX / commodity — several maturity dimensions (excl. vol)</t>
  </si>
  <si>
    <t>Curve/Surface</t>
  </si>
  <si>
    <t>maturity (multi)</t>
  </si>
  <si>
    <t>B</t>
  </si>
  <si>
    <t>(b)</t>
  </si>
  <si>
    <t>c</t>
  </si>
  <si>
    <t>Credit spread &amp; equity — one or several maturity dims (excl. vol)</t>
  </si>
  <si>
    <t>C</t>
  </si>
  <si>
    <t>(c)</t>
  </si>
  <si>
    <t>d</t>
  </si>
  <si>
    <t>Any object with a strike dimension</t>
  </si>
  <si>
    <t>Surface/Cube</t>
  </si>
  <si>
    <t>strike (delta)</t>
  </si>
  <si>
    <t>D</t>
  </si>
  <si>
    <t>(d)</t>
  </si>
  <si>
    <t>e</t>
  </si>
  <si>
    <t>Implied vol (NON-swaption) — expiry &amp; strike</t>
  </si>
  <si>
    <t>Surface</t>
  </si>
  <si>
    <t>expiry; strike</t>
  </si>
  <si>
    <t>C (expiry)</t>
  </si>
  <si>
    <t>D (strike)</t>
  </si>
  <si>
    <t>(e)</t>
  </si>
  <si>
    <t>f</t>
  </si>
  <si>
    <t>Implied vol — INTEREST-RATE SWAPTION — maturity, expiry, strike</t>
  </si>
  <si>
    <t>Cube</t>
  </si>
  <si>
    <t>underlying tenor; expiry; strike</t>
  </si>
  <si>
    <t>B (tenor) + C (expiry)</t>
  </si>
  <si>
    <t>(f)</t>
  </si>
  <si>
    <t>Note: a swaption implied-vol point is a CUBE — three dimensions bucketed simultaneously (B × C × D). A non-swaption vol point is a SURFACE (C × D). A cash/linear instrument is a CURVE (one of A/B/C).</t>
  </si>
  <si>
    <t>Row A vs Row B — how to count maturity dimensions</t>
  </si>
  <si>
    <t>The choice is NOT about the instrument type (swap vs bond vs spot vs forward). It is about how many TIME/MATURITY axes are needed to locate ONE risk factor.  Row A = a single time coordinate, factor(t), a point on a 1-D curve.  Row B = two or more time coordinates at once, factor(t1, t2), a point on a time×time surface. 'Several maturity dimensions' typically means forward / forward-starting / tenor-by-tenor representations.</t>
  </si>
  <si>
    <t>Instrument / risk factor</t>
  </si>
  <si>
    <t># time axes</t>
  </si>
  <si>
    <t>Example contract</t>
  </si>
  <si>
    <t>Row</t>
  </si>
  <si>
    <t>Locate by</t>
  </si>
  <si>
    <t>FX spot</t>
  </si>
  <si>
    <t>0</t>
  </si>
  <si>
    <t>EUR/USD spot rate</t>
  </si>
  <si>
    <t>spot (no maturity)</t>
  </si>
  <si>
    <t>Vanilla IR swap (curve point)</t>
  </si>
  <si>
    <t>1</t>
  </si>
  <si>
    <t>5Y EUR payer IRS vs 6M Euribor</t>
  </si>
  <si>
    <t>one tenor (5Y)</t>
  </si>
  <si>
    <t>Bond (yield-curve point)</t>
  </si>
  <si>
    <t>Bund 0.0% 2030</t>
  </si>
  <si>
    <t>one tenor</t>
  </si>
  <si>
    <t>FX outright forward</t>
  </si>
  <si>
    <t>EUR/USD 1Y outright forward</t>
  </si>
  <si>
    <t>one maturity</t>
  </si>
  <si>
    <t>Commodity future (single delivery)</t>
  </si>
  <si>
    <t>NYMEX WTI Dec-26 future</t>
  </si>
  <si>
    <t>one delivery date</t>
  </si>
  <si>
    <t>Constant-maturity swap (CMS) — tenor PINNED</t>
  </si>
  <si>
    <t>EUR CMS: pay the 10Y swap rate, reset yearly for 5y</t>
  </si>
  <si>
    <t>start only — 10Y tenor is constant -&gt; categorical, not bucketed</t>
  </si>
  <si>
    <t>Forward-starting swap</t>
  </si>
  <si>
    <t>2</t>
  </si>
  <si>
    <t>EUR 2y-into-5y forward payer swap (starts in 2y, runs 5y)</t>
  </si>
  <si>
    <t>start + tenor (book spans a range of BOTH)</t>
  </si>
  <si>
    <t>Forward-rate surface (model object)</t>
  </si>
  <si>
    <t>grid of f(start, tenor) forward rates in the model</t>
  </si>
  <si>
    <t>start + tenor</t>
  </si>
  <si>
    <t>Swaption underlying-maturity axis</t>
  </si>
  <si>
    <t>of 3</t>
  </si>
  <si>
    <t>EUR 2y-into-10y payer swaption</t>
  </si>
  <si>
    <t>expiry + u-tenor + strike</t>
  </si>
  <si>
    <t>Counting maturity dimensions = how many time axes the model keeps LIVE (varying across the book) for that risk factor. An axis held CONSTANT by the product is categorical, not bucketed, so it does NOT count. Hence a CMS (underlying tenor PINNED at 10Y) is single-dimension -&gt; Row A, even though two times appear; only the start varies. By contrast a book of FORWARD-STARTING swaps spans a range of starts AND tenors, so both axes are live -&gt; Row B. (Likewise a tenor-BASIS factor, 3M vs 6M Euribor, is one maturity axis + a categorical index pair -&gt; Row A.) Caveat: MAR31.16(2)(b) names no instruments; this is the standard reading. The black-letter rule is purely single vs several LIVE time axes.</t>
  </si>
  <si>
    <t>MAR31.16(2) — Regulatory Bucketing Grid (Table 1)</t>
  </si>
  <si>
    <t>Standard buckets. Boundaries transcribed verbatim from MAR31 Table 1. t in years; δ = delta (prob. ITM).</t>
  </si>
  <si>
    <t>Typical application</t>
  </si>
  <si>
    <t>Bucket #</t>
  </si>
  <si>
    <t>Lower</t>
  </si>
  <si>
    <t>Upper (excl.)</t>
  </si>
  <si>
    <t>Band</t>
  </si>
  <si>
    <t>Lookup lists (used by the live calculator — do not edit)</t>
  </si>
  <si>
    <t>Maturity — single maturity dimension</t>
  </si>
  <si>
    <t>IR, FX, commodity (excl. implied vol)</t>
  </si>
  <si>
    <t>0 ≤ t &lt; 0.75</t>
  </si>
  <si>
    <t>RowA_low</t>
  </si>
  <si>
    <t>RowB_low</t>
  </si>
  <si>
    <t>RowC_low</t>
  </si>
  <si>
    <t>RowD_low</t>
  </si>
  <si>
    <t>0.75 ≤ t &lt; 1.5</t>
  </si>
  <si>
    <t>1.5 ≤ t &lt; 4</t>
  </si>
  <si>
    <t>4 ≤ t &lt; 7</t>
  </si>
  <si>
    <t>7 ≤ t &lt; 12</t>
  </si>
  <si>
    <t>12 ≤ t &lt; 18</t>
  </si>
  <si>
    <t>18 ≤ t &lt; 25</t>
  </si>
  <si>
    <t>25 ≤ t &lt; 35</t>
  </si>
  <si>
    <t>∞</t>
  </si>
  <si>
    <t>35 ≤ t &lt; ∞</t>
  </si>
  <si>
    <t>Maturity — several maturity dimensions</t>
  </si>
  <si>
    <t>IR/FX/commodity; swaption underlying maturity axis</t>
  </si>
  <si>
    <t>0.75 ≤ t &lt; 4</t>
  </si>
  <si>
    <t>4 ≤ t &lt; 10</t>
  </si>
  <si>
    <t>10 ≤ t &lt; 18</t>
  </si>
  <si>
    <t>18 ≤ t &lt; 30</t>
  </si>
  <si>
    <t>30 ≤ t &lt; ∞</t>
  </si>
  <si>
    <t>Maturity / expiry</t>
  </si>
  <si>
    <t>Credit spread &amp; equity maturity; implied-vol expiry (incl. swaption expiry)</t>
  </si>
  <si>
    <t>0 ≤ t &lt; 1.5</t>
  </si>
  <si>
    <t>1.5 ≤ t &lt; 3.5</t>
  </si>
  <si>
    <t>3.5 ≤ t &lt; 7.5</t>
  </si>
  <si>
    <t>7.5 ≤ t &lt; 15</t>
  </si>
  <si>
    <t>15 ≤ t &lt; ∞</t>
  </si>
  <si>
    <t>Strike — by delta (δ)</t>
  </si>
  <si>
    <t>Any strike dimension of an implied-vol object</t>
  </si>
  <si>
    <t>0 ≤ δ &lt; 0.05</t>
  </si>
  <si>
    <t>0.05 ≤ δ &lt; 0.3</t>
  </si>
  <si>
    <t>0.3 ≤ δ &lt; 0.7</t>
  </si>
  <si>
    <t>0.7 ≤ δ &lt; 0.95</t>
  </si>
  <si>
    <t>0.95 ≤ δ &lt; 1</t>
  </si>
  <si>
    <t>Footnote 6 to 31.16(2)(d) — delta conventions: for options markets where alternative definitions of moneyness are standard (e.g. FX quoted as 25Δ risk reversals, equity as %-moneyness), banks SHALL convert the regulatory delta buckets to the market-standard convention using their own approved pricing models. Row D is defined on δ = probability of finishing in-the-money; a market quote only lands in a D-band after that conversion.</t>
  </si>
  <si>
    <t>Holistic Instrument / Risk-Factor Coverage Matrix</t>
  </si>
  <si>
    <t>Every instrument family in MAR31.16 mapped to object type, axes, applicable rows and example risk-factor points.</t>
  </si>
  <si>
    <t>Risk class</t>
  </si>
  <si>
    <t>Example instrument</t>
  </si>
  <si>
    <t>Sample contract</t>
  </si>
  <si>
    <t>Axis → bucket row</t>
  </si>
  <si>
    <t>Example risk-factor point</t>
  </si>
  <si>
    <t>RFET counted via</t>
  </si>
  <si>
    <t>Interest rate</t>
  </si>
  <si>
    <t>Vanilla IR swap / bond</t>
  </si>
  <si>
    <t>5Y EUR payer IRS, €100m, fixed vs 6M Euribor (or Bund 0.0% 2030)</t>
  </si>
  <si>
    <t>maturity → A</t>
  </si>
  <si>
    <t>5Y point of EUR swap curve</t>
  </si>
  <si>
    <t>trade counts if maturity ∈ 4–7y  (A, bucket 4)</t>
  </si>
  <si>
    <t>Forward-starting / tenor-by-tenor swap (several maturity dims)</t>
  </si>
  <si>
    <t>EUR 2Y-into-5Y forward-starting payer swap, €50m</t>
  </si>
  <si>
    <t>maturity → B</t>
  </si>
  <si>
    <t>forward(start 2Y, tenor 5Y) point</t>
  </si>
  <si>
    <t>trade counts if start ∈ 0.75–4y  AND  tenor ∈ 4–10y  (B×B cell)</t>
  </si>
  <si>
    <t>Cap/floor implied vol (non-swaption)</t>
  </si>
  <si>
    <t>EUR 1Y cap, 3.0% strike on 3M Euribor</t>
  </si>
  <si>
    <t>expiry → C ; strike → D</t>
  </si>
  <si>
    <t>1Y expiry, δ0.50 caplet vol</t>
  </si>
  <si>
    <t>vol quote counts if expiry ∈ 0–1.5y  AND  δ ∈ 0.3–0.7  (C×D cell)</t>
  </si>
  <si>
    <t>Swaption implied vol</t>
  </si>
  <si>
    <t>EUR 2Y-into-10Y ATM payer swaption</t>
  </si>
  <si>
    <t>u-tenor → B ; expiry → C ; strike → D</t>
  </si>
  <si>
    <t>10Y u-tenor, 2Y expiry, δ0.50</t>
  </si>
  <si>
    <t>quote counts if u-tenor ∈ 10–18y  AND  expiry ∈ 1.5–3.5y  AND  δ ∈ 0.3–0.7  (B×C×D cell)</t>
  </si>
  <si>
    <t>FX</t>
  </si>
  <si>
    <t>FX forward / outright</t>
  </si>
  <si>
    <t>EUR/USD 1Y outright forward, €25m</t>
  </si>
  <si>
    <t>1Y EURUSD forward point</t>
  </si>
  <si>
    <t>fwd counts if maturity ∈ 0.75–1.5y  (A, bucket 2)</t>
  </si>
  <si>
    <t>FX option implied vol</t>
  </si>
  <si>
    <t>EUR/USD 3M 25Δ risk reversal</t>
  </si>
  <si>
    <t>3M expiry, 25Δ (≈δ0.25) vol</t>
  </si>
  <si>
    <t>vol quote counts if expiry ∈ 0–1.5y  AND  δ ∈ 0.05–0.3  (C×D cell)</t>
  </si>
  <si>
    <t>Commodity</t>
  </si>
  <si>
    <t>Commodity future (single maturity)</t>
  </si>
  <si>
    <t>NYMEX WTI (CL) Dec-2026 future, 1,000 bbl</t>
  </si>
  <si>
    <t>6M WTI future</t>
  </si>
  <si>
    <t>future counts if maturity ∈ 0–0.75y  (A, bucket 1)</t>
  </si>
  <si>
    <t>Forward-starting commodity swap (several maturity dims)</t>
  </si>
  <si>
    <t>ICE Brent swap starting in 1y, 1y tenor</t>
  </si>
  <si>
    <t>forward(start 1y, tenor 1y) point</t>
  </si>
  <si>
    <t>trade counts if start ∈ 0.75–4y  AND  tenor ∈ 0.75–4y  (B×B cell)</t>
  </si>
  <si>
    <t>Commodity option implied vol</t>
  </si>
  <si>
    <t>ICE Brent 1Y ATM option</t>
  </si>
  <si>
    <t>1Y expiry, δ0.50 option vol</t>
  </si>
  <si>
    <t>Credit spread</t>
  </si>
  <si>
    <t>Single-name / index CDS</t>
  </si>
  <si>
    <t>5Y single-name CDS on ACME Corp, $10m (or iTraxx Europe 5Y)</t>
  </si>
  <si>
    <t>maturity → C</t>
  </si>
  <si>
    <t>7Y CDS spread point</t>
  </si>
  <si>
    <t>CDS counts if maturity ∈ 3.5–7.5y  (C, bucket 3)</t>
  </si>
  <si>
    <t>Systematic (sector/region) credit + maturity</t>
  </si>
  <si>
    <t>CDX IG 5Y index (sector spread curve point)</t>
  </si>
  <si>
    <t>maturity → C (per 31.21)</t>
  </si>
  <si>
    <t>sector 5Y spread point</t>
  </si>
  <si>
    <t>index/name counts if maturity ∈ 3.5–7.5y  (C, bucket 3; sharing attrs, 31.20)</t>
  </si>
  <si>
    <t>Equity</t>
  </si>
  <si>
    <t>Equity repo / forward curve</t>
  </si>
  <si>
    <t>EuroStoxx 50 2Y equity forward (implied repo)</t>
  </si>
  <si>
    <t>2Y equity forward point</t>
  </si>
  <si>
    <t>trade counts if maturity ∈ 1.5–3.5y  (C, bucket 2)</t>
  </si>
  <si>
    <t>Single-name / index equity vol</t>
  </si>
  <si>
    <t>EuroStoxx 50 1Y ATM listed option (or single-name)</t>
  </si>
  <si>
    <t>1Y expiry, δ0.50 vol</t>
  </si>
  <si>
    <t>Systematic equity factor (market/sector)</t>
  </si>
  <si>
    <t>EuroStoxx 50 index future (sector beta factor)</t>
  </si>
  <si>
    <t>point/Curve</t>
  </si>
  <si>
    <t>spot (idio→NMRF); maturity → C</t>
  </si>
  <si>
    <t>sector beta factor</t>
  </si>
  <si>
    <t>index trades count for the systematic factor (sharing attrs, 31.20)</t>
  </si>
  <si>
    <t>How to read 'C×D' (a multi-dimensional bucket CELL)</t>
  </si>
  <si>
    <t>A curve point sits in ONE band on ONE axis -&gt; a simple range like '4–7y'. A surface/cube point needs a band on EACH axis at once: 'C×D' means one band from row C (expiry/maturity) AND one band from row D (strike/δ). The risk factor's bucket is the INTERSECTION (a rectangle/box). A real-price quote counts toward that factor (MAR31.17) only if it falls inside ALL of the bands simultaneously. Example — cap vol '1Y expiry, δ0.50': expiry 1Y is in C-band 0–1.5y AND δ0.50 is in D-band 0.3–0.7, so the cell is [0–1.5y expiry] × [0.3–0.7 δ]. 'B×C×D' (swaption) is the same idea in 3 dimensions (a box: u-tenor band × expiry band × strike band). (Full 3-D walkthrough of the swaption cube — benchmark prints, wings, band boundaries — on 50_special_cases.)</t>
  </si>
  <si>
    <t>Exact-match (categorical) attributes — fixed BEFORE you bucket</t>
  </si>
  <si>
    <t>Bucketing (MAR31.16) only operates on CONTINUOUS coordinates (tenor, expiry, strike δ) where trades rarely hit a pillar exactly, so neighbours are pooled. CATEGORICAL attributes (currency, curve/index, issuer, …) are NOT bucketed — there is no 'nearby' between EUR and USD. They must match EXACTLY because they DEFINE which risk factor / which curve you are on. A USD 5Y swap rate is not a 'close point' to a EUR 5Y swap rate — it is a different risk factor. So every example in the table above implicitly assumes a single, fixed currency &amp; underlying; you fix those first, THEN bucket along the axes. Regulatory hooks: prices must be 'representative of the risk factor' (31.13); systematic factors must 'share the same attributes' (31.20); proxies must suit 'region, quality and type' (Principle 7, 31.26).</t>
  </si>
  <si>
    <t>Must match EXACTLY (defines WHICH risk factor)</t>
  </si>
  <si>
    <t>Then BUCKET on (continuous axes)</t>
  </si>
  <si>
    <t>currency; reference rate &amp; curve (3M Euribor / 6M Euribor / OIS / IBOR)</t>
  </si>
  <si>
    <t>tenor (and forward start, for fwd-starting)</t>
  </si>
  <si>
    <t>currency pair</t>
  </si>
  <si>
    <t>maturity / expiry; δ (for options)</t>
  </si>
  <si>
    <t>single-name reference entity OR credit index (e.g. iTraxx / CDX); seniority; currency; doc clause</t>
  </si>
  <si>
    <t>tenor</t>
  </si>
  <si>
    <t>issuer / index; factor type (spot / repo / dividend)</t>
  </si>
  <si>
    <t>maturity; expiry; δ (for vol)</t>
  </si>
  <si>
    <t>commodity type &amp; grade; delivery hub/location</t>
  </si>
  <si>
    <t>Diagram — a bucket is the INTERSECTION of one band per axis (1-D band → 2-D rectangle → 3-D box)</t>
  </si>
  <si>
    <t>This geometry applies to BOTH bucketing approaches — it is inherent to the risk factor (31.16 chapeau) and, for OWN bucketing, forced by 31.16(1)(a) 'one risk factor per bucket' (a surface own-bucket must be bounded on EVERY axis). Only the fixed RANGES (Table 1 bands) and the (a)–(f) row assignments are regulatory-only; own bucketing keeps the same geometry and just draws its own edges.</t>
  </si>
  <si>
    <t>RTPL Grid, Nomenclature &amp; the 31.16(1)(a) Guardrail</t>
  </si>
  <si>
    <t>What a risk factor / bucket / SA bucket really are, the SA floor (31.3), and the four routes for a thin tenor.</t>
  </si>
  <si>
    <t>0 · Nomenclature — four terms, and why 'bucket' is overloaded</t>
  </si>
  <si>
    <t>'Bucket' means DIFFERENT things in the SA and in the RFET, and 'risk factor' vs 'bucket' get confused. Bucketing NEVER creates a risk factor — the factors are the model's; a bucket only GROUPS them (for aggregation in the SA, for counting real prices in the RFET). Example — EUR general interest-rate risk (GIRR):</t>
  </si>
  <si>
    <t>Term</t>
  </si>
  <si>
    <t>What it is</t>
  </si>
  <si>
    <t>Example (EUR GIRR)</t>
  </si>
  <si>
    <t>Risk factor</t>
  </si>
  <si>
    <t>a market point the ES model reprices at (a point of the RTPL grid)</t>
  </si>
  <si>
    <t>EUR 5Y risk-free rate</t>
  </si>
  <si>
    <t>SA tenor vertex (MAR21)</t>
  </si>
  <si>
    <t>a prescribed SA risk-factor point</t>
  </si>
  <si>
    <t>EUR 5Y  (SA vertices 0.25/0.5/1/2/3/5/10/15/20/30y)</t>
  </si>
  <si>
    <t>SA 'bucket' (MAR21)</t>
  </si>
  <si>
    <t>a GROUP of risk factors aggregated for capital — a DIFFERENT use of 'bucket'</t>
  </si>
  <si>
    <t>'EUR' — the whole currency (all its tenors)</t>
  </si>
  <si>
    <t>RFET 'bucket' (MAR31.16)</t>
  </si>
  <si>
    <t>a maturity/strike WINDOW used only to COUNT real prices for modellability</t>
  </si>
  <si>
    <t>the 4–7y maturity band</t>
  </si>
  <si>
    <t>So an SA bucket ('EUR', a currency GROUP for aggregation) and an RFET bucket ('4–7y', a maturity WINDOW for counting prices) are unrelated despite sharing the word — and an RFET bucket does NOT define a new risk factor; the 5Y and 7Y factors are the model's, the bucket just counts trades toward them.</t>
  </si>
  <si>
    <t>1 · The RTPL grid — and the SA floor (MAR31.3)</t>
  </si>
  <si>
    <t>RTPL grid = the exact curve/surface POINTS your risk engine reprices at to produce RTPL — each is one risk factor shocked independently. MAR31.3: the model MUST INCLUDE all Standardised-Approach risk factors for the class (a FLOOR); it may be FINER (MAR31.6: ≥6 yield-curve factors, more for complex books). So RTPL grid ⊇ SA vertices. Example — an ACME Corp credit-spread curve RTPL grid:</t>
  </si>
  <si>
    <t>0.5Y   ·   1Y   ·   2Y   ·   3Y   ·   5Y   ·   7Y   ·   10Y</t>
  </si>
  <si>
    <t>Note: a 7Y is often a bank-ADDED finer factor — for credit spread the SA (CSR non-sec) vertices are 0.5/1/3/5/10y (MAR21.9), no 7Y (GIRR likewise jumps 5Y→10Y within its 0.25–30y set, MAR21.8) — added because the desk trades 7Y. A desk with NO 7Y exposure need not add a 7Y factor (interpolate from neighbours); an SA-mandated factor with no exposure still sits in the model but has zero sensitivity, so it is immaterial to that desk's PLA.</t>
  </si>
  <si>
    <t>2 · The guardrail — what MAR31.16(1)(a) actually forbids</t>
  </si>
  <si>
    <t>Under the OWN bucketing approach each bucket must equal ONE RTPL risk factor. This blocks the 'FREE LUNCH': a wide SELF-DEFINED bucket (pool many trades → pass the RFET) sitting over a FINE RTPL (pass PLA). BCBS's logic — if you want CROSS-FACTOR pooling (another pillar's prints), use OUR fixed grid (the regulatory approach), where the pooling width is controlled, not one you choose. A regulatory RFET bucket is only a COUNTING window; it does NOT coarsen RTPL, so it carries no PLA cost. THE FLOOR CAPS COARSENESS: own buckets may absorb bank-ADDED pillars (7Y), but may never span two SA vertices (e.g. the CSR 5Y &amp; 10Y) — RTPL must retain every SA vertex (31.3), so such a bucket would hold ≥2 RTPL factors and violate 31.16(1)(a); merging the vertices instead breaches the floor itself (escape only via supervisory sign-off for the omission, 31.3(1)).</t>
  </si>
  <si>
    <t>3 · A thin tenor — the four routes (routes 1–3 below; route 4 worked on 40_own_vs_regulatory)</t>
  </si>
  <si>
    <t>Route</t>
  </si>
  <si>
    <t>What you do</t>
  </si>
  <si>
    <t>Outcome</t>
  </si>
  <si>
    <t>1 · Keep fine → NMRF</t>
  </si>
  <si>
    <t>Leave the 7Y as its own factor; it fails the RFET on ~12 trades</t>
  </si>
  <si>
    <t>HONEST — NMRF stressed add-on; RTPL fine, PLA fine</t>
  </si>
  <si>
    <t>2 · Coarsen RTPL (own)</t>
  </si>
  <si>
    <t>Two variants: (2a) merge 5Y/7Y/10Y into one blended 5–10Y factor; (2b) drop only the bank-ADDED 7Y factor, reprice 7Y exposure by INTERPOLATING the 5Y &amp; 10Y factors, and widen the 5Y own bucket to absorb the 7Y trades (still one RTPL factor per bucket)</t>
  </si>
  <si>
    <t>2a BLOCKED ex ante — swallows SA CSR vertices 5Y &amp; 10Y, breaching the MAR31.3 floor (omission needs 31.3(1) sign-off; implausible with material exposure). 2b legal — but coarse RTPL → FAILS PLA (worked below). Self-defeating either way</t>
  </si>
  <si>
    <t>3 · Regulatory pooling</t>
  </si>
  <si>
    <t>Use the BCBS grid; the 3.5–7.5y band pools the 7Y's trades with the 5Y's</t>
  </si>
  <si>
    <t>PASSES RFET, RTPL keeps 5Y &amp; 7Y SEPARATE → PLA fine ← legit escape</t>
  </si>
  <si>
    <t>Route 2a is pincered from both sides: keep 5Y &amp; 10Y separate (as 31.3 requires) and a 5–10Y own bucket holds TWO RTPL factors — a 31.16(1)(a) violation; merge them instead and you breach the 31.3 floor itself. 31.16(1)(a) also forbids the free-lunch cousin — a wide SELF-defined bucket over FINE RTPL. Route 3 is the sanctioned way to help a thin tenor: BCBS controls the pooling width via its own grid. ROUTE 4 — own-bucket capture: when the spare liquidity sits in tenor space where NO model factor lives (an active 6Y market, no 6Y factor), draw the thin factor's OWN bucket around it — passes the RFET with zero PLA cost; worked on 40 rows 50–52.</t>
  </si>
  <si>
    <t>4 · Worked example — Credit desk &amp; the illiquid 7Y CDS (route 2b — the LEGAL coarsening)</t>
  </si>
  <si>
    <t>The Credit desk holds $100m 7Y single-name CDS on ACME Corp (CS01 ≈ $60k per bp of spread) on a THIN 7Y credit-spread point (~12 real trades/yr → fails the RFET alone). Route 2b: it DROPS the bank-added 7Y factor (legal — 7Y is not an SA vertex; the CSR floor 0.5/1/3/5/10y stays intact), reprices the 7Y exposure by INTERPOLATING the 5Y and 10Y factors, and widens the 5Y own bucket to absorb the 7Y trades (legal: the bucket still holds ONE RTPL factor). Compare two days:</t>
  </si>
  <si>
    <t>Day</t>
  </si>
  <si>
    <t>5Y spr</t>
  </si>
  <si>
    <t>7Y spr</t>
  </si>
  <si>
    <t>10Y spr</t>
  </si>
  <si>
    <t>HPL (front office)</t>
  </si>
  <si>
    <t>RTPL — narrow (true 7Y)</t>
  </si>
  <si>
    <t>RTPL — coarse (7Y interp. of 5Y/10Y)</t>
  </si>
  <si>
    <t>Calm / parallel</t>
  </si>
  <si>
    <t>+5bp</t>
  </si>
  <si>
    <t>−$300k</t>
  </si>
  <si>
    <t>−$300k  ✓ match</t>
  </si>
  <si>
    <t>Credit TWIST</t>
  </si>
  <si>
    <t>+2bp</t>
  </si>
  <si>
    <t>+8bp</t>
  </si>
  <si>
    <t>+3bp</t>
  </si>
  <si>
    <t>−$480k</t>
  </si>
  <si>
    <t>−$480k  ✓ match</t>
  </si>
  <si>
    <t>≈ −$144k  ✗ $336k gap</t>
  </si>
  <si>
    <t>On the twist day the front office reprices the ACTUAL +8bp 7Y spread move (HPL = −$480k @ $60k/bp), but the coarse engine only sees the interpolated +2.4bp (RTPL ≈ −$144k: 2 + (3−2)×(7−5)/(10−5)) — it no longer has a 7Y factor to carry the hump, and unlike the (blocked) blended 2a engine it does not even see the 7Y quote. A $336k gap opens — BIGGER than 2a's would have been (≈ −$258k). Calm days match; every credit-curve twist / flattening diverges.</t>
  </si>
  <si>
    <t>5 · The consequence chain (route 2)</t>
  </si>
  <si>
    <t>Drop the bank-added 7Y &amp; interpolate (route 2b) → coarse RTPL → HPL−RTPL diverges on every credit-curve twist → over the 250-day window Spearman ↓ (e.g. 0.95 → 0.72 — already below the 0.80 amber line) and KS ↑ (&gt; 0.12 — RED on its own; red zone = Spearman &lt; 0.70 OR KS &gt; 0.12, MAR32.42, Table 2) → desk in the PLA RED zone → desk loses IMA (MAR32.43) → the WHOLE desk falls to the Standardised Approach. The capital jump dwarfs the NMRF add-on the desk tried to dodge. (Route 2a — blending across 5Y &amp; 10Y — never even reaches PLA: it dies at the MAR31.3 floor.)</t>
  </si>
  <si>
    <t>6 · Bottom line</t>
  </si>
  <si>
    <t>PLA fails when the RTPL GRID is too coarse to track HPL — NOT because an RFET bucket is wide. So the honest answers for a thin tenor are route 1 (NMRF, keep RTPL fine) or route 3 (regulatory pooling, keep RTPL fine). Never route 2. You may only CLAIM a factor modellable if your model genuinely USES it at that resolution: modellable → IMA; unmodellable → NMRF; and you cannot disguise the second as the first. The SA floor bounds the whole game: legal coarsening stops at the SA vertex grid (31.3).</t>
  </si>
  <si>
    <t>Special Cases &amp; Maintenance Rules (MAR31.17–31.21)</t>
  </si>
  <si>
    <t>Counting, ageing, parametric curves, and systematic factors.</t>
  </si>
  <si>
    <t>Clause</t>
  </si>
  <si>
    <t>Rule</t>
  </si>
  <si>
    <t>Practical implication</t>
  </si>
  <si>
    <t>31.17 — Pooling</t>
  </si>
  <si>
    <t>All real prices allocated to a bucket count toward EVERY risk factor in that bucket; a price must be allocated to a bucket it is representative of.</t>
  </si>
  <si>
    <t>This is what lets sparse curve/surface points pass — observations are shared within a bucket.</t>
  </si>
  <si>
    <t>31.18 — Ageing / roll-down</t>
  </si>
  <si>
    <t>As instruments mature, observations stay in their original bucket; when a credit-spread point is no longer modelled, its prices may be re-allocated to the adjacent SHORTER maturity bucket. Each price counts in ONLY one bucket.</t>
  </si>
  <si>
    <t>A 4Y bond observed 8 months ago may sit in the 1.5–3.5y bucket rather than 3.5–7.5y. No double-counting across buckets.</t>
  </si>
  <si>
    <t>31.19 — Parametric curves</t>
  </si>
  <si>
    <t>If the curve/surface is a parametric function and its PARAMETERS are the risk factors (e.g. SABR, Nelson-Siegel), the RFET is passed on the underlying MARKET DATA used to calibrate, not on the parameters themselves.</t>
  </si>
  <si>
    <t>You cannot observe 'the SABR β' in the market — so test the inputs. Mirrors Principle 1 (PCA / latent params).</t>
  </si>
  <si>
    <t>31.20 — Systematic factors</t>
  </si>
  <si>
    <t>Systematic credit/equity factors (market/region/sector) are allowed; the issuer-specific IDIOSYNCRATIC part is NMRF unless that issuer itself has enough real prices. Index/name prices can represent a systematic factor if they share its attributes.</t>
  </si>
  <si>
    <t>Index proxy captures general risk; the idiosyncratic residual is the NMRF / PLA risk (ties to Principle 2 &amp; 7).</t>
  </si>
  <si>
    <t>31.21 — Systematic + maturity</t>
  </si>
  <si>
    <t>If a systematic factor has a maturity axis (e.g. a sector credit-spread curve), one of the bucketing approaches MUST be applied to that axis to count observations.</t>
  </si>
  <si>
    <t>Even market-wide curves get bucketed on tenor — row C for credit/equity.</t>
  </si>
  <si>
    <t>MAR31.20 worked example — systematic vs idiosyncratic (Credit desk)</t>
  </si>
  <si>
    <t>Set-up</t>
  </si>
  <si>
    <t>The Credit desk prices an ACME Corp bond/CDS as two pieces: a SYSTEMATIC sector factor + an ISSUER-SPECIFIC (idiosyncratic) residual.</t>
  </si>
  <si>
    <t>Systematic factor</t>
  </si>
  <si>
    <t>EUR IG-Industrials sector credit-spread factor — captures market/sector-wide moves. Backed by a LIQUID index (e.g. iTraxx / CDX or a sector CDS index).</t>
  </si>
  <si>
    <t>→ modellable?</t>
  </si>
  <si>
    <t>YES — the index's real trades represent it (they 'share the same attributes': sector, region, quality, per 31.20). Goes in the ES model.</t>
  </si>
  <si>
    <t>Idiosyncratic residual</t>
  </si>
  <si>
    <t>ACME's own spread MINUS the sector factor — the name-specific part. ACME single-name CDS is illiquid: ~12 real trades/yr.</t>
  </si>
  <si>
    <t>NO — fails the RFET on its own trades → NON-MODELLABLE RISK FACTOR (NMRF) → separate stressed (SES) capital add-on, unless ACME itself gets ≥24 real prices.</t>
  </si>
  <si>
    <t>Equity analogue</t>
  </si>
  <si>
    <t>A sector / market BETA factor is modellable from an index; the SINGLE-STOCK residual is NMRF unless the stock trades enough.</t>
  </si>
  <si>
    <t>Ties to</t>
  </si>
  <si>
    <t>Principle 2 (capture idiosyncratic AND general risk) and Principle 7 (proxies: index captures general, residual basis must be capitalised).</t>
  </si>
  <si>
    <t>→ 31.19 worked example below (rows 41+): the FX vol surface as a 3-parameter smile — RFET passed on the ATM/RR/BF calibration quotes. The same principle governs SABR / Nelson-Siegel parameters (you cannot observe β in the market — test the inputs).</t>
  </si>
  <si>
    <t>MAR31.17 worked example — the pooling SUBSIDY (sentence 1) vs the representativeness BILL (sentence 2)</t>
  </si>
  <si>
    <t>Set-up (subsidy)</t>
  </si>
  <si>
    <t>RTPL holds ACME 5Y and ACME 7Y credit-spread factors; both sit in regulatory row C bucket 3 (3.5–7.5y). The year brings 40 real trades ~5Y and 12 ~7Y. Alone, the 7Y fails (12 &lt; 24). Pooled, the bucket holds 52 observations and EVERY factor in the bucket — the 7Y included — is assessed on all 52 (sentence 1). Both pass.</t>
  </si>
  <si>
    <t>The bill (sentence 2)</t>
  </si>
  <si>
    <t>Each price must be allocated to a bucket for which it is REPRESENTATIVE of the risk factors in it. Representative (31.15) = the bank can EXTRACT the factor's value from the price, under written mapping policies the supervisor can inspect. The 40 borrowed 5Y trades count toward the 7Y only through that claim.</t>
  </si>
  <si>
    <t>Candidate observation</t>
  </si>
  <si>
    <t>In 3.5–7.5y band?</t>
  </si>
  <si>
    <t>Representative of ACME 7Y?</t>
  </si>
  <si>
    <t>Counts toward ACME 7Y?</t>
  </si>
  <si>
    <t>ACME 5Y CDS trade</t>
  </si>
  <si>
    <t>Yes</t>
  </si>
  <si>
    <t>YES — same name, seniority, doc clause; a curve model extracts the 7Y point from a 5Y price</t>
  </si>
  <si>
    <t>✓ counts — the legitimate borrow</t>
  </si>
  <si>
    <t>DEF Corp 5Y CDS trade</t>
  </si>
  <si>
    <t>NO — different issuer = different risk factor (categorical attributes must match exactly; the tenor band was never the only coordinate)</t>
  </si>
  <si>
    <t>✗ does not count</t>
  </si>
  <si>
    <t>iTraxx Europe 5Y index trade</t>
  </si>
  <si>
    <t>Only of the SYSTEMATIC sector factor (31.20) — not of ACME's name-specific spread</t>
  </si>
  <si>
    <t>✗ for ACME 7Y (✓ for the sector curve's bucket)</t>
  </si>
  <si>
    <t>ACME 3.6y trade → a 7.4y factor</t>
  </si>
  <si>
    <t>STRETCH — both ends of the band, but a 3.6y price says little about 7.4y in a steepening; the extraction claim is thin</t>
  </si>
  <si>
    <t>✓ only if defended; supervisor can challenge, and 31.23 can force NMRF even after an RFET pass</t>
  </si>
  <si>
    <t>Moral: regulatory pooling converts a COUNTING problem into an EVIDENCE problem — the marginal observations that lift a thin factor over 24 are exactly the borrowed ones resting on an argument, not on identity. Under OWN bucketing sentence 2 barely arises: each bucket IS one factor, so every observation is the factor's own evidence. Both approaches face 31.25 (source accuracy) equally; only regulatory pooling faces sentence 2 doing real work. Backstop: 31.23 — supervisor may deem the data unsuitable and push the factor to NMRF despite an RFET pass.</t>
  </si>
  <si>
    <t>31.17 in THREE dimensions — the swaption cube: what prints daily, what a 'wing' is, and where pooling stops</t>
  </si>
  <si>
    <t>The cube</t>
  </si>
  <si>
    <t>A swaption vol risk factor is a TRIPLE: (option expiry, underlying swap tenor, strike δ) — '2Y into 10Y at δ0.5' = an option expiring in 2y on a swap that then runs 10y, struck ATM. A regulatory bucket is therefore a BOX: one row-C band (expiry) × one row-B band (tenor) × one row-D band (strike).</t>
  </si>
  <si>
    <t>What prints daily</t>
  </si>
  <si>
    <t>Brokers quote vols daily at the BENCHMARK expiry×tenor pairs, almost always at-the-money: 1Y×10Y, 2Y×10Y, 5Y×5Y, 3M×2Y… Each committed quote is ONE real-price observation at coordinates (that expiry, that tenor, δ≈0.5). Away from the benchmark pairs (odd combinations like 2.5Y×12Y) and away from ATM, quotes are sporadic.</t>
  </si>
  <si>
    <t>'Wings' — two senses</t>
  </si>
  <si>
    <t>Strictly, wings = the far-from-ATM ends of the STRIKE axis (deep OTM/ITM, δ near 0.05 or 0.95 — smile terminology). Loosely, 'wings' gets used for ANY sparse off-benchmark region of the cube. The two behave DIFFERENTLY under pooling — see the two worked rows below.</t>
  </si>
  <si>
    <t>Where pooling HELPS</t>
  </si>
  <si>
    <t>Factor (expiry 2.5Y, tenor 12Y, δ0.60) — off-benchmark, itself almost never traded. Its box: expiry 1.5–3.5y (C2) × tenor 10–18y (B4) × δ 0.3–0.7 (D3). The daily 2Y×10Y ATM quote lands in the SAME box (2Y∈C2 ✓, 10Y∈B4 ✓, δ0.5∈D3 ✓); so do 3Y×15Y ATM prints → ~250 obs/yr in the box → it passes the RFET and EVERY factor in it is modellable (31.17), including the untraded 2.5Y×12Y point. Under OWN bucketing that point would stand alone on its own trades → NMRF. This is why the cube elects REGULATORY in the 40-sheet table.</t>
  </si>
  <si>
    <t>Where pooling STOPS</t>
  </si>
  <si>
    <t>Pooling NEVER crosses a band boundary. Factor (2Y, 10Y, δ0.85) sits in D4 (0.7–0.95): the daily ATM prints (D3) count for NOTHING there. That box only receives prints from actual OTM/collar trades — if there aren't ≥24 with the 90-day density, the point is an NMRF, full stop.</t>
  </si>
  <si>
    <t>Deep wings &amp; band widths</t>
  </si>
  <si>
    <t>The middle strike band D3 (0.3–0.7) is deliberately BROAD, so near-ATM strikes pool generously with the ATM benchmark flow. The outermost bands (D1: δ&lt;0.05, D5: δ≥0.95) are narrow AND thinly traded — the classic residual NMRFs on a swaption desk. Their SES may, with approval, be computed at bucket level using these same buckets (MAR33.16).</t>
  </si>
  <si>
    <t>Moral</t>
  </si>
  <si>
    <t>The regulatory election lets benchmark liquidity carry off-benchmark model points WITHIN each 3-D box — off-benchmark expiry×tenor combinations and near-ATM strikes ride the daily prints; the deep strike wings sit in their own D-bands and typically stay NMRF. 'Wide boxes' are a subsidy with a hard edge: the band boundary.</t>
  </si>
  <si>
    <t>31.19 worked example — FX vol surface as a 3-parameter smile (ATM / RR / BF): the RFET is passed on the CALIBRATION QUOTES</t>
  </si>
  <si>
    <t>The market quotes</t>
  </si>
  <si>
    <t>FX options are not quoted strike-by-strike. Per expiry, brokers quote three instruments: ATM straddle vol (the smile's LEVEL), 25Δ risk reversal RR = vol(25Δ call) − vol(25Δ put) (the SKEW), and 25Δ butterfly BF = average of the 25Δ wings − ATM (the CURVATURE). E.g. 1Y EURUSD: ATM 7.0%, RR −0.8%, BF +0.25% → 25Δ put vol = ATM + BF − RR/2 = 7.65%; 25Δ call vol = 6.85%.</t>
  </si>
  <si>
    <t>The model / RTPL factors</t>
  </si>
  <si>
    <t>The desk stores THREE parameters per expiry pillar (1W, 1M, 3M, 6M, 1Y, 2Y…): ATM, RR, BF — not a dense strike grid. These parameters ARE the risk factors in the model and hence in RTPL.</t>
  </si>
  <si>
    <t>The 31.19 rule</t>
  </si>
  <si>
    <t>Parameters of a functional form are not directly traded, so the RFET must be passed at the level of the MARKET DATA used to calibrate them — not at the parameter level. FX is the friendly case: the calibration inputs are themselves COMMITTED broker quotes (ATM/RR/BF — real prices per 31.12(3)), so those are what get counted.</t>
  </si>
  <si>
    <t>Why the desk elects OWN</t>
  </si>
  <si>
    <t>Each own bucket must hold exactly ONE RTPL factor — and this desk has exactly three strike-dimension factors per expiry. So it draws expiry bands around its quoted pillars and strike ranges matching each parameter (ATM region → ATM factor; 25Δ wing quotes → RR/BF). ONE segmentation then serves RFET + RTPL + PLA — footnote 5's 'same buckets' requirement satisfied by construction. EURUSD pillars are deeply liquid → every bucket gets ≥24 obs from its OWN quotes: no pooling, no representativeness debate. (The EBA modellability RTS explicitly contemplates own strike ranges per ATM / skew / smile parameter.)</t>
  </si>
  <si>
    <t>Why NOT regulatory</t>
  </si>
  <si>
    <t>The fixed row-D bands (0.05 / 0.3 / 0.7 / 0.95) do not map to ATM/RR/BF — 25Δ quotes land in D2, ATM in D3, and no band corresponds to 'the RR factor' or 'the BF factor'. The desk has no thin points needing the pooling subsidy (contrast the swaption cube above), so regulatory would add a quote→band mapping layer for nothing.</t>
  </si>
  <si>
    <t>fn6 (δ conventions)</t>
  </si>
  <si>
    <t>Row-D δ is 'probability of finishing ITM'; market Δ conventions (spot vs forward delta, premium-adjusted or not) differ — a market 25Δ is not exactly regulatory δ = 0.25. Under REGULATORY bucketing each quote's market Δ must be converted to regulatory δ with approved pricing models (fn6). Own bucketing in the market's native Δ convention removes that friction.</t>
  </si>
  <si>
    <t>Liquid pillars + a parametric smile → draw own buckets ≡ the parameter factors, count the calibration quotes (31.19), and skip both the pooling you don't need and the δ-conversion you would otherwise owe. The swaption cube above is the mirror image: sparse off-benchmark points → elect regulatory and take the pooling subsidy.</t>
  </si>
  <si>
    <t>Parameters vs data — one rule</t>
  </si>
  <si>
    <t>The RFET never tests parameters; it ALWAYS tests the calibration DATA. FX only looks parameter-tested because the quote basis coincides with the parameter basis — one committed quote per parameter (ATM / RR / BF). For SABR or Nelson–Siegel the two levels separate: nobody quotes β — the data are vanilla option quotes across strikes and expiries, counted in the surface's buckets, with each parameter evidenced by the REGION of quotes that identifies it (ATM-region quotes → the level parameter; wing quotes → the skew/smile parameters — the EBA modellability RTS codifies this region-to-parameter mapping). The factor set never changes: the parameters remain the RTPL/ES risk factors in both cases — 31.19 relocates the EVIDENCE collection, not the factor definitions.</t>
  </si>
  <si>
    <t>Quantifying the Split — Systematic (modellable) vs Idiosyncratic / Proxy Basis (NMRF)</t>
  </si>
  <si>
    <t>Numerical companions to 31.20 (systematic credit/equity), 31.5 &amp; 31.26 Principle 7 (proxies), 31.22 (calibration data ≠ RFET data) and MAR33.16 (SES). All calibrations ILLUSTRATIVE — replace with own data. Gaussian 97.5% ES multiplier 2.34 used throughout; σ's quoted from the worst 12-month (stress) window.</t>
  </si>
  <si>
    <t>1 · CREDIT — index-mapped SYSTEMATIC factor + idiosyncratic residual left as NMRF (31.20)</t>
  </si>
  <si>
    <t>Desk holds $10m 5Y CDS on XYZ Corp (EUR IG Industrials; CS01 ≈ $4.6k per bp) — the calculator's thin name: ~12 real prices/yr, so the full name-specific spread FAILS the RFET. The desk therefore models the spread as   s_XYZ(t) = β · s_SECTOR(t) + s_RESID(t),   where s_SECTOR is a EUR IG-Industrials sector credit-spread curve backed by liquid iTraxx Europe / sector-index trades (shares the sector's attributes: region EUR, quality IG, sector Industrials → those trades REPRESENT it, 31.20; its maturity axis is bucketed row C per 31.21 and passes the RFET with hundreds of prints).</t>
  </si>
  <si>
    <t>How the split is QUANTIFIED — 31.22 lets calibration use vendor marks even though the RFET counts real prices; P7(a): β must be EMPIRICAL, never judgment:</t>
  </si>
  <si>
    <t>Quantity</t>
  </si>
  <si>
    <t>Value</t>
  </si>
  <si>
    <t>How obtained</t>
  </si>
  <si>
    <t>Notes</t>
  </si>
  <si>
    <t>Regression</t>
  </si>
  <si>
    <t>Δs_XYZ = β·Δs_SECTOR + ε</t>
  </si>
  <si>
    <t>weekly changes, 2y window (104 obs) of vendor consensus marks</t>
  </si>
  <si>
    <t>re-estimate at least every 2 weeks (Principle 5)</t>
  </si>
  <si>
    <t>Beta β</t>
  </si>
  <si>
    <t>1.25</t>
  </si>
  <si>
    <t>OLS slope</t>
  </si>
  <si>
    <t>high-beta name within its sector; empirical per P7(a)</t>
  </si>
  <si>
    <t>σ(Δs_SECTOR), weekly</t>
  </si>
  <si>
    <t>6.0 bp</t>
  </si>
  <si>
    <t>sample st.dev.</t>
  </si>
  <si>
    <t>the systematic driver</t>
  </si>
  <si>
    <t>σ(ε), weekly (residual)</t>
  </si>
  <si>
    <t>4.0 bp</t>
  </si>
  <si>
    <t>regression residuals</t>
  </si>
  <si>
    <t>the idiosyncratic component</t>
  </si>
  <si>
    <t>R² (variance explained)</t>
  </si>
  <si>
    <t>≈ 0.78</t>
  </si>
  <si>
    <t>(1.25·6)² / [(1.25·6)² + 4²] = 56.25 / 72.25</t>
  </si>
  <si>
    <t>'significant explanatory power' required, P7(a)</t>
  </si>
  <si>
    <t>Daily P&amp;L split</t>
  </si>
  <si>
    <t>systematic = β·Δs_SECTOR·CS01;  idio = ε·CS01</t>
  </si>
  <si>
    <t>same β as the ES model</t>
  </si>
  <si>
    <t>keeps RTPL consistent with the decomposition</t>
  </si>
  <si>
    <t>RFET / capital treatment of the two components:</t>
  </si>
  <si>
    <t>Component</t>
  </si>
  <si>
    <t>RFET outcome</t>
  </si>
  <si>
    <t>Capital treatment</t>
  </si>
  <si>
    <t>Systematic sector factor s_SECTOR</t>
  </si>
  <si>
    <t>MODELLABLE — index &amp; constituent trades represent it (31.20); hundreds of obs across row-C buckets (31.21)</t>
  </si>
  <si>
    <t>→ ES model (diversifies with the rest of the book)</t>
  </si>
  <si>
    <t>Idiosyncratic residual s_RESID</t>
  </si>
  <si>
    <t>NMRF — it needs XYZ's OWN real prices: 12/yr &lt; 24</t>
  </si>
  <si>
    <t>→ SES stress-scenario add-on (MAR33.16); ZERO-correlation aggregation across idio credit NMRFs allowed with supervisor demonstration (33.16(2))</t>
  </si>
  <si>
    <t>What the decomposition is WORTH — SES on a 40-day IG credit-spread horizon (MAR33.12 LH = 40d ⇒ √8 weekly scaling; move = weekly σ × √8 × 2.34):</t>
  </si>
  <si>
    <t>Treatment</t>
  </si>
  <si>
    <t>Stressed 40-day move</t>
  </si>
  <si>
    <t>SES charge</t>
  </si>
  <si>
    <t>In the ES model</t>
  </si>
  <si>
    <t>Comment</t>
  </si>
  <si>
    <t>No decomposition — whole XYZ spread as NMRF</t>
  </si>
  <si>
    <t>8.5 bp × √8 × 2.34 ≈ 56 bp   (8.5 = √(56.25+16) total σ)</t>
  </si>
  <si>
    <t>56.3 bp × $4.6k ≈ $259k</t>
  </si>
  <si>
    <t>nothing</t>
  </si>
  <si>
    <t>punitive; no diversification, full spread stressed</t>
  </si>
  <si>
    <t>With decomposition — only the residual as NMRF</t>
  </si>
  <si>
    <t>4.0 bp × √8 × 2.34 ≈ 26 bp</t>
  </si>
  <si>
    <t>26.5 bp × $4.6k ≈ $122k</t>
  </si>
  <si>
    <t>the systematic 78% of variance</t>
  </si>
  <si>
    <t>saves ≈ $137k (~53%) on ONE name; scales across the book</t>
  </si>
  <si>
    <t>IF XYZ LATER PRINTS ≥24 REAL PRICES/YR (incl. the 90-day density — re-tested QUARTERLY): the RESIDUAL component becomes modellable — 31.20's own wording: idiosyncratic risk is NMRF 'unless there are sufficient real price observations of that issuer' — and its capital routing flips SES → ES. THE DECOMPOSITION STAYS: the factor-model architecture is the model (Principle 1), not a workaround for missing prints — β keeps driving the daily P&amp;L split, the hedge analytics and RTPL. Keeping the split constant means a quarterly RFET flip changes ONLY the residual's capital treatment (one line in the NMRF register) — never the model, the RTPL, or the PLA time series. A bank MAY instead re-model the whole spread as one directly-calibrated factor once it passes — permitted, but a name hovering at 22–26 prints flips across the boundary quarter to quarter, and re-architecting on every flip is a model change (validation, supervisor notification, an RTPL structural break) each time. The regression does not become meaningless — it becomes fully funded: the same machinery now feeds an ES factor with diversification benefit instead of a punitive SES add-on.</t>
  </si>
  <si>
    <t>2 · EQUITY — thin single name: CHOOSING a substitute risk factor (proxy) &amp; quantifying the basis NMRF (31.5, 31.26-P7)</t>
  </si>
  <si>
    <t>Desk is long €8m NovaTech AG (DACH mid-cap, industrial software; sporadic block trades → ~15 real prices/yr → the NovaTech spot factor FAILS the RFET; total weekly σ = 4.0%). Two candidate proxies, both liquid and modellable — P7: a proxy must match REGION, QUALITY and TYPE, with a track record (31.5):</t>
  </si>
  <si>
    <t>Candidate proxy</t>
  </si>
  <si>
    <t>Region</t>
  </si>
  <si>
    <t>Sub-industry</t>
  </si>
  <si>
    <t>Size / balance-sheet</t>
  </si>
  <si>
    <t>β (OLS, 2y weekly)</t>
  </si>
  <si>
    <t>ρ (corr., R²)</t>
  </si>
  <si>
    <t>Residual σ, weekly</t>
  </si>
  <si>
    <t>STOXX Europe 600 Technology (index)</t>
  </si>
  <si>
    <t>Europe ~ (broad)</t>
  </si>
  <si>
    <t>Tech ~ (broad)</t>
  </si>
  <si>
    <t>large-cap ✗</t>
  </si>
  <si>
    <t>1.10</t>
  </si>
  <si>
    <t>0.68  (R² 0.46)</t>
  </si>
  <si>
    <t>2.9%  = 4%·√(1−0.46)</t>
  </si>
  <si>
    <t>TechnoSys SE (peer stock)</t>
  </si>
  <si>
    <t>DACH ✓</t>
  </si>
  <si>
    <t>industrial software ✓</t>
  </si>
  <si>
    <t>mid-cap, similar leverage ✓</t>
  </si>
  <si>
    <t>0.95</t>
  </si>
  <si>
    <t>0.78  (R² 0.61)</t>
  </si>
  <si>
    <t>2.5%  = 4%·√(1−0.61)</t>
  </si>
  <si>
    <t>Selection: the PEER STOCK dominates on attribute match, correlation and residual σ → proxy = 0.95 × TechnoSys. Document the track record (31.5); re-estimate β at least every 2 weeks (P5). RTPL rule (P7(b)): the PROXY representation — not NovaTech itself — goes into RTPL, UNLESS the basis (NovaTech − 0.95·TechnoSys) is identified and capitalised (in ES if modellable, else as NMRF); once the basis is properly capitalised, RTPL may carry either proxy+basis or the actual factor.</t>
  </si>
  <si>
    <t>Quantifying the basis NMRF — equity small-cap LH 20d = 4 weeks (MAR33.12; ≥20d floor per 33.16(1)); move = weekly σ × √4 × 2.34:</t>
  </si>
  <si>
    <t>Stressed 20-day move</t>
  </si>
  <si>
    <t>SES</t>
  </si>
  <si>
    <t>No proxy — whole NovaTech position as NMRF</t>
  </si>
  <si>
    <t>4.0% × √4 × 2.34 ≈ 19%</t>
  </si>
  <si>
    <t>€8m × 18.7% ≈ €1.50m</t>
  </si>
  <si>
    <t>worst case: nothing in ES, everything stressed</t>
  </si>
  <si>
    <t>Index proxy — basis as NMRF</t>
  </si>
  <si>
    <t>2.9% × √4 × 2.34 ≈ 13.7%</t>
  </si>
  <si>
    <t>≈ €1.10m</t>
  </si>
  <si>
    <t>weak proxy leaves a fat basis</t>
  </si>
  <si>
    <t>Peer-stock proxy — basis as NMRF</t>
  </si>
  <si>
    <t>2.5% × √4 × 2.34 ≈ 11.7%</t>
  </si>
  <si>
    <t>≈ €0.94m</t>
  </si>
  <si>
    <t>best proxy → smallest NMRF; the systematic part lives in ES and RTPL stays PLA-aligned</t>
  </si>
  <si>
    <t>Proxy choice is itself a capital AND attribution lever: peer stock vs index saves ≈ €160k of SES on one name and tightens HPL−RTPL (PLA). Zero-correlation aggregation across idiosyncratic equity NMRFs is permitted with demonstration (33.16(2)). If NovaTech later prints ≥24 real prices/yr, the actual factor passes the RFET and the proxy scaffolding can be retired.</t>
  </si>
  <si>
    <t>NMRF HOUSEKEEPING — BUCKET-LEVEL SES (MAR33.16), a separate concession unrelated to any single name's flip: for whatever REMAINS non-modellable on a curve/surface/cube (other names' residuals, stranded long tenors like the HUF 15Y, deep strike wings), the bank may — with supervisory approval — compute ONE stress-scenario charge per MAR31.16 BUCKET, using the SAME buckets it used to disprove modellability, instead of one charge per risk factor. An operational concession for sparse regions of the grid; it changes how the SES bill is computed, never who owes it.</t>
  </si>
  <si>
    <t>PRECISION ON THE MECHANICS: the stress PERIOD is never per-NMRF — MAR33.16 fixes ONE common 12-month window per RISK CLASS. What is per-NMRF by default is the SCENARIO: the calibrated extreme shock within that window, scaled to max(LH, 20d), at ≥97.5%-ES prudence. The bucket concession consolidates the SCENARIO, not the period — one joint shock for all the bucket's NMRFs — and thereby implicitly grants INTRA-BUCKET NETTING: under per-factor scenarios a long-13Y / short-15Y pair is stressed adversely on BOTH legs, while one joint bucket scenario lets the hedge offset. That is why approval is required, and why the buckets must be the SAME ones that disproved modellability — the geometry that earned the pooling benefit is the only one allowed to earn the netting benefit. Aggregation across buckets stays per MAR33.17.</t>
  </si>
  <si>
    <t>The Seven Data Principles (MAR31.25–31.26) — the rent a factor pays to STAY in the ES model</t>
  </si>
  <si>
    <t>Applied AFTER a factor passes the RFET, to the data used to CALIBRATE the ES model (which need not be the RFET data, 31.22). 31.25 chapeau: never rely on observation COUNTS alone — source ACCURACY matters. 31.26 chapeau: banks must demonstrate the principles to their supervisor; principles unmet ⇒ the supervisor may deem the data unsuitable and the factor becomes an NMRF DESPITE the RFET pass (31.23). The RFET is the entry ticket; these principles are the rent.</t>
  </si>
  <si>
    <t>Principle</t>
  </si>
  <si>
    <t>What it requires (gist of the text)</t>
  </si>
  <si>
    <t>Where it bites in this workbook</t>
  </si>
  <si>
    <t>P1</t>
  </si>
  <si>
    <t>Combinations of modellable factors</t>
  </si>
  <si>
    <t>Factors derived solely from combinations of modellable factors are modellable (multifactor betas, PCA, stochastic-vol parameters). BUT: a factor built from points in DISTINCT buckets of a curve must itself pass the RFET; interpolation must be consistent with the PLA/RTPL mapping — never a broader, alternative bucketing; extrapolation only up to a reasonable distance, from MORE than one modellable factor, with supervisor approval, and it must be reflected in RTPL.</t>
  </si>
  <si>
    <t>The RTPL-mapping consistency rule is the same discipline as 31.16(1)(a) — see 45_guardrail; parametric factors (FX smile ATM/RR/BF, SABR) → 50 rows 41–48 (31.19).</t>
  </si>
  <si>
    <t>P2</t>
  </si>
  <si>
    <t>Idiosyncratic AND general market risk</t>
  </si>
  <si>
    <t>The data must let the model pick up BOTH general market risk (co-movement with indices) and idiosyncratic risk (issue-specific: default provisions, maturity, seniority). Whichever component the data cannot support must be capitalised as NMRF.</t>
  </si>
  <si>
    <t>Exactly the systematic-vs-idio split: 50 rows 11–19 (31.20 example) and 55 §1 (XYZ Corp: sector factor in ES, residual as NMRF, SES $259k → $122k).</t>
  </si>
  <si>
    <t>P3</t>
  </si>
  <si>
    <t>Volatility &amp; correlation fidelity</t>
  </si>
  <si>
    <t>Do not understate volatility (no convenient averaging, no smoothing proxies); correlations must be reasonable approximations of correlations among REAL price observations; transformations must not understate vol or distort correlation.</t>
  </si>
  <si>
    <t>The smooth-series pathology on 05 §1: interpolated XYZ 7Y shows ρ≈1 with 5Y and a third of the true twist risk — precisely what P3 exists to catch.</t>
  </si>
  <si>
    <t>P4</t>
  </si>
  <si>
    <t>Data reflective of real prices — the standing recon</t>
  </si>
  <si>
    <t>Data must reflect prices observed/quoted in the market; where not derived from real prices, demonstrate they are reasonably representative; PERIODICALLY RECONCILE risk-model prices against front-office AND back-office prices, and against real price observations. Document how risk factors are derived.</t>
  </si>
  <si>
    <t>05 §2 'POLICE' row — the post-pass life of the prices; the recon is why observations are never thrown away after the pass.</t>
  </si>
  <si>
    <t>P5</t>
  </si>
  <si>
    <t>Update frequency</t>
  </si>
  <si>
    <t>Update model data as often as possible — monthly at MINIMUM, preferably daily; maintain a workflow for data-source updates; re-estimate regressions at least every TWO WEEKS; calibrate pricing models to market no less often than front office; clear backfill/gap-fill policies.</t>
  </si>
  <si>
    <t>55 §1/§2: the β of the XYZ decomposition and the NovaTech proxy are flagged for ≥ fortnightly re-estimation — that flag IS P5.</t>
  </si>
  <si>
    <t>P6</t>
  </si>
  <si>
    <t>Stress-period data (ES_R,S)</t>
  </si>
  <si>
    <t>Data for the stressed ES must reflect prices observed/quoted in the ACTUAL stress period, sourced from that period wherever possible; differences must be empirically justified. If current-product data cannot be justified for the stress window, OMIT the factor from the stressed period and meet MAR33.5(2)(b): the reduced factor set must still explain ≥75% of the fully-specified ES. Name-specific factors that did not exist in the stress period: their idiosyncratic part is presumed OUT of the reduced set; map exposures to the most suitable reduced-set factor.</t>
  </si>
  <si>
    <t>The stress-window σ's used for the SES illustrations on 55 are the P6 discipline in miniature (worst-12m calibration).</t>
  </si>
  <si>
    <t>P7</t>
  </si>
  <si>
    <t>Proxies — limited, similar, empirical</t>
  </si>
  <si>
    <t>Proxies must be limited and sufficiently similar to what they represent (region, quality, type); multifactor models need significant explanatory power, empirically-based betas (never judgment — judgment-set coefficients ⇒ treat as NMRF), residual idiosyncratic risk demonstrably uncorrelated across issuers, and an assessment of proxy uncertainty. P7(b), the punchline: if a proxy represents the factor in the ES model, the PROXY — not the actual factor — must be used in RTPL, UNLESS the basis is identified and properly capitalised (in ES if modellable, else NMRF); only then may RTPL carry proxy+basis or the actual factor.</t>
  </si>
  <si>
    <t>55 §2 end-to-end (NovaTech: candidate scoring, peer-stock selection, basis SES €0.94m); P7(b) is the standard remediation for PLA failures — the RTPL/proxy alignment rule.</t>
  </si>
  <si>
    <t>Reading order for a video walkthrough: 05 (why real prices) → RFET pass → 31.22 (calibrate on richer data) → THIS SHEET (the seven ongoing conditions) → 31.23 (the supervisor's NMRF lever). The principles are where modellability stops being a counting exercise and becomes a data-governance obligation.</t>
  </si>
  <si>
    <t>P1 DEEP-CUT — TWO ALLOCATION SYSTEMS, ONE CLAMP. Buckets allocate PRINTS discretely (each real price counts in ONE bucket, 31.18) — that is the COUNTING geometry. Interpolation allocates SENSITIVITIES continuously (a 6.4y position reprices off the fitted curve, ~30/70 onto the 5Y and 7Y factors) — that is the RISK mapping, and P1(a) requires the SAME weights in ES data and RTPL. The clamp: pillars lend their VALUES, never their MODELLABILITY — a derived point promoted to a FACTOR across buckets must pass its OWN RFET, which is what blocks the chain reaction (6Y from 5Y+7Y, then 6.5Y from 6Y…: a lattice of pseudo-modellable factors with no prints). Compression of evidence (PCA, betas, smile parameters) is welcome; multiplication of it is not. One-liner: an interpolated point is built from adjacent RFET-proven pillars, and the mapping ASSERTS the point carries no material risk beyond what they imply — an assertion PLA tests daily; if it fails, the point becomes its own factor (own RFET) or its residual is charged as NMRF.</t>
  </si>
  <si>
    <t>LIVE CALCULATOR — Real-Price Observations → Buckets</t>
  </si>
  <si>
    <t>WHITE cells = input. GREY cells = auto-derived (rows, bucket indices, risk-factor key). Results roll up to 70_rfet_results. Illustrative sample data included — overwrite with your own.</t>
  </si>
  <si>
    <t>As-of date →</t>
  </si>
  <si>
    <t>Real price = MAR31.12 (collateral reconciliations or valuations are NOT real prices): (1) own trade, (2) verified arm's-length trade, (3) committed quote (verified via vendor/platform/exchange), (4) qualifying third-party vendor price.   NOTE: the risk-factor key below buckets only the CONTINUOUS axes (tenor/expiry/strike); it ASSUMES a single fixed currency &amp; underlying. Mixing currencies/underlyings in one sheet would conflate distinct risk factors — keep one currency+underlying per calculator (or extend the key).   LIMITATION: Dim2 auto-bucketing is ONLY for the swaption expiry axis (row C). The SECOND maturity axis of a NON-swaption several-maturity-dims factor (a B×B object, e.g. forward-starting swap) is NOT auto-bucketed here — bucket it per row B manually / extend the key before relying on 70_rfet_results.</t>
  </si>
  <si>
    <t>Obs ID</t>
  </si>
  <si>
    <t>Obs date</t>
  </si>
  <si>
    <t>Instrument</t>
  </si>
  <si>
    <t>RF class
(IR/FX/Commodity/Credit/Equity)</t>
  </si>
  <si>
    <t>Object
(Curve/Surface/Cube)</t>
  </si>
  <si>
    <t>Is vol?
(Y/N)</t>
  </si>
  <si>
    <t>Is swaption?
(Y/N)</t>
  </si>
  <si>
    <t>Several mat. dims?
(Y/N)</t>
  </si>
  <si>
    <t>Dim1 name</t>
  </si>
  <si>
    <t>Dim1 value
(years)</t>
  </si>
  <si>
    <t>Dim1 row</t>
  </si>
  <si>
    <t>Dim1 bucket</t>
  </si>
  <si>
    <t>Dim2 name
(expiry, swaption)</t>
  </si>
  <si>
    <t>Dim2 value
(years)</t>
  </si>
  <si>
    <t>Dim2 row</t>
  </si>
  <si>
    <t>Dim2 bucket</t>
  </si>
  <si>
    <t>Strike δ
(if any)</t>
  </si>
  <si>
    <t>Strike bucket</t>
  </si>
  <si>
    <t>Real price?
(Y/N, MAR31.12)</t>
  </si>
  <si>
    <t>Risk-factor key</t>
  </si>
  <si>
    <t>Days to next obs
(same RF)</t>
  </si>
  <si>
    <t>1st obs of day?
(1/day cap, MAR31.13)</t>
  </si>
  <si>
    <t>A001</t>
  </si>
  <si>
    <t>EUR IRS 5Y</t>
  </si>
  <si>
    <t>IR</t>
  </si>
  <si>
    <t>N</t>
  </si>
  <si>
    <t>Y</t>
  </si>
  <si>
    <t>A002</t>
  </si>
  <si>
    <t>A003</t>
  </si>
  <si>
    <t>A004</t>
  </si>
  <si>
    <t>A005</t>
  </si>
  <si>
    <t>A006</t>
  </si>
  <si>
    <t>A007</t>
  </si>
  <si>
    <t>A008</t>
  </si>
  <si>
    <t>A009</t>
  </si>
  <si>
    <t>A010</t>
  </si>
  <si>
    <t>A011</t>
  </si>
  <si>
    <t>A012</t>
  </si>
  <si>
    <t>A013</t>
  </si>
  <si>
    <t>A014</t>
  </si>
  <si>
    <t>A015</t>
  </si>
  <si>
    <t>A016</t>
  </si>
  <si>
    <t>A017</t>
  </si>
  <si>
    <t>A018</t>
  </si>
  <si>
    <t>A019</t>
  </si>
  <si>
    <t>A020</t>
  </si>
  <si>
    <t>A021</t>
  </si>
  <si>
    <t>A022</t>
  </si>
  <si>
    <t>A023</t>
  </si>
  <si>
    <t>A024</t>
  </si>
  <si>
    <t>A025</t>
  </si>
  <si>
    <t>A026</t>
  </si>
  <si>
    <t>E001</t>
  </si>
  <si>
    <t>EURUSD fwd 1Y</t>
  </si>
  <si>
    <t>E002</t>
  </si>
  <si>
    <t>E003</t>
  </si>
  <si>
    <t>E004</t>
  </si>
  <si>
    <t>E005</t>
  </si>
  <si>
    <t>E006</t>
  </si>
  <si>
    <t>E007</t>
  </si>
  <si>
    <t>E008</t>
  </si>
  <si>
    <t>E009</t>
  </si>
  <si>
    <t>E010</t>
  </si>
  <si>
    <t>E011</t>
  </si>
  <si>
    <t>E012</t>
  </si>
  <si>
    <t>E013</t>
  </si>
  <si>
    <t>E014</t>
  </si>
  <si>
    <t>E015</t>
  </si>
  <si>
    <t>E016</t>
  </si>
  <si>
    <t>E017</t>
  </si>
  <si>
    <t>E018</t>
  </si>
  <si>
    <t>E019</t>
  </si>
  <si>
    <t>E020</t>
  </si>
  <si>
    <t>E021</t>
  </si>
  <si>
    <t>E022</t>
  </si>
  <si>
    <t>E023</t>
  </si>
  <si>
    <t>E024</t>
  </si>
  <si>
    <t>C001</t>
  </si>
  <si>
    <t>SX5E vol 1Y 50d</t>
  </si>
  <si>
    <t>expiry</t>
  </si>
  <si>
    <t>C002</t>
  </si>
  <si>
    <t>C003</t>
  </si>
  <si>
    <t>C004</t>
  </si>
  <si>
    <t>C005</t>
  </si>
  <si>
    <t>C006</t>
  </si>
  <si>
    <t>C007</t>
  </si>
  <si>
    <t>C008</t>
  </si>
  <si>
    <t>C009</t>
  </si>
  <si>
    <t>C010</t>
  </si>
  <si>
    <t>C011</t>
  </si>
  <si>
    <t>C012</t>
  </si>
  <si>
    <t>C013</t>
  </si>
  <si>
    <t>C014</t>
  </si>
  <si>
    <t>C015</t>
  </si>
  <si>
    <t>C016</t>
  </si>
  <si>
    <t>C017</t>
  </si>
  <si>
    <t>C018</t>
  </si>
  <si>
    <t>C019</t>
  </si>
  <si>
    <t>C020</t>
  </si>
  <si>
    <t>C021</t>
  </si>
  <si>
    <t>C022</t>
  </si>
  <si>
    <t>C023</t>
  </si>
  <si>
    <t>C024</t>
  </si>
  <si>
    <t>C025</t>
  </si>
  <si>
    <t>C026</t>
  </si>
  <si>
    <t>C027</t>
  </si>
  <si>
    <t>C028</t>
  </si>
  <si>
    <t>C029</t>
  </si>
  <si>
    <t>C030</t>
  </si>
  <si>
    <t>B001</t>
  </si>
  <si>
    <t>XYZ CDS 7Y</t>
  </si>
  <si>
    <t>Credit</t>
  </si>
  <si>
    <t>B002</t>
  </si>
  <si>
    <t>B003</t>
  </si>
  <si>
    <t>B004</t>
  </si>
  <si>
    <t>B005</t>
  </si>
  <si>
    <t>B006</t>
  </si>
  <si>
    <t>B007</t>
  </si>
  <si>
    <t>B008</t>
  </si>
  <si>
    <t>B009</t>
  </si>
  <si>
    <t>B010</t>
  </si>
  <si>
    <t>B011</t>
  </si>
  <si>
    <t>B012</t>
  </si>
  <si>
    <t>D001</t>
  </si>
  <si>
    <t>EUR swaption 10Y/2Y 50d</t>
  </si>
  <si>
    <t>underlying tenor</t>
  </si>
  <si>
    <t>D002</t>
  </si>
  <si>
    <t>D003</t>
  </si>
  <si>
    <t>D004</t>
  </si>
  <si>
    <t>D005</t>
  </si>
  <si>
    <t>D006</t>
  </si>
  <si>
    <t>D007</t>
  </si>
  <si>
    <t>D008</t>
  </si>
  <si>
    <t>F001</t>
  </si>
  <si>
    <t>WTI future 6M</t>
  </si>
  <si>
    <t>F002</t>
  </si>
  <si>
    <t>F003</t>
  </si>
  <si>
    <t>F004</t>
  </si>
  <si>
    <t>F005</t>
  </si>
  <si>
    <t>F006</t>
  </si>
  <si>
    <t>F007</t>
  </si>
  <si>
    <t>F008</t>
  </si>
  <si>
    <t>F009</t>
  </si>
  <si>
    <t>F010</t>
  </si>
  <si>
    <t>F011</t>
  </si>
  <si>
    <t>F012</t>
  </si>
  <si>
    <t>F013</t>
  </si>
  <si>
    <t>F014</t>
  </si>
  <si>
    <t>F015</t>
  </si>
  <si>
    <t>F016</t>
  </si>
  <si>
    <t>F017</t>
  </si>
  <si>
    <t>F018</t>
  </si>
  <si>
    <t>F019</t>
  </si>
  <si>
    <t>F020</t>
  </si>
  <si>
    <t>LIVE RESULTS — RFET Pass/Fail per Risk Factor (MAR31.13)</t>
  </si>
  <si>
    <t>Pass if EITHER (≥24 obs/12m AND max drought ≤90d) OR (≥100 obs/12m); counts pool all real prices in the bucket (31.17) and are capped at ONE obs per day (MAR31.13, dedup col V on 60). Drought = largest gap between consecutive obs INCLUDING the run-in from the window start and the run-out to the as-of date. NOTE: this max-drought test is a documented, PERMISSIVE simplification of the literal MAR31.13(1) rule ('no 90-day period with fewer than FOUR real prices'): it guarantees no 90-day window with ZERO obs, not four — clustered series can pass here yet fail the literal rule. A FAIL here is always a literal fail; a PASS still needs the literal density check before reliance.</t>
  </si>
  <si>
    <t>Real-price obs in last 12m
(distinct days, 1/day cap)</t>
  </si>
  <si>
    <t>Max drought (days)
incl. window edges</t>
  </si>
  <si>
    <t>Crit-1: ≥24 &amp; gap≤90</t>
  </si>
  <si>
    <t>Crit-2: ≥100</t>
  </si>
  <si>
    <t>RFET</t>
  </si>
  <si>
    <t>Modellability</t>
  </si>
  <si>
    <t>Description</t>
  </si>
  <si>
    <t>IR|Curve|t1.4</t>
  </si>
  <si>
    <t>EUR IRS 5Y (row A, bucket 4)</t>
  </si>
  <si>
    <t>FX|Curve|t1.2</t>
  </si>
  <si>
    <t>EURUSD fwd 1Y (row A, bucket 2)</t>
  </si>
  <si>
    <t>Equity|Surface|t1.1|s.3</t>
  </si>
  <si>
    <t>SX5E vol 1Y/50d (C b1 × D b3)</t>
  </si>
  <si>
    <t>Credit|Curve|t1.3</t>
  </si>
  <si>
    <t>XYZ CDS 7Y (row C, bucket 3)</t>
  </si>
  <si>
    <t>IR|Cube|t1.4|t2.2|s.3</t>
  </si>
  <si>
    <t>EUR swaption 10Y/2Y/50d (B b4 × C b2 × D b3)</t>
  </si>
  <si>
    <t>Commodity|Curve|t1.1</t>
  </si>
  <si>
    <t>WTI fut 6M (row A, bucket 1)</t>
  </si>
  <si>
    <t>Expected with the shipped sample: IR 5Y, FX 1Y, Equity vol → PASS (Modellable). Credit 7Y (130d gap), Swaption cube (sparse), WTI 6M (count&lt;24) → FAIL (NMRF). Edit 60_calculator to explore.</t>
  </si>
  <si>
    <t>Regulatory Citations (BCBS MAR31 + cross-refs: MAR21 / MAR32 / MAR33 / EU 2022/2060)</t>
  </si>
  <si>
    <t>Verbatim anchors for every rule and constant used in this workbook, in clause order (MAR31 first, then MAR21/32/33 and EU cross-references). fn5/fn6 of MAR31.16 sourced from the BIS chapter text (the repo PDF print has those two footnote expandables collapsed).</t>
  </si>
  <si>
    <t>Subject</t>
  </si>
  <si>
    <t>Key content used here</t>
  </si>
  <si>
    <t>MAR31.3</t>
  </si>
  <si>
    <t>SA floor for the model</t>
  </si>
  <si>
    <t>The IMA model MUST include all Standardised-Approach risk factors for the class (MAR20–22); omissions must be justified. The RTPL grid therefore includes the SA vertices (and usually finer factors).</t>
  </si>
  <si>
    <t>MAR31.5</t>
  </si>
  <si>
    <t>Proxies (general)</t>
  </si>
  <si>
    <t>Proxies allowed where there is an appropriate track record for representing the position (eg index for a single stock); use must be supported to the supervisor.</t>
  </si>
  <si>
    <t>MAR31.12</t>
  </si>
  <si>
    <t>Real price definition</t>
  </si>
  <si>
    <t>Four ways a price qualifies as 'real': (1) own transaction; (2) verifiable arm's-length transaction; (3) committed quote (verified via vendor/platform/exchange); (4) qualifying third-party vendor price. Collateral reconciliations or valuations are NOT real prices.</t>
  </si>
  <si>
    <t>MAR31.12 FAQ</t>
  </si>
  <si>
    <t>Committed quote / size</t>
  </si>
  <si>
    <t>Committed quote = price at which the provider must buy or sell. Orderly transactions and committed quotes of non-negligible volume, reflective of normal market conditions, are valid observations.</t>
  </si>
  <si>
    <t>MAR31.13(1)</t>
  </si>
  <si>
    <t>RFET criterion 1</t>
  </si>
  <si>
    <t>≥24 real price obs/yr (max 1/day) AND over prior 12m no 90-day period with &lt;4 obs. Monitored monthly, met quarterly.</t>
  </si>
  <si>
    <t>MAR31.13(2)</t>
  </si>
  <si>
    <t>RFET criterion 2</t>
  </si>
  <si>
    <t>≥100 real price obs over prior 12m (max 1/day).</t>
  </si>
  <si>
    <t>MAR31.13 fn2 + FAQ</t>
  </si>
  <si>
    <t>RFET vs ES window</t>
  </si>
  <si>
    <t>The RFET observation period may lag the ES-calibration period by up to ONE month (applies to internal and external data alike).</t>
  </si>
  <si>
    <t>MAR31.13 fn3</t>
  </si>
  <si>
    <t>Basis rule</t>
  </si>
  <si>
    <t>A bank may replace an NMRF by a modellable factor plus a basis; the basis is then an NMRF. Any combination of modellable and non-modellable factors is non-modellable.</t>
  </si>
  <si>
    <t>MAR31.14</t>
  </si>
  <si>
    <t>Vendor-supplied counts</t>
  </si>
  <si>
    <t>Vendor observations count only if the vendor communicates counts &amp; dates, provides identifier information to map prices to risk factors, and is subject to an audit available to supervisors on request.</t>
  </si>
  <si>
    <t>MAR31.15</t>
  </si>
  <si>
    <t>Representativeness</t>
  </si>
  <si>
    <t>A real price is representative of a risk factor where the bank can EXTRACT the value of the risk factor from the value of the real price; mapping policies &amp; procedures required.</t>
  </si>
  <si>
    <t>MAR31.16(1)</t>
  </si>
  <si>
    <t>Own bucketing</t>
  </si>
  <si>
    <t>Bank-defined buckets: one risk factor per bucket; buckets must CORRESPOND to the RTPL risk factors (fn5: same buckets/segmentation for PLA &amp; RFET); non-overlapping.</t>
  </si>
  <si>
    <t>MAR31.16(2)</t>
  </si>
  <si>
    <t>Regulatory bucketing</t>
  </si>
  <si>
    <t>Standard grid Table 1; rows A/B/C/D assigned per dimension type (a)–(f).</t>
  </si>
  <si>
    <t>MAR31.16 Table 1</t>
  </si>
  <si>
    <t>Bucket boundaries</t>
  </si>
  <si>
    <t>Rows A/B/C/D bands transcribed on 20_regulatory_buckets.</t>
  </si>
  <si>
    <t>MAR31.16 fn5</t>
  </si>
  <si>
    <t>Own-bucket trade-off</t>
  </si>
  <si>
    <t>Same buckets/segmentation must serve both the PLA test and the RFET; more granular buckets help PLA but may starve each bucket of real prices for the RFET — consider the trade-off when designing the ES model.</t>
  </si>
  <si>
    <t>MAR31.16 fn6</t>
  </si>
  <si>
    <t>Delta conventions</t>
  </si>
  <si>
    <t>Where market-standard moneyness conventions differ, banks shall convert the regulatory delta buckets to the market-standard convention using their own approved pricing models.</t>
  </si>
  <si>
    <t>MAR31.17</t>
  </si>
  <si>
    <t>Pooling</t>
  </si>
  <si>
    <t>All prices in a bucket count toward every risk factor in it.</t>
  </si>
  <si>
    <t>MAR31.18</t>
  </si>
  <si>
    <t>Ageing / roll-down</t>
  </si>
  <si>
    <t>Re-allocate to adjacent shorter bucket; single-count only.</t>
  </si>
  <si>
    <t>MAR31.19</t>
  </si>
  <si>
    <t>Parametric curves</t>
  </si>
  <si>
    <t>RFET on calibration market data, not on parameters.</t>
  </si>
  <si>
    <t>MAR31.20</t>
  </si>
  <si>
    <t>Systematic factors</t>
  </si>
  <si>
    <t>Issuer idiosyncratic part is NMRF unless enough issuer real prices.</t>
  </si>
  <si>
    <t>MAR31.21</t>
  </si>
  <si>
    <t>Systematic + maturity</t>
  </si>
  <si>
    <t>Apply a bucketing approach to the maturity axis.</t>
  </si>
  <si>
    <t>MAR31.22–31.23</t>
  </si>
  <si>
    <t>Post-RFET data</t>
  </si>
  <si>
    <t>Calibration data need not be the RFET data; but if the MAR31.25–31.26 principles are not met, the supervisor may deem the data unsuitable → factor excluded from ES and capitalised as NMRF.</t>
  </si>
  <si>
    <t>MAR31.25–31.26 (P1–P7)</t>
  </si>
  <si>
    <t>Post-RFET data principles</t>
  </si>
  <si>
    <t>31.25: never rely on observation counts alone — source accuracy matters. 31.26 Principles P1–P7 (combinations &amp; interpolation; idiosyncratic AND general risk; vol/correlation fidelity; the standing recon; update frequency; stress-period data; proxies incl. the P7(b) RTPL alignment): full text with workbook cross-references on 57_seven_principles. Enforcement: 31.23 — principles unmet → the factor is excluded from ES and capitalised as NMRF despite its RFET pass.</t>
  </si>
  <si>
    <t>MAR21.8 / 21.9 (cross-ref)</t>
  </si>
  <si>
    <t>SA delta vertices (the 31.3 floor set)</t>
  </si>
  <si>
    <t>GIRR: 0.25/0.5/1/2/3/5/10/15/20/30y. CSR non-sec: 0.5/1/3/5/10y. Own buckets can absorb bank-added pillars but can never span two of these vertices (the 31.3 + 31.16(1)(a) pincer; omission only via 31.3(1) sign-off).</t>
  </si>
  <si>
    <t>MAR32.20-32.45</t>
  </si>
  <si>
    <t>PLA test (cross-ref)</t>
  </si>
  <si>
    <t>RTPL vs HPL; Spearman &amp; KS; the gate the bucketing grid feeds via 31.16(1)(a).</t>
  </si>
  <si>
    <t>MAR33.12 (cross-ref)</t>
  </si>
  <si>
    <t>Liquidity horizons</t>
  </si>
  <si>
    <t>LH by class (eg equity price small-cap 20d, credit spread IG 40d); NMRF stress horizon = max(assigned LH, 20d) per 33.16(1). Used for the SES scaling on 55_systematic_proxy_nmrf.</t>
  </si>
  <si>
    <t>MAR33.16</t>
  </si>
  <si>
    <t>NMRF SES (cross-ref)</t>
  </si>
  <si>
    <t>NMRF capital = stress scenario at least as prudent as 97.5% ES over stress; with approval, SES may be computed at BUCKET level using the SAME buckets the bank uses to disprove modellability per MAR31.16.</t>
  </si>
  <si>
    <t>EU Del. Reg. 2022/2060 Art. 5 (cross-ref)</t>
  </si>
  <si>
    <t>Election granularity (EU codification of 31.16)</t>
  </si>
  <si>
    <t>Buckets determined 'for each curve, surface or cube' using EITHER the regulatory grid OR own buckets — approaches may differ ACROSS objects, never within one. Own buckets: non-overlapping and each contains exactly ONE risk factor in a desk's RTPL. ('Consistently over time' attaches to the shifted-period election, Art. 1(2)/5(3), not to the approach choice.)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</si>
</sst>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5" x14ac:knownFonts="1">
    <font>
      <sz val="11"/>
      <color theme="1"/>
      <name val="Calibri"/>
      <family val="2"/>
      <scheme val="minor"/>
    </font>
    <font>
      <b/>
      <sz val="16"/>
      <color rgb="FFFFFFFF"/>
      <name val="Calibri"/>
    </font>
    <font>
      <i/>
      <sz val="10"/>
      <color rgb="FF404040"/>
      <name val="Calibri"/>
    </font>
    <font>
      <b/>
      <sz val="11"/>
      <color rgb="FF000000"/>
      <name val="Calibri"/>
    </font>
    <font>
      <sz val="11"/>
      <color rgb="FF000000"/>
      <name val="Calibri"/>
    </font>
    <font>
      <b/>
      <sz val="10"/>
      <color rgb="FFFFFFFF"/>
      <name val="Calibri"/>
    </font>
    <font>
      <b/>
      <sz val="9"/>
      <color rgb="FF000000"/>
      <name val="Calibri"/>
    </font>
    <font>
      <sz val="9"/>
      <color rgb="FF000000"/>
      <name val="Calibri"/>
    </font>
    <font>
      <b/>
      <sz val="11"/>
      <color rgb="FFFFFFFF"/>
      <name val="Calibri"/>
    </font>
    <font>
      <b/>
      <sz val="9"/>
      <color rgb="FFFFFFFF"/>
      <name val="Calibri"/>
    </font>
    <font>
      <sz val="10"/>
      <color rgb="FF000000"/>
      <name val="Calibri"/>
    </font>
    <font>
      <b/>
      <sz val="11"/>
      <color rgb="FF0E2C4B"/>
      <name val="Calibri"/>
    </font>
    <font>
      <b/>
      <sz val="11"/>
      <color rgb="FF2E7D5B"/>
      <name val="Calibri"/>
    </font>
    <font>
      <sz val="11"/>
      <color rgb="FF2E7D5B"/>
      <name val="Calibri"/>
    </font>
    <font>
      <sz val="11"/>
      <color rgb="FFC2453C"/>
      <name val="Calibri"/>
    </font>
  </fonts>
  <fills count="12">
    <fill>
      <patternFill patternType="none"/>
    </fill>
    <fill>
      <patternFill patternType="gray125"/>
    </fill>
    <fill>
      <patternFill patternType="solid">
        <fgColor rgb="FF1F3864"/>
      </patternFill>
    </fill>
    <fill>
      <patternFill patternType="solid">
        <fgColor rgb="FFD9E1F2"/>
      </patternFill>
    </fill>
    <fill>
      <patternFill patternType="solid">
        <fgColor rgb="FF2E5496"/>
      </patternFill>
    </fill>
    <fill>
      <patternFill patternType="solid">
        <fgColor rgb="FFF2F2F2"/>
      </patternFill>
    </fill>
    <fill>
      <patternFill patternType="solid">
        <fgColor rgb="FFFFEB9C"/>
      </patternFill>
    </fill>
    <fill>
      <patternFill patternType="solid">
        <fgColor rgb="FFC6EFCE"/>
      </patternFill>
    </fill>
    <fill>
      <patternFill patternType="solid">
        <fgColor rgb="FFFFC7CE"/>
      </patternFill>
    </fill>
    <fill>
      <patternFill patternType="solid">
        <fgColor rgb="FFFFF2CC"/>
      </patternFill>
    </fill>
    <fill>
      <patternFill patternType="solid">
        <fgColor rgb="FFFFFFFF"/>
      </patternFill>
    </fill>
    <fill>
      <patternFill patternType="solid">
        <fgColor rgb="FFEDEDED"/>
      </patternFill>
    </fill>
  </fills>
  <borders count="6">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52">
    <xf numFmtId="0" fontId="0" fillId="0" borderId="0" xfId="0"/>
    <xf numFmtId="0" fontId="3" fillId="3" borderId="1" xfId="0" applyFont="1" applyFill="1" applyBorder="1" applyAlignment="1">
      <alignment horizontal="left" vertical="top" wrapText="1"/>
    </xf>
    <xf numFmtId="0" fontId="4" fillId="0" borderId="1" xfId="0" applyFont="1" applyBorder="1" applyAlignment="1">
      <alignment horizontal="left" vertical="top" wrapText="1"/>
    </xf>
    <xf numFmtId="0" fontId="5" fillId="4"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4" fillId="0" borderId="1" xfId="0" applyFont="1" applyBorder="1" applyAlignment="1">
      <alignment horizontal="left" vertical="center" wrapText="1"/>
    </xf>
    <xf numFmtId="0" fontId="4" fillId="0" borderId="1" xfId="0" applyFont="1" applyBorder="1" applyAlignment="1">
      <alignment horizontal="center" vertical="center" wrapText="1"/>
    </xf>
    <xf numFmtId="0" fontId="3" fillId="5" borderId="1" xfId="0" applyFont="1" applyFill="1" applyBorder="1" applyAlignment="1">
      <alignment horizontal="left" vertical="center" wrapText="1"/>
    </xf>
    <xf numFmtId="0" fontId="6" fillId="5"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3" fillId="3" borderId="1" xfId="0" applyFont="1" applyFill="1" applyBorder="1" applyAlignment="1">
      <alignment horizontal="left" vertical="center" wrapText="1"/>
    </xf>
    <xf numFmtId="0" fontId="4" fillId="7"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8" borderId="1" xfId="0" applyFont="1" applyFill="1" applyBorder="1" applyAlignment="1">
      <alignment horizontal="center" vertical="center" wrapText="1"/>
    </xf>
    <xf numFmtId="164" fontId="3" fillId="9" borderId="1" xfId="0" applyNumberFormat="1" applyFont="1" applyFill="1" applyBorder="1"/>
    <xf numFmtId="0" fontId="9" fillId="4"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4" fillId="10" borderId="1" xfId="0" applyFont="1" applyFill="1" applyBorder="1" applyAlignment="1">
      <alignment horizontal="center" vertical="center" wrapText="1"/>
    </xf>
    <xf numFmtId="164" fontId="0" fillId="10" borderId="1" xfId="0" applyNumberFormat="1" applyFill="1" applyBorder="1" applyAlignment="1">
      <alignment horizontal="center" vertical="center" wrapText="1"/>
    </xf>
    <xf numFmtId="0" fontId="4" fillId="10" borderId="1" xfId="0" applyFont="1" applyFill="1" applyBorder="1" applyAlignment="1">
      <alignment horizontal="left" vertical="center" wrapText="1"/>
    </xf>
    <xf numFmtId="0" fontId="4" fillId="11" borderId="1" xfId="0" applyFont="1" applyFill="1" applyBorder="1" applyAlignment="1">
      <alignment horizontal="center" vertical="center" wrapText="1"/>
    </xf>
    <xf numFmtId="0" fontId="4" fillId="11" borderId="1" xfId="0" applyFont="1" applyFill="1" applyBorder="1" applyAlignment="1">
      <alignment horizontal="left" vertical="center" wrapText="1"/>
    </xf>
    <xf numFmtId="0" fontId="10" fillId="3" borderId="1" xfId="0" applyFont="1" applyFill="1" applyBorder="1" applyAlignment="1">
      <alignment horizontal="left" vertical="center" wrapText="1"/>
    </xf>
    <xf numFmtId="0" fontId="9" fillId="2" borderId="1" xfId="0" applyFont="1" applyFill="1" applyBorder="1" applyAlignment="1">
      <alignment horizontal="center" vertical="top" wrapText="1"/>
    </xf>
    <xf numFmtId="0" fontId="3" fillId="0" borderId="1" xfId="0" applyFont="1" applyBorder="1" applyAlignment="1">
      <alignment horizontal="left" vertical="top" wrapText="1"/>
    </xf>
    <xf numFmtId="0" fontId="11" fillId="0" borderId="1" xfId="0" applyFont="1" applyBorder="1" applyAlignment="1">
      <alignment horizontal="left" vertical="top" wrapText="1"/>
    </xf>
    <xf numFmtId="0" fontId="12" fillId="0" borderId="1" xfId="0" applyFont="1" applyBorder="1" applyAlignment="1">
      <alignment horizontal="left" vertical="top" wrapText="1"/>
    </xf>
    <xf numFmtId="0" fontId="13" fillId="0" borderId="1" xfId="0" applyFont="1" applyBorder="1" applyAlignment="1">
      <alignment horizontal="left" vertical="top" wrapText="1"/>
    </xf>
    <xf numFmtId="0" fontId="14" fillId="0" borderId="1" xfId="0" applyFont="1" applyBorder="1" applyAlignment="1">
      <alignment horizontal="left" vertical="top" wrapText="1"/>
    </xf>
    <xf numFmtId="0" fontId="8" fillId="2" borderId="1" xfId="0" applyFont="1" applyFill="1" applyBorder="1" applyAlignment="1">
      <alignment horizontal="left" vertical="top" wrapText="1"/>
    </xf>
    <xf numFmtId="0" fontId="0" fillId="0" borderId="4" xfId="0" applyBorder="1"/>
    <xf numFmtId="0" fontId="0" fillId="0" borderId="5" xfId="0" applyBorder="1"/>
    <xf numFmtId="0" fontId="4" fillId="0" borderId="1" xfId="0" applyFont="1" applyBorder="1" applyAlignment="1">
      <alignment horizontal="left" vertical="top" wrapText="1"/>
    </xf>
    <xf numFmtId="0" fontId="3" fillId="0" borderId="1" xfId="0" applyFont="1" applyBorder="1" applyAlignment="1">
      <alignment horizontal="left" vertical="top" wrapText="1"/>
    </xf>
    <xf numFmtId="0" fontId="1" fillId="2" borderId="0" xfId="0" applyFont="1" applyFill="1" applyAlignment="1">
      <alignment horizontal="left" vertical="center" wrapText="1"/>
    </xf>
    <xf numFmtId="0" fontId="0" fillId="0" borderId="0" xfId="0"/>
    <xf numFmtId="0" fontId="2" fillId="0" borderId="0" xfId="0" applyFont="1" applyAlignment="1">
      <alignment horizontal="left" vertical="center" wrapText="1"/>
    </xf>
    <xf numFmtId="0" fontId="4" fillId="5" borderId="1" xfId="0" applyFont="1" applyFill="1" applyBorder="1" applyAlignment="1">
      <alignment horizontal="left" vertical="top" wrapText="1"/>
    </xf>
    <xf numFmtId="0" fontId="4" fillId="0" borderId="1" xfId="0" applyFont="1" applyBorder="1" applyAlignment="1">
      <alignment horizontal="left" vertical="center" wrapText="1"/>
    </xf>
    <xf numFmtId="0" fontId="5" fillId="4" borderId="1" xfId="0" applyFont="1" applyFill="1" applyBorder="1" applyAlignment="1">
      <alignment horizontal="center" vertical="center" wrapText="1"/>
    </xf>
    <xf numFmtId="0" fontId="8" fillId="2" borderId="1" xfId="0" applyFont="1" applyFill="1" applyBorder="1" applyAlignment="1">
      <alignment horizontal="left" vertical="center" wrapText="1"/>
    </xf>
    <xf numFmtId="0" fontId="2" fillId="0" borderId="0" xfId="0" applyFont="1" applyAlignment="1">
      <alignment horizontal="left" vertical="top" wrapText="1"/>
    </xf>
    <xf numFmtId="0" fontId="0" fillId="0" borderId="2" xfId="0" applyBorder="1"/>
    <xf numFmtId="0" fontId="0" fillId="0" borderId="3" xfId="0" applyBorder="1"/>
    <xf numFmtId="0" fontId="3" fillId="5" borderId="1" xfId="0" applyFont="1" applyFill="1" applyBorder="1" applyAlignment="1">
      <alignment horizontal="left" vertical="center" wrapText="1"/>
    </xf>
    <xf numFmtId="0" fontId="3" fillId="3" borderId="1" xfId="0" applyFont="1" applyFill="1" applyBorder="1" applyAlignment="1">
      <alignment horizontal="center" vertical="center" wrapText="1"/>
    </xf>
    <xf numFmtId="0" fontId="4" fillId="7" borderId="1" xfId="0" applyFont="1" applyFill="1" applyBorder="1" applyAlignment="1">
      <alignment horizontal="left" vertical="center" wrapText="1"/>
    </xf>
    <xf numFmtId="0" fontId="4" fillId="7" borderId="1" xfId="0" applyFont="1" applyFill="1" applyBorder="1" applyAlignment="1">
      <alignment horizontal="left" vertical="top" wrapText="1"/>
    </xf>
    <xf numFmtId="0" fontId="4" fillId="3" borderId="1" xfId="0" applyFont="1" applyFill="1" applyBorder="1" applyAlignment="1">
      <alignment horizontal="left" vertical="top" wrapText="1"/>
    </xf>
    <xf numFmtId="0" fontId="4" fillId="6" borderId="1" xfId="0" applyFont="1" applyFill="1" applyBorder="1" applyAlignment="1">
      <alignment horizontal="left" vertical="top" wrapText="1"/>
    </xf>
    <xf numFmtId="0" fontId="4" fillId="8" borderId="1" xfId="0" applyFont="1" applyFill="1" applyBorder="1" applyAlignment="1">
      <alignment horizontal="left" vertical="center" wrapText="1"/>
    </xf>
    <xf numFmtId="0" fontId="3" fillId="3" borderId="1" xfId="0" applyFont="1" applyFill="1" applyBorder="1" applyAlignment="1">
      <alignment horizontal="left" vertical="top" wrapText="1"/>
    </xf>
  </cellXfs>
  <cellStyles count="1">
    <cellStyle name="Normal" xfId="0" builtinId="0"/>
  </cellStyles>
  <dxfs count="4">
    <dxf>
      <font>
        <b/>
        <sz val="10"/>
        <color rgb="FF9C0006"/>
        <name val="Calibri"/>
      </font>
      <fill>
        <patternFill patternType="solid">
          <fgColor rgb="FFFFC7CE"/>
        </patternFill>
      </fill>
    </dxf>
    <dxf>
      <font>
        <b/>
        <sz val="10"/>
        <color rgb="FF006100"/>
        <name val="Calibri"/>
      </font>
      <fill>
        <patternFill patternType="solid">
          <fgColor rgb="FFC6EFCE"/>
        </patternFill>
      </fill>
    </dxf>
    <dxf>
      <font>
        <b/>
        <sz val="10"/>
        <color rgb="FF9C0006"/>
        <name val="Calibri"/>
      </font>
      <fill>
        <patternFill patternType="solid">
          <fgColor rgb="FFFFC7CE"/>
        </patternFill>
      </fill>
    </dxf>
    <dxf>
      <font>
        <b/>
        <sz val="10"/>
        <color rgb="FF006100"/>
        <name val="Calibri"/>
      </font>
      <fill>
        <patternFill patternType="solid">
          <f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0</xdr:colOff>
      <xdr:row>33</xdr:row>
      <xdr:rowOff>0</xdr:rowOff>
    </xdr:from>
    <xdr:ext cx="9525000" cy="3238500"/>
    <xdr:pic>
      <xdr:nvPicPr>
        <xdr:cNvPr id="2" name="Image 1" descr="Picture">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56</xdr:row>
      <xdr:rowOff>0</xdr:rowOff>
    </xdr:from>
    <xdr:to>
      <xdr:col>3</xdr:col>
      <xdr:colOff>1943530</xdr:colOff>
      <xdr:row>63</xdr:row>
      <xdr:rowOff>69920</xdr:rowOff>
    </xdr:to>
    <xdr:pic>
      <xdr:nvPicPr>
        <xdr:cNvPr id="2" name="Picture 1">
          <a:extLst>
            <a:ext uri="{FF2B5EF4-FFF2-40B4-BE49-F238E27FC236}">
              <a16:creationId xmlns:a16="http://schemas.microsoft.com/office/drawing/2014/main" id="{8DBB72A1-D6A5-6CFB-B4BA-55C28DD46EC1}"/>
            </a:ext>
          </a:extLst>
        </xdr:cNvPr>
        <xdr:cNvPicPr>
          <a:picLocks noChangeAspect="1"/>
        </xdr:cNvPicPr>
      </xdr:nvPicPr>
      <xdr:blipFill>
        <a:blip xmlns:r="http://schemas.openxmlformats.org/officeDocument/2006/relationships" r:embed="rId1"/>
        <a:stretch>
          <a:fillRect/>
        </a:stretch>
      </xdr:blipFill>
      <xdr:spPr>
        <a:xfrm>
          <a:off x="0" y="27311350"/>
          <a:ext cx="8369730" cy="135897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0</xdr:col>
      <xdr:colOff>0</xdr:colOff>
      <xdr:row>40</xdr:row>
      <xdr:rowOff>0</xdr:rowOff>
    </xdr:from>
    <xdr:ext cx="8953500" cy="2705100"/>
    <xdr:pic>
      <xdr:nvPicPr>
        <xdr:cNvPr id="2" name="Image 1" descr="Picture">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15</xdr:row>
      <xdr:rowOff>0</xdr:rowOff>
    </xdr:from>
    <xdr:ext cx="8953500" cy="3095625"/>
    <xdr:pic>
      <xdr:nvPicPr>
        <xdr:cNvPr id="2" name="Image 1" descr="Picture">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4"/>
  <sheetViews>
    <sheetView workbookViewId="0">
      <pane ySplit="3" topLeftCell="A4" activePane="bottomLeft" state="frozen"/>
      <selection pane="bottomLeft" sqref="A1:I1"/>
    </sheetView>
  </sheetViews>
  <sheetFormatPr defaultRowHeight="14.5" x14ac:dyDescent="0.35"/>
  <cols>
    <col min="1" max="1" width="26" customWidth="1"/>
    <col min="2" max="9" width="14" customWidth="1"/>
  </cols>
  <sheetData>
    <row r="1" spans="1:9" ht="28" customHeight="1" x14ac:dyDescent="0.35">
      <c r="A1" s="34" t="s">
        <v>121</v>
      </c>
      <c r="B1" s="35"/>
      <c r="C1" s="35"/>
      <c r="D1" s="35"/>
      <c r="E1" s="35"/>
      <c r="F1" s="35"/>
      <c r="G1" s="35"/>
      <c r="H1" s="35"/>
      <c r="I1" s="35"/>
    </row>
    <row r="2" spans="1:9" ht="16" customHeight="1" x14ac:dyDescent="0.35">
      <c r="A2" s="36" t="s">
        <v>122</v>
      </c>
      <c r="B2" s="35"/>
      <c r="C2" s="35"/>
      <c r="D2" s="35"/>
      <c r="E2" s="35"/>
      <c r="F2" s="35"/>
      <c r="G2" s="35"/>
      <c r="H2" s="35"/>
      <c r="I2" s="35"/>
    </row>
    <row r="4" spans="1:9" ht="52" customHeight="1" x14ac:dyDescent="0.35">
      <c r="A4" s="1" t="s">
        <v>123</v>
      </c>
      <c r="B4" s="32" t="s">
        <v>124</v>
      </c>
      <c r="C4" s="30"/>
      <c r="D4" s="30"/>
      <c r="E4" s="30"/>
      <c r="F4" s="30"/>
      <c r="G4" s="30"/>
      <c r="H4" s="30"/>
      <c r="I4" s="31"/>
    </row>
    <row r="5" spans="1:9" ht="52" customHeight="1" x14ac:dyDescent="0.35">
      <c r="A5" s="1" t="s">
        <v>125</v>
      </c>
      <c r="B5" s="32" t="s">
        <v>126</v>
      </c>
      <c r="C5" s="30"/>
      <c r="D5" s="30"/>
      <c r="E5" s="30"/>
      <c r="F5" s="30"/>
      <c r="G5" s="30"/>
      <c r="H5" s="30"/>
      <c r="I5" s="31"/>
    </row>
    <row r="6" spans="1:9" ht="52" customHeight="1" x14ac:dyDescent="0.35">
      <c r="A6" s="1" t="s">
        <v>127</v>
      </c>
      <c r="B6" s="32" t="s">
        <v>128</v>
      </c>
      <c r="C6" s="30"/>
      <c r="D6" s="30"/>
      <c r="E6" s="30"/>
      <c r="F6" s="30"/>
      <c r="G6" s="30"/>
      <c r="H6" s="30"/>
      <c r="I6" s="31"/>
    </row>
    <row r="7" spans="1:9" ht="39" customHeight="1" x14ac:dyDescent="0.35">
      <c r="A7" s="1" t="s">
        <v>129</v>
      </c>
      <c r="B7" s="32" t="s">
        <v>130</v>
      </c>
      <c r="C7" s="30"/>
      <c r="D7" s="30"/>
      <c r="E7" s="30"/>
      <c r="F7" s="30"/>
      <c r="G7" s="30"/>
      <c r="H7" s="30"/>
      <c r="I7" s="31"/>
    </row>
    <row r="8" spans="1:9" ht="39" customHeight="1" x14ac:dyDescent="0.35">
      <c r="A8" s="1" t="s">
        <v>131</v>
      </c>
      <c r="B8" s="32" t="s">
        <v>132</v>
      </c>
      <c r="C8" s="30"/>
      <c r="D8" s="30"/>
      <c r="E8" s="30"/>
      <c r="F8" s="30"/>
      <c r="G8" s="30"/>
      <c r="H8" s="30"/>
      <c r="I8" s="31"/>
    </row>
    <row r="9" spans="1:9" ht="52" customHeight="1" x14ac:dyDescent="0.35">
      <c r="A9" s="1" t="s">
        <v>133</v>
      </c>
      <c r="B9" s="32" t="s">
        <v>134</v>
      </c>
      <c r="C9" s="30"/>
      <c r="D9" s="30"/>
      <c r="E9" s="30"/>
      <c r="F9" s="30"/>
      <c r="G9" s="30"/>
      <c r="H9" s="30"/>
      <c r="I9" s="31"/>
    </row>
    <row r="10" spans="1:9" ht="39" customHeight="1" x14ac:dyDescent="0.35">
      <c r="A10" s="1" t="s">
        <v>135</v>
      </c>
      <c r="B10" s="32" t="s">
        <v>136</v>
      </c>
      <c r="C10" s="30"/>
      <c r="D10" s="30"/>
      <c r="E10" s="30"/>
      <c r="F10" s="30"/>
      <c r="G10" s="30"/>
      <c r="H10" s="30"/>
      <c r="I10" s="31"/>
    </row>
    <row r="11" spans="1:9" ht="39" customHeight="1" x14ac:dyDescent="0.35">
      <c r="A11" s="1" t="s">
        <v>137</v>
      </c>
      <c r="B11" s="32" t="s">
        <v>138</v>
      </c>
      <c r="C11" s="30"/>
      <c r="D11" s="30"/>
      <c r="E11" s="30"/>
      <c r="F11" s="30"/>
      <c r="G11" s="30"/>
      <c r="H11" s="30"/>
      <c r="I11" s="31"/>
    </row>
    <row r="12" spans="1:9" ht="52" customHeight="1" x14ac:dyDescent="0.35">
      <c r="A12" s="1" t="s">
        <v>139</v>
      </c>
      <c r="B12" s="32" t="s">
        <v>140</v>
      </c>
      <c r="C12" s="30"/>
      <c r="D12" s="30"/>
      <c r="E12" s="30"/>
      <c r="F12" s="30"/>
      <c r="G12" s="30"/>
      <c r="H12" s="30"/>
      <c r="I12" s="31"/>
    </row>
    <row r="13" spans="1:9" ht="58" customHeight="1" x14ac:dyDescent="0.35">
      <c r="A13" s="1" t="s">
        <v>141</v>
      </c>
      <c r="B13" s="32" t="s">
        <v>142</v>
      </c>
      <c r="C13" s="30"/>
      <c r="D13" s="30"/>
      <c r="E13" s="30"/>
      <c r="F13" s="30"/>
      <c r="G13" s="30"/>
      <c r="H13" s="30"/>
      <c r="I13" s="31"/>
    </row>
    <row r="14" spans="1:9" ht="32" customHeight="1" x14ac:dyDescent="0.35">
      <c r="A14" s="1" t="s">
        <v>143</v>
      </c>
      <c r="B14" s="32" t="s">
        <v>144</v>
      </c>
      <c r="C14" s="30"/>
      <c r="D14" s="30"/>
      <c r="E14" s="30"/>
      <c r="F14" s="30"/>
      <c r="G14" s="30"/>
      <c r="H14" s="30"/>
      <c r="I14" s="31"/>
    </row>
  </sheetData>
  <mergeCells count="13">
    <mergeCell ref="A1:I1"/>
    <mergeCell ref="B5:I5"/>
    <mergeCell ref="B14:I14"/>
    <mergeCell ref="B8:I8"/>
    <mergeCell ref="B4:I4"/>
    <mergeCell ref="B12:I12"/>
    <mergeCell ref="B13:I13"/>
    <mergeCell ref="B9:I9"/>
    <mergeCell ref="A2:I2"/>
    <mergeCell ref="B7:I7"/>
    <mergeCell ref="B11:I11"/>
    <mergeCell ref="B6:I6"/>
    <mergeCell ref="B10:I10"/>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5"/>
  <sheetViews>
    <sheetView topLeftCell="A11" workbookViewId="0">
      <selection sqref="A1:D1"/>
    </sheetView>
  </sheetViews>
  <sheetFormatPr defaultRowHeight="14.5" x14ac:dyDescent="0.35"/>
  <cols>
    <col min="1" max="1" width="30" customWidth="1"/>
    <col min="2" max="2" width="60" customWidth="1"/>
    <col min="3" max="4" width="32" customWidth="1"/>
  </cols>
  <sheetData>
    <row r="1" spans="1:4" ht="22" customHeight="1" x14ac:dyDescent="0.35">
      <c r="A1" s="29" t="s">
        <v>145</v>
      </c>
      <c r="B1" s="30"/>
      <c r="C1" s="30"/>
      <c r="D1" s="31"/>
    </row>
    <row r="2" spans="1:4" ht="44" customHeight="1" x14ac:dyDescent="0.35">
      <c r="A2" s="32" t="s">
        <v>146</v>
      </c>
      <c r="B2" s="30"/>
      <c r="C2" s="30"/>
      <c r="D2" s="31"/>
    </row>
    <row r="4" spans="1:4" x14ac:dyDescent="0.35">
      <c r="A4" s="29" t="s">
        <v>147</v>
      </c>
      <c r="B4" s="30"/>
      <c r="C4" s="30"/>
      <c r="D4" s="31"/>
    </row>
    <row r="5" spans="1:4" ht="64" customHeight="1" x14ac:dyDescent="0.35">
      <c r="A5" s="1" t="s">
        <v>148</v>
      </c>
      <c r="B5" s="32" t="s">
        <v>149</v>
      </c>
      <c r="C5" s="30"/>
      <c r="D5" s="31"/>
    </row>
    <row r="6" spans="1:4" ht="80" customHeight="1" x14ac:dyDescent="0.35">
      <c r="A6" s="1" t="s">
        <v>150</v>
      </c>
      <c r="B6" s="32" t="s">
        <v>151</v>
      </c>
      <c r="C6" s="30"/>
      <c r="D6" s="31"/>
    </row>
    <row r="7" spans="1:4" ht="52" customHeight="1" x14ac:dyDescent="0.35">
      <c r="A7" s="1" t="s">
        <v>152</v>
      </c>
      <c r="B7" s="32" t="s">
        <v>153</v>
      </c>
      <c r="C7" s="30"/>
      <c r="D7" s="31"/>
    </row>
    <row r="8" spans="1:4" ht="72" customHeight="1" x14ac:dyDescent="0.35">
      <c r="A8" s="1" t="s">
        <v>154</v>
      </c>
      <c r="B8" s="32" t="s">
        <v>155</v>
      </c>
      <c r="C8" s="30"/>
      <c r="D8" s="31"/>
    </row>
    <row r="9" spans="1:4" ht="68" customHeight="1" x14ac:dyDescent="0.35">
      <c r="A9" s="1" t="s">
        <v>156</v>
      </c>
      <c r="B9" s="32" t="s">
        <v>157</v>
      </c>
      <c r="C9" s="30"/>
      <c r="D9" s="31"/>
    </row>
    <row r="11" spans="1:4" ht="20" customHeight="1" x14ac:dyDescent="0.35">
      <c r="A11" s="29" t="s">
        <v>158</v>
      </c>
      <c r="B11" s="30"/>
      <c r="C11" s="30"/>
      <c r="D11" s="31"/>
    </row>
    <row r="12" spans="1:4" ht="56" customHeight="1" x14ac:dyDescent="0.35">
      <c r="A12" s="1" t="s">
        <v>159</v>
      </c>
      <c r="B12" s="32" t="s">
        <v>160</v>
      </c>
      <c r="C12" s="30"/>
      <c r="D12" s="31"/>
    </row>
    <row r="13" spans="1:4" ht="84" customHeight="1" x14ac:dyDescent="0.35">
      <c r="A13" s="1" t="s">
        <v>161</v>
      </c>
      <c r="B13" s="32" t="s">
        <v>162</v>
      </c>
      <c r="C13" s="30"/>
      <c r="D13" s="31"/>
    </row>
    <row r="14" spans="1:4" ht="52" customHeight="1" x14ac:dyDescent="0.35">
      <c r="A14" s="1" t="s">
        <v>163</v>
      </c>
      <c r="B14" s="32" t="s">
        <v>164</v>
      </c>
      <c r="C14" s="30"/>
      <c r="D14" s="31"/>
    </row>
    <row r="15" spans="1:4" ht="44" customHeight="1" x14ac:dyDescent="0.35">
      <c r="A15" s="1" t="s">
        <v>165</v>
      </c>
      <c r="B15" s="32" t="s">
        <v>166</v>
      </c>
      <c r="C15" s="30"/>
      <c r="D15" s="31"/>
    </row>
  </sheetData>
  <mergeCells count="13">
    <mergeCell ref="A1:D1"/>
    <mergeCell ref="B5:D5"/>
    <mergeCell ref="B14:D14"/>
    <mergeCell ref="B15:D15"/>
    <mergeCell ref="A4:D4"/>
    <mergeCell ref="B8:D8"/>
    <mergeCell ref="B9:D9"/>
    <mergeCell ref="B13:D13"/>
    <mergeCell ref="A2:D2"/>
    <mergeCell ref="A11:D11"/>
    <mergeCell ref="B12:D12"/>
    <mergeCell ref="B7:D7"/>
    <mergeCell ref="B6:D6"/>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7"/>
  <sheetViews>
    <sheetView topLeftCell="A27" workbookViewId="0">
      <selection activeCell="A25" sqref="A25:XFD25"/>
    </sheetView>
  </sheetViews>
  <sheetFormatPr defaultRowHeight="14.5" x14ac:dyDescent="0.35"/>
  <cols>
    <col min="1" max="1" width="5" customWidth="1"/>
    <col min="2" max="2" width="46" customWidth="1"/>
    <col min="3" max="3" width="14" customWidth="1"/>
    <col min="4" max="4" width="22" customWidth="1"/>
    <col min="5" max="5" width="18" customWidth="1"/>
    <col min="6" max="6" width="14" customWidth="1"/>
    <col min="7" max="7" width="22" customWidth="1"/>
  </cols>
  <sheetData>
    <row r="1" spans="1:8" ht="28" customHeight="1" x14ac:dyDescent="0.35">
      <c r="A1" s="34" t="s">
        <v>167</v>
      </c>
      <c r="B1" s="35"/>
      <c r="C1" s="35"/>
      <c r="D1" s="35"/>
      <c r="E1" s="35"/>
      <c r="F1" s="35"/>
      <c r="G1" s="35"/>
      <c r="H1" s="35"/>
    </row>
    <row r="2" spans="1:8" ht="16" customHeight="1" x14ac:dyDescent="0.35">
      <c r="A2" s="36" t="s">
        <v>168</v>
      </c>
      <c r="B2" s="35"/>
      <c r="C2" s="35"/>
      <c r="D2" s="35"/>
      <c r="E2" s="35"/>
      <c r="F2" s="35"/>
      <c r="G2" s="35"/>
      <c r="H2" s="35"/>
    </row>
    <row r="4" spans="1:8" x14ac:dyDescent="0.35">
      <c r="A4" s="3" t="s">
        <v>169</v>
      </c>
      <c r="B4" s="3" t="s">
        <v>170</v>
      </c>
      <c r="C4" s="3" t="s">
        <v>171</v>
      </c>
      <c r="D4" s="3" t="s">
        <v>172</v>
      </c>
      <c r="E4" s="3" t="s">
        <v>173</v>
      </c>
      <c r="F4" s="3" t="s">
        <v>174</v>
      </c>
      <c r="G4" s="3" t="s">
        <v>175</v>
      </c>
    </row>
    <row r="5" spans="1:8" ht="30" customHeight="1" x14ac:dyDescent="0.35">
      <c r="A5" s="4" t="s">
        <v>176</v>
      </c>
      <c r="B5" s="5" t="s">
        <v>177</v>
      </c>
      <c r="C5" s="6" t="s">
        <v>178</v>
      </c>
      <c r="D5" s="5" t="s">
        <v>179</v>
      </c>
      <c r="E5" s="6" t="s">
        <v>180</v>
      </c>
      <c r="F5" s="6" t="s">
        <v>181</v>
      </c>
      <c r="G5" s="6" t="s">
        <v>182</v>
      </c>
    </row>
    <row r="6" spans="1:8" ht="30" customHeight="1" x14ac:dyDescent="0.35">
      <c r="A6" s="4" t="s">
        <v>183</v>
      </c>
      <c r="B6" s="5" t="s">
        <v>184</v>
      </c>
      <c r="C6" s="6" t="s">
        <v>185</v>
      </c>
      <c r="D6" s="5" t="s">
        <v>186</v>
      </c>
      <c r="E6" s="6" t="s">
        <v>187</v>
      </c>
      <c r="F6" s="6" t="s">
        <v>181</v>
      </c>
      <c r="G6" s="6" t="s">
        <v>188</v>
      </c>
    </row>
    <row r="7" spans="1:8" ht="30" customHeight="1" x14ac:dyDescent="0.35">
      <c r="A7" s="4" t="s">
        <v>189</v>
      </c>
      <c r="B7" s="5" t="s">
        <v>190</v>
      </c>
      <c r="C7" s="6" t="s">
        <v>185</v>
      </c>
      <c r="D7" s="5" t="s">
        <v>179</v>
      </c>
      <c r="E7" s="6" t="s">
        <v>191</v>
      </c>
      <c r="F7" s="6" t="s">
        <v>181</v>
      </c>
      <c r="G7" s="6" t="s">
        <v>192</v>
      </c>
    </row>
    <row r="8" spans="1:8" ht="30" customHeight="1" x14ac:dyDescent="0.35">
      <c r="A8" s="4" t="s">
        <v>193</v>
      </c>
      <c r="B8" s="5" t="s">
        <v>194</v>
      </c>
      <c r="C8" s="6" t="s">
        <v>195</v>
      </c>
      <c r="D8" s="5" t="s">
        <v>196</v>
      </c>
      <c r="E8" s="6" t="s">
        <v>181</v>
      </c>
      <c r="F8" s="6" t="s">
        <v>197</v>
      </c>
      <c r="G8" s="6" t="s">
        <v>198</v>
      </c>
    </row>
    <row r="9" spans="1:8" ht="30" customHeight="1" x14ac:dyDescent="0.35">
      <c r="A9" s="4" t="s">
        <v>199</v>
      </c>
      <c r="B9" s="5" t="s">
        <v>200</v>
      </c>
      <c r="C9" s="6" t="s">
        <v>201</v>
      </c>
      <c r="D9" s="5" t="s">
        <v>202</v>
      </c>
      <c r="E9" s="6" t="s">
        <v>203</v>
      </c>
      <c r="F9" s="6" t="s">
        <v>204</v>
      </c>
      <c r="G9" s="6" t="s">
        <v>205</v>
      </c>
    </row>
    <row r="10" spans="1:8" ht="30" customHeight="1" x14ac:dyDescent="0.35">
      <c r="A10" s="4" t="s">
        <v>206</v>
      </c>
      <c r="B10" s="5" t="s">
        <v>207</v>
      </c>
      <c r="C10" s="6" t="s">
        <v>208</v>
      </c>
      <c r="D10" s="5" t="s">
        <v>209</v>
      </c>
      <c r="E10" s="6" t="s">
        <v>210</v>
      </c>
      <c r="F10" s="6" t="s">
        <v>204</v>
      </c>
      <c r="G10" s="6" t="s">
        <v>211</v>
      </c>
    </row>
    <row r="12" spans="1:8" ht="42" customHeight="1" x14ac:dyDescent="0.35">
      <c r="A12" s="32" t="s">
        <v>212</v>
      </c>
      <c r="B12" s="30"/>
      <c r="C12" s="30"/>
      <c r="D12" s="30"/>
      <c r="E12" s="30"/>
      <c r="F12" s="30"/>
      <c r="G12" s="31"/>
    </row>
    <row r="14" spans="1:8" x14ac:dyDescent="0.35">
      <c r="A14" s="40" t="s">
        <v>213</v>
      </c>
      <c r="B14" s="30"/>
      <c r="C14" s="30"/>
      <c r="D14" s="30"/>
      <c r="E14" s="30"/>
      <c r="F14" s="30"/>
      <c r="G14" s="31"/>
    </row>
    <row r="15" spans="1:8" ht="56" customHeight="1" x14ac:dyDescent="0.35">
      <c r="A15" s="32" t="s">
        <v>214</v>
      </c>
      <c r="B15" s="30"/>
      <c r="C15" s="30"/>
      <c r="D15" s="30"/>
      <c r="E15" s="30"/>
      <c r="F15" s="30"/>
      <c r="G15" s="31"/>
    </row>
    <row r="16" spans="1:8" x14ac:dyDescent="0.35">
      <c r="A16" s="39" t="s">
        <v>215</v>
      </c>
      <c r="B16" s="31"/>
      <c r="C16" s="3" t="s">
        <v>216</v>
      </c>
      <c r="D16" s="39" t="s">
        <v>217</v>
      </c>
      <c r="E16" s="31"/>
      <c r="F16" s="3" t="s">
        <v>218</v>
      </c>
      <c r="G16" s="3" t="s">
        <v>219</v>
      </c>
    </row>
    <row r="17" spans="1:7" ht="30" customHeight="1" x14ac:dyDescent="0.35">
      <c r="A17" s="38" t="s">
        <v>220</v>
      </c>
      <c r="B17" s="31"/>
      <c r="C17" s="6" t="s">
        <v>221</v>
      </c>
      <c r="D17" s="38" t="s">
        <v>222</v>
      </c>
      <c r="E17" s="31"/>
      <c r="F17" s="4" t="s">
        <v>181</v>
      </c>
      <c r="G17" s="5" t="s">
        <v>223</v>
      </c>
    </row>
    <row r="18" spans="1:7" ht="30" customHeight="1" x14ac:dyDescent="0.35">
      <c r="A18" s="38" t="s">
        <v>224</v>
      </c>
      <c r="B18" s="31"/>
      <c r="C18" s="6" t="s">
        <v>225</v>
      </c>
      <c r="D18" s="38" t="s">
        <v>226</v>
      </c>
      <c r="E18" s="31"/>
      <c r="F18" s="4" t="s">
        <v>180</v>
      </c>
      <c r="G18" s="5" t="s">
        <v>227</v>
      </c>
    </row>
    <row r="19" spans="1:7" ht="30" customHeight="1" x14ac:dyDescent="0.35">
      <c r="A19" s="38" t="s">
        <v>228</v>
      </c>
      <c r="B19" s="31"/>
      <c r="C19" s="6" t="s">
        <v>225</v>
      </c>
      <c r="D19" s="38" t="s">
        <v>229</v>
      </c>
      <c r="E19" s="31"/>
      <c r="F19" s="4" t="s">
        <v>180</v>
      </c>
      <c r="G19" s="5" t="s">
        <v>230</v>
      </c>
    </row>
    <row r="20" spans="1:7" ht="30" customHeight="1" x14ac:dyDescent="0.35">
      <c r="A20" s="38" t="s">
        <v>231</v>
      </c>
      <c r="B20" s="31"/>
      <c r="C20" s="6" t="s">
        <v>225</v>
      </c>
      <c r="D20" s="38" t="s">
        <v>232</v>
      </c>
      <c r="E20" s="31"/>
      <c r="F20" s="4" t="s">
        <v>180</v>
      </c>
      <c r="G20" s="5" t="s">
        <v>233</v>
      </c>
    </row>
    <row r="21" spans="1:7" ht="30" customHeight="1" x14ac:dyDescent="0.35">
      <c r="A21" s="38" t="s">
        <v>234</v>
      </c>
      <c r="B21" s="31"/>
      <c r="C21" s="6" t="s">
        <v>225</v>
      </c>
      <c r="D21" s="38" t="s">
        <v>235</v>
      </c>
      <c r="E21" s="31"/>
      <c r="F21" s="4" t="s">
        <v>180</v>
      </c>
      <c r="G21" s="5" t="s">
        <v>236</v>
      </c>
    </row>
    <row r="22" spans="1:7" ht="30" customHeight="1" x14ac:dyDescent="0.35">
      <c r="A22" s="38" t="s">
        <v>237</v>
      </c>
      <c r="B22" s="31"/>
      <c r="C22" s="6" t="s">
        <v>225</v>
      </c>
      <c r="D22" s="38" t="s">
        <v>238</v>
      </c>
      <c r="E22" s="31"/>
      <c r="F22" s="4" t="s">
        <v>180</v>
      </c>
      <c r="G22" s="5" t="s">
        <v>239</v>
      </c>
    </row>
    <row r="23" spans="1:7" ht="30" customHeight="1" x14ac:dyDescent="0.35">
      <c r="A23" s="38" t="s">
        <v>240</v>
      </c>
      <c r="B23" s="31"/>
      <c r="C23" s="6" t="s">
        <v>241</v>
      </c>
      <c r="D23" s="38" t="s">
        <v>242</v>
      </c>
      <c r="E23" s="31"/>
      <c r="F23" s="4" t="s">
        <v>187</v>
      </c>
      <c r="G23" s="5" t="s">
        <v>243</v>
      </c>
    </row>
    <row r="24" spans="1:7" ht="30" customHeight="1" x14ac:dyDescent="0.35">
      <c r="A24" s="38" t="s">
        <v>244</v>
      </c>
      <c r="B24" s="31"/>
      <c r="C24" s="6" t="s">
        <v>241</v>
      </c>
      <c r="D24" s="38" t="s">
        <v>245</v>
      </c>
      <c r="E24" s="31"/>
      <c r="F24" s="4" t="s">
        <v>187</v>
      </c>
      <c r="G24" s="5" t="s">
        <v>246</v>
      </c>
    </row>
    <row r="25" spans="1:7" ht="30" customHeight="1" x14ac:dyDescent="0.35">
      <c r="A25" s="38" t="s">
        <v>247</v>
      </c>
      <c r="B25" s="31"/>
      <c r="C25" s="6" t="s">
        <v>248</v>
      </c>
      <c r="D25" s="38" t="s">
        <v>249</v>
      </c>
      <c r="E25" s="31"/>
      <c r="F25" s="4" t="s">
        <v>187</v>
      </c>
      <c r="G25" s="5" t="s">
        <v>250</v>
      </c>
    </row>
    <row r="27" spans="1:7" ht="72" customHeight="1" x14ac:dyDescent="0.35">
      <c r="A27" s="37" t="s">
        <v>251</v>
      </c>
      <c r="B27" s="30"/>
      <c r="C27" s="30"/>
      <c r="D27" s="30"/>
      <c r="E27" s="30"/>
      <c r="F27" s="30"/>
      <c r="G27" s="31"/>
    </row>
  </sheetData>
  <mergeCells count="26">
    <mergeCell ref="A14:G14"/>
    <mergeCell ref="A24:B24"/>
    <mergeCell ref="D19:E19"/>
    <mergeCell ref="D22:E22"/>
    <mergeCell ref="D24:E24"/>
    <mergeCell ref="A17:B17"/>
    <mergeCell ref="A22:B22"/>
    <mergeCell ref="D25:E25"/>
    <mergeCell ref="A20:B20"/>
    <mergeCell ref="D20:E20"/>
    <mergeCell ref="A27:G27"/>
    <mergeCell ref="A19:B19"/>
    <mergeCell ref="A12:G12"/>
    <mergeCell ref="D23:E23"/>
    <mergeCell ref="A1:H1"/>
    <mergeCell ref="D21:E21"/>
    <mergeCell ref="A16:B16"/>
    <mergeCell ref="A25:B25"/>
    <mergeCell ref="A15:G15"/>
    <mergeCell ref="A18:B18"/>
    <mergeCell ref="D17:E17"/>
    <mergeCell ref="D16:E16"/>
    <mergeCell ref="A21:B21"/>
    <mergeCell ref="A2:H2"/>
    <mergeCell ref="D18:E18"/>
    <mergeCell ref="A23:B23"/>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34"/>
  <sheetViews>
    <sheetView workbookViewId="0">
      <selection activeCell="G8" sqref="G8"/>
    </sheetView>
  </sheetViews>
  <sheetFormatPr defaultRowHeight="14.5" x14ac:dyDescent="0.35"/>
  <cols>
    <col min="1" max="1" width="6" customWidth="1"/>
    <col min="2" max="2" width="30" customWidth="1"/>
    <col min="3" max="3" width="40" customWidth="1"/>
    <col min="4" max="5" width="9" customWidth="1"/>
    <col min="6" max="6" width="13" customWidth="1"/>
    <col min="7" max="7" width="16" customWidth="1"/>
    <col min="10" max="13" width="11" customWidth="1"/>
  </cols>
  <sheetData>
    <row r="1" spans="1:13" ht="28" customHeight="1" x14ac:dyDescent="0.35">
      <c r="A1" s="34" t="s">
        <v>252</v>
      </c>
      <c r="B1" s="35"/>
      <c r="C1" s="35"/>
      <c r="D1" s="35"/>
      <c r="E1" s="35"/>
      <c r="F1" s="35"/>
      <c r="G1" s="35"/>
      <c r="H1" s="35"/>
      <c r="I1" s="35"/>
      <c r="J1" s="35"/>
      <c r="K1" s="35"/>
    </row>
    <row r="2" spans="1:13" ht="16" customHeight="1" x14ac:dyDescent="0.35">
      <c r="A2" s="36" t="s">
        <v>253</v>
      </c>
      <c r="B2" s="35"/>
      <c r="C2" s="35"/>
      <c r="D2" s="35"/>
      <c r="E2" s="35"/>
      <c r="F2" s="35"/>
      <c r="G2" s="35"/>
      <c r="H2" s="35"/>
      <c r="I2" s="35"/>
      <c r="J2" s="35"/>
      <c r="K2" s="35"/>
    </row>
    <row r="4" spans="1:13" x14ac:dyDescent="0.35">
      <c r="A4" s="3" t="s">
        <v>218</v>
      </c>
      <c r="B4" s="3" t="s">
        <v>2</v>
      </c>
      <c r="C4" s="3" t="s">
        <v>254</v>
      </c>
      <c r="D4" s="3" t="s">
        <v>255</v>
      </c>
      <c r="E4" s="3" t="s">
        <v>256</v>
      </c>
      <c r="F4" s="3" t="s">
        <v>257</v>
      </c>
      <c r="G4" s="3" t="s">
        <v>258</v>
      </c>
      <c r="I4" s="44" t="s">
        <v>259</v>
      </c>
      <c r="J4" s="30"/>
      <c r="K4" s="30"/>
      <c r="L4" s="31"/>
    </row>
    <row r="5" spans="1:13" x14ac:dyDescent="0.35">
      <c r="A5" s="45" t="s">
        <v>180</v>
      </c>
      <c r="B5" s="38" t="s">
        <v>260</v>
      </c>
      <c r="C5" s="38" t="s">
        <v>261</v>
      </c>
      <c r="D5" s="6">
        <v>1</v>
      </c>
      <c r="E5" s="6">
        <v>0</v>
      </c>
      <c r="F5" s="6">
        <v>0.75</v>
      </c>
      <c r="G5" s="6" t="s">
        <v>262</v>
      </c>
      <c r="J5" s="8" t="s">
        <v>263</v>
      </c>
      <c r="K5" s="8" t="s">
        <v>264</v>
      </c>
      <c r="L5" s="8" t="s">
        <v>265</v>
      </c>
      <c r="M5" s="8" t="s">
        <v>266</v>
      </c>
    </row>
    <row r="6" spans="1:13" x14ac:dyDescent="0.35">
      <c r="A6" s="42"/>
      <c r="B6" s="42"/>
      <c r="C6" s="42"/>
      <c r="D6" s="6">
        <v>2</v>
      </c>
      <c r="E6" s="6">
        <v>0.75</v>
      </c>
      <c r="F6" s="6">
        <v>1.5</v>
      </c>
      <c r="G6" s="6" t="s">
        <v>267</v>
      </c>
      <c r="J6" s="9">
        <v>0</v>
      </c>
      <c r="K6" s="9">
        <v>0</v>
      </c>
      <c r="L6" s="9">
        <v>0</v>
      </c>
      <c r="M6" s="9">
        <v>0</v>
      </c>
    </row>
    <row r="7" spans="1:13" x14ac:dyDescent="0.35">
      <c r="A7" s="42"/>
      <c r="B7" s="42"/>
      <c r="C7" s="42"/>
      <c r="D7" s="6">
        <v>3</v>
      </c>
      <c r="E7" s="6">
        <v>1.5</v>
      </c>
      <c r="F7" s="6">
        <v>4</v>
      </c>
      <c r="G7" s="6" t="s">
        <v>268</v>
      </c>
      <c r="J7" s="9">
        <v>0.75</v>
      </c>
      <c r="K7" s="9">
        <v>0.75</v>
      </c>
      <c r="L7" s="9">
        <v>1.5</v>
      </c>
      <c r="M7" s="9">
        <v>0.05</v>
      </c>
    </row>
    <row r="8" spans="1:13" x14ac:dyDescent="0.35">
      <c r="A8" s="42"/>
      <c r="B8" s="42"/>
      <c r="C8" s="42"/>
      <c r="D8" s="6">
        <v>4</v>
      </c>
      <c r="E8" s="6">
        <v>4</v>
      </c>
      <c r="F8" s="6">
        <v>7</v>
      </c>
      <c r="G8" s="6" t="s">
        <v>269</v>
      </c>
      <c r="J8" s="9">
        <v>1.5</v>
      </c>
      <c r="K8" s="9">
        <v>4</v>
      </c>
      <c r="L8" s="9">
        <v>3.5</v>
      </c>
      <c r="M8" s="9">
        <v>0.3</v>
      </c>
    </row>
    <row r="9" spans="1:13" x14ac:dyDescent="0.35">
      <c r="A9" s="42"/>
      <c r="B9" s="42"/>
      <c r="C9" s="42"/>
      <c r="D9" s="6">
        <v>5</v>
      </c>
      <c r="E9" s="6">
        <v>7</v>
      </c>
      <c r="F9" s="6">
        <v>12</v>
      </c>
      <c r="G9" s="6" t="s">
        <v>270</v>
      </c>
      <c r="J9" s="9">
        <v>4</v>
      </c>
      <c r="K9" s="9">
        <v>10</v>
      </c>
      <c r="L9" s="9">
        <v>7.5</v>
      </c>
      <c r="M9" s="9">
        <v>0.7</v>
      </c>
    </row>
    <row r="10" spans="1:13" x14ac:dyDescent="0.35">
      <c r="A10" s="42"/>
      <c r="B10" s="42"/>
      <c r="C10" s="42"/>
      <c r="D10" s="6">
        <v>6</v>
      </c>
      <c r="E10" s="6">
        <v>12</v>
      </c>
      <c r="F10" s="6">
        <v>18</v>
      </c>
      <c r="G10" s="6" t="s">
        <v>271</v>
      </c>
      <c r="J10" s="9">
        <v>7</v>
      </c>
      <c r="K10" s="9">
        <v>18</v>
      </c>
      <c r="L10" s="9">
        <v>15</v>
      </c>
      <c r="M10" s="9">
        <v>0.95</v>
      </c>
    </row>
    <row r="11" spans="1:13" x14ac:dyDescent="0.35">
      <c r="A11" s="42"/>
      <c r="B11" s="42"/>
      <c r="C11" s="42"/>
      <c r="D11" s="6">
        <v>7</v>
      </c>
      <c r="E11" s="6">
        <v>18</v>
      </c>
      <c r="F11" s="6">
        <v>25</v>
      </c>
      <c r="G11" s="6" t="s">
        <v>272</v>
      </c>
      <c r="J11" s="9">
        <v>12</v>
      </c>
      <c r="K11" s="9">
        <v>30</v>
      </c>
    </row>
    <row r="12" spans="1:13" x14ac:dyDescent="0.35">
      <c r="A12" s="42"/>
      <c r="B12" s="42"/>
      <c r="C12" s="42"/>
      <c r="D12" s="6">
        <v>8</v>
      </c>
      <c r="E12" s="6">
        <v>25</v>
      </c>
      <c r="F12" s="6">
        <v>35</v>
      </c>
      <c r="G12" s="6" t="s">
        <v>273</v>
      </c>
      <c r="J12" s="9">
        <v>18</v>
      </c>
    </row>
    <row r="13" spans="1:13" x14ac:dyDescent="0.35">
      <c r="A13" s="43"/>
      <c r="B13" s="43"/>
      <c r="C13" s="43"/>
      <c r="D13" s="6">
        <v>9</v>
      </c>
      <c r="E13" s="6">
        <v>35</v>
      </c>
      <c r="F13" s="6" t="s">
        <v>274</v>
      </c>
      <c r="G13" s="6" t="s">
        <v>275</v>
      </c>
      <c r="J13" s="9">
        <v>25</v>
      </c>
    </row>
    <row r="14" spans="1:13" x14ac:dyDescent="0.35">
      <c r="J14" s="9">
        <v>35</v>
      </c>
    </row>
    <row r="15" spans="1:13" x14ac:dyDescent="0.35">
      <c r="A15" s="45" t="s">
        <v>187</v>
      </c>
      <c r="B15" s="38" t="s">
        <v>276</v>
      </c>
      <c r="C15" s="38" t="s">
        <v>277</v>
      </c>
      <c r="D15" s="6">
        <v>1</v>
      </c>
      <c r="E15" s="6">
        <v>0</v>
      </c>
      <c r="F15" s="6">
        <v>0.75</v>
      </c>
      <c r="G15" s="6" t="s">
        <v>262</v>
      </c>
    </row>
    <row r="16" spans="1:13" x14ac:dyDescent="0.35">
      <c r="A16" s="42"/>
      <c r="B16" s="42"/>
      <c r="C16" s="42"/>
      <c r="D16" s="6">
        <v>2</v>
      </c>
      <c r="E16" s="6">
        <v>0.75</v>
      </c>
      <c r="F16" s="6">
        <v>4</v>
      </c>
      <c r="G16" s="6" t="s">
        <v>278</v>
      </c>
    </row>
    <row r="17" spans="1:7" x14ac:dyDescent="0.35">
      <c r="A17" s="42"/>
      <c r="B17" s="42"/>
      <c r="C17" s="42"/>
      <c r="D17" s="6">
        <v>3</v>
      </c>
      <c r="E17" s="6">
        <v>4</v>
      </c>
      <c r="F17" s="6">
        <v>10</v>
      </c>
      <c r="G17" s="6" t="s">
        <v>279</v>
      </c>
    </row>
    <row r="18" spans="1:7" x14ac:dyDescent="0.35">
      <c r="A18" s="42"/>
      <c r="B18" s="42"/>
      <c r="C18" s="42"/>
      <c r="D18" s="6">
        <v>4</v>
      </c>
      <c r="E18" s="6">
        <v>10</v>
      </c>
      <c r="F18" s="6">
        <v>18</v>
      </c>
      <c r="G18" s="6" t="s">
        <v>280</v>
      </c>
    </row>
    <row r="19" spans="1:7" x14ac:dyDescent="0.35">
      <c r="A19" s="42"/>
      <c r="B19" s="42"/>
      <c r="C19" s="42"/>
      <c r="D19" s="6">
        <v>5</v>
      </c>
      <c r="E19" s="6">
        <v>18</v>
      </c>
      <c r="F19" s="6">
        <v>30</v>
      </c>
      <c r="G19" s="6" t="s">
        <v>281</v>
      </c>
    </row>
    <row r="20" spans="1:7" x14ac:dyDescent="0.35">
      <c r="A20" s="43"/>
      <c r="B20" s="43"/>
      <c r="C20" s="43"/>
      <c r="D20" s="6">
        <v>6</v>
      </c>
      <c r="E20" s="6">
        <v>30</v>
      </c>
      <c r="F20" s="6" t="s">
        <v>274</v>
      </c>
      <c r="G20" s="6" t="s">
        <v>282</v>
      </c>
    </row>
    <row r="22" spans="1:7" x14ac:dyDescent="0.35">
      <c r="A22" s="45" t="s">
        <v>191</v>
      </c>
      <c r="B22" s="38" t="s">
        <v>283</v>
      </c>
      <c r="C22" s="38" t="s">
        <v>284</v>
      </c>
      <c r="D22" s="6">
        <v>1</v>
      </c>
      <c r="E22" s="6">
        <v>0</v>
      </c>
      <c r="F22" s="6">
        <v>1.5</v>
      </c>
      <c r="G22" s="6" t="s">
        <v>285</v>
      </c>
    </row>
    <row r="23" spans="1:7" x14ac:dyDescent="0.35">
      <c r="A23" s="42"/>
      <c r="B23" s="42"/>
      <c r="C23" s="42"/>
      <c r="D23" s="6">
        <v>2</v>
      </c>
      <c r="E23" s="6">
        <v>1.5</v>
      </c>
      <c r="F23" s="6">
        <v>3.5</v>
      </c>
      <c r="G23" s="6" t="s">
        <v>286</v>
      </c>
    </row>
    <row r="24" spans="1:7" x14ac:dyDescent="0.35">
      <c r="A24" s="42"/>
      <c r="B24" s="42"/>
      <c r="C24" s="42"/>
      <c r="D24" s="6">
        <v>3</v>
      </c>
      <c r="E24" s="6">
        <v>3.5</v>
      </c>
      <c r="F24" s="6">
        <v>7.5</v>
      </c>
      <c r="G24" s="6" t="s">
        <v>287</v>
      </c>
    </row>
    <row r="25" spans="1:7" x14ac:dyDescent="0.35">
      <c r="A25" s="42"/>
      <c r="B25" s="42"/>
      <c r="C25" s="42"/>
      <c r="D25" s="6">
        <v>4</v>
      </c>
      <c r="E25" s="6">
        <v>7.5</v>
      </c>
      <c r="F25" s="6">
        <v>15</v>
      </c>
      <c r="G25" s="6" t="s">
        <v>288</v>
      </c>
    </row>
    <row r="26" spans="1:7" x14ac:dyDescent="0.35">
      <c r="A26" s="43"/>
      <c r="B26" s="43"/>
      <c r="C26" s="43"/>
      <c r="D26" s="6">
        <v>5</v>
      </c>
      <c r="E26" s="6">
        <v>15</v>
      </c>
      <c r="F26" s="6" t="s">
        <v>274</v>
      </c>
      <c r="G26" s="6" t="s">
        <v>289</v>
      </c>
    </row>
    <row r="28" spans="1:7" x14ac:dyDescent="0.35">
      <c r="A28" s="45" t="s">
        <v>197</v>
      </c>
      <c r="B28" s="38" t="s">
        <v>290</v>
      </c>
      <c r="C28" s="38" t="s">
        <v>291</v>
      </c>
      <c r="D28" s="6">
        <v>1</v>
      </c>
      <c r="E28" s="6">
        <v>0</v>
      </c>
      <c r="F28" s="6">
        <v>0.05</v>
      </c>
      <c r="G28" s="6" t="s">
        <v>292</v>
      </c>
    </row>
    <row r="29" spans="1:7" x14ac:dyDescent="0.35">
      <c r="A29" s="42"/>
      <c r="B29" s="42"/>
      <c r="C29" s="42"/>
      <c r="D29" s="6">
        <v>2</v>
      </c>
      <c r="E29" s="6">
        <v>0.05</v>
      </c>
      <c r="F29" s="6">
        <v>0.3</v>
      </c>
      <c r="G29" s="6" t="s">
        <v>293</v>
      </c>
    </row>
    <row r="30" spans="1:7" x14ac:dyDescent="0.35">
      <c r="A30" s="42"/>
      <c r="B30" s="42"/>
      <c r="C30" s="42"/>
      <c r="D30" s="6">
        <v>3</v>
      </c>
      <c r="E30" s="6">
        <v>0.3</v>
      </c>
      <c r="F30" s="6">
        <v>0.7</v>
      </c>
      <c r="G30" s="6" t="s">
        <v>294</v>
      </c>
    </row>
    <row r="31" spans="1:7" x14ac:dyDescent="0.35">
      <c r="A31" s="42"/>
      <c r="B31" s="42"/>
      <c r="C31" s="42"/>
      <c r="D31" s="6">
        <v>4</v>
      </c>
      <c r="E31" s="6">
        <v>0.7</v>
      </c>
      <c r="F31" s="6">
        <v>0.95</v>
      </c>
      <c r="G31" s="6" t="s">
        <v>295</v>
      </c>
    </row>
    <row r="32" spans="1:7" x14ac:dyDescent="0.35">
      <c r="A32" s="43"/>
      <c r="B32" s="43"/>
      <c r="C32" s="43"/>
      <c r="D32" s="6">
        <v>5</v>
      </c>
      <c r="E32" s="6">
        <v>0.95</v>
      </c>
      <c r="F32" s="6">
        <v>1</v>
      </c>
      <c r="G32" s="6" t="s">
        <v>296</v>
      </c>
    </row>
    <row r="34" spans="1:7" ht="45" customHeight="1" x14ac:dyDescent="0.35">
      <c r="A34" s="41" t="s">
        <v>297</v>
      </c>
      <c r="B34" s="35"/>
      <c r="C34" s="35"/>
      <c r="D34" s="35"/>
      <c r="E34" s="35"/>
      <c r="F34" s="35"/>
      <c r="G34" s="35"/>
    </row>
  </sheetData>
  <mergeCells count="16">
    <mergeCell ref="A1:K1"/>
    <mergeCell ref="A34:G34"/>
    <mergeCell ref="C15:C20"/>
    <mergeCell ref="A2:K2"/>
    <mergeCell ref="I4:L4"/>
    <mergeCell ref="A28:A32"/>
    <mergeCell ref="B28:B32"/>
    <mergeCell ref="B22:B26"/>
    <mergeCell ref="C28:C32"/>
    <mergeCell ref="C22:C26"/>
    <mergeCell ref="B15:B20"/>
    <mergeCell ref="B5:B13"/>
    <mergeCell ref="A22:A26"/>
    <mergeCell ref="C5:C13"/>
    <mergeCell ref="A5:A13"/>
    <mergeCell ref="A15:A20"/>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3"/>
  <sheetViews>
    <sheetView topLeftCell="A29" workbookViewId="0">
      <selection activeCell="A29" sqref="A29"/>
    </sheetView>
  </sheetViews>
  <sheetFormatPr defaultRowHeight="14.5" x14ac:dyDescent="0.35"/>
  <cols>
    <col min="1" max="1" width="16" customWidth="1"/>
    <col min="2" max="2" width="34" customWidth="1"/>
    <col min="3" max="3" width="42" customWidth="1"/>
    <col min="4" max="4" width="12" customWidth="1"/>
    <col min="5" max="5" width="24" customWidth="1"/>
    <col min="6" max="6" width="26" customWidth="1"/>
    <col min="7" max="7" width="52" customWidth="1"/>
  </cols>
  <sheetData>
    <row r="1" spans="1:8" ht="28" customHeight="1" x14ac:dyDescent="0.35">
      <c r="A1" s="34" t="s">
        <v>298</v>
      </c>
      <c r="B1" s="35"/>
      <c r="C1" s="35"/>
      <c r="D1" s="35"/>
      <c r="E1" s="35"/>
      <c r="F1" s="35"/>
      <c r="G1" s="35"/>
      <c r="H1" s="35"/>
    </row>
    <row r="2" spans="1:8" ht="16" customHeight="1" x14ac:dyDescent="0.35">
      <c r="A2" s="36" t="s">
        <v>299</v>
      </c>
      <c r="B2" s="35"/>
      <c r="C2" s="35"/>
      <c r="D2" s="35"/>
      <c r="E2" s="35"/>
      <c r="F2" s="35"/>
      <c r="G2" s="35"/>
      <c r="H2" s="35"/>
    </row>
    <row r="4" spans="1:8" x14ac:dyDescent="0.35">
      <c r="A4" s="3" t="s">
        <v>300</v>
      </c>
      <c r="B4" s="3" t="s">
        <v>301</v>
      </c>
      <c r="C4" s="3" t="s">
        <v>302</v>
      </c>
      <c r="D4" s="3" t="s">
        <v>171</v>
      </c>
      <c r="E4" s="3" t="s">
        <v>303</v>
      </c>
      <c r="F4" s="3" t="s">
        <v>304</v>
      </c>
      <c r="G4" s="3" t="s">
        <v>305</v>
      </c>
    </row>
    <row r="5" spans="1:8" ht="40" customHeight="1" x14ac:dyDescent="0.35">
      <c r="A5" s="10" t="s">
        <v>306</v>
      </c>
      <c r="B5" s="5" t="s">
        <v>307</v>
      </c>
      <c r="C5" s="5" t="s">
        <v>308</v>
      </c>
      <c r="D5" s="5" t="s">
        <v>178</v>
      </c>
      <c r="E5" s="5" t="s">
        <v>309</v>
      </c>
      <c r="F5" s="5" t="s">
        <v>310</v>
      </c>
      <c r="G5" s="5" t="s">
        <v>311</v>
      </c>
    </row>
    <row r="6" spans="1:8" ht="40" customHeight="1" x14ac:dyDescent="0.35">
      <c r="A6" s="10" t="s">
        <v>306</v>
      </c>
      <c r="B6" s="5" t="s">
        <v>312</v>
      </c>
      <c r="C6" s="5" t="s">
        <v>313</v>
      </c>
      <c r="D6" s="5" t="s">
        <v>201</v>
      </c>
      <c r="E6" s="5" t="s">
        <v>314</v>
      </c>
      <c r="F6" s="5" t="s">
        <v>315</v>
      </c>
      <c r="G6" s="5" t="s">
        <v>316</v>
      </c>
    </row>
    <row r="7" spans="1:8" ht="40" customHeight="1" x14ac:dyDescent="0.35">
      <c r="A7" s="10" t="s">
        <v>306</v>
      </c>
      <c r="B7" s="5" t="s">
        <v>317</v>
      </c>
      <c r="C7" s="5" t="s">
        <v>318</v>
      </c>
      <c r="D7" s="5" t="s">
        <v>201</v>
      </c>
      <c r="E7" s="5" t="s">
        <v>319</v>
      </c>
      <c r="F7" s="5" t="s">
        <v>320</v>
      </c>
      <c r="G7" s="5" t="s">
        <v>321</v>
      </c>
    </row>
    <row r="8" spans="1:8" ht="40" customHeight="1" x14ac:dyDescent="0.35">
      <c r="A8" s="10" t="s">
        <v>306</v>
      </c>
      <c r="B8" s="5" t="s">
        <v>322</v>
      </c>
      <c r="C8" s="5" t="s">
        <v>323</v>
      </c>
      <c r="D8" s="5" t="s">
        <v>208</v>
      </c>
      <c r="E8" s="5" t="s">
        <v>324</v>
      </c>
      <c r="F8" s="5" t="s">
        <v>325</v>
      </c>
      <c r="G8" s="5" t="s">
        <v>326</v>
      </c>
    </row>
    <row r="9" spans="1:8" ht="40" customHeight="1" x14ac:dyDescent="0.35">
      <c r="A9" s="10" t="s">
        <v>327</v>
      </c>
      <c r="B9" s="5" t="s">
        <v>328</v>
      </c>
      <c r="C9" s="5" t="s">
        <v>329</v>
      </c>
      <c r="D9" s="5" t="s">
        <v>178</v>
      </c>
      <c r="E9" s="5" t="s">
        <v>309</v>
      </c>
      <c r="F9" s="5" t="s">
        <v>330</v>
      </c>
      <c r="G9" s="5" t="s">
        <v>331</v>
      </c>
    </row>
    <row r="10" spans="1:8" ht="40" customHeight="1" x14ac:dyDescent="0.35">
      <c r="A10" s="10" t="s">
        <v>327</v>
      </c>
      <c r="B10" s="5" t="s">
        <v>332</v>
      </c>
      <c r="C10" s="5" t="s">
        <v>333</v>
      </c>
      <c r="D10" s="5" t="s">
        <v>201</v>
      </c>
      <c r="E10" s="5" t="s">
        <v>319</v>
      </c>
      <c r="F10" s="5" t="s">
        <v>334</v>
      </c>
      <c r="G10" s="5" t="s">
        <v>335</v>
      </c>
    </row>
    <row r="11" spans="1:8" ht="40" customHeight="1" x14ac:dyDescent="0.35">
      <c r="A11" s="10" t="s">
        <v>336</v>
      </c>
      <c r="B11" s="5" t="s">
        <v>337</v>
      </c>
      <c r="C11" s="5" t="s">
        <v>338</v>
      </c>
      <c r="D11" s="5" t="s">
        <v>178</v>
      </c>
      <c r="E11" s="5" t="s">
        <v>309</v>
      </c>
      <c r="F11" s="5" t="s">
        <v>339</v>
      </c>
      <c r="G11" s="5" t="s">
        <v>340</v>
      </c>
    </row>
    <row r="12" spans="1:8" ht="40" customHeight="1" x14ac:dyDescent="0.35">
      <c r="A12" s="10" t="s">
        <v>336</v>
      </c>
      <c r="B12" s="5" t="s">
        <v>341</v>
      </c>
      <c r="C12" s="5" t="s">
        <v>342</v>
      </c>
      <c r="D12" s="5" t="s">
        <v>201</v>
      </c>
      <c r="E12" s="5" t="s">
        <v>314</v>
      </c>
      <c r="F12" s="5" t="s">
        <v>343</v>
      </c>
      <c r="G12" s="5" t="s">
        <v>344</v>
      </c>
    </row>
    <row r="13" spans="1:8" ht="40" customHeight="1" x14ac:dyDescent="0.35">
      <c r="A13" s="10" t="s">
        <v>336</v>
      </c>
      <c r="B13" s="5" t="s">
        <v>345</v>
      </c>
      <c r="C13" s="5" t="s">
        <v>346</v>
      </c>
      <c r="D13" s="5" t="s">
        <v>201</v>
      </c>
      <c r="E13" s="5" t="s">
        <v>319</v>
      </c>
      <c r="F13" s="5" t="s">
        <v>347</v>
      </c>
      <c r="G13" s="5" t="s">
        <v>321</v>
      </c>
    </row>
    <row r="14" spans="1:8" ht="40" customHeight="1" x14ac:dyDescent="0.35">
      <c r="A14" s="10" t="s">
        <v>348</v>
      </c>
      <c r="B14" s="5" t="s">
        <v>349</v>
      </c>
      <c r="C14" s="5" t="s">
        <v>350</v>
      </c>
      <c r="D14" s="5" t="s">
        <v>178</v>
      </c>
      <c r="E14" s="5" t="s">
        <v>351</v>
      </c>
      <c r="F14" s="5" t="s">
        <v>352</v>
      </c>
      <c r="G14" s="5" t="s">
        <v>353</v>
      </c>
    </row>
    <row r="15" spans="1:8" ht="40" customHeight="1" x14ac:dyDescent="0.35">
      <c r="A15" s="10" t="s">
        <v>348</v>
      </c>
      <c r="B15" s="5" t="s">
        <v>354</v>
      </c>
      <c r="C15" s="5" t="s">
        <v>355</v>
      </c>
      <c r="D15" s="5" t="s">
        <v>178</v>
      </c>
      <c r="E15" s="5" t="s">
        <v>356</v>
      </c>
      <c r="F15" s="5" t="s">
        <v>357</v>
      </c>
      <c r="G15" s="5" t="s">
        <v>358</v>
      </c>
    </row>
    <row r="16" spans="1:8" ht="40" customHeight="1" x14ac:dyDescent="0.35">
      <c r="A16" s="10" t="s">
        <v>359</v>
      </c>
      <c r="B16" s="5" t="s">
        <v>360</v>
      </c>
      <c r="C16" s="5" t="s">
        <v>361</v>
      </c>
      <c r="D16" s="5" t="s">
        <v>178</v>
      </c>
      <c r="E16" s="5" t="s">
        <v>351</v>
      </c>
      <c r="F16" s="5" t="s">
        <v>362</v>
      </c>
      <c r="G16" s="5" t="s">
        <v>363</v>
      </c>
    </row>
    <row r="17" spans="1:7" ht="40" customHeight="1" x14ac:dyDescent="0.35">
      <c r="A17" s="10" t="s">
        <v>359</v>
      </c>
      <c r="B17" s="5" t="s">
        <v>364</v>
      </c>
      <c r="C17" s="5" t="s">
        <v>365</v>
      </c>
      <c r="D17" s="5" t="s">
        <v>201</v>
      </c>
      <c r="E17" s="5" t="s">
        <v>319</v>
      </c>
      <c r="F17" s="5" t="s">
        <v>366</v>
      </c>
      <c r="G17" s="5" t="s">
        <v>321</v>
      </c>
    </row>
    <row r="18" spans="1:7" ht="40" customHeight="1" x14ac:dyDescent="0.35">
      <c r="A18" s="10" t="s">
        <v>359</v>
      </c>
      <c r="B18" s="5" t="s">
        <v>367</v>
      </c>
      <c r="C18" s="5" t="s">
        <v>368</v>
      </c>
      <c r="D18" s="5" t="s">
        <v>369</v>
      </c>
      <c r="E18" s="5" t="s">
        <v>370</v>
      </c>
      <c r="F18" s="5" t="s">
        <v>371</v>
      </c>
      <c r="G18" s="5" t="s">
        <v>372</v>
      </c>
    </row>
    <row r="20" spans="1:7" x14ac:dyDescent="0.35">
      <c r="A20" s="40" t="s">
        <v>373</v>
      </c>
      <c r="B20" s="30"/>
      <c r="C20" s="30"/>
      <c r="D20" s="30"/>
      <c r="E20" s="30"/>
      <c r="F20" s="30"/>
      <c r="G20" s="31"/>
    </row>
    <row r="21" spans="1:7" ht="92" customHeight="1" x14ac:dyDescent="0.35">
      <c r="A21" s="37" t="s">
        <v>374</v>
      </c>
      <c r="B21" s="30"/>
      <c r="C21" s="30"/>
      <c r="D21" s="30"/>
      <c r="E21" s="30"/>
      <c r="F21" s="30"/>
      <c r="G21" s="31"/>
    </row>
    <row r="23" spans="1:7" x14ac:dyDescent="0.35">
      <c r="A23" s="40" t="s">
        <v>375</v>
      </c>
      <c r="B23" s="30"/>
      <c r="C23" s="30"/>
      <c r="D23" s="30"/>
      <c r="E23" s="30"/>
      <c r="F23" s="30"/>
      <c r="G23" s="31"/>
    </row>
    <row r="24" spans="1:7" ht="98" customHeight="1" x14ac:dyDescent="0.35">
      <c r="A24" s="32" t="s">
        <v>376</v>
      </c>
      <c r="B24" s="30"/>
      <c r="C24" s="30"/>
      <c r="D24" s="30"/>
      <c r="E24" s="30"/>
      <c r="F24" s="30"/>
      <c r="G24" s="31"/>
    </row>
    <row r="25" spans="1:7" x14ac:dyDescent="0.35">
      <c r="A25" s="3" t="s">
        <v>300</v>
      </c>
      <c r="B25" s="39" t="s">
        <v>377</v>
      </c>
      <c r="C25" s="30"/>
      <c r="D25" s="31"/>
      <c r="E25" s="39" t="s">
        <v>378</v>
      </c>
      <c r="F25" s="30"/>
      <c r="G25" s="31"/>
    </row>
    <row r="26" spans="1:7" ht="26" customHeight="1" x14ac:dyDescent="0.35">
      <c r="A26" s="10" t="s">
        <v>306</v>
      </c>
      <c r="B26" s="38" t="s">
        <v>379</v>
      </c>
      <c r="C26" s="30"/>
      <c r="D26" s="31"/>
      <c r="E26" s="38" t="s">
        <v>380</v>
      </c>
      <c r="F26" s="30"/>
      <c r="G26" s="31"/>
    </row>
    <row r="27" spans="1:7" ht="26" customHeight="1" x14ac:dyDescent="0.35">
      <c r="A27" s="10" t="s">
        <v>327</v>
      </c>
      <c r="B27" s="38" t="s">
        <v>381</v>
      </c>
      <c r="C27" s="30"/>
      <c r="D27" s="31"/>
      <c r="E27" s="38" t="s">
        <v>382</v>
      </c>
      <c r="F27" s="30"/>
      <c r="G27" s="31"/>
    </row>
    <row r="28" spans="1:7" ht="26" customHeight="1" x14ac:dyDescent="0.35">
      <c r="A28" s="10" t="s">
        <v>348</v>
      </c>
      <c r="B28" s="38" t="s">
        <v>383</v>
      </c>
      <c r="C28" s="30"/>
      <c r="D28" s="31"/>
      <c r="E28" s="38" t="s">
        <v>384</v>
      </c>
      <c r="F28" s="30"/>
      <c r="G28" s="31"/>
    </row>
    <row r="29" spans="1:7" ht="26" customHeight="1" x14ac:dyDescent="0.35">
      <c r="A29" s="10" t="s">
        <v>359</v>
      </c>
      <c r="B29" s="38" t="s">
        <v>385</v>
      </c>
      <c r="C29" s="30"/>
      <c r="D29" s="31"/>
      <c r="E29" s="38" t="s">
        <v>386</v>
      </c>
      <c r="F29" s="30"/>
      <c r="G29" s="31"/>
    </row>
    <row r="30" spans="1:7" ht="26" customHeight="1" x14ac:dyDescent="0.35">
      <c r="A30" s="10" t="s">
        <v>336</v>
      </c>
      <c r="B30" s="38" t="s">
        <v>387</v>
      </c>
      <c r="C30" s="30"/>
      <c r="D30" s="31"/>
      <c r="E30" s="38" t="s">
        <v>386</v>
      </c>
      <c r="F30" s="30"/>
      <c r="G30" s="31"/>
    </row>
    <row r="32" spans="1:7" x14ac:dyDescent="0.35">
      <c r="A32" s="40" t="s">
        <v>388</v>
      </c>
      <c r="B32" s="30"/>
      <c r="C32" s="30"/>
      <c r="D32" s="30"/>
      <c r="E32" s="30"/>
      <c r="F32" s="30"/>
      <c r="G32" s="31"/>
    </row>
    <row r="33" spans="1:7" ht="46" customHeight="1" x14ac:dyDescent="0.35">
      <c r="A33" s="37" t="s">
        <v>389</v>
      </c>
      <c r="B33" s="30"/>
      <c r="C33" s="30"/>
      <c r="D33" s="30"/>
      <c r="E33" s="30"/>
      <c r="F33" s="30"/>
      <c r="G33" s="31"/>
    </row>
  </sheetData>
  <mergeCells count="20">
    <mergeCell ref="A20:G20"/>
    <mergeCell ref="E30:G30"/>
    <mergeCell ref="A1:H1"/>
    <mergeCell ref="B29:D29"/>
    <mergeCell ref="B28:D28"/>
    <mergeCell ref="A2:H2"/>
    <mergeCell ref="A21:G21"/>
    <mergeCell ref="A23:G23"/>
    <mergeCell ref="A33:G33"/>
    <mergeCell ref="E27:G27"/>
    <mergeCell ref="A24:G24"/>
    <mergeCell ref="E26:G26"/>
    <mergeCell ref="B30:D30"/>
    <mergeCell ref="E25:G25"/>
    <mergeCell ref="B26:D26"/>
    <mergeCell ref="B25:D25"/>
    <mergeCell ref="B27:D27"/>
    <mergeCell ref="E29:G29"/>
    <mergeCell ref="A32:G32"/>
    <mergeCell ref="E28:G28"/>
  </mergeCells>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55"/>
  <sheetViews>
    <sheetView tabSelected="1" topLeftCell="A52" workbookViewId="0">
      <selection activeCell="A57" sqref="A57"/>
    </sheetView>
  </sheetViews>
  <sheetFormatPr defaultRowHeight="14.5" x14ac:dyDescent="0.35"/>
  <cols>
    <col min="1" max="1" width="26" customWidth="1"/>
    <col min="2" max="2" width="36" customWidth="1"/>
    <col min="3" max="3" width="30" customWidth="1"/>
    <col min="4" max="4" width="50" customWidth="1"/>
    <col min="5" max="6" width="12" customWidth="1"/>
  </cols>
  <sheetData>
    <row r="1" spans="1:6" ht="22" customHeight="1" x14ac:dyDescent="0.35">
      <c r="A1" s="29" t="s">
        <v>0</v>
      </c>
      <c r="B1" s="30"/>
      <c r="C1" s="30"/>
      <c r="D1" s="30"/>
      <c r="E1" s="30"/>
      <c r="F1" s="31"/>
    </row>
    <row r="2" spans="1:6" ht="30" customHeight="1" x14ac:dyDescent="0.35">
      <c r="A2" s="32" t="s">
        <v>1</v>
      </c>
      <c r="B2" s="30"/>
      <c r="C2" s="30"/>
      <c r="D2" s="30"/>
      <c r="E2" s="30"/>
      <c r="F2" s="31"/>
    </row>
    <row r="4" spans="1:6" x14ac:dyDescent="0.35">
      <c r="A4" s="1" t="s">
        <v>2</v>
      </c>
      <c r="B4" s="1" t="s">
        <v>3</v>
      </c>
      <c r="C4" s="1" t="s">
        <v>4</v>
      </c>
    </row>
    <row r="5" spans="1:6" ht="30" customHeight="1" x14ac:dyDescent="0.35">
      <c r="A5" s="2" t="s">
        <v>5</v>
      </c>
      <c r="B5" s="2" t="s">
        <v>6</v>
      </c>
      <c r="C5" s="2" t="s">
        <v>7</v>
      </c>
    </row>
    <row r="6" spans="1:6" ht="30" customHeight="1" x14ac:dyDescent="0.35">
      <c r="A6" s="2" t="s">
        <v>8</v>
      </c>
      <c r="B6" s="2" t="s">
        <v>9</v>
      </c>
      <c r="C6" s="2" t="s">
        <v>10</v>
      </c>
    </row>
    <row r="7" spans="1:6" ht="30" customHeight="1" x14ac:dyDescent="0.35">
      <c r="A7" s="2" t="s">
        <v>11</v>
      </c>
      <c r="B7" s="2" t="s">
        <v>12</v>
      </c>
      <c r="C7" s="2" t="s">
        <v>13</v>
      </c>
    </row>
    <row r="8" spans="1:6" ht="60" customHeight="1" x14ac:dyDescent="0.35">
      <c r="A8" s="2" t="s">
        <v>14</v>
      </c>
      <c r="B8" s="2" t="s">
        <v>15</v>
      </c>
      <c r="C8" s="2" t="s">
        <v>16</v>
      </c>
    </row>
    <row r="9" spans="1:6" ht="30" customHeight="1" x14ac:dyDescent="0.35">
      <c r="A9" s="2" t="s">
        <v>17</v>
      </c>
      <c r="B9" s="2" t="s">
        <v>18</v>
      </c>
      <c r="C9" s="2" t="s">
        <v>19</v>
      </c>
    </row>
    <row r="10" spans="1:6" ht="30" customHeight="1" x14ac:dyDescent="0.35">
      <c r="A10" s="2" t="s">
        <v>20</v>
      </c>
      <c r="B10" s="2" t="s">
        <v>21</v>
      </c>
      <c r="C10" s="2" t="s">
        <v>22</v>
      </c>
    </row>
    <row r="11" spans="1:6" ht="30" customHeight="1" x14ac:dyDescent="0.35">
      <c r="A11" s="2" t="s">
        <v>23</v>
      </c>
      <c r="B11" s="2" t="s">
        <v>24</v>
      </c>
      <c r="C11" s="2" t="s">
        <v>25</v>
      </c>
    </row>
    <row r="12" spans="1:6" ht="30" customHeight="1" x14ac:dyDescent="0.35">
      <c r="A12" s="2" t="s">
        <v>26</v>
      </c>
      <c r="B12" s="2" t="s">
        <v>27</v>
      </c>
      <c r="C12" s="2" t="s">
        <v>28</v>
      </c>
    </row>
    <row r="13" spans="1:6" ht="40" customHeight="1" x14ac:dyDescent="0.35">
      <c r="A13" s="2" t="s">
        <v>29</v>
      </c>
      <c r="B13" s="2" t="s">
        <v>30</v>
      </c>
      <c r="C13" s="2" t="s">
        <v>31</v>
      </c>
    </row>
    <row r="15" spans="1:6" ht="58" customHeight="1" x14ac:dyDescent="0.35">
      <c r="A15" s="32" t="s">
        <v>32</v>
      </c>
      <c r="B15" s="30"/>
      <c r="C15" s="30"/>
      <c r="D15" s="30"/>
      <c r="E15" s="30"/>
      <c r="F15" s="31"/>
    </row>
    <row r="16" spans="1:6" ht="58" customHeight="1" x14ac:dyDescent="0.35">
      <c r="A16" s="32" t="s">
        <v>33</v>
      </c>
      <c r="B16" s="30"/>
      <c r="C16" s="30"/>
      <c r="D16" s="30"/>
      <c r="E16" s="30"/>
      <c r="F16" s="31"/>
    </row>
    <row r="17" spans="1:6" ht="58" customHeight="1" x14ac:dyDescent="0.35">
      <c r="A17" s="32" t="s">
        <v>34</v>
      </c>
      <c r="B17" s="30"/>
      <c r="C17" s="30"/>
      <c r="D17" s="30"/>
      <c r="E17" s="30"/>
      <c r="F17" s="31"/>
    </row>
    <row r="18" spans="1:6" ht="58" customHeight="1" x14ac:dyDescent="0.35">
      <c r="A18" s="32" t="s">
        <v>35</v>
      </c>
      <c r="B18" s="30"/>
      <c r="C18" s="30"/>
      <c r="D18" s="30"/>
      <c r="E18" s="30"/>
      <c r="F18" s="31"/>
    </row>
    <row r="19" spans="1:6" ht="30" customHeight="1" x14ac:dyDescent="0.35">
      <c r="A19" s="32" t="s">
        <v>36</v>
      </c>
      <c r="B19" s="30"/>
      <c r="C19" s="30"/>
      <c r="D19" s="30"/>
      <c r="E19" s="30"/>
      <c r="F19" s="31"/>
    </row>
    <row r="20" spans="1:6" ht="82" customHeight="1" x14ac:dyDescent="0.35">
      <c r="A20" s="32" t="s">
        <v>37</v>
      </c>
      <c r="B20" s="30"/>
      <c r="C20" s="30"/>
      <c r="D20" s="30"/>
      <c r="E20" s="30"/>
      <c r="F20" s="31"/>
    </row>
    <row r="22" spans="1:6" ht="20" customHeight="1" x14ac:dyDescent="0.35">
      <c r="A22" s="29" t="s">
        <v>38</v>
      </c>
      <c r="B22" s="30"/>
      <c r="C22" s="30"/>
      <c r="D22" s="31"/>
    </row>
    <row r="23" spans="1:6" ht="26" customHeight="1" x14ac:dyDescent="0.35">
      <c r="A23" s="1" t="s">
        <v>39</v>
      </c>
      <c r="B23" s="1" t="s">
        <v>40</v>
      </c>
      <c r="C23" s="1" t="s">
        <v>41</v>
      </c>
      <c r="D23" s="1" t="s">
        <v>42</v>
      </c>
    </row>
    <row r="24" spans="1:6" ht="40" customHeight="1" x14ac:dyDescent="0.35">
      <c r="A24" s="2" t="s">
        <v>43</v>
      </c>
      <c r="B24" s="2" t="s">
        <v>44</v>
      </c>
      <c r="C24" s="25" t="s">
        <v>45</v>
      </c>
      <c r="D24" s="2" t="s">
        <v>46</v>
      </c>
    </row>
    <row r="25" spans="1:6" ht="40" customHeight="1" x14ac:dyDescent="0.35">
      <c r="A25" s="2" t="s">
        <v>47</v>
      </c>
      <c r="B25" s="2" t="s">
        <v>48</v>
      </c>
      <c r="C25" s="26" t="s">
        <v>49</v>
      </c>
      <c r="D25" s="2" t="s">
        <v>50</v>
      </c>
    </row>
    <row r="26" spans="1:6" ht="40" customHeight="1" x14ac:dyDescent="0.35">
      <c r="A26" s="2" t="s">
        <v>51</v>
      </c>
      <c r="B26" s="2" t="s">
        <v>52</v>
      </c>
      <c r="C26" s="26" t="s">
        <v>53</v>
      </c>
      <c r="D26" s="2" t="s">
        <v>54</v>
      </c>
    </row>
    <row r="27" spans="1:6" ht="40" customHeight="1" x14ac:dyDescent="0.35">
      <c r="A27" s="2" t="s">
        <v>55</v>
      </c>
      <c r="B27" s="2" t="s">
        <v>56</v>
      </c>
      <c r="C27" s="25" t="s">
        <v>45</v>
      </c>
      <c r="D27" s="2" t="s">
        <v>57</v>
      </c>
    </row>
    <row r="28" spans="1:6" ht="40" customHeight="1" x14ac:dyDescent="0.35">
      <c r="A28" s="2" t="s">
        <v>58</v>
      </c>
      <c r="B28" s="2" t="s">
        <v>59</v>
      </c>
      <c r="C28" s="26" t="s">
        <v>60</v>
      </c>
      <c r="D28" s="2" t="s">
        <v>61</v>
      </c>
    </row>
    <row r="29" spans="1:6" ht="40" customHeight="1" x14ac:dyDescent="0.35">
      <c r="A29" s="2" t="s">
        <v>62</v>
      </c>
      <c r="B29" s="2" t="s">
        <v>63</v>
      </c>
      <c r="C29" s="26" t="s">
        <v>60</v>
      </c>
      <c r="D29" s="2" t="s">
        <v>64</v>
      </c>
    </row>
    <row r="30" spans="1:6" ht="40" customHeight="1" x14ac:dyDescent="0.35">
      <c r="A30" s="2" t="s">
        <v>65</v>
      </c>
      <c r="B30" s="2" t="s">
        <v>66</v>
      </c>
      <c r="C30" s="25" t="s">
        <v>45</v>
      </c>
      <c r="D30" s="2" t="s">
        <v>67</v>
      </c>
    </row>
    <row r="31" spans="1:6" ht="40" customHeight="1" x14ac:dyDescent="0.35">
      <c r="A31" s="2" t="s">
        <v>68</v>
      </c>
      <c r="B31" s="2" t="s">
        <v>69</v>
      </c>
      <c r="C31" s="25" t="s">
        <v>45</v>
      </c>
      <c r="D31" s="2" t="s">
        <v>70</v>
      </c>
    </row>
    <row r="32" spans="1:6" ht="40" customHeight="1" x14ac:dyDescent="0.35">
      <c r="A32" s="2" t="s">
        <v>71</v>
      </c>
      <c r="B32" s="2" t="s">
        <v>72</v>
      </c>
      <c r="C32" s="26" t="s">
        <v>73</v>
      </c>
      <c r="D32" s="2" t="s">
        <v>74</v>
      </c>
    </row>
    <row r="33" spans="1:4" ht="40" customHeight="1" x14ac:dyDescent="0.35">
      <c r="A33" s="2" t="s">
        <v>75</v>
      </c>
      <c r="B33" s="2" t="s">
        <v>76</v>
      </c>
      <c r="C33" s="25" t="s">
        <v>45</v>
      </c>
      <c r="D33" s="2" t="s">
        <v>77</v>
      </c>
    </row>
    <row r="34" spans="1:4" ht="40" customHeight="1" x14ac:dyDescent="0.35">
      <c r="A34" s="2" t="s">
        <v>78</v>
      </c>
      <c r="B34" s="2" t="s">
        <v>79</v>
      </c>
      <c r="C34" s="26" t="s">
        <v>73</v>
      </c>
      <c r="D34" s="2" t="s">
        <v>80</v>
      </c>
    </row>
    <row r="35" spans="1:4" ht="40" customHeight="1" x14ac:dyDescent="0.35">
      <c r="A35" s="2" t="s">
        <v>81</v>
      </c>
      <c r="B35" s="2" t="s">
        <v>82</v>
      </c>
      <c r="C35" s="26" t="s">
        <v>60</v>
      </c>
      <c r="D35" s="2" t="s">
        <v>83</v>
      </c>
    </row>
    <row r="37" spans="1:4" ht="104" customHeight="1" x14ac:dyDescent="0.35">
      <c r="A37" s="33" t="s">
        <v>84</v>
      </c>
      <c r="B37" s="30"/>
      <c r="C37" s="30"/>
      <c r="D37" s="31"/>
    </row>
    <row r="39" spans="1:4" ht="20" customHeight="1" x14ac:dyDescent="0.35">
      <c r="A39" s="29" t="s">
        <v>85</v>
      </c>
      <c r="B39" s="30"/>
      <c r="C39" s="30"/>
      <c r="D39" s="31"/>
    </row>
    <row r="40" spans="1:4" ht="26" customHeight="1" x14ac:dyDescent="0.35">
      <c r="A40" s="1" t="s">
        <v>86</v>
      </c>
      <c r="B40" s="1" t="s">
        <v>87</v>
      </c>
      <c r="C40" s="1" t="s">
        <v>88</v>
      </c>
      <c r="D40" s="1" t="s">
        <v>89</v>
      </c>
    </row>
    <row r="41" spans="1:4" ht="30" customHeight="1" x14ac:dyDescent="0.35">
      <c r="A41" s="2" t="s">
        <v>90</v>
      </c>
      <c r="B41" s="2" t="s">
        <v>91</v>
      </c>
      <c r="C41" s="2" t="s">
        <v>92</v>
      </c>
      <c r="D41" s="27" t="s">
        <v>93</v>
      </c>
    </row>
    <row r="42" spans="1:4" ht="30" customHeight="1" x14ac:dyDescent="0.35">
      <c r="A42" s="2" t="s">
        <v>94</v>
      </c>
      <c r="B42" s="2" t="s">
        <v>91</v>
      </c>
      <c r="C42" s="2" t="s">
        <v>95</v>
      </c>
      <c r="D42" s="27" t="s">
        <v>96</v>
      </c>
    </row>
    <row r="43" spans="1:4" ht="30" customHeight="1" x14ac:dyDescent="0.35">
      <c r="A43" s="2" t="s">
        <v>97</v>
      </c>
      <c r="B43" s="2" t="s">
        <v>98</v>
      </c>
      <c r="C43" s="2" t="s">
        <v>92</v>
      </c>
      <c r="D43" s="27" t="s">
        <v>99</v>
      </c>
    </row>
    <row r="44" spans="1:4" ht="30" customHeight="1" x14ac:dyDescent="0.35">
      <c r="A44" s="2" t="s">
        <v>100</v>
      </c>
      <c r="B44" s="2" t="s">
        <v>98</v>
      </c>
      <c r="C44" s="2" t="s">
        <v>101</v>
      </c>
      <c r="D44" s="27" t="s">
        <v>102</v>
      </c>
    </row>
    <row r="45" spans="1:4" ht="30" customHeight="1" x14ac:dyDescent="0.35">
      <c r="A45" s="2" t="s">
        <v>103</v>
      </c>
      <c r="B45" s="2" t="s">
        <v>104</v>
      </c>
      <c r="C45" s="2" t="s">
        <v>105</v>
      </c>
      <c r="D45" s="27" t="s">
        <v>106</v>
      </c>
    </row>
    <row r="46" spans="1:4" ht="30" customHeight="1" x14ac:dyDescent="0.35">
      <c r="A46" s="2" t="s">
        <v>107</v>
      </c>
      <c r="B46" s="2" t="s">
        <v>108</v>
      </c>
      <c r="C46" s="2" t="s">
        <v>92</v>
      </c>
      <c r="D46" s="27" t="s">
        <v>99</v>
      </c>
    </row>
    <row r="47" spans="1:4" ht="44" customHeight="1" x14ac:dyDescent="0.35">
      <c r="A47" s="2" t="s">
        <v>109</v>
      </c>
      <c r="B47" s="2" t="s">
        <v>110</v>
      </c>
      <c r="C47" s="2" t="s">
        <v>111</v>
      </c>
      <c r="D47" s="28" t="s">
        <v>112</v>
      </c>
    </row>
    <row r="48" spans="1:4" ht="58" customHeight="1" x14ac:dyDescent="0.35">
      <c r="A48" s="32" t="s">
        <v>113</v>
      </c>
      <c r="B48" s="30"/>
      <c r="C48" s="30"/>
      <c r="D48" s="31"/>
    </row>
    <row r="50" spans="1:4" ht="30" customHeight="1" x14ac:dyDescent="0.35">
      <c r="A50" s="29" t="s">
        <v>114</v>
      </c>
      <c r="B50" s="30"/>
      <c r="C50" s="30"/>
      <c r="D50" s="31"/>
    </row>
    <row r="51" spans="1:4" ht="92" customHeight="1" x14ac:dyDescent="0.35">
      <c r="A51" s="1" t="s">
        <v>115</v>
      </c>
      <c r="B51" s="32" t="s">
        <v>116</v>
      </c>
      <c r="C51" s="30"/>
      <c r="D51" s="31"/>
    </row>
    <row r="52" spans="1:4" ht="104" customHeight="1" x14ac:dyDescent="0.35">
      <c r="A52" s="1" t="s">
        <v>117</v>
      </c>
      <c r="B52" s="32" t="s">
        <v>118</v>
      </c>
      <c r="C52" s="30"/>
      <c r="D52" s="31"/>
    </row>
    <row r="54" spans="1:4" ht="20" customHeight="1" x14ac:dyDescent="0.35">
      <c r="A54" s="29" t="s">
        <v>119</v>
      </c>
      <c r="B54" s="30"/>
      <c r="C54" s="30"/>
      <c r="D54" s="31"/>
    </row>
    <row r="55" spans="1:4" ht="110" customHeight="1" x14ac:dyDescent="0.35">
      <c r="A55" s="32" t="s">
        <v>120</v>
      </c>
      <c r="B55" s="30"/>
      <c r="C55" s="30"/>
      <c r="D55" s="31"/>
    </row>
  </sheetData>
  <mergeCells count="17">
    <mergeCell ref="A19:F19"/>
    <mergeCell ref="A50:D50"/>
    <mergeCell ref="A1:F1"/>
    <mergeCell ref="A48:D48"/>
    <mergeCell ref="A39:D39"/>
    <mergeCell ref="A55:D55"/>
    <mergeCell ref="A54:D54"/>
    <mergeCell ref="B52:D52"/>
    <mergeCell ref="A17:F17"/>
    <mergeCell ref="A18:F18"/>
    <mergeCell ref="A20:F20"/>
    <mergeCell ref="A15:F15"/>
    <mergeCell ref="B51:D51"/>
    <mergeCell ref="A2:F2"/>
    <mergeCell ref="A16:F16"/>
    <mergeCell ref="A37:D37"/>
    <mergeCell ref="A22:D22"/>
  </mergeCells>
  <pageMargins left="0.75" right="0.75" top="1" bottom="1" header="0.5" footer="0.5"/>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39"/>
  <sheetViews>
    <sheetView topLeftCell="A6" workbookViewId="0">
      <selection activeCell="A11" sqref="A11:G11"/>
    </sheetView>
  </sheetViews>
  <sheetFormatPr defaultRowHeight="14.5" x14ac:dyDescent="0.35"/>
  <cols>
    <col min="1" max="1" width="22" customWidth="1"/>
    <col min="2" max="4" width="10" customWidth="1"/>
    <col min="5" max="5" width="17" customWidth="1"/>
    <col min="6" max="7" width="22" customWidth="1"/>
  </cols>
  <sheetData>
    <row r="1" spans="1:7" ht="28" customHeight="1" x14ac:dyDescent="0.35">
      <c r="A1" s="34" t="s">
        <v>390</v>
      </c>
      <c r="B1" s="35"/>
      <c r="C1" s="35"/>
      <c r="D1" s="35"/>
      <c r="E1" s="35"/>
      <c r="F1" s="35"/>
      <c r="G1" s="35"/>
    </row>
    <row r="2" spans="1:7" ht="16" customHeight="1" x14ac:dyDescent="0.35">
      <c r="A2" s="36" t="s">
        <v>391</v>
      </c>
      <c r="B2" s="35"/>
      <c r="C2" s="35"/>
      <c r="D2" s="35"/>
      <c r="E2" s="35"/>
      <c r="F2" s="35"/>
      <c r="G2" s="35"/>
    </row>
    <row r="4" spans="1:7" x14ac:dyDescent="0.35">
      <c r="A4" s="40" t="s">
        <v>392</v>
      </c>
      <c r="B4" s="30"/>
      <c r="C4" s="30"/>
      <c r="D4" s="30"/>
      <c r="E4" s="30"/>
      <c r="F4" s="30"/>
      <c r="G4" s="31"/>
    </row>
    <row r="5" spans="1:7" ht="42" customHeight="1" x14ac:dyDescent="0.35">
      <c r="A5" s="32" t="s">
        <v>393</v>
      </c>
      <c r="B5" s="30"/>
      <c r="C5" s="30"/>
      <c r="D5" s="30"/>
      <c r="E5" s="30"/>
      <c r="F5" s="30"/>
      <c r="G5" s="31"/>
    </row>
    <row r="6" spans="1:7" x14ac:dyDescent="0.35">
      <c r="A6" s="3" t="s">
        <v>394</v>
      </c>
      <c r="B6" s="39" t="s">
        <v>395</v>
      </c>
      <c r="C6" s="30"/>
      <c r="D6" s="31"/>
      <c r="E6" s="39" t="s">
        <v>396</v>
      </c>
      <c r="F6" s="30"/>
      <c r="G6" s="31"/>
    </row>
    <row r="7" spans="1:7" ht="30" customHeight="1" x14ac:dyDescent="0.35">
      <c r="A7" s="10" t="s">
        <v>397</v>
      </c>
      <c r="B7" s="38" t="s">
        <v>398</v>
      </c>
      <c r="C7" s="30"/>
      <c r="D7" s="31"/>
      <c r="E7" s="38" t="s">
        <v>399</v>
      </c>
      <c r="F7" s="30"/>
      <c r="G7" s="31"/>
    </row>
    <row r="8" spans="1:7" ht="30" customHeight="1" x14ac:dyDescent="0.35">
      <c r="A8" s="10" t="s">
        <v>400</v>
      </c>
      <c r="B8" s="38" t="s">
        <v>401</v>
      </c>
      <c r="C8" s="30"/>
      <c r="D8" s="31"/>
      <c r="E8" s="38" t="s">
        <v>402</v>
      </c>
      <c r="F8" s="30"/>
      <c r="G8" s="31"/>
    </row>
    <row r="9" spans="1:7" ht="30" customHeight="1" x14ac:dyDescent="0.35">
      <c r="A9" s="10" t="s">
        <v>403</v>
      </c>
      <c r="B9" s="38" t="s">
        <v>404</v>
      </c>
      <c r="C9" s="30"/>
      <c r="D9" s="31"/>
      <c r="E9" s="38" t="s">
        <v>405</v>
      </c>
      <c r="F9" s="30"/>
      <c r="G9" s="31"/>
    </row>
    <row r="10" spans="1:7" ht="30" customHeight="1" x14ac:dyDescent="0.35">
      <c r="A10" s="10" t="s">
        <v>406</v>
      </c>
      <c r="B10" s="38" t="s">
        <v>407</v>
      </c>
      <c r="C10" s="30"/>
      <c r="D10" s="31"/>
      <c r="E10" s="38" t="s">
        <v>408</v>
      </c>
      <c r="F10" s="30"/>
      <c r="G10" s="31"/>
    </row>
    <row r="11" spans="1:7" ht="36" customHeight="1" x14ac:dyDescent="0.35">
      <c r="A11" s="37" t="s">
        <v>409</v>
      </c>
      <c r="B11" s="30"/>
      <c r="C11" s="30"/>
      <c r="D11" s="30"/>
      <c r="E11" s="30"/>
      <c r="F11" s="30"/>
      <c r="G11" s="31"/>
    </row>
    <row r="13" spans="1:7" x14ac:dyDescent="0.35">
      <c r="A13" s="40" t="s">
        <v>410</v>
      </c>
      <c r="B13" s="30"/>
      <c r="C13" s="30"/>
      <c r="D13" s="30"/>
      <c r="E13" s="30"/>
      <c r="F13" s="30"/>
      <c r="G13" s="31"/>
    </row>
    <row r="14" spans="1:7" ht="44" customHeight="1" x14ac:dyDescent="0.35">
      <c r="A14" s="32" t="s">
        <v>411</v>
      </c>
      <c r="B14" s="30"/>
      <c r="C14" s="30"/>
      <c r="D14" s="30"/>
      <c r="E14" s="30"/>
      <c r="F14" s="30"/>
      <c r="G14" s="31"/>
    </row>
    <row r="15" spans="1:7" ht="22" customHeight="1" x14ac:dyDescent="0.35">
      <c r="A15" s="48" t="s">
        <v>412</v>
      </c>
      <c r="B15" s="30"/>
      <c r="C15" s="30"/>
      <c r="D15" s="30"/>
      <c r="E15" s="30"/>
      <c r="F15" s="30"/>
      <c r="G15" s="31"/>
    </row>
    <row r="16" spans="1:7" ht="44" customHeight="1" x14ac:dyDescent="0.35">
      <c r="A16" s="32" t="s">
        <v>413</v>
      </c>
      <c r="B16" s="30"/>
      <c r="C16" s="30"/>
      <c r="D16" s="30"/>
      <c r="E16" s="30"/>
      <c r="F16" s="30"/>
      <c r="G16" s="31"/>
    </row>
    <row r="18" spans="1:7" x14ac:dyDescent="0.35">
      <c r="A18" s="40" t="s">
        <v>414</v>
      </c>
      <c r="B18" s="30"/>
      <c r="C18" s="30"/>
      <c r="D18" s="30"/>
      <c r="E18" s="30"/>
      <c r="F18" s="30"/>
      <c r="G18" s="31"/>
    </row>
    <row r="19" spans="1:7" ht="48" customHeight="1" x14ac:dyDescent="0.35">
      <c r="A19" s="32" t="s">
        <v>415</v>
      </c>
      <c r="B19" s="30"/>
      <c r="C19" s="30"/>
      <c r="D19" s="30"/>
      <c r="E19" s="30"/>
      <c r="F19" s="30"/>
      <c r="G19" s="31"/>
    </row>
    <row r="21" spans="1:7" x14ac:dyDescent="0.35">
      <c r="A21" s="40" t="s">
        <v>416</v>
      </c>
      <c r="B21" s="30"/>
      <c r="C21" s="30"/>
      <c r="D21" s="30"/>
      <c r="E21" s="30"/>
      <c r="F21" s="30"/>
      <c r="G21" s="31"/>
    </row>
    <row r="22" spans="1:7" x14ac:dyDescent="0.35">
      <c r="A22" s="3" t="s">
        <v>417</v>
      </c>
      <c r="B22" s="39" t="s">
        <v>418</v>
      </c>
      <c r="C22" s="30"/>
      <c r="D22" s="30"/>
      <c r="E22" s="31"/>
      <c r="F22" s="39" t="s">
        <v>419</v>
      </c>
      <c r="G22" s="31"/>
    </row>
    <row r="23" spans="1:7" ht="36" customHeight="1" x14ac:dyDescent="0.35">
      <c r="A23" s="10" t="s">
        <v>420</v>
      </c>
      <c r="B23" s="38" t="s">
        <v>421</v>
      </c>
      <c r="C23" s="30"/>
      <c r="D23" s="30"/>
      <c r="E23" s="31"/>
      <c r="F23" s="46" t="s">
        <v>422</v>
      </c>
      <c r="G23" s="31"/>
    </row>
    <row r="24" spans="1:7" ht="58" customHeight="1" x14ac:dyDescent="0.35">
      <c r="A24" s="10" t="s">
        <v>423</v>
      </c>
      <c r="B24" s="38" t="s">
        <v>424</v>
      </c>
      <c r="C24" s="30"/>
      <c r="D24" s="30"/>
      <c r="E24" s="31"/>
      <c r="F24" s="50" t="s">
        <v>425</v>
      </c>
      <c r="G24" s="31"/>
    </row>
    <row r="25" spans="1:7" ht="36" customHeight="1" x14ac:dyDescent="0.35">
      <c r="A25" s="10" t="s">
        <v>426</v>
      </c>
      <c r="B25" s="38" t="s">
        <v>427</v>
      </c>
      <c r="C25" s="30"/>
      <c r="D25" s="30"/>
      <c r="E25" s="31"/>
      <c r="F25" s="46" t="s">
        <v>428</v>
      </c>
      <c r="G25" s="31"/>
    </row>
    <row r="26" spans="1:7" ht="32" customHeight="1" x14ac:dyDescent="0.35">
      <c r="A26" s="37" t="s">
        <v>429</v>
      </c>
      <c r="B26" s="30"/>
      <c r="C26" s="30"/>
      <c r="D26" s="30"/>
      <c r="E26" s="30"/>
      <c r="F26" s="30"/>
      <c r="G26" s="31"/>
    </row>
    <row r="28" spans="1:7" x14ac:dyDescent="0.35">
      <c r="A28" s="40" t="s">
        <v>430</v>
      </c>
      <c r="B28" s="30"/>
      <c r="C28" s="30"/>
      <c r="D28" s="30"/>
      <c r="E28" s="30"/>
      <c r="F28" s="30"/>
      <c r="G28" s="31"/>
    </row>
    <row r="29" spans="1:7" ht="44" customHeight="1" x14ac:dyDescent="0.35">
      <c r="A29" s="32" t="s">
        <v>431</v>
      </c>
      <c r="B29" s="30"/>
      <c r="C29" s="30"/>
      <c r="D29" s="30"/>
      <c r="E29" s="30"/>
      <c r="F29" s="30"/>
      <c r="G29" s="31"/>
    </row>
    <row r="30" spans="1:7" ht="26" customHeight="1" x14ac:dyDescent="0.35">
      <c r="A30" s="3" t="s">
        <v>432</v>
      </c>
      <c r="B30" s="3" t="s">
        <v>433</v>
      </c>
      <c r="C30" s="3" t="s">
        <v>434</v>
      </c>
      <c r="D30" s="3" t="s">
        <v>435</v>
      </c>
      <c r="E30" s="3" t="s">
        <v>436</v>
      </c>
      <c r="F30" s="3" t="s">
        <v>437</v>
      </c>
      <c r="G30" s="3" t="s">
        <v>438</v>
      </c>
    </row>
    <row r="31" spans="1:7" ht="24" customHeight="1" x14ac:dyDescent="0.35">
      <c r="A31" s="10" t="s">
        <v>439</v>
      </c>
      <c r="B31" s="6" t="s">
        <v>440</v>
      </c>
      <c r="C31" s="6" t="s">
        <v>440</v>
      </c>
      <c r="D31" s="6" t="s">
        <v>440</v>
      </c>
      <c r="E31" s="6" t="s">
        <v>441</v>
      </c>
      <c r="F31" s="11" t="s">
        <v>442</v>
      </c>
      <c r="G31" s="6" t="s">
        <v>442</v>
      </c>
    </row>
    <row r="32" spans="1:7" ht="24" customHeight="1" x14ac:dyDescent="0.35">
      <c r="A32" s="10" t="s">
        <v>443</v>
      </c>
      <c r="B32" s="6" t="s">
        <v>444</v>
      </c>
      <c r="C32" s="12" t="s">
        <v>445</v>
      </c>
      <c r="D32" s="6" t="s">
        <v>446</v>
      </c>
      <c r="E32" s="6" t="s">
        <v>447</v>
      </c>
      <c r="F32" s="11" t="s">
        <v>448</v>
      </c>
      <c r="G32" s="13" t="s">
        <v>449</v>
      </c>
    </row>
    <row r="33" spans="1:7" ht="44" customHeight="1" x14ac:dyDescent="0.35">
      <c r="A33" s="32" t="s">
        <v>450</v>
      </c>
      <c r="B33" s="30"/>
      <c r="C33" s="30"/>
      <c r="D33" s="30"/>
      <c r="E33" s="30"/>
      <c r="F33" s="30"/>
      <c r="G33" s="31"/>
    </row>
    <row r="35" spans="1:7" x14ac:dyDescent="0.35">
      <c r="A35" s="40" t="s">
        <v>451</v>
      </c>
      <c r="B35" s="30"/>
      <c r="C35" s="30"/>
      <c r="D35" s="30"/>
      <c r="E35" s="30"/>
      <c r="F35" s="30"/>
      <c r="G35" s="31"/>
    </row>
    <row r="36" spans="1:7" ht="44" customHeight="1" x14ac:dyDescent="0.35">
      <c r="A36" s="49" t="s">
        <v>452</v>
      </c>
      <c r="B36" s="30"/>
      <c r="C36" s="30"/>
      <c r="D36" s="30"/>
      <c r="E36" s="30"/>
      <c r="F36" s="30"/>
      <c r="G36" s="31"/>
    </row>
    <row r="38" spans="1:7" x14ac:dyDescent="0.35">
      <c r="A38" s="40" t="s">
        <v>453</v>
      </c>
      <c r="B38" s="30"/>
      <c r="C38" s="30"/>
      <c r="D38" s="30"/>
      <c r="E38" s="30"/>
      <c r="F38" s="30"/>
      <c r="G38" s="31"/>
    </row>
    <row r="39" spans="1:7" ht="44" customHeight="1" x14ac:dyDescent="0.35">
      <c r="A39" s="47" t="s">
        <v>454</v>
      </c>
      <c r="B39" s="30"/>
      <c r="C39" s="30"/>
      <c r="D39" s="30"/>
      <c r="E39" s="30"/>
      <c r="F39" s="30"/>
      <c r="G39" s="31"/>
    </row>
  </sheetData>
  <mergeCells count="38">
    <mergeCell ref="F25:G25"/>
    <mergeCell ref="A35:G35"/>
    <mergeCell ref="F24:G24"/>
    <mergeCell ref="E7:G7"/>
    <mergeCell ref="B6:D6"/>
    <mergeCell ref="E10:G10"/>
    <mergeCell ref="A14:G14"/>
    <mergeCell ref="B8:D8"/>
    <mergeCell ref="A39:G39"/>
    <mergeCell ref="B9:D9"/>
    <mergeCell ref="B25:E25"/>
    <mergeCell ref="A15:G15"/>
    <mergeCell ref="A11:G11"/>
    <mergeCell ref="B22:E22"/>
    <mergeCell ref="A36:G36"/>
    <mergeCell ref="A26:G26"/>
    <mergeCell ref="A33:G33"/>
    <mergeCell ref="A38:G38"/>
    <mergeCell ref="E9:G9"/>
    <mergeCell ref="B24:E24"/>
    <mergeCell ref="A29:G29"/>
    <mergeCell ref="A19:G19"/>
    <mergeCell ref="A28:G28"/>
    <mergeCell ref="B10:D10"/>
    <mergeCell ref="A1:G1"/>
    <mergeCell ref="F23:G23"/>
    <mergeCell ref="A16:G16"/>
    <mergeCell ref="F22:G22"/>
    <mergeCell ref="B7:D7"/>
    <mergeCell ref="B23:E23"/>
    <mergeCell ref="A18:G18"/>
    <mergeCell ref="A21:G21"/>
    <mergeCell ref="E8:G8"/>
    <mergeCell ref="A2:G2"/>
    <mergeCell ref="A5:G5"/>
    <mergeCell ref="A4:G4"/>
    <mergeCell ref="E6:G6"/>
    <mergeCell ref="A13:G13"/>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49"/>
  <sheetViews>
    <sheetView workbookViewId="0">
      <selection activeCell="B33" sqref="B33:D33"/>
    </sheetView>
  </sheetViews>
  <sheetFormatPr defaultRowHeight="14.5" x14ac:dyDescent="0.35"/>
  <cols>
    <col min="1" max="1" width="22" customWidth="1"/>
    <col min="2" max="2" width="55" customWidth="1"/>
    <col min="3" max="3" width="48" customWidth="1"/>
    <col min="4" max="4" width="34" customWidth="1"/>
  </cols>
  <sheetData>
    <row r="1" spans="1:4" ht="28" customHeight="1" x14ac:dyDescent="0.35">
      <c r="A1" s="34" t="s">
        <v>455</v>
      </c>
      <c r="B1" s="35"/>
      <c r="C1" s="35"/>
      <c r="D1" s="35"/>
    </row>
    <row r="2" spans="1:4" ht="16" customHeight="1" x14ac:dyDescent="0.35">
      <c r="A2" s="36" t="s">
        <v>456</v>
      </c>
      <c r="B2" s="35"/>
      <c r="C2" s="35"/>
      <c r="D2" s="35"/>
    </row>
    <row r="4" spans="1:4" x14ac:dyDescent="0.35">
      <c r="A4" s="3" t="s">
        <v>457</v>
      </c>
      <c r="B4" s="3" t="s">
        <v>458</v>
      </c>
      <c r="C4" s="3" t="s">
        <v>459</v>
      </c>
    </row>
    <row r="5" spans="1:4" ht="64" customHeight="1" x14ac:dyDescent="0.35">
      <c r="A5" s="1" t="s">
        <v>460</v>
      </c>
      <c r="B5" s="2" t="s">
        <v>461</v>
      </c>
      <c r="C5" s="2" t="s">
        <v>462</v>
      </c>
    </row>
    <row r="6" spans="1:4" ht="64" customHeight="1" x14ac:dyDescent="0.35">
      <c r="A6" s="1" t="s">
        <v>463</v>
      </c>
      <c r="B6" s="2" t="s">
        <v>464</v>
      </c>
      <c r="C6" s="2" t="s">
        <v>465</v>
      </c>
    </row>
    <row r="7" spans="1:4" ht="64" customHeight="1" x14ac:dyDescent="0.35">
      <c r="A7" s="1" t="s">
        <v>466</v>
      </c>
      <c r="B7" s="2" t="s">
        <v>467</v>
      </c>
      <c r="C7" s="2" t="s">
        <v>468</v>
      </c>
    </row>
    <row r="8" spans="1:4" ht="64" customHeight="1" x14ac:dyDescent="0.35">
      <c r="A8" s="1" t="s">
        <v>469</v>
      </c>
      <c r="B8" s="2" t="s">
        <v>470</v>
      </c>
      <c r="C8" s="2" t="s">
        <v>471</v>
      </c>
    </row>
    <row r="9" spans="1:4" ht="64" customHeight="1" x14ac:dyDescent="0.35">
      <c r="A9" s="1" t="s">
        <v>472</v>
      </c>
      <c r="B9" s="2" t="s">
        <v>473</v>
      </c>
      <c r="C9" s="2" t="s">
        <v>474</v>
      </c>
    </row>
    <row r="11" spans="1:4" x14ac:dyDescent="0.35">
      <c r="A11" s="40" t="s">
        <v>475</v>
      </c>
      <c r="B11" s="30"/>
      <c r="C11" s="31"/>
    </row>
    <row r="12" spans="1:4" ht="34" customHeight="1" x14ac:dyDescent="0.35">
      <c r="A12" s="10" t="s">
        <v>476</v>
      </c>
      <c r="B12" s="38" t="s">
        <v>477</v>
      </c>
      <c r="C12" s="31"/>
    </row>
    <row r="13" spans="1:4" ht="34" customHeight="1" x14ac:dyDescent="0.35">
      <c r="A13" s="10" t="s">
        <v>478</v>
      </c>
      <c r="B13" s="46" t="s">
        <v>479</v>
      </c>
      <c r="C13" s="31"/>
    </row>
    <row r="14" spans="1:4" ht="34" customHeight="1" x14ac:dyDescent="0.35">
      <c r="A14" s="10" t="s">
        <v>480</v>
      </c>
      <c r="B14" s="46" t="s">
        <v>481</v>
      </c>
      <c r="C14" s="31"/>
    </row>
    <row r="15" spans="1:4" ht="34" customHeight="1" x14ac:dyDescent="0.35">
      <c r="A15" s="10" t="s">
        <v>482</v>
      </c>
      <c r="B15" s="50" t="s">
        <v>483</v>
      </c>
      <c r="C15" s="31"/>
    </row>
    <row r="16" spans="1:4" ht="34" customHeight="1" x14ac:dyDescent="0.35">
      <c r="A16" s="10" t="s">
        <v>480</v>
      </c>
      <c r="B16" s="50" t="s">
        <v>484</v>
      </c>
      <c r="C16" s="31"/>
    </row>
    <row r="17" spans="1:4" ht="34" customHeight="1" x14ac:dyDescent="0.35">
      <c r="A17" s="10" t="s">
        <v>485</v>
      </c>
      <c r="B17" s="38" t="s">
        <v>486</v>
      </c>
      <c r="C17" s="31"/>
    </row>
    <row r="18" spans="1:4" ht="34" customHeight="1" x14ac:dyDescent="0.35">
      <c r="A18" s="10" t="s">
        <v>487</v>
      </c>
      <c r="B18" s="38" t="s">
        <v>488</v>
      </c>
      <c r="C18" s="31"/>
    </row>
    <row r="19" spans="1:4" ht="20" customHeight="1" x14ac:dyDescent="0.35">
      <c r="A19" s="37" t="s">
        <v>489</v>
      </c>
      <c r="B19" s="30"/>
      <c r="C19" s="31"/>
    </row>
    <row r="21" spans="1:4" ht="45" customHeight="1" x14ac:dyDescent="0.35">
      <c r="A21" s="29" t="s">
        <v>490</v>
      </c>
      <c r="B21" s="30"/>
      <c r="C21" s="30"/>
      <c r="D21" s="31"/>
    </row>
    <row r="22" spans="1:4" ht="45" customHeight="1" x14ac:dyDescent="0.35">
      <c r="A22" s="1" t="s">
        <v>491</v>
      </c>
      <c r="B22" s="32" t="s">
        <v>492</v>
      </c>
      <c r="C22" s="30"/>
      <c r="D22" s="31"/>
    </row>
    <row r="23" spans="1:4" ht="45" customHeight="1" x14ac:dyDescent="0.35">
      <c r="A23" s="1" t="s">
        <v>493</v>
      </c>
      <c r="B23" s="32" t="s">
        <v>494</v>
      </c>
      <c r="C23" s="30"/>
      <c r="D23" s="31"/>
    </row>
    <row r="24" spans="1:4" x14ac:dyDescent="0.35">
      <c r="A24" s="1" t="s">
        <v>495</v>
      </c>
      <c r="B24" s="1" t="s">
        <v>496</v>
      </c>
      <c r="C24" s="1" t="s">
        <v>497</v>
      </c>
      <c r="D24" s="1" t="s">
        <v>498</v>
      </c>
    </row>
    <row r="25" spans="1:4" ht="42" customHeight="1" x14ac:dyDescent="0.35">
      <c r="A25" s="2" t="s">
        <v>499</v>
      </c>
      <c r="B25" s="2" t="s">
        <v>500</v>
      </c>
      <c r="C25" s="2" t="s">
        <v>501</v>
      </c>
      <c r="D25" s="2" t="s">
        <v>502</v>
      </c>
    </row>
    <row r="26" spans="1:4" ht="42" customHeight="1" x14ac:dyDescent="0.35">
      <c r="A26" s="2" t="s">
        <v>503</v>
      </c>
      <c r="B26" s="2" t="s">
        <v>500</v>
      </c>
      <c r="C26" s="2" t="s">
        <v>504</v>
      </c>
      <c r="D26" s="2" t="s">
        <v>505</v>
      </c>
    </row>
    <row r="27" spans="1:4" ht="42" customHeight="1" x14ac:dyDescent="0.35">
      <c r="A27" s="2" t="s">
        <v>506</v>
      </c>
      <c r="B27" s="2" t="s">
        <v>500</v>
      </c>
      <c r="C27" s="2" t="s">
        <v>507</v>
      </c>
      <c r="D27" s="2" t="s">
        <v>508</v>
      </c>
    </row>
    <row r="28" spans="1:4" ht="42" customHeight="1" x14ac:dyDescent="0.35">
      <c r="A28" s="2" t="s">
        <v>509</v>
      </c>
      <c r="B28" s="2" t="s">
        <v>500</v>
      </c>
      <c r="C28" s="2" t="s">
        <v>510</v>
      </c>
      <c r="D28" s="2" t="s">
        <v>511</v>
      </c>
    </row>
    <row r="30" spans="1:4" ht="68" customHeight="1" x14ac:dyDescent="0.35">
      <c r="A30" s="32" t="s">
        <v>512</v>
      </c>
      <c r="B30" s="30"/>
      <c r="C30" s="30"/>
      <c r="D30" s="31"/>
    </row>
    <row r="32" spans="1:4" ht="20" customHeight="1" x14ac:dyDescent="0.35">
      <c r="A32" s="29" t="s">
        <v>513</v>
      </c>
      <c r="B32" s="30"/>
      <c r="C32" s="30"/>
      <c r="D32" s="31"/>
    </row>
    <row r="33" spans="1:4" ht="44" customHeight="1" x14ac:dyDescent="0.35">
      <c r="A33" s="1" t="s">
        <v>514</v>
      </c>
      <c r="B33" s="32" t="s">
        <v>515</v>
      </c>
      <c r="C33" s="30"/>
      <c r="D33" s="31"/>
    </row>
    <row r="34" spans="1:4" ht="44" customHeight="1" x14ac:dyDescent="0.35">
      <c r="A34" s="1" t="s">
        <v>516</v>
      </c>
      <c r="B34" s="32" t="s">
        <v>517</v>
      </c>
      <c r="C34" s="30"/>
      <c r="D34" s="31"/>
    </row>
    <row r="35" spans="1:4" ht="40" customHeight="1" x14ac:dyDescent="0.35">
      <c r="A35" s="1" t="s">
        <v>518</v>
      </c>
      <c r="B35" s="32" t="s">
        <v>519</v>
      </c>
      <c r="C35" s="30"/>
      <c r="D35" s="31"/>
    </row>
    <row r="36" spans="1:4" ht="72" customHeight="1" x14ac:dyDescent="0.35">
      <c r="A36" s="1" t="s">
        <v>520</v>
      </c>
      <c r="B36" s="32" t="s">
        <v>521</v>
      </c>
      <c r="C36" s="30"/>
      <c r="D36" s="31"/>
    </row>
    <row r="37" spans="1:4" ht="44" customHeight="1" x14ac:dyDescent="0.35">
      <c r="A37" s="1" t="s">
        <v>522</v>
      </c>
      <c r="B37" s="32" t="s">
        <v>523</v>
      </c>
      <c r="C37" s="30"/>
      <c r="D37" s="31"/>
    </row>
    <row r="38" spans="1:4" ht="44" customHeight="1" x14ac:dyDescent="0.35">
      <c r="A38" s="1" t="s">
        <v>524</v>
      </c>
      <c r="B38" s="32" t="s">
        <v>525</v>
      </c>
      <c r="C38" s="30"/>
      <c r="D38" s="31"/>
    </row>
    <row r="39" spans="1:4" ht="44" customHeight="1" x14ac:dyDescent="0.35">
      <c r="A39" s="1" t="s">
        <v>526</v>
      </c>
      <c r="B39" s="32" t="s">
        <v>527</v>
      </c>
      <c r="C39" s="30"/>
      <c r="D39" s="31"/>
    </row>
    <row r="41" spans="1:4" ht="20" customHeight="1" x14ac:dyDescent="0.35">
      <c r="A41" s="29" t="s">
        <v>528</v>
      </c>
      <c r="B41" s="30"/>
      <c r="C41" s="30"/>
      <c r="D41" s="31"/>
    </row>
    <row r="42" spans="1:4" ht="56" customHeight="1" x14ac:dyDescent="0.35">
      <c r="A42" s="1" t="s">
        <v>529</v>
      </c>
      <c r="B42" s="32" t="s">
        <v>530</v>
      </c>
      <c r="C42" s="30"/>
      <c r="D42" s="31"/>
    </row>
    <row r="43" spans="1:4" ht="32" customHeight="1" x14ac:dyDescent="0.35">
      <c r="A43" s="1" t="s">
        <v>531</v>
      </c>
      <c r="B43" s="32" t="s">
        <v>532</v>
      </c>
      <c r="C43" s="30"/>
      <c r="D43" s="31"/>
    </row>
    <row r="44" spans="1:4" ht="44" customHeight="1" x14ac:dyDescent="0.35">
      <c r="A44" s="1" t="s">
        <v>533</v>
      </c>
      <c r="B44" s="32" t="s">
        <v>534</v>
      </c>
      <c r="C44" s="30"/>
      <c r="D44" s="31"/>
    </row>
    <row r="45" spans="1:4" ht="72" customHeight="1" x14ac:dyDescent="0.35">
      <c r="A45" s="1" t="s">
        <v>535</v>
      </c>
      <c r="B45" s="32" t="s">
        <v>536</v>
      </c>
      <c r="C45" s="30"/>
      <c r="D45" s="31"/>
    </row>
    <row r="46" spans="1:4" ht="44" customHeight="1" x14ac:dyDescent="0.35">
      <c r="A46" s="1" t="s">
        <v>537</v>
      </c>
      <c r="B46" s="32" t="s">
        <v>538</v>
      </c>
      <c r="C46" s="30"/>
      <c r="D46" s="31"/>
    </row>
    <row r="47" spans="1:4" ht="44" customHeight="1" x14ac:dyDescent="0.35">
      <c r="A47" s="1" t="s">
        <v>539</v>
      </c>
      <c r="B47" s="32" t="s">
        <v>540</v>
      </c>
      <c r="C47" s="30"/>
      <c r="D47" s="31"/>
    </row>
    <row r="48" spans="1:4" ht="44" customHeight="1" x14ac:dyDescent="0.35">
      <c r="A48" s="1" t="s">
        <v>526</v>
      </c>
      <c r="B48" s="32" t="s">
        <v>541</v>
      </c>
      <c r="C48" s="30"/>
      <c r="D48" s="31"/>
    </row>
    <row r="49" spans="1:4" ht="96" customHeight="1" x14ac:dyDescent="0.35">
      <c r="A49" s="1" t="s">
        <v>542</v>
      </c>
      <c r="B49" s="32" t="s">
        <v>543</v>
      </c>
      <c r="C49" s="35"/>
      <c r="D49" s="35"/>
    </row>
  </sheetData>
  <mergeCells count="32">
    <mergeCell ref="B13:C13"/>
    <mergeCell ref="B47:D47"/>
    <mergeCell ref="B46:D46"/>
    <mergeCell ref="B48:D48"/>
    <mergeCell ref="B42:D42"/>
    <mergeCell ref="B16:C16"/>
    <mergeCell ref="B23:D23"/>
    <mergeCell ref="B44:D44"/>
    <mergeCell ref="B18:C18"/>
    <mergeCell ref="B38:D38"/>
    <mergeCell ref="B34:D34"/>
    <mergeCell ref="B37:D37"/>
    <mergeCell ref="B49:D49"/>
    <mergeCell ref="A30:D30"/>
    <mergeCell ref="B14:C14"/>
    <mergeCell ref="B17:C17"/>
    <mergeCell ref="A1:D1"/>
    <mergeCell ref="B33:D33"/>
    <mergeCell ref="A19:C19"/>
    <mergeCell ref="B36:D36"/>
    <mergeCell ref="B45:D45"/>
    <mergeCell ref="B35:D35"/>
    <mergeCell ref="A41:D41"/>
    <mergeCell ref="A11:C11"/>
    <mergeCell ref="B15:C15"/>
    <mergeCell ref="B22:D22"/>
    <mergeCell ref="A21:D21"/>
    <mergeCell ref="A2:D2"/>
    <mergeCell ref="B43:D43"/>
    <mergeCell ref="B39:D39"/>
    <mergeCell ref="A32:D32"/>
    <mergeCell ref="B12:C12"/>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40"/>
  <sheetViews>
    <sheetView topLeftCell="A41" workbookViewId="0">
      <selection activeCell="A40" sqref="A40:G40"/>
    </sheetView>
  </sheetViews>
  <sheetFormatPr defaultRowHeight="14.5" x14ac:dyDescent="0.35"/>
  <cols>
    <col min="1" max="1" width="30" customWidth="1"/>
    <col min="2" max="2" width="34" customWidth="1"/>
    <col min="3" max="3" width="32" customWidth="1"/>
    <col min="4" max="4" width="34" customWidth="1"/>
    <col min="5" max="5" width="30" customWidth="1"/>
    <col min="6" max="7" width="24" customWidth="1"/>
  </cols>
  <sheetData>
    <row r="1" spans="1:7" ht="22" customHeight="1" x14ac:dyDescent="0.35">
      <c r="A1" s="29" t="s">
        <v>544</v>
      </c>
      <c r="B1" s="30"/>
      <c r="C1" s="30"/>
      <c r="D1" s="30"/>
      <c r="E1" s="30"/>
      <c r="F1" s="30"/>
      <c r="G1" s="31"/>
    </row>
    <row r="2" spans="1:7" ht="44" customHeight="1" x14ac:dyDescent="0.35">
      <c r="A2" s="32" t="s">
        <v>545</v>
      </c>
      <c r="B2" s="30"/>
      <c r="C2" s="30"/>
      <c r="D2" s="30"/>
      <c r="E2" s="30"/>
      <c r="F2" s="30"/>
      <c r="G2" s="31"/>
    </row>
    <row r="4" spans="1:7" x14ac:dyDescent="0.35">
      <c r="A4" s="29" t="s">
        <v>546</v>
      </c>
      <c r="B4" s="30"/>
      <c r="C4" s="30"/>
      <c r="D4" s="30"/>
      <c r="E4" s="30"/>
      <c r="F4" s="30"/>
      <c r="G4" s="31"/>
    </row>
    <row r="5" spans="1:7" ht="72" customHeight="1" x14ac:dyDescent="0.35">
      <c r="A5" s="32" t="s">
        <v>547</v>
      </c>
      <c r="B5" s="30"/>
      <c r="C5" s="30"/>
      <c r="D5" s="30"/>
      <c r="E5" s="30"/>
      <c r="F5" s="30"/>
      <c r="G5" s="31"/>
    </row>
    <row r="6" spans="1:7" ht="28" customHeight="1" x14ac:dyDescent="0.35">
      <c r="A6" s="51" t="s">
        <v>548</v>
      </c>
      <c r="B6" s="30"/>
      <c r="C6" s="30"/>
      <c r="D6" s="30"/>
      <c r="E6" s="30"/>
      <c r="F6" s="30"/>
      <c r="G6" s="31"/>
    </row>
    <row r="7" spans="1:7" ht="30" customHeight="1" x14ac:dyDescent="0.35">
      <c r="A7" s="1" t="s">
        <v>549</v>
      </c>
      <c r="B7" s="1" t="s">
        <v>550</v>
      </c>
      <c r="C7" s="1" t="s">
        <v>551</v>
      </c>
      <c r="D7" s="1" t="s">
        <v>552</v>
      </c>
    </row>
    <row r="8" spans="1:7" ht="30" customHeight="1" x14ac:dyDescent="0.35">
      <c r="A8" s="2" t="s">
        <v>553</v>
      </c>
      <c r="B8" s="2" t="s">
        <v>554</v>
      </c>
      <c r="C8" s="2" t="s">
        <v>555</v>
      </c>
      <c r="D8" s="2" t="s">
        <v>556</v>
      </c>
    </row>
    <row r="9" spans="1:7" ht="30" customHeight="1" x14ac:dyDescent="0.35">
      <c r="A9" s="2" t="s">
        <v>557</v>
      </c>
      <c r="B9" s="2" t="s">
        <v>558</v>
      </c>
      <c r="C9" s="2" t="s">
        <v>559</v>
      </c>
      <c r="D9" s="2" t="s">
        <v>560</v>
      </c>
    </row>
    <row r="10" spans="1:7" ht="30" customHeight="1" x14ac:dyDescent="0.35">
      <c r="A10" s="2" t="s">
        <v>561</v>
      </c>
      <c r="B10" s="2" t="s">
        <v>562</v>
      </c>
      <c r="C10" s="2" t="s">
        <v>563</v>
      </c>
      <c r="D10" s="2" t="s">
        <v>564</v>
      </c>
    </row>
    <row r="11" spans="1:7" ht="30" customHeight="1" x14ac:dyDescent="0.35">
      <c r="A11" s="2" t="s">
        <v>565</v>
      </c>
      <c r="B11" s="2" t="s">
        <v>566</v>
      </c>
      <c r="C11" s="2" t="s">
        <v>567</v>
      </c>
      <c r="D11" s="2" t="s">
        <v>568</v>
      </c>
    </row>
    <row r="12" spans="1:7" ht="30" customHeight="1" x14ac:dyDescent="0.35">
      <c r="A12" s="2" t="s">
        <v>569</v>
      </c>
      <c r="B12" s="2" t="s">
        <v>570</v>
      </c>
      <c r="C12" s="2" t="s">
        <v>571</v>
      </c>
      <c r="D12" s="2" t="s">
        <v>572</v>
      </c>
    </row>
    <row r="13" spans="1:7" ht="30" customHeight="1" x14ac:dyDescent="0.35">
      <c r="A13" s="2" t="s">
        <v>573</v>
      </c>
      <c r="B13" s="2" t="s">
        <v>574</v>
      </c>
      <c r="C13" s="2" t="s">
        <v>575</v>
      </c>
      <c r="D13" s="2" t="s">
        <v>576</v>
      </c>
    </row>
    <row r="15" spans="1:7" x14ac:dyDescent="0.35">
      <c r="A15" s="51" t="s">
        <v>577</v>
      </c>
      <c r="B15" s="30"/>
      <c r="C15" s="30"/>
      <c r="D15" s="30"/>
      <c r="E15" s="30"/>
      <c r="F15" s="30"/>
      <c r="G15" s="31"/>
    </row>
    <row r="16" spans="1:7" ht="40" customHeight="1" x14ac:dyDescent="0.35">
      <c r="A16" s="1" t="s">
        <v>578</v>
      </c>
      <c r="B16" s="1" t="s">
        <v>579</v>
      </c>
      <c r="C16" s="1" t="s">
        <v>580</v>
      </c>
    </row>
    <row r="17" spans="1:7" ht="40" customHeight="1" x14ac:dyDescent="0.35">
      <c r="A17" s="2" t="s">
        <v>581</v>
      </c>
      <c r="B17" s="2" t="s">
        <v>582</v>
      </c>
      <c r="C17" s="2" t="s">
        <v>583</v>
      </c>
    </row>
    <row r="18" spans="1:7" ht="40" customHeight="1" x14ac:dyDescent="0.35">
      <c r="A18" s="2" t="s">
        <v>584</v>
      </c>
      <c r="B18" s="2" t="s">
        <v>585</v>
      </c>
      <c r="C18" s="2" t="s">
        <v>586</v>
      </c>
    </row>
    <row r="20" spans="1:7" ht="28" customHeight="1" x14ac:dyDescent="0.35">
      <c r="A20" s="51" t="s">
        <v>587</v>
      </c>
      <c r="B20" s="30"/>
      <c r="C20" s="30"/>
      <c r="D20" s="30"/>
      <c r="E20" s="30"/>
      <c r="F20" s="30"/>
      <c r="G20" s="31"/>
    </row>
    <row r="21" spans="1:7" ht="42" customHeight="1" x14ac:dyDescent="0.35">
      <c r="A21" s="1" t="s">
        <v>588</v>
      </c>
      <c r="B21" s="1" t="s">
        <v>589</v>
      </c>
      <c r="C21" s="1" t="s">
        <v>590</v>
      </c>
      <c r="D21" s="1" t="s">
        <v>591</v>
      </c>
      <c r="E21" s="1" t="s">
        <v>592</v>
      </c>
    </row>
    <row r="22" spans="1:7" ht="42" customHeight="1" x14ac:dyDescent="0.35">
      <c r="A22" s="2" t="s">
        <v>593</v>
      </c>
      <c r="B22" s="2" t="s">
        <v>594</v>
      </c>
      <c r="C22" s="2" t="s">
        <v>595</v>
      </c>
      <c r="D22" s="2" t="s">
        <v>596</v>
      </c>
      <c r="E22" s="2" t="s">
        <v>597</v>
      </c>
    </row>
    <row r="23" spans="1:7" ht="42" customHeight="1" x14ac:dyDescent="0.35">
      <c r="A23" s="2" t="s">
        <v>598</v>
      </c>
      <c r="B23" s="2" t="s">
        <v>599</v>
      </c>
      <c r="C23" s="2" t="s">
        <v>600</v>
      </c>
      <c r="D23" s="2" t="s">
        <v>601</v>
      </c>
      <c r="E23" s="2" t="s">
        <v>602</v>
      </c>
    </row>
    <row r="24" spans="1:7" ht="118" customHeight="1" x14ac:dyDescent="0.35">
      <c r="A24" s="32" t="s">
        <v>603</v>
      </c>
      <c r="B24" s="30"/>
      <c r="C24" s="30"/>
      <c r="D24" s="30"/>
      <c r="E24" s="30"/>
      <c r="F24" s="30"/>
      <c r="G24" s="31"/>
    </row>
    <row r="26" spans="1:7" x14ac:dyDescent="0.35">
      <c r="A26" s="29" t="s">
        <v>604</v>
      </c>
      <c r="B26" s="30"/>
      <c r="C26" s="30"/>
      <c r="D26" s="30"/>
      <c r="E26" s="30"/>
      <c r="F26" s="30"/>
      <c r="G26" s="31"/>
    </row>
    <row r="27" spans="1:7" ht="44" customHeight="1" x14ac:dyDescent="0.35">
      <c r="A27" s="32" t="s">
        <v>605</v>
      </c>
      <c r="B27" s="30"/>
      <c r="C27" s="30"/>
      <c r="D27" s="30"/>
      <c r="E27" s="30"/>
      <c r="F27" s="30"/>
      <c r="G27" s="31"/>
    </row>
    <row r="28" spans="1:7" ht="34" customHeight="1" x14ac:dyDescent="0.35">
      <c r="A28" s="1" t="s">
        <v>606</v>
      </c>
      <c r="B28" s="1" t="s">
        <v>607</v>
      </c>
      <c r="C28" s="1" t="s">
        <v>608</v>
      </c>
      <c r="D28" s="1" t="s">
        <v>609</v>
      </c>
      <c r="E28" s="1" t="s">
        <v>610</v>
      </c>
      <c r="F28" s="1" t="s">
        <v>611</v>
      </c>
      <c r="G28" s="1" t="s">
        <v>612</v>
      </c>
    </row>
    <row r="29" spans="1:7" ht="34" customHeight="1" x14ac:dyDescent="0.35">
      <c r="A29" s="2" t="s">
        <v>613</v>
      </c>
      <c r="B29" s="2" t="s">
        <v>614</v>
      </c>
      <c r="C29" s="2" t="s">
        <v>615</v>
      </c>
      <c r="D29" s="2" t="s">
        <v>616</v>
      </c>
      <c r="E29" s="2" t="s">
        <v>617</v>
      </c>
      <c r="F29" s="2" t="s">
        <v>618</v>
      </c>
      <c r="G29" s="2" t="s">
        <v>619</v>
      </c>
    </row>
    <row r="30" spans="1:7" ht="34" customHeight="1" x14ac:dyDescent="0.35">
      <c r="A30" s="2" t="s">
        <v>620</v>
      </c>
      <c r="B30" s="2" t="s">
        <v>621</v>
      </c>
      <c r="C30" s="2" t="s">
        <v>622</v>
      </c>
      <c r="D30" s="2" t="s">
        <v>623</v>
      </c>
      <c r="E30" s="2" t="s">
        <v>624</v>
      </c>
      <c r="F30" s="2" t="s">
        <v>625</v>
      </c>
      <c r="G30" s="2" t="s">
        <v>626</v>
      </c>
    </row>
    <row r="31" spans="1:7" ht="58" customHeight="1" x14ac:dyDescent="0.35">
      <c r="A31" s="32" t="s">
        <v>627</v>
      </c>
      <c r="B31" s="30"/>
      <c r="C31" s="30"/>
      <c r="D31" s="30"/>
      <c r="E31" s="30"/>
      <c r="F31" s="30"/>
      <c r="G31" s="31"/>
    </row>
    <row r="32" spans="1:7" ht="28" customHeight="1" x14ac:dyDescent="0.35">
      <c r="A32" s="51" t="s">
        <v>628</v>
      </c>
      <c r="B32" s="30"/>
      <c r="C32" s="30"/>
      <c r="D32" s="30"/>
      <c r="E32" s="30"/>
      <c r="F32" s="30"/>
      <c r="G32" s="31"/>
    </row>
    <row r="33" spans="1:7" ht="36" customHeight="1" x14ac:dyDescent="0.35">
      <c r="A33" s="1" t="s">
        <v>588</v>
      </c>
      <c r="B33" s="1" t="s">
        <v>629</v>
      </c>
      <c r="C33" s="1" t="s">
        <v>630</v>
      </c>
      <c r="D33" s="1" t="s">
        <v>592</v>
      </c>
    </row>
    <row r="34" spans="1:7" ht="36" customHeight="1" x14ac:dyDescent="0.35">
      <c r="A34" s="2" t="s">
        <v>631</v>
      </c>
      <c r="B34" s="2" t="s">
        <v>632</v>
      </c>
      <c r="C34" s="2" t="s">
        <v>633</v>
      </c>
      <c r="D34" s="2" t="s">
        <v>634</v>
      </c>
    </row>
    <row r="35" spans="1:7" ht="36" customHeight="1" x14ac:dyDescent="0.35">
      <c r="A35" s="2" t="s">
        <v>635</v>
      </c>
      <c r="B35" s="2" t="s">
        <v>636</v>
      </c>
      <c r="C35" s="2" t="s">
        <v>637</v>
      </c>
      <c r="D35" s="2" t="s">
        <v>638</v>
      </c>
    </row>
    <row r="36" spans="1:7" ht="63.5" customHeight="1" x14ac:dyDescent="0.35">
      <c r="A36" s="2" t="s">
        <v>639</v>
      </c>
      <c r="B36" s="2" t="s">
        <v>640</v>
      </c>
      <c r="C36" s="2" t="s">
        <v>641</v>
      </c>
      <c r="D36" s="2" t="s">
        <v>642</v>
      </c>
    </row>
    <row r="37" spans="1:7" ht="44" customHeight="1" x14ac:dyDescent="0.35">
      <c r="A37" s="32" t="s">
        <v>643</v>
      </c>
      <c r="B37" s="30"/>
      <c r="C37" s="30"/>
      <c r="D37" s="30"/>
      <c r="E37" s="30"/>
      <c r="F37" s="30"/>
      <c r="G37" s="31"/>
    </row>
    <row r="39" spans="1:7" ht="66" customHeight="1" x14ac:dyDescent="0.35">
      <c r="A39" s="32" t="s">
        <v>644</v>
      </c>
      <c r="B39" s="30"/>
      <c r="C39" s="30"/>
      <c r="D39" s="30"/>
      <c r="E39" s="30"/>
      <c r="F39" s="30"/>
      <c r="G39" s="31"/>
    </row>
    <row r="40" spans="1:7" ht="104" customHeight="1" x14ac:dyDescent="0.35">
      <c r="A40" s="32" t="s">
        <v>645</v>
      </c>
      <c r="B40" s="35"/>
      <c r="C40" s="35"/>
      <c r="D40" s="35"/>
      <c r="E40" s="35"/>
      <c r="F40" s="35"/>
      <c r="G40" s="35"/>
    </row>
  </sheetData>
  <mergeCells count="15">
    <mergeCell ref="A32:G32"/>
    <mergeCell ref="A1:G1"/>
    <mergeCell ref="A40:G40"/>
    <mergeCell ref="A27:G27"/>
    <mergeCell ref="A31:G31"/>
    <mergeCell ref="A6:G6"/>
    <mergeCell ref="A39:G39"/>
    <mergeCell ref="A4:G4"/>
    <mergeCell ref="A20:G20"/>
    <mergeCell ref="A24:G24"/>
    <mergeCell ref="A2:G2"/>
    <mergeCell ref="A26:G26"/>
    <mergeCell ref="A15:G15"/>
    <mergeCell ref="A5:G5"/>
    <mergeCell ref="A37:G37"/>
  </mergeCells>
  <pageMargins left="0.75" right="0.75" top="1" bottom="1" header="0.5" footer="0.5"/>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14"/>
  <sheetViews>
    <sheetView workbookViewId="0">
      <selection activeCell="C7" sqref="C7"/>
    </sheetView>
  </sheetViews>
  <sheetFormatPr defaultRowHeight="14.5" x14ac:dyDescent="0.35"/>
  <cols>
    <col min="1" max="1" width="8" customWidth="1"/>
    <col min="2" max="2" width="26" customWidth="1"/>
    <col min="3" max="3" width="56" customWidth="1"/>
    <col min="4" max="4" width="48" customWidth="1"/>
  </cols>
  <sheetData>
    <row r="1" spans="1:4" ht="22" customHeight="1" x14ac:dyDescent="0.35">
      <c r="A1" s="29" t="s">
        <v>646</v>
      </c>
      <c r="B1" s="30"/>
      <c r="C1" s="30"/>
      <c r="D1" s="31"/>
    </row>
    <row r="2" spans="1:4" ht="58" customHeight="1" x14ac:dyDescent="0.35">
      <c r="A2" s="32" t="s">
        <v>647</v>
      </c>
      <c r="B2" s="30"/>
      <c r="C2" s="30"/>
      <c r="D2" s="31"/>
    </row>
    <row r="4" spans="1:4" ht="26" customHeight="1" x14ac:dyDescent="0.35">
      <c r="A4" s="1" t="s">
        <v>169</v>
      </c>
      <c r="B4" s="1" t="s">
        <v>648</v>
      </c>
      <c r="C4" s="1" t="s">
        <v>649</v>
      </c>
      <c r="D4" s="1" t="s">
        <v>650</v>
      </c>
    </row>
    <row r="5" spans="1:4" ht="110" customHeight="1" x14ac:dyDescent="0.35">
      <c r="A5" s="24" t="s">
        <v>651</v>
      </c>
      <c r="B5" s="2" t="s">
        <v>652</v>
      </c>
      <c r="C5" s="2" t="s">
        <v>653</v>
      </c>
      <c r="D5" s="2" t="s">
        <v>654</v>
      </c>
    </row>
    <row r="6" spans="1:4" ht="44" customHeight="1" x14ac:dyDescent="0.35">
      <c r="A6" s="24" t="s">
        <v>655</v>
      </c>
      <c r="B6" s="2" t="s">
        <v>656</v>
      </c>
      <c r="C6" s="2" t="s">
        <v>657</v>
      </c>
      <c r="D6" s="2" t="s">
        <v>658</v>
      </c>
    </row>
    <row r="7" spans="1:4" ht="44" customHeight="1" x14ac:dyDescent="0.35">
      <c r="A7" s="24" t="s">
        <v>659</v>
      </c>
      <c r="B7" s="2" t="s">
        <v>660</v>
      </c>
      <c r="C7" s="2" t="s">
        <v>661</v>
      </c>
      <c r="D7" s="2" t="s">
        <v>662</v>
      </c>
    </row>
    <row r="8" spans="1:4" ht="78" customHeight="1" x14ac:dyDescent="0.35">
      <c r="A8" s="24" t="s">
        <v>663</v>
      </c>
      <c r="B8" s="2" t="s">
        <v>664</v>
      </c>
      <c r="C8" s="2" t="s">
        <v>665</v>
      </c>
      <c r="D8" s="2" t="s">
        <v>666</v>
      </c>
    </row>
    <row r="9" spans="1:4" ht="78" customHeight="1" x14ac:dyDescent="0.35">
      <c r="A9" s="24" t="s">
        <v>667</v>
      </c>
      <c r="B9" s="2" t="s">
        <v>668</v>
      </c>
      <c r="C9" s="2" t="s">
        <v>669</v>
      </c>
      <c r="D9" s="2" t="s">
        <v>670</v>
      </c>
    </row>
    <row r="10" spans="1:4" ht="78" customHeight="1" x14ac:dyDescent="0.35">
      <c r="A10" s="24" t="s">
        <v>671</v>
      </c>
      <c r="B10" s="2" t="s">
        <v>672</v>
      </c>
      <c r="C10" s="2" t="s">
        <v>673</v>
      </c>
      <c r="D10" s="2" t="s">
        <v>674</v>
      </c>
    </row>
    <row r="11" spans="1:4" ht="78" customHeight="1" x14ac:dyDescent="0.35">
      <c r="A11" s="24" t="s">
        <v>675</v>
      </c>
      <c r="B11" s="2" t="s">
        <v>676</v>
      </c>
      <c r="C11" s="2" t="s">
        <v>677</v>
      </c>
      <c r="D11" s="2" t="s">
        <v>678</v>
      </c>
    </row>
    <row r="12" spans="1:4" ht="44" customHeight="1" x14ac:dyDescent="0.35">
      <c r="A12" s="32" t="s">
        <v>679</v>
      </c>
      <c r="B12" s="30"/>
      <c r="C12" s="30"/>
      <c r="D12" s="31"/>
    </row>
    <row r="14" spans="1:4" ht="132" customHeight="1" x14ac:dyDescent="0.35">
      <c r="A14" s="32" t="s">
        <v>680</v>
      </c>
      <c r="B14" s="30"/>
      <c r="C14" s="30"/>
      <c r="D14" s="31"/>
    </row>
  </sheetData>
  <mergeCells count="4">
    <mergeCell ref="A1:D1"/>
    <mergeCell ref="A12:D12"/>
    <mergeCell ref="A2:D2"/>
    <mergeCell ref="A14:D14"/>
  </mergeCells>
  <pageMargins left="0.75" right="0.75" top="1" bottom="1" header="0.5" footer="0.5"/>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V405"/>
  <sheetViews>
    <sheetView topLeftCell="G1" workbookViewId="0">
      <pane ySplit="5" topLeftCell="A6" activePane="bottomLeft" state="frozen"/>
      <selection pane="bottomLeft" activeCell="G12" sqref="G12"/>
    </sheetView>
  </sheetViews>
  <sheetFormatPr defaultRowHeight="14.5" x14ac:dyDescent="0.35"/>
  <cols>
    <col min="1" max="1" width="9" customWidth="1"/>
    <col min="2" max="2" width="12" customWidth="1"/>
    <col min="3" max="3" width="22" customWidth="1"/>
    <col min="4" max="4" width="16" customWidth="1"/>
    <col min="5" max="5" width="14" customWidth="1"/>
    <col min="6" max="6" width="7" customWidth="1"/>
    <col min="7" max="7" width="8" customWidth="1"/>
    <col min="8" max="8" width="9" customWidth="1"/>
    <col min="9" max="9" width="14" customWidth="1"/>
    <col min="10" max="10" width="10" customWidth="1"/>
    <col min="11" max="11" width="8" customWidth="1"/>
    <col min="12" max="12" width="9" customWidth="1"/>
    <col min="13" max="13" width="14" customWidth="1"/>
    <col min="14" max="14" width="9" customWidth="1"/>
    <col min="15" max="15" width="8" customWidth="1"/>
    <col min="16" max="16" width="9" customWidth="1"/>
    <col min="17" max="17" width="8" customWidth="1"/>
    <col min="18" max="18" width="9" customWidth="1"/>
    <col min="19" max="19" width="11" customWidth="1"/>
    <col min="20" max="20" width="24" customWidth="1"/>
    <col min="21" max="21" width="11" customWidth="1"/>
    <col min="22" max="22" width="14" customWidth="1"/>
  </cols>
  <sheetData>
    <row r="1" spans="1:22" ht="28" customHeight="1" x14ac:dyDescent="0.35">
      <c r="A1" s="34" t="s">
        <v>681</v>
      </c>
      <c r="B1" s="35"/>
      <c r="C1" s="35"/>
      <c r="D1" s="35"/>
      <c r="E1" s="35"/>
      <c r="F1" s="35"/>
      <c r="G1" s="35"/>
      <c r="H1" s="35"/>
      <c r="I1" s="35"/>
      <c r="J1" s="35"/>
      <c r="K1" s="35"/>
      <c r="L1" s="35"/>
      <c r="M1" s="35"/>
      <c r="N1" s="35"/>
      <c r="O1" s="35"/>
      <c r="P1" s="35"/>
      <c r="Q1" s="35"/>
      <c r="R1" s="35"/>
      <c r="S1" s="35"/>
      <c r="T1" s="35"/>
      <c r="U1" s="35"/>
    </row>
    <row r="2" spans="1:22" ht="16" customHeight="1" x14ac:dyDescent="0.35">
      <c r="A2" s="36" t="s">
        <v>682</v>
      </c>
      <c r="B2" s="35"/>
      <c r="C2" s="35"/>
      <c r="D2" s="35"/>
      <c r="E2" s="35"/>
      <c r="F2" s="35"/>
      <c r="G2" s="35"/>
      <c r="H2" s="35"/>
      <c r="I2" s="35"/>
      <c r="J2" s="35"/>
      <c r="K2" s="35"/>
      <c r="L2" s="35"/>
      <c r="M2" s="35"/>
      <c r="N2" s="35"/>
      <c r="O2" s="35"/>
      <c r="P2" s="35"/>
      <c r="Q2" s="35"/>
      <c r="R2" s="35"/>
      <c r="S2" s="35"/>
      <c r="T2" s="35"/>
      <c r="U2" s="35"/>
    </row>
    <row r="3" spans="1:22" ht="42" customHeight="1" x14ac:dyDescent="0.35">
      <c r="A3" s="7" t="s">
        <v>683</v>
      </c>
      <c r="B3" s="14">
        <v>46201</v>
      </c>
      <c r="D3" s="32" t="s">
        <v>684</v>
      </c>
      <c r="E3" s="30"/>
      <c r="F3" s="30"/>
      <c r="G3" s="30"/>
      <c r="H3" s="30"/>
      <c r="I3" s="30"/>
      <c r="J3" s="30"/>
      <c r="K3" s="30"/>
      <c r="L3" s="30"/>
      <c r="M3" s="30"/>
      <c r="N3" s="30"/>
      <c r="O3" s="30"/>
      <c r="P3" s="30"/>
      <c r="Q3" s="30"/>
      <c r="R3" s="30"/>
      <c r="S3" s="30"/>
      <c r="T3" s="30"/>
      <c r="U3" s="31"/>
    </row>
    <row r="5" spans="1:22" ht="42" customHeight="1" x14ac:dyDescent="0.35">
      <c r="A5" s="15" t="s">
        <v>685</v>
      </c>
      <c r="B5" s="15" t="s">
        <v>686</v>
      </c>
      <c r="C5" s="15" t="s">
        <v>687</v>
      </c>
      <c r="D5" s="15" t="s">
        <v>688</v>
      </c>
      <c r="E5" s="15" t="s">
        <v>689</v>
      </c>
      <c r="F5" s="15" t="s">
        <v>690</v>
      </c>
      <c r="G5" s="15" t="s">
        <v>691</v>
      </c>
      <c r="H5" s="15" t="s">
        <v>692</v>
      </c>
      <c r="I5" s="15" t="s">
        <v>693</v>
      </c>
      <c r="J5" s="15" t="s">
        <v>694</v>
      </c>
      <c r="K5" s="16" t="s">
        <v>695</v>
      </c>
      <c r="L5" s="16" t="s">
        <v>696</v>
      </c>
      <c r="M5" s="15" t="s">
        <v>697</v>
      </c>
      <c r="N5" s="15" t="s">
        <v>698</v>
      </c>
      <c r="O5" s="16" t="s">
        <v>699</v>
      </c>
      <c r="P5" s="16" t="s">
        <v>700</v>
      </c>
      <c r="Q5" s="15" t="s">
        <v>701</v>
      </c>
      <c r="R5" s="16" t="s">
        <v>702</v>
      </c>
      <c r="S5" s="15" t="s">
        <v>703</v>
      </c>
      <c r="T5" s="16" t="s">
        <v>704</v>
      </c>
      <c r="U5" s="16" t="s">
        <v>705</v>
      </c>
      <c r="V5" s="23" t="s">
        <v>706</v>
      </c>
    </row>
    <row r="6" spans="1:22" x14ac:dyDescent="0.35">
      <c r="A6" s="17" t="s">
        <v>707</v>
      </c>
      <c r="B6" s="18">
        <v>45851</v>
      </c>
      <c r="C6" s="19" t="s">
        <v>708</v>
      </c>
      <c r="D6" s="17" t="s">
        <v>709</v>
      </c>
      <c r="E6" s="17" t="s">
        <v>178</v>
      </c>
      <c r="F6" s="17" t="s">
        <v>710</v>
      </c>
      <c r="G6" s="17" t="s">
        <v>710</v>
      </c>
      <c r="H6" s="17" t="s">
        <v>710</v>
      </c>
      <c r="I6" s="19" t="s">
        <v>179</v>
      </c>
      <c r="J6" s="17">
        <v>5</v>
      </c>
      <c r="K6" s="20" t="str">
        <f t="shared" ref="K6:K69" si="0">IF(F6="Y",IF(G6="Y","B","C"),IF(OR(D6="Credit",D6="Equity"),"C",IF(H6="Y","B","A")))</f>
        <v>A</v>
      </c>
      <c r="L6" s="20">
        <f t="shared" ref="L6:L69" si="1">IF(J6="","",IF(K6="A",MATCH(J6,RowA_low,1),IF(K6="B",MATCH(J6,RowB_low,1),IF(K6="C",MATCH(J6,RowC_low,1),""))))</f>
        <v>4</v>
      </c>
      <c r="M6" s="19"/>
      <c r="N6" s="17"/>
      <c r="O6" s="20" t="str">
        <f t="shared" ref="O6:O69" si="2">IF(N6="","","C")</f>
        <v/>
      </c>
      <c r="P6" s="20" t="str">
        <f t="shared" ref="P6:P69" si="3">IF(N6="","",MATCH(N6,RowC_low,1))</f>
        <v/>
      </c>
      <c r="Q6" s="17"/>
      <c r="R6" s="20" t="str">
        <f t="shared" ref="R6:R69" si="4">IF(Q6="","",MATCH(Q6,RowD_low,1))</f>
        <v/>
      </c>
      <c r="S6" s="17" t="s">
        <v>711</v>
      </c>
      <c r="T6" s="21" t="str">
        <f t="shared" ref="T6:T69" si="5">IF(D6="","",D6&amp;"|"&amp;E6&amp;"|t1."&amp;IF(L6="","-",L6)&amp;IF(P6="","","|t2."&amp;P6)&amp;IF(R6="","","|s."&amp;R6))</f>
        <v>IR|Curve|t1.4</v>
      </c>
      <c r="U6" s="20">
        <f t="shared" ref="U6:U69" si="6">IF(OR(S6&lt;&gt;"Y",B6&lt;AsOf-365,B6&gt;AsOf),"",IF(COUNTIFS($T$6:$T$405,T6,$S$6:$S$405,"Y",$B$6:$B$405,"&gt;"&amp;B6,$B$6:$B$405,"&lt;="&amp;AsOf)=0,"",_xlfn.MINIFS($B$6:$B$405,$T$6:$T$405,T6,$S$6:$S$405,"Y",$B$6:$B$405,"&gt;"&amp;B6,$B$6:$B$405,"&lt;="&amp;AsOf)-B6))</f>
        <v>14</v>
      </c>
      <c r="V6" s="20">
        <f>IF(OR(S6&lt;&gt;"Y",B6&lt;AsOf-365,B6&gt;AsOf),"",IF(COUNTIFS($T$6:T6,T6,$B$6:B6,B6,$S$6:S6,"Y")=1,1,0))</f>
        <v>1</v>
      </c>
    </row>
    <row r="7" spans="1:22" x14ac:dyDescent="0.35">
      <c r="A7" s="17" t="s">
        <v>712</v>
      </c>
      <c r="B7" s="18">
        <v>45865</v>
      </c>
      <c r="C7" s="19" t="s">
        <v>708</v>
      </c>
      <c r="D7" s="17" t="s">
        <v>709</v>
      </c>
      <c r="E7" s="17" t="s">
        <v>178</v>
      </c>
      <c r="F7" s="17" t="s">
        <v>710</v>
      </c>
      <c r="G7" s="17" t="s">
        <v>710</v>
      </c>
      <c r="H7" s="17" t="s">
        <v>710</v>
      </c>
      <c r="I7" s="19" t="s">
        <v>179</v>
      </c>
      <c r="J7" s="17">
        <v>5</v>
      </c>
      <c r="K7" s="20" t="str">
        <f t="shared" si="0"/>
        <v>A</v>
      </c>
      <c r="L7" s="20">
        <f t="shared" si="1"/>
        <v>4</v>
      </c>
      <c r="M7" s="19"/>
      <c r="N7" s="17"/>
      <c r="O7" s="20" t="str">
        <f t="shared" si="2"/>
        <v/>
      </c>
      <c r="P7" s="20" t="str">
        <f t="shared" si="3"/>
        <v/>
      </c>
      <c r="Q7" s="17"/>
      <c r="R7" s="20" t="str">
        <f t="shared" si="4"/>
        <v/>
      </c>
      <c r="S7" s="17" t="s">
        <v>711</v>
      </c>
      <c r="T7" s="21" t="str">
        <f t="shared" si="5"/>
        <v>IR|Curve|t1.4</v>
      </c>
      <c r="U7" s="20">
        <f t="shared" si="6"/>
        <v>14</v>
      </c>
      <c r="V7" s="20">
        <f>IF(OR(S7&lt;&gt;"Y",B7&lt;AsOf-365,B7&gt;AsOf),"",IF(COUNTIFS($T$6:T7,T7,$B$6:B7,B7,$S$6:S7,"Y")=1,1,0))</f>
        <v>1</v>
      </c>
    </row>
    <row r="8" spans="1:22" x14ac:dyDescent="0.35">
      <c r="A8" s="17" t="s">
        <v>713</v>
      </c>
      <c r="B8" s="18">
        <v>45879</v>
      </c>
      <c r="C8" s="19" t="s">
        <v>708</v>
      </c>
      <c r="D8" s="17" t="s">
        <v>709</v>
      </c>
      <c r="E8" s="17" t="s">
        <v>178</v>
      </c>
      <c r="F8" s="17" t="s">
        <v>710</v>
      </c>
      <c r="G8" s="17" t="s">
        <v>710</v>
      </c>
      <c r="H8" s="17" t="s">
        <v>710</v>
      </c>
      <c r="I8" s="19" t="s">
        <v>179</v>
      </c>
      <c r="J8" s="17">
        <v>5</v>
      </c>
      <c r="K8" s="20" t="str">
        <f t="shared" si="0"/>
        <v>A</v>
      </c>
      <c r="L8" s="20">
        <f t="shared" si="1"/>
        <v>4</v>
      </c>
      <c r="M8" s="19"/>
      <c r="N8" s="17"/>
      <c r="O8" s="20" t="str">
        <f t="shared" si="2"/>
        <v/>
      </c>
      <c r="P8" s="20" t="str">
        <f t="shared" si="3"/>
        <v/>
      </c>
      <c r="Q8" s="17"/>
      <c r="R8" s="20" t="str">
        <f t="shared" si="4"/>
        <v/>
      </c>
      <c r="S8" s="17" t="s">
        <v>711</v>
      </c>
      <c r="T8" s="21" t="str">
        <f t="shared" si="5"/>
        <v>IR|Curve|t1.4</v>
      </c>
      <c r="U8" s="20">
        <f t="shared" si="6"/>
        <v>14</v>
      </c>
      <c r="V8" s="20">
        <f>IF(OR(S8&lt;&gt;"Y",B8&lt;AsOf-365,B8&gt;AsOf),"",IF(COUNTIFS($T$6:T8,T8,$B$6:B8,B8,$S$6:S8,"Y")=1,1,0))</f>
        <v>1</v>
      </c>
    </row>
    <row r="9" spans="1:22" x14ac:dyDescent="0.35">
      <c r="A9" s="17" t="s">
        <v>714</v>
      </c>
      <c r="B9" s="18">
        <v>45893</v>
      </c>
      <c r="C9" s="19" t="s">
        <v>708</v>
      </c>
      <c r="D9" s="17" t="s">
        <v>709</v>
      </c>
      <c r="E9" s="17" t="s">
        <v>178</v>
      </c>
      <c r="F9" s="17" t="s">
        <v>710</v>
      </c>
      <c r="G9" s="17" t="s">
        <v>710</v>
      </c>
      <c r="H9" s="17" t="s">
        <v>710</v>
      </c>
      <c r="I9" s="19" t="s">
        <v>179</v>
      </c>
      <c r="J9" s="17">
        <v>5</v>
      </c>
      <c r="K9" s="20" t="str">
        <f t="shared" si="0"/>
        <v>A</v>
      </c>
      <c r="L9" s="20">
        <f t="shared" si="1"/>
        <v>4</v>
      </c>
      <c r="M9" s="19"/>
      <c r="N9" s="17"/>
      <c r="O9" s="20" t="str">
        <f t="shared" si="2"/>
        <v/>
      </c>
      <c r="P9" s="20" t="str">
        <f t="shared" si="3"/>
        <v/>
      </c>
      <c r="Q9" s="17"/>
      <c r="R9" s="20" t="str">
        <f t="shared" si="4"/>
        <v/>
      </c>
      <c r="S9" s="17" t="s">
        <v>711</v>
      </c>
      <c r="T9" s="21" t="str">
        <f t="shared" si="5"/>
        <v>IR|Curve|t1.4</v>
      </c>
      <c r="U9" s="20">
        <f t="shared" si="6"/>
        <v>14</v>
      </c>
      <c r="V9" s="20">
        <f>IF(OR(S9&lt;&gt;"Y",B9&lt;AsOf-365,B9&gt;AsOf),"",IF(COUNTIFS($T$6:T9,T9,$B$6:B9,B9,$S$6:S9,"Y")=1,1,0))</f>
        <v>1</v>
      </c>
    </row>
    <row r="10" spans="1:22" x14ac:dyDescent="0.35">
      <c r="A10" s="17" t="s">
        <v>715</v>
      </c>
      <c r="B10" s="18">
        <v>45907</v>
      </c>
      <c r="C10" s="19" t="s">
        <v>708</v>
      </c>
      <c r="D10" s="17" t="s">
        <v>709</v>
      </c>
      <c r="E10" s="17" t="s">
        <v>178</v>
      </c>
      <c r="F10" s="17" t="s">
        <v>710</v>
      </c>
      <c r="G10" s="17" t="s">
        <v>710</v>
      </c>
      <c r="H10" s="17" t="s">
        <v>710</v>
      </c>
      <c r="I10" s="19" t="s">
        <v>179</v>
      </c>
      <c r="J10" s="17">
        <v>5</v>
      </c>
      <c r="K10" s="20" t="str">
        <f t="shared" si="0"/>
        <v>A</v>
      </c>
      <c r="L10" s="20">
        <f t="shared" si="1"/>
        <v>4</v>
      </c>
      <c r="M10" s="19"/>
      <c r="N10" s="17"/>
      <c r="O10" s="20" t="str">
        <f t="shared" si="2"/>
        <v/>
      </c>
      <c r="P10" s="20" t="str">
        <f t="shared" si="3"/>
        <v/>
      </c>
      <c r="Q10" s="17"/>
      <c r="R10" s="20" t="str">
        <f t="shared" si="4"/>
        <v/>
      </c>
      <c r="S10" s="17" t="s">
        <v>711</v>
      </c>
      <c r="T10" s="21" t="str">
        <f t="shared" si="5"/>
        <v>IR|Curve|t1.4</v>
      </c>
      <c r="U10" s="20">
        <f t="shared" si="6"/>
        <v>14</v>
      </c>
      <c r="V10" s="20">
        <f>IF(OR(S10&lt;&gt;"Y",B10&lt;AsOf-365,B10&gt;AsOf),"",IF(COUNTIFS($T$6:T10,T10,$B$6:B10,B10,$S$6:S10,"Y")=1,1,0))</f>
        <v>1</v>
      </c>
    </row>
    <row r="11" spans="1:22" x14ac:dyDescent="0.35">
      <c r="A11" s="17" t="s">
        <v>716</v>
      </c>
      <c r="B11" s="18">
        <v>45921</v>
      </c>
      <c r="C11" s="19" t="s">
        <v>708</v>
      </c>
      <c r="D11" s="17" t="s">
        <v>709</v>
      </c>
      <c r="E11" s="17" t="s">
        <v>178</v>
      </c>
      <c r="F11" s="17" t="s">
        <v>710</v>
      </c>
      <c r="G11" s="17" t="s">
        <v>710</v>
      </c>
      <c r="H11" s="17" t="s">
        <v>710</v>
      </c>
      <c r="I11" s="19" t="s">
        <v>179</v>
      </c>
      <c r="J11" s="17">
        <v>5</v>
      </c>
      <c r="K11" s="20" t="str">
        <f t="shared" si="0"/>
        <v>A</v>
      </c>
      <c r="L11" s="20">
        <f t="shared" si="1"/>
        <v>4</v>
      </c>
      <c r="M11" s="19"/>
      <c r="N11" s="17"/>
      <c r="O11" s="20" t="str">
        <f t="shared" si="2"/>
        <v/>
      </c>
      <c r="P11" s="20" t="str">
        <f t="shared" si="3"/>
        <v/>
      </c>
      <c r="Q11" s="17"/>
      <c r="R11" s="20" t="str">
        <f t="shared" si="4"/>
        <v/>
      </c>
      <c r="S11" s="17" t="s">
        <v>711</v>
      </c>
      <c r="T11" s="21" t="str">
        <f t="shared" si="5"/>
        <v>IR|Curve|t1.4</v>
      </c>
      <c r="U11" s="20">
        <f t="shared" si="6"/>
        <v>14</v>
      </c>
      <c r="V11" s="20">
        <f>IF(OR(S11&lt;&gt;"Y",B11&lt;AsOf-365,B11&gt;AsOf),"",IF(COUNTIFS($T$6:T11,T11,$B$6:B11,B11,$S$6:S11,"Y")=1,1,0))</f>
        <v>1</v>
      </c>
    </row>
    <row r="12" spans="1:22" x14ac:dyDescent="0.35">
      <c r="A12" s="17" t="s">
        <v>717</v>
      </c>
      <c r="B12" s="18">
        <v>45935</v>
      </c>
      <c r="C12" s="19" t="s">
        <v>708</v>
      </c>
      <c r="D12" s="17" t="s">
        <v>709</v>
      </c>
      <c r="E12" s="17" t="s">
        <v>178</v>
      </c>
      <c r="F12" s="17" t="s">
        <v>710</v>
      </c>
      <c r="G12" s="17" t="s">
        <v>710</v>
      </c>
      <c r="H12" s="17" t="s">
        <v>710</v>
      </c>
      <c r="I12" s="19" t="s">
        <v>179</v>
      </c>
      <c r="J12" s="17">
        <v>5</v>
      </c>
      <c r="K12" s="20" t="str">
        <f t="shared" si="0"/>
        <v>A</v>
      </c>
      <c r="L12" s="20">
        <f t="shared" si="1"/>
        <v>4</v>
      </c>
      <c r="M12" s="19"/>
      <c r="N12" s="17"/>
      <c r="O12" s="20" t="str">
        <f t="shared" si="2"/>
        <v/>
      </c>
      <c r="P12" s="20" t="str">
        <f t="shared" si="3"/>
        <v/>
      </c>
      <c r="Q12" s="17"/>
      <c r="R12" s="20" t="str">
        <f t="shared" si="4"/>
        <v/>
      </c>
      <c r="S12" s="17" t="s">
        <v>711</v>
      </c>
      <c r="T12" s="21" t="str">
        <f t="shared" si="5"/>
        <v>IR|Curve|t1.4</v>
      </c>
      <c r="U12" s="20">
        <f t="shared" si="6"/>
        <v>14</v>
      </c>
      <c r="V12" s="20">
        <f>IF(OR(S12&lt;&gt;"Y",B12&lt;AsOf-365,B12&gt;AsOf),"",IF(COUNTIFS($T$6:T12,T12,$B$6:B12,B12,$S$6:S12,"Y")=1,1,0))</f>
        <v>1</v>
      </c>
    </row>
    <row r="13" spans="1:22" x14ac:dyDescent="0.35">
      <c r="A13" s="17" t="s">
        <v>718</v>
      </c>
      <c r="B13" s="18">
        <v>45949</v>
      </c>
      <c r="C13" s="19" t="s">
        <v>708</v>
      </c>
      <c r="D13" s="17" t="s">
        <v>709</v>
      </c>
      <c r="E13" s="17" t="s">
        <v>178</v>
      </c>
      <c r="F13" s="17" t="s">
        <v>710</v>
      </c>
      <c r="G13" s="17" t="s">
        <v>710</v>
      </c>
      <c r="H13" s="17" t="s">
        <v>710</v>
      </c>
      <c r="I13" s="19" t="s">
        <v>179</v>
      </c>
      <c r="J13" s="17">
        <v>5</v>
      </c>
      <c r="K13" s="20" t="str">
        <f t="shared" si="0"/>
        <v>A</v>
      </c>
      <c r="L13" s="20">
        <f t="shared" si="1"/>
        <v>4</v>
      </c>
      <c r="M13" s="19"/>
      <c r="N13" s="17"/>
      <c r="O13" s="20" t="str">
        <f t="shared" si="2"/>
        <v/>
      </c>
      <c r="P13" s="20" t="str">
        <f t="shared" si="3"/>
        <v/>
      </c>
      <c r="Q13" s="17"/>
      <c r="R13" s="20" t="str">
        <f t="shared" si="4"/>
        <v/>
      </c>
      <c r="S13" s="17" t="s">
        <v>711</v>
      </c>
      <c r="T13" s="21" t="str">
        <f t="shared" si="5"/>
        <v>IR|Curve|t1.4</v>
      </c>
      <c r="U13" s="20">
        <f t="shared" si="6"/>
        <v>14</v>
      </c>
      <c r="V13" s="20">
        <f>IF(OR(S13&lt;&gt;"Y",B13&lt;AsOf-365,B13&gt;AsOf),"",IF(COUNTIFS($T$6:T13,T13,$B$6:B13,B13,$S$6:S13,"Y")=1,1,0))</f>
        <v>1</v>
      </c>
    </row>
    <row r="14" spans="1:22" x14ac:dyDescent="0.35">
      <c r="A14" s="17" t="s">
        <v>719</v>
      </c>
      <c r="B14" s="18">
        <v>45963</v>
      </c>
      <c r="C14" s="19" t="s">
        <v>708</v>
      </c>
      <c r="D14" s="17" t="s">
        <v>709</v>
      </c>
      <c r="E14" s="17" t="s">
        <v>178</v>
      </c>
      <c r="F14" s="17" t="s">
        <v>710</v>
      </c>
      <c r="G14" s="17" t="s">
        <v>710</v>
      </c>
      <c r="H14" s="17" t="s">
        <v>710</v>
      </c>
      <c r="I14" s="19" t="s">
        <v>179</v>
      </c>
      <c r="J14" s="17">
        <v>5</v>
      </c>
      <c r="K14" s="20" t="str">
        <f t="shared" si="0"/>
        <v>A</v>
      </c>
      <c r="L14" s="20">
        <f t="shared" si="1"/>
        <v>4</v>
      </c>
      <c r="M14" s="19"/>
      <c r="N14" s="17"/>
      <c r="O14" s="20" t="str">
        <f t="shared" si="2"/>
        <v/>
      </c>
      <c r="P14" s="20" t="str">
        <f t="shared" si="3"/>
        <v/>
      </c>
      <c r="Q14" s="17"/>
      <c r="R14" s="20" t="str">
        <f t="shared" si="4"/>
        <v/>
      </c>
      <c r="S14" s="17" t="s">
        <v>711</v>
      </c>
      <c r="T14" s="21" t="str">
        <f t="shared" si="5"/>
        <v>IR|Curve|t1.4</v>
      </c>
      <c r="U14" s="20">
        <f t="shared" si="6"/>
        <v>14</v>
      </c>
      <c r="V14" s="20">
        <f>IF(OR(S14&lt;&gt;"Y",B14&lt;AsOf-365,B14&gt;AsOf),"",IF(COUNTIFS($T$6:T14,T14,$B$6:B14,B14,$S$6:S14,"Y")=1,1,0))</f>
        <v>1</v>
      </c>
    </row>
    <row r="15" spans="1:22" x14ac:dyDescent="0.35">
      <c r="A15" s="17" t="s">
        <v>720</v>
      </c>
      <c r="B15" s="18">
        <v>45977</v>
      </c>
      <c r="C15" s="19" t="s">
        <v>708</v>
      </c>
      <c r="D15" s="17" t="s">
        <v>709</v>
      </c>
      <c r="E15" s="17" t="s">
        <v>178</v>
      </c>
      <c r="F15" s="17" t="s">
        <v>710</v>
      </c>
      <c r="G15" s="17" t="s">
        <v>710</v>
      </c>
      <c r="H15" s="17" t="s">
        <v>710</v>
      </c>
      <c r="I15" s="19" t="s">
        <v>179</v>
      </c>
      <c r="J15" s="17">
        <v>5</v>
      </c>
      <c r="K15" s="20" t="str">
        <f t="shared" si="0"/>
        <v>A</v>
      </c>
      <c r="L15" s="20">
        <f t="shared" si="1"/>
        <v>4</v>
      </c>
      <c r="M15" s="19"/>
      <c r="N15" s="17"/>
      <c r="O15" s="20" t="str">
        <f t="shared" si="2"/>
        <v/>
      </c>
      <c r="P15" s="20" t="str">
        <f t="shared" si="3"/>
        <v/>
      </c>
      <c r="Q15" s="17"/>
      <c r="R15" s="20" t="str">
        <f t="shared" si="4"/>
        <v/>
      </c>
      <c r="S15" s="17" t="s">
        <v>711</v>
      </c>
      <c r="T15" s="21" t="str">
        <f t="shared" si="5"/>
        <v>IR|Curve|t1.4</v>
      </c>
      <c r="U15" s="20">
        <f t="shared" si="6"/>
        <v>14</v>
      </c>
      <c r="V15" s="20">
        <f>IF(OR(S15&lt;&gt;"Y",B15&lt;AsOf-365,B15&gt;AsOf),"",IF(COUNTIFS($T$6:T15,T15,$B$6:B15,B15,$S$6:S15,"Y")=1,1,0))</f>
        <v>1</v>
      </c>
    </row>
    <row r="16" spans="1:22" x14ac:dyDescent="0.35">
      <c r="A16" s="17" t="s">
        <v>721</v>
      </c>
      <c r="B16" s="18">
        <v>45991</v>
      </c>
      <c r="C16" s="19" t="s">
        <v>708</v>
      </c>
      <c r="D16" s="17" t="s">
        <v>709</v>
      </c>
      <c r="E16" s="17" t="s">
        <v>178</v>
      </c>
      <c r="F16" s="17" t="s">
        <v>710</v>
      </c>
      <c r="G16" s="17" t="s">
        <v>710</v>
      </c>
      <c r="H16" s="17" t="s">
        <v>710</v>
      </c>
      <c r="I16" s="19" t="s">
        <v>179</v>
      </c>
      <c r="J16" s="17">
        <v>5</v>
      </c>
      <c r="K16" s="20" t="str">
        <f t="shared" si="0"/>
        <v>A</v>
      </c>
      <c r="L16" s="20">
        <f t="shared" si="1"/>
        <v>4</v>
      </c>
      <c r="M16" s="19"/>
      <c r="N16" s="17"/>
      <c r="O16" s="20" t="str">
        <f t="shared" si="2"/>
        <v/>
      </c>
      <c r="P16" s="20" t="str">
        <f t="shared" si="3"/>
        <v/>
      </c>
      <c r="Q16" s="17"/>
      <c r="R16" s="20" t="str">
        <f t="shared" si="4"/>
        <v/>
      </c>
      <c r="S16" s="17" t="s">
        <v>711</v>
      </c>
      <c r="T16" s="21" t="str">
        <f t="shared" si="5"/>
        <v>IR|Curve|t1.4</v>
      </c>
      <c r="U16" s="20">
        <f t="shared" si="6"/>
        <v>14</v>
      </c>
      <c r="V16" s="20">
        <f>IF(OR(S16&lt;&gt;"Y",B16&lt;AsOf-365,B16&gt;AsOf),"",IF(COUNTIFS($T$6:T16,T16,$B$6:B16,B16,$S$6:S16,"Y")=1,1,0))</f>
        <v>1</v>
      </c>
    </row>
    <row r="17" spans="1:22" x14ac:dyDescent="0.35">
      <c r="A17" s="17" t="s">
        <v>722</v>
      </c>
      <c r="B17" s="18">
        <v>46005</v>
      </c>
      <c r="C17" s="19" t="s">
        <v>708</v>
      </c>
      <c r="D17" s="17" t="s">
        <v>709</v>
      </c>
      <c r="E17" s="17" t="s">
        <v>178</v>
      </c>
      <c r="F17" s="17" t="s">
        <v>710</v>
      </c>
      <c r="G17" s="17" t="s">
        <v>710</v>
      </c>
      <c r="H17" s="17" t="s">
        <v>710</v>
      </c>
      <c r="I17" s="19" t="s">
        <v>179</v>
      </c>
      <c r="J17" s="17">
        <v>5</v>
      </c>
      <c r="K17" s="20" t="str">
        <f t="shared" si="0"/>
        <v>A</v>
      </c>
      <c r="L17" s="20">
        <f t="shared" si="1"/>
        <v>4</v>
      </c>
      <c r="M17" s="19"/>
      <c r="N17" s="17"/>
      <c r="O17" s="20" t="str">
        <f t="shared" si="2"/>
        <v/>
      </c>
      <c r="P17" s="20" t="str">
        <f t="shared" si="3"/>
        <v/>
      </c>
      <c r="Q17" s="17"/>
      <c r="R17" s="20" t="str">
        <f t="shared" si="4"/>
        <v/>
      </c>
      <c r="S17" s="17" t="s">
        <v>711</v>
      </c>
      <c r="T17" s="21" t="str">
        <f t="shared" si="5"/>
        <v>IR|Curve|t1.4</v>
      </c>
      <c r="U17" s="20">
        <f t="shared" si="6"/>
        <v>14</v>
      </c>
      <c r="V17" s="20">
        <f>IF(OR(S17&lt;&gt;"Y",B17&lt;AsOf-365,B17&gt;AsOf),"",IF(COUNTIFS($T$6:T17,T17,$B$6:B17,B17,$S$6:S17,"Y")=1,1,0))</f>
        <v>1</v>
      </c>
    </row>
    <row r="18" spans="1:22" x14ac:dyDescent="0.35">
      <c r="A18" s="17" t="s">
        <v>723</v>
      </c>
      <c r="B18" s="18">
        <v>46019</v>
      </c>
      <c r="C18" s="19" t="s">
        <v>708</v>
      </c>
      <c r="D18" s="17" t="s">
        <v>709</v>
      </c>
      <c r="E18" s="17" t="s">
        <v>178</v>
      </c>
      <c r="F18" s="17" t="s">
        <v>710</v>
      </c>
      <c r="G18" s="17" t="s">
        <v>710</v>
      </c>
      <c r="H18" s="17" t="s">
        <v>710</v>
      </c>
      <c r="I18" s="19" t="s">
        <v>179</v>
      </c>
      <c r="J18" s="17">
        <v>5</v>
      </c>
      <c r="K18" s="20" t="str">
        <f t="shared" si="0"/>
        <v>A</v>
      </c>
      <c r="L18" s="20">
        <f t="shared" si="1"/>
        <v>4</v>
      </c>
      <c r="M18" s="19"/>
      <c r="N18" s="17"/>
      <c r="O18" s="20" t="str">
        <f t="shared" si="2"/>
        <v/>
      </c>
      <c r="P18" s="20" t="str">
        <f t="shared" si="3"/>
        <v/>
      </c>
      <c r="Q18" s="17"/>
      <c r="R18" s="20" t="str">
        <f t="shared" si="4"/>
        <v/>
      </c>
      <c r="S18" s="17" t="s">
        <v>711</v>
      </c>
      <c r="T18" s="21" t="str">
        <f t="shared" si="5"/>
        <v>IR|Curve|t1.4</v>
      </c>
      <c r="U18" s="20">
        <f t="shared" si="6"/>
        <v>14</v>
      </c>
      <c r="V18" s="20">
        <f>IF(OR(S18&lt;&gt;"Y",B18&lt;AsOf-365,B18&gt;AsOf),"",IF(COUNTIFS($T$6:T18,T18,$B$6:B18,B18,$S$6:S18,"Y")=1,1,0))</f>
        <v>1</v>
      </c>
    </row>
    <row r="19" spans="1:22" x14ac:dyDescent="0.35">
      <c r="A19" s="17" t="s">
        <v>724</v>
      </c>
      <c r="B19" s="18">
        <v>46033</v>
      </c>
      <c r="C19" s="19" t="s">
        <v>708</v>
      </c>
      <c r="D19" s="17" t="s">
        <v>709</v>
      </c>
      <c r="E19" s="17" t="s">
        <v>178</v>
      </c>
      <c r="F19" s="17" t="s">
        <v>710</v>
      </c>
      <c r="G19" s="17" t="s">
        <v>710</v>
      </c>
      <c r="H19" s="17" t="s">
        <v>710</v>
      </c>
      <c r="I19" s="19" t="s">
        <v>179</v>
      </c>
      <c r="J19" s="17">
        <v>5</v>
      </c>
      <c r="K19" s="20" t="str">
        <f t="shared" si="0"/>
        <v>A</v>
      </c>
      <c r="L19" s="20">
        <f t="shared" si="1"/>
        <v>4</v>
      </c>
      <c r="M19" s="19"/>
      <c r="N19" s="17"/>
      <c r="O19" s="20" t="str">
        <f t="shared" si="2"/>
        <v/>
      </c>
      <c r="P19" s="20" t="str">
        <f t="shared" si="3"/>
        <v/>
      </c>
      <c r="Q19" s="17"/>
      <c r="R19" s="20" t="str">
        <f t="shared" si="4"/>
        <v/>
      </c>
      <c r="S19" s="17" t="s">
        <v>711</v>
      </c>
      <c r="T19" s="21" t="str">
        <f t="shared" si="5"/>
        <v>IR|Curve|t1.4</v>
      </c>
      <c r="U19" s="20">
        <f t="shared" si="6"/>
        <v>14</v>
      </c>
      <c r="V19" s="20">
        <f>IF(OR(S19&lt;&gt;"Y",B19&lt;AsOf-365,B19&gt;AsOf),"",IF(COUNTIFS($T$6:T19,T19,$B$6:B19,B19,$S$6:S19,"Y")=1,1,0))</f>
        <v>1</v>
      </c>
    </row>
    <row r="20" spans="1:22" x14ac:dyDescent="0.35">
      <c r="A20" s="17" t="s">
        <v>725</v>
      </c>
      <c r="B20" s="18">
        <v>46047</v>
      </c>
      <c r="C20" s="19" t="s">
        <v>708</v>
      </c>
      <c r="D20" s="17" t="s">
        <v>709</v>
      </c>
      <c r="E20" s="17" t="s">
        <v>178</v>
      </c>
      <c r="F20" s="17" t="s">
        <v>710</v>
      </c>
      <c r="G20" s="17" t="s">
        <v>710</v>
      </c>
      <c r="H20" s="17" t="s">
        <v>710</v>
      </c>
      <c r="I20" s="19" t="s">
        <v>179</v>
      </c>
      <c r="J20" s="17">
        <v>5</v>
      </c>
      <c r="K20" s="20" t="str">
        <f t="shared" si="0"/>
        <v>A</v>
      </c>
      <c r="L20" s="20">
        <f t="shared" si="1"/>
        <v>4</v>
      </c>
      <c r="M20" s="19"/>
      <c r="N20" s="17"/>
      <c r="O20" s="20" t="str">
        <f t="shared" si="2"/>
        <v/>
      </c>
      <c r="P20" s="20" t="str">
        <f t="shared" si="3"/>
        <v/>
      </c>
      <c r="Q20" s="17"/>
      <c r="R20" s="20" t="str">
        <f t="shared" si="4"/>
        <v/>
      </c>
      <c r="S20" s="17" t="s">
        <v>711</v>
      </c>
      <c r="T20" s="21" t="str">
        <f t="shared" si="5"/>
        <v>IR|Curve|t1.4</v>
      </c>
      <c r="U20" s="20">
        <f t="shared" si="6"/>
        <v>14</v>
      </c>
      <c r="V20" s="20">
        <f>IF(OR(S20&lt;&gt;"Y",B20&lt;AsOf-365,B20&gt;AsOf),"",IF(COUNTIFS($T$6:T20,T20,$B$6:B20,B20,$S$6:S20,"Y")=1,1,0))</f>
        <v>1</v>
      </c>
    </row>
    <row r="21" spans="1:22" x14ac:dyDescent="0.35">
      <c r="A21" s="17" t="s">
        <v>726</v>
      </c>
      <c r="B21" s="18">
        <v>46061</v>
      </c>
      <c r="C21" s="19" t="s">
        <v>708</v>
      </c>
      <c r="D21" s="17" t="s">
        <v>709</v>
      </c>
      <c r="E21" s="17" t="s">
        <v>178</v>
      </c>
      <c r="F21" s="17" t="s">
        <v>710</v>
      </c>
      <c r="G21" s="17" t="s">
        <v>710</v>
      </c>
      <c r="H21" s="17" t="s">
        <v>710</v>
      </c>
      <c r="I21" s="19" t="s">
        <v>179</v>
      </c>
      <c r="J21" s="17">
        <v>5</v>
      </c>
      <c r="K21" s="20" t="str">
        <f t="shared" si="0"/>
        <v>A</v>
      </c>
      <c r="L21" s="20">
        <f t="shared" si="1"/>
        <v>4</v>
      </c>
      <c r="M21" s="19"/>
      <c r="N21" s="17"/>
      <c r="O21" s="20" t="str">
        <f t="shared" si="2"/>
        <v/>
      </c>
      <c r="P21" s="20" t="str">
        <f t="shared" si="3"/>
        <v/>
      </c>
      <c r="Q21" s="17"/>
      <c r="R21" s="20" t="str">
        <f t="shared" si="4"/>
        <v/>
      </c>
      <c r="S21" s="17" t="s">
        <v>711</v>
      </c>
      <c r="T21" s="21" t="str">
        <f t="shared" si="5"/>
        <v>IR|Curve|t1.4</v>
      </c>
      <c r="U21" s="20">
        <f t="shared" si="6"/>
        <v>14</v>
      </c>
      <c r="V21" s="20">
        <f>IF(OR(S21&lt;&gt;"Y",B21&lt;AsOf-365,B21&gt;AsOf),"",IF(COUNTIFS($T$6:T21,T21,$B$6:B21,B21,$S$6:S21,"Y")=1,1,0))</f>
        <v>1</v>
      </c>
    </row>
    <row r="22" spans="1:22" x14ac:dyDescent="0.35">
      <c r="A22" s="17" t="s">
        <v>727</v>
      </c>
      <c r="B22" s="18">
        <v>46075</v>
      </c>
      <c r="C22" s="19" t="s">
        <v>708</v>
      </c>
      <c r="D22" s="17" t="s">
        <v>709</v>
      </c>
      <c r="E22" s="17" t="s">
        <v>178</v>
      </c>
      <c r="F22" s="17" t="s">
        <v>710</v>
      </c>
      <c r="G22" s="17" t="s">
        <v>710</v>
      </c>
      <c r="H22" s="17" t="s">
        <v>710</v>
      </c>
      <c r="I22" s="19" t="s">
        <v>179</v>
      </c>
      <c r="J22" s="17">
        <v>5</v>
      </c>
      <c r="K22" s="20" t="str">
        <f t="shared" si="0"/>
        <v>A</v>
      </c>
      <c r="L22" s="20">
        <f t="shared" si="1"/>
        <v>4</v>
      </c>
      <c r="M22" s="19"/>
      <c r="N22" s="17"/>
      <c r="O22" s="20" t="str">
        <f t="shared" si="2"/>
        <v/>
      </c>
      <c r="P22" s="20" t="str">
        <f t="shared" si="3"/>
        <v/>
      </c>
      <c r="Q22" s="17"/>
      <c r="R22" s="20" t="str">
        <f t="shared" si="4"/>
        <v/>
      </c>
      <c r="S22" s="17" t="s">
        <v>711</v>
      </c>
      <c r="T22" s="21" t="str">
        <f t="shared" si="5"/>
        <v>IR|Curve|t1.4</v>
      </c>
      <c r="U22" s="20">
        <f t="shared" si="6"/>
        <v>14</v>
      </c>
      <c r="V22" s="20">
        <f>IF(OR(S22&lt;&gt;"Y",B22&lt;AsOf-365,B22&gt;AsOf),"",IF(COUNTIFS($T$6:T22,T22,$B$6:B22,B22,$S$6:S22,"Y")=1,1,0))</f>
        <v>1</v>
      </c>
    </row>
    <row r="23" spans="1:22" x14ac:dyDescent="0.35">
      <c r="A23" s="17" t="s">
        <v>728</v>
      </c>
      <c r="B23" s="18">
        <v>46089</v>
      </c>
      <c r="C23" s="19" t="s">
        <v>708</v>
      </c>
      <c r="D23" s="17" t="s">
        <v>709</v>
      </c>
      <c r="E23" s="17" t="s">
        <v>178</v>
      </c>
      <c r="F23" s="17" t="s">
        <v>710</v>
      </c>
      <c r="G23" s="17" t="s">
        <v>710</v>
      </c>
      <c r="H23" s="17" t="s">
        <v>710</v>
      </c>
      <c r="I23" s="19" t="s">
        <v>179</v>
      </c>
      <c r="J23" s="17">
        <v>5</v>
      </c>
      <c r="K23" s="20" t="str">
        <f t="shared" si="0"/>
        <v>A</v>
      </c>
      <c r="L23" s="20">
        <f t="shared" si="1"/>
        <v>4</v>
      </c>
      <c r="M23" s="19"/>
      <c r="N23" s="17"/>
      <c r="O23" s="20" t="str">
        <f t="shared" si="2"/>
        <v/>
      </c>
      <c r="P23" s="20" t="str">
        <f t="shared" si="3"/>
        <v/>
      </c>
      <c r="Q23" s="17"/>
      <c r="R23" s="20" t="str">
        <f t="shared" si="4"/>
        <v/>
      </c>
      <c r="S23" s="17" t="s">
        <v>711</v>
      </c>
      <c r="T23" s="21" t="str">
        <f t="shared" si="5"/>
        <v>IR|Curve|t1.4</v>
      </c>
      <c r="U23" s="20">
        <f t="shared" si="6"/>
        <v>14</v>
      </c>
      <c r="V23" s="20">
        <f>IF(OR(S23&lt;&gt;"Y",B23&lt;AsOf-365,B23&gt;AsOf),"",IF(COUNTIFS($T$6:T23,T23,$B$6:B23,B23,$S$6:S23,"Y")=1,1,0))</f>
        <v>1</v>
      </c>
    </row>
    <row r="24" spans="1:22" x14ac:dyDescent="0.35">
      <c r="A24" s="17" t="s">
        <v>729</v>
      </c>
      <c r="B24" s="18">
        <v>46103</v>
      </c>
      <c r="C24" s="19" t="s">
        <v>708</v>
      </c>
      <c r="D24" s="17" t="s">
        <v>709</v>
      </c>
      <c r="E24" s="17" t="s">
        <v>178</v>
      </c>
      <c r="F24" s="17" t="s">
        <v>710</v>
      </c>
      <c r="G24" s="17" t="s">
        <v>710</v>
      </c>
      <c r="H24" s="17" t="s">
        <v>710</v>
      </c>
      <c r="I24" s="19" t="s">
        <v>179</v>
      </c>
      <c r="J24" s="17">
        <v>5</v>
      </c>
      <c r="K24" s="20" t="str">
        <f t="shared" si="0"/>
        <v>A</v>
      </c>
      <c r="L24" s="20">
        <f t="shared" si="1"/>
        <v>4</v>
      </c>
      <c r="M24" s="19"/>
      <c r="N24" s="17"/>
      <c r="O24" s="20" t="str">
        <f t="shared" si="2"/>
        <v/>
      </c>
      <c r="P24" s="20" t="str">
        <f t="shared" si="3"/>
        <v/>
      </c>
      <c r="Q24" s="17"/>
      <c r="R24" s="20" t="str">
        <f t="shared" si="4"/>
        <v/>
      </c>
      <c r="S24" s="17" t="s">
        <v>711</v>
      </c>
      <c r="T24" s="21" t="str">
        <f t="shared" si="5"/>
        <v>IR|Curve|t1.4</v>
      </c>
      <c r="U24" s="20">
        <f t="shared" si="6"/>
        <v>14</v>
      </c>
      <c r="V24" s="20">
        <f>IF(OR(S24&lt;&gt;"Y",B24&lt;AsOf-365,B24&gt;AsOf),"",IF(COUNTIFS($T$6:T24,T24,$B$6:B24,B24,$S$6:S24,"Y")=1,1,0))</f>
        <v>1</v>
      </c>
    </row>
    <row r="25" spans="1:22" x14ac:dyDescent="0.35">
      <c r="A25" s="17" t="s">
        <v>730</v>
      </c>
      <c r="B25" s="18">
        <v>46117</v>
      </c>
      <c r="C25" s="19" t="s">
        <v>708</v>
      </c>
      <c r="D25" s="17" t="s">
        <v>709</v>
      </c>
      <c r="E25" s="17" t="s">
        <v>178</v>
      </c>
      <c r="F25" s="17" t="s">
        <v>710</v>
      </c>
      <c r="G25" s="17" t="s">
        <v>710</v>
      </c>
      <c r="H25" s="17" t="s">
        <v>710</v>
      </c>
      <c r="I25" s="19" t="s">
        <v>179</v>
      </c>
      <c r="J25" s="17">
        <v>5</v>
      </c>
      <c r="K25" s="20" t="str">
        <f t="shared" si="0"/>
        <v>A</v>
      </c>
      <c r="L25" s="20">
        <f t="shared" si="1"/>
        <v>4</v>
      </c>
      <c r="M25" s="19"/>
      <c r="N25" s="17"/>
      <c r="O25" s="20" t="str">
        <f t="shared" si="2"/>
        <v/>
      </c>
      <c r="P25" s="20" t="str">
        <f t="shared" si="3"/>
        <v/>
      </c>
      <c r="Q25" s="17"/>
      <c r="R25" s="20" t="str">
        <f t="shared" si="4"/>
        <v/>
      </c>
      <c r="S25" s="17" t="s">
        <v>711</v>
      </c>
      <c r="T25" s="21" t="str">
        <f t="shared" si="5"/>
        <v>IR|Curve|t1.4</v>
      </c>
      <c r="U25" s="20">
        <f t="shared" si="6"/>
        <v>14</v>
      </c>
      <c r="V25" s="20">
        <f>IF(OR(S25&lt;&gt;"Y",B25&lt;AsOf-365,B25&gt;AsOf),"",IF(COUNTIFS($T$6:T25,T25,$B$6:B25,B25,$S$6:S25,"Y")=1,1,0))</f>
        <v>1</v>
      </c>
    </row>
    <row r="26" spans="1:22" x14ac:dyDescent="0.35">
      <c r="A26" s="17" t="s">
        <v>731</v>
      </c>
      <c r="B26" s="18">
        <v>46131</v>
      </c>
      <c r="C26" s="19" t="s">
        <v>708</v>
      </c>
      <c r="D26" s="17" t="s">
        <v>709</v>
      </c>
      <c r="E26" s="17" t="s">
        <v>178</v>
      </c>
      <c r="F26" s="17" t="s">
        <v>710</v>
      </c>
      <c r="G26" s="17" t="s">
        <v>710</v>
      </c>
      <c r="H26" s="17" t="s">
        <v>710</v>
      </c>
      <c r="I26" s="19" t="s">
        <v>179</v>
      </c>
      <c r="J26" s="17">
        <v>5</v>
      </c>
      <c r="K26" s="20" t="str">
        <f t="shared" si="0"/>
        <v>A</v>
      </c>
      <c r="L26" s="20">
        <f t="shared" si="1"/>
        <v>4</v>
      </c>
      <c r="M26" s="19"/>
      <c r="N26" s="17"/>
      <c r="O26" s="20" t="str">
        <f t="shared" si="2"/>
        <v/>
      </c>
      <c r="P26" s="20" t="str">
        <f t="shared" si="3"/>
        <v/>
      </c>
      <c r="Q26" s="17"/>
      <c r="R26" s="20" t="str">
        <f t="shared" si="4"/>
        <v/>
      </c>
      <c r="S26" s="17" t="s">
        <v>711</v>
      </c>
      <c r="T26" s="21" t="str">
        <f t="shared" si="5"/>
        <v>IR|Curve|t1.4</v>
      </c>
      <c r="U26" s="20">
        <f t="shared" si="6"/>
        <v>14</v>
      </c>
      <c r="V26" s="20">
        <f>IF(OR(S26&lt;&gt;"Y",B26&lt;AsOf-365,B26&gt;AsOf),"",IF(COUNTIFS($T$6:T26,T26,$B$6:B26,B26,$S$6:S26,"Y")=1,1,0))</f>
        <v>1</v>
      </c>
    </row>
    <row r="27" spans="1:22" x14ac:dyDescent="0.35">
      <c r="A27" s="17" t="s">
        <v>732</v>
      </c>
      <c r="B27" s="18">
        <v>46145</v>
      </c>
      <c r="C27" s="19" t="s">
        <v>708</v>
      </c>
      <c r="D27" s="17" t="s">
        <v>709</v>
      </c>
      <c r="E27" s="17" t="s">
        <v>178</v>
      </c>
      <c r="F27" s="17" t="s">
        <v>710</v>
      </c>
      <c r="G27" s="17" t="s">
        <v>710</v>
      </c>
      <c r="H27" s="17" t="s">
        <v>710</v>
      </c>
      <c r="I27" s="19" t="s">
        <v>179</v>
      </c>
      <c r="J27" s="17">
        <v>5</v>
      </c>
      <c r="K27" s="20" t="str">
        <f t="shared" si="0"/>
        <v>A</v>
      </c>
      <c r="L27" s="20">
        <f t="shared" si="1"/>
        <v>4</v>
      </c>
      <c r="M27" s="19"/>
      <c r="N27" s="17"/>
      <c r="O27" s="20" t="str">
        <f t="shared" si="2"/>
        <v/>
      </c>
      <c r="P27" s="20" t="str">
        <f t="shared" si="3"/>
        <v/>
      </c>
      <c r="Q27" s="17"/>
      <c r="R27" s="20" t="str">
        <f t="shared" si="4"/>
        <v/>
      </c>
      <c r="S27" s="17" t="s">
        <v>711</v>
      </c>
      <c r="T27" s="21" t="str">
        <f t="shared" si="5"/>
        <v>IR|Curve|t1.4</v>
      </c>
      <c r="U27" s="20">
        <f t="shared" si="6"/>
        <v>14</v>
      </c>
      <c r="V27" s="20">
        <f>IF(OR(S27&lt;&gt;"Y",B27&lt;AsOf-365,B27&gt;AsOf),"",IF(COUNTIFS($T$6:T27,T27,$B$6:B27,B27,$S$6:S27,"Y")=1,1,0))</f>
        <v>1</v>
      </c>
    </row>
    <row r="28" spans="1:22" x14ac:dyDescent="0.35">
      <c r="A28" s="17" t="s">
        <v>733</v>
      </c>
      <c r="B28" s="18">
        <v>46159</v>
      </c>
      <c r="C28" s="19" t="s">
        <v>708</v>
      </c>
      <c r="D28" s="17" t="s">
        <v>709</v>
      </c>
      <c r="E28" s="17" t="s">
        <v>178</v>
      </c>
      <c r="F28" s="17" t="s">
        <v>710</v>
      </c>
      <c r="G28" s="17" t="s">
        <v>710</v>
      </c>
      <c r="H28" s="17" t="s">
        <v>710</v>
      </c>
      <c r="I28" s="19" t="s">
        <v>179</v>
      </c>
      <c r="J28" s="17">
        <v>5</v>
      </c>
      <c r="K28" s="20" t="str">
        <f t="shared" si="0"/>
        <v>A</v>
      </c>
      <c r="L28" s="20">
        <f t="shared" si="1"/>
        <v>4</v>
      </c>
      <c r="M28" s="19"/>
      <c r="N28" s="17"/>
      <c r="O28" s="20" t="str">
        <f t="shared" si="2"/>
        <v/>
      </c>
      <c r="P28" s="20" t="str">
        <f t="shared" si="3"/>
        <v/>
      </c>
      <c r="Q28" s="17"/>
      <c r="R28" s="20" t="str">
        <f t="shared" si="4"/>
        <v/>
      </c>
      <c r="S28" s="17" t="s">
        <v>711</v>
      </c>
      <c r="T28" s="21" t="str">
        <f t="shared" si="5"/>
        <v>IR|Curve|t1.4</v>
      </c>
      <c r="U28" s="20">
        <f t="shared" si="6"/>
        <v>14</v>
      </c>
      <c r="V28" s="20">
        <f>IF(OR(S28&lt;&gt;"Y",B28&lt;AsOf-365,B28&gt;AsOf),"",IF(COUNTIFS($T$6:T28,T28,$B$6:B28,B28,$S$6:S28,"Y")=1,1,0))</f>
        <v>1</v>
      </c>
    </row>
    <row r="29" spans="1:22" x14ac:dyDescent="0.35">
      <c r="A29" s="17" t="s">
        <v>734</v>
      </c>
      <c r="B29" s="18">
        <v>46173</v>
      </c>
      <c r="C29" s="19" t="s">
        <v>708</v>
      </c>
      <c r="D29" s="17" t="s">
        <v>709</v>
      </c>
      <c r="E29" s="17" t="s">
        <v>178</v>
      </c>
      <c r="F29" s="17" t="s">
        <v>710</v>
      </c>
      <c r="G29" s="17" t="s">
        <v>710</v>
      </c>
      <c r="H29" s="17" t="s">
        <v>710</v>
      </c>
      <c r="I29" s="19" t="s">
        <v>179</v>
      </c>
      <c r="J29" s="17">
        <v>5</v>
      </c>
      <c r="K29" s="20" t="str">
        <f t="shared" si="0"/>
        <v>A</v>
      </c>
      <c r="L29" s="20">
        <f t="shared" si="1"/>
        <v>4</v>
      </c>
      <c r="M29" s="19"/>
      <c r="N29" s="17"/>
      <c r="O29" s="20" t="str">
        <f t="shared" si="2"/>
        <v/>
      </c>
      <c r="P29" s="20" t="str">
        <f t="shared" si="3"/>
        <v/>
      </c>
      <c r="Q29" s="17"/>
      <c r="R29" s="20" t="str">
        <f t="shared" si="4"/>
        <v/>
      </c>
      <c r="S29" s="17" t="s">
        <v>711</v>
      </c>
      <c r="T29" s="21" t="str">
        <f t="shared" si="5"/>
        <v>IR|Curve|t1.4</v>
      </c>
      <c r="U29" s="20">
        <f t="shared" si="6"/>
        <v>14</v>
      </c>
      <c r="V29" s="20">
        <f>IF(OR(S29&lt;&gt;"Y",B29&lt;AsOf-365,B29&gt;AsOf),"",IF(COUNTIFS($T$6:T29,T29,$B$6:B29,B29,$S$6:S29,"Y")=1,1,0))</f>
        <v>1</v>
      </c>
    </row>
    <row r="30" spans="1:22" x14ac:dyDescent="0.35">
      <c r="A30" s="17" t="s">
        <v>735</v>
      </c>
      <c r="B30" s="18">
        <v>46187</v>
      </c>
      <c r="C30" s="19" t="s">
        <v>708</v>
      </c>
      <c r="D30" s="17" t="s">
        <v>709</v>
      </c>
      <c r="E30" s="17" t="s">
        <v>178</v>
      </c>
      <c r="F30" s="17" t="s">
        <v>710</v>
      </c>
      <c r="G30" s="17" t="s">
        <v>710</v>
      </c>
      <c r="H30" s="17" t="s">
        <v>710</v>
      </c>
      <c r="I30" s="19" t="s">
        <v>179</v>
      </c>
      <c r="J30" s="17">
        <v>5</v>
      </c>
      <c r="K30" s="20" t="str">
        <f t="shared" si="0"/>
        <v>A</v>
      </c>
      <c r="L30" s="20">
        <f t="shared" si="1"/>
        <v>4</v>
      </c>
      <c r="M30" s="19"/>
      <c r="N30" s="17"/>
      <c r="O30" s="20" t="str">
        <f t="shared" si="2"/>
        <v/>
      </c>
      <c r="P30" s="20" t="str">
        <f t="shared" si="3"/>
        <v/>
      </c>
      <c r="Q30" s="17"/>
      <c r="R30" s="20" t="str">
        <f t="shared" si="4"/>
        <v/>
      </c>
      <c r="S30" s="17" t="s">
        <v>711</v>
      </c>
      <c r="T30" s="21" t="str">
        <f t="shared" si="5"/>
        <v>IR|Curve|t1.4</v>
      </c>
      <c r="U30" s="20">
        <f t="shared" si="6"/>
        <v>14</v>
      </c>
      <c r="V30" s="20">
        <f>IF(OR(S30&lt;&gt;"Y",B30&lt;AsOf-365,B30&gt;AsOf),"",IF(COUNTIFS($T$6:T30,T30,$B$6:B30,B30,$S$6:S30,"Y")=1,1,0))</f>
        <v>1</v>
      </c>
    </row>
    <row r="31" spans="1:22" x14ac:dyDescent="0.35">
      <c r="A31" s="17" t="s">
        <v>736</v>
      </c>
      <c r="B31" s="18">
        <v>46201</v>
      </c>
      <c r="C31" s="19" t="s">
        <v>708</v>
      </c>
      <c r="D31" s="17" t="s">
        <v>709</v>
      </c>
      <c r="E31" s="17" t="s">
        <v>178</v>
      </c>
      <c r="F31" s="17" t="s">
        <v>710</v>
      </c>
      <c r="G31" s="17" t="s">
        <v>710</v>
      </c>
      <c r="H31" s="17" t="s">
        <v>710</v>
      </c>
      <c r="I31" s="19" t="s">
        <v>179</v>
      </c>
      <c r="J31" s="17">
        <v>5</v>
      </c>
      <c r="K31" s="20" t="str">
        <f t="shared" si="0"/>
        <v>A</v>
      </c>
      <c r="L31" s="20">
        <f t="shared" si="1"/>
        <v>4</v>
      </c>
      <c r="M31" s="19"/>
      <c r="N31" s="17"/>
      <c r="O31" s="20" t="str">
        <f t="shared" si="2"/>
        <v/>
      </c>
      <c r="P31" s="20" t="str">
        <f t="shared" si="3"/>
        <v/>
      </c>
      <c r="Q31" s="17"/>
      <c r="R31" s="20" t="str">
        <f t="shared" si="4"/>
        <v/>
      </c>
      <c r="S31" s="17" t="s">
        <v>711</v>
      </c>
      <c r="T31" s="21" t="str">
        <f t="shared" si="5"/>
        <v>IR|Curve|t1.4</v>
      </c>
      <c r="U31" s="20" t="str">
        <f t="shared" si="6"/>
        <v/>
      </c>
      <c r="V31" s="20">
        <f>IF(OR(S31&lt;&gt;"Y",B31&lt;AsOf-365,B31&gt;AsOf),"",IF(COUNTIFS($T$6:T31,T31,$B$6:B31,B31,$S$6:S31,"Y")=1,1,0))</f>
        <v>1</v>
      </c>
    </row>
    <row r="32" spans="1:22" x14ac:dyDescent="0.35">
      <c r="A32" s="17" t="s">
        <v>737</v>
      </c>
      <c r="B32" s="18">
        <v>45856</v>
      </c>
      <c r="C32" s="19" t="s">
        <v>738</v>
      </c>
      <c r="D32" s="17" t="s">
        <v>327</v>
      </c>
      <c r="E32" s="17" t="s">
        <v>178</v>
      </c>
      <c r="F32" s="17" t="s">
        <v>710</v>
      </c>
      <c r="G32" s="17" t="s">
        <v>710</v>
      </c>
      <c r="H32" s="17" t="s">
        <v>710</v>
      </c>
      <c r="I32" s="19" t="s">
        <v>179</v>
      </c>
      <c r="J32" s="17">
        <v>1</v>
      </c>
      <c r="K32" s="20" t="str">
        <f t="shared" si="0"/>
        <v>A</v>
      </c>
      <c r="L32" s="20">
        <f t="shared" si="1"/>
        <v>2</v>
      </c>
      <c r="M32" s="19"/>
      <c r="N32" s="17"/>
      <c r="O32" s="20" t="str">
        <f t="shared" si="2"/>
        <v/>
      </c>
      <c r="P32" s="20" t="str">
        <f t="shared" si="3"/>
        <v/>
      </c>
      <c r="Q32" s="17"/>
      <c r="R32" s="20" t="str">
        <f t="shared" si="4"/>
        <v/>
      </c>
      <c r="S32" s="17" t="s">
        <v>711</v>
      </c>
      <c r="T32" s="21" t="str">
        <f t="shared" si="5"/>
        <v>FX|Curve|t1.2</v>
      </c>
      <c r="U32" s="20">
        <f t="shared" si="6"/>
        <v>15</v>
      </c>
      <c r="V32" s="20">
        <f>IF(OR(S32&lt;&gt;"Y",B32&lt;AsOf-365,B32&gt;AsOf),"",IF(COUNTIFS($T$6:T32,T32,$B$6:B32,B32,$S$6:S32,"Y")=1,1,0))</f>
        <v>1</v>
      </c>
    </row>
    <row r="33" spans="1:22" x14ac:dyDescent="0.35">
      <c r="A33" s="17" t="s">
        <v>739</v>
      </c>
      <c r="B33" s="18">
        <v>45871</v>
      </c>
      <c r="C33" s="19" t="s">
        <v>738</v>
      </c>
      <c r="D33" s="17" t="s">
        <v>327</v>
      </c>
      <c r="E33" s="17" t="s">
        <v>178</v>
      </c>
      <c r="F33" s="17" t="s">
        <v>710</v>
      </c>
      <c r="G33" s="17" t="s">
        <v>710</v>
      </c>
      <c r="H33" s="17" t="s">
        <v>710</v>
      </c>
      <c r="I33" s="19" t="s">
        <v>179</v>
      </c>
      <c r="J33" s="17">
        <v>1</v>
      </c>
      <c r="K33" s="20" t="str">
        <f t="shared" si="0"/>
        <v>A</v>
      </c>
      <c r="L33" s="20">
        <f t="shared" si="1"/>
        <v>2</v>
      </c>
      <c r="M33" s="19"/>
      <c r="N33" s="17"/>
      <c r="O33" s="20" t="str">
        <f t="shared" si="2"/>
        <v/>
      </c>
      <c r="P33" s="20" t="str">
        <f t="shared" si="3"/>
        <v/>
      </c>
      <c r="Q33" s="17"/>
      <c r="R33" s="20" t="str">
        <f t="shared" si="4"/>
        <v/>
      </c>
      <c r="S33" s="17" t="s">
        <v>711</v>
      </c>
      <c r="T33" s="21" t="str">
        <f t="shared" si="5"/>
        <v>FX|Curve|t1.2</v>
      </c>
      <c r="U33" s="20">
        <f t="shared" si="6"/>
        <v>15</v>
      </c>
      <c r="V33" s="20">
        <f>IF(OR(S33&lt;&gt;"Y",B33&lt;AsOf-365,B33&gt;AsOf),"",IF(COUNTIFS($T$6:T33,T33,$B$6:B33,B33,$S$6:S33,"Y")=1,1,0))</f>
        <v>1</v>
      </c>
    </row>
    <row r="34" spans="1:22" x14ac:dyDescent="0.35">
      <c r="A34" s="17" t="s">
        <v>740</v>
      </c>
      <c r="B34" s="18">
        <v>45886</v>
      </c>
      <c r="C34" s="19" t="s">
        <v>738</v>
      </c>
      <c r="D34" s="17" t="s">
        <v>327</v>
      </c>
      <c r="E34" s="17" t="s">
        <v>178</v>
      </c>
      <c r="F34" s="17" t="s">
        <v>710</v>
      </c>
      <c r="G34" s="17" t="s">
        <v>710</v>
      </c>
      <c r="H34" s="17" t="s">
        <v>710</v>
      </c>
      <c r="I34" s="19" t="s">
        <v>179</v>
      </c>
      <c r="J34" s="17">
        <v>1</v>
      </c>
      <c r="K34" s="20" t="str">
        <f t="shared" si="0"/>
        <v>A</v>
      </c>
      <c r="L34" s="20">
        <f t="shared" si="1"/>
        <v>2</v>
      </c>
      <c r="M34" s="19"/>
      <c r="N34" s="17"/>
      <c r="O34" s="20" t="str">
        <f t="shared" si="2"/>
        <v/>
      </c>
      <c r="P34" s="20" t="str">
        <f t="shared" si="3"/>
        <v/>
      </c>
      <c r="Q34" s="17"/>
      <c r="R34" s="20" t="str">
        <f t="shared" si="4"/>
        <v/>
      </c>
      <c r="S34" s="17" t="s">
        <v>711</v>
      </c>
      <c r="T34" s="21" t="str">
        <f t="shared" si="5"/>
        <v>FX|Curve|t1.2</v>
      </c>
      <c r="U34" s="20">
        <f t="shared" si="6"/>
        <v>15</v>
      </c>
      <c r="V34" s="20">
        <f>IF(OR(S34&lt;&gt;"Y",B34&lt;AsOf-365,B34&gt;AsOf),"",IF(COUNTIFS($T$6:T34,T34,$B$6:B34,B34,$S$6:S34,"Y")=1,1,0))</f>
        <v>1</v>
      </c>
    </row>
    <row r="35" spans="1:22" x14ac:dyDescent="0.35">
      <c r="A35" s="17" t="s">
        <v>741</v>
      </c>
      <c r="B35" s="18">
        <v>45901</v>
      </c>
      <c r="C35" s="19" t="s">
        <v>738</v>
      </c>
      <c r="D35" s="17" t="s">
        <v>327</v>
      </c>
      <c r="E35" s="17" t="s">
        <v>178</v>
      </c>
      <c r="F35" s="17" t="s">
        <v>710</v>
      </c>
      <c r="G35" s="17" t="s">
        <v>710</v>
      </c>
      <c r="H35" s="17" t="s">
        <v>710</v>
      </c>
      <c r="I35" s="19" t="s">
        <v>179</v>
      </c>
      <c r="J35" s="17">
        <v>1</v>
      </c>
      <c r="K35" s="20" t="str">
        <f t="shared" si="0"/>
        <v>A</v>
      </c>
      <c r="L35" s="20">
        <f t="shared" si="1"/>
        <v>2</v>
      </c>
      <c r="M35" s="19"/>
      <c r="N35" s="17"/>
      <c r="O35" s="20" t="str">
        <f t="shared" si="2"/>
        <v/>
      </c>
      <c r="P35" s="20" t="str">
        <f t="shared" si="3"/>
        <v/>
      </c>
      <c r="Q35" s="17"/>
      <c r="R35" s="20" t="str">
        <f t="shared" si="4"/>
        <v/>
      </c>
      <c r="S35" s="17" t="s">
        <v>711</v>
      </c>
      <c r="T35" s="21" t="str">
        <f t="shared" si="5"/>
        <v>FX|Curve|t1.2</v>
      </c>
      <c r="U35" s="20">
        <f t="shared" si="6"/>
        <v>15</v>
      </c>
      <c r="V35" s="20">
        <f>IF(OR(S35&lt;&gt;"Y",B35&lt;AsOf-365,B35&gt;AsOf),"",IF(COUNTIFS($T$6:T35,T35,$B$6:B35,B35,$S$6:S35,"Y")=1,1,0))</f>
        <v>1</v>
      </c>
    </row>
    <row r="36" spans="1:22" x14ac:dyDescent="0.35">
      <c r="A36" s="17" t="s">
        <v>742</v>
      </c>
      <c r="B36" s="18">
        <v>45916</v>
      </c>
      <c r="C36" s="19" t="s">
        <v>738</v>
      </c>
      <c r="D36" s="17" t="s">
        <v>327</v>
      </c>
      <c r="E36" s="17" t="s">
        <v>178</v>
      </c>
      <c r="F36" s="17" t="s">
        <v>710</v>
      </c>
      <c r="G36" s="17" t="s">
        <v>710</v>
      </c>
      <c r="H36" s="17" t="s">
        <v>710</v>
      </c>
      <c r="I36" s="19" t="s">
        <v>179</v>
      </c>
      <c r="J36" s="17">
        <v>1</v>
      </c>
      <c r="K36" s="20" t="str">
        <f t="shared" si="0"/>
        <v>A</v>
      </c>
      <c r="L36" s="20">
        <f t="shared" si="1"/>
        <v>2</v>
      </c>
      <c r="M36" s="19"/>
      <c r="N36" s="17"/>
      <c r="O36" s="20" t="str">
        <f t="shared" si="2"/>
        <v/>
      </c>
      <c r="P36" s="20" t="str">
        <f t="shared" si="3"/>
        <v/>
      </c>
      <c r="Q36" s="17"/>
      <c r="R36" s="20" t="str">
        <f t="shared" si="4"/>
        <v/>
      </c>
      <c r="S36" s="17" t="s">
        <v>711</v>
      </c>
      <c r="T36" s="21" t="str">
        <f t="shared" si="5"/>
        <v>FX|Curve|t1.2</v>
      </c>
      <c r="U36" s="20">
        <f t="shared" si="6"/>
        <v>15</v>
      </c>
      <c r="V36" s="20">
        <f>IF(OR(S36&lt;&gt;"Y",B36&lt;AsOf-365,B36&gt;AsOf),"",IF(COUNTIFS($T$6:T36,T36,$B$6:B36,B36,$S$6:S36,"Y")=1,1,0))</f>
        <v>1</v>
      </c>
    </row>
    <row r="37" spans="1:22" x14ac:dyDescent="0.35">
      <c r="A37" s="17" t="s">
        <v>743</v>
      </c>
      <c r="B37" s="18">
        <v>45931</v>
      </c>
      <c r="C37" s="19" t="s">
        <v>738</v>
      </c>
      <c r="D37" s="17" t="s">
        <v>327</v>
      </c>
      <c r="E37" s="17" t="s">
        <v>178</v>
      </c>
      <c r="F37" s="17" t="s">
        <v>710</v>
      </c>
      <c r="G37" s="17" t="s">
        <v>710</v>
      </c>
      <c r="H37" s="17" t="s">
        <v>710</v>
      </c>
      <c r="I37" s="19" t="s">
        <v>179</v>
      </c>
      <c r="J37" s="17">
        <v>1</v>
      </c>
      <c r="K37" s="20" t="str">
        <f t="shared" si="0"/>
        <v>A</v>
      </c>
      <c r="L37" s="20">
        <f t="shared" si="1"/>
        <v>2</v>
      </c>
      <c r="M37" s="19"/>
      <c r="N37" s="17"/>
      <c r="O37" s="20" t="str">
        <f t="shared" si="2"/>
        <v/>
      </c>
      <c r="P37" s="20" t="str">
        <f t="shared" si="3"/>
        <v/>
      </c>
      <c r="Q37" s="17"/>
      <c r="R37" s="20" t="str">
        <f t="shared" si="4"/>
        <v/>
      </c>
      <c r="S37" s="17" t="s">
        <v>711</v>
      </c>
      <c r="T37" s="21" t="str">
        <f t="shared" si="5"/>
        <v>FX|Curve|t1.2</v>
      </c>
      <c r="U37" s="20">
        <f t="shared" si="6"/>
        <v>15</v>
      </c>
      <c r="V37" s="20">
        <f>IF(OR(S37&lt;&gt;"Y",B37&lt;AsOf-365,B37&gt;AsOf),"",IF(COUNTIFS($T$6:T37,T37,$B$6:B37,B37,$S$6:S37,"Y")=1,1,0))</f>
        <v>1</v>
      </c>
    </row>
    <row r="38" spans="1:22" x14ac:dyDescent="0.35">
      <c r="A38" s="17" t="s">
        <v>744</v>
      </c>
      <c r="B38" s="18">
        <v>45946</v>
      </c>
      <c r="C38" s="19" t="s">
        <v>738</v>
      </c>
      <c r="D38" s="17" t="s">
        <v>327</v>
      </c>
      <c r="E38" s="17" t="s">
        <v>178</v>
      </c>
      <c r="F38" s="17" t="s">
        <v>710</v>
      </c>
      <c r="G38" s="17" t="s">
        <v>710</v>
      </c>
      <c r="H38" s="17" t="s">
        <v>710</v>
      </c>
      <c r="I38" s="19" t="s">
        <v>179</v>
      </c>
      <c r="J38" s="17">
        <v>1</v>
      </c>
      <c r="K38" s="20" t="str">
        <f t="shared" si="0"/>
        <v>A</v>
      </c>
      <c r="L38" s="20">
        <f t="shared" si="1"/>
        <v>2</v>
      </c>
      <c r="M38" s="19"/>
      <c r="N38" s="17"/>
      <c r="O38" s="20" t="str">
        <f t="shared" si="2"/>
        <v/>
      </c>
      <c r="P38" s="20" t="str">
        <f t="shared" si="3"/>
        <v/>
      </c>
      <c r="Q38" s="17"/>
      <c r="R38" s="20" t="str">
        <f t="shared" si="4"/>
        <v/>
      </c>
      <c r="S38" s="17" t="s">
        <v>711</v>
      </c>
      <c r="T38" s="21" t="str">
        <f t="shared" si="5"/>
        <v>FX|Curve|t1.2</v>
      </c>
      <c r="U38" s="20">
        <f t="shared" si="6"/>
        <v>15</v>
      </c>
      <c r="V38" s="20">
        <f>IF(OR(S38&lt;&gt;"Y",B38&lt;AsOf-365,B38&gt;AsOf),"",IF(COUNTIFS($T$6:T38,T38,$B$6:B38,B38,$S$6:S38,"Y")=1,1,0))</f>
        <v>1</v>
      </c>
    </row>
    <row r="39" spans="1:22" x14ac:dyDescent="0.35">
      <c r="A39" s="17" t="s">
        <v>745</v>
      </c>
      <c r="B39" s="18">
        <v>45961</v>
      </c>
      <c r="C39" s="19" t="s">
        <v>738</v>
      </c>
      <c r="D39" s="17" t="s">
        <v>327</v>
      </c>
      <c r="E39" s="17" t="s">
        <v>178</v>
      </c>
      <c r="F39" s="17" t="s">
        <v>710</v>
      </c>
      <c r="G39" s="17" t="s">
        <v>710</v>
      </c>
      <c r="H39" s="17" t="s">
        <v>710</v>
      </c>
      <c r="I39" s="19" t="s">
        <v>179</v>
      </c>
      <c r="J39" s="17">
        <v>1</v>
      </c>
      <c r="K39" s="20" t="str">
        <f t="shared" si="0"/>
        <v>A</v>
      </c>
      <c r="L39" s="20">
        <f t="shared" si="1"/>
        <v>2</v>
      </c>
      <c r="M39" s="19"/>
      <c r="N39" s="17"/>
      <c r="O39" s="20" t="str">
        <f t="shared" si="2"/>
        <v/>
      </c>
      <c r="P39" s="20" t="str">
        <f t="shared" si="3"/>
        <v/>
      </c>
      <c r="Q39" s="17"/>
      <c r="R39" s="20" t="str">
        <f t="shared" si="4"/>
        <v/>
      </c>
      <c r="S39" s="17" t="s">
        <v>711</v>
      </c>
      <c r="T39" s="21" t="str">
        <f t="shared" si="5"/>
        <v>FX|Curve|t1.2</v>
      </c>
      <c r="U39" s="20">
        <f t="shared" si="6"/>
        <v>15</v>
      </c>
      <c r="V39" s="20">
        <f>IF(OR(S39&lt;&gt;"Y",B39&lt;AsOf-365,B39&gt;AsOf),"",IF(COUNTIFS($T$6:T39,T39,$B$6:B39,B39,$S$6:S39,"Y")=1,1,0))</f>
        <v>1</v>
      </c>
    </row>
    <row r="40" spans="1:22" x14ac:dyDescent="0.35">
      <c r="A40" s="17" t="s">
        <v>746</v>
      </c>
      <c r="B40" s="18">
        <v>45976</v>
      </c>
      <c r="C40" s="19" t="s">
        <v>738</v>
      </c>
      <c r="D40" s="17" t="s">
        <v>327</v>
      </c>
      <c r="E40" s="17" t="s">
        <v>178</v>
      </c>
      <c r="F40" s="17" t="s">
        <v>710</v>
      </c>
      <c r="G40" s="17" t="s">
        <v>710</v>
      </c>
      <c r="H40" s="17" t="s">
        <v>710</v>
      </c>
      <c r="I40" s="19" t="s">
        <v>179</v>
      </c>
      <c r="J40" s="17">
        <v>1</v>
      </c>
      <c r="K40" s="20" t="str">
        <f t="shared" si="0"/>
        <v>A</v>
      </c>
      <c r="L40" s="20">
        <f t="shared" si="1"/>
        <v>2</v>
      </c>
      <c r="M40" s="19"/>
      <c r="N40" s="17"/>
      <c r="O40" s="20" t="str">
        <f t="shared" si="2"/>
        <v/>
      </c>
      <c r="P40" s="20" t="str">
        <f t="shared" si="3"/>
        <v/>
      </c>
      <c r="Q40" s="17"/>
      <c r="R40" s="20" t="str">
        <f t="shared" si="4"/>
        <v/>
      </c>
      <c r="S40" s="17" t="s">
        <v>711</v>
      </c>
      <c r="T40" s="21" t="str">
        <f t="shared" si="5"/>
        <v>FX|Curve|t1.2</v>
      </c>
      <c r="U40" s="20">
        <f t="shared" si="6"/>
        <v>15</v>
      </c>
      <c r="V40" s="20">
        <f>IF(OR(S40&lt;&gt;"Y",B40&lt;AsOf-365,B40&gt;AsOf),"",IF(COUNTIFS($T$6:T40,T40,$B$6:B40,B40,$S$6:S40,"Y")=1,1,0))</f>
        <v>1</v>
      </c>
    </row>
    <row r="41" spans="1:22" x14ac:dyDescent="0.35">
      <c r="A41" s="17" t="s">
        <v>747</v>
      </c>
      <c r="B41" s="18">
        <v>45991</v>
      </c>
      <c r="C41" s="19" t="s">
        <v>738</v>
      </c>
      <c r="D41" s="17" t="s">
        <v>327</v>
      </c>
      <c r="E41" s="17" t="s">
        <v>178</v>
      </c>
      <c r="F41" s="17" t="s">
        <v>710</v>
      </c>
      <c r="G41" s="17" t="s">
        <v>710</v>
      </c>
      <c r="H41" s="17" t="s">
        <v>710</v>
      </c>
      <c r="I41" s="19" t="s">
        <v>179</v>
      </c>
      <c r="J41" s="17">
        <v>1</v>
      </c>
      <c r="K41" s="20" t="str">
        <f t="shared" si="0"/>
        <v>A</v>
      </c>
      <c r="L41" s="20">
        <f t="shared" si="1"/>
        <v>2</v>
      </c>
      <c r="M41" s="19"/>
      <c r="N41" s="17"/>
      <c r="O41" s="20" t="str">
        <f t="shared" si="2"/>
        <v/>
      </c>
      <c r="P41" s="20" t="str">
        <f t="shared" si="3"/>
        <v/>
      </c>
      <c r="Q41" s="17"/>
      <c r="R41" s="20" t="str">
        <f t="shared" si="4"/>
        <v/>
      </c>
      <c r="S41" s="17" t="s">
        <v>711</v>
      </c>
      <c r="T41" s="21" t="str">
        <f t="shared" si="5"/>
        <v>FX|Curve|t1.2</v>
      </c>
      <c r="U41" s="20">
        <f t="shared" si="6"/>
        <v>15</v>
      </c>
      <c r="V41" s="20">
        <f>IF(OR(S41&lt;&gt;"Y",B41&lt;AsOf-365,B41&gt;AsOf),"",IF(COUNTIFS($T$6:T41,T41,$B$6:B41,B41,$S$6:S41,"Y")=1,1,0))</f>
        <v>1</v>
      </c>
    </row>
    <row r="42" spans="1:22" x14ac:dyDescent="0.35">
      <c r="A42" s="17" t="s">
        <v>748</v>
      </c>
      <c r="B42" s="18">
        <v>46006</v>
      </c>
      <c r="C42" s="19" t="s">
        <v>738</v>
      </c>
      <c r="D42" s="17" t="s">
        <v>327</v>
      </c>
      <c r="E42" s="17" t="s">
        <v>178</v>
      </c>
      <c r="F42" s="17" t="s">
        <v>710</v>
      </c>
      <c r="G42" s="17" t="s">
        <v>710</v>
      </c>
      <c r="H42" s="17" t="s">
        <v>710</v>
      </c>
      <c r="I42" s="19" t="s">
        <v>179</v>
      </c>
      <c r="J42" s="17">
        <v>1</v>
      </c>
      <c r="K42" s="20" t="str">
        <f t="shared" si="0"/>
        <v>A</v>
      </c>
      <c r="L42" s="20">
        <f t="shared" si="1"/>
        <v>2</v>
      </c>
      <c r="M42" s="19"/>
      <c r="N42" s="17"/>
      <c r="O42" s="20" t="str">
        <f t="shared" si="2"/>
        <v/>
      </c>
      <c r="P42" s="20" t="str">
        <f t="shared" si="3"/>
        <v/>
      </c>
      <c r="Q42" s="17"/>
      <c r="R42" s="20" t="str">
        <f t="shared" si="4"/>
        <v/>
      </c>
      <c r="S42" s="17" t="s">
        <v>711</v>
      </c>
      <c r="T42" s="21" t="str">
        <f t="shared" si="5"/>
        <v>FX|Curve|t1.2</v>
      </c>
      <c r="U42" s="20">
        <f t="shared" si="6"/>
        <v>15</v>
      </c>
      <c r="V42" s="20">
        <f>IF(OR(S42&lt;&gt;"Y",B42&lt;AsOf-365,B42&gt;AsOf),"",IF(COUNTIFS($T$6:T42,T42,$B$6:B42,B42,$S$6:S42,"Y")=1,1,0))</f>
        <v>1</v>
      </c>
    </row>
    <row r="43" spans="1:22" x14ac:dyDescent="0.35">
      <c r="A43" s="17" t="s">
        <v>749</v>
      </c>
      <c r="B43" s="18">
        <v>46021</v>
      </c>
      <c r="C43" s="19" t="s">
        <v>738</v>
      </c>
      <c r="D43" s="17" t="s">
        <v>327</v>
      </c>
      <c r="E43" s="17" t="s">
        <v>178</v>
      </c>
      <c r="F43" s="17" t="s">
        <v>710</v>
      </c>
      <c r="G43" s="17" t="s">
        <v>710</v>
      </c>
      <c r="H43" s="17" t="s">
        <v>710</v>
      </c>
      <c r="I43" s="19" t="s">
        <v>179</v>
      </c>
      <c r="J43" s="17">
        <v>1</v>
      </c>
      <c r="K43" s="20" t="str">
        <f t="shared" si="0"/>
        <v>A</v>
      </c>
      <c r="L43" s="20">
        <f t="shared" si="1"/>
        <v>2</v>
      </c>
      <c r="M43" s="19"/>
      <c r="N43" s="17"/>
      <c r="O43" s="20" t="str">
        <f t="shared" si="2"/>
        <v/>
      </c>
      <c r="P43" s="20" t="str">
        <f t="shared" si="3"/>
        <v/>
      </c>
      <c r="Q43" s="17"/>
      <c r="R43" s="20" t="str">
        <f t="shared" si="4"/>
        <v/>
      </c>
      <c r="S43" s="17" t="s">
        <v>711</v>
      </c>
      <c r="T43" s="21" t="str">
        <f t="shared" si="5"/>
        <v>FX|Curve|t1.2</v>
      </c>
      <c r="U43" s="20">
        <f t="shared" si="6"/>
        <v>15</v>
      </c>
      <c r="V43" s="20">
        <f>IF(OR(S43&lt;&gt;"Y",B43&lt;AsOf-365,B43&gt;AsOf),"",IF(COUNTIFS($T$6:T43,T43,$B$6:B43,B43,$S$6:S43,"Y")=1,1,0))</f>
        <v>1</v>
      </c>
    </row>
    <row r="44" spans="1:22" x14ac:dyDescent="0.35">
      <c r="A44" s="17" t="s">
        <v>750</v>
      </c>
      <c r="B44" s="18">
        <v>46036</v>
      </c>
      <c r="C44" s="19" t="s">
        <v>738</v>
      </c>
      <c r="D44" s="17" t="s">
        <v>327</v>
      </c>
      <c r="E44" s="17" t="s">
        <v>178</v>
      </c>
      <c r="F44" s="17" t="s">
        <v>710</v>
      </c>
      <c r="G44" s="17" t="s">
        <v>710</v>
      </c>
      <c r="H44" s="17" t="s">
        <v>710</v>
      </c>
      <c r="I44" s="19" t="s">
        <v>179</v>
      </c>
      <c r="J44" s="17">
        <v>1</v>
      </c>
      <c r="K44" s="20" t="str">
        <f t="shared" si="0"/>
        <v>A</v>
      </c>
      <c r="L44" s="20">
        <f t="shared" si="1"/>
        <v>2</v>
      </c>
      <c r="M44" s="19"/>
      <c r="N44" s="17"/>
      <c r="O44" s="20" t="str">
        <f t="shared" si="2"/>
        <v/>
      </c>
      <c r="P44" s="20" t="str">
        <f t="shared" si="3"/>
        <v/>
      </c>
      <c r="Q44" s="17"/>
      <c r="R44" s="20" t="str">
        <f t="shared" si="4"/>
        <v/>
      </c>
      <c r="S44" s="17" t="s">
        <v>711</v>
      </c>
      <c r="T44" s="21" t="str">
        <f t="shared" si="5"/>
        <v>FX|Curve|t1.2</v>
      </c>
      <c r="U44" s="20">
        <f t="shared" si="6"/>
        <v>15</v>
      </c>
      <c r="V44" s="20">
        <f>IF(OR(S44&lt;&gt;"Y",B44&lt;AsOf-365,B44&gt;AsOf),"",IF(COUNTIFS($T$6:T44,T44,$B$6:B44,B44,$S$6:S44,"Y")=1,1,0))</f>
        <v>1</v>
      </c>
    </row>
    <row r="45" spans="1:22" x14ac:dyDescent="0.35">
      <c r="A45" s="17" t="s">
        <v>751</v>
      </c>
      <c r="B45" s="18">
        <v>46051</v>
      </c>
      <c r="C45" s="19" t="s">
        <v>738</v>
      </c>
      <c r="D45" s="17" t="s">
        <v>327</v>
      </c>
      <c r="E45" s="17" t="s">
        <v>178</v>
      </c>
      <c r="F45" s="17" t="s">
        <v>710</v>
      </c>
      <c r="G45" s="17" t="s">
        <v>710</v>
      </c>
      <c r="H45" s="17" t="s">
        <v>710</v>
      </c>
      <c r="I45" s="19" t="s">
        <v>179</v>
      </c>
      <c r="J45" s="17">
        <v>1</v>
      </c>
      <c r="K45" s="20" t="str">
        <f t="shared" si="0"/>
        <v>A</v>
      </c>
      <c r="L45" s="20">
        <f t="shared" si="1"/>
        <v>2</v>
      </c>
      <c r="M45" s="19"/>
      <c r="N45" s="17"/>
      <c r="O45" s="20" t="str">
        <f t="shared" si="2"/>
        <v/>
      </c>
      <c r="P45" s="20" t="str">
        <f t="shared" si="3"/>
        <v/>
      </c>
      <c r="Q45" s="17"/>
      <c r="R45" s="20" t="str">
        <f t="shared" si="4"/>
        <v/>
      </c>
      <c r="S45" s="17" t="s">
        <v>711</v>
      </c>
      <c r="T45" s="21" t="str">
        <f t="shared" si="5"/>
        <v>FX|Curve|t1.2</v>
      </c>
      <c r="U45" s="20">
        <f t="shared" si="6"/>
        <v>15</v>
      </c>
      <c r="V45" s="20">
        <f>IF(OR(S45&lt;&gt;"Y",B45&lt;AsOf-365,B45&gt;AsOf),"",IF(COUNTIFS($T$6:T45,T45,$B$6:B45,B45,$S$6:S45,"Y")=1,1,0))</f>
        <v>1</v>
      </c>
    </row>
    <row r="46" spans="1:22" x14ac:dyDescent="0.35">
      <c r="A46" s="17" t="s">
        <v>752</v>
      </c>
      <c r="B46" s="18">
        <v>46066</v>
      </c>
      <c r="C46" s="19" t="s">
        <v>738</v>
      </c>
      <c r="D46" s="17" t="s">
        <v>327</v>
      </c>
      <c r="E46" s="17" t="s">
        <v>178</v>
      </c>
      <c r="F46" s="17" t="s">
        <v>710</v>
      </c>
      <c r="G46" s="17" t="s">
        <v>710</v>
      </c>
      <c r="H46" s="17" t="s">
        <v>710</v>
      </c>
      <c r="I46" s="19" t="s">
        <v>179</v>
      </c>
      <c r="J46" s="17">
        <v>1</v>
      </c>
      <c r="K46" s="20" t="str">
        <f t="shared" si="0"/>
        <v>A</v>
      </c>
      <c r="L46" s="20">
        <f t="shared" si="1"/>
        <v>2</v>
      </c>
      <c r="M46" s="19"/>
      <c r="N46" s="17"/>
      <c r="O46" s="20" t="str">
        <f t="shared" si="2"/>
        <v/>
      </c>
      <c r="P46" s="20" t="str">
        <f t="shared" si="3"/>
        <v/>
      </c>
      <c r="Q46" s="17"/>
      <c r="R46" s="20" t="str">
        <f t="shared" si="4"/>
        <v/>
      </c>
      <c r="S46" s="17" t="s">
        <v>711</v>
      </c>
      <c r="T46" s="21" t="str">
        <f t="shared" si="5"/>
        <v>FX|Curve|t1.2</v>
      </c>
      <c r="U46" s="20">
        <f t="shared" si="6"/>
        <v>15</v>
      </c>
      <c r="V46" s="20">
        <f>IF(OR(S46&lt;&gt;"Y",B46&lt;AsOf-365,B46&gt;AsOf),"",IF(COUNTIFS($T$6:T46,T46,$B$6:B46,B46,$S$6:S46,"Y")=1,1,0))</f>
        <v>1</v>
      </c>
    </row>
    <row r="47" spans="1:22" x14ac:dyDescent="0.35">
      <c r="A47" s="17" t="s">
        <v>753</v>
      </c>
      <c r="B47" s="18">
        <v>46081</v>
      </c>
      <c r="C47" s="19" t="s">
        <v>738</v>
      </c>
      <c r="D47" s="17" t="s">
        <v>327</v>
      </c>
      <c r="E47" s="17" t="s">
        <v>178</v>
      </c>
      <c r="F47" s="17" t="s">
        <v>710</v>
      </c>
      <c r="G47" s="17" t="s">
        <v>710</v>
      </c>
      <c r="H47" s="17" t="s">
        <v>710</v>
      </c>
      <c r="I47" s="19" t="s">
        <v>179</v>
      </c>
      <c r="J47" s="17">
        <v>1</v>
      </c>
      <c r="K47" s="20" t="str">
        <f t="shared" si="0"/>
        <v>A</v>
      </c>
      <c r="L47" s="20">
        <f t="shared" si="1"/>
        <v>2</v>
      </c>
      <c r="M47" s="19"/>
      <c r="N47" s="17"/>
      <c r="O47" s="20" t="str">
        <f t="shared" si="2"/>
        <v/>
      </c>
      <c r="P47" s="20" t="str">
        <f t="shared" si="3"/>
        <v/>
      </c>
      <c r="Q47" s="17"/>
      <c r="R47" s="20" t="str">
        <f t="shared" si="4"/>
        <v/>
      </c>
      <c r="S47" s="17" t="s">
        <v>711</v>
      </c>
      <c r="T47" s="21" t="str">
        <f t="shared" si="5"/>
        <v>FX|Curve|t1.2</v>
      </c>
      <c r="U47" s="20">
        <f t="shared" si="6"/>
        <v>15</v>
      </c>
      <c r="V47" s="20">
        <f>IF(OR(S47&lt;&gt;"Y",B47&lt;AsOf-365,B47&gt;AsOf),"",IF(COUNTIFS($T$6:T47,T47,$B$6:B47,B47,$S$6:S47,"Y")=1,1,0))</f>
        <v>1</v>
      </c>
    </row>
    <row r="48" spans="1:22" x14ac:dyDescent="0.35">
      <c r="A48" s="17" t="s">
        <v>754</v>
      </c>
      <c r="B48" s="18">
        <v>46096</v>
      </c>
      <c r="C48" s="19" t="s">
        <v>738</v>
      </c>
      <c r="D48" s="17" t="s">
        <v>327</v>
      </c>
      <c r="E48" s="17" t="s">
        <v>178</v>
      </c>
      <c r="F48" s="17" t="s">
        <v>710</v>
      </c>
      <c r="G48" s="17" t="s">
        <v>710</v>
      </c>
      <c r="H48" s="17" t="s">
        <v>710</v>
      </c>
      <c r="I48" s="19" t="s">
        <v>179</v>
      </c>
      <c r="J48" s="17">
        <v>1</v>
      </c>
      <c r="K48" s="20" t="str">
        <f t="shared" si="0"/>
        <v>A</v>
      </c>
      <c r="L48" s="20">
        <f t="shared" si="1"/>
        <v>2</v>
      </c>
      <c r="M48" s="19"/>
      <c r="N48" s="17"/>
      <c r="O48" s="20" t="str">
        <f t="shared" si="2"/>
        <v/>
      </c>
      <c r="P48" s="20" t="str">
        <f t="shared" si="3"/>
        <v/>
      </c>
      <c r="Q48" s="17"/>
      <c r="R48" s="20" t="str">
        <f t="shared" si="4"/>
        <v/>
      </c>
      <c r="S48" s="17" t="s">
        <v>711</v>
      </c>
      <c r="T48" s="21" t="str">
        <f t="shared" si="5"/>
        <v>FX|Curve|t1.2</v>
      </c>
      <c r="U48" s="20">
        <f t="shared" si="6"/>
        <v>15</v>
      </c>
      <c r="V48" s="20">
        <f>IF(OR(S48&lt;&gt;"Y",B48&lt;AsOf-365,B48&gt;AsOf),"",IF(COUNTIFS($T$6:T48,T48,$B$6:B48,B48,$S$6:S48,"Y")=1,1,0))</f>
        <v>1</v>
      </c>
    </row>
    <row r="49" spans="1:22" x14ac:dyDescent="0.35">
      <c r="A49" s="17" t="s">
        <v>755</v>
      </c>
      <c r="B49" s="18">
        <v>46111</v>
      </c>
      <c r="C49" s="19" t="s">
        <v>738</v>
      </c>
      <c r="D49" s="17" t="s">
        <v>327</v>
      </c>
      <c r="E49" s="17" t="s">
        <v>178</v>
      </c>
      <c r="F49" s="17" t="s">
        <v>710</v>
      </c>
      <c r="G49" s="17" t="s">
        <v>710</v>
      </c>
      <c r="H49" s="17" t="s">
        <v>710</v>
      </c>
      <c r="I49" s="19" t="s">
        <v>179</v>
      </c>
      <c r="J49" s="17">
        <v>1</v>
      </c>
      <c r="K49" s="20" t="str">
        <f t="shared" si="0"/>
        <v>A</v>
      </c>
      <c r="L49" s="20">
        <f t="shared" si="1"/>
        <v>2</v>
      </c>
      <c r="M49" s="19"/>
      <c r="N49" s="17"/>
      <c r="O49" s="20" t="str">
        <f t="shared" si="2"/>
        <v/>
      </c>
      <c r="P49" s="20" t="str">
        <f t="shared" si="3"/>
        <v/>
      </c>
      <c r="Q49" s="17"/>
      <c r="R49" s="20" t="str">
        <f t="shared" si="4"/>
        <v/>
      </c>
      <c r="S49" s="17" t="s">
        <v>711</v>
      </c>
      <c r="T49" s="21" t="str">
        <f t="shared" si="5"/>
        <v>FX|Curve|t1.2</v>
      </c>
      <c r="U49" s="20">
        <f t="shared" si="6"/>
        <v>15</v>
      </c>
      <c r="V49" s="20">
        <f>IF(OR(S49&lt;&gt;"Y",B49&lt;AsOf-365,B49&gt;AsOf),"",IF(COUNTIFS($T$6:T49,T49,$B$6:B49,B49,$S$6:S49,"Y")=1,1,0))</f>
        <v>1</v>
      </c>
    </row>
    <row r="50" spans="1:22" x14ac:dyDescent="0.35">
      <c r="A50" s="17" t="s">
        <v>756</v>
      </c>
      <c r="B50" s="18">
        <v>46126</v>
      </c>
      <c r="C50" s="19" t="s">
        <v>738</v>
      </c>
      <c r="D50" s="17" t="s">
        <v>327</v>
      </c>
      <c r="E50" s="17" t="s">
        <v>178</v>
      </c>
      <c r="F50" s="17" t="s">
        <v>710</v>
      </c>
      <c r="G50" s="17" t="s">
        <v>710</v>
      </c>
      <c r="H50" s="17" t="s">
        <v>710</v>
      </c>
      <c r="I50" s="19" t="s">
        <v>179</v>
      </c>
      <c r="J50" s="17">
        <v>1</v>
      </c>
      <c r="K50" s="20" t="str">
        <f t="shared" si="0"/>
        <v>A</v>
      </c>
      <c r="L50" s="20">
        <f t="shared" si="1"/>
        <v>2</v>
      </c>
      <c r="M50" s="19"/>
      <c r="N50" s="17"/>
      <c r="O50" s="20" t="str">
        <f t="shared" si="2"/>
        <v/>
      </c>
      <c r="P50" s="20" t="str">
        <f t="shared" si="3"/>
        <v/>
      </c>
      <c r="Q50" s="17"/>
      <c r="R50" s="20" t="str">
        <f t="shared" si="4"/>
        <v/>
      </c>
      <c r="S50" s="17" t="s">
        <v>711</v>
      </c>
      <c r="T50" s="21" t="str">
        <f t="shared" si="5"/>
        <v>FX|Curve|t1.2</v>
      </c>
      <c r="U50" s="20">
        <f t="shared" si="6"/>
        <v>15</v>
      </c>
      <c r="V50" s="20">
        <f>IF(OR(S50&lt;&gt;"Y",B50&lt;AsOf-365,B50&gt;AsOf),"",IF(COUNTIFS($T$6:T50,T50,$B$6:B50,B50,$S$6:S50,"Y")=1,1,0))</f>
        <v>1</v>
      </c>
    </row>
    <row r="51" spans="1:22" x14ac:dyDescent="0.35">
      <c r="A51" s="17" t="s">
        <v>757</v>
      </c>
      <c r="B51" s="18">
        <v>46141</v>
      </c>
      <c r="C51" s="19" t="s">
        <v>738</v>
      </c>
      <c r="D51" s="17" t="s">
        <v>327</v>
      </c>
      <c r="E51" s="17" t="s">
        <v>178</v>
      </c>
      <c r="F51" s="17" t="s">
        <v>710</v>
      </c>
      <c r="G51" s="17" t="s">
        <v>710</v>
      </c>
      <c r="H51" s="17" t="s">
        <v>710</v>
      </c>
      <c r="I51" s="19" t="s">
        <v>179</v>
      </c>
      <c r="J51" s="17">
        <v>1</v>
      </c>
      <c r="K51" s="20" t="str">
        <f t="shared" si="0"/>
        <v>A</v>
      </c>
      <c r="L51" s="20">
        <f t="shared" si="1"/>
        <v>2</v>
      </c>
      <c r="M51" s="19"/>
      <c r="N51" s="17"/>
      <c r="O51" s="20" t="str">
        <f t="shared" si="2"/>
        <v/>
      </c>
      <c r="P51" s="20" t="str">
        <f t="shared" si="3"/>
        <v/>
      </c>
      <c r="Q51" s="17"/>
      <c r="R51" s="20" t="str">
        <f t="shared" si="4"/>
        <v/>
      </c>
      <c r="S51" s="17" t="s">
        <v>711</v>
      </c>
      <c r="T51" s="21" t="str">
        <f t="shared" si="5"/>
        <v>FX|Curve|t1.2</v>
      </c>
      <c r="U51" s="20">
        <f t="shared" si="6"/>
        <v>15</v>
      </c>
      <c r="V51" s="20">
        <f>IF(OR(S51&lt;&gt;"Y",B51&lt;AsOf-365,B51&gt;AsOf),"",IF(COUNTIFS($T$6:T51,T51,$B$6:B51,B51,$S$6:S51,"Y")=1,1,0))</f>
        <v>1</v>
      </c>
    </row>
    <row r="52" spans="1:22" x14ac:dyDescent="0.35">
      <c r="A52" s="17" t="s">
        <v>758</v>
      </c>
      <c r="B52" s="18">
        <v>46156</v>
      </c>
      <c r="C52" s="19" t="s">
        <v>738</v>
      </c>
      <c r="D52" s="17" t="s">
        <v>327</v>
      </c>
      <c r="E52" s="17" t="s">
        <v>178</v>
      </c>
      <c r="F52" s="17" t="s">
        <v>710</v>
      </c>
      <c r="G52" s="17" t="s">
        <v>710</v>
      </c>
      <c r="H52" s="17" t="s">
        <v>710</v>
      </c>
      <c r="I52" s="19" t="s">
        <v>179</v>
      </c>
      <c r="J52" s="17">
        <v>1</v>
      </c>
      <c r="K52" s="20" t="str">
        <f t="shared" si="0"/>
        <v>A</v>
      </c>
      <c r="L52" s="20">
        <f t="shared" si="1"/>
        <v>2</v>
      </c>
      <c r="M52" s="19"/>
      <c r="N52" s="17"/>
      <c r="O52" s="20" t="str">
        <f t="shared" si="2"/>
        <v/>
      </c>
      <c r="P52" s="20" t="str">
        <f t="shared" si="3"/>
        <v/>
      </c>
      <c r="Q52" s="17"/>
      <c r="R52" s="20" t="str">
        <f t="shared" si="4"/>
        <v/>
      </c>
      <c r="S52" s="17" t="s">
        <v>711</v>
      </c>
      <c r="T52" s="21" t="str">
        <f t="shared" si="5"/>
        <v>FX|Curve|t1.2</v>
      </c>
      <c r="U52" s="20">
        <f t="shared" si="6"/>
        <v>15</v>
      </c>
      <c r="V52" s="20">
        <f>IF(OR(S52&lt;&gt;"Y",B52&lt;AsOf-365,B52&gt;AsOf),"",IF(COUNTIFS($T$6:T52,T52,$B$6:B52,B52,$S$6:S52,"Y")=1,1,0))</f>
        <v>1</v>
      </c>
    </row>
    <row r="53" spans="1:22" x14ac:dyDescent="0.35">
      <c r="A53" s="17" t="s">
        <v>759</v>
      </c>
      <c r="B53" s="18">
        <v>46171</v>
      </c>
      <c r="C53" s="19" t="s">
        <v>738</v>
      </c>
      <c r="D53" s="17" t="s">
        <v>327</v>
      </c>
      <c r="E53" s="17" t="s">
        <v>178</v>
      </c>
      <c r="F53" s="17" t="s">
        <v>710</v>
      </c>
      <c r="G53" s="17" t="s">
        <v>710</v>
      </c>
      <c r="H53" s="17" t="s">
        <v>710</v>
      </c>
      <c r="I53" s="19" t="s">
        <v>179</v>
      </c>
      <c r="J53" s="17">
        <v>1</v>
      </c>
      <c r="K53" s="20" t="str">
        <f t="shared" si="0"/>
        <v>A</v>
      </c>
      <c r="L53" s="20">
        <f t="shared" si="1"/>
        <v>2</v>
      </c>
      <c r="M53" s="19"/>
      <c r="N53" s="17"/>
      <c r="O53" s="20" t="str">
        <f t="shared" si="2"/>
        <v/>
      </c>
      <c r="P53" s="20" t="str">
        <f t="shared" si="3"/>
        <v/>
      </c>
      <c r="Q53" s="17"/>
      <c r="R53" s="20" t="str">
        <f t="shared" si="4"/>
        <v/>
      </c>
      <c r="S53" s="17" t="s">
        <v>711</v>
      </c>
      <c r="T53" s="21" t="str">
        <f t="shared" si="5"/>
        <v>FX|Curve|t1.2</v>
      </c>
      <c r="U53" s="20">
        <f t="shared" si="6"/>
        <v>15</v>
      </c>
      <c r="V53" s="20">
        <f>IF(OR(S53&lt;&gt;"Y",B53&lt;AsOf-365,B53&gt;AsOf),"",IF(COUNTIFS($T$6:T53,T53,$B$6:B53,B53,$S$6:S53,"Y")=1,1,0))</f>
        <v>1</v>
      </c>
    </row>
    <row r="54" spans="1:22" x14ac:dyDescent="0.35">
      <c r="A54" s="17" t="s">
        <v>760</v>
      </c>
      <c r="B54" s="18">
        <v>46186</v>
      </c>
      <c r="C54" s="19" t="s">
        <v>738</v>
      </c>
      <c r="D54" s="17" t="s">
        <v>327</v>
      </c>
      <c r="E54" s="17" t="s">
        <v>178</v>
      </c>
      <c r="F54" s="17" t="s">
        <v>710</v>
      </c>
      <c r="G54" s="17" t="s">
        <v>710</v>
      </c>
      <c r="H54" s="17" t="s">
        <v>710</v>
      </c>
      <c r="I54" s="19" t="s">
        <v>179</v>
      </c>
      <c r="J54" s="17">
        <v>1</v>
      </c>
      <c r="K54" s="20" t="str">
        <f t="shared" si="0"/>
        <v>A</v>
      </c>
      <c r="L54" s="20">
        <f t="shared" si="1"/>
        <v>2</v>
      </c>
      <c r="M54" s="19"/>
      <c r="N54" s="17"/>
      <c r="O54" s="20" t="str">
        <f t="shared" si="2"/>
        <v/>
      </c>
      <c r="P54" s="20" t="str">
        <f t="shared" si="3"/>
        <v/>
      </c>
      <c r="Q54" s="17"/>
      <c r="R54" s="20" t="str">
        <f t="shared" si="4"/>
        <v/>
      </c>
      <c r="S54" s="17" t="s">
        <v>711</v>
      </c>
      <c r="T54" s="21" t="str">
        <f t="shared" si="5"/>
        <v>FX|Curve|t1.2</v>
      </c>
      <c r="U54" s="20">
        <f t="shared" si="6"/>
        <v>15</v>
      </c>
      <c r="V54" s="20">
        <f>IF(OR(S54&lt;&gt;"Y",B54&lt;AsOf-365,B54&gt;AsOf),"",IF(COUNTIFS($T$6:T54,T54,$B$6:B54,B54,$S$6:S54,"Y")=1,1,0))</f>
        <v>1</v>
      </c>
    </row>
    <row r="55" spans="1:22" x14ac:dyDescent="0.35">
      <c r="A55" s="17" t="s">
        <v>761</v>
      </c>
      <c r="B55" s="18">
        <v>46201</v>
      </c>
      <c r="C55" s="19" t="s">
        <v>738</v>
      </c>
      <c r="D55" s="17" t="s">
        <v>327</v>
      </c>
      <c r="E55" s="17" t="s">
        <v>178</v>
      </c>
      <c r="F55" s="17" t="s">
        <v>710</v>
      </c>
      <c r="G55" s="17" t="s">
        <v>710</v>
      </c>
      <c r="H55" s="17" t="s">
        <v>710</v>
      </c>
      <c r="I55" s="19" t="s">
        <v>179</v>
      </c>
      <c r="J55" s="17">
        <v>1</v>
      </c>
      <c r="K55" s="20" t="str">
        <f t="shared" si="0"/>
        <v>A</v>
      </c>
      <c r="L55" s="20">
        <f t="shared" si="1"/>
        <v>2</v>
      </c>
      <c r="M55" s="19"/>
      <c r="N55" s="17"/>
      <c r="O55" s="20" t="str">
        <f t="shared" si="2"/>
        <v/>
      </c>
      <c r="P55" s="20" t="str">
        <f t="shared" si="3"/>
        <v/>
      </c>
      <c r="Q55" s="17"/>
      <c r="R55" s="20" t="str">
        <f t="shared" si="4"/>
        <v/>
      </c>
      <c r="S55" s="17" t="s">
        <v>711</v>
      </c>
      <c r="T55" s="21" t="str">
        <f t="shared" si="5"/>
        <v>FX|Curve|t1.2</v>
      </c>
      <c r="U55" s="20" t="str">
        <f t="shared" si="6"/>
        <v/>
      </c>
      <c r="V55" s="20">
        <f>IF(OR(S55&lt;&gt;"Y",B55&lt;AsOf-365,B55&gt;AsOf),"",IF(COUNTIFS($T$6:T55,T55,$B$6:B55,B55,$S$6:S55,"Y")=1,1,0))</f>
        <v>1</v>
      </c>
    </row>
    <row r="56" spans="1:22" x14ac:dyDescent="0.35">
      <c r="A56" s="17" t="s">
        <v>762</v>
      </c>
      <c r="B56" s="18">
        <v>45853</v>
      </c>
      <c r="C56" s="19" t="s">
        <v>763</v>
      </c>
      <c r="D56" s="17" t="s">
        <v>359</v>
      </c>
      <c r="E56" s="17" t="s">
        <v>201</v>
      </c>
      <c r="F56" s="17" t="s">
        <v>711</v>
      </c>
      <c r="G56" s="17" t="s">
        <v>710</v>
      </c>
      <c r="H56" s="17" t="s">
        <v>710</v>
      </c>
      <c r="I56" s="19" t="s">
        <v>764</v>
      </c>
      <c r="J56" s="17">
        <v>1</v>
      </c>
      <c r="K56" s="20" t="str">
        <f t="shared" si="0"/>
        <v>C</v>
      </c>
      <c r="L56" s="20">
        <f t="shared" si="1"/>
        <v>1</v>
      </c>
      <c r="M56" s="19"/>
      <c r="N56" s="17"/>
      <c r="O56" s="20" t="str">
        <f t="shared" si="2"/>
        <v/>
      </c>
      <c r="P56" s="20" t="str">
        <f t="shared" si="3"/>
        <v/>
      </c>
      <c r="Q56" s="17">
        <v>0.5</v>
      </c>
      <c r="R56" s="20">
        <f t="shared" si="4"/>
        <v>3</v>
      </c>
      <c r="S56" s="17" t="s">
        <v>711</v>
      </c>
      <c r="T56" s="21" t="str">
        <f t="shared" si="5"/>
        <v>Equity|Surface|t1.1|s.3</v>
      </c>
      <c r="U56" s="20">
        <f t="shared" si="6"/>
        <v>12</v>
      </c>
      <c r="V56" s="20">
        <f>IF(OR(S56&lt;&gt;"Y",B56&lt;AsOf-365,B56&gt;AsOf),"",IF(COUNTIFS($T$6:T56,T56,$B$6:B56,B56,$S$6:S56,"Y")=1,1,0))</f>
        <v>1</v>
      </c>
    </row>
    <row r="57" spans="1:22" x14ac:dyDescent="0.35">
      <c r="A57" s="17" t="s">
        <v>765</v>
      </c>
      <c r="B57" s="18">
        <v>45865</v>
      </c>
      <c r="C57" s="19" t="s">
        <v>763</v>
      </c>
      <c r="D57" s="17" t="s">
        <v>359</v>
      </c>
      <c r="E57" s="17" t="s">
        <v>201</v>
      </c>
      <c r="F57" s="17" t="s">
        <v>711</v>
      </c>
      <c r="G57" s="17" t="s">
        <v>710</v>
      </c>
      <c r="H57" s="17" t="s">
        <v>710</v>
      </c>
      <c r="I57" s="19" t="s">
        <v>764</v>
      </c>
      <c r="J57" s="17">
        <v>1</v>
      </c>
      <c r="K57" s="20" t="str">
        <f t="shared" si="0"/>
        <v>C</v>
      </c>
      <c r="L57" s="20">
        <f t="shared" si="1"/>
        <v>1</v>
      </c>
      <c r="M57" s="19"/>
      <c r="N57" s="17"/>
      <c r="O57" s="20" t="str">
        <f t="shared" si="2"/>
        <v/>
      </c>
      <c r="P57" s="20" t="str">
        <f t="shared" si="3"/>
        <v/>
      </c>
      <c r="Q57" s="17">
        <v>0.5</v>
      </c>
      <c r="R57" s="20">
        <f t="shared" si="4"/>
        <v>3</v>
      </c>
      <c r="S57" s="17" t="s">
        <v>711</v>
      </c>
      <c r="T57" s="21" t="str">
        <f t="shared" si="5"/>
        <v>Equity|Surface|t1.1|s.3</v>
      </c>
      <c r="U57" s="20">
        <f t="shared" si="6"/>
        <v>12</v>
      </c>
      <c r="V57" s="20">
        <f>IF(OR(S57&lt;&gt;"Y",B57&lt;AsOf-365,B57&gt;AsOf),"",IF(COUNTIFS($T$6:T57,T57,$B$6:B57,B57,$S$6:S57,"Y")=1,1,0))</f>
        <v>1</v>
      </c>
    </row>
    <row r="58" spans="1:22" x14ac:dyDescent="0.35">
      <c r="A58" s="17" t="s">
        <v>766</v>
      </c>
      <c r="B58" s="18">
        <v>45877</v>
      </c>
      <c r="C58" s="19" t="s">
        <v>763</v>
      </c>
      <c r="D58" s="17" t="s">
        <v>359</v>
      </c>
      <c r="E58" s="17" t="s">
        <v>201</v>
      </c>
      <c r="F58" s="17" t="s">
        <v>711</v>
      </c>
      <c r="G58" s="17" t="s">
        <v>710</v>
      </c>
      <c r="H58" s="17" t="s">
        <v>710</v>
      </c>
      <c r="I58" s="19" t="s">
        <v>764</v>
      </c>
      <c r="J58" s="17">
        <v>1</v>
      </c>
      <c r="K58" s="20" t="str">
        <f t="shared" si="0"/>
        <v>C</v>
      </c>
      <c r="L58" s="20">
        <f t="shared" si="1"/>
        <v>1</v>
      </c>
      <c r="M58" s="19"/>
      <c r="N58" s="17"/>
      <c r="O58" s="20" t="str">
        <f t="shared" si="2"/>
        <v/>
      </c>
      <c r="P58" s="20" t="str">
        <f t="shared" si="3"/>
        <v/>
      </c>
      <c r="Q58" s="17">
        <v>0.5</v>
      </c>
      <c r="R58" s="20">
        <f t="shared" si="4"/>
        <v>3</v>
      </c>
      <c r="S58" s="17" t="s">
        <v>711</v>
      </c>
      <c r="T58" s="21" t="str">
        <f t="shared" si="5"/>
        <v>Equity|Surface|t1.1|s.3</v>
      </c>
      <c r="U58" s="20">
        <f t="shared" si="6"/>
        <v>12</v>
      </c>
      <c r="V58" s="20">
        <f>IF(OR(S58&lt;&gt;"Y",B58&lt;AsOf-365,B58&gt;AsOf),"",IF(COUNTIFS($T$6:T58,T58,$B$6:B58,B58,$S$6:S58,"Y")=1,1,0))</f>
        <v>1</v>
      </c>
    </row>
    <row r="59" spans="1:22" x14ac:dyDescent="0.35">
      <c r="A59" s="17" t="s">
        <v>767</v>
      </c>
      <c r="B59" s="18">
        <v>45889</v>
      </c>
      <c r="C59" s="19" t="s">
        <v>763</v>
      </c>
      <c r="D59" s="17" t="s">
        <v>359</v>
      </c>
      <c r="E59" s="17" t="s">
        <v>201</v>
      </c>
      <c r="F59" s="17" t="s">
        <v>711</v>
      </c>
      <c r="G59" s="17" t="s">
        <v>710</v>
      </c>
      <c r="H59" s="17" t="s">
        <v>710</v>
      </c>
      <c r="I59" s="19" t="s">
        <v>764</v>
      </c>
      <c r="J59" s="17">
        <v>1</v>
      </c>
      <c r="K59" s="20" t="str">
        <f t="shared" si="0"/>
        <v>C</v>
      </c>
      <c r="L59" s="20">
        <f t="shared" si="1"/>
        <v>1</v>
      </c>
      <c r="M59" s="19"/>
      <c r="N59" s="17"/>
      <c r="O59" s="20" t="str">
        <f t="shared" si="2"/>
        <v/>
      </c>
      <c r="P59" s="20" t="str">
        <f t="shared" si="3"/>
        <v/>
      </c>
      <c r="Q59" s="17">
        <v>0.5</v>
      </c>
      <c r="R59" s="20">
        <f t="shared" si="4"/>
        <v>3</v>
      </c>
      <c r="S59" s="17" t="s">
        <v>711</v>
      </c>
      <c r="T59" s="21" t="str">
        <f t="shared" si="5"/>
        <v>Equity|Surface|t1.1|s.3</v>
      </c>
      <c r="U59" s="20">
        <f t="shared" si="6"/>
        <v>12</v>
      </c>
      <c r="V59" s="20">
        <f>IF(OR(S59&lt;&gt;"Y",B59&lt;AsOf-365,B59&gt;AsOf),"",IF(COUNTIFS($T$6:T59,T59,$B$6:B59,B59,$S$6:S59,"Y")=1,1,0))</f>
        <v>1</v>
      </c>
    </row>
    <row r="60" spans="1:22" x14ac:dyDescent="0.35">
      <c r="A60" s="17" t="s">
        <v>768</v>
      </c>
      <c r="B60" s="18">
        <v>45901</v>
      </c>
      <c r="C60" s="19" t="s">
        <v>763</v>
      </c>
      <c r="D60" s="17" t="s">
        <v>359</v>
      </c>
      <c r="E60" s="17" t="s">
        <v>201</v>
      </c>
      <c r="F60" s="17" t="s">
        <v>711</v>
      </c>
      <c r="G60" s="17" t="s">
        <v>710</v>
      </c>
      <c r="H60" s="17" t="s">
        <v>710</v>
      </c>
      <c r="I60" s="19" t="s">
        <v>764</v>
      </c>
      <c r="J60" s="17">
        <v>1</v>
      </c>
      <c r="K60" s="20" t="str">
        <f t="shared" si="0"/>
        <v>C</v>
      </c>
      <c r="L60" s="20">
        <f t="shared" si="1"/>
        <v>1</v>
      </c>
      <c r="M60" s="19"/>
      <c r="N60" s="17"/>
      <c r="O60" s="20" t="str">
        <f t="shared" si="2"/>
        <v/>
      </c>
      <c r="P60" s="20" t="str">
        <f t="shared" si="3"/>
        <v/>
      </c>
      <c r="Q60" s="17">
        <v>0.5</v>
      </c>
      <c r="R60" s="20">
        <f t="shared" si="4"/>
        <v>3</v>
      </c>
      <c r="S60" s="17" t="s">
        <v>711</v>
      </c>
      <c r="T60" s="21" t="str">
        <f t="shared" si="5"/>
        <v>Equity|Surface|t1.1|s.3</v>
      </c>
      <c r="U60" s="20">
        <f t="shared" si="6"/>
        <v>12</v>
      </c>
      <c r="V60" s="20">
        <f>IF(OR(S60&lt;&gt;"Y",B60&lt;AsOf-365,B60&gt;AsOf),"",IF(COUNTIFS($T$6:T60,T60,$B$6:B60,B60,$S$6:S60,"Y")=1,1,0))</f>
        <v>1</v>
      </c>
    </row>
    <row r="61" spans="1:22" x14ac:dyDescent="0.35">
      <c r="A61" s="17" t="s">
        <v>769</v>
      </c>
      <c r="B61" s="18">
        <v>45913</v>
      </c>
      <c r="C61" s="19" t="s">
        <v>763</v>
      </c>
      <c r="D61" s="17" t="s">
        <v>359</v>
      </c>
      <c r="E61" s="17" t="s">
        <v>201</v>
      </c>
      <c r="F61" s="17" t="s">
        <v>711</v>
      </c>
      <c r="G61" s="17" t="s">
        <v>710</v>
      </c>
      <c r="H61" s="17" t="s">
        <v>710</v>
      </c>
      <c r="I61" s="19" t="s">
        <v>764</v>
      </c>
      <c r="J61" s="17">
        <v>1</v>
      </c>
      <c r="K61" s="20" t="str">
        <f t="shared" si="0"/>
        <v>C</v>
      </c>
      <c r="L61" s="20">
        <f t="shared" si="1"/>
        <v>1</v>
      </c>
      <c r="M61" s="19"/>
      <c r="N61" s="17"/>
      <c r="O61" s="20" t="str">
        <f t="shared" si="2"/>
        <v/>
      </c>
      <c r="P61" s="20" t="str">
        <f t="shared" si="3"/>
        <v/>
      </c>
      <c r="Q61" s="17">
        <v>0.5</v>
      </c>
      <c r="R61" s="20">
        <f t="shared" si="4"/>
        <v>3</v>
      </c>
      <c r="S61" s="17" t="s">
        <v>711</v>
      </c>
      <c r="T61" s="21" t="str">
        <f t="shared" si="5"/>
        <v>Equity|Surface|t1.1|s.3</v>
      </c>
      <c r="U61" s="20">
        <f t="shared" si="6"/>
        <v>12</v>
      </c>
      <c r="V61" s="20">
        <f>IF(OR(S61&lt;&gt;"Y",B61&lt;AsOf-365,B61&gt;AsOf),"",IF(COUNTIFS($T$6:T61,T61,$B$6:B61,B61,$S$6:S61,"Y")=1,1,0))</f>
        <v>1</v>
      </c>
    </row>
    <row r="62" spans="1:22" x14ac:dyDescent="0.35">
      <c r="A62" s="17" t="s">
        <v>770</v>
      </c>
      <c r="B62" s="18">
        <v>45925</v>
      </c>
      <c r="C62" s="19" t="s">
        <v>763</v>
      </c>
      <c r="D62" s="17" t="s">
        <v>359</v>
      </c>
      <c r="E62" s="17" t="s">
        <v>201</v>
      </c>
      <c r="F62" s="17" t="s">
        <v>711</v>
      </c>
      <c r="G62" s="17" t="s">
        <v>710</v>
      </c>
      <c r="H62" s="17" t="s">
        <v>710</v>
      </c>
      <c r="I62" s="19" t="s">
        <v>764</v>
      </c>
      <c r="J62" s="17">
        <v>1</v>
      </c>
      <c r="K62" s="20" t="str">
        <f t="shared" si="0"/>
        <v>C</v>
      </c>
      <c r="L62" s="20">
        <f t="shared" si="1"/>
        <v>1</v>
      </c>
      <c r="M62" s="19"/>
      <c r="N62" s="17"/>
      <c r="O62" s="20" t="str">
        <f t="shared" si="2"/>
        <v/>
      </c>
      <c r="P62" s="20" t="str">
        <f t="shared" si="3"/>
        <v/>
      </c>
      <c r="Q62" s="17">
        <v>0.5</v>
      </c>
      <c r="R62" s="20">
        <f t="shared" si="4"/>
        <v>3</v>
      </c>
      <c r="S62" s="17" t="s">
        <v>711</v>
      </c>
      <c r="T62" s="21" t="str">
        <f t="shared" si="5"/>
        <v>Equity|Surface|t1.1|s.3</v>
      </c>
      <c r="U62" s="20">
        <f t="shared" si="6"/>
        <v>12</v>
      </c>
      <c r="V62" s="20">
        <f>IF(OR(S62&lt;&gt;"Y",B62&lt;AsOf-365,B62&gt;AsOf),"",IF(COUNTIFS($T$6:T62,T62,$B$6:B62,B62,$S$6:S62,"Y")=1,1,0))</f>
        <v>1</v>
      </c>
    </row>
    <row r="63" spans="1:22" x14ac:dyDescent="0.35">
      <c r="A63" s="17" t="s">
        <v>771</v>
      </c>
      <c r="B63" s="18">
        <v>45937</v>
      </c>
      <c r="C63" s="19" t="s">
        <v>763</v>
      </c>
      <c r="D63" s="17" t="s">
        <v>359</v>
      </c>
      <c r="E63" s="17" t="s">
        <v>201</v>
      </c>
      <c r="F63" s="17" t="s">
        <v>711</v>
      </c>
      <c r="G63" s="17" t="s">
        <v>710</v>
      </c>
      <c r="H63" s="17" t="s">
        <v>710</v>
      </c>
      <c r="I63" s="19" t="s">
        <v>764</v>
      </c>
      <c r="J63" s="17">
        <v>1</v>
      </c>
      <c r="K63" s="20" t="str">
        <f t="shared" si="0"/>
        <v>C</v>
      </c>
      <c r="L63" s="20">
        <f t="shared" si="1"/>
        <v>1</v>
      </c>
      <c r="M63" s="19"/>
      <c r="N63" s="17"/>
      <c r="O63" s="20" t="str">
        <f t="shared" si="2"/>
        <v/>
      </c>
      <c r="P63" s="20" t="str">
        <f t="shared" si="3"/>
        <v/>
      </c>
      <c r="Q63" s="17">
        <v>0.5</v>
      </c>
      <c r="R63" s="20">
        <f t="shared" si="4"/>
        <v>3</v>
      </c>
      <c r="S63" s="17" t="s">
        <v>711</v>
      </c>
      <c r="T63" s="21" t="str">
        <f t="shared" si="5"/>
        <v>Equity|Surface|t1.1|s.3</v>
      </c>
      <c r="U63" s="20">
        <f t="shared" si="6"/>
        <v>12</v>
      </c>
      <c r="V63" s="20">
        <f>IF(OR(S63&lt;&gt;"Y",B63&lt;AsOf-365,B63&gt;AsOf),"",IF(COUNTIFS($T$6:T63,T63,$B$6:B63,B63,$S$6:S63,"Y")=1,1,0))</f>
        <v>1</v>
      </c>
    </row>
    <row r="64" spans="1:22" x14ac:dyDescent="0.35">
      <c r="A64" s="17" t="s">
        <v>772</v>
      </c>
      <c r="B64" s="18">
        <v>45949</v>
      </c>
      <c r="C64" s="19" t="s">
        <v>763</v>
      </c>
      <c r="D64" s="17" t="s">
        <v>359</v>
      </c>
      <c r="E64" s="17" t="s">
        <v>201</v>
      </c>
      <c r="F64" s="17" t="s">
        <v>711</v>
      </c>
      <c r="G64" s="17" t="s">
        <v>710</v>
      </c>
      <c r="H64" s="17" t="s">
        <v>710</v>
      </c>
      <c r="I64" s="19" t="s">
        <v>764</v>
      </c>
      <c r="J64" s="17">
        <v>1</v>
      </c>
      <c r="K64" s="20" t="str">
        <f t="shared" si="0"/>
        <v>C</v>
      </c>
      <c r="L64" s="20">
        <f t="shared" si="1"/>
        <v>1</v>
      </c>
      <c r="M64" s="19"/>
      <c r="N64" s="17"/>
      <c r="O64" s="20" t="str">
        <f t="shared" si="2"/>
        <v/>
      </c>
      <c r="P64" s="20" t="str">
        <f t="shared" si="3"/>
        <v/>
      </c>
      <c r="Q64" s="17">
        <v>0.5</v>
      </c>
      <c r="R64" s="20">
        <f t="shared" si="4"/>
        <v>3</v>
      </c>
      <c r="S64" s="17" t="s">
        <v>711</v>
      </c>
      <c r="T64" s="21" t="str">
        <f t="shared" si="5"/>
        <v>Equity|Surface|t1.1|s.3</v>
      </c>
      <c r="U64" s="20">
        <f t="shared" si="6"/>
        <v>12</v>
      </c>
      <c r="V64" s="20">
        <f>IF(OR(S64&lt;&gt;"Y",B64&lt;AsOf-365,B64&gt;AsOf),"",IF(COUNTIFS($T$6:T64,T64,$B$6:B64,B64,$S$6:S64,"Y")=1,1,0))</f>
        <v>1</v>
      </c>
    </row>
    <row r="65" spans="1:22" x14ac:dyDescent="0.35">
      <c r="A65" s="17" t="s">
        <v>773</v>
      </c>
      <c r="B65" s="18">
        <v>45961</v>
      </c>
      <c r="C65" s="19" t="s">
        <v>763</v>
      </c>
      <c r="D65" s="17" t="s">
        <v>359</v>
      </c>
      <c r="E65" s="17" t="s">
        <v>201</v>
      </c>
      <c r="F65" s="17" t="s">
        <v>711</v>
      </c>
      <c r="G65" s="17" t="s">
        <v>710</v>
      </c>
      <c r="H65" s="17" t="s">
        <v>710</v>
      </c>
      <c r="I65" s="19" t="s">
        <v>764</v>
      </c>
      <c r="J65" s="17">
        <v>1</v>
      </c>
      <c r="K65" s="20" t="str">
        <f t="shared" si="0"/>
        <v>C</v>
      </c>
      <c r="L65" s="20">
        <f t="shared" si="1"/>
        <v>1</v>
      </c>
      <c r="M65" s="19"/>
      <c r="N65" s="17"/>
      <c r="O65" s="20" t="str">
        <f t="shared" si="2"/>
        <v/>
      </c>
      <c r="P65" s="20" t="str">
        <f t="shared" si="3"/>
        <v/>
      </c>
      <c r="Q65" s="17">
        <v>0.5</v>
      </c>
      <c r="R65" s="20">
        <f t="shared" si="4"/>
        <v>3</v>
      </c>
      <c r="S65" s="17" t="s">
        <v>711</v>
      </c>
      <c r="T65" s="21" t="str">
        <f t="shared" si="5"/>
        <v>Equity|Surface|t1.1|s.3</v>
      </c>
      <c r="U65" s="20">
        <f t="shared" si="6"/>
        <v>12</v>
      </c>
      <c r="V65" s="20">
        <f>IF(OR(S65&lt;&gt;"Y",B65&lt;AsOf-365,B65&gt;AsOf),"",IF(COUNTIFS($T$6:T65,T65,$B$6:B65,B65,$S$6:S65,"Y")=1,1,0))</f>
        <v>1</v>
      </c>
    </row>
    <row r="66" spans="1:22" x14ac:dyDescent="0.35">
      <c r="A66" s="17" t="s">
        <v>774</v>
      </c>
      <c r="B66" s="18">
        <v>45973</v>
      </c>
      <c r="C66" s="19" t="s">
        <v>763</v>
      </c>
      <c r="D66" s="17" t="s">
        <v>359</v>
      </c>
      <c r="E66" s="17" t="s">
        <v>201</v>
      </c>
      <c r="F66" s="17" t="s">
        <v>711</v>
      </c>
      <c r="G66" s="17" t="s">
        <v>710</v>
      </c>
      <c r="H66" s="17" t="s">
        <v>710</v>
      </c>
      <c r="I66" s="19" t="s">
        <v>764</v>
      </c>
      <c r="J66" s="17">
        <v>1</v>
      </c>
      <c r="K66" s="20" t="str">
        <f t="shared" si="0"/>
        <v>C</v>
      </c>
      <c r="L66" s="20">
        <f t="shared" si="1"/>
        <v>1</v>
      </c>
      <c r="M66" s="19"/>
      <c r="N66" s="17"/>
      <c r="O66" s="20" t="str">
        <f t="shared" si="2"/>
        <v/>
      </c>
      <c r="P66" s="20" t="str">
        <f t="shared" si="3"/>
        <v/>
      </c>
      <c r="Q66" s="17">
        <v>0.5</v>
      </c>
      <c r="R66" s="20">
        <f t="shared" si="4"/>
        <v>3</v>
      </c>
      <c r="S66" s="17" t="s">
        <v>711</v>
      </c>
      <c r="T66" s="21" t="str">
        <f t="shared" si="5"/>
        <v>Equity|Surface|t1.1|s.3</v>
      </c>
      <c r="U66" s="20">
        <f t="shared" si="6"/>
        <v>12</v>
      </c>
      <c r="V66" s="20">
        <f>IF(OR(S66&lt;&gt;"Y",B66&lt;AsOf-365,B66&gt;AsOf),"",IF(COUNTIFS($T$6:T66,T66,$B$6:B66,B66,$S$6:S66,"Y")=1,1,0))</f>
        <v>1</v>
      </c>
    </row>
    <row r="67" spans="1:22" x14ac:dyDescent="0.35">
      <c r="A67" s="17" t="s">
        <v>775</v>
      </c>
      <c r="B67" s="18">
        <v>45985</v>
      </c>
      <c r="C67" s="19" t="s">
        <v>763</v>
      </c>
      <c r="D67" s="17" t="s">
        <v>359</v>
      </c>
      <c r="E67" s="17" t="s">
        <v>201</v>
      </c>
      <c r="F67" s="17" t="s">
        <v>711</v>
      </c>
      <c r="G67" s="17" t="s">
        <v>710</v>
      </c>
      <c r="H67" s="17" t="s">
        <v>710</v>
      </c>
      <c r="I67" s="19" t="s">
        <v>764</v>
      </c>
      <c r="J67" s="17">
        <v>1</v>
      </c>
      <c r="K67" s="20" t="str">
        <f t="shared" si="0"/>
        <v>C</v>
      </c>
      <c r="L67" s="20">
        <f t="shared" si="1"/>
        <v>1</v>
      </c>
      <c r="M67" s="19"/>
      <c r="N67" s="17"/>
      <c r="O67" s="20" t="str">
        <f t="shared" si="2"/>
        <v/>
      </c>
      <c r="P67" s="20" t="str">
        <f t="shared" si="3"/>
        <v/>
      </c>
      <c r="Q67" s="17">
        <v>0.5</v>
      </c>
      <c r="R67" s="20">
        <f t="shared" si="4"/>
        <v>3</v>
      </c>
      <c r="S67" s="17" t="s">
        <v>711</v>
      </c>
      <c r="T67" s="21" t="str">
        <f t="shared" si="5"/>
        <v>Equity|Surface|t1.1|s.3</v>
      </c>
      <c r="U67" s="20">
        <f t="shared" si="6"/>
        <v>12</v>
      </c>
      <c r="V67" s="20">
        <f>IF(OR(S67&lt;&gt;"Y",B67&lt;AsOf-365,B67&gt;AsOf),"",IF(COUNTIFS($T$6:T67,T67,$B$6:B67,B67,$S$6:S67,"Y")=1,1,0))</f>
        <v>1</v>
      </c>
    </row>
    <row r="68" spans="1:22" x14ac:dyDescent="0.35">
      <c r="A68" s="17" t="s">
        <v>776</v>
      </c>
      <c r="B68" s="18">
        <v>45997</v>
      </c>
      <c r="C68" s="19" t="s">
        <v>763</v>
      </c>
      <c r="D68" s="17" t="s">
        <v>359</v>
      </c>
      <c r="E68" s="17" t="s">
        <v>201</v>
      </c>
      <c r="F68" s="17" t="s">
        <v>711</v>
      </c>
      <c r="G68" s="17" t="s">
        <v>710</v>
      </c>
      <c r="H68" s="17" t="s">
        <v>710</v>
      </c>
      <c r="I68" s="19" t="s">
        <v>764</v>
      </c>
      <c r="J68" s="17">
        <v>1</v>
      </c>
      <c r="K68" s="20" t="str">
        <f t="shared" si="0"/>
        <v>C</v>
      </c>
      <c r="L68" s="20">
        <f t="shared" si="1"/>
        <v>1</v>
      </c>
      <c r="M68" s="19"/>
      <c r="N68" s="17"/>
      <c r="O68" s="20" t="str">
        <f t="shared" si="2"/>
        <v/>
      </c>
      <c r="P68" s="20" t="str">
        <f t="shared" si="3"/>
        <v/>
      </c>
      <c r="Q68" s="17">
        <v>0.5</v>
      </c>
      <c r="R68" s="20">
        <f t="shared" si="4"/>
        <v>3</v>
      </c>
      <c r="S68" s="17" t="s">
        <v>711</v>
      </c>
      <c r="T68" s="21" t="str">
        <f t="shared" si="5"/>
        <v>Equity|Surface|t1.1|s.3</v>
      </c>
      <c r="U68" s="20">
        <f t="shared" si="6"/>
        <v>12</v>
      </c>
      <c r="V68" s="20">
        <f>IF(OR(S68&lt;&gt;"Y",B68&lt;AsOf-365,B68&gt;AsOf),"",IF(COUNTIFS($T$6:T68,T68,$B$6:B68,B68,$S$6:S68,"Y")=1,1,0))</f>
        <v>1</v>
      </c>
    </row>
    <row r="69" spans="1:22" x14ac:dyDescent="0.35">
      <c r="A69" s="17" t="s">
        <v>777</v>
      </c>
      <c r="B69" s="18">
        <v>46009</v>
      </c>
      <c r="C69" s="19" t="s">
        <v>763</v>
      </c>
      <c r="D69" s="17" t="s">
        <v>359</v>
      </c>
      <c r="E69" s="17" t="s">
        <v>201</v>
      </c>
      <c r="F69" s="17" t="s">
        <v>711</v>
      </c>
      <c r="G69" s="17" t="s">
        <v>710</v>
      </c>
      <c r="H69" s="17" t="s">
        <v>710</v>
      </c>
      <c r="I69" s="19" t="s">
        <v>764</v>
      </c>
      <c r="J69" s="17">
        <v>1</v>
      </c>
      <c r="K69" s="20" t="str">
        <f t="shared" si="0"/>
        <v>C</v>
      </c>
      <c r="L69" s="20">
        <f t="shared" si="1"/>
        <v>1</v>
      </c>
      <c r="M69" s="19"/>
      <c r="N69" s="17"/>
      <c r="O69" s="20" t="str">
        <f t="shared" si="2"/>
        <v/>
      </c>
      <c r="P69" s="20" t="str">
        <f t="shared" si="3"/>
        <v/>
      </c>
      <c r="Q69" s="17">
        <v>0.5</v>
      </c>
      <c r="R69" s="20">
        <f t="shared" si="4"/>
        <v>3</v>
      </c>
      <c r="S69" s="17" t="s">
        <v>711</v>
      </c>
      <c r="T69" s="21" t="str">
        <f t="shared" si="5"/>
        <v>Equity|Surface|t1.1|s.3</v>
      </c>
      <c r="U69" s="20">
        <f t="shared" si="6"/>
        <v>12</v>
      </c>
      <c r="V69" s="20">
        <f>IF(OR(S69&lt;&gt;"Y",B69&lt;AsOf-365,B69&gt;AsOf),"",IF(COUNTIFS($T$6:T69,T69,$B$6:B69,B69,$S$6:S69,"Y")=1,1,0))</f>
        <v>1</v>
      </c>
    </row>
    <row r="70" spans="1:22" x14ac:dyDescent="0.35">
      <c r="A70" s="17" t="s">
        <v>778</v>
      </c>
      <c r="B70" s="18">
        <v>46021</v>
      </c>
      <c r="C70" s="19" t="s">
        <v>763</v>
      </c>
      <c r="D70" s="17" t="s">
        <v>359</v>
      </c>
      <c r="E70" s="17" t="s">
        <v>201</v>
      </c>
      <c r="F70" s="17" t="s">
        <v>711</v>
      </c>
      <c r="G70" s="17" t="s">
        <v>710</v>
      </c>
      <c r="H70" s="17" t="s">
        <v>710</v>
      </c>
      <c r="I70" s="19" t="s">
        <v>764</v>
      </c>
      <c r="J70" s="17">
        <v>1</v>
      </c>
      <c r="K70" s="20" t="str">
        <f t="shared" ref="K70:K133" si="7">IF(F70="Y",IF(G70="Y","B","C"),IF(OR(D70="Credit",D70="Equity"),"C",IF(H70="Y","B","A")))</f>
        <v>C</v>
      </c>
      <c r="L70" s="20">
        <f t="shared" ref="L70:L133" si="8">IF(J70="","",IF(K70="A",MATCH(J70,RowA_low,1),IF(K70="B",MATCH(J70,RowB_low,1),IF(K70="C",MATCH(J70,RowC_low,1),""))))</f>
        <v>1</v>
      </c>
      <c r="M70" s="19"/>
      <c r="N70" s="17"/>
      <c r="O70" s="20" t="str">
        <f t="shared" ref="O70:O133" si="9">IF(N70="","","C")</f>
        <v/>
      </c>
      <c r="P70" s="20" t="str">
        <f t="shared" ref="P70:P133" si="10">IF(N70="","",MATCH(N70,RowC_low,1))</f>
        <v/>
      </c>
      <c r="Q70" s="17">
        <v>0.5</v>
      </c>
      <c r="R70" s="20">
        <f t="shared" ref="R70:R133" si="11">IF(Q70="","",MATCH(Q70,RowD_low,1))</f>
        <v>3</v>
      </c>
      <c r="S70" s="17" t="s">
        <v>711</v>
      </c>
      <c r="T70" s="21" t="str">
        <f t="shared" ref="T70:T133" si="12">IF(D70="","",D70&amp;"|"&amp;E70&amp;"|t1."&amp;IF(L70="","-",L70)&amp;IF(P70="","","|t2."&amp;P70)&amp;IF(R70="","","|s."&amp;R70))</f>
        <v>Equity|Surface|t1.1|s.3</v>
      </c>
      <c r="U70" s="20">
        <f t="shared" ref="U70:U133" si="13">IF(OR(S70&lt;&gt;"Y",B70&lt;AsOf-365,B70&gt;AsOf),"",IF(COUNTIFS($T$6:$T$405,T70,$S$6:$S$405,"Y",$B$6:$B$405,"&gt;"&amp;B70,$B$6:$B$405,"&lt;="&amp;AsOf)=0,"",_xlfn.MINIFS($B$6:$B$405,$T$6:$T$405,T70,$S$6:$S$405,"Y",$B$6:$B$405,"&gt;"&amp;B70,$B$6:$B$405,"&lt;="&amp;AsOf)-B70))</f>
        <v>12</v>
      </c>
      <c r="V70" s="20">
        <f>IF(OR(S70&lt;&gt;"Y",B70&lt;AsOf-365,B70&gt;AsOf),"",IF(COUNTIFS($T$6:T70,T70,$B$6:B70,B70,$S$6:S70,"Y")=1,1,0))</f>
        <v>1</v>
      </c>
    </row>
    <row r="71" spans="1:22" x14ac:dyDescent="0.35">
      <c r="A71" s="17" t="s">
        <v>779</v>
      </c>
      <c r="B71" s="18">
        <v>46033</v>
      </c>
      <c r="C71" s="19" t="s">
        <v>763</v>
      </c>
      <c r="D71" s="17" t="s">
        <v>359</v>
      </c>
      <c r="E71" s="17" t="s">
        <v>201</v>
      </c>
      <c r="F71" s="17" t="s">
        <v>711</v>
      </c>
      <c r="G71" s="17" t="s">
        <v>710</v>
      </c>
      <c r="H71" s="17" t="s">
        <v>710</v>
      </c>
      <c r="I71" s="19" t="s">
        <v>764</v>
      </c>
      <c r="J71" s="17">
        <v>1</v>
      </c>
      <c r="K71" s="20" t="str">
        <f t="shared" si="7"/>
        <v>C</v>
      </c>
      <c r="L71" s="20">
        <f t="shared" si="8"/>
        <v>1</v>
      </c>
      <c r="M71" s="19"/>
      <c r="N71" s="17"/>
      <c r="O71" s="20" t="str">
        <f t="shared" si="9"/>
        <v/>
      </c>
      <c r="P71" s="20" t="str">
        <f t="shared" si="10"/>
        <v/>
      </c>
      <c r="Q71" s="17">
        <v>0.5</v>
      </c>
      <c r="R71" s="20">
        <f t="shared" si="11"/>
        <v>3</v>
      </c>
      <c r="S71" s="17" t="s">
        <v>711</v>
      </c>
      <c r="T71" s="21" t="str">
        <f t="shared" si="12"/>
        <v>Equity|Surface|t1.1|s.3</v>
      </c>
      <c r="U71" s="20">
        <f t="shared" si="13"/>
        <v>12</v>
      </c>
      <c r="V71" s="20">
        <f>IF(OR(S71&lt;&gt;"Y",B71&lt;AsOf-365,B71&gt;AsOf),"",IF(COUNTIFS($T$6:T71,T71,$B$6:B71,B71,$S$6:S71,"Y")=1,1,0))</f>
        <v>1</v>
      </c>
    </row>
    <row r="72" spans="1:22" x14ac:dyDescent="0.35">
      <c r="A72" s="17" t="s">
        <v>780</v>
      </c>
      <c r="B72" s="18">
        <v>46045</v>
      </c>
      <c r="C72" s="19" t="s">
        <v>763</v>
      </c>
      <c r="D72" s="17" t="s">
        <v>359</v>
      </c>
      <c r="E72" s="17" t="s">
        <v>201</v>
      </c>
      <c r="F72" s="17" t="s">
        <v>711</v>
      </c>
      <c r="G72" s="17" t="s">
        <v>710</v>
      </c>
      <c r="H72" s="17" t="s">
        <v>710</v>
      </c>
      <c r="I72" s="19" t="s">
        <v>764</v>
      </c>
      <c r="J72" s="17">
        <v>1</v>
      </c>
      <c r="K72" s="20" t="str">
        <f t="shared" si="7"/>
        <v>C</v>
      </c>
      <c r="L72" s="20">
        <f t="shared" si="8"/>
        <v>1</v>
      </c>
      <c r="M72" s="19"/>
      <c r="N72" s="17"/>
      <c r="O72" s="20" t="str">
        <f t="shared" si="9"/>
        <v/>
      </c>
      <c r="P72" s="20" t="str">
        <f t="shared" si="10"/>
        <v/>
      </c>
      <c r="Q72" s="17">
        <v>0.5</v>
      </c>
      <c r="R72" s="20">
        <f t="shared" si="11"/>
        <v>3</v>
      </c>
      <c r="S72" s="17" t="s">
        <v>711</v>
      </c>
      <c r="T72" s="21" t="str">
        <f t="shared" si="12"/>
        <v>Equity|Surface|t1.1|s.3</v>
      </c>
      <c r="U72" s="20">
        <f t="shared" si="13"/>
        <v>12</v>
      </c>
      <c r="V72" s="20">
        <f>IF(OR(S72&lt;&gt;"Y",B72&lt;AsOf-365,B72&gt;AsOf),"",IF(COUNTIFS($T$6:T72,T72,$B$6:B72,B72,$S$6:S72,"Y")=1,1,0))</f>
        <v>1</v>
      </c>
    </row>
    <row r="73" spans="1:22" x14ac:dyDescent="0.35">
      <c r="A73" s="17" t="s">
        <v>781</v>
      </c>
      <c r="B73" s="18">
        <v>46057</v>
      </c>
      <c r="C73" s="19" t="s">
        <v>763</v>
      </c>
      <c r="D73" s="17" t="s">
        <v>359</v>
      </c>
      <c r="E73" s="17" t="s">
        <v>201</v>
      </c>
      <c r="F73" s="17" t="s">
        <v>711</v>
      </c>
      <c r="G73" s="17" t="s">
        <v>710</v>
      </c>
      <c r="H73" s="17" t="s">
        <v>710</v>
      </c>
      <c r="I73" s="19" t="s">
        <v>764</v>
      </c>
      <c r="J73" s="17">
        <v>1</v>
      </c>
      <c r="K73" s="20" t="str">
        <f t="shared" si="7"/>
        <v>C</v>
      </c>
      <c r="L73" s="20">
        <f t="shared" si="8"/>
        <v>1</v>
      </c>
      <c r="M73" s="19"/>
      <c r="N73" s="17"/>
      <c r="O73" s="20" t="str">
        <f t="shared" si="9"/>
        <v/>
      </c>
      <c r="P73" s="20" t="str">
        <f t="shared" si="10"/>
        <v/>
      </c>
      <c r="Q73" s="17">
        <v>0.5</v>
      </c>
      <c r="R73" s="20">
        <f t="shared" si="11"/>
        <v>3</v>
      </c>
      <c r="S73" s="17" t="s">
        <v>711</v>
      </c>
      <c r="T73" s="21" t="str">
        <f t="shared" si="12"/>
        <v>Equity|Surface|t1.1|s.3</v>
      </c>
      <c r="U73" s="20">
        <f t="shared" si="13"/>
        <v>12</v>
      </c>
      <c r="V73" s="20">
        <f>IF(OR(S73&lt;&gt;"Y",B73&lt;AsOf-365,B73&gt;AsOf),"",IF(COUNTIFS($T$6:T73,T73,$B$6:B73,B73,$S$6:S73,"Y")=1,1,0))</f>
        <v>1</v>
      </c>
    </row>
    <row r="74" spans="1:22" x14ac:dyDescent="0.35">
      <c r="A74" s="17" t="s">
        <v>782</v>
      </c>
      <c r="B74" s="18">
        <v>46069</v>
      </c>
      <c r="C74" s="19" t="s">
        <v>763</v>
      </c>
      <c r="D74" s="17" t="s">
        <v>359</v>
      </c>
      <c r="E74" s="17" t="s">
        <v>201</v>
      </c>
      <c r="F74" s="17" t="s">
        <v>711</v>
      </c>
      <c r="G74" s="17" t="s">
        <v>710</v>
      </c>
      <c r="H74" s="17" t="s">
        <v>710</v>
      </c>
      <c r="I74" s="19" t="s">
        <v>764</v>
      </c>
      <c r="J74" s="17">
        <v>1</v>
      </c>
      <c r="K74" s="20" t="str">
        <f t="shared" si="7"/>
        <v>C</v>
      </c>
      <c r="L74" s="20">
        <f t="shared" si="8"/>
        <v>1</v>
      </c>
      <c r="M74" s="19"/>
      <c r="N74" s="17"/>
      <c r="O74" s="20" t="str">
        <f t="shared" si="9"/>
        <v/>
      </c>
      <c r="P74" s="20" t="str">
        <f t="shared" si="10"/>
        <v/>
      </c>
      <c r="Q74" s="17">
        <v>0.5</v>
      </c>
      <c r="R74" s="20">
        <f t="shared" si="11"/>
        <v>3</v>
      </c>
      <c r="S74" s="17" t="s">
        <v>711</v>
      </c>
      <c r="T74" s="21" t="str">
        <f t="shared" si="12"/>
        <v>Equity|Surface|t1.1|s.3</v>
      </c>
      <c r="U74" s="20">
        <f t="shared" si="13"/>
        <v>12</v>
      </c>
      <c r="V74" s="20">
        <f>IF(OR(S74&lt;&gt;"Y",B74&lt;AsOf-365,B74&gt;AsOf),"",IF(COUNTIFS($T$6:T74,T74,$B$6:B74,B74,$S$6:S74,"Y")=1,1,0))</f>
        <v>1</v>
      </c>
    </row>
    <row r="75" spans="1:22" x14ac:dyDescent="0.35">
      <c r="A75" s="17" t="s">
        <v>783</v>
      </c>
      <c r="B75" s="18">
        <v>46081</v>
      </c>
      <c r="C75" s="19" t="s">
        <v>763</v>
      </c>
      <c r="D75" s="17" t="s">
        <v>359</v>
      </c>
      <c r="E75" s="17" t="s">
        <v>201</v>
      </c>
      <c r="F75" s="17" t="s">
        <v>711</v>
      </c>
      <c r="G75" s="17" t="s">
        <v>710</v>
      </c>
      <c r="H75" s="17" t="s">
        <v>710</v>
      </c>
      <c r="I75" s="19" t="s">
        <v>764</v>
      </c>
      <c r="J75" s="17">
        <v>1</v>
      </c>
      <c r="K75" s="20" t="str">
        <f t="shared" si="7"/>
        <v>C</v>
      </c>
      <c r="L75" s="20">
        <f t="shared" si="8"/>
        <v>1</v>
      </c>
      <c r="M75" s="19"/>
      <c r="N75" s="17"/>
      <c r="O75" s="20" t="str">
        <f t="shared" si="9"/>
        <v/>
      </c>
      <c r="P75" s="20" t="str">
        <f t="shared" si="10"/>
        <v/>
      </c>
      <c r="Q75" s="17">
        <v>0.5</v>
      </c>
      <c r="R75" s="20">
        <f t="shared" si="11"/>
        <v>3</v>
      </c>
      <c r="S75" s="17" t="s">
        <v>711</v>
      </c>
      <c r="T75" s="21" t="str">
        <f t="shared" si="12"/>
        <v>Equity|Surface|t1.1|s.3</v>
      </c>
      <c r="U75" s="20">
        <f t="shared" si="13"/>
        <v>12</v>
      </c>
      <c r="V75" s="20">
        <f>IF(OR(S75&lt;&gt;"Y",B75&lt;AsOf-365,B75&gt;AsOf),"",IF(COUNTIFS($T$6:T75,T75,$B$6:B75,B75,$S$6:S75,"Y")=1,1,0))</f>
        <v>1</v>
      </c>
    </row>
    <row r="76" spans="1:22" x14ac:dyDescent="0.35">
      <c r="A76" s="17" t="s">
        <v>784</v>
      </c>
      <c r="B76" s="18">
        <v>46093</v>
      </c>
      <c r="C76" s="19" t="s">
        <v>763</v>
      </c>
      <c r="D76" s="17" t="s">
        <v>359</v>
      </c>
      <c r="E76" s="17" t="s">
        <v>201</v>
      </c>
      <c r="F76" s="17" t="s">
        <v>711</v>
      </c>
      <c r="G76" s="17" t="s">
        <v>710</v>
      </c>
      <c r="H76" s="17" t="s">
        <v>710</v>
      </c>
      <c r="I76" s="19" t="s">
        <v>764</v>
      </c>
      <c r="J76" s="17">
        <v>1</v>
      </c>
      <c r="K76" s="20" t="str">
        <f t="shared" si="7"/>
        <v>C</v>
      </c>
      <c r="L76" s="20">
        <f t="shared" si="8"/>
        <v>1</v>
      </c>
      <c r="M76" s="19"/>
      <c r="N76" s="17"/>
      <c r="O76" s="20" t="str">
        <f t="shared" si="9"/>
        <v/>
      </c>
      <c r="P76" s="20" t="str">
        <f t="shared" si="10"/>
        <v/>
      </c>
      <c r="Q76" s="17">
        <v>0.5</v>
      </c>
      <c r="R76" s="20">
        <f t="shared" si="11"/>
        <v>3</v>
      </c>
      <c r="S76" s="17" t="s">
        <v>711</v>
      </c>
      <c r="T76" s="21" t="str">
        <f t="shared" si="12"/>
        <v>Equity|Surface|t1.1|s.3</v>
      </c>
      <c r="U76" s="20">
        <f t="shared" si="13"/>
        <v>12</v>
      </c>
      <c r="V76" s="20">
        <f>IF(OR(S76&lt;&gt;"Y",B76&lt;AsOf-365,B76&gt;AsOf),"",IF(COUNTIFS($T$6:T76,T76,$B$6:B76,B76,$S$6:S76,"Y")=1,1,0))</f>
        <v>1</v>
      </c>
    </row>
    <row r="77" spans="1:22" x14ac:dyDescent="0.35">
      <c r="A77" s="17" t="s">
        <v>785</v>
      </c>
      <c r="B77" s="18">
        <v>46105</v>
      </c>
      <c r="C77" s="19" t="s">
        <v>763</v>
      </c>
      <c r="D77" s="17" t="s">
        <v>359</v>
      </c>
      <c r="E77" s="17" t="s">
        <v>201</v>
      </c>
      <c r="F77" s="17" t="s">
        <v>711</v>
      </c>
      <c r="G77" s="17" t="s">
        <v>710</v>
      </c>
      <c r="H77" s="17" t="s">
        <v>710</v>
      </c>
      <c r="I77" s="19" t="s">
        <v>764</v>
      </c>
      <c r="J77" s="17">
        <v>1</v>
      </c>
      <c r="K77" s="20" t="str">
        <f t="shared" si="7"/>
        <v>C</v>
      </c>
      <c r="L77" s="20">
        <f t="shared" si="8"/>
        <v>1</v>
      </c>
      <c r="M77" s="19"/>
      <c r="N77" s="17"/>
      <c r="O77" s="20" t="str">
        <f t="shared" si="9"/>
        <v/>
      </c>
      <c r="P77" s="20" t="str">
        <f t="shared" si="10"/>
        <v/>
      </c>
      <c r="Q77" s="17">
        <v>0.5</v>
      </c>
      <c r="R77" s="20">
        <f t="shared" si="11"/>
        <v>3</v>
      </c>
      <c r="S77" s="17" t="s">
        <v>711</v>
      </c>
      <c r="T77" s="21" t="str">
        <f t="shared" si="12"/>
        <v>Equity|Surface|t1.1|s.3</v>
      </c>
      <c r="U77" s="20">
        <f t="shared" si="13"/>
        <v>12</v>
      </c>
      <c r="V77" s="20">
        <f>IF(OR(S77&lt;&gt;"Y",B77&lt;AsOf-365,B77&gt;AsOf),"",IF(COUNTIFS($T$6:T77,T77,$B$6:B77,B77,$S$6:S77,"Y")=1,1,0))</f>
        <v>1</v>
      </c>
    </row>
    <row r="78" spans="1:22" x14ac:dyDescent="0.35">
      <c r="A78" s="17" t="s">
        <v>786</v>
      </c>
      <c r="B78" s="18">
        <v>46117</v>
      </c>
      <c r="C78" s="19" t="s">
        <v>763</v>
      </c>
      <c r="D78" s="17" t="s">
        <v>359</v>
      </c>
      <c r="E78" s="17" t="s">
        <v>201</v>
      </c>
      <c r="F78" s="17" t="s">
        <v>711</v>
      </c>
      <c r="G78" s="17" t="s">
        <v>710</v>
      </c>
      <c r="H78" s="17" t="s">
        <v>710</v>
      </c>
      <c r="I78" s="19" t="s">
        <v>764</v>
      </c>
      <c r="J78" s="17">
        <v>1</v>
      </c>
      <c r="K78" s="20" t="str">
        <f t="shared" si="7"/>
        <v>C</v>
      </c>
      <c r="L78" s="20">
        <f t="shared" si="8"/>
        <v>1</v>
      </c>
      <c r="M78" s="19"/>
      <c r="N78" s="17"/>
      <c r="O78" s="20" t="str">
        <f t="shared" si="9"/>
        <v/>
      </c>
      <c r="P78" s="20" t="str">
        <f t="shared" si="10"/>
        <v/>
      </c>
      <c r="Q78" s="17">
        <v>0.5</v>
      </c>
      <c r="R78" s="20">
        <f t="shared" si="11"/>
        <v>3</v>
      </c>
      <c r="S78" s="17" t="s">
        <v>711</v>
      </c>
      <c r="T78" s="21" t="str">
        <f t="shared" si="12"/>
        <v>Equity|Surface|t1.1|s.3</v>
      </c>
      <c r="U78" s="20">
        <f t="shared" si="13"/>
        <v>12</v>
      </c>
      <c r="V78" s="20">
        <f>IF(OR(S78&lt;&gt;"Y",B78&lt;AsOf-365,B78&gt;AsOf),"",IF(COUNTIFS($T$6:T78,T78,$B$6:B78,B78,$S$6:S78,"Y")=1,1,0))</f>
        <v>1</v>
      </c>
    </row>
    <row r="79" spans="1:22" x14ac:dyDescent="0.35">
      <c r="A79" s="17" t="s">
        <v>787</v>
      </c>
      <c r="B79" s="18">
        <v>46129</v>
      </c>
      <c r="C79" s="19" t="s">
        <v>763</v>
      </c>
      <c r="D79" s="17" t="s">
        <v>359</v>
      </c>
      <c r="E79" s="17" t="s">
        <v>201</v>
      </c>
      <c r="F79" s="17" t="s">
        <v>711</v>
      </c>
      <c r="G79" s="17" t="s">
        <v>710</v>
      </c>
      <c r="H79" s="17" t="s">
        <v>710</v>
      </c>
      <c r="I79" s="19" t="s">
        <v>764</v>
      </c>
      <c r="J79" s="17">
        <v>1</v>
      </c>
      <c r="K79" s="20" t="str">
        <f t="shared" si="7"/>
        <v>C</v>
      </c>
      <c r="L79" s="20">
        <f t="shared" si="8"/>
        <v>1</v>
      </c>
      <c r="M79" s="19"/>
      <c r="N79" s="17"/>
      <c r="O79" s="20" t="str">
        <f t="shared" si="9"/>
        <v/>
      </c>
      <c r="P79" s="20" t="str">
        <f t="shared" si="10"/>
        <v/>
      </c>
      <c r="Q79" s="17">
        <v>0.5</v>
      </c>
      <c r="R79" s="20">
        <f t="shared" si="11"/>
        <v>3</v>
      </c>
      <c r="S79" s="17" t="s">
        <v>711</v>
      </c>
      <c r="T79" s="21" t="str">
        <f t="shared" si="12"/>
        <v>Equity|Surface|t1.1|s.3</v>
      </c>
      <c r="U79" s="20">
        <f t="shared" si="13"/>
        <v>12</v>
      </c>
      <c r="V79" s="20">
        <f>IF(OR(S79&lt;&gt;"Y",B79&lt;AsOf-365,B79&gt;AsOf),"",IF(COUNTIFS($T$6:T79,T79,$B$6:B79,B79,$S$6:S79,"Y")=1,1,0))</f>
        <v>1</v>
      </c>
    </row>
    <row r="80" spans="1:22" x14ac:dyDescent="0.35">
      <c r="A80" s="17" t="s">
        <v>788</v>
      </c>
      <c r="B80" s="18">
        <v>46141</v>
      </c>
      <c r="C80" s="19" t="s">
        <v>763</v>
      </c>
      <c r="D80" s="17" t="s">
        <v>359</v>
      </c>
      <c r="E80" s="17" t="s">
        <v>201</v>
      </c>
      <c r="F80" s="17" t="s">
        <v>711</v>
      </c>
      <c r="G80" s="17" t="s">
        <v>710</v>
      </c>
      <c r="H80" s="17" t="s">
        <v>710</v>
      </c>
      <c r="I80" s="19" t="s">
        <v>764</v>
      </c>
      <c r="J80" s="17">
        <v>1</v>
      </c>
      <c r="K80" s="20" t="str">
        <f t="shared" si="7"/>
        <v>C</v>
      </c>
      <c r="L80" s="20">
        <f t="shared" si="8"/>
        <v>1</v>
      </c>
      <c r="M80" s="19"/>
      <c r="N80" s="17"/>
      <c r="O80" s="20" t="str">
        <f t="shared" si="9"/>
        <v/>
      </c>
      <c r="P80" s="20" t="str">
        <f t="shared" si="10"/>
        <v/>
      </c>
      <c r="Q80" s="17">
        <v>0.5</v>
      </c>
      <c r="R80" s="20">
        <f t="shared" si="11"/>
        <v>3</v>
      </c>
      <c r="S80" s="17" t="s">
        <v>711</v>
      </c>
      <c r="T80" s="21" t="str">
        <f t="shared" si="12"/>
        <v>Equity|Surface|t1.1|s.3</v>
      </c>
      <c r="U80" s="20">
        <f t="shared" si="13"/>
        <v>12</v>
      </c>
      <c r="V80" s="20">
        <f>IF(OR(S80&lt;&gt;"Y",B80&lt;AsOf-365,B80&gt;AsOf),"",IF(COUNTIFS($T$6:T80,T80,$B$6:B80,B80,$S$6:S80,"Y")=1,1,0))</f>
        <v>1</v>
      </c>
    </row>
    <row r="81" spans="1:22" x14ac:dyDescent="0.35">
      <c r="A81" s="17" t="s">
        <v>789</v>
      </c>
      <c r="B81" s="18">
        <v>46153</v>
      </c>
      <c r="C81" s="19" t="s">
        <v>763</v>
      </c>
      <c r="D81" s="17" t="s">
        <v>359</v>
      </c>
      <c r="E81" s="17" t="s">
        <v>201</v>
      </c>
      <c r="F81" s="17" t="s">
        <v>711</v>
      </c>
      <c r="G81" s="17" t="s">
        <v>710</v>
      </c>
      <c r="H81" s="17" t="s">
        <v>710</v>
      </c>
      <c r="I81" s="19" t="s">
        <v>764</v>
      </c>
      <c r="J81" s="17">
        <v>1</v>
      </c>
      <c r="K81" s="20" t="str">
        <f t="shared" si="7"/>
        <v>C</v>
      </c>
      <c r="L81" s="20">
        <f t="shared" si="8"/>
        <v>1</v>
      </c>
      <c r="M81" s="19"/>
      <c r="N81" s="17"/>
      <c r="O81" s="20" t="str">
        <f t="shared" si="9"/>
        <v/>
      </c>
      <c r="P81" s="20" t="str">
        <f t="shared" si="10"/>
        <v/>
      </c>
      <c r="Q81" s="17">
        <v>0.5</v>
      </c>
      <c r="R81" s="20">
        <f t="shared" si="11"/>
        <v>3</v>
      </c>
      <c r="S81" s="17" t="s">
        <v>711</v>
      </c>
      <c r="T81" s="21" t="str">
        <f t="shared" si="12"/>
        <v>Equity|Surface|t1.1|s.3</v>
      </c>
      <c r="U81" s="20">
        <f t="shared" si="13"/>
        <v>12</v>
      </c>
      <c r="V81" s="20">
        <f>IF(OR(S81&lt;&gt;"Y",B81&lt;AsOf-365,B81&gt;AsOf),"",IF(COUNTIFS($T$6:T81,T81,$B$6:B81,B81,$S$6:S81,"Y")=1,1,0))</f>
        <v>1</v>
      </c>
    </row>
    <row r="82" spans="1:22" x14ac:dyDescent="0.35">
      <c r="A82" s="17" t="s">
        <v>790</v>
      </c>
      <c r="B82" s="18">
        <v>46165</v>
      </c>
      <c r="C82" s="19" t="s">
        <v>763</v>
      </c>
      <c r="D82" s="17" t="s">
        <v>359</v>
      </c>
      <c r="E82" s="17" t="s">
        <v>201</v>
      </c>
      <c r="F82" s="17" t="s">
        <v>711</v>
      </c>
      <c r="G82" s="17" t="s">
        <v>710</v>
      </c>
      <c r="H82" s="17" t="s">
        <v>710</v>
      </c>
      <c r="I82" s="19" t="s">
        <v>764</v>
      </c>
      <c r="J82" s="17">
        <v>1</v>
      </c>
      <c r="K82" s="20" t="str">
        <f t="shared" si="7"/>
        <v>C</v>
      </c>
      <c r="L82" s="20">
        <f t="shared" si="8"/>
        <v>1</v>
      </c>
      <c r="M82" s="19"/>
      <c r="N82" s="17"/>
      <c r="O82" s="20" t="str">
        <f t="shared" si="9"/>
        <v/>
      </c>
      <c r="P82" s="20" t="str">
        <f t="shared" si="10"/>
        <v/>
      </c>
      <c r="Q82" s="17">
        <v>0.5</v>
      </c>
      <c r="R82" s="20">
        <f t="shared" si="11"/>
        <v>3</v>
      </c>
      <c r="S82" s="17" t="s">
        <v>711</v>
      </c>
      <c r="T82" s="21" t="str">
        <f t="shared" si="12"/>
        <v>Equity|Surface|t1.1|s.3</v>
      </c>
      <c r="U82" s="20">
        <f t="shared" si="13"/>
        <v>12</v>
      </c>
      <c r="V82" s="20">
        <f>IF(OR(S82&lt;&gt;"Y",B82&lt;AsOf-365,B82&gt;AsOf),"",IF(COUNTIFS($T$6:T82,T82,$B$6:B82,B82,$S$6:S82,"Y")=1,1,0))</f>
        <v>1</v>
      </c>
    </row>
    <row r="83" spans="1:22" x14ac:dyDescent="0.35">
      <c r="A83" s="17" t="s">
        <v>791</v>
      </c>
      <c r="B83" s="18">
        <v>46177</v>
      </c>
      <c r="C83" s="19" t="s">
        <v>763</v>
      </c>
      <c r="D83" s="17" t="s">
        <v>359</v>
      </c>
      <c r="E83" s="17" t="s">
        <v>201</v>
      </c>
      <c r="F83" s="17" t="s">
        <v>711</v>
      </c>
      <c r="G83" s="17" t="s">
        <v>710</v>
      </c>
      <c r="H83" s="17" t="s">
        <v>710</v>
      </c>
      <c r="I83" s="19" t="s">
        <v>764</v>
      </c>
      <c r="J83" s="17">
        <v>1</v>
      </c>
      <c r="K83" s="20" t="str">
        <f t="shared" si="7"/>
        <v>C</v>
      </c>
      <c r="L83" s="20">
        <f t="shared" si="8"/>
        <v>1</v>
      </c>
      <c r="M83" s="19"/>
      <c r="N83" s="17"/>
      <c r="O83" s="20" t="str">
        <f t="shared" si="9"/>
        <v/>
      </c>
      <c r="P83" s="20" t="str">
        <f t="shared" si="10"/>
        <v/>
      </c>
      <c r="Q83" s="17">
        <v>0.5</v>
      </c>
      <c r="R83" s="20">
        <f t="shared" si="11"/>
        <v>3</v>
      </c>
      <c r="S83" s="17" t="s">
        <v>711</v>
      </c>
      <c r="T83" s="21" t="str">
        <f t="shared" si="12"/>
        <v>Equity|Surface|t1.1|s.3</v>
      </c>
      <c r="U83" s="20">
        <f t="shared" si="13"/>
        <v>12</v>
      </c>
      <c r="V83" s="20">
        <f>IF(OR(S83&lt;&gt;"Y",B83&lt;AsOf-365,B83&gt;AsOf),"",IF(COUNTIFS($T$6:T83,T83,$B$6:B83,B83,$S$6:S83,"Y")=1,1,0))</f>
        <v>1</v>
      </c>
    </row>
    <row r="84" spans="1:22" x14ac:dyDescent="0.35">
      <c r="A84" s="17" t="s">
        <v>792</v>
      </c>
      <c r="B84" s="18">
        <v>46189</v>
      </c>
      <c r="C84" s="19" t="s">
        <v>763</v>
      </c>
      <c r="D84" s="17" t="s">
        <v>359</v>
      </c>
      <c r="E84" s="17" t="s">
        <v>201</v>
      </c>
      <c r="F84" s="17" t="s">
        <v>711</v>
      </c>
      <c r="G84" s="17" t="s">
        <v>710</v>
      </c>
      <c r="H84" s="17" t="s">
        <v>710</v>
      </c>
      <c r="I84" s="19" t="s">
        <v>764</v>
      </c>
      <c r="J84" s="17">
        <v>1</v>
      </c>
      <c r="K84" s="20" t="str">
        <f t="shared" si="7"/>
        <v>C</v>
      </c>
      <c r="L84" s="20">
        <f t="shared" si="8"/>
        <v>1</v>
      </c>
      <c r="M84" s="19"/>
      <c r="N84" s="17"/>
      <c r="O84" s="20" t="str">
        <f t="shared" si="9"/>
        <v/>
      </c>
      <c r="P84" s="20" t="str">
        <f t="shared" si="10"/>
        <v/>
      </c>
      <c r="Q84" s="17">
        <v>0.5</v>
      </c>
      <c r="R84" s="20">
        <f t="shared" si="11"/>
        <v>3</v>
      </c>
      <c r="S84" s="17" t="s">
        <v>711</v>
      </c>
      <c r="T84" s="21" t="str">
        <f t="shared" si="12"/>
        <v>Equity|Surface|t1.1|s.3</v>
      </c>
      <c r="U84" s="20">
        <f t="shared" si="13"/>
        <v>12</v>
      </c>
      <c r="V84" s="20">
        <f>IF(OR(S84&lt;&gt;"Y",B84&lt;AsOf-365,B84&gt;AsOf),"",IF(COUNTIFS($T$6:T84,T84,$B$6:B84,B84,$S$6:S84,"Y")=1,1,0))</f>
        <v>1</v>
      </c>
    </row>
    <row r="85" spans="1:22" x14ac:dyDescent="0.35">
      <c r="A85" s="17" t="s">
        <v>793</v>
      </c>
      <c r="B85" s="18">
        <v>46201</v>
      </c>
      <c r="C85" s="19" t="s">
        <v>763</v>
      </c>
      <c r="D85" s="17" t="s">
        <v>359</v>
      </c>
      <c r="E85" s="17" t="s">
        <v>201</v>
      </c>
      <c r="F85" s="17" t="s">
        <v>711</v>
      </c>
      <c r="G85" s="17" t="s">
        <v>710</v>
      </c>
      <c r="H85" s="17" t="s">
        <v>710</v>
      </c>
      <c r="I85" s="19" t="s">
        <v>764</v>
      </c>
      <c r="J85" s="17">
        <v>1</v>
      </c>
      <c r="K85" s="20" t="str">
        <f t="shared" si="7"/>
        <v>C</v>
      </c>
      <c r="L85" s="20">
        <f t="shared" si="8"/>
        <v>1</v>
      </c>
      <c r="M85" s="19"/>
      <c r="N85" s="17"/>
      <c r="O85" s="20" t="str">
        <f t="shared" si="9"/>
        <v/>
      </c>
      <c r="P85" s="20" t="str">
        <f t="shared" si="10"/>
        <v/>
      </c>
      <c r="Q85" s="17">
        <v>0.5</v>
      </c>
      <c r="R85" s="20">
        <f t="shared" si="11"/>
        <v>3</v>
      </c>
      <c r="S85" s="17" t="s">
        <v>711</v>
      </c>
      <c r="T85" s="21" t="str">
        <f t="shared" si="12"/>
        <v>Equity|Surface|t1.1|s.3</v>
      </c>
      <c r="U85" s="20" t="str">
        <f t="shared" si="13"/>
        <v/>
      </c>
      <c r="V85" s="20">
        <f>IF(OR(S85&lt;&gt;"Y",B85&lt;AsOf-365,B85&gt;AsOf),"",IF(COUNTIFS($T$6:T85,T85,$B$6:B85,B85,$S$6:S85,"Y")=1,1,0))</f>
        <v>1</v>
      </c>
    </row>
    <row r="86" spans="1:22" x14ac:dyDescent="0.35">
      <c r="A86" s="17" t="s">
        <v>794</v>
      </c>
      <c r="B86" s="18">
        <v>45839</v>
      </c>
      <c r="C86" s="19" t="s">
        <v>795</v>
      </c>
      <c r="D86" s="17" t="s">
        <v>796</v>
      </c>
      <c r="E86" s="17" t="s">
        <v>178</v>
      </c>
      <c r="F86" s="17" t="s">
        <v>710</v>
      </c>
      <c r="G86" s="17" t="s">
        <v>710</v>
      </c>
      <c r="H86" s="17" t="s">
        <v>710</v>
      </c>
      <c r="I86" s="19" t="s">
        <v>179</v>
      </c>
      <c r="J86" s="17">
        <v>7</v>
      </c>
      <c r="K86" s="20" t="str">
        <f t="shared" si="7"/>
        <v>C</v>
      </c>
      <c r="L86" s="20">
        <f t="shared" si="8"/>
        <v>3</v>
      </c>
      <c r="M86" s="19"/>
      <c r="N86" s="17"/>
      <c r="O86" s="20" t="str">
        <f t="shared" si="9"/>
        <v/>
      </c>
      <c r="P86" s="20" t="str">
        <f t="shared" si="10"/>
        <v/>
      </c>
      <c r="Q86" s="17"/>
      <c r="R86" s="20" t="str">
        <f t="shared" si="11"/>
        <v/>
      </c>
      <c r="S86" s="17" t="s">
        <v>711</v>
      </c>
      <c r="T86" s="21" t="str">
        <f t="shared" si="12"/>
        <v>Credit|Curve|t1.3</v>
      </c>
      <c r="U86" s="20">
        <f t="shared" si="13"/>
        <v>14</v>
      </c>
      <c r="V86" s="20">
        <f>IF(OR(S86&lt;&gt;"Y",B86&lt;AsOf-365,B86&gt;AsOf),"",IF(COUNTIFS($T$6:T86,T86,$B$6:B86,B86,$S$6:S86,"Y")=1,1,0))</f>
        <v>1</v>
      </c>
    </row>
    <row r="87" spans="1:22" x14ac:dyDescent="0.35">
      <c r="A87" s="17" t="s">
        <v>797</v>
      </c>
      <c r="B87" s="18">
        <v>45853</v>
      </c>
      <c r="C87" s="19" t="s">
        <v>795</v>
      </c>
      <c r="D87" s="17" t="s">
        <v>796</v>
      </c>
      <c r="E87" s="17" t="s">
        <v>178</v>
      </c>
      <c r="F87" s="17" t="s">
        <v>710</v>
      </c>
      <c r="G87" s="17" t="s">
        <v>710</v>
      </c>
      <c r="H87" s="17" t="s">
        <v>710</v>
      </c>
      <c r="I87" s="19" t="s">
        <v>179</v>
      </c>
      <c r="J87" s="17">
        <v>7</v>
      </c>
      <c r="K87" s="20" t="str">
        <f t="shared" si="7"/>
        <v>C</v>
      </c>
      <c r="L87" s="20">
        <f t="shared" si="8"/>
        <v>3</v>
      </c>
      <c r="M87" s="19"/>
      <c r="N87" s="17"/>
      <c r="O87" s="20" t="str">
        <f t="shared" si="9"/>
        <v/>
      </c>
      <c r="P87" s="20" t="str">
        <f t="shared" si="10"/>
        <v/>
      </c>
      <c r="Q87" s="17"/>
      <c r="R87" s="20" t="str">
        <f t="shared" si="11"/>
        <v/>
      </c>
      <c r="S87" s="17" t="s">
        <v>711</v>
      </c>
      <c r="T87" s="21" t="str">
        <f t="shared" si="12"/>
        <v>Credit|Curve|t1.3</v>
      </c>
      <c r="U87" s="20">
        <f t="shared" si="13"/>
        <v>14</v>
      </c>
      <c r="V87" s="20">
        <f>IF(OR(S87&lt;&gt;"Y",B87&lt;AsOf-365,B87&gt;AsOf),"",IF(COUNTIFS($T$6:T87,T87,$B$6:B87,B87,$S$6:S87,"Y")=1,1,0))</f>
        <v>1</v>
      </c>
    </row>
    <row r="88" spans="1:22" x14ac:dyDescent="0.35">
      <c r="A88" s="17" t="s">
        <v>798</v>
      </c>
      <c r="B88" s="18">
        <v>45867</v>
      </c>
      <c r="C88" s="19" t="s">
        <v>795</v>
      </c>
      <c r="D88" s="17" t="s">
        <v>796</v>
      </c>
      <c r="E88" s="17" t="s">
        <v>178</v>
      </c>
      <c r="F88" s="17" t="s">
        <v>710</v>
      </c>
      <c r="G88" s="17" t="s">
        <v>710</v>
      </c>
      <c r="H88" s="17" t="s">
        <v>710</v>
      </c>
      <c r="I88" s="19" t="s">
        <v>179</v>
      </c>
      <c r="J88" s="17">
        <v>7</v>
      </c>
      <c r="K88" s="20" t="str">
        <f t="shared" si="7"/>
        <v>C</v>
      </c>
      <c r="L88" s="20">
        <f t="shared" si="8"/>
        <v>3</v>
      </c>
      <c r="M88" s="19"/>
      <c r="N88" s="17"/>
      <c r="O88" s="20" t="str">
        <f t="shared" si="9"/>
        <v/>
      </c>
      <c r="P88" s="20" t="str">
        <f t="shared" si="10"/>
        <v/>
      </c>
      <c r="Q88" s="17"/>
      <c r="R88" s="20" t="str">
        <f t="shared" si="11"/>
        <v/>
      </c>
      <c r="S88" s="17" t="s">
        <v>711</v>
      </c>
      <c r="T88" s="21" t="str">
        <f t="shared" si="12"/>
        <v>Credit|Curve|t1.3</v>
      </c>
      <c r="U88" s="20">
        <f t="shared" si="13"/>
        <v>14</v>
      </c>
      <c r="V88" s="20">
        <f>IF(OR(S88&lt;&gt;"Y",B88&lt;AsOf-365,B88&gt;AsOf),"",IF(COUNTIFS($T$6:T88,T88,$B$6:B88,B88,$S$6:S88,"Y")=1,1,0))</f>
        <v>1</v>
      </c>
    </row>
    <row r="89" spans="1:22" x14ac:dyDescent="0.35">
      <c r="A89" s="17" t="s">
        <v>799</v>
      </c>
      <c r="B89" s="18">
        <v>45881</v>
      </c>
      <c r="C89" s="19" t="s">
        <v>795</v>
      </c>
      <c r="D89" s="17" t="s">
        <v>796</v>
      </c>
      <c r="E89" s="17" t="s">
        <v>178</v>
      </c>
      <c r="F89" s="17" t="s">
        <v>710</v>
      </c>
      <c r="G89" s="17" t="s">
        <v>710</v>
      </c>
      <c r="H89" s="17" t="s">
        <v>710</v>
      </c>
      <c r="I89" s="19" t="s">
        <v>179</v>
      </c>
      <c r="J89" s="17">
        <v>7</v>
      </c>
      <c r="K89" s="20" t="str">
        <f t="shared" si="7"/>
        <v>C</v>
      </c>
      <c r="L89" s="20">
        <f t="shared" si="8"/>
        <v>3</v>
      </c>
      <c r="M89" s="19"/>
      <c r="N89" s="17"/>
      <c r="O89" s="20" t="str">
        <f t="shared" si="9"/>
        <v/>
      </c>
      <c r="P89" s="20" t="str">
        <f t="shared" si="10"/>
        <v/>
      </c>
      <c r="Q89" s="17"/>
      <c r="R89" s="20" t="str">
        <f t="shared" si="11"/>
        <v/>
      </c>
      <c r="S89" s="17" t="s">
        <v>711</v>
      </c>
      <c r="T89" s="21" t="str">
        <f t="shared" si="12"/>
        <v>Credit|Curve|t1.3</v>
      </c>
      <c r="U89" s="20">
        <f t="shared" si="13"/>
        <v>14</v>
      </c>
      <c r="V89" s="20">
        <f>IF(OR(S89&lt;&gt;"Y",B89&lt;AsOf-365,B89&gt;AsOf),"",IF(COUNTIFS($T$6:T89,T89,$B$6:B89,B89,$S$6:S89,"Y")=1,1,0))</f>
        <v>1</v>
      </c>
    </row>
    <row r="90" spans="1:22" x14ac:dyDescent="0.35">
      <c r="A90" s="17" t="s">
        <v>800</v>
      </c>
      <c r="B90" s="18">
        <v>45895</v>
      </c>
      <c r="C90" s="19" t="s">
        <v>795</v>
      </c>
      <c r="D90" s="17" t="s">
        <v>796</v>
      </c>
      <c r="E90" s="17" t="s">
        <v>178</v>
      </c>
      <c r="F90" s="17" t="s">
        <v>710</v>
      </c>
      <c r="G90" s="17" t="s">
        <v>710</v>
      </c>
      <c r="H90" s="17" t="s">
        <v>710</v>
      </c>
      <c r="I90" s="19" t="s">
        <v>179</v>
      </c>
      <c r="J90" s="17">
        <v>7</v>
      </c>
      <c r="K90" s="20" t="str">
        <f t="shared" si="7"/>
        <v>C</v>
      </c>
      <c r="L90" s="20">
        <f t="shared" si="8"/>
        <v>3</v>
      </c>
      <c r="M90" s="19"/>
      <c r="N90" s="17"/>
      <c r="O90" s="20" t="str">
        <f t="shared" si="9"/>
        <v/>
      </c>
      <c r="P90" s="20" t="str">
        <f t="shared" si="10"/>
        <v/>
      </c>
      <c r="Q90" s="17"/>
      <c r="R90" s="20" t="str">
        <f t="shared" si="11"/>
        <v/>
      </c>
      <c r="S90" s="17" t="s">
        <v>711</v>
      </c>
      <c r="T90" s="21" t="str">
        <f t="shared" si="12"/>
        <v>Credit|Curve|t1.3</v>
      </c>
      <c r="U90" s="20">
        <f t="shared" si="13"/>
        <v>14</v>
      </c>
      <c r="V90" s="20">
        <f>IF(OR(S90&lt;&gt;"Y",B90&lt;AsOf-365,B90&gt;AsOf),"",IF(COUNTIFS($T$6:T90,T90,$B$6:B90,B90,$S$6:S90,"Y")=1,1,0))</f>
        <v>1</v>
      </c>
    </row>
    <row r="91" spans="1:22" x14ac:dyDescent="0.35">
      <c r="A91" s="17" t="s">
        <v>801</v>
      </c>
      <c r="B91" s="18">
        <v>45909</v>
      </c>
      <c r="C91" s="19" t="s">
        <v>795</v>
      </c>
      <c r="D91" s="17" t="s">
        <v>796</v>
      </c>
      <c r="E91" s="17" t="s">
        <v>178</v>
      </c>
      <c r="F91" s="17" t="s">
        <v>710</v>
      </c>
      <c r="G91" s="17" t="s">
        <v>710</v>
      </c>
      <c r="H91" s="17" t="s">
        <v>710</v>
      </c>
      <c r="I91" s="19" t="s">
        <v>179</v>
      </c>
      <c r="J91" s="17">
        <v>7</v>
      </c>
      <c r="K91" s="20" t="str">
        <f t="shared" si="7"/>
        <v>C</v>
      </c>
      <c r="L91" s="20">
        <f t="shared" si="8"/>
        <v>3</v>
      </c>
      <c r="M91" s="19"/>
      <c r="N91" s="17"/>
      <c r="O91" s="20" t="str">
        <f t="shared" si="9"/>
        <v/>
      </c>
      <c r="P91" s="20" t="str">
        <f t="shared" si="10"/>
        <v/>
      </c>
      <c r="Q91" s="17"/>
      <c r="R91" s="20" t="str">
        <f t="shared" si="11"/>
        <v/>
      </c>
      <c r="S91" s="17" t="s">
        <v>711</v>
      </c>
      <c r="T91" s="21" t="str">
        <f t="shared" si="12"/>
        <v>Credit|Curve|t1.3</v>
      </c>
      <c r="U91" s="20">
        <f t="shared" si="13"/>
        <v>130</v>
      </c>
      <c r="V91" s="20">
        <f>IF(OR(S91&lt;&gt;"Y",B91&lt;AsOf-365,B91&gt;AsOf),"",IF(COUNTIFS($T$6:T91,T91,$B$6:B91,B91,$S$6:S91,"Y")=1,1,0))</f>
        <v>1</v>
      </c>
    </row>
    <row r="92" spans="1:22" x14ac:dyDescent="0.35">
      <c r="A92" s="17" t="s">
        <v>802</v>
      </c>
      <c r="B92" s="18">
        <v>46039</v>
      </c>
      <c r="C92" s="19" t="s">
        <v>795</v>
      </c>
      <c r="D92" s="17" t="s">
        <v>796</v>
      </c>
      <c r="E92" s="17" t="s">
        <v>178</v>
      </c>
      <c r="F92" s="17" t="s">
        <v>710</v>
      </c>
      <c r="G92" s="17" t="s">
        <v>710</v>
      </c>
      <c r="H92" s="17" t="s">
        <v>710</v>
      </c>
      <c r="I92" s="19" t="s">
        <v>179</v>
      </c>
      <c r="J92" s="17">
        <v>7</v>
      </c>
      <c r="K92" s="20" t="str">
        <f t="shared" si="7"/>
        <v>C</v>
      </c>
      <c r="L92" s="20">
        <f t="shared" si="8"/>
        <v>3</v>
      </c>
      <c r="M92" s="19"/>
      <c r="N92" s="17"/>
      <c r="O92" s="20" t="str">
        <f t="shared" si="9"/>
        <v/>
      </c>
      <c r="P92" s="20" t="str">
        <f t="shared" si="10"/>
        <v/>
      </c>
      <c r="Q92" s="17"/>
      <c r="R92" s="20" t="str">
        <f t="shared" si="11"/>
        <v/>
      </c>
      <c r="S92" s="17" t="s">
        <v>711</v>
      </c>
      <c r="T92" s="21" t="str">
        <f t="shared" si="12"/>
        <v>Credit|Curve|t1.3</v>
      </c>
      <c r="U92" s="20">
        <f t="shared" si="13"/>
        <v>14</v>
      </c>
      <c r="V92" s="20">
        <f>IF(OR(S92&lt;&gt;"Y",B92&lt;AsOf-365,B92&gt;AsOf),"",IF(COUNTIFS($T$6:T92,T92,$B$6:B92,B92,$S$6:S92,"Y")=1,1,0))</f>
        <v>1</v>
      </c>
    </row>
    <row r="93" spans="1:22" x14ac:dyDescent="0.35">
      <c r="A93" s="17" t="s">
        <v>803</v>
      </c>
      <c r="B93" s="18">
        <v>46053</v>
      </c>
      <c r="C93" s="19" t="s">
        <v>795</v>
      </c>
      <c r="D93" s="17" t="s">
        <v>796</v>
      </c>
      <c r="E93" s="17" t="s">
        <v>178</v>
      </c>
      <c r="F93" s="17" t="s">
        <v>710</v>
      </c>
      <c r="G93" s="17" t="s">
        <v>710</v>
      </c>
      <c r="H93" s="17" t="s">
        <v>710</v>
      </c>
      <c r="I93" s="19" t="s">
        <v>179</v>
      </c>
      <c r="J93" s="17">
        <v>7</v>
      </c>
      <c r="K93" s="20" t="str">
        <f t="shared" si="7"/>
        <v>C</v>
      </c>
      <c r="L93" s="20">
        <f t="shared" si="8"/>
        <v>3</v>
      </c>
      <c r="M93" s="19"/>
      <c r="N93" s="17"/>
      <c r="O93" s="20" t="str">
        <f t="shared" si="9"/>
        <v/>
      </c>
      <c r="P93" s="20" t="str">
        <f t="shared" si="10"/>
        <v/>
      </c>
      <c r="Q93" s="17"/>
      <c r="R93" s="20" t="str">
        <f t="shared" si="11"/>
        <v/>
      </c>
      <c r="S93" s="17" t="s">
        <v>711</v>
      </c>
      <c r="T93" s="21" t="str">
        <f t="shared" si="12"/>
        <v>Credit|Curve|t1.3</v>
      </c>
      <c r="U93" s="20">
        <f t="shared" si="13"/>
        <v>14</v>
      </c>
      <c r="V93" s="20">
        <f>IF(OR(S93&lt;&gt;"Y",B93&lt;AsOf-365,B93&gt;AsOf),"",IF(COUNTIFS($T$6:T93,T93,$B$6:B93,B93,$S$6:S93,"Y")=1,1,0))</f>
        <v>1</v>
      </c>
    </row>
    <row r="94" spans="1:22" x14ac:dyDescent="0.35">
      <c r="A94" s="17" t="s">
        <v>804</v>
      </c>
      <c r="B94" s="18">
        <v>46067</v>
      </c>
      <c r="C94" s="19" t="s">
        <v>795</v>
      </c>
      <c r="D94" s="17" t="s">
        <v>796</v>
      </c>
      <c r="E94" s="17" t="s">
        <v>178</v>
      </c>
      <c r="F94" s="17" t="s">
        <v>710</v>
      </c>
      <c r="G94" s="17" t="s">
        <v>710</v>
      </c>
      <c r="H94" s="17" t="s">
        <v>710</v>
      </c>
      <c r="I94" s="19" t="s">
        <v>179</v>
      </c>
      <c r="J94" s="17">
        <v>7</v>
      </c>
      <c r="K94" s="20" t="str">
        <f t="shared" si="7"/>
        <v>C</v>
      </c>
      <c r="L94" s="20">
        <f t="shared" si="8"/>
        <v>3</v>
      </c>
      <c r="M94" s="19"/>
      <c r="N94" s="17"/>
      <c r="O94" s="20" t="str">
        <f t="shared" si="9"/>
        <v/>
      </c>
      <c r="P94" s="20" t="str">
        <f t="shared" si="10"/>
        <v/>
      </c>
      <c r="Q94" s="17"/>
      <c r="R94" s="20" t="str">
        <f t="shared" si="11"/>
        <v/>
      </c>
      <c r="S94" s="17" t="s">
        <v>711</v>
      </c>
      <c r="T94" s="21" t="str">
        <f t="shared" si="12"/>
        <v>Credit|Curve|t1.3</v>
      </c>
      <c r="U94" s="20">
        <f t="shared" si="13"/>
        <v>14</v>
      </c>
      <c r="V94" s="20">
        <f>IF(OR(S94&lt;&gt;"Y",B94&lt;AsOf-365,B94&gt;AsOf),"",IF(COUNTIFS($T$6:T94,T94,$B$6:B94,B94,$S$6:S94,"Y")=1,1,0))</f>
        <v>1</v>
      </c>
    </row>
    <row r="95" spans="1:22" x14ac:dyDescent="0.35">
      <c r="A95" s="17" t="s">
        <v>805</v>
      </c>
      <c r="B95" s="18">
        <v>46081</v>
      </c>
      <c r="C95" s="19" t="s">
        <v>795</v>
      </c>
      <c r="D95" s="17" t="s">
        <v>796</v>
      </c>
      <c r="E95" s="17" t="s">
        <v>178</v>
      </c>
      <c r="F95" s="17" t="s">
        <v>710</v>
      </c>
      <c r="G95" s="17" t="s">
        <v>710</v>
      </c>
      <c r="H95" s="17" t="s">
        <v>710</v>
      </c>
      <c r="I95" s="19" t="s">
        <v>179</v>
      </c>
      <c r="J95" s="17">
        <v>7</v>
      </c>
      <c r="K95" s="20" t="str">
        <f t="shared" si="7"/>
        <v>C</v>
      </c>
      <c r="L95" s="20">
        <f t="shared" si="8"/>
        <v>3</v>
      </c>
      <c r="M95" s="19"/>
      <c r="N95" s="17"/>
      <c r="O95" s="20" t="str">
        <f t="shared" si="9"/>
        <v/>
      </c>
      <c r="P95" s="20" t="str">
        <f t="shared" si="10"/>
        <v/>
      </c>
      <c r="Q95" s="17"/>
      <c r="R95" s="20" t="str">
        <f t="shared" si="11"/>
        <v/>
      </c>
      <c r="S95" s="17" t="s">
        <v>711</v>
      </c>
      <c r="T95" s="21" t="str">
        <f t="shared" si="12"/>
        <v>Credit|Curve|t1.3</v>
      </c>
      <c r="U95" s="20">
        <f t="shared" si="13"/>
        <v>14</v>
      </c>
      <c r="V95" s="20">
        <f>IF(OR(S95&lt;&gt;"Y",B95&lt;AsOf-365,B95&gt;AsOf),"",IF(COUNTIFS($T$6:T95,T95,$B$6:B95,B95,$S$6:S95,"Y")=1,1,0))</f>
        <v>1</v>
      </c>
    </row>
    <row r="96" spans="1:22" x14ac:dyDescent="0.35">
      <c r="A96" s="17" t="s">
        <v>806</v>
      </c>
      <c r="B96" s="18">
        <v>46095</v>
      </c>
      <c r="C96" s="19" t="s">
        <v>795</v>
      </c>
      <c r="D96" s="17" t="s">
        <v>796</v>
      </c>
      <c r="E96" s="17" t="s">
        <v>178</v>
      </c>
      <c r="F96" s="17" t="s">
        <v>710</v>
      </c>
      <c r="G96" s="17" t="s">
        <v>710</v>
      </c>
      <c r="H96" s="17" t="s">
        <v>710</v>
      </c>
      <c r="I96" s="19" t="s">
        <v>179</v>
      </c>
      <c r="J96" s="17">
        <v>7</v>
      </c>
      <c r="K96" s="20" t="str">
        <f t="shared" si="7"/>
        <v>C</v>
      </c>
      <c r="L96" s="20">
        <f t="shared" si="8"/>
        <v>3</v>
      </c>
      <c r="M96" s="19"/>
      <c r="N96" s="17"/>
      <c r="O96" s="20" t="str">
        <f t="shared" si="9"/>
        <v/>
      </c>
      <c r="P96" s="20" t="str">
        <f t="shared" si="10"/>
        <v/>
      </c>
      <c r="Q96" s="17"/>
      <c r="R96" s="20" t="str">
        <f t="shared" si="11"/>
        <v/>
      </c>
      <c r="S96" s="17" t="s">
        <v>711</v>
      </c>
      <c r="T96" s="21" t="str">
        <f t="shared" si="12"/>
        <v>Credit|Curve|t1.3</v>
      </c>
      <c r="U96" s="20">
        <f t="shared" si="13"/>
        <v>14</v>
      </c>
      <c r="V96" s="20">
        <f>IF(OR(S96&lt;&gt;"Y",B96&lt;AsOf-365,B96&gt;AsOf),"",IF(COUNTIFS($T$6:T96,T96,$B$6:B96,B96,$S$6:S96,"Y")=1,1,0))</f>
        <v>1</v>
      </c>
    </row>
    <row r="97" spans="1:22" x14ac:dyDescent="0.35">
      <c r="A97" s="17" t="s">
        <v>807</v>
      </c>
      <c r="B97" s="18">
        <v>46109</v>
      </c>
      <c r="C97" s="19" t="s">
        <v>795</v>
      </c>
      <c r="D97" s="17" t="s">
        <v>796</v>
      </c>
      <c r="E97" s="17" t="s">
        <v>178</v>
      </c>
      <c r="F97" s="17" t="s">
        <v>710</v>
      </c>
      <c r="G97" s="17" t="s">
        <v>710</v>
      </c>
      <c r="H97" s="17" t="s">
        <v>710</v>
      </c>
      <c r="I97" s="19" t="s">
        <v>179</v>
      </c>
      <c r="J97" s="17">
        <v>7</v>
      </c>
      <c r="K97" s="20" t="str">
        <f t="shared" si="7"/>
        <v>C</v>
      </c>
      <c r="L97" s="20">
        <f t="shared" si="8"/>
        <v>3</v>
      </c>
      <c r="M97" s="19"/>
      <c r="N97" s="17"/>
      <c r="O97" s="20" t="str">
        <f t="shared" si="9"/>
        <v/>
      </c>
      <c r="P97" s="20" t="str">
        <f t="shared" si="10"/>
        <v/>
      </c>
      <c r="Q97" s="17"/>
      <c r="R97" s="20" t="str">
        <f t="shared" si="11"/>
        <v/>
      </c>
      <c r="S97" s="17" t="s">
        <v>711</v>
      </c>
      <c r="T97" s="21" t="str">
        <f t="shared" si="12"/>
        <v>Credit|Curve|t1.3</v>
      </c>
      <c r="U97" s="20" t="str">
        <f t="shared" si="13"/>
        <v/>
      </c>
      <c r="V97" s="20">
        <f>IF(OR(S97&lt;&gt;"Y",B97&lt;AsOf-365,B97&gt;AsOf),"",IF(COUNTIFS($T$6:T97,T97,$B$6:B97,B97,$S$6:S97,"Y")=1,1,0))</f>
        <v>1</v>
      </c>
    </row>
    <row r="98" spans="1:22" ht="29" customHeight="1" x14ac:dyDescent="0.35">
      <c r="A98" s="17" t="s">
        <v>808</v>
      </c>
      <c r="B98" s="18">
        <v>45886</v>
      </c>
      <c r="C98" s="19" t="s">
        <v>809</v>
      </c>
      <c r="D98" s="17" t="s">
        <v>709</v>
      </c>
      <c r="E98" s="17" t="s">
        <v>208</v>
      </c>
      <c r="F98" s="17" t="s">
        <v>711</v>
      </c>
      <c r="G98" s="17" t="s">
        <v>711</v>
      </c>
      <c r="H98" s="17" t="s">
        <v>710</v>
      </c>
      <c r="I98" s="19" t="s">
        <v>810</v>
      </c>
      <c r="J98" s="17">
        <v>10</v>
      </c>
      <c r="K98" s="20" t="str">
        <f t="shared" si="7"/>
        <v>B</v>
      </c>
      <c r="L98" s="20">
        <f t="shared" si="8"/>
        <v>4</v>
      </c>
      <c r="M98" s="19" t="s">
        <v>764</v>
      </c>
      <c r="N98" s="17">
        <v>2</v>
      </c>
      <c r="O98" s="20" t="str">
        <f t="shared" si="9"/>
        <v>C</v>
      </c>
      <c r="P98" s="20">
        <f t="shared" si="10"/>
        <v>2</v>
      </c>
      <c r="Q98" s="17">
        <v>0.5</v>
      </c>
      <c r="R98" s="20">
        <f t="shared" si="11"/>
        <v>3</v>
      </c>
      <c r="S98" s="17" t="s">
        <v>711</v>
      </c>
      <c r="T98" s="21" t="str">
        <f t="shared" si="12"/>
        <v>IR|Cube|t1.4|t2.2|s.3</v>
      </c>
      <c r="U98" s="20">
        <f t="shared" si="13"/>
        <v>45</v>
      </c>
      <c r="V98" s="20">
        <f>IF(OR(S98&lt;&gt;"Y",B98&lt;AsOf-365,B98&gt;AsOf),"",IF(COUNTIFS($T$6:T98,T98,$B$6:B98,B98,$S$6:S98,"Y")=1,1,0))</f>
        <v>1</v>
      </c>
    </row>
    <row r="99" spans="1:22" ht="29" customHeight="1" x14ac:dyDescent="0.35">
      <c r="A99" s="17" t="s">
        <v>811</v>
      </c>
      <c r="B99" s="18">
        <v>45931</v>
      </c>
      <c r="C99" s="19" t="s">
        <v>809</v>
      </c>
      <c r="D99" s="17" t="s">
        <v>709</v>
      </c>
      <c r="E99" s="17" t="s">
        <v>208</v>
      </c>
      <c r="F99" s="17" t="s">
        <v>711</v>
      </c>
      <c r="G99" s="17" t="s">
        <v>711</v>
      </c>
      <c r="H99" s="17" t="s">
        <v>710</v>
      </c>
      <c r="I99" s="19" t="s">
        <v>810</v>
      </c>
      <c r="J99" s="17">
        <v>10</v>
      </c>
      <c r="K99" s="20" t="str">
        <f t="shared" si="7"/>
        <v>B</v>
      </c>
      <c r="L99" s="20">
        <f t="shared" si="8"/>
        <v>4</v>
      </c>
      <c r="M99" s="19" t="s">
        <v>764</v>
      </c>
      <c r="N99" s="17">
        <v>2</v>
      </c>
      <c r="O99" s="20" t="str">
        <f t="shared" si="9"/>
        <v>C</v>
      </c>
      <c r="P99" s="20">
        <f t="shared" si="10"/>
        <v>2</v>
      </c>
      <c r="Q99" s="17">
        <v>0.5</v>
      </c>
      <c r="R99" s="20">
        <f t="shared" si="11"/>
        <v>3</v>
      </c>
      <c r="S99" s="17" t="s">
        <v>711</v>
      </c>
      <c r="T99" s="21" t="str">
        <f t="shared" si="12"/>
        <v>IR|Cube|t1.4|t2.2|s.3</v>
      </c>
      <c r="U99" s="20">
        <f t="shared" si="13"/>
        <v>45</v>
      </c>
      <c r="V99" s="20">
        <f>IF(OR(S99&lt;&gt;"Y",B99&lt;AsOf-365,B99&gt;AsOf),"",IF(COUNTIFS($T$6:T99,T99,$B$6:B99,B99,$S$6:S99,"Y")=1,1,0))</f>
        <v>1</v>
      </c>
    </row>
    <row r="100" spans="1:22" ht="29" customHeight="1" x14ac:dyDescent="0.35">
      <c r="A100" s="17" t="s">
        <v>812</v>
      </c>
      <c r="B100" s="18">
        <v>45976</v>
      </c>
      <c r="C100" s="19" t="s">
        <v>809</v>
      </c>
      <c r="D100" s="17" t="s">
        <v>709</v>
      </c>
      <c r="E100" s="17" t="s">
        <v>208</v>
      </c>
      <c r="F100" s="17" t="s">
        <v>711</v>
      </c>
      <c r="G100" s="17" t="s">
        <v>711</v>
      </c>
      <c r="H100" s="17" t="s">
        <v>710</v>
      </c>
      <c r="I100" s="19" t="s">
        <v>810</v>
      </c>
      <c r="J100" s="17">
        <v>10</v>
      </c>
      <c r="K100" s="20" t="str">
        <f t="shared" si="7"/>
        <v>B</v>
      </c>
      <c r="L100" s="20">
        <f t="shared" si="8"/>
        <v>4</v>
      </c>
      <c r="M100" s="19" t="s">
        <v>764</v>
      </c>
      <c r="N100" s="17">
        <v>2</v>
      </c>
      <c r="O100" s="20" t="str">
        <f t="shared" si="9"/>
        <v>C</v>
      </c>
      <c r="P100" s="20">
        <f t="shared" si="10"/>
        <v>2</v>
      </c>
      <c r="Q100" s="17">
        <v>0.5</v>
      </c>
      <c r="R100" s="20">
        <f t="shared" si="11"/>
        <v>3</v>
      </c>
      <c r="S100" s="17" t="s">
        <v>711</v>
      </c>
      <c r="T100" s="21" t="str">
        <f t="shared" si="12"/>
        <v>IR|Cube|t1.4|t2.2|s.3</v>
      </c>
      <c r="U100" s="20">
        <f t="shared" si="13"/>
        <v>45</v>
      </c>
      <c r="V100" s="20">
        <f>IF(OR(S100&lt;&gt;"Y",B100&lt;AsOf-365,B100&gt;AsOf),"",IF(COUNTIFS($T$6:T100,T100,$B$6:B100,B100,$S$6:S100,"Y")=1,1,0))</f>
        <v>1</v>
      </c>
    </row>
    <row r="101" spans="1:22" ht="29" customHeight="1" x14ac:dyDescent="0.35">
      <c r="A101" s="17" t="s">
        <v>813</v>
      </c>
      <c r="B101" s="18">
        <v>46021</v>
      </c>
      <c r="C101" s="19" t="s">
        <v>809</v>
      </c>
      <c r="D101" s="17" t="s">
        <v>709</v>
      </c>
      <c r="E101" s="17" t="s">
        <v>208</v>
      </c>
      <c r="F101" s="17" t="s">
        <v>711</v>
      </c>
      <c r="G101" s="17" t="s">
        <v>711</v>
      </c>
      <c r="H101" s="17" t="s">
        <v>710</v>
      </c>
      <c r="I101" s="19" t="s">
        <v>810</v>
      </c>
      <c r="J101" s="17">
        <v>10</v>
      </c>
      <c r="K101" s="20" t="str">
        <f t="shared" si="7"/>
        <v>B</v>
      </c>
      <c r="L101" s="20">
        <f t="shared" si="8"/>
        <v>4</v>
      </c>
      <c r="M101" s="19" t="s">
        <v>764</v>
      </c>
      <c r="N101" s="17">
        <v>2</v>
      </c>
      <c r="O101" s="20" t="str">
        <f t="shared" si="9"/>
        <v>C</v>
      </c>
      <c r="P101" s="20">
        <f t="shared" si="10"/>
        <v>2</v>
      </c>
      <c r="Q101" s="17">
        <v>0.5</v>
      </c>
      <c r="R101" s="20">
        <f t="shared" si="11"/>
        <v>3</v>
      </c>
      <c r="S101" s="17" t="s">
        <v>711</v>
      </c>
      <c r="T101" s="21" t="str">
        <f t="shared" si="12"/>
        <v>IR|Cube|t1.4|t2.2|s.3</v>
      </c>
      <c r="U101" s="20">
        <f t="shared" si="13"/>
        <v>45</v>
      </c>
      <c r="V101" s="20">
        <f>IF(OR(S101&lt;&gt;"Y",B101&lt;AsOf-365,B101&gt;AsOf),"",IF(COUNTIFS($T$6:T101,T101,$B$6:B101,B101,$S$6:S101,"Y")=1,1,0))</f>
        <v>1</v>
      </c>
    </row>
    <row r="102" spans="1:22" ht="29" customHeight="1" x14ac:dyDescent="0.35">
      <c r="A102" s="17" t="s">
        <v>814</v>
      </c>
      <c r="B102" s="18">
        <v>46066</v>
      </c>
      <c r="C102" s="19" t="s">
        <v>809</v>
      </c>
      <c r="D102" s="17" t="s">
        <v>709</v>
      </c>
      <c r="E102" s="17" t="s">
        <v>208</v>
      </c>
      <c r="F102" s="17" t="s">
        <v>711</v>
      </c>
      <c r="G102" s="17" t="s">
        <v>711</v>
      </c>
      <c r="H102" s="17" t="s">
        <v>710</v>
      </c>
      <c r="I102" s="19" t="s">
        <v>810</v>
      </c>
      <c r="J102" s="17">
        <v>10</v>
      </c>
      <c r="K102" s="20" t="str">
        <f t="shared" si="7"/>
        <v>B</v>
      </c>
      <c r="L102" s="20">
        <f t="shared" si="8"/>
        <v>4</v>
      </c>
      <c r="M102" s="19" t="s">
        <v>764</v>
      </c>
      <c r="N102" s="17">
        <v>2</v>
      </c>
      <c r="O102" s="20" t="str">
        <f t="shared" si="9"/>
        <v>C</v>
      </c>
      <c r="P102" s="20">
        <f t="shared" si="10"/>
        <v>2</v>
      </c>
      <c r="Q102" s="17">
        <v>0.5</v>
      </c>
      <c r="R102" s="20">
        <f t="shared" si="11"/>
        <v>3</v>
      </c>
      <c r="S102" s="17" t="s">
        <v>711</v>
      </c>
      <c r="T102" s="21" t="str">
        <f t="shared" si="12"/>
        <v>IR|Cube|t1.4|t2.2|s.3</v>
      </c>
      <c r="U102" s="20">
        <f t="shared" si="13"/>
        <v>45</v>
      </c>
      <c r="V102" s="20">
        <f>IF(OR(S102&lt;&gt;"Y",B102&lt;AsOf-365,B102&gt;AsOf),"",IF(COUNTIFS($T$6:T102,T102,$B$6:B102,B102,$S$6:S102,"Y")=1,1,0))</f>
        <v>1</v>
      </c>
    </row>
    <row r="103" spans="1:22" ht="29" customHeight="1" x14ac:dyDescent="0.35">
      <c r="A103" s="17" t="s">
        <v>815</v>
      </c>
      <c r="B103" s="18">
        <v>46111</v>
      </c>
      <c r="C103" s="19" t="s">
        <v>809</v>
      </c>
      <c r="D103" s="17" t="s">
        <v>709</v>
      </c>
      <c r="E103" s="17" t="s">
        <v>208</v>
      </c>
      <c r="F103" s="17" t="s">
        <v>711</v>
      </c>
      <c r="G103" s="17" t="s">
        <v>711</v>
      </c>
      <c r="H103" s="17" t="s">
        <v>710</v>
      </c>
      <c r="I103" s="19" t="s">
        <v>810</v>
      </c>
      <c r="J103" s="17">
        <v>10</v>
      </c>
      <c r="K103" s="20" t="str">
        <f t="shared" si="7"/>
        <v>B</v>
      </c>
      <c r="L103" s="20">
        <f t="shared" si="8"/>
        <v>4</v>
      </c>
      <c r="M103" s="19" t="s">
        <v>764</v>
      </c>
      <c r="N103" s="17">
        <v>2</v>
      </c>
      <c r="O103" s="20" t="str">
        <f t="shared" si="9"/>
        <v>C</v>
      </c>
      <c r="P103" s="20">
        <f t="shared" si="10"/>
        <v>2</v>
      </c>
      <c r="Q103" s="17">
        <v>0.5</v>
      </c>
      <c r="R103" s="20">
        <f t="shared" si="11"/>
        <v>3</v>
      </c>
      <c r="S103" s="17" t="s">
        <v>711</v>
      </c>
      <c r="T103" s="21" t="str">
        <f t="shared" si="12"/>
        <v>IR|Cube|t1.4|t2.2|s.3</v>
      </c>
      <c r="U103" s="20">
        <f t="shared" si="13"/>
        <v>45</v>
      </c>
      <c r="V103" s="20">
        <f>IF(OR(S103&lt;&gt;"Y",B103&lt;AsOf-365,B103&gt;AsOf),"",IF(COUNTIFS($T$6:T103,T103,$B$6:B103,B103,$S$6:S103,"Y")=1,1,0))</f>
        <v>1</v>
      </c>
    </row>
    <row r="104" spans="1:22" ht="29" customHeight="1" x14ac:dyDescent="0.35">
      <c r="A104" s="17" t="s">
        <v>816</v>
      </c>
      <c r="B104" s="18">
        <v>46156</v>
      </c>
      <c r="C104" s="19" t="s">
        <v>809</v>
      </c>
      <c r="D104" s="17" t="s">
        <v>709</v>
      </c>
      <c r="E104" s="17" t="s">
        <v>208</v>
      </c>
      <c r="F104" s="17" t="s">
        <v>711</v>
      </c>
      <c r="G104" s="17" t="s">
        <v>711</v>
      </c>
      <c r="H104" s="17" t="s">
        <v>710</v>
      </c>
      <c r="I104" s="19" t="s">
        <v>810</v>
      </c>
      <c r="J104" s="17">
        <v>10</v>
      </c>
      <c r="K104" s="20" t="str">
        <f t="shared" si="7"/>
        <v>B</v>
      </c>
      <c r="L104" s="20">
        <f t="shared" si="8"/>
        <v>4</v>
      </c>
      <c r="M104" s="19" t="s">
        <v>764</v>
      </c>
      <c r="N104" s="17">
        <v>2</v>
      </c>
      <c r="O104" s="20" t="str">
        <f t="shared" si="9"/>
        <v>C</v>
      </c>
      <c r="P104" s="20">
        <f t="shared" si="10"/>
        <v>2</v>
      </c>
      <c r="Q104" s="17">
        <v>0.5</v>
      </c>
      <c r="R104" s="20">
        <f t="shared" si="11"/>
        <v>3</v>
      </c>
      <c r="S104" s="17" t="s">
        <v>711</v>
      </c>
      <c r="T104" s="21" t="str">
        <f t="shared" si="12"/>
        <v>IR|Cube|t1.4|t2.2|s.3</v>
      </c>
      <c r="U104" s="20">
        <f t="shared" si="13"/>
        <v>45</v>
      </c>
      <c r="V104" s="20">
        <f>IF(OR(S104&lt;&gt;"Y",B104&lt;AsOf-365,B104&gt;AsOf),"",IF(COUNTIFS($T$6:T104,T104,$B$6:B104,B104,$S$6:S104,"Y")=1,1,0))</f>
        <v>1</v>
      </c>
    </row>
    <row r="105" spans="1:22" ht="29" customHeight="1" x14ac:dyDescent="0.35">
      <c r="A105" s="17" t="s">
        <v>817</v>
      </c>
      <c r="B105" s="18">
        <v>46201</v>
      </c>
      <c r="C105" s="19" t="s">
        <v>809</v>
      </c>
      <c r="D105" s="17" t="s">
        <v>709</v>
      </c>
      <c r="E105" s="17" t="s">
        <v>208</v>
      </c>
      <c r="F105" s="17" t="s">
        <v>711</v>
      </c>
      <c r="G105" s="17" t="s">
        <v>711</v>
      </c>
      <c r="H105" s="17" t="s">
        <v>710</v>
      </c>
      <c r="I105" s="19" t="s">
        <v>810</v>
      </c>
      <c r="J105" s="17">
        <v>10</v>
      </c>
      <c r="K105" s="20" t="str">
        <f t="shared" si="7"/>
        <v>B</v>
      </c>
      <c r="L105" s="20">
        <f t="shared" si="8"/>
        <v>4</v>
      </c>
      <c r="M105" s="19" t="s">
        <v>764</v>
      </c>
      <c r="N105" s="17">
        <v>2</v>
      </c>
      <c r="O105" s="20" t="str">
        <f t="shared" si="9"/>
        <v>C</v>
      </c>
      <c r="P105" s="20">
        <f t="shared" si="10"/>
        <v>2</v>
      </c>
      <c r="Q105" s="17">
        <v>0.5</v>
      </c>
      <c r="R105" s="20">
        <f t="shared" si="11"/>
        <v>3</v>
      </c>
      <c r="S105" s="17" t="s">
        <v>711</v>
      </c>
      <c r="T105" s="21" t="str">
        <f t="shared" si="12"/>
        <v>IR|Cube|t1.4|t2.2|s.3</v>
      </c>
      <c r="U105" s="20" t="str">
        <f t="shared" si="13"/>
        <v/>
      </c>
      <c r="V105" s="20">
        <f>IF(OR(S105&lt;&gt;"Y",B105&lt;AsOf-365,B105&gt;AsOf),"",IF(COUNTIFS($T$6:T105,T105,$B$6:B105,B105,$S$6:S105,"Y")=1,1,0))</f>
        <v>1</v>
      </c>
    </row>
    <row r="106" spans="1:22" x14ac:dyDescent="0.35">
      <c r="A106" s="17" t="s">
        <v>818</v>
      </c>
      <c r="B106" s="18">
        <v>45858</v>
      </c>
      <c r="C106" s="19" t="s">
        <v>819</v>
      </c>
      <c r="D106" s="17" t="s">
        <v>336</v>
      </c>
      <c r="E106" s="17" t="s">
        <v>178</v>
      </c>
      <c r="F106" s="17" t="s">
        <v>710</v>
      </c>
      <c r="G106" s="17" t="s">
        <v>710</v>
      </c>
      <c r="H106" s="17" t="s">
        <v>710</v>
      </c>
      <c r="I106" s="19" t="s">
        <v>179</v>
      </c>
      <c r="J106" s="17">
        <v>0.5</v>
      </c>
      <c r="K106" s="20" t="str">
        <f t="shared" si="7"/>
        <v>A</v>
      </c>
      <c r="L106" s="20">
        <f t="shared" si="8"/>
        <v>1</v>
      </c>
      <c r="M106" s="19"/>
      <c r="N106" s="17"/>
      <c r="O106" s="20" t="str">
        <f t="shared" si="9"/>
        <v/>
      </c>
      <c r="P106" s="20" t="str">
        <f t="shared" si="10"/>
        <v/>
      </c>
      <c r="Q106" s="17"/>
      <c r="R106" s="20" t="str">
        <f t="shared" si="11"/>
        <v/>
      </c>
      <c r="S106" s="17" t="s">
        <v>711</v>
      </c>
      <c r="T106" s="21" t="str">
        <f t="shared" si="12"/>
        <v>Commodity|Curve|t1.1</v>
      </c>
      <c r="U106" s="20">
        <f t="shared" si="13"/>
        <v>17</v>
      </c>
      <c r="V106" s="20">
        <f>IF(OR(S106&lt;&gt;"Y",B106&lt;AsOf-365,B106&gt;AsOf),"",IF(COUNTIFS($T$6:T106,T106,$B$6:B106,B106,$S$6:S106,"Y")=1,1,0))</f>
        <v>1</v>
      </c>
    </row>
    <row r="107" spans="1:22" x14ac:dyDescent="0.35">
      <c r="A107" s="17" t="s">
        <v>820</v>
      </c>
      <c r="B107" s="18">
        <v>45875</v>
      </c>
      <c r="C107" s="19" t="s">
        <v>819</v>
      </c>
      <c r="D107" s="17" t="s">
        <v>336</v>
      </c>
      <c r="E107" s="17" t="s">
        <v>178</v>
      </c>
      <c r="F107" s="17" t="s">
        <v>710</v>
      </c>
      <c r="G107" s="17" t="s">
        <v>710</v>
      </c>
      <c r="H107" s="17" t="s">
        <v>710</v>
      </c>
      <c r="I107" s="19" t="s">
        <v>179</v>
      </c>
      <c r="J107" s="17">
        <v>0.5</v>
      </c>
      <c r="K107" s="20" t="str">
        <f t="shared" si="7"/>
        <v>A</v>
      </c>
      <c r="L107" s="20">
        <f t="shared" si="8"/>
        <v>1</v>
      </c>
      <c r="M107" s="19"/>
      <c r="N107" s="17"/>
      <c r="O107" s="20" t="str">
        <f t="shared" si="9"/>
        <v/>
      </c>
      <c r="P107" s="20" t="str">
        <f t="shared" si="10"/>
        <v/>
      </c>
      <c r="Q107" s="17"/>
      <c r="R107" s="20" t="str">
        <f t="shared" si="11"/>
        <v/>
      </c>
      <c r="S107" s="17" t="s">
        <v>711</v>
      </c>
      <c r="T107" s="21" t="str">
        <f t="shared" si="12"/>
        <v>Commodity|Curve|t1.1</v>
      </c>
      <c r="U107" s="20">
        <f t="shared" si="13"/>
        <v>17</v>
      </c>
      <c r="V107" s="20">
        <f>IF(OR(S107&lt;&gt;"Y",B107&lt;AsOf-365,B107&gt;AsOf),"",IF(COUNTIFS($T$6:T107,T107,$B$6:B107,B107,$S$6:S107,"Y")=1,1,0))</f>
        <v>1</v>
      </c>
    </row>
    <row r="108" spans="1:22" x14ac:dyDescent="0.35">
      <c r="A108" s="17" t="s">
        <v>821</v>
      </c>
      <c r="B108" s="18">
        <v>45892</v>
      </c>
      <c r="C108" s="19" t="s">
        <v>819</v>
      </c>
      <c r="D108" s="17" t="s">
        <v>336</v>
      </c>
      <c r="E108" s="17" t="s">
        <v>178</v>
      </c>
      <c r="F108" s="17" t="s">
        <v>710</v>
      </c>
      <c r="G108" s="17" t="s">
        <v>710</v>
      </c>
      <c r="H108" s="17" t="s">
        <v>710</v>
      </c>
      <c r="I108" s="19" t="s">
        <v>179</v>
      </c>
      <c r="J108" s="17">
        <v>0.5</v>
      </c>
      <c r="K108" s="20" t="str">
        <f t="shared" si="7"/>
        <v>A</v>
      </c>
      <c r="L108" s="20">
        <f t="shared" si="8"/>
        <v>1</v>
      </c>
      <c r="M108" s="19"/>
      <c r="N108" s="17"/>
      <c r="O108" s="20" t="str">
        <f t="shared" si="9"/>
        <v/>
      </c>
      <c r="P108" s="20" t="str">
        <f t="shared" si="10"/>
        <v/>
      </c>
      <c r="Q108" s="17"/>
      <c r="R108" s="20" t="str">
        <f t="shared" si="11"/>
        <v/>
      </c>
      <c r="S108" s="17" t="s">
        <v>711</v>
      </c>
      <c r="T108" s="21" t="str">
        <f t="shared" si="12"/>
        <v>Commodity|Curve|t1.1</v>
      </c>
      <c r="U108" s="20">
        <f t="shared" si="13"/>
        <v>17</v>
      </c>
      <c r="V108" s="20">
        <f>IF(OR(S108&lt;&gt;"Y",B108&lt;AsOf-365,B108&gt;AsOf),"",IF(COUNTIFS($T$6:T108,T108,$B$6:B108,B108,$S$6:S108,"Y")=1,1,0))</f>
        <v>1</v>
      </c>
    </row>
    <row r="109" spans="1:22" x14ac:dyDescent="0.35">
      <c r="A109" s="17" t="s">
        <v>822</v>
      </c>
      <c r="B109" s="18">
        <v>45909</v>
      </c>
      <c r="C109" s="19" t="s">
        <v>819</v>
      </c>
      <c r="D109" s="17" t="s">
        <v>336</v>
      </c>
      <c r="E109" s="17" t="s">
        <v>178</v>
      </c>
      <c r="F109" s="17" t="s">
        <v>710</v>
      </c>
      <c r="G109" s="17" t="s">
        <v>710</v>
      </c>
      <c r="H109" s="17" t="s">
        <v>710</v>
      </c>
      <c r="I109" s="19" t="s">
        <v>179</v>
      </c>
      <c r="J109" s="17">
        <v>0.5</v>
      </c>
      <c r="K109" s="20" t="str">
        <f t="shared" si="7"/>
        <v>A</v>
      </c>
      <c r="L109" s="20">
        <f t="shared" si="8"/>
        <v>1</v>
      </c>
      <c r="M109" s="19"/>
      <c r="N109" s="17"/>
      <c r="O109" s="20" t="str">
        <f t="shared" si="9"/>
        <v/>
      </c>
      <c r="P109" s="20" t="str">
        <f t="shared" si="10"/>
        <v/>
      </c>
      <c r="Q109" s="17"/>
      <c r="R109" s="20" t="str">
        <f t="shared" si="11"/>
        <v/>
      </c>
      <c r="S109" s="17" t="s">
        <v>711</v>
      </c>
      <c r="T109" s="21" t="str">
        <f t="shared" si="12"/>
        <v>Commodity|Curve|t1.1</v>
      </c>
      <c r="U109" s="20">
        <f t="shared" si="13"/>
        <v>17</v>
      </c>
      <c r="V109" s="20">
        <f>IF(OR(S109&lt;&gt;"Y",B109&lt;AsOf-365,B109&gt;AsOf),"",IF(COUNTIFS($T$6:T109,T109,$B$6:B109,B109,$S$6:S109,"Y")=1,1,0))</f>
        <v>1</v>
      </c>
    </row>
    <row r="110" spans="1:22" x14ac:dyDescent="0.35">
      <c r="A110" s="17" t="s">
        <v>823</v>
      </c>
      <c r="B110" s="18">
        <v>45926</v>
      </c>
      <c r="C110" s="19" t="s">
        <v>819</v>
      </c>
      <c r="D110" s="17" t="s">
        <v>336</v>
      </c>
      <c r="E110" s="17" t="s">
        <v>178</v>
      </c>
      <c r="F110" s="17" t="s">
        <v>710</v>
      </c>
      <c r="G110" s="17" t="s">
        <v>710</v>
      </c>
      <c r="H110" s="17" t="s">
        <v>710</v>
      </c>
      <c r="I110" s="19" t="s">
        <v>179</v>
      </c>
      <c r="J110" s="17">
        <v>0.5</v>
      </c>
      <c r="K110" s="20" t="str">
        <f t="shared" si="7"/>
        <v>A</v>
      </c>
      <c r="L110" s="20">
        <f t="shared" si="8"/>
        <v>1</v>
      </c>
      <c r="M110" s="19"/>
      <c r="N110" s="17"/>
      <c r="O110" s="20" t="str">
        <f t="shared" si="9"/>
        <v/>
      </c>
      <c r="P110" s="20" t="str">
        <f t="shared" si="10"/>
        <v/>
      </c>
      <c r="Q110" s="17"/>
      <c r="R110" s="20" t="str">
        <f t="shared" si="11"/>
        <v/>
      </c>
      <c r="S110" s="17" t="s">
        <v>711</v>
      </c>
      <c r="T110" s="21" t="str">
        <f t="shared" si="12"/>
        <v>Commodity|Curve|t1.1</v>
      </c>
      <c r="U110" s="20">
        <f t="shared" si="13"/>
        <v>17</v>
      </c>
      <c r="V110" s="20">
        <f>IF(OR(S110&lt;&gt;"Y",B110&lt;AsOf-365,B110&gt;AsOf),"",IF(COUNTIFS($T$6:T110,T110,$B$6:B110,B110,$S$6:S110,"Y")=1,1,0))</f>
        <v>1</v>
      </c>
    </row>
    <row r="111" spans="1:22" x14ac:dyDescent="0.35">
      <c r="A111" s="17" t="s">
        <v>824</v>
      </c>
      <c r="B111" s="18">
        <v>45943</v>
      </c>
      <c r="C111" s="19" t="s">
        <v>819</v>
      </c>
      <c r="D111" s="17" t="s">
        <v>336</v>
      </c>
      <c r="E111" s="17" t="s">
        <v>178</v>
      </c>
      <c r="F111" s="17" t="s">
        <v>710</v>
      </c>
      <c r="G111" s="17" t="s">
        <v>710</v>
      </c>
      <c r="H111" s="17" t="s">
        <v>710</v>
      </c>
      <c r="I111" s="19" t="s">
        <v>179</v>
      </c>
      <c r="J111" s="17">
        <v>0.5</v>
      </c>
      <c r="K111" s="20" t="str">
        <f t="shared" si="7"/>
        <v>A</v>
      </c>
      <c r="L111" s="20">
        <f t="shared" si="8"/>
        <v>1</v>
      </c>
      <c r="M111" s="19"/>
      <c r="N111" s="17"/>
      <c r="O111" s="20" t="str">
        <f t="shared" si="9"/>
        <v/>
      </c>
      <c r="P111" s="20" t="str">
        <f t="shared" si="10"/>
        <v/>
      </c>
      <c r="Q111" s="17"/>
      <c r="R111" s="20" t="str">
        <f t="shared" si="11"/>
        <v/>
      </c>
      <c r="S111" s="17" t="s">
        <v>711</v>
      </c>
      <c r="T111" s="21" t="str">
        <f t="shared" si="12"/>
        <v>Commodity|Curve|t1.1</v>
      </c>
      <c r="U111" s="20">
        <f t="shared" si="13"/>
        <v>17</v>
      </c>
      <c r="V111" s="20">
        <f>IF(OR(S111&lt;&gt;"Y",B111&lt;AsOf-365,B111&gt;AsOf),"",IF(COUNTIFS($T$6:T111,T111,$B$6:B111,B111,$S$6:S111,"Y")=1,1,0))</f>
        <v>1</v>
      </c>
    </row>
    <row r="112" spans="1:22" x14ac:dyDescent="0.35">
      <c r="A112" s="17" t="s">
        <v>825</v>
      </c>
      <c r="B112" s="18">
        <v>45960</v>
      </c>
      <c r="C112" s="19" t="s">
        <v>819</v>
      </c>
      <c r="D112" s="17" t="s">
        <v>336</v>
      </c>
      <c r="E112" s="17" t="s">
        <v>178</v>
      </c>
      <c r="F112" s="17" t="s">
        <v>710</v>
      </c>
      <c r="G112" s="17" t="s">
        <v>710</v>
      </c>
      <c r="H112" s="17" t="s">
        <v>710</v>
      </c>
      <c r="I112" s="19" t="s">
        <v>179</v>
      </c>
      <c r="J112" s="17">
        <v>0.5</v>
      </c>
      <c r="K112" s="20" t="str">
        <f t="shared" si="7"/>
        <v>A</v>
      </c>
      <c r="L112" s="20">
        <f t="shared" si="8"/>
        <v>1</v>
      </c>
      <c r="M112" s="19"/>
      <c r="N112" s="17"/>
      <c r="O112" s="20" t="str">
        <f t="shared" si="9"/>
        <v/>
      </c>
      <c r="P112" s="20" t="str">
        <f t="shared" si="10"/>
        <v/>
      </c>
      <c r="Q112" s="17"/>
      <c r="R112" s="20" t="str">
        <f t="shared" si="11"/>
        <v/>
      </c>
      <c r="S112" s="17" t="s">
        <v>711</v>
      </c>
      <c r="T112" s="21" t="str">
        <f t="shared" si="12"/>
        <v>Commodity|Curve|t1.1</v>
      </c>
      <c r="U112" s="20">
        <f t="shared" si="13"/>
        <v>17</v>
      </c>
      <c r="V112" s="20">
        <f>IF(OR(S112&lt;&gt;"Y",B112&lt;AsOf-365,B112&gt;AsOf),"",IF(COUNTIFS($T$6:T112,T112,$B$6:B112,B112,$S$6:S112,"Y")=1,1,0))</f>
        <v>1</v>
      </c>
    </row>
    <row r="113" spans="1:22" x14ac:dyDescent="0.35">
      <c r="A113" s="17" t="s">
        <v>826</v>
      </c>
      <c r="B113" s="18">
        <v>45977</v>
      </c>
      <c r="C113" s="19" t="s">
        <v>819</v>
      </c>
      <c r="D113" s="17" t="s">
        <v>336</v>
      </c>
      <c r="E113" s="17" t="s">
        <v>178</v>
      </c>
      <c r="F113" s="17" t="s">
        <v>710</v>
      </c>
      <c r="G113" s="17" t="s">
        <v>710</v>
      </c>
      <c r="H113" s="17" t="s">
        <v>710</v>
      </c>
      <c r="I113" s="19" t="s">
        <v>179</v>
      </c>
      <c r="J113" s="17">
        <v>0.5</v>
      </c>
      <c r="K113" s="20" t="str">
        <f t="shared" si="7"/>
        <v>A</v>
      </c>
      <c r="L113" s="20">
        <f t="shared" si="8"/>
        <v>1</v>
      </c>
      <c r="M113" s="19"/>
      <c r="N113" s="17"/>
      <c r="O113" s="20" t="str">
        <f t="shared" si="9"/>
        <v/>
      </c>
      <c r="P113" s="20" t="str">
        <f t="shared" si="10"/>
        <v/>
      </c>
      <c r="Q113" s="17"/>
      <c r="R113" s="20" t="str">
        <f t="shared" si="11"/>
        <v/>
      </c>
      <c r="S113" s="17" t="s">
        <v>711</v>
      </c>
      <c r="T113" s="21" t="str">
        <f t="shared" si="12"/>
        <v>Commodity|Curve|t1.1</v>
      </c>
      <c r="U113" s="20">
        <f t="shared" si="13"/>
        <v>17</v>
      </c>
      <c r="V113" s="20">
        <f>IF(OR(S113&lt;&gt;"Y",B113&lt;AsOf-365,B113&gt;AsOf),"",IF(COUNTIFS($T$6:T113,T113,$B$6:B113,B113,$S$6:S113,"Y")=1,1,0))</f>
        <v>1</v>
      </c>
    </row>
    <row r="114" spans="1:22" x14ac:dyDescent="0.35">
      <c r="A114" s="17" t="s">
        <v>827</v>
      </c>
      <c r="B114" s="18">
        <v>45994</v>
      </c>
      <c r="C114" s="19" t="s">
        <v>819</v>
      </c>
      <c r="D114" s="17" t="s">
        <v>336</v>
      </c>
      <c r="E114" s="17" t="s">
        <v>178</v>
      </c>
      <c r="F114" s="17" t="s">
        <v>710</v>
      </c>
      <c r="G114" s="17" t="s">
        <v>710</v>
      </c>
      <c r="H114" s="17" t="s">
        <v>710</v>
      </c>
      <c r="I114" s="19" t="s">
        <v>179</v>
      </c>
      <c r="J114" s="17">
        <v>0.5</v>
      </c>
      <c r="K114" s="20" t="str">
        <f t="shared" si="7"/>
        <v>A</v>
      </c>
      <c r="L114" s="20">
        <f t="shared" si="8"/>
        <v>1</v>
      </c>
      <c r="M114" s="19"/>
      <c r="N114" s="17"/>
      <c r="O114" s="20" t="str">
        <f t="shared" si="9"/>
        <v/>
      </c>
      <c r="P114" s="20" t="str">
        <f t="shared" si="10"/>
        <v/>
      </c>
      <c r="Q114" s="17"/>
      <c r="R114" s="20" t="str">
        <f t="shared" si="11"/>
        <v/>
      </c>
      <c r="S114" s="17" t="s">
        <v>711</v>
      </c>
      <c r="T114" s="21" t="str">
        <f t="shared" si="12"/>
        <v>Commodity|Curve|t1.1</v>
      </c>
      <c r="U114" s="20">
        <f t="shared" si="13"/>
        <v>17</v>
      </c>
      <c r="V114" s="20">
        <f>IF(OR(S114&lt;&gt;"Y",B114&lt;AsOf-365,B114&gt;AsOf),"",IF(COUNTIFS($T$6:T114,T114,$B$6:B114,B114,$S$6:S114,"Y")=1,1,0))</f>
        <v>1</v>
      </c>
    </row>
    <row r="115" spans="1:22" x14ac:dyDescent="0.35">
      <c r="A115" s="17" t="s">
        <v>828</v>
      </c>
      <c r="B115" s="18">
        <v>46011</v>
      </c>
      <c r="C115" s="19" t="s">
        <v>819</v>
      </c>
      <c r="D115" s="17" t="s">
        <v>336</v>
      </c>
      <c r="E115" s="17" t="s">
        <v>178</v>
      </c>
      <c r="F115" s="17" t="s">
        <v>710</v>
      </c>
      <c r="G115" s="17" t="s">
        <v>710</v>
      </c>
      <c r="H115" s="17" t="s">
        <v>710</v>
      </c>
      <c r="I115" s="19" t="s">
        <v>179</v>
      </c>
      <c r="J115" s="17">
        <v>0.5</v>
      </c>
      <c r="K115" s="20" t="str">
        <f t="shared" si="7"/>
        <v>A</v>
      </c>
      <c r="L115" s="20">
        <f t="shared" si="8"/>
        <v>1</v>
      </c>
      <c r="M115" s="19"/>
      <c r="N115" s="17"/>
      <c r="O115" s="20" t="str">
        <f t="shared" si="9"/>
        <v/>
      </c>
      <c r="P115" s="20" t="str">
        <f t="shared" si="10"/>
        <v/>
      </c>
      <c r="Q115" s="17"/>
      <c r="R115" s="20" t="str">
        <f t="shared" si="11"/>
        <v/>
      </c>
      <c r="S115" s="17" t="s">
        <v>711</v>
      </c>
      <c r="T115" s="21" t="str">
        <f t="shared" si="12"/>
        <v>Commodity|Curve|t1.1</v>
      </c>
      <c r="U115" s="20">
        <f t="shared" si="13"/>
        <v>17</v>
      </c>
      <c r="V115" s="20">
        <f>IF(OR(S115&lt;&gt;"Y",B115&lt;AsOf-365,B115&gt;AsOf),"",IF(COUNTIFS($T$6:T115,T115,$B$6:B115,B115,$S$6:S115,"Y")=1,1,0))</f>
        <v>1</v>
      </c>
    </row>
    <row r="116" spans="1:22" x14ac:dyDescent="0.35">
      <c r="A116" s="17" t="s">
        <v>829</v>
      </c>
      <c r="B116" s="18">
        <v>46028</v>
      </c>
      <c r="C116" s="19" t="s">
        <v>819</v>
      </c>
      <c r="D116" s="17" t="s">
        <v>336</v>
      </c>
      <c r="E116" s="17" t="s">
        <v>178</v>
      </c>
      <c r="F116" s="17" t="s">
        <v>710</v>
      </c>
      <c r="G116" s="17" t="s">
        <v>710</v>
      </c>
      <c r="H116" s="17" t="s">
        <v>710</v>
      </c>
      <c r="I116" s="19" t="s">
        <v>179</v>
      </c>
      <c r="J116" s="17">
        <v>0.5</v>
      </c>
      <c r="K116" s="20" t="str">
        <f t="shared" si="7"/>
        <v>A</v>
      </c>
      <c r="L116" s="20">
        <f t="shared" si="8"/>
        <v>1</v>
      </c>
      <c r="M116" s="19"/>
      <c r="N116" s="17"/>
      <c r="O116" s="20" t="str">
        <f t="shared" si="9"/>
        <v/>
      </c>
      <c r="P116" s="20" t="str">
        <f t="shared" si="10"/>
        <v/>
      </c>
      <c r="Q116" s="17"/>
      <c r="R116" s="20" t="str">
        <f t="shared" si="11"/>
        <v/>
      </c>
      <c r="S116" s="17" t="s">
        <v>711</v>
      </c>
      <c r="T116" s="21" t="str">
        <f t="shared" si="12"/>
        <v>Commodity|Curve|t1.1</v>
      </c>
      <c r="U116" s="20">
        <f t="shared" si="13"/>
        <v>17</v>
      </c>
      <c r="V116" s="20">
        <f>IF(OR(S116&lt;&gt;"Y",B116&lt;AsOf-365,B116&gt;AsOf),"",IF(COUNTIFS($T$6:T116,T116,$B$6:B116,B116,$S$6:S116,"Y")=1,1,0))</f>
        <v>1</v>
      </c>
    </row>
    <row r="117" spans="1:22" x14ac:dyDescent="0.35">
      <c r="A117" s="17" t="s">
        <v>830</v>
      </c>
      <c r="B117" s="18">
        <v>46045</v>
      </c>
      <c r="C117" s="19" t="s">
        <v>819</v>
      </c>
      <c r="D117" s="17" t="s">
        <v>336</v>
      </c>
      <c r="E117" s="17" t="s">
        <v>178</v>
      </c>
      <c r="F117" s="17" t="s">
        <v>710</v>
      </c>
      <c r="G117" s="17" t="s">
        <v>710</v>
      </c>
      <c r="H117" s="17" t="s">
        <v>710</v>
      </c>
      <c r="I117" s="19" t="s">
        <v>179</v>
      </c>
      <c r="J117" s="17">
        <v>0.5</v>
      </c>
      <c r="K117" s="20" t="str">
        <f t="shared" si="7"/>
        <v>A</v>
      </c>
      <c r="L117" s="20">
        <f t="shared" si="8"/>
        <v>1</v>
      </c>
      <c r="M117" s="19"/>
      <c r="N117" s="17"/>
      <c r="O117" s="20" t="str">
        <f t="shared" si="9"/>
        <v/>
      </c>
      <c r="P117" s="20" t="str">
        <f t="shared" si="10"/>
        <v/>
      </c>
      <c r="Q117" s="17"/>
      <c r="R117" s="20" t="str">
        <f t="shared" si="11"/>
        <v/>
      </c>
      <c r="S117" s="17" t="s">
        <v>711</v>
      </c>
      <c r="T117" s="21" t="str">
        <f t="shared" si="12"/>
        <v>Commodity|Curve|t1.1</v>
      </c>
      <c r="U117" s="20">
        <f t="shared" si="13"/>
        <v>17</v>
      </c>
      <c r="V117" s="20">
        <f>IF(OR(S117&lt;&gt;"Y",B117&lt;AsOf-365,B117&gt;AsOf),"",IF(COUNTIFS($T$6:T117,T117,$B$6:B117,B117,$S$6:S117,"Y")=1,1,0))</f>
        <v>1</v>
      </c>
    </row>
    <row r="118" spans="1:22" x14ac:dyDescent="0.35">
      <c r="A118" s="17" t="s">
        <v>831</v>
      </c>
      <c r="B118" s="18">
        <v>46062</v>
      </c>
      <c r="C118" s="19" t="s">
        <v>819</v>
      </c>
      <c r="D118" s="17" t="s">
        <v>336</v>
      </c>
      <c r="E118" s="17" t="s">
        <v>178</v>
      </c>
      <c r="F118" s="17" t="s">
        <v>710</v>
      </c>
      <c r="G118" s="17" t="s">
        <v>710</v>
      </c>
      <c r="H118" s="17" t="s">
        <v>710</v>
      </c>
      <c r="I118" s="19" t="s">
        <v>179</v>
      </c>
      <c r="J118" s="17">
        <v>0.5</v>
      </c>
      <c r="K118" s="20" t="str">
        <f t="shared" si="7"/>
        <v>A</v>
      </c>
      <c r="L118" s="20">
        <f t="shared" si="8"/>
        <v>1</v>
      </c>
      <c r="M118" s="19"/>
      <c r="N118" s="17"/>
      <c r="O118" s="20" t="str">
        <f t="shared" si="9"/>
        <v/>
      </c>
      <c r="P118" s="20" t="str">
        <f t="shared" si="10"/>
        <v/>
      </c>
      <c r="Q118" s="17"/>
      <c r="R118" s="20" t="str">
        <f t="shared" si="11"/>
        <v/>
      </c>
      <c r="S118" s="17" t="s">
        <v>711</v>
      </c>
      <c r="T118" s="21" t="str">
        <f t="shared" si="12"/>
        <v>Commodity|Curve|t1.1</v>
      </c>
      <c r="U118" s="20">
        <f t="shared" si="13"/>
        <v>17</v>
      </c>
      <c r="V118" s="20">
        <f>IF(OR(S118&lt;&gt;"Y",B118&lt;AsOf-365,B118&gt;AsOf),"",IF(COUNTIFS($T$6:T118,T118,$B$6:B118,B118,$S$6:S118,"Y")=1,1,0))</f>
        <v>1</v>
      </c>
    </row>
    <row r="119" spans="1:22" x14ac:dyDescent="0.35">
      <c r="A119" s="17" t="s">
        <v>832</v>
      </c>
      <c r="B119" s="18">
        <v>46079</v>
      </c>
      <c r="C119" s="19" t="s">
        <v>819</v>
      </c>
      <c r="D119" s="17" t="s">
        <v>336</v>
      </c>
      <c r="E119" s="17" t="s">
        <v>178</v>
      </c>
      <c r="F119" s="17" t="s">
        <v>710</v>
      </c>
      <c r="G119" s="17" t="s">
        <v>710</v>
      </c>
      <c r="H119" s="17" t="s">
        <v>710</v>
      </c>
      <c r="I119" s="19" t="s">
        <v>179</v>
      </c>
      <c r="J119" s="17">
        <v>0.5</v>
      </c>
      <c r="K119" s="20" t="str">
        <f t="shared" si="7"/>
        <v>A</v>
      </c>
      <c r="L119" s="20">
        <f t="shared" si="8"/>
        <v>1</v>
      </c>
      <c r="M119" s="19"/>
      <c r="N119" s="17"/>
      <c r="O119" s="20" t="str">
        <f t="shared" si="9"/>
        <v/>
      </c>
      <c r="P119" s="20" t="str">
        <f t="shared" si="10"/>
        <v/>
      </c>
      <c r="Q119" s="17"/>
      <c r="R119" s="20" t="str">
        <f t="shared" si="11"/>
        <v/>
      </c>
      <c r="S119" s="17" t="s">
        <v>711</v>
      </c>
      <c r="T119" s="21" t="str">
        <f t="shared" si="12"/>
        <v>Commodity|Curve|t1.1</v>
      </c>
      <c r="U119" s="20">
        <f t="shared" si="13"/>
        <v>17</v>
      </c>
      <c r="V119" s="20">
        <f>IF(OR(S119&lt;&gt;"Y",B119&lt;AsOf-365,B119&gt;AsOf),"",IF(COUNTIFS($T$6:T119,T119,$B$6:B119,B119,$S$6:S119,"Y")=1,1,0))</f>
        <v>1</v>
      </c>
    </row>
    <row r="120" spans="1:22" x14ac:dyDescent="0.35">
      <c r="A120" s="17" t="s">
        <v>833</v>
      </c>
      <c r="B120" s="18">
        <v>46096</v>
      </c>
      <c r="C120" s="19" t="s">
        <v>819</v>
      </c>
      <c r="D120" s="17" t="s">
        <v>336</v>
      </c>
      <c r="E120" s="17" t="s">
        <v>178</v>
      </c>
      <c r="F120" s="17" t="s">
        <v>710</v>
      </c>
      <c r="G120" s="17" t="s">
        <v>710</v>
      </c>
      <c r="H120" s="17" t="s">
        <v>710</v>
      </c>
      <c r="I120" s="19" t="s">
        <v>179</v>
      </c>
      <c r="J120" s="17">
        <v>0.5</v>
      </c>
      <c r="K120" s="20" t="str">
        <f t="shared" si="7"/>
        <v>A</v>
      </c>
      <c r="L120" s="20">
        <f t="shared" si="8"/>
        <v>1</v>
      </c>
      <c r="M120" s="19"/>
      <c r="N120" s="17"/>
      <c r="O120" s="20" t="str">
        <f t="shared" si="9"/>
        <v/>
      </c>
      <c r="P120" s="20" t="str">
        <f t="shared" si="10"/>
        <v/>
      </c>
      <c r="Q120" s="17"/>
      <c r="R120" s="20" t="str">
        <f t="shared" si="11"/>
        <v/>
      </c>
      <c r="S120" s="17" t="s">
        <v>711</v>
      </c>
      <c r="T120" s="21" t="str">
        <f t="shared" si="12"/>
        <v>Commodity|Curve|t1.1</v>
      </c>
      <c r="U120" s="20">
        <f t="shared" si="13"/>
        <v>17</v>
      </c>
      <c r="V120" s="20">
        <f>IF(OR(S120&lt;&gt;"Y",B120&lt;AsOf-365,B120&gt;AsOf),"",IF(COUNTIFS($T$6:T120,T120,$B$6:B120,B120,$S$6:S120,"Y")=1,1,0))</f>
        <v>1</v>
      </c>
    </row>
    <row r="121" spans="1:22" x14ac:dyDescent="0.35">
      <c r="A121" s="17" t="s">
        <v>834</v>
      </c>
      <c r="B121" s="18">
        <v>46113</v>
      </c>
      <c r="C121" s="19" t="s">
        <v>819</v>
      </c>
      <c r="D121" s="17" t="s">
        <v>336</v>
      </c>
      <c r="E121" s="17" t="s">
        <v>178</v>
      </c>
      <c r="F121" s="17" t="s">
        <v>710</v>
      </c>
      <c r="G121" s="17" t="s">
        <v>710</v>
      </c>
      <c r="H121" s="17" t="s">
        <v>710</v>
      </c>
      <c r="I121" s="19" t="s">
        <v>179</v>
      </c>
      <c r="J121" s="17">
        <v>0.5</v>
      </c>
      <c r="K121" s="20" t="str">
        <f t="shared" si="7"/>
        <v>A</v>
      </c>
      <c r="L121" s="20">
        <f t="shared" si="8"/>
        <v>1</v>
      </c>
      <c r="M121" s="19"/>
      <c r="N121" s="17"/>
      <c r="O121" s="20" t="str">
        <f t="shared" si="9"/>
        <v/>
      </c>
      <c r="P121" s="20" t="str">
        <f t="shared" si="10"/>
        <v/>
      </c>
      <c r="Q121" s="17"/>
      <c r="R121" s="20" t="str">
        <f t="shared" si="11"/>
        <v/>
      </c>
      <c r="S121" s="17" t="s">
        <v>711</v>
      </c>
      <c r="T121" s="21" t="str">
        <f t="shared" si="12"/>
        <v>Commodity|Curve|t1.1</v>
      </c>
      <c r="U121" s="20">
        <f t="shared" si="13"/>
        <v>17</v>
      </c>
      <c r="V121" s="20">
        <f>IF(OR(S121&lt;&gt;"Y",B121&lt;AsOf-365,B121&gt;AsOf),"",IF(COUNTIFS($T$6:T121,T121,$B$6:B121,B121,$S$6:S121,"Y")=1,1,0))</f>
        <v>1</v>
      </c>
    </row>
    <row r="122" spans="1:22" x14ac:dyDescent="0.35">
      <c r="A122" s="17" t="s">
        <v>835</v>
      </c>
      <c r="B122" s="18">
        <v>46130</v>
      </c>
      <c r="C122" s="19" t="s">
        <v>819</v>
      </c>
      <c r="D122" s="17" t="s">
        <v>336</v>
      </c>
      <c r="E122" s="17" t="s">
        <v>178</v>
      </c>
      <c r="F122" s="17" t="s">
        <v>710</v>
      </c>
      <c r="G122" s="17" t="s">
        <v>710</v>
      </c>
      <c r="H122" s="17" t="s">
        <v>710</v>
      </c>
      <c r="I122" s="19" t="s">
        <v>179</v>
      </c>
      <c r="J122" s="17">
        <v>0.5</v>
      </c>
      <c r="K122" s="20" t="str">
        <f t="shared" si="7"/>
        <v>A</v>
      </c>
      <c r="L122" s="20">
        <f t="shared" si="8"/>
        <v>1</v>
      </c>
      <c r="M122" s="19"/>
      <c r="N122" s="17"/>
      <c r="O122" s="20" t="str">
        <f t="shared" si="9"/>
        <v/>
      </c>
      <c r="P122" s="20" t="str">
        <f t="shared" si="10"/>
        <v/>
      </c>
      <c r="Q122" s="17"/>
      <c r="R122" s="20" t="str">
        <f t="shared" si="11"/>
        <v/>
      </c>
      <c r="S122" s="17" t="s">
        <v>711</v>
      </c>
      <c r="T122" s="21" t="str">
        <f t="shared" si="12"/>
        <v>Commodity|Curve|t1.1</v>
      </c>
      <c r="U122" s="20">
        <f t="shared" si="13"/>
        <v>17</v>
      </c>
      <c r="V122" s="20">
        <f>IF(OR(S122&lt;&gt;"Y",B122&lt;AsOf-365,B122&gt;AsOf),"",IF(COUNTIFS($T$6:T122,T122,$B$6:B122,B122,$S$6:S122,"Y")=1,1,0))</f>
        <v>1</v>
      </c>
    </row>
    <row r="123" spans="1:22" x14ac:dyDescent="0.35">
      <c r="A123" s="17" t="s">
        <v>836</v>
      </c>
      <c r="B123" s="18">
        <v>46147</v>
      </c>
      <c r="C123" s="19" t="s">
        <v>819</v>
      </c>
      <c r="D123" s="17" t="s">
        <v>336</v>
      </c>
      <c r="E123" s="17" t="s">
        <v>178</v>
      </c>
      <c r="F123" s="17" t="s">
        <v>710</v>
      </c>
      <c r="G123" s="17" t="s">
        <v>710</v>
      </c>
      <c r="H123" s="17" t="s">
        <v>710</v>
      </c>
      <c r="I123" s="19" t="s">
        <v>179</v>
      </c>
      <c r="J123" s="17">
        <v>0.5</v>
      </c>
      <c r="K123" s="20" t="str">
        <f t="shared" si="7"/>
        <v>A</v>
      </c>
      <c r="L123" s="20">
        <f t="shared" si="8"/>
        <v>1</v>
      </c>
      <c r="M123" s="19"/>
      <c r="N123" s="17"/>
      <c r="O123" s="20" t="str">
        <f t="shared" si="9"/>
        <v/>
      </c>
      <c r="P123" s="20" t="str">
        <f t="shared" si="10"/>
        <v/>
      </c>
      <c r="Q123" s="17"/>
      <c r="R123" s="20" t="str">
        <f t="shared" si="11"/>
        <v/>
      </c>
      <c r="S123" s="17" t="s">
        <v>711</v>
      </c>
      <c r="T123" s="21" t="str">
        <f t="shared" si="12"/>
        <v>Commodity|Curve|t1.1</v>
      </c>
      <c r="U123" s="20">
        <f t="shared" si="13"/>
        <v>17</v>
      </c>
      <c r="V123" s="20">
        <f>IF(OR(S123&lt;&gt;"Y",B123&lt;AsOf-365,B123&gt;AsOf),"",IF(COUNTIFS($T$6:T123,T123,$B$6:B123,B123,$S$6:S123,"Y")=1,1,0))</f>
        <v>1</v>
      </c>
    </row>
    <row r="124" spans="1:22" x14ac:dyDescent="0.35">
      <c r="A124" s="17" t="s">
        <v>837</v>
      </c>
      <c r="B124" s="18">
        <v>46164</v>
      </c>
      <c r="C124" s="19" t="s">
        <v>819</v>
      </c>
      <c r="D124" s="17" t="s">
        <v>336</v>
      </c>
      <c r="E124" s="17" t="s">
        <v>178</v>
      </c>
      <c r="F124" s="17" t="s">
        <v>710</v>
      </c>
      <c r="G124" s="17" t="s">
        <v>710</v>
      </c>
      <c r="H124" s="17" t="s">
        <v>710</v>
      </c>
      <c r="I124" s="19" t="s">
        <v>179</v>
      </c>
      <c r="J124" s="17">
        <v>0.5</v>
      </c>
      <c r="K124" s="20" t="str">
        <f t="shared" si="7"/>
        <v>A</v>
      </c>
      <c r="L124" s="20">
        <f t="shared" si="8"/>
        <v>1</v>
      </c>
      <c r="M124" s="19"/>
      <c r="N124" s="17"/>
      <c r="O124" s="20" t="str">
        <f t="shared" si="9"/>
        <v/>
      </c>
      <c r="P124" s="20" t="str">
        <f t="shared" si="10"/>
        <v/>
      </c>
      <c r="Q124" s="17"/>
      <c r="R124" s="20" t="str">
        <f t="shared" si="11"/>
        <v/>
      </c>
      <c r="S124" s="17" t="s">
        <v>711</v>
      </c>
      <c r="T124" s="21" t="str">
        <f t="shared" si="12"/>
        <v>Commodity|Curve|t1.1</v>
      </c>
      <c r="U124" s="20">
        <f t="shared" si="13"/>
        <v>17</v>
      </c>
      <c r="V124" s="20">
        <f>IF(OR(S124&lt;&gt;"Y",B124&lt;AsOf-365,B124&gt;AsOf),"",IF(COUNTIFS($T$6:T124,T124,$B$6:B124,B124,$S$6:S124,"Y")=1,1,0))</f>
        <v>1</v>
      </c>
    </row>
    <row r="125" spans="1:22" x14ac:dyDescent="0.35">
      <c r="A125" s="17" t="s">
        <v>838</v>
      </c>
      <c r="B125" s="18">
        <v>46181</v>
      </c>
      <c r="C125" s="19" t="s">
        <v>819</v>
      </c>
      <c r="D125" s="17" t="s">
        <v>336</v>
      </c>
      <c r="E125" s="17" t="s">
        <v>178</v>
      </c>
      <c r="F125" s="17" t="s">
        <v>710</v>
      </c>
      <c r="G125" s="17" t="s">
        <v>710</v>
      </c>
      <c r="H125" s="17" t="s">
        <v>710</v>
      </c>
      <c r="I125" s="19" t="s">
        <v>179</v>
      </c>
      <c r="J125" s="17">
        <v>0.5</v>
      </c>
      <c r="K125" s="20" t="str">
        <f t="shared" si="7"/>
        <v>A</v>
      </c>
      <c r="L125" s="20">
        <f t="shared" si="8"/>
        <v>1</v>
      </c>
      <c r="M125" s="19"/>
      <c r="N125" s="17"/>
      <c r="O125" s="20" t="str">
        <f t="shared" si="9"/>
        <v/>
      </c>
      <c r="P125" s="20" t="str">
        <f t="shared" si="10"/>
        <v/>
      </c>
      <c r="Q125" s="17"/>
      <c r="R125" s="20" t="str">
        <f t="shared" si="11"/>
        <v/>
      </c>
      <c r="S125" s="17" t="s">
        <v>711</v>
      </c>
      <c r="T125" s="21" t="str">
        <f t="shared" si="12"/>
        <v>Commodity|Curve|t1.1</v>
      </c>
      <c r="U125" s="20" t="str">
        <f t="shared" si="13"/>
        <v/>
      </c>
      <c r="V125" s="20">
        <f>IF(OR(S125&lt;&gt;"Y",B125&lt;AsOf-365,B125&gt;AsOf),"",IF(COUNTIFS($T$6:T125,T125,$B$6:B125,B125,$S$6:S125,"Y")=1,1,0))</f>
        <v>1</v>
      </c>
    </row>
    <row r="126" spans="1:22" x14ac:dyDescent="0.35">
      <c r="K126" s="20" t="str">
        <f t="shared" si="7"/>
        <v>A</v>
      </c>
      <c r="L126" s="20" t="str">
        <f t="shared" si="8"/>
        <v/>
      </c>
      <c r="O126" s="20" t="str">
        <f t="shared" si="9"/>
        <v/>
      </c>
      <c r="P126" s="20" t="str">
        <f t="shared" si="10"/>
        <v/>
      </c>
      <c r="R126" s="20" t="str">
        <f t="shared" si="11"/>
        <v/>
      </c>
      <c r="T126" s="21" t="str">
        <f t="shared" si="12"/>
        <v/>
      </c>
      <c r="U126" s="20" t="str">
        <f t="shared" si="13"/>
        <v/>
      </c>
      <c r="V126" s="20" t="str">
        <f>IF(OR(S126&lt;&gt;"Y",B126&lt;AsOf-365,B126&gt;AsOf),"",IF(COUNTIFS($T$6:T126,T126,$B$6:B126,B126,$S$6:S126,"Y")=1,1,0))</f>
        <v/>
      </c>
    </row>
    <row r="127" spans="1:22" x14ac:dyDescent="0.35">
      <c r="K127" s="20" t="str">
        <f t="shared" si="7"/>
        <v>A</v>
      </c>
      <c r="L127" s="20" t="str">
        <f t="shared" si="8"/>
        <v/>
      </c>
      <c r="O127" s="20" t="str">
        <f t="shared" si="9"/>
        <v/>
      </c>
      <c r="P127" s="20" t="str">
        <f t="shared" si="10"/>
        <v/>
      </c>
      <c r="R127" s="20" t="str">
        <f t="shared" si="11"/>
        <v/>
      </c>
      <c r="T127" s="21" t="str">
        <f t="shared" si="12"/>
        <v/>
      </c>
      <c r="U127" s="20" t="str">
        <f t="shared" si="13"/>
        <v/>
      </c>
      <c r="V127" s="20" t="str">
        <f>IF(OR(S127&lt;&gt;"Y",B127&lt;AsOf-365,B127&gt;AsOf),"",IF(COUNTIFS($T$6:T127,T127,$B$6:B127,B127,$S$6:S127,"Y")=1,1,0))</f>
        <v/>
      </c>
    </row>
    <row r="128" spans="1:22" x14ac:dyDescent="0.35">
      <c r="K128" s="20" t="str">
        <f t="shared" si="7"/>
        <v>A</v>
      </c>
      <c r="L128" s="20" t="str">
        <f t="shared" si="8"/>
        <v/>
      </c>
      <c r="O128" s="20" t="str">
        <f t="shared" si="9"/>
        <v/>
      </c>
      <c r="P128" s="20" t="str">
        <f t="shared" si="10"/>
        <v/>
      </c>
      <c r="R128" s="20" t="str">
        <f t="shared" si="11"/>
        <v/>
      </c>
      <c r="T128" s="21" t="str">
        <f t="shared" si="12"/>
        <v/>
      </c>
      <c r="U128" s="20" t="str">
        <f t="shared" si="13"/>
        <v/>
      </c>
      <c r="V128" s="20" t="str">
        <f>IF(OR(S128&lt;&gt;"Y",B128&lt;AsOf-365,B128&gt;AsOf),"",IF(COUNTIFS($T$6:T128,T128,$B$6:B128,B128,$S$6:S128,"Y")=1,1,0))</f>
        <v/>
      </c>
    </row>
    <row r="129" spans="11:22" x14ac:dyDescent="0.35">
      <c r="K129" s="20" t="str">
        <f t="shared" si="7"/>
        <v>A</v>
      </c>
      <c r="L129" s="20" t="str">
        <f t="shared" si="8"/>
        <v/>
      </c>
      <c r="O129" s="20" t="str">
        <f t="shared" si="9"/>
        <v/>
      </c>
      <c r="P129" s="20" t="str">
        <f t="shared" si="10"/>
        <v/>
      </c>
      <c r="R129" s="20" t="str">
        <f t="shared" si="11"/>
        <v/>
      </c>
      <c r="T129" s="21" t="str">
        <f t="shared" si="12"/>
        <v/>
      </c>
      <c r="U129" s="20" t="str">
        <f t="shared" si="13"/>
        <v/>
      </c>
      <c r="V129" s="20" t="str">
        <f>IF(OR(S129&lt;&gt;"Y",B129&lt;AsOf-365,B129&gt;AsOf),"",IF(COUNTIFS($T$6:T129,T129,$B$6:B129,B129,$S$6:S129,"Y")=1,1,0))</f>
        <v/>
      </c>
    </row>
    <row r="130" spans="11:22" x14ac:dyDescent="0.35">
      <c r="K130" s="20" t="str">
        <f t="shared" si="7"/>
        <v>A</v>
      </c>
      <c r="L130" s="20" t="str">
        <f t="shared" si="8"/>
        <v/>
      </c>
      <c r="O130" s="20" t="str">
        <f t="shared" si="9"/>
        <v/>
      </c>
      <c r="P130" s="20" t="str">
        <f t="shared" si="10"/>
        <v/>
      </c>
      <c r="R130" s="20" t="str">
        <f t="shared" si="11"/>
        <v/>
      </c>
      <c r="T130" s="21" t="str">
        <f t="shared" si="12"/>
        <v/>
      </c>
      <c r="U130" s="20" t="str">
        <f t="shared" si="13"/>
        <v/>
      </c>
      <c r="V130" s="20" t="str">
        <f>IF(OR(S130&lt;&gt;"Y",B130&lt;AsOf-365,B130&gt;AsOf),"",IF(COUNTIFS($T$6:T130,T130,$B$6:B130,B130,$S$6:S130,"Y")=1,1,0))</f>
        <v/>
      </c>
    </row>
    <row r="131" spans="11:22" x14ac:dyDescent="0.35">
      <c r="K131" s="20" t="str">
        <f t="shared" si="7"/>
        <v>A</v>
      </c>
      <c r="L131" s="20" t="str">
        <f t="shared" si="8"/>
        <v/>
      </c>
      <c r="O131" s="20" t="str">
        <f t="shared" si="9"/>
        <v/>
      </c>
      <c r="P131" s="20" t="str">
        <f t="shared" si="10"/>
        <v/>
      </c>
      <c r="R131" s="20" t="str">
        <f t="shared" si="11"/>
        <v/>
      </c>
      <c r="T131" s="21" t="str">
        <f t="shared" si="12"/>
        <v/>
      </c>
      <c r="U131" s="20" t="str">
        <f t="shared" si="13"/>
        <v/>
      </c>
      <c r="V131" s="20" t="str">
        <f>IF(OR(S131&lt;&gt;"Y",B131&lt;AsOf-365,B131&gt;AsOf),"",IF(COUNTIFS($T$6:T131,T131,$B$6:B131,B131,$S$6:S131,"Y")=1,1,0))</f>
        <v/>
      </c>
    </row>
    <row r="132" spans="11:22" x14ac:dyDescent="0.35">
      <c r="K132" s="20" t="str">
        <f t="shared" si="7"/>
        <v>A</v>
      </c>
      <c r="L132" s="20" t="str">
        <f t="shared" si="8"/>
        <v/>
      </c>
      <c r="O132" s="20" t="str">
        <f t="shared" si="9"/>
        <v/>
      </c>
      <c r="P132" s="20" t="str">
        <f t="shared" si="10"/>
        <v/>
      </c>
      <c r="R132" s="20" t="str">
        <f t="shared" si="11"/>
        <v/>
      </c>
      <c r="T132" s="21" t="str">
        <f t="shared" si="12"/>
        <v/>
      </c>
      <c r="U132" s="20" t="str">
        <f t="shared" si="13"/>
        <v/>
      </c>
      <c r="V132" s="20" t="str">
        <f>IF(OR(S132&lt;&gt;"Y",B132&lt;AsOf-365,B132&gt;AsOf),"",IF(COUNTIFS($T$6:T132,T132,$B$6:B132,B132,$S$6:S132,"Y")=1,1,0))</f>
        <v/>
      </c>
    </row>
    <row r="133" spans="11:22" x14ac:dyDescent="0.35">
      <c r="K133" s="20" t="str">
        <f t="shared" si="7"/>
        <v>A</v>
      </c>
      <c r="L133" s="20" t="str">
        <f t="shared" si="8"/>
        <v/>
      </c>
      <c r="O133" s="20" t="str">
        <f t="shared" si="9"/>
        <v/>
      </c>
      <c r="P133" s="20" t="str">
        <f t="shared" si="10"/>
        <v/>
      </c>
      <c r="R133" s="20" t="str">
        <f t="shared" si="11"/>
        <v/>
      </c>
      <c r="T133" s="21" t="str">
        <f t="shared" si="12"/>
        <v/>
      </c>
      <c r="U133" s="20" t="str">
        <f t="shared" si="13"/>
        <v/>
      </c>
      <c r="V133" s="20" t="str">
        <f>IF(OR(S133&lt;&gt;"Y",B133&lt;AsOf-365,B133&gt;AsOf),"",IF(COUNTIFS($T$6:T133,T133,$B$6:B133,B133,$S$6:S133,"Y")=1,1,0))</f>
        <v/>
      </c>
    </row>
    <row r="134" spans="11:22" x14ac:dyDescent="0.35">
      <c r="K134" s="20" t="str">
        <f t="shared" ref="K134:K197" si="14">IF(F134="Y",IF(G134="Y","B","C"),IF(OR(D134="Credit",D134="Equity"),"C",IF(H134="Y","B","A")))</f>
        <v>A</v>
      </c>
      <c r="L134" s="20" t="str">
        <f t="shared" ref="L134:L197" si="15">IF(J134="","",IF(K134="A",MATCH(J134,RowA_low,1),IF(K134="B",MATCH(J134,RowB_low,1),IF(K134="C",MATCH(J134,RowC_low,1),""))))</f>
        <v/>
      </c>
      <c r="O134" s="20" t="str">
        <f t="shared" ref="O134:O197" si="16">IF(N134="","","C")</f>
        <v/>
      </c>
      <c r="P134" s="20" t="str">
        <f t="shared" ref="P134:P197" si="17">IF(N134="","",MATCH(N134,RowC_low,1))</f>
        <v/>
      </c>
      <c r="R134" s="20" t="str">
        <f t="shared" ref="R134:R197" si="18">IF(Q134="","",MATCH(Q134,RowD_low,1))</f>
        <v/>
      </c>
      <c r="T134" s="21" t="str">
        <f t="shared" ref="T134:T197" si="19">IF(D134="","",D134&amp;"|"&amp;E134&amp;"|t1."&amp;IF(L134="","-",L134)&amp;IF(P134="","","|t2."&amp;P134)&amp;IF(R134="","","|s."&amp;R134))</f>
        <v/>
      </c>
      <c r="U134" s="20" t="str">
        <f t="shared" ref="U134:U197" si="20">IF(OR(S134&lt;&gt;"Y",B134&lt;AsOf-365,B134&gt;AsOf),"",IF(COUNTIFS($T$6:$T$405,T134,$S$6:$S$405,"Y",$B$6:$B$405,"&gt;"&amp;B134,$B$6:$B$405,"&lt;="&amp;AsOf)=0,"",_xlfn.MINIFS($B$6:$B$405,$T$6:$T$405,T134,$S$6:$S$405,"Y",$B$6:$B$405,"&gt;"&amp;B134,$B$6:$B$405,"&lt;="&amp;AsOf)-B134))</f>
        <v/>
      </c>
      <c r="V134" s="20" t="str">
        <f>IF(OR(S134&lt;&gt;"Y",B134&lt;AsOf-365,B134&gt;AsOf),"",IF(COUNTIFS($T$6:T134,T134,$B$6:B134,B134,$S$6:S134,"Y")=1,1,0))</f>
        <v/>
      </c>
    </row>
    <row r="135" spans="11:22" x14ac:dyDescent="0.35">
      <c r="K135" s="20" t="str">
        <f t="shared" si="14"/>
        <v>A</v>
      </c>
      <c r="L135" s="20" t="str">
        <f t="shared" si="15"/>
        <v/>
      </c>
      <c r="O135" s="20" t="str">
        <f t="shared" si="16"/>
        <v/>
      </c>
      <c r="P135" s="20" t="str">
        <f t="shared" si="17"/>
        <v/>
      </c>
      <c r="R135" s="20" t="str">
        <f t="shared" si="18"/>
        <v/>
      </c>
      <c r="T135" s="21" t="str">
        <f t="shared" si="19"/>
        <v/>
      </c>
      <c r="U135" s="20" t="str">
        <f t="shared" si="20"/>
        <v/>
      </c>
      <c r="V135" s="20" t="str">
        <f>IF(OR(S135&lt;&gt;"Y",B135&lt;AsOf-365,B135&gt;AsOf),"",IF(COUNTIFS($T$6:T135,T135,$B$6:B135,B135,$S$6:S135,"Y")=1,1,0))</f>
        <v/>
      </c>
    </row>
    <row r="136" spans="11:22" x14ac:dyDescent="0.35">
      <c r="K136" s="20" t="str">
        <f t="shared" si="14"/>
        <v>A</v>
      </c>
      <c r="L136" s="20" t="str">
        <f t="shared" si="15"/>
        <v/>
      </c>
      <c r="O136" s="20" t="str">
        <f t="shared" si="16"/>
        <v/>
      </c>
      <c r="P136" s="20" t="str">
        <f t="shared" si="17"/>
        <v/>
      </c>
      <c r="R136" s="20" t="str">
        <f t="shared" si="18"/>
        <v/>
      </c>
      <c r="T136" s="21" t="str">
        <f t="shared" si="19"/>
        <v/>
      </c>
      <c r="U136" s="20" t="str">
        <f t="shared" si="20"/>
        <v/>
      </c>
      <c r="V136" s="20" t="str">
        <f>IF(OR(S136&lt;&gt;"Y",B136&lt;AsOf-365,B136&gt;AsOf),"",IF(COUNTIFS($T$6:T136,T136,$B$6:B136,B136,$S$6:S136,"Y")=1,1,0))</f>
        <v/>
      </c>
    </row>
    <row r="137" spans="11:22" x14ac:dyDescent="0.35">
      <c r="K137" s="20" t="str">
        <f t="shared" si="14"/>
        <v>A</v>
      </c>
      <c r="L137" s="20" t="str">
        <f t="shared" si="15"/>
        <v/>
      </c>
      <c r="O137" s="20" t="str">
        <f t="shared" si="16"/>
        <v/>
      </c>
      <c r="P137" s="20" t="str">
        <f t="shared" si="17"/>
        <v/>
      </c>
      <c r="R137" s="20" t="str">
        <f t="shared" si="18"/>
        <v/>
      </c>
      <c r="T137" s="21" t="str">
        <f t="shared" si="19"/>
        <v/>
      </c>
      <c r="U137" s="20" t="str">
        <f t="shared" si="20"/>
        <v/>
      </c>
      <c r="V137" s="20" t="str">
        <f>IF(OR(S137&lt;&gt;"Y",B137&lt;AsOf-365,B137&gt;AsOf),"",IF(COUNTIFS($T$6:T137,T137,$B$6:B137,B137,$S$6:S137,"Y")=1,1,0))</f>
        <v/>
      </c>
    </row>
    <row r="138" spans="11:22" x14ac:dyDescent="0.35">
      <c r="K138" s="20" t="str">
        <f t="shared" si="14"/>
        <v>A</v>
      </c>
      <c r="L138" s="20" t="str">
        <f t="shared" si="15"/>
        <v/>
      </c>
      <c r="O138" s="20" t="str">
        <f t="shared" si="16"/>
        <v/>
      </c>
      <c r="P138" s="20" t="str">
        <f t="shared" si="17"/>
        <v/>
      </c>
      <c r="R138" s="20" t="str">
        <f t="shared" si="18"/>
        <v/>
      </c>
      <c r="T138" s="21" t="str">
        <f t="shared" si="19"/>
        <v/>
      </c>
      <c r="U138" s="20" t="str">
        <f t="shared" si="20"/>
        <v/>
      </c>
      <c r="V138" s="20" t="str">
        <f>IF(OR(S138&lt;&gt;"Y",B138&lt;AsOf-365,B138&gt;AsOf),"",IF(COUNTIFS($T$6:T138,T138,$B$6:B138,B138,$S$6:S138,"Y")=1,1,0))</f>
        <v/>
      </c>
    </row>
    <row r="139" spans="11:22" x14ac:dyDescent="0.35">
      <c r="K139" s="20" t="str">
        <f t="shared" si="14"/>
        <v>A</v>
      </c>
      <c r="L139" s="20" t="str">
        <f t="shared" si="15"/>
        <v/>
      </c>
      <c r="O139" s="20" t="str">
        <f t="shared" si="16"/>
        <v/>
      </c>
      <c r="P139" s="20" t="str">
        <f t="shared" si="17"/>
        <v/>
      </c>
      <c r="R139" s="20" t="str">
        <f t="shared" si="18"/>
        <v/>
      </c>
      <c r="T139" s="21" t="str">
        <f t="shared" si="19"/>
        <v/>
      </c>
      <c r="U139" s="20" t="str">
        <f t="shared" si="20"/>
        <v/>
      </c>
      <c r="V139" s="20" t="str">
        <f>IF(OR(S139&lt;&gt;"Y",B139&lt;AsOf-365,B139&gt;AsOf),"",IF(COUNTIFS($T$6:T139,T139,$B$6:B139,B139,$S$6:S139,"Y")=1,1,0))</f>
        <v/>
      </c>
    </row>
    <row r="140" spans="11:22" x14ac:dyDescent="0.35">
      <c r="K140" s="20" t="str">
        <f t="shared" si="14"/>
        <v>A</v>
      </c>
      <c r="L140" s="20" t="str">
        <f t="shared" si="15"/>
        <v/>
      </c>
      <c r="O140" s="20" t="str">
        <f t="shared" si="16"/>
        <v/>
      </c>
      <c r="P140" s="20" t="str">
        <f t="shared" si="17"/>
        <v/>
      </c>
      <c r="R140" s="20" t="str">
        <f t="shared" si="18"/>
        <v/>
      </c>
      <c r="T140" s="21" t="str">
        <f t="shared" si="19"/>
        <v/>
      </c>
      <c r="U140" s="20" t="str">
        <f t="shared" si="20"/>
        <v/>
      </c>
      <c r="V140" s="20" t="str">
        <f>IF(OR(S140&lt;&gt;"Y",B140&lt;AsOf-365,B140&gt;AsOf),"",IF(COUNTIFS($T$6:T140,T140,$B$6:B140,B140,$S$6:S140,"Y")=1,1,0))</f>
        <v/>
      </c>
    </row>
    <row r="141" spans="11:22" x14ac:dyDescent="0.35">
      <c r="K141" s="20" t="str">
        <f t="shared" si="14"/>
        <v>A</v>
      </c>
      <c r="L141" s="20" t="str">
        <f t="shared" si="15"/>
        <v/>
      </c>
      <c r="O141" s="20" t="str">
        <f t="shared" si="16"/>
        <v/>
      </c>
      <c r="P141" s="20" t="str">
        <f t="shared" si="17"/>
        <v/>
      </c>
      <c r="R141" s="20" t="str">
        <f t="shared" si="18"/>
        <v/>
      </c>
      <c r="T141" s="21" t="str">
        <f t="shared" si="19"/>
        <v/>
      </c>
      <c r="U141" s="20" t="str">
        <f t="shared" si="20"/>
        <v/>
      </c>
      <c r="V141" s="20" t="str">
        <f>IF(OR(S141&lt;&gt;"Y",B141&lt;AsOf-365,B141&gt;AsOf),"",IF(COUNTIFS($T$6:T141,T141,$B$6:B141,B141,$S$6:S141,"Y")=1,1,0))</f>
        <v/>
      </c>
    </row>
    <row r="142" spans="11:22" x14ac:dyDescent="0.35">
      <c r="K142" s="20" t="str">
        <f t="shared" si="14"/>
        <v>A</v>
      </c>
      <c r="L142" s="20" t="str">
        <f t="shared" si="15"/>
        <v/>
      </c>
      <c r="O142" s="20" t="str">
        <f t="shared" si="16"/>
        <v/>
      </c>
      <c r="P142" s="20" t="str">
        <f t="shared" si="17"/>
        <v/>
      </c>
      <c r="R142" s="20" t="str">
        <f t="shared" si="18"/>
        <v/>
      </c>
      <c r="T142" s="21" t="str">
        <f t="shared" si="19"/>
        <v/>
      </c>
      <c r="U142" s="20" t="str">
        <f t="shared" si="20"/>
        <v/>
      </c>
      <c r="V142" s="20" t="str">
        <f>IF(OR(S142&lt;&gt;"Y",B142&lt;AsOf-365,B142&gt;AsOf),"",IF(COUNTIFS($T$6:T142,T142,$B$6:B142,B142,$S$6:S142,"Y")=1,1,0))</f>
        <v/>
      </c>
    </row>
    <row r="143" spans="11:22" x14ac:dyDescent="0.35">
      <c r="K143" s="20" t="str">
        <f t="shared" si="14"/>
        <v>A</v>
      </c>
      <c r="L143" s="20" t="str">
        <f t="shared" si="15"/>
        <v/>
      </c>
      <c r="O143" s="20" t="str">
        <f t="shared" si="16"/>
        <v/>
      </c>
      <c r="P143" s="20" t="str">
        <f t="shared" si="17"/>
        <v/>
      </c>
      <c r="R143" s="20" t="str">
        <f t="shared" si="18"/>
        <v/>
      </c>
      <c r="T143" s="21" t="str">
        <f t="shared" si="19"/>
        <v/>
      </c>
      <c r="U143" s="20" t="str">
        <f t="shared" si="20"/>
        <v/>
      </c>
      <c r="V143" s="20" t="str">
        <f>IF(OR(S143&lt;&gt;"Y",B143&lt;AsOf-365,B143&gt;AsOf),"",IF(COUNTIFS($T$6:T143,T143,$B$6:B143,B143,$S$6:S143,"Y")=1,1,0))</f>
        <v/>
      </c>
    </row>
    <row r="144" spans="11:22" x14ac:dyDescent="0.35">
      <c r="K144" s="20" t="str">
        <f t="shared" si="14"/>
        <v>A</v>
      </c>
      <c r="L144" s="20" t="str">
        <f t="shared" si="15"/>
        <v/>
      </c>
      <c r="O144" s="20" t="str">
        <f t="shared" si="16"/>
        <v/>
      </c>
      <c r="P144" s="20" t="str">
        <f t="shared" si="17"/>
        <v/>
      </c>
      <c r="R144" s="20" t="str">
        <f t="shared" si="18"/>
        <v/>
      </c>
      <c r="T144" s="21" t="str">
        <f t="shared" si="19"/>
        <v/>
      </c>
      <c r="U144" s="20" t="str">
        <f t="shared" si="20"/>
        <v/>
      </c>
      <c r="V144" s="20" t="str">
        <f>IF(OR(S144&lt;&gt;"Y",B144&lt;AsOf-365,B144&gt;AsOf),"",IF(COUNTIFS($T$6:T144,T144,$B$6:B144,B144,$S$6:S144,"Y")=1,1,0))</f>
        <v/>
      </c>
    </row>
    <row r="145" spans="11:22" x14ac:dyDescent="0.35">
      <c r="K145" s="20" t="str">
        <f t="shared" si="14"/>
        <v>A</v>
      </c>
      <c r="L145" s="20" t="str">
        <f t="shared" si="15"/>
        <v/>
      </c>
      <c r="O145" s="20" t="str">
        <f t="shared" si="16"/>
        <v/>
      </c>
      <c r="P145" s="20" t="str">
        <f t="shared" si="17"/>
        <v/>
      </c>
      <c r="R145" s="20" t="str">
        <f t="shared" si="18"/>
        <v/>
      </c>
      <c r="T145" s="21" t="str">
        <f t="shared" si="19"/>
        <v/>
      </c>
      <c r="U145" s="20" t="str">
        <f t="shared" si="20"/>
        <v/>
      </c>
      <c r="V145" s="20" t="str">
        <f>IF(OR(S145&lt;&gt;"Y",B145&lt;AsOf-365,B145&gt;AsOf),"",IF(COUNTIFS($T$6:T145,T145,$B$6:B145,B145,$S$6:S145,"Y")=1,1,0))</f>
        <v/>
      </c>
    </row>
    <row r="146" spans="11:22" x14ac:dyDescent="0.35">
      <c r="K146" s="20" t="str">
        <f t="shared" si="14"/>
        <v>A</v>
      </c>
      <c r="L146" s="20" t="str">
        <f t="shared" si="15"/>
        <v/>
      </c>
      <c r="O146" s="20" t="str">
        <f t="shared" si="16"/>
        <v/>
      </c>
      <c r="P146" s="20" t="str">
        <f t="shared" si="17"/>
        <v/>
      </c>
      <c r="R146" s="20" t="str">
        <f t="shared" si="18"/>
        <v/>
      </c>
      <c r="T146" s="21" t="str">
        <f t="shared" si="19"/>
        <v/>
      </c>
      <c r="U146" s="20" t="str">
        <f t="shared" si="20"/>
        <v/>
      </c>
      <c r="V146" s="20" t="str">
        <f>IF(OR(S146&lt;&gt;"Y",B146&lt;AsOf-365,B146&gt;AsOf),"",IF(COUNTIFS($T$6:T146,T146,$B$6:B146,B146,$S$6:S146,"Y")=1,1,0))</f>
        <v/>
      </c>
    </row>
    <row r="147" spans="11:22" x14ac:dyDescent="0.35">
      <c r="K147" s="20" t="str">
        <f t="shared" si="14"/>
        <v>A</v>
      </c>
      <c r="L147" s="20" t="str">
        <f t="shared" si="15"/>
        <v/>
      </c>
      <c r="O147" s="20" t="str">
        <f t="shared" si="16"/>
        <v/>
      </c>
      <c r="P147" s="20" t="str">
        <f t="shared" si="17"/>
        <v/>
      </c>
      <c r="R147" s="20" t="str">
        <f t="shared" si="18"/>
        <v/>
      </c>
      <c r="T147" s="21" t="str">
        <f t="shared" si="19"/>
        <v/>
      </c>
      <c r="U147" s="20" t="str">
        <f t="shared" si="20"/>
        <v/>
      </c>
      <c r="V147" s="20" t="str">
        <f>IF(OR(S147&lt;&gt;"Y",B147&lt;AsOf-365,B147&gt;AsOf),"",IF(COUNTIFS($T$6:T147,T147,$B$6:B147,B147,$S$6:S147,"Y")=1,1,0))</f>
        <v/>
      </c>
    </row>
    <row r="148" spans="11:22" x14ac:dyDescent="0.35">
      <c r="K148" s="20" t="str">
        <f t="shared" si="14"/>
        <v>A</v>
      </c>
      <c r="L148" s="20" t="str">
        <f t="shared" si="15"/>
        <v/>
      </c>
      <c r="O148" s="20" t="str">
        <f t="shared" si="16"/>
        <v/>
      </c>
      <c r="P148" s="20" t="str">
        <f t="shared" si="17"/>
        <v/>
      </c>
      <c r="R148" s="20" t="str">
        <f t="shared" si="18"/>
        <v/>
      </c>
      <c r="T148" s="21" t="str">
        <f t="shared" si="19"/>
        <v/>
      </c>
      <c r="U148" s="20" t="str">
        <f t="shared" si="20"/>
        <v/>
      </c>
      <c r="V148" s="20" t="str">
        <f>IF(OR(S148&lt;&gt;"Y",B148&lt;AsOf-365,B148&gt;AsOf),"",IF(COUNTIFS($T$6:T148,T148,$B$6:B148,B148,$S$6:S148,"Y")=1,1,0))</f>
        <v/>
      </c>
    </row>
    <row r="149" spans="11:22" x14ac:dyDescent="0.35">
      <c r="K149" s="20" t="str">
        <f t="shared" si="14"/>
        <v>A</v>
      </c>
      <c r="L149" s="20" t="str">
        <f t="shared" si="15"/>
        <v/>
      </c>
      <c r="O149" s="20" t="str">
        <f t="shared" si="16"/>
        <v/>
      </c>
      <c r="P149" s="20" t="str">
        <f t="shared" si="17"/>
        <v/>
      </c>
      <c r="R149" s="20" t="str">
        <f t="shared" si="18"/>
        <v/>
      </c>
      <c r="T149" s="21" t="str">
        <f t="shared" si="19"/>
        <v/>
      </c>
      <c r="U149" s="20" t="str">
        <f t="shared" si="20"/>
        <v/>
      </c>
      <c r="V149" s="20" t="str">
        <f>IF(OR(S149&lt;&gt;"Y",B149&lt;AsOf-365,B149&gt;AsOf),"",IF(COUNTIFS($T$6:T149,T149,$B$6:B149,B149,$S$6:S149,"Y")=1,1,0))</f>
        <v/>
      </c>
    </row>
    <row r="150" spans="11:22" x14ac:dyDescent="0.35">
      <c r="K150" s="20" t="str">
        <f t="shared" si="14"/>
        <v>A</v>
      </c>
      <c r="L150" s="20" t="str">
        <f t="shared" si="15"/>
        <v/>
      </c>
      <c r="O150" s="20" t="str">
        <f t="shared" si="16"/>
        <v/>
      </c>
      <c r="P150" s="20" t="str">
        <f t="shared" si="17"/>
        <v/>
      </c>
      <c r="R150" s="20" t="str">
        <f t="shared" si="18"/>
        <v/>
      </c>
      <c r="T150" s="21" t="str">
        <f t="shared" si="19"/>
        <v/>
      </c>
      <c r="U150" s="20" t="str">
        <f t="shared" si="20"/>
        <v/>
      </c>
      <c r="V150" s="20" t="str">
        <f>IF(OR(S150&lt;&gt;"Y",B150&lt;AsOf-365,B150&gt;AsOf),"",IF(COUNTIFS($T$6:T150,T150,$B$6:B150,B150,$S$6:S150,"Y")=1,1,0))</f>
        <v/>
      </c>
    </row>
    <row r="151" spans="11:22" x14ac:dyDescent="0.35">
      <c r="K151" s="20" t="str">
        <f t="shared" si="14"/>
        <v>A</v>
      </c>
      <c r="L151" s="20" t="str">
        <f t="shared" si="15"/>
        <v/>
      </c>
      <c r="O151" s="20" t="str">
        <f t="shared" si="16"/>
        <v/>
      </c>
      <c r="P151" s="20" t="str">
        <f t="shared" si="17"/>
        <v/>
      </c>
      <c r="R151" s="20" t="str">
        <f t="shared" si="18"/>
        <v/>
      </c>
      <c r="T151" s="21" t="str">
        <f t="shared" si="19"/>
        <v/>
      </c>
      <c r="U151" s="20" t="str">
        <f t="shared" si="20"/>
        <v/>
      </c>
      <c r="V151" s="20" t="str">
        <f>IF(OR(S151&lt;&gt;"Y",B151&lt;AsOf-365,B151&gt;AsOf),"",IF(COUNTIFS($T$6:T151,T151,$B$6:B151,B151,$S$6:S151,"Y")=1,1,0))</f>
        <v/>
      </c>
    </row>
    <row r="152" spans="11:22" x14ac:dyDescent="0.35">
      <c r="K152" s="20" t="str">
        <f t="shared" si="14"/>
        <v>A</v>
      </c>
      <c r="L152" s="20" t="str">
        <f t="shared" si="15"/>
        <v/>
      </c>
      <c r="O152" s="20" t="str">
        <f t="shared" si="16"/>
        <v/>
      </c>
      <c r="P152" s="20" t="str">
        <f t="shared" si="17"/>
        <v/>
      </c>
      <c r="R152" s="20" t="str">
        <f t="shared" si="18"/>
        <v/>
      </c>
      <c r="T152" s="21" t="str">
        <f t="shared" si="19"/>
        <v/>
      </c>
      <c r="U152" s="20" t="str">
        <f t="shared" si="20"/>
        <v/>
      </c>
      <c r="V152" s="20" t="str">
        <f>IF(OR(S152&lt;&gt;"Y",B152&lt;AsOf-365,B152&gt;AsOf),"",IF(COUNTIFS($T$6:T152,T152,$B$6:B152,B152,$S$6:S152,"Y")=1,1,0))</f>
        <v/>
      </c>
    </row>
    <row r="153" spans="11:22" x14ac:dyDescent="0.35">
      <c r="K153" s="20" t="str">
        <f t="shared" si="14"/>
        <v>A</v>
      </c>
      <c r="L153" s="20" t="str">
        <f t="shared" si="15"/>
        <v/>
      </c>
      <c r="O153" s="20" t="str">
        <f t="shared" si="16"/>
        <v/>
      </c>
      <c r="P153" s="20" t="str">
        <f t="shared" si="17"/>
        <v/>
      </c>
      <c r="R153" s="20" t="str">
        <f t="shared" si="18"/>
        <v/>
      </c>
      <c r="T153" s="21" t="str">
        <f t="shared" si="19"/>
        <v/>
      </c>
      <c r="U153" s="20" t="str">
        <f t="shared" si="20"/>
        <v/>
      </c>
      <c r="V153" s="20" t="str">
        <f>IF(OR(S153&lt;&gt;"Y",B153&lt;AsOf-365,B153&gt;AsOf),"",IF(COUNTIFS($T$6:T153,T153,$B$6:B153,B153,$S$6:S153,"Y")=1,1,0))</f>
        <v/>
      </c>
    </row>
    <row r="154" spans="11:22" x14ac:dyDescent="0.35">
      <c r="K154" s="20" t="str">
        <f t="shared" si="14"/>
        <v>A</v>
      </c>
      <c r="L154" s="20" t="str">
        <f t="shared" si="15"/>
        <v/>
      </c>
      <c r="O154" s="20" t="str">
        <f t="shared" si="16"/>
        <v/>
      </c>
      <c r="P154" s="20" t="str">
        <f t="shared" si="17"/>
        <v/>
      </c>
      <c r="R154" s="20" t="str">
        <f t="shared" si="18"/>
        <v/>
      </c>
      <c r="T154" s="21" t="str">
        <f t="shared" si="19"/>
        <v/>
      </c>
      <c r="U154" s="20" t="str">
        <f t="shared" si="20"/>
        <v/>
      </c>
      <c r="V154" s="20" t="str">
        <f>IF(OR(S154&lt;&gt;"Y",B154&lt;AsOf-365,B154&gt;AsOf),"",IF(COUNTIFS($T$6:T154,T154,$B$6:B154,B154,$S$6:S154,"Y")=1,1,0))</f>
        <v/>
      </c>
    </row>
    <row r="155" spans="11:22" x14ac:dyDescent="0.35">
      <c r="K155" s="20" t="str">
        <f t="shared" si="14"/>
        <v>A</v>
      </c>
      <c r="L155" s="20" t="str">
        <f t="shared" si="15"/>
        <v/>
      </c>
      <c r="O155" s="20" t="str">
        <f t="shared" si="16"/>
        <v/>
      </c>
      <c r="P155" s="20" t="str">
        <f t="shared" si="17"/>
        <v/>
      </c>
      <c r="R155" s="20" t="str">
        <f t="shared" si="18"/>
        <v/>
      </c>
      <c r="T155" s="21" t="str">
        <f t="shared" si="19"/>
        <v/>
      </c>
      <c r="U155" s="20" t="str">
        <f t="shared" si="20"/>
        <v/>
      </c>
      <c r="V155" s="20" t="str">
        <f>IF(OR(S155&lt;&gt;"Y",B155&lt;AsOf-365,B155&gt;AsOf),"",IF(COUNTIFS($T$6:T155,T155,$B$6:B155,B155,$S$6:S155,"Y")=1,1,0))</f>
        <v/>
      </c>
    </row>
    <row r="156" spans="11:22" x14ac:dyDescent="0.35">
      <c r="K156" s="20" t="str">
        <f t="shared" si="14"/>
        <v>A</v>
      </c>
      <c r="L156" s="20" t="str">
        <f t="shared" si="15"/>
        <v/>
      </c>
      <c r="O156" s="20" t="str">
        <f t="shared" si="16"/>
        <v/>
      </c>
      <c r="P156" s="20" t="str">
        <f t="shared" si="17"/>
        <v/>
      </c>
      <c r="R156" s="20" t="str">
        <f t="shared" si="18"/>
        <v/>
      </c>
      <c r="T156" s="21" t="str">
        <f t="shared" si="19"/>
        <v/>
      </c>
      <c r="U156" s="20" t="str">
        <f t="shared" si="20"/>
        <v/>
      </c>
      <c r="V156" s="20" t="str">
        <f>IF(OR(S156&lt;&gt;"Y",B156&lt;AsOf-365,B156&gt;AsOf),"",IF(COUNTIFS($T$6:T156,T156,$B$6:B156,B156,$S$6:S156,"Y")=1,1,0))</f>
        <v/>
      </c>
    </row>
    <row r="157" spans="11:22" x14ac:dyDescent="0.35">
      <c r="K157" s="20" t="str">
        <f t="shared" si="14"/>
        <v>A</v>
      </c>
      <c r="L157" s="20" t="str">
        <f t="shared" si="15"/>
        <v/>
      </c>
      <c r="O157" s="20" t="str">
        <f t="shared" si="16"/>
        <v/>
      </c>
      <c r="P157" s="20" t="str">
        <f t="shared" si="17"/>
        <v/>
      </c>
      <c r="R157" s="20" t="str">
        <f t="shared" si="18"/>
        <v/>
      </c>
      <c r="T157" s="21" t="str">
        <f t="shared" si="19"/>
        <v/>
      </c>
      <c r="U157" s="20" t="str">
        <f t="shared" si="20"/>
        <v/>
      </c>
      <c r="V157" s="20" t="str">
        <f>IF(OR(S157&lt;&gt;"Y",B157&lt;AsOf-365,B157&gt;AsOf),"",IF(COUNTIFS($T$6:T157,T157,$B$6:B157,B157,$S$6:S157,"Y")=1,1,0))</f>
        <v/>
      </c>
    </row>
    <row r="158" spans="11:22" x14ac:dyDescent="0.35">
      <c r="K158" s="20" t="str">
        <f t="shared" si="14"/>
        <v>A</v>
      </c>
      <c r="L158" s="20" t="str">
        <f t="shared" si="15"/>
        <v/>
      </c>
      <c r="O158" s="20" t="str">
        <f t="shared" si="16"/>
        <v/>
      </c>
      <c r="P158" s="20" t="str">
        <f t="shared" si="17"/>
        <v/>
      </c>
      <c r="R158" s="20" t="str">
        <f t="shared" si="18"/>
        <v/>
      </c>
      <c r="T158" s="21" t="str">
        <f t="shared" si="19"/>
        <v/>
      </c>
      <c r="U158" s="20" t="str">
        <f t="shared" si="20"/>
        <v/>
      </c>
      <c r="V158" s="20" t="str">
        <f>IF(OR(S158&lt;&gt;"Y",B158&lt;AsOf-365,B158&gt;AsOf),"",IF(COUNTIFS($T$6:T158,T158,$B$6:B158,B158,$S$6:S158,"Y")=1,1,0))</f>
        <v/>
      </c>
    </row>
    <row r="159" spans="11:22" x14ac:dyDescent="0.35">
      <c r="K159" s="20" t="str">
        <f t="shared" si="14"/>
        <v>A</v>
      </c>
      <c r="L159" s="20" t="str">
        <f t="shared" si="15"/>
        <v/>
      </c>
      <c r="O159" s="20" t="str">
        <f t="shared" si="16"/>
        <v/>
      </c>
      <c r="P159" s="20" t="str">
        <f t="shared" si="17"/>
        <v/>
      </c>
      <c r="R159" s="20" t="str">
        <f t="shared" si="18"/>
        <v/>
      </c>
      <c r="T159" s="21" t="str">
        <f t="shared" si="19"/>
        <v/>
      </c>
      <c r="U159" s="20" t="str">
        <f t="shared" si="20"/>
        <v/>
      </c>
      <c r="V159" s="20" t="str">
        <f>IF(OR(S159&lt;&gt;"Y",B159&lt;AsOf-365,B159&gt;AsOf),"",IF(COUNTIFS($T$6:T159,T159,$B$6:B159,B159,$S$6:S159,"Y")=1,1,0))</f>
        <v/>
      </c>
    </row>
    <row r="160" spans="11:22" x14ac:dyDescent="0.35">
      <c r="K160" s="20" t="str">
        <f t="shared" si="14"/>
        <v>A</v>
      </c>
      <c r="L160" s="20" t="str">
        <f t="shared" si="15"/>
        <v/>
      </c>
      <c r="O160" s="20" t="str">
        <f t="shared" si="16"/>
        <v/>
      </c>
      <c r="P160" s="20" t="str">
        <f t="shared" si="17"/>
        <v/>
      </c>
      <c r="R160" s="20" t="str">
        <f t="shared" si="18"/>
        <v/>
      </c>
      <c r="T160" s="21" t="str">
        <f t="shared" si="19"/>
        <v/>
      </c>
      <c r="U160" s="20" t="str">
        <f t="shared" si="20"/>
        <v/>
      </c>
      <c r="V160" s="20" t="str">
        <f>IF(OR(S160&lt;&gt;"Y",B160&lt;AsOf-365,B160&gt;AsOf),"",IF(COUNTIFS($T$6:T160,T160,$B$6:B160,B160,$S$6:S160,"Y")=1,1,0))</f>
        <v/>
      </c>
    </row>
    <row r="161" spans="11:22" x14ac:dyDescent="0.35">
      <c r="K161" s="20" t="str">
        <f t="shared" si="14"/>
        <v>A</v>
      </c>
      <c r="L161" s="20" t="str">
        <f t="shared" si="15"/>
        <v/>
      </c>
      <c r="O161" s="20" t="str">
        <f t="shared" si="16"/>
        <v/>
      </c>
      <c r="P161" s="20" t="str">
        <f t="shared" si="17"/>
        <v/>
      </c>
      <c r="R161" s="20" t="str">
        <f t="shared" si="18"/>
        <v/>
      </c>
      <c r="T161" s="21" t="str">
        <f t="shared" si="19"/>
        <v/>
      </c>
      <c r="U161" s="20" t="str">
        <f t="shared" si="20"/>
        <v/>
      </c>
      <c r="V161" s="20" t="str">
        <f>IF(OR(S161&lt;&gt;"Y",B161&lt;AsOf-365,B161&gt;AsOf),"",IF(COUNTIFS($T$6:T161,T161,$B$6:B161,B161,$S$6:S161,"Y")=1,1,0))</f>
        <v/>
      </c>
    </row>
    <row r="162" spans="11:22" x14ac:dyDescent="0.35">
      <c r="K162" s="20" t="str">
        <f t="shared" si="14"/>
        <v>A</v>
      </c>
      <c r="L162" s="20" t="str">
        <f t="shared" si="15"/>
        <v/>
      </c>
      <c r="O162" s="20" t="str">
        <f t="shared" si="16"/>
        <v/>
      </c>
      <c r="P162" s="20" t="str">
        <f t="shared" si="17"/>
        <v/>
      </c>
      <c r="R162" s="20" t="str">
        <f t="shared" si="18"/>
        <v/>
      </c>
      <c r="T162" s="21" t="str">
        <f t="shared" si="19"/>
        <v/>
      </c>
      <c r="U162" s="20" t="str">
        <f t="shared" si="20"/>
        <v/>
      </c>
      <c r="V162" s="20" t="str">
        <f>IF(OR(S162&lt;&gt;"Y",B162&lt;AsOf-365,B162&gt;AsOf),"",IF(COUNTIFS($T$6:T162,T162,$B$6:B162,B162,$S$6:S162,"Y")=1,1,0))</f>
        <v/>
      </c>
    </row>
    <row r="163" spans="11:22" x14ac:dyDescent="0.35">
      <c r="K163" s="20" t="str">
        <f t="shared" si="14"/>
        <v>A</v>
      </c>
      <c r="L163" s="20" t="str">
        <f t="shared" si="15"/>
        <v/>
      </c>
      <c r="O163" s="20" t="str">
        <f t="shared" si="16"/>
        <v/>
      </c>
      <c r="P163" s="20" t="str">
        <f t="shared" si="17"/>
        <v/>
      </c>
      <c r="R163" s="20" t="str">
        <f t="shared" si="18"/>
        <v/>
      </c>
      <c r="T163" s="21" t="str">
        <f t="shared" si="19"/>
        <v/>
      </c>
      <c r="U163" s="20" t="str">
        <f t="shared" si="20"/>
        <v/>
      </c>
      <c r="V163" s="20" t="str">
        <f>IF(OR(S163&lt;&gt;"Y",B163&lt;AsOf-365,B163&gt;AsOf),"",IF(COUNTIFS($T$6:T163,T163,$B$6:B163,B163,$S$6:S163,"Y")=1,1,0))</f>
        <v/>
      </c>
    </row>
    <row r="164" spans="11:22" x14ac:dyDescent="0.35">
      <c r="K164" s="20" t="str">
        <f t="shared" si="14"/>
        <v>A</v>
      </c>
      <c r="L164" s="20" t="str">
        <f t="shared" si="15"/>
        <v/>
      </c>
      <c r="O164" s="20" t="str">
        <f t="shared" si="16"/>
        <v/>
      </c>
      <c r="P164" s="20" t="str">
        <f t="shared" si="17"/>
        <v/>
      </c>
      <c r="R164" s="20" t="str">
        <f t="shared" si="18"/>
        <v/>
      </c>
      <c r="T164" s="21" t="str">
        <f t="shared" si="19"/>
        <v/>
      </c>
      <c r="U164" s="20" t="str">
        <f t="shared" si="20"/>
        <v/>
      </c>
      <c r="V164" s="20" t="str">
        <f>IF(OR(S164&lt;&gt;"Y",B164&lt;AsOf-365,B164&gt;AsOf),"",IF(COUNTIFS($T$6:T164,T164,$B$6:B164,B164,$S$6:S164,"Y")=1,1,0))</f>
        <v/>
      </c>
    </row>
    <row r="165" spans="11:22" x14ac:dyDescent="0.35">
      <c r="K165" s="20" t="str">
        <f t="shared" si="14"/>
        <v>A</v>
      </c>
      <c r="L165" s="20" t="str">
        <f t="shared" si="15"/>
        <v/>
      </c>
      <c r="O165" s="20" t="str">
        <f t="shared" si="16"/>
        <v/>
      </c>
      <c r="P165" s="20" t="str">
        <f t="shared" si="17"/>
        <v/>
      </c>
      <c r="R165" s="20" t="str">
        <f t="shared" si="18"/>
        <v/>
      </c>
      <c r="T165" s="21" t="str">
        <f t="shared" si="19"/>
        <v/>
      </c>
      <c r="U165" s="20" t="str">
        <f t="shared" si="20"/>
        <v/>
      </c>
      <c r="V165" s="20" t="str">
        <f>IF(OR(S165&lt;&gt;"Y",B165&lt;AsOf-365,B165&gt;AsOf),"",IF(COUNTIFS($T$6:T165,T165,$B$6:B165,B165,$S$6:S165,"Y")=1,1,0))</f>
        <v/>
      </c>
    </row>
    <row r="166" spans="11:22" x14ac:dyDescent="0.35">
      <c r="K166" s="20" t="str">
        <f t="shared" si="14"/>
        <v>A</v>
      </c>
      <c r="L166" s="20" t="str">
        <f t="shared" si="15"/>
        <v/>
      </c>
      <c r="O166" s="20" t="str">
        <f t="shared" si="16"/>
        <v/>
      </c>
      <c r="P166" s="20" t="str">
        <f t="shared" si="17"/>
        <v/>
      </c>
      <c r="R166" s="20" t="str">
        <f t="shared" si="18"/>
        <v/>
      </c>
      <c r="T166" s="21" t="str">
        <f t="shared" si="19"/>
        <v/>
      </c>
      <c r="U166" s="20" t="str">
        <f t="shared" si="20"/>
        <v/>
      </c>
      <c r="V166" s="20" t="str">
        <f>IF(OR(S166&lt;&gt;"Y",B166&lt;AsOf-365,B166&gt;AsOf),"",IF(COUNTIFS($T$6:T166,T166,$B$6:B166,B166,$S$6:S166,"Y")=1,1,0))</f>
        <v/>
      </c>
    </row>
    <row r="167" spans="11:22" x14ac:dyDescent="0.35">
      <c r="K167" s="20" t="str">
        <f t="shared" si="14"/>
        <v>A</v>
      </c>
      <c r="L167" s="20" t="str">
        <f t="shared" si="15"/>
        <v/>
      </c>
      <c r="O167" s="20" t="str">
        <f t="shared" si="16"/>
        <v/>
      </c>
      <c r="P167" s="20" t="str">
        <f t="shared" si="17"/>
        <v/>
      </c>
      <c r="R167" s="20" t="str">
        <f t="shared" si="18"/>
        <v/>
      </c>
      <c r="T167" s="21" t="str">
        <f t="shared" si="19"/>
        <v/>
      </c>
      <c r="U167" s="20" t="str">
        <f t="shared" si="20"/>
        <v/>
      </c>
      <c r="V167" s="20" t="str">
        <f>IF(OR(S167&lt;&gt;"Y",B167&lt;AsOf-365,B167&gt;AsOf),"",IF(COUNTIFS($T$6:T167,T167,$B$6:B167,B167,$S$6:S167,"Y")=1,1,0))</f>
        <v/>
      </c>
    </row>
    <row r="168" spans="11:22" x14ac:dyDescent="0.35">
      <c r="K168" s="20" t="str">
        <f t="shared" si="14"/>
        <v>A</v>
      </c>
      <c r="L168" s="20" t="str">
        <f t="shared" si="15"/>
        <v/>
      </c>
      <c r="O168" s="20" t="str">
        <f t="shared" si="16"/>
        <v/>
      </c>
      <c r="P168" s="20" t="str">
        <f t="shared" si="17"/>
        <v/>
      </c>
      <c r="R168" s="20" t="str">
        <f t="shared" si="18"/>
        <v/>
      </c>
      <c r="T168" s="21" t="str">
        <f t="shared" si="19"/>
        <v/>
      </c>
      <c r="U168" s="20" t="str">
        <f t="shared" si="20"/>
        <v/>
      </c>
      <c r="V168" s="20" t="str">
        <f>IF(OR(S168&lt;&gt;"Y",B168&lt;AsOf-365,B168&gt;AsOf),"",IF(COUNTIFS($T$6:T168,T168,$B$6:B168,B168,$S$6:S168,"Y")=1,1,0))</f>
        <v/>
      </c>
    </row>
    <row r="169" spans="11:22" x14ac:dyDescent="0.35">
      <c r="K169" s="20" t="str">
        <f t="shared" si="14"/>
        <v>A</v>
      </c>
      <c r="L169" s="20" t="str">
        <f t="shared" si="15"/>
        <v/>
      </c>
      <c r="O169" s="20" t="str">
        <f t="shared" si="16"/>
        <v/>
      </c>
      <c r="P169" s="20" t="str">
        <f t="shared" si="17"/>
        <v/>
      </c>
      <c r="R169" s="20" t="str">
        <f t="shared" si="18"/>
        <v/>
      </c>
      <c r="T169" s="21" t="str">
        <f t="shared" si="19"/>
        <v/>
      </c>
      <c r="U169" s="20" t="str">
        <f t="shared" si="20"/>
        <v/>
      </c>
      <c r="V169" s="20" t="str">
        <f>IF(OR(S169&lt;&gt;"Y",B169&lt;AsOf-365,B169&gt;AsOf),"",IF(COUNTIFS($T$6:T169,T169,$B$6:B169,B169,$S$6:S169,"Y")=1,1,0))</f>
        <v/>
      </c>
    </row>
    <row r="170" spans="11:22" x14ac:dyDescent="0.35">
      <c r="K170" s="20" t="str">
        <f t="shared" si="14"/>
        <v>A</v>
      </c>
      <c r="L170" s="20" t="str">
        <f t="shared" si="15"/>
        <v/>
      </c>
      <c r="O170" s="20" t="str">
        <f t="shared" si="16"/>
        <v/>
      </c>
      <c r="P170" s="20" t="str">
        <f t="shared" si="17"/>
        <v/>
      </c>
      <c r="R170" s="20" t="str">
        <f t="shared" si="18"/>
        <v/>
      </c>
      <c r="T170" s="21" t="str">
        <f t="shared" si="19"/>
        <v/>
      </c>
      <c r="U170" s="20" t="str">
        <f t="shared" si="20"/>
        <v/>
      </c>
      <c r="V170" s="20" t="str">
        <f>IF(OR(S170&lt;&gt;"Y",B170&lt;AsOf-365,B170&gt;AsOf),"",IF(COUNTIFS($T$6:T170,T170,$B$6:B170,B170,$S$6:S170,"Y")=1,1,0))</f>
        <v/>
      </c>
    </row>
    <row r="171" spans="11:22" x14ac:dyDescent="0.35">
      <c r="K171" s="20" t="str">
        <f t="shared" si="14"/>
        <v>A</v>
      </c>
      <c r="L171" s="20" t="str">
        <f t="shared" si="15"/>
        <v/>
      </c>
      <c r="O171" s="20" t="str">
        <f t="shared" si="16"/>
        <v/>
      </c>
      <c r="P171" s="20" t="str">
        <f t="shared" si="17"/>
        <v/>
      </c>
      <c r="R171" s="20" t="str">
        <f t="shared" si="18"/>
        <v/>
      </c>
      <c r="T171" s="21" t="str">
        <f t="shared" si="19"/>
        <v/>
      </c>
      <c r="U171" s="20" t="str">
        <f t="shared" si="20"/>
        <v/>
      </c>
      <c r="V171" s="20" t="str">
        <f>IF(OR(S171&lt;&gt;"Y",B171&lt;AsOf-365,B171&gt;AsOf),"",IF(COUNTIFS($T$6:T171,T171,$B$6:B171,B171,$S$6:S171,"Y")=1,1,0))</f>
        <v/>
      </c>
    </row>
    <row r="172" spans="11:22" x14ac:dyDescent="0.35">
      <c r="K172" s="20" t="str">
        <f t="shared" si="14"/>
        <v>A</v>
      </c>
      <c r="L172" s="20" t="str">
        <f t="shared" si="15"/>
        <v/>
      </c>
      <c r="O172" s="20" t="str">
        <f t="shared" si="16"/>
        <v/>
      </c>
      <c r="P172" s="20" t="str">
        <f t="shared" si="17"/>
        <v/>
      </c>
      <c r="R172" s="20" t="str">
        <f t="shared" si="18"/>
        <v/>
      </c>
      <c r="T172" s="21" t="str">
        <f t="shared" si="19"/>
        <v/>
      </c>
      <c r="U172" s="20" t="str">
        <f t="shared" si="20"/>
        <v/>
      </c>
      <c r="V172" s="20" t="str">
        <f>IF(OR(S172&lt;&gt;"Y",B172&lt;AsOf-365,B172&gt;AsOf),"",IF(COUNTIFS($T$6:T172,T172,$B$6:B172,B172,$S$6:S172,"Y")=1,1,0))</f>
        <v/>
      </c>
    </row>
    <row r="173" spans="11:22" x14ac:dyDescent="0.35">
      <c r="K173" s="20" t="str">
        <f t="shared" si="14"/>
        <v>A</v>
      </c>
      <c r="L173" s="20" t="str">
        <f t="shared" si="15"/>
        <v/>
      </c>
      <c r="O173" s="20" t="str">
        <f t="shared" si="16"/>
        <v/>
      </c>
      <c r="P173" s="20" t="str">
        <f t="shared" si="17"/>
        <v/>
      </c>
      <c r="R173" s="20" t="str">
        <f t="shared" si="18"/>
        <v/>
      </c>
      <c r="T173" s="21" t="str">
        <f t="shared" si="19"/>
        <v/>
      </c>
      <c r="U173" s="20" t="str">
        <f t="shared" si="20"/>
        <v/>
      </c>
      <c r="V173" s="20" t="str">
        <f>IF(OR(S173&lt;&gt;"Y",B173&lt;AsOf-365,B173&gt;AsOf),"",IF(COUNTIFS($T$6:T173,T173,$B$6:B173,B173,$S$6:S173,"Y")=1,1,0))</f>
        <v/>
      </c>
    </row>
    <row r="174" spans="11:22" x14ac:dyDescent="0.35">
      <c r="K174" s="20" t="str">
        <f t="shared" si="14"/>
        <v>A</v>
      </c>
      <c r="L174" s="20" t="str">
        <f t="shared" si="15"/>
        <v/>
      </c>
      <c r="O174" s="20" t="str">
        <f t="shared" si="16"/>
        <v/>
      </c>
      <c r="P174" s="20" t="str">
        <f t="shared" si="17"/>
        <v/>
      </c>
      <c r="R174" s="20" t="str">
        <f t="shared" si="18"/>
        <v/>
      </c>
      <c r="T174" s="21" t="str">
        <f t="shared" si="19"/>
        <v/>
      </c>
      <c r="U174" s="20" t="str">
        <f t="shared" si="20"/>
        <v/>
      </c>
      <c r="V174" s="20" t="str">
        <f>IF(OR(S174&lt;&gt;"Y",B174&lt;AsOf-365,B174&gt;AsOf),"",IF(COUNTIFS($T$6:T174,T174,$B$6:B174,B174,$S$6:S174,"Y")=1,1,0))</f>
        <v/>
      </c>
    </row>
    <row r="175" spans="11:22" x14ac:dyDescent="0.35">
      <c r="K175" s="20" t="str">
        <f t="shared" si="14"/>
        <v>A</v>
      </c>
      <c r="L175" s="20" t="str">
        <f t="shared" si="15"/>
        <v/>
      </c>
      <c r="O175" s="20" t="str">
        <f t="shared" si="16"/>
        <v/>
      </c>
      <c r="P175" s="20" t="str">
        <f t="shared" si="17"/>
        <v/>
      </c>
      <c r="R175" s="20" t="str">
        <f t="shared" si="18"/>
        <v/>
      </c>
      <c r="T175" s="21" t="str">
        <f t="shared" si="19"/>
        <v/>
      </c>
      <c r="U175" s="20" t="str">
        <f t="shared" si="20"/>
        <v/>
      </c>
      <c r="V175" s="20" t="str">
        <f>IF(OR(S175&lt;&gt;"Y",B175&lt;AsOf-365,B175&gt;AsOf),"",IF(COUNTIFS($T$6:T175,T175,$B$6:B175,B175,$S$6:S175,"Y")=1,1,0))</f>
        <v/>
      </c>
    </row>
    <row r="176" spans="11:22" x14ac:dyDescent="0.35">
      <c r="K176" s="20" t="str">
        <f t="shared" si="14"/>
        <v>A</v>
      </c>
      <c r="L176" s="20" t="str">
        <f t="shared" si="15"/>
        <v/>
      </c>
      <c r="O176" s="20" t="str">
        <f t="shared" si="16"/>
        <v/>
      </c>
      <c r="P176" s="20" t="str">
        <f t="shared" si="17"/>
        <v/>
      </c>
      <c r="R176" s="20" t="str">
        <f t="shared" si="18"/>
        <v/>
      </c>
      <c r="T176" s="21" t="str">
        <f t="shared" si="19"/>
        <v/>
      </c>
      <c r="U176" s="20" t="str">
        <f t="shared" si="20"/>
        <v/>
      </c>
      <c r="V176" s="20" t="str">
        <f>IF(OR(S176&lt;&gt;"Y",B176&lt;AsOf-365,B176&gt;AsOf),"",IF(COUNTIFS($T$6:T176,T176,$B$6:B176,B176,$S$6:S176,"Y")=1,1,0))</f>
        <v/>
      </c>
    </row>
    <row r="177" spans="11:22" x14ac:dyDescent="0.35">
      <c r="K177" s="20" t="str">
        <f t="shared" si="14"/>
        <v>A</v>
      </c>
      <c r="L177" s="20" t="str">
        <f t="shared" si="15"/>
        <v/>
      </c>
      <c r="O177" s="20" t="str">
        <f t="shared" si="16"/>
        <v/>
      </c>
      <c r="P177" s="20" t="str">
        <f t="shared" si="17"/>
        <v/>
      </c>
      <c r="R177" s="20" t="str">
        <f t="shared" si="18"/>
        <v/>
      </c>
      <c r="T177" s="21" t="str">
        <f t="shared" si="19"/>
        <v/>
      </c>
      <c r="U177" s="20" t="str">
        <f t="shared" si="20"/>
        <v/>
      </c>
      <c r="V177" s="20" t="str">
        <f>IF(OR(S177&lt;&gt;"Y",B177&lt;AsOf-365,B177&gt;AsOf),"",IF(COUNTIFS($T$6:T177,T177,$B$6:B177,B177,$S$6:S177,"Y")=1,1,0))</f>
        <v/>
      </c>
    </row>
    <row r="178" spans="11:22" x14ac:dyDescent="0.35">
      <c r="K178" s="20" t="str">
        <f t="shared" si="14"/>
        <v>A</v>
      </c>
      <c r="L178" s="20" t="str">
        <f t="shared" si="15"/>
        <v/>
      </c>
      <c r="O178" s="20" t="str">
        <f t="shared" si="16"/>
        <v/>
      </c>
      <c r="P178" s="20" t="str">
        <f t="shared" si="17"/>
        <v/>
      </c>
      <c r="R178" s="20" t="str">
        <f t="shared" si="18"/>
        <v/>
      </c>
      <c r="T178" s="21" t="str">
        <f t="shared" si="19"/>
        <v/>
      </c>
      <c r="U178" s="20" t="str">
        <f t="shared" si="20"/>
        <v/>
      </c>
      <c r="V178" s="20" t="str">
        <f>IF(OR(S178&lt;&gt;"Y",B178&lt;AsOf-365,B178&gt;AsOf),"",IF(COUNTIFS($T$6:T178,T178,$B$6:B178,B178,$S$6:S178,"Y")=1,1,0))</f>
        <v/>
      </c>
    </row>
    <row r="179" spans="11:22" x14ac:dyDescent="0.35">
      <c r="K179" s="20" t="str">
        <f t="shared" si="14"/>
        <v>A</v>
      </c>
      <c r="L179" s="20" t="str">
        <f t="shared" si="15"/>
        <v/>
      </c>
      <c r="O179" s="20" t="str">
        <f t="shared" si="16"/>
        <v/>
      </c>
      <c r="P179" s="20" t="str">
        <f t="shared" si="17"/>
        <v/>
      </c>
      <c r="R179" s="20" t="str">
        <f t="shared" si="18"/>
        <v/>
      </c>
      <c r="T179" s="21" t="str">
        <f t="shared" si="19"/>
        <v/>
      </c>
      <c r="U179" s="20" t="str">
        <f t="shared" si="20"/>
        <v/>
      </c>
      <c r="V179" s="20" t="str">
        <f>IF(OR(S179&lt;&gt;"Y",B179&lt;AsOf-365,B179&gt;AsOf),"",IF(COUNTIFS($T$6:T179,T179,$B$6:B179,B179,$S$6:S179,"Y")=1,1,0))</f>
        <v/>
      </c>
    </row>
    <row r="180" spans="11:22" x14ac:dyDescent="0.35">
      <c r="K180" s="20" t="str">
        <f t="shared" si="14"/>
        <v>A</v>
      </c>
      <c r="L180" s="20" t="str">
        <f t="shared" si="15"/>
        <v/>
      </c>
      <c r="O180" s="20" t="str">
        <f t="shared" si="16"/>
        <v/>
      </c>
      <c r="P180" s="20" t="str">
        <f t="shared" si="17"/>
        <v/>
      </c>
      <c r="R180" s="20" t="str">
        <f t="shared" si="18"/>
        <v/>
      </c>
      <c r="T180" s="21" t="str">
        <f t="shared" si="19"/>
        <v/>
      </c>
      <c r="U180" s="20" t="str">
        <f t="shared" si="20"/>
        <v/>
      </c>
      <c r="V180" s="20" t="str">
        <f>IF(OR(S180&lt;&gt;"Y",B180&lt;AsOf-365,B180&gt;AsOf),"",IF(COUNTIFS($T$6:T180,T180,$B$6:B180,B180,$S$6:S180,"Y")=1,1,0))</f>
        <v/>
      </c>
    </row>
    <row r="181" spans="11:22" x14ac:dyDescent="0.35">
      <c r="K181" s="20" t="str">
        <f t="shared" si="14"/>
        <v>A</v>
      </c>
      <c r="L181" s="20" t="str">
        <f t="shared" si="15"/>
        <v/>
      </c>
      <c r="O181" s="20" t="str">
        <f t="shared" si="16"/>
        <v/>
      </c>
      <c r="P181" s="20" t="str">
        <f t="shared" si="17"/>
        <v/>
      </c>
      <c r="R181" s="20" t="str">
        <f t="shared" si="18"/>
        <v/>
      </c>
      <c r="T181" s="21" t="str">
        <f t="shared" si="19"/>
        <v/>
      </c>
      <c r="U181" s="20" t="str">
        <f t="shared" si="20"/>
        <v/>
      </c>
      <c r="V181" s="20" t="str">
        <f>IF(OR(S181&lt;&gt;"Y",B181&lt;AsOf-365,B181&gt;AsOf),"",IF(COUNTIFS($T$6:T181,T181,$B$6:B181,B181,$S$6:S181,"Y")=1,1,0))</f>
        <v/>
      </c>
    </row>
    <row r="182" spans="11:22" x14ac:dyDescent="0.35">
      <c r="K182" s="20" t="str">
        <f t="shared" si="14"/>
        <v>A</v>
      </c>
      <c r="L182" s="20" t="str">
        <f t="shared" si="15"/>
        <v/>
      </c>
      <c r="O182" s="20" t="str">
        <f t="shared" si="16"/>
        <v/>
      </c>
      <c r="P182" s="20" t="str">
        <f t="shared" si="17"/>
        <v/>
      </c>
      <c r="R182" s="20" t="str">
        <f t="shared" si="18"/>
        <v/>
      </c>
      <c r="T182" s="21" t="str">
        <f t="shared" si="19"/>
        <v/>
      </c>
      <c r="U182" s="20" t="str">
        <f t="shared" si="20"/>
        <v/>
      </c>
      <c r="V182" s="20" t="str">
        <f>IF(OR(S182&lt;&gt;"Y",B182&lt;AsOf-365,B182&gt;AsOf),"",IF(COUNTIFS($T$6:T182,T182,$B$6:B182,B182,$S$6:S182,"Y")=1,1,0))</f>
        <v/>
      </c>
    </row>
    <row r="183" spans="11:22" x14ac:dyDescent="0.35">
      <c r="K183" s="20" t="str">
        <f t="shared" si="14"/>
        <v>A</v>
      </c>
      <c r="L183" s="20" t="str">
        <f t="shared" si="15"/>
        <v/>
      </c>
      <c r="O183" s="20" t="str">
        <f t="shared" si="16"/>
        <v/>
      </c>
      <c r="P183" s="20" t="str">
        <f t="shared" si="17"/>
        <v/>
      </c>
      <c r="R183" s="20" t="str">
        <f t="shared" si="18"/>
        <v/>
      </c>
      <c r="T183" s="21" t="str">
        <f t="shared" si="19"/>
        <v/>
      </c>
      <c r="U183" s="20" t="str">
        <f t="shared" si="20"/>
        <v/>
      </c>
      <c r="V183" s="20" t="str">
        <f>IF(OR(S183&lt;&gt;"Y",B183&lt;AsOf-365,B183&gt;AsOf),"",IF(COUNTIFS($T$6:T183,T183,$B$6:B183,B183,$S$6:S183,"Y")=1,1,0))</f>
        <v/>
      </c>
    </row>
    <row r="184" spans="11:22" x14ac:dyDescent="0.35">
      <c r="K184" s="20" t="str">
        <f t="shared" si="14"/>
        <v>A</v>
      </c>
      <c r="L184" s="20" t="str">
        <f t="shared" si="15"/>
        <v/>
      </c>
      <c r="O184" s="20" t="str">
        <f t="shared" si="16"/>
        <v/>
      </c>
      <c r="P184" s="20" t="str">
        <f t="shared" si="17"/>
        <v/>
      </c>
      <c r="R184" s="20" t="str">
        <f t="shared" si="18"/>
        <v/>
      </c>
      <c r="T184" s="21" t="str">
        <f t="shared" si="19"/>
        <v/>
      </c>
      <c r="U184" s="20" t="str">
        <f t="shared" si="20"/>
        <v/>
      </c>
      <c r="V184" s="20" t="str">
        <f>IF(OR(S184&lt;&gt;"Y",B184&lt;AsOf-365,B184&gt;AsOf),"",IF(COUNTIFS($T$6:T184,T184,$B$6:B184,B184,$S$6:S184,"Y")=1,1,0))</f>
        <v/>
      </c>
    </row>
    <row r="185" spans="11:22" x14ac:dyDescent="0.35">
      <c r="K185" s="20" t="str">
        <f t="shared" si="14"/>
        <v>A</v>
      </c>
      <c r="L185" s="20" t="str">
        <f t="shared" si="15"/>
        <v/>
      </c>
      <c r="O185" s="20" t="str">
        <f t="shared" si="16"/>
        <v/>
      </c>
      <c r="P185" s="20" t="str">
        <f t="shared" si="17"/>
        <v/>
      </c>
      <c r="R185" s="20" t="str">
        <f t="shared" si="18"/>
        <v/>
      </c>
      <c r="T185" s="21" t="str">
        <f t="shared" si="19"/>
        <v/>
      </c>
      <c r="U185" s="20" t="str">
        <f t="shared" si="20"/>
        <v/>
      </c>
      <c r="V185" s="20" t="str">
        <f>IF(OR(S185&lt;&gt;"Y",B185&lt;AsOf-365,B185&gt;AsOf),"",IF(COUNTIFS($T$6:T185,T185,$B$6:B185,B185,$S$6:S185,"Y")=1,1,0))</f>
        <v/>
      </c>
    </row>
    <row r="186" spans="11:22" x14ac:dyDescent="0.35">
      <c r="K186" s="20" t="str">
        <f t="shared" si="14"/>
        <v>A</v>
      </c>
      <c r="L186" s="20" t="str">
        <f t="shared" si="15"/>
        <v/>
      </c>
      <c r="O186" s="20" t="str">
        <f t="shared" si="16"/>
        <v/>
      </c>
      <c r="P186" s="20" t="str">
        <f t="shared" si="17"/>
        <v/>
      </c>
      <c r="R186" s="20" t="str">
        <f t="shared" si="18"/>
        <v/>
      </c>
      <c r="T186" s="21" t="str">
        <f t="shared" si="19"/>
        <v/>
      </c>
      <c r="U186" s="20" t="str">
        <f t="shared" si="20"/>
        <v/>
      </c>
      <c r="V186" s="20" t="str">
        <f>IF(OR(S186&lt;&gt;"Y",B186&lt;AsOf-365,B186&gt;AsOf),"",IF(COUNTIFS($T$6:T186,T186,$B$6:B186,B186,$S$6:S186,"Y")=1,1,0))</f>
        <v/>
      </c>
    </row>
    <row r="187" spans="11:22" x14ac:dyDescent="0.35">
      <c r="K187" s="20" t="str">
        <f t="shared" si="14"/>
        <v>A</v>
      </c>
      <c r="L187" s="20" t="str">
        <f t="shared" si="15"/>
        <v/>
      </c>
      <c r="O187" s="20" t="str">
        <f t="shared" si="16"/>
        <v/>
      </c>
      <c r="P187" s="20" t="str">
        <f t="shared" si="17"/>
        <v/>
      </c>
      <c r="R187" s="20" t="str">
        <f t="shared" si="18"/>
        <v/>
      </c>
      <c r="T187" s="21" t="str">
        <f t="shared" si="19"/>
        <v/>
      </c>
      <c r="U187" s="20" t="str">
        <f t="shared" si="20"/>
        <v/>
      </c>
      <c r="V187" s="20" t="str">
        <f>IF(OR(S187&lt;&gt;"Y",B187&lt;AsOf-365,B187&gt;AsOf),"",IF(COUNTIFS($T$6:T187,T187,$B$6:B187,B187,$S$6:S187,"Y")=1,1,0))</f>
        <v/>
      </c>
    </row>
    <row r="188" spans="11:22" x14ac:dyDescent="0.35">
      <c r="K188" s="20" t="str">
        <f t="shared" si="14"/>
        <v>A</v>
      </c>
      <c r="L188" s="20" t="str">
        <f t="shared" si="15"/>
        <v/>
      </c>
      <c r="O188" s="20" t="str">
        <f t="shared" si="16"/>
        <v/>
      </c>
      <c r="P188" s="20" t="str">
        <f t="shared" si="17"/>
        <v/>
      </c>
      <c r="R188" s="20" t="str">
        <f t="shared" si="18"/>
        <v/>
      </c>
      <c r="T188" s="21" t="str">
        <f t="shared" si="19"/>
        <v/>
      </c>
      <c r="U188" s="20" t="str">
        <f t="shared" si="20"/>
        <v/>
      </c>
      <c r="V188" s="20" t="str">
        <f>IF(OR(S188&lt;&gt;"Y",B188&lt;AsOf-365,B188&gt;AsOf),"",IF(COUNTIFS($T$6:T188,T188,$B$6:B188,B188,$S$6:S188,"Y")=1,1,0))</f>
        <v/>
      </c>
    </row>
    <row r="189" spans="11:22" x14ac:dyDescent="0.35">
      <c r="K189" s="20" t="str">
        <f t="shared" si="14"/>
        <v>A</v>
      </c>
      <c r="L189" s="20" t="str">
        <f t="shared" si="15"/>
        <v/>
      </c>
      <c r="O189" s="20" t="str">
        <f t="shared" si="16"/>
        <v/>
      </c>
      <c r="P189" s="20" t="str">
        <f t="shared" si="17"/>
        <v/>
      </c>
      <c r="R189" s="20" t="str">
        <f t="shared" si="18"/>
        <v/>
      </c>
      <c r="T189" s="21" t="str">
        <f t="shared" si="19"/>
        <v/>
      </c>
      <c r="U189" s="20" t="str">
        <f t="shared" si="20"/>
        <v/>
      </c>
      <c r="V189" s="20" t="str">
        <f>IF(OR(S189&lt;&gt;"Y",B189&lt;AsOf-365,B189&gt;AsOf),"",IF(COUNTIFS($T$6:T189,T189,$B$6:B189,B189,$S$6:S189,"Y")=1,1,0))</f>
        <v/>
      </c>
    </row>
    <row r="190" spans="11:22" x14ac:dyDescent="0.35">
      <c r="K190" s="20" t="str">
        <f t="shared" si="14"/>
        <v>A</v>
      </c>
      <c r="L190" s="20" t="str">
        <f t="shared" si="15"/>
        <v/>
      </c>
      <c r="O190" s="20" t="str">
        <f t="shared" si="16"/>
        <v/>
      </c>
      <c r="P190" s="20" t="str">
        <f t="shared" si="17"/>
        <v/>
      </c>
      <c r="R190" s="20" t="str">
        <f t="shared" si="18"/>
        <v/>
      </c>
      <c r="T190" s="21" t="str">
        <f t="shared" si="19"/>
        <v/>
      </c>
      <c r="U190" s="20" t="str">
        <f t="shared" si="20"/>
        <v/>
      </c>
      <c r="V190" s="20" t="str">
        <f>IF(OR(S190&lt;&gt;"Y",B190&lt;AsOf-365,B190&gt;AsOf),"",IF(COUNTIFS($T$6:T190,T190,$B$6:B190,B190,$S$6:S190,"Y")=1,1,0))</f>
        <v/>
      </c>
    </row>
    <row r="191" spans="11:22" x14ac:dyDescent="0.35">
      <c r="K191" s="20" t="str">
        <f t="shared" si="14"/>
        <v>A</v>
      </c>
      <c r="L191" s="20" t="str">
        <f t="shared" si="15"/>
        <v/>
      </c>
      <c r="O191" s="20" t="str">
        <f t="shared" si="16"/>
        <v/>
      </c>
      <c r="P191" s="20" t="str">
        <f t="shared" si="17"/>
        <v/>
      </c>
      <c r="R191" s="20" t="str">
        <f t="shared" si="18"/>
        <v/>
      </c>
      <c r="T191" s="21" t="str">
        <f t="shared" si="19"/>
        <v/>
      </c>
      <c r="U191" s="20" t="str">
        <f t="shared" si="20"/>
        <v/>
      </c>
      <c r="V191" s="20" t="str">
        <f>IF(OR(S191&lt;&gt;"Y",B191&lt;AsOf-365,B191&gt;AsOf),"",IF(COUNTIFS($T$6:T191,T191,$B$6:B191,B191,$S$6:S191,"Y")=1,1,0))</f>
        <v/>
      </c>
    </row>
    <row r="192" spans="11:22" x14ac:dyDescent="0.35">
      <c r="K192" s="20" t="str">
        <f t="shared" si="14"/>
        <v>A</v>
      </c>
      <c r="L192" s="20" t="str">
        <f t="shared" si="15"/>
        <v/>
      </c>
      <c r="O192" s="20" t="str">
        <f t="shared" si="16"/>
        <v/>
      </c>
      <c r="P192" s="20" t="str">
        <f t="shared" si="17"/>
        <v/>
      </c>
      <c r="R192" s="20" t="str">
        <f t="shared" si="18"/>
        <v/>
      </c>
      <c r="T192" s="21" t="str">
        <f t="shared" si="19"/>
        <v/>
      </c>
      <c r="U192" s="20" t="str">
        <f t="shared" si="20"/>
        <v/>
      </c>
      <c r="V192" s="20" t="str">
        <f>IF(OR(S192&lt;&gt;"Y",B192&lt;AsOf-365,B192&gt;AsOf),"",IF(COUNTIFS($T$6:T192,T192,$B$6:B192,B192,$S$6:S192,"Y")=1,1,0))</f>
        <v/>
      </c>
    </row>
    <row r="193" spans="11:22" x14ac:dyDescent="0.35">
      <c r="K193" s="20" t="str">
        <f t="shared" si="14"/>
        <v>A</v>
      </c>
      <c r="L193" s="20" t="str">
        <f t="shared" si="15"/>
        <v/>
      </c>
      <c r="O193" s="20" t="str">
        <f t="shared" si="16"/>
        <v/>
      </c>
      <c r="P193" s="20" t="str">
        <f t="shared" si="17"/>
        <v/>
      </c>
      <c r="R193" s="20" t="str">
        <f t="shared" si="18"/>
        <v/>
      </c>
      <c r="T193" s="21" t="str">
        <f t="shared" si="19"/>
        <v/>
      </c>
      <c r="U193" s="20" t="str">
        <f t="shared" si="20"/>
        <v/>
      </c>
      <c r="V193" s="20" t="str">
        <f>IF(OR(S193&lt;&gt;"Y",B193&lt;AsOf-365,B193&gt;AsOf),"",IF(COUNTIFS($T$6:T193,T193,$B$6:B193,B193,$S$6:S193,"Y")=1,1,0))</f>
        <v/>
      </c>
    </row>
    <row r="194" spans="11:22" x14ac:dyDescent="0.35">
      <c r="K194" s="20" t="str">
        <f t="shared" si="14"/>
        <v>A</v>
      </c>
      <c r="L194" s="20" t="str">
        <f t="shared" si="15"/>
        <v/>
      </c>
      <c r="O194" s="20" t="str">
        <f t="shared" si="16"/>
        <v/>
      </c>
      <c r="P194" s="20" t="str">
        <f t="shared" si="17"/>
        <v/>
      </c>
      <c r="R194" s="20" t="str">
        <f t="shared" si="18"/>
        <v/>
      </c>
      <c r="T194" s="21" t="str">
        <f t="shared" si="19"/>
        <v/>
      </c>
      <c r="U194" s="20" t="str">
        <f t="shared" si="20"/>
        <v/>
      </c>
      <c r="V194" s="20" t="str">
        <f>IF(OR(S194&lt;&gt;"Y",B194&lt;AsOf-365,B194&gt;AsOf),"",IF(COUNTIFS($T$6:T194,T194,$B$6:B194,B194,$S$6:S194,"Y")=1,1,0))</f>
        <v/>
      </c>
    </row>
    <row r="195" spans="11:22" x14ac:dyDescent="0.35">
      <c r="K195" s="20" t="str">
        <f t="shared" si="14"/>
        <v>A</v>
      </c>
      <c r="L195" s="20" t="str">
        <f t="shared" si="15"/>
        <v/>
      </c>
      <c r="O195" s="20" t="str">
        <f t="shared" si="16"/>
        <v/>
      </c>
      <c r="P195" s="20" t="str">
        <f t="shared" si="17"/>
        <v/>
      </c>
      <c r="R195" s="20" t="str">
        <f t="shared" si="18"/>
        <v/>
      </c>
      <c r="T195" s="21" t="str">
        <f t="shared" si="19"/>
        <v/>
      </c>
      <c r="U195" s="20" t="str">
        <f t="shared" si="20"/>
        <v/>
      </c>
      <c r="V195" s="20" t="str">
        <f>IF(OR(S195&lt;&gt;"Y",B195&lt;AsOf-365,B195&gt;AsOf),"",IF(COUNTIFS($T$6:T195,T195,$B$6:B195,B195,$S$6:S195,"Y")=1,1,0))</f>
        <v/>
      </c>
    </row>
    <row r="196" spans="11:22" x14ac:dyDescent="0.35">
      <c r="K196" s="20" t="str">
        <f t="shared" si="14"/>
        <v>A</v>
      </c>
      <c r="L196" s="20" t="str">
        <f t="shared" si="15"/>
        <v/>
      </c>
      <c r="O196" s="20" t="str">
        <f t="shared" si="16"/>
        <v/>
      </c>
      <c r="P196" s="20" t="str">
        <f t="shared" si="17"/>
        <v/>
      </c>
      <c r="R196" s="20" t="str">
        <f t="shared" si="18"/>
        <v/>
      </c>
      <c r="T196" s="21" t="str">
        <f t="shared" si="19"/>
        <v/>
      </c>
      <c r="U196" s="20" t="str">
        <f t="shared" si="20"/>
        <v/>
      </c>
      <c r="V196" s="20" t="str">
        <f>IF(OR(S196&lt;&gt;"Y",B196&lt;AsOf-365,B196&gt;AsOf),"",IF(COUNTIFS($T$6:T196,T196,$B$6:B196,B196,$S$6:S196,"Y")=1,1,0))</f>
        <v/>
      </c>
    </row>
    <row r="197" spans="11:22" x14ac:dyDescent="0.35">
      <c r="K197" s="20" t="str">
        <f t="shared" si="14"/>
        <v>A</v>
      </c>
      <c r="L197" s="20" t="str">
        <f t="shared" si="15"/>
        <v/>
      </c>
      <c r="O197" s="20" t="str">
        <f t="shared" si="16"/>
        <v/>
      </c>
      <c r="P197" s="20" t="str">
        <f t="shared" si="17"/>
        <v/>
      </c>
      <c r="R197" s="20" t="str">
        <f t="shared" si="18"/>
        <v/>
      </c>
      <c r="T197" s="21" t="str">
        <f t="shared" si="19"/>
        <v/>
      </c>
      <c r="U197" s="20" t="str">
        <f t="shared" si="20"/>
        <v/>
      </c>
      <c r="V197" s="20" t="str">
        <f>IF(OR(S197&lt;&gt;"Y",B197&lt;AsOf-365,B197&gt;AsOf),"",IF(COUNTIFS($T$6:T197,T197,$B$6:B197,B197,$S$6:S197,"Y")=1,1,0))</f>
        <v/>
      </c>
    </row>
    <row r="198" spans="11:22" x14ac:dyDescent="0.35">
      <c r="K198" s="20" t="str">
        <f t="shared" ref="K198:K261" si="21">IF(F198="Y",IF(G198="Y","B","C"),IF(OR(D198="Credit",D198="Equity"),"C",IF(H198="Y","B","A")))</f>
        <v>A</v>
      </c>
      <c r="L198" s="20" t="str">
        <f t="shared" ref="L198:L261" si="22">IF(J198="","",IF(K198="A",MATCH(J198,RowA_low,1),IF(K198="B",MATCH(J198,RowB_low,1),IF(K198="C",MATCH(J198,RowC_low,1),""))))</f>
        <v/>
      </c>
      <c r="O198" s="20" t="str">
        <f t="shared" ref="O198:O261" si="23">IF(N198="","","C")</f>
        <v/>
      </c>
      <c r="P198" s="20" t="str">
        <f t="shared" ref="P198:P261" si="24">IF(N198="","",MATCH(N198,RowC_low,1))</f>
        <v/>
      </c>
      <c r="R198" s="20" t="str">
        <f t="shared" ref="R198:R261" si="25">IF(Q198="","",MATCH(Q198,RowD_low,1))</f>
        <v/>
      </c>
      <c r="T198" s="21" t="str">
        <f t="shared" ref="T198:T261" si="26">IF(D198="","",D198&amp;"|"&amp;E198&amp;"|t1."&amp;IF(L198="","-",L198)&amp;IF(P198="","","|t2."&amp;P198)&amp;IF(R198="","","|s."&amp;R198))</f>
        <v/>
      </c>
      <c r="U198" s="20" t="str">
        <f t="shared" ref="U198:U261" si="27">IF(OR(S198&lt;&gt;"Y",B198&lt;AsOf-365,B198&gt;AsOf),"",IF(COUNTIFS($T$6:$T$405,T198,$S$6:$S$405,"Y",$B$6:$B$405,"&gt;"&amp;B198,$B$6:$B$405,"&lt;="&amp;AsOf)=0,"",_xlfn.MINIFS($B$6:$B$405,$T$6:$T$405,T198,$S$6:$S$405,"Y",$B$6:$B$405,"&gt;"&amp;B198,$B$6:$B$405,"&lt;="&amp;AsOf)-B198))</f>
        <v/>
      </c>
      <c r="V198" s="20" t="str">
        <f>IF(OR(S198&lt;&gt;"Y",B198&lt;AsOf-365,B198&gt;AsOf),"",IF(COUNTIFS($T$6:T198,T198,$B$6:B198,B198,$S$6:S198,"Y")=1,1,0))</f>
        <v/>
      </c>
    </row>
    <row r="199" spans="11:22" x14ac:dyDescent="0.35">
      <c r="K199" s="20" t="str">
        <f t="shared" si="21"/>
        <v>A</v>
      </c>
      <c r="L199" s="20" t="str">
        <f t="shared" si="22"/>
        <v/>
      </c>
      <c r="O199" s="20" t="str">
        <f t="shared" si="23"/>
        <v/>
      </c>
      <c r="P199" s="20" t="str">
        <f t="shared" si="24"/>
        <v/>
      </c>
      <c r="R199" s="20" t="str">
        <f t="shared" si="25"/>
        <v/>
      </c>
      <c r="T199" s="21" t="str">
        <f t="shared" si="26"/>
        <v/>
      </c>
      <c r="U199" s="20" t="str">
        <f t="shared" si="27"/>
        <v/>
      </c>
      <c r="V199" s="20" t="str">
        <f>IF(OR(S199&lt;&gt;"Y",B199&lt;AsOf-365,B199&gt;AsOf),"",IF(COUNTIFS($T$6:T199,T199,$B$6:B199,B199,$S$6:S199,"Y")=1,1,0))</f>
        <v/>
      </c>
    </row>
    <row r="200" spans="11:22" x14ac:dyDescent="0.35">
      <c r="K200" s="20" t="str">
        <f t="shared" si="21"/>
        <v>A</v>
      </c>
      <c r="L200" s="20" t="str">
        <f t="shared" si="22"/>
        <v/>
      </c>
      <c r="O200" s="20" t="str">
        <f t="shared" si="23"/>
        <v/>
      </c>
      <c r="P200" s="20" t="str">
        <f t="shared" si="24"/>
        <v/>
      </c>
      <c r="R200" s="20" t="str">
        <f t="shared" si="25"/>
        <v/>
      </c>
      <c r="T200" s="21" t="str">
        <f t="shared" si="26"/>
        <v/>
      </c>
      <c r="U200" s="20" t="str">
        <f t="shared" si="27"/>
        <v/>
      </c>
      <c r="V200" s="20" t="str">
        <f>IF(OR(S200&lt;&gt;"Y",B200&lt;AsOf-365,B200&gt;AsOf),"",IF(COUNTIFS($T$6:T200,T200,$B$6:B200,B200,$S$6:S200,"Y")=1,1,0))</f>
        <v/>
      </c>
    </row>
    <row r="201" spans="11:22" x14ac:dyDescent="0.35">
      <c r="K201" s="20" t="str">
        <f t="shared" si="21"/>
        <v>A</v>
      </c>
      <c r="L201" s="20" t="str">
        <f t="shared" si="22"/>
        <v/>
      </c>
      <c r="O201" s="20" t="str">
        <f t="shared" si="23"/>
        <v/>
      </c>
      <c r="P201" s="20" t="str">
        <f t="shared" si="24"/>
        <v/>
      </c>
      <c r="R201" s="20" t="str">
        <f t="shared" si="25"/>
        <v/>
      </c>
      <c r="T201" s="21" t="str">
        <f t="shared" si="26"/>
        <v/>
      </c>
      <c r="U201" s="20" t="str">
        <f t="shared" si="27"/>
        <v/>
      </c>
      <c r="V201" s="20" t="str">
        <f>IF(OR(S201&lt;&gt;"Y",B201&lt;AsOf-365,B201&gt;AsOf),"",IF(COUNTIFS($T$6:T201,T201,$B$6:B201,B201,$S$6:S201,"Y")=1,1,0))</f>
        <v/>
      </c>
    </row>
    <row r="202" spans="11:22" x14ac:dyDescent="0.35">
      <c r="K202" s="20" t="str">
        <f t="shared" si="21"/>
        <v>A</v>
      </c>
      <c r="L202" s="20" t="str">
        <f t="shared" si="22"/>
        <v/>
      </c>
      <c r="O202" s="20" t="str">
        <f t="shared" si="23"/>
        <v/>
      </c>
      <c r="P202" s="20" t="str">
        <f t="shared" si="24"/>
        <v/>
      </c>
      <c r="R202" s="20" t="str">
        <f t="shared" si="25"/>
        <v/>
      </c>
      <c r="T202" s="21" t="str">
        <f t="shared" si="26"/>
        <v/>
      </c>
      <c r="U202" s="20" t="str">
        <f t="shared" si="27"/>
        <v/>
      </c>
      <c r="V202" s="20" t="str">
        <f>IF(OR(S202&lt;&gt;"Y",B202&lt;AsOf-365,B202&gt;AsOf),"",IF(COUNTIFS($T$6:T202,T202,$B$6:B202,B202,$S$6:S202,"Y")=1,1,0))</f>
        <v/>
      </c>
    </row>
    <row r="203" spans="11:22" x14ac:dyDescent="0.35">
      <c r="K203" s="20" t="str">
        <f t="shared" si="21"/>
        <v>A</v>
      </c>
      <c r="L203" s="20" t="str">
        <f t="shared" si="22"/>
        <v/>
      </c>
      <c r="O203" s="20" t="str">
        <f t="shared" si="23"/>
        <v/>
      </c>
      <c r="P203" s="20" t="str">
        <f t="shared" si="24"/>
        <v/>
      </c>
      <c r="R203" s="20" t="str">
        <f t="shared" si="25"/>
        <v/>
      </c>
      <c r="T203" s="21" t="str">
        <f t="shared" si="26"/>
        <v/>
      </c>
      <c r="U203" s="20" t="str">
        <f t="shared" si="27"/>
        <v/>
      </c>
      <c r="V203" s="20" t="str">
        <f>IF(OR(S203&lt;&gt;"Y",B203&lt;AsOf-365,B203&gt;AsOf),"",IF(COUNTIFS($T$6:T203,T203,$B$6:B203,B203,$S$6:S203,"Y")=1,1,0))</f>
        <v/>
      </c>
    </row>
    <row r="204" spans="11:22" x14ac:dyDescent="0.35">
      <c r="K204" s="20" t="str">
        <f t="shared" si="21"/>
        <v>A</v>
      </c>
      <c r="L204" s="20" t="str">
        <f t="shared" si="22"/>
        <v/>
      </c>
      <c r="O204" s="20" t="str">
        <f t="shared" si="23"/>
        <v/>
      </c>
      <c r="P204" s="20" t="str">
        <f t="shared" si="24"/>
        <v/>
      </c>
      <c r="R204" s="20" t="str">
        <f t="shared" si="25"/>
        <v/>
      </c>
      <c r="T204" s="21" t="str">
        <f t="shared" si="26"/>
        <v/>
      </c>
      <c r="U204" s="20" t="str">
        <f t="shared" si="27"/>
        <v/>
      </c>
      <c r="V204" s="20" t="str">
        <f>IF(OR(S204&lt;&gt;"Y",B204&lt;AsOf-365,B204&gt;AsOf),"",IF(COUNTIFS($T$6:T204,T204,$B$6:B204,B204,$S$6:S204,"Y")=1,1,0))</f>
        <v/>
      </c>
    </row>
    <row r="205" spans="11:22" x14ac:dyDescent="0.35">
      <c r="K205" s="20" t="str">
        <f t="shared" si="21"/>
        <v>A</v>
      </c>
      <c r="L205" s="20" t="str">
        <f t="shared" si="22"/>
        <v/>
      </c>
      <c r="O205" s="20" t="str">
        <f t="shared" si="23"/>
        <v/>
      </c>
      <c r="P205" s="20" t="str">
        <f t="shared" si="24"/>
        <v/>
      </c>
      <c r="R205" s="20" t="str">
        <f t="shared" si="25"/>
        <v/>
      </c>
      <c r="T205" s="21" t="str">
        <f t="shared" si="26"/>
        <v/>
      </c>
      <c r="U205" s="20" t="str">
        <f t="shared" si="27"/>
        <v/>
      </c>
      <c r="V205" s="20" t="str">
        <f>IF(OR(S205&lt;&gt;"Y",B205&lt;AsOf-365,B205&gt;AsOf),"",IF(COUNTIFS($T$6:T205,T205,$B$6:B205,B205,$S$6:S205,"Y")=1,1,0))</f>
        <v/>
      </c>
    </row>
    <row r="206" spans="11:22" x14ac:dyDescent="0.35">
      <c r="K206" s="20" t="str">
        <f t="shared" si="21"/>
        <v>A</v>
      </c>
      <c r="L206" s="20" t="str">
        <f t="shared" si="22"/>
        <v/>
      </c>
      <c r="O206" s="20" t="str">
        <f t="shared" si="23"/>
        <v/>
      </c>
      <c r="P206" s="20" t="str">
        <f t="shared" si="24"/>
        <v/>
      </c>
      <c r="R206" s="20" t="str">
        <f t="shared" si="25"/>
        <v/>
      </c>
      <c r="T206" s="21" t="str">
        <f t="shared" si="26"/>
        <v/>
      </c>
      <c r="U206" s="20" t="str">
        <f t="shared" si="27"/>
        <v/>
      </c>
      <c r="V206" s="20" t="str">
        <f>IF(OR(S206&lt;&gt;"Y",B206&lt;AsOf-365,B206&gt;AsOf),"",IF(COUNTIFS($T$6:T206,T206,$B$6:B206,B206,$S$6:S206,"Y")=1,1,0))</f>
        <v/>
      </c>
    </row>
    <row r="207" spans="11:22" x14ac:dyDescent="0.35">
      <c r="K207" s="20" t="str">
        <f t="shared" si="21"/>
        <v>A</v>
      </c>
      <c r="L207" s="20" t="str">
        <f t="shared" si="22"/>
        <v/>
      </c>
      <c r="O207" s="20" t="str">
        <f t="shared" si="23"/>
        <v/>
      </c>
      <c r="P207" s="20" t="str">
        <f t="shared" si="24"/>
        <v/>
      </c>
      <c r="R207" s="20" t="str">
        <f t="shared" si="25"/>
        <v/>
      </c>
      <c r="T207" s="21" t="str">
        <f t="shared" si="26"/>
        <v/>
      </c>
      <c r="U207" s="20" t="str">
        <f t="shared" si="27"/>
        <v/>
      </c>
      <c r="V207" s="20" t="str">
        <f>IF(OR(S207&lt;&gt;"Y",B207&lt;AsOf-365,B207&gt;AsOf),"",IF(COUNTIFS($T$6:T207,T207,$B$6:B207,B207,$S$6:S207,"Y")=1,1,0))</f>
        <v/>
      </c>
    </row>
    <row r="208" spans="11:22" x14ac:dyDescent="0.35">
      <c r="K208" s="20" t="str">
        <f t="shared" si="21"/>
        <v>A</v>
      </c>
      <c r="L208" s="20" t="str">
        <f t="shared" si="22"/>
        <v/>
      </c>
      <c r="O208" s="20" t="str">
        <f t="shared" si="23"/>
        <v/>
      </c>
      <c r="P208" s="20" t="str">
        <f t="shared" si="24"/>
        <v/>
      </c>
      <c r="R208" s="20" t="str">
        <f t="shared" si="25"/>
        <v/>
      </c>
      <c r="T208" s="21" t="str">
        <f t="shared" si="26"/>
        <v/>
      </c>
      <c r="U208" s="20" t="str">
        <f t="shared" si="27"/>
        <v/>
      </c>
      <c r="V208" s="20" t="str">
        <f>IF(OR(S208&lt;&gt;"Y",B208&lt;AsOf-365,B208&gt;AsOf),"",IF(COUNTIFS($T$6:T208,T208,$B$6:B208,B208,$S$6:S208,"Y")=1,1,0))</f>
        <v/>
      </c>
    </row>
    <row r="209" spans="11:22" x14ac:dyDescent="0.35">
      <c r="K209" s="20" t="str">
        <f t="shared" si="21"/>
        <v>A</v>
      </c>
      <c r="L209" s="20" t="str">
        <f t="shared" si="22"/>
        <v/>
      </c>
      <c r="O209" s="20" t="str">
        <f t="shared" si="23"/>
        <v/>
      </c>
      <c r="P209" s="20" t="str">
        <f t="shared" si="24"/>
        <v/>
      </c>
      <c r="R209" s="20" t="str">
        <f t="shared" si="25"/>
        <v/>
      </c>
      <c r="T209" s="21" t="str">
        <f t="shared" si="26"/>
        <v/>
      </c>
      <c r="U209" s="20" t="str">
        <f t="shared" si="27"/>
        <v/>
      </c>
      <c r="V209" s="20" t="str">
        <f>IF(OR(S209&lt;&gt;"Y",B209&lt;AsOf-365,B209&gt;AsOf),"",IF(COUNTIFS($T$6:T209,T209,$B$6:B209,B209,$S$6:S209,"Y")=1,1,0))</f>
        <v/>
      </c>
    </row>
    <row r="210" spans="11:22" x14ac:dyDescent="0.35">
      <c r="K210" s="20" t="str">
        <f t="shared" si="21"/>
        <v>A</v>
      </c>
      <c r="L210" s="20" t="str">
        <f t="shared" si="22"/>
        <v/>
      </c>
      <c r="O210" s="20" t="str">
        <f t="shared" si="23"/>
        <v/>
      </c>
      <c r="P210" s="20" t="str">
        <f t="shared" si="24"/>
        <v/>
      </c>
      <c r="R210" s="20" t="str">
        <f t="shared" si="25"/>
        <v/>
      </c>
      <c r="T210" s="21" t="str">
        <f t="shared" si="26"/>
        <v/>
      </c>
      <c r="U210" s="20" t="str">
        <f t="shared" si="27"/>
        <v/>
      </c>
      <c r="V210" s="20" t="str">
        <f>IF(OR(S210&lt;&gt;"Y",B210&lt;AsOf-365,B210&gt;AsOf),"",IF(COUNTIFS($T$6:T210,T210,$B$6:B210,B210,$S$6:S210,"Y")=1,1,0))</f>
        <v/>
      </c>
    </row>
    <row r="211" spans="11:22" x14ac:dyDescent="0.35">
      <c r="K211" s="20" t="str">
        <f t="shared" si="21"/>
        <v>A</v>
      </c>
      <c r="L211" s="20" t="str">
        <f t="shared" si="22"/>
        <v/>
      </c>
      <c r="O211" s="20" t="str">
        <f t="shared" si="23"/>
        <v/>
      </c>
      <c r="P211" s="20" t="str">
        <f t="shared" si="24"/>
        <v/>
      </c>
      <c r="R211" s="20" t="str">
        <f t="shared" si="25"/>
        <v/>
      </c>
      <c r="T211" s="21" t="str">
        <f t="shared" si="26"/>
        <v/>
      </c>
      <c r="U211" s="20" t="str">
        <f t="shared" si="27"/>
        <v/>
      </c>
      <c r="V211" s="20" t="str">
        <f>IF(OR(S211&lt;&gt;"Y",B211&lt;AsOf-365,B211&gt;AsOf),"",IF(COUNTIFS($T$6:T211,T211,$B$6:B211,B211,$S$6:S211,"Y")=1,1,0))</f>
        <v/>
      </c>
    </row>
    <row r="212" spans="11:22" x14ac:dyDescent="0.35">
      <c r="K212" s="20" t="str">
        <f t="shared" si="21"/>
        <v>A</v>
      </c>
      <c r="L212" s="20" t="str">
        <f t="shared" si="22"/>
        <v/>
      </c>
      <c r="O212" s="20" t="str">
        <f t="shared" si="23"/>
        <v/>
      </c>
      <c r="P212" s="20" t="str">
        <f t="shared" si="24"/>
        <v/>
      </c>
      <c r="R212" s="20" t="str">
        <f t="shared" si="25"/>
        <v/>
      </c>
      <c r="T212" s="21" t="str">
        <f t="shared" si="26"/>
        <v/>
      </c>
      <c r="U212" s="20" t="str">
        <f t="shared" si="27"/>
        <v/>
      </c>
      <c r="V212" s="20" t="str">
        <f>IF(OR(S212&lt;&gt;"Y",B212&lt;AsOf-365,B212&gt;AsOf),"",IF(COUNTIFS($T$6:T212,T212,$B$6:B212,B212,$S$6:S212,"Y")=1,1,0))</f>
        <v/>
      </c>
    </row>
    <row r="213" spans="11:22" x14ac:dyDescent="0.35">
      <c r="K213" s="20" t="str">
        <f t="shared" si="21"/>
        <v>A</v>
      </c>
      <c r="L213" s="20" t="str">
        <f t="shared" si="22"/>
        <v/>
      </c>
      <c r="O213" s="20" t="str">
        <f t="shared" si="23"/>
        <v/>
      </c>
      <c r="P213" s="20" t="str">
        <f t="shared" si="24"/>
        <v/>
      </c>
      <c r="R213" s="20" t="str">
        <f t="shared" si="25"/>
        <v/>
      </c>
      <c r="T213" s="21" t="str">
        <f t="shared" si="26"/>
        <v/>
      </c>
      <c r="U213" s="20" t="str">
        <f t="shared" si="27"/>
        <v/>
      </c>
      <c r="V213" s="20" t="str">
        <f>IF(OR(S213&lt;&gt;"Y",B213&lt;AsOf-365,B213&gt;AsOf),"",IF(COUNTIFS($T$6:T213,T213,$B$6:B213,B213,$S$6:S213,"Y")=1,1,0))</f>
        <v/>
      </c>
    </row>
    <row r="214" spans="11:22" x14ac:dyDescent="0.35">
      <c r="K214" s="20" t="str">
        <f t="shared" si="21"/>
        <v>A</v>
      </c>
      <c r="L214" s="20" t="str">
        <f t="shared" si="22"/>
        <v/>
      </c>
      <c r="O214" s="20" t="str">
        <f t="shared" si="23"/>
        <v/>
      </c>
      <c r="P214" s="20" t="str">
        <f t="shared" si="24"/>
        <v/>
      </c>
      <c r="R214" s="20" t="str">
        <f t="shared" si="25"/>
        <v/>
      </c>
      <c r="T214" s="21" t="str">
        <f t="shared" si="26"/>
        <v/>
      </c>
      <c r="U214" s="20" t="str">
        <f t="shared" si="27"/>
        <v/>
      </c>
      <c r="V214" s="20" t="str">
        <f>IF(OR(S214&lt;&gt;"Y",B214&lt;AsOf-365,B214&gt;AsOf),"",IF(COUNTIFS($T$6:T214,T214,$B$6:B214,B214,$S$6:S214,"Y")=1,1,0))</f>
        <v/>
      </c>
    </row>
    <row r="215" spans="11:22" x14ac:dyDescent="0.35">
      <c r="K215" s="20" t="str">
        <f t="shared" si="21"/>
        <v>A</v>
      </c>
      <c r="L215" s="20" t="str">
        <f t="shared" si="22"/>
        <v/>
      </c>
      <c r="O215" s="20" t="str">
        <f t="shared" si="23"/>
        <v/>
      </c>
      <c r="P215" s="20" t="str">
        <f t="shared" si="24"/>
        <v/>
      </c>
      <c r="R215" s="20" t="str">
        <f t="shared" si="25"/>
        <v/>
      </c>
      <c r="T215" s="21" t="str">
        <f t="shared" si="26"/>
        <v/>
      </c>
      <c r="U215" s="20" t="str">
        <f t="shared" si="27"/>
        <v/>
      </c>
      <c r="V215" s="20" t="str">
        <f>IF(OR(S215&lt;&gt;"Y",B215&lt;AsOf-365,B215&gt;AsOf),"",IF(COUNTIFS($T$6:T215,T215,$B$6:B215,B215,$S$6:S215,"Y")=1,1,0))</f>
        <v/>
      </c>
    </row>
    <row r="216" spans="11:22" x14ac:dyDescent="0.35">
      <c r="K216" s="20" t="str">
        <f t="shared" si="21"/>
        <v>A</v>
      </c>
      <c r="L216" s="20" t="str">
        <f t="shared" si="22"/>
        <v/>
      </c>
      <c r="O216" s="20" t="str">
        <f t="shared" si="23"/>
        <v/>
      </c>
      <c r="P216" s="20" t="str">
        <f t="shared" si="24"/>
        <v/>
      </c>
      <c r="R216" s="20" t="str">
        <f t="shared" si="25"/>
        <v/>
      </c>
      <c r="T216" s="21" t="str">
        <f t="shared" si="26"/>
        <v/>
      </c>
      <c r="U216" s="20" t="str">
        <f t="shared" si="27"/>
        <v/>
      </c>
      <c r="V216" s="20" t="str">
        <f>IF(OR(S216&lt;&gt;"Y",B216&lt;AsOf-365,B216&gt;AsOf),"",IF(COUNTIFS($T$6:T216,T216,$B$6:B216,B216,$S$6:S216,"Y")=1,1,0))</f>
        <v/>
      </c>
    </row>
    <row r="217" spans="11:22" x14ac:dyDescent="0.35">
      <c r="K217" s="20" t="str">
        <f t="shared" si="21"/>
        <v>A</v>
      </c>
      <c r="L217" s="20" t="str">
        <f t="shared" si="22"/>
        <v/>
      </c>
      <c r="O217" s="20" t="str">
        <f t="shared" si="23"/>
        <v/>
      </c>
      <c r="P217" s="20" t="str">
        <f t="shared" si="24"/>
        <v/>
      </c>
      <c r="R217" s="20" t="str">
        <f t="shared" si="25"/>
        <v/>
      </c>
      <c r="T217" s="21" t="str">
        <f t="shared" si="26"/>
        <v/>
      </c>
      <c r="U217" s="20" t="str">
        <f t="shared" si="27"/>
        <v/>
      </c>
      <c r="V217" s="20" t="str">
        <f>IF(OR(S217&lt;&gt;"Y",B217&lt;AsOf-365,B217&gt;AsOf),"",IF(COUNTIFS($T$6:T217,T217,$B$6:B217,B217,$S$6:S217,"Y")=1,1,0))</f>
        <v/>
      </c>
    </row>
    <row r="218" spans="11:22" x14ac:dyDescent="0.35">
      <c r="K218" s="20" t="str">
        <f t="shared" si="21"/>
        <v>A</v>
      </c>
      <c r="L218" s="20" t="str">
        <f t="shared" si="22"/>
        <v/>
      </c>
      <c r="O218" s="20" t="str">
        <f t="shared" si="23"/>
        <v/>
      </c>
      <c r="P218" s="20" t="str">
        <f t="shared" si="24"/>
        <v/>
      </c>
      <c r="R218" s="20" t="str">
        <f t="shared" si="25"/>
        <v/>
      </c>
      <c r="T218" s="21" t="str">
        <f t="shared" si="26"/>
        <v/>
      </c>
      <c r="U218" s="20" t="str">
        <f t="shared" si="27"/>
        <v/>
      </c>
      <c r="V218" s="20" t="str">
        <f>IF(OR(S218&lt;&gt;"Y",B218&lt;AsOf-365,B218&gt;AsOf),"",IF(COUNTIFS($T$6:T218,T218,$B$6:B218,B218,$S$6:S218,"Y")=1,1,0))</f>
        <v/>
      </c>
    </row>
    <row r="219" spans="11:22" x14ac:dyDescent="0.35">
      <c r="K219" s="20" t="str">
        <f t="shared" si="21"/>
        <v>A</v>
      </c>
      <c r="L219" s="20" t="str">
        <f t="shared" si="22"/>
        <v/>
      </c>
      <c r="O219" s="20" t="str">
        <f t="shared" si="23"/>
        <v/>
      </c>
      <c r="P219" s="20" t="str">
        <f t="shared" si="24"/>
        <v/>
      </c>
      <c r="R219" s="20" t="str">
        <f t="shared" si="25"/>
        <v/>
      </c>
      <c r="T219" s="21" t="str">
        <f t="shared" si="26"/>
        <v/>
      </c>
      <c r="U219" s="20" t="str">
        <f t="shared" si="27"/>
        <v/>
      </c>
      <c r="V219" s="20" t="str">
        <f>IF(OR(S219&lt;&gt;"Y",B219&lt;AsOf-365,B219&gt;AsOf),"",IF(COUNTIFS($T$6:T219,T219,$B$6:B219,B219,$S$6:S219,"Y")=1,1,0))</f>
        <v/>
      </c>
    </row>
    <row r="220" spans="11:22" x14ac:dyDescent="0.35">
      <c r="K220" s="20" t="str">
        <f t="shared" si="21"/>
        <v>A</v>
      </c>
      <c r="L220" s="20" t="str">
        <f t="shared" si="22"/>
        <v/>
      </c>
      <c r="O220" s="20" t="str">
        <f t="shared" si="23"/>
        <v/>
      </c>
      <c r="P220" s="20" t="str">
        <f t="shared" si="24"/>
        <v/>
      </c>
      <c r="R220" s="20" t="str">
        <f t="shared" si="25"/>
        <v/>
      </c>
      <c r="T220" s="21" t="str">
        <f t="shared" si="26"/>
        <v/>
      </c>
      <c r="U220" s="20" t="str">
        <f t="shared" si="27"/>
        <v/>
      </c>
      <c r="V220" s="20" t="str">
        <f>IF(OR(S220&lt;&gt;"Y",B220&lt;AsOf-365,B220&gt;AsOf),"",IF(COUNTIFS($T$6:T220,T220,$B$6:B220,B220,$S$6:S220,"Y")=1,1,0))</f>
        <v/>
      </c>
    </row>
    <row r="221" spans="11:22" x14ac:dyDescent="0.35">
      <c r="K221" s="20" t="str">
        <f t="shared" si="21"/>
        <v>A</v>
      </c>
      <c r="L221" s="20" t="str">
        <f t="shared" si="22"/>
        <v/>
      </c>
      <c r="O221" s="20" t="str">
        <f t="shared" si="23"/>
        <v/>
      </c>
      <c r="P221" s="20" t="str">
        <f t="shared" si="24"/>
        <v/>
      </c>
      <c r="R221" s="20" t="str">
        <f t="shared" si="25"/>
        <v/>
      </c>
      <c r="T221" s="21" t="str">
        <f t="shared" si="26"/>
        <v/>
      </c>
      <c r="U221" s="20" t="str">
        <f t="shared" si="27"/>
        <v/>
      </c>
      <c r="V221" s="20" t="str">
        <f>IF(OR(S221&lt;&gt;"Y",B221&lt;AsOf-365,B221&gt;AsOf),"",IF(COUNTIFS($T$6:T221,T221,$B$6:B221,B221,$S$6:S221,"Y")=1,1,0))</f>
        <v/>
      </c>
    </row>
    <row r="222" spans="11:22" x14ac:dyDescent="0.35">
      <c r="K222" s="20" t="str">
        <f t="shared" si="21"/>
        <v>A</v>
      </c>
      <c r="L222" s="20" t="str">
        <f t="shared" si="22"/>
        <v/>
      </c>
      <c r="O222" s="20" t="str">
        <f t="shared" si="23"/>
        <v/>
      </c>
      <c r="P222" s="20" t="str">
        <f t="shared" si="24"/>
        <v/>
      </c>
      <c r="R222" s="20" t="str">
        <f t="shared" si="25"/>
        <v/>
      </c>
      <c r="T222" s="21" t="str">
        <f t="shared" si="26"/>
        <v/>
      </c>
      <c r="U222" s="20" t="str">
        <f t="shared" si="27"/>
        <v/>
      </c>
      <c r="V222" s="20" t="str">
        <f>IF(OR(S222&lt;&gt;"Y",B222&lt;AsOf-365,B222&gt;AsOf),"",IF(COUNTIFS($T$6:T222,T222,$B$6:B222,B222,$S$6:S222,"Y")=1,1,0))</f>
        <v/>
      </c>
    </row>
    <row r="223" spans="11:22" x14ac:dyDescent="0.35">
      <c r="K223" s="20" t="str">
        <f t="shared" si="21"/>
        <v>A</v>
      </c>
      <c r="L223" s="20" t="str">
        <f t="shared" si="22"/>
        <v/>
      </c>
      <c r="O223" s="20" t="str">
        <f t="shared" si="23"/>
        <v/>
      </c>
      <c r="P223" s="20" t="str">
        <f t="shared" si="24"/>
        <v/>
      </c>
      <c r="R223" s="20" t="str">
        <f t="shared" si="25"/>
        <v/>
      </c>
      <c r="T223" s="21" t="str">
        <f t="shared" si="26"/>
        <v/>
      </c>
      <c r="U223" s="20" t="str">
        <f t="shared" si="27"/>
        <v/>
      </c>
      <c r="V223" s="20" t="str">
        <f>IF(OR(S223&lt;&gt;"Y",B223&lt;AsOf-365,B223&gt;AsOf),"",IF(COUNTIFS($T$6:T223,T223,$B$6:B223,B223,$S$6:S223,"Y")=1,1,0))</f>
        <v/>
      </c>
    </row>
    <row r="224" spans="11:22" x14ac:dyDescent="0.35">
      <c r="K224" s="20" t="str">
        <f t="shared" si="21"/>
        <v>A</v>
      </c>
      <c r="L224" s="20" t="str">
        <f t="shared" si="22"/>
        <v/>
      </c>
      <c r="O224" s="20" t="str">
        <f t="shared" si="23"/>
        <v/>
      </c>
      <c r="P224" s="20" t="str">
        <f t="shared" si="24"/>
        <v/>
      </c>
      <c r="R224" s="20" t="str">
        <f t="shared" si="25"/>
        <v/>
      </c>
      <c r="T224" s="21" t="str">
        <f t="shared" si="26"/>
        <v/>
      </c>
      <c r="U224" s="20" t="str">
        <f t="shared" si="27"/>
        <v/>
      </c>
      <c r="V224" s="20" t="str">
        <f>IF(OR(S224&lt;&gt;"Y",B224&lt;AsOf-365,B224&gt;AsOf),"",IF(COUNTIFS($T$6:T224,T224,$B$6:B224,B224,$S$6:S224,"Y")=1,1,0))</f>
        <v/>
      </c>
    </row>
    <row r="225" spans="11:22" x14ac:dyDescent="0.35">
      <c r="K225" s="20" t="str">
        <f t="shared" si="21"/>
        <v>A</v>
      </c>
      <c r="L225" s="20" t="str">
        <f t="shared" si="22"/>
        <v/>
      </c>
      <c r="O225" s="20" t="str">
        <f t="shared" si="23"/>
        <v/>
      </c>
      <c r="P225" s="20" t="str">
        <f t="shared" si="24"/>
        <v/>
      </c>
      <c r="R225" s="20" t="str">
        <f t="shared" si="25"/>
        <v/>
      </c>
      <c r="T225" s="21" t="str">
        <f t="shared" si="26"/>
        <v/>
      </c>
      <c r="U225" s="20" t="str">
        <f t="shared" si="27"/>
        <v/>
      </c>
      <c r="V225" s="20" t="str">
        <f>IF(OR(S225&lt;&gt;"Y",B225&lt;AsOf-365,B225&gt;AsOf),"",IF(COUNTIFS($T$6:T225,T225,$B$6:B225,B225,$S$6:S225,"Y")=1,1,0))</f>
        <v/>
      </c>
    </row>
    <row r="226" spans="11:22" x14ac:dyDescent="0.35">
      <c r="K226" s="20" t="str">
        <f t="shared" si="21"/>
        <v>A</v>
      </c>
      <c r="L226" s="20" t="str">
        <f t="shared" si="22"/>
        <v/>
      </c>
      <c r="O226" s="20" t="str">
        <f t="shared" si="23"/>
        <v/>
      </c>
      <c r="P226" s="20" t="str">
        <f t="shared" si="24"/>
        <v/>
      </c>
      <c r="R226" s="20" t="str">
        <f t="shared" si="25"/>
        <v/>
      </c>
      <c r="T226" s="21" t="str">
        <f t="shared" si="26"/>
        <v/>
      </c>
      <c r="U226" s="20" t="str">
        <f t="shared" si="27"/>
        <v/>
      </c>
      <c r="V226" s="20" t="str">
        <f>IF(OR(S226&lt;&gt;"Y",B226&lt;AsOf-365,B226&gt;AsOf),"",IF(COUNTIFS($T$6:T226,T226,$B$6:B226,B226,$S$6:S226,"Y")=1,1,0))</f>
        <v/>
      </c>
    </row>
    <row r="227" spans="11:22" x14ac:dyDescent="0.35">
      <c r="K227" s="20" t="str">
        <f t="shared" si="21"/>
        <v>A</v>
      </c>
      <c r="L227" s="20" t="str">
        <f t="shared" si="22"/>
        <v/>
      </c>
      <c r="O227" s="20" t="str">
        <f t="shared" si="23"/>
        <v/>
      </c>
      <c r="P227" s="20" t="str">
        <f t="shared" si="24"/>
        <v/>
      </c>
      <c r="R227" s="20" t="str">
        <f t="shared" si="25"/>
        <v/>
      </c>
      <c r="T227" s="21" t="str">
        <f t="shared" si="26"/>
        <v/>
      </c>
      <c r="U227" s="20" t="str">
        <f t="shared" si="27"/>
        <v/>
      </c>
      <c r="V227" s="20" t="str">
        <f>IF(OR(S227&lt;&gt;"Y",B227&lt;AsOf-365,B227&gt;AsOf),"",IF(COUNTIFS($T$6:T227,T227,$B$6:B227,B227,$S$6:S227,"Y")=1,1,0))</f>
        <v/>
      </c>
    </row>
    <row r="228" spans="11:22" x14ac:dyDescent="0.35">
      <c r="K228" s="20" t="str">
        <f t="shared" si="21"/>
        <v>A</v>
      </c>
      <c r="L228" s="20" t="str">
        <f t="shared" si="22"/>
        <v/>
      </c>
      <c r="O228" s="20" t="str">
        <f t="shared" si="23"/>
        <v/>
      </c>
      <c r="P228" s="20" t="str">
        <f t="shared" si="24"/>
        <v/>
      </c>
      <c r="R228" s="20" t="str">
        <f t="shared" si="25"/>
        <v/>
      </c>
      <c r="T228" s="21" t="str">
        <f t="shared" si="26"/>
        <v/>
      </c>
      <c r="U228" s="20" t="str">
        <f t="shared" si="27"/>
        <v/>
      </c>
      <c r="V228" s="20" t="str">
        <f>IF(OR(S228&lt;&gt;"Y",B228&lt;AsOf-365,B228&gt;AsOf),"",IF(COUNTIFS($T$6:T228,T228,$B$6:B228,B228,$S$6:S228,"Y")=1,1,0))</f>
        <v/>
      </c>
    </row>
    <row r="229" spans="11:22" x14ac:dyDescent="0.35">
      <c r="K229" s="20" t="str">
        <f t="shared" si="21"/>
        <v>A</v>
      </c>
      <c r="L229" s="20" t="str">
        <f t="shared" si="22"/>
        <v/>
      </c>
      <c r="O229" s="20" t="str">
        <f t="shared" si="23"/>
        <v/>
      </c>
      <c r="P229" s="20" t="str">
        <f t="shared" si="24"/>
        <v/>
      </c>
      <c r="R229" s="20" t="str">
        <f t="shared" si="25"/>
        <v/>
      </c>
      <c r="T229" s="21" t="str">
        <f t="shared" si="26"/>
        <v/>
      </c>
      <c r="U229" s="20" t="str">
        <f t="shared" si="27"/>
        <v/>
      </c>
      <c r="V229" s="20" t="str">
        <f>IF(OR(S229&lt;&gt;"Y",B229&lt;AsOf-365,B229&gt;AsOf),"",IF(COUNTIFS($T$6:T229,T229,$B$6:B229,B229,$S$6:S229,"Y")=1,1,0))</f>
        <v/>
      </c>
    </row>
    <row r="230" spans="11:22" x14ac:dyDescent="0.35">
      <c r="K230" s="20" t="str">
        <f t="shared" si="21"/>
        <v>A</v>
      </c>
      <c r="L230" s="20" t="str">
        <f t="shared" si="22"/>
        <v/>
      </c>
      <c r="O230" s="20" t="str">
        <f t="shared" si="23"/>
        <v/>
      </c>
      <c r="P230" s="20" t="str">
        <f t="shared" si="24"/>
        <v/>
      </c>
      <c r="R230" s="20" t="str">
        <f t="shared" si="25"/>
        <v/>
      </c>
      <c r="T230" s="21" t="str">
        <f t="shared" si="26"/>
        <v/>
      </c>
      <c r="U230" s="20" t="str">
        <f t="shared" si="27"/>
        <v/>
      </c>
      <c r="V230" s="20" t="str">
        <f>IF(OR(S230&lt;&gt;"Y",B230&lt;AsOf-365,B230&gt;AsOf),"",IF(COUNTIFS($T$6:T230,T230,$B$6:B230,B230,$S$6:S230,"Y")=1,1,0))</f>
        <v/>
      </c>
    </row>
    <row r="231" spans="11:22" x14ac:dyDescent="0.35">
      <c r="K231" s="20" t="str">
        <f t="shared" si="21"/>
        <v>A</v>
      </c>
      <c r="L231" s="20" t="str">
        <f t="shared" si="22"/>
        <v/>
      </c>
      <c r="O231" s="20" t="str">
        <f t="shared" si="23"/>
        <v/>
      </c>
      <c r="P231" s="20" t="str">
        <f t="shared" si="24"/>
        <v/>
      </c>
      <c r="R231" s="20" t="str">
        <f t="shared" si="25"/>
        <v/>
      </c>
      <c r="T231" s="21" t="str">
        <f t="shared" si="26"/>
        <v/>
      </c>
      <c r="U231" s="20" t="str">
        <f t="shared" si="27"/>
        <v/>
      </c>
      <c r="V231" s="20" t="str">
        <f>IF(OR(S231&lt;&gt;"Y",B231&lt;AsOf-365,B231&gt;AsOf),"",IF(COUNTIFS($T$6:T231,T231,$B$6:B231,B231,$S$6:S231,"Y")=1,1,0))</f>
        <v/>
      </c>
    </row>
    <row r="232" spans="11:22" x14ac:dyDescent="0.35">
      <c r="K232" s="20" t="str">
        <f t="shared" si="21"/>
        <v>A</v>
      </c>
      <c r="L232" s="20" t="str">
        <f t="shared" si="22"/>
        <v/>
      </c>
      <c r="O232" s="20" t="str">
        <f t="shared" si="23"/>
        <v/>
      </c>
      <c r="P232" s="20" t="str">
        <f t="shared" si="24"/>
        <v/>
      </c>
      <c r="R232" s="20" t="str">
        <f t="shared" si="25"/>
        <v/>
      </c>
      <c r="T232" s="21" t="str">
        <f t="shared" si="26"/>
        <v/>
      </c>
      <c r="U232" s="20" t="str">
        <f t="shared" si="27"/>
        <v/>
      </c>
      <c r="V232" s="20" t="str">
        <f>IF(OR(S232&lt;&gt;"Y",B232&lt;AsOf-365,B232&gt;AsOf),"",IF(COUNTIFS($T$6:T232,T232,$B$6:B232,B232,$S$6:S232,"Y")=1,1,0))</f>
        <v/>
      </c>
    </row>
    <row r="233" spans="11:22" x14ac:dyDescent="0.35">
      <c r="K233" s="20" t="str">
        <f t="shared" si="21"/>
        <v>A</v>
      </c>
      <c r="L233" s="20" t="str">
        <f t="shared" si="22"/>
        <v/>
      </c>
      <c r="O233" s="20" t="str">
        <f t="shared" si="23"/>
        <v/>
      </c>
      <c r="P233" s="20" t="str">
        <f t="shared" si="24"/>
        <v/>
      </c>
      <c r="R233" s="20" t="str">
        <f t="shared" si="25"/>
        <v/>
      </c>
      <c r="T233" s="21" t="str">
        <f t="shared" si="26"/>
        <v/>
      </c>
      <c r="U233" s="20" t="str">
        <f t="shared" si="27"/>
        <v/>
      </c>
      <c r="V233" s="20" t="str">
        <f>IF(OR(S233&lt;&gt;"Y",B233&lt;AsOf-365,B233&gt;AsOf),"",IF(COUNTIFS($T$6:T233,T233,$B$6:B233,B233,$S$6:S233,"Y")=1,1,0))</f>
        <v/>
      </c>
    </row>
    <row r="234" spans="11:22" x14ac:dyDescent="0.35">
      <c r="K234" s="20" t="str">
        <f t="shared" si="21"/>
        <v>A</v>
      </c>
      <c r="L234" s="20" t="str">
        <f t="shared" si="22"/>
        <v/>
      </c>
      <c r="O234" s="20" t="str">
        <f t="shared" si="23"/>
        <v/>
      </c>
      <c r="P234" s="20" t="str">
        <f t="shared" si="24"/>
        <v/>
      </c>
      <c r="R234" s="20" t="str">
        <f t="shared" si="25"/>
        <v/>
      </c>
      <c r="T234" s="21" t="str">
        <f t="shared" si="26"/>
        <v/>
      </c>
      <c r="U234" s="20" t="str">
        <f t="shared" si="27"/>
        <v/>
      </c>
      <c r="V234" s="20" t="str">
        <f>IF(OR(S234&lt;&gt;"Y",B234&lt;AsOf-365,B234&gt;AsOf),"",IF(COUNTIFS($T$6:T234,T234,$B$6:B234,B234,$S$6:S234,"Y")=1,1,0))</f>
        <v/>
      </c>
    </row>
    <row r="235" spans="11:22" x14ac:dyDescent="0.35">
      <c r="K235" s="20" t="str">
        <f t="shared" si="21"/>
        <v>A</v>
      </c>
      <c r="L235" s="20" t="str">
        <f t="shared" si="22"/>
        <v/>
      </c>
      <c r="O235" s="20" t="str">
        <f t="shared" si="23"/>
        <v/>
      </c>
      <c r="P235" s="20" t="str">
        <f t="shared" si="24"/>
        <v/>
      </c>
      <c r="R235" s="20" t="str">
        <f t="shared" si="25"/>
        <v/>
      </c>
      <c r="T235" s="21" t="str">
        <f t="shared" si="26"/>
        <v/>
      </c>
      <c r="U235" s="20" t="str">
        <f t="shared" si="27"/>
        <v/>
      </c>
      <c r="V235" s="20" t="str">
        <f>IF(OR(S235&lt;&gt;"Y",B235&lt;AsOf-365,B235&gt;AsOf),"",IF(COUNTIFS($T$6:T235,T235,$B$6:B235,B235,$S$6:S235,"Y")=1,1,0))</f>
        <v/>
      </c>
    </row>
    <row r="236" spans="11:22" x14ac:dyDescent="0.35">
      <c r="K236" s="20" t="str">
        <f t="shared" si="21"/>
        <v>A</v>
      </c>
      <c r="L236" s="20" t="str">
        <f t="shared" si="22"/>
        <v/>
      </c>
      <c r="O236" s="20" t="str">
        <f t="shared" si="23"/>
        <v/>
      </c>
      <c r="P236" s="20" t="str">
        <f t="shared" si="24"/>
        <v/>
      </c>
      <c r="R236" s="20" t="str">
        <f t="shared" si="25"/>
        <v/>
      </c>
      <c r="T236" s="21" t="str">
        <f t="shared" si="26"/>
        <v/>
      </c>
      <c r="U236" s="20" t="str">
        <f t="shared" si="27"/>
        <v/>
      </c>
      <c r="V236" s="20" t="str">
        <f>IF(OR(S236&lt;&gt;"Y",B236&lt;AsOf-365,B236&gt;AsOf),"",IF(COUNTIFS($T$6:T236,T236,$B$6:B236,B236,$S$6:S236,"Y")=1,1,0))</f>
        <v/>
      </c>
    </row>
    <row r="237" spans="11:22" x14ac:dyDescent="0.35">
      <c r="K237" s="20" t="str">
        <f t="shared" si="21"/>
        <v>A</v>
      </c>
      <c r="L237" s="20" t="str">
        <f t="shared" si="22"/>
        <v/>
      </c>
      <c r="O237" s="20" t="str">
        <f t="shared" si="23"/>
        <v/>
      </c>
      <c r="P237" s="20" t="str">
        <f t="shared" si="24"/>
        <v/>
      </c>
      <c r="R237" s="20" t="str">
        <f t="shared" si="25"/>
        <v/>
      </c>
      <c r="T237" s="21" t="str">
        <f t="shared" si="26"/>
        <v/>
      </c>
      <c r="U237" s="20" t="str">
        <f t="shared" si="27"/>
        <v/>
      </c>
      <c r="V237" s="20" t="str">
        <f>IF(OR(S237&lt;&gt;"Y",B237&lt;AsOf-365,B237&gt;AsOf),"",IF(COUNTIFS($T$6:T237,T237,$B$6:B237,B237,$S$6:S237,"Y")=1,1,0))</f>
        <v/>
      </c>
    </row>
    <row r="238" spans="11:22" x14ac:dyDescent="0.35">
      <c r="K238" s="20" t="str">
        <f t="shared" si="21"/>
        <v>A</v>
      </c>
      <c r="L238" s="20" t="str">
        <f t="shared" si="22"/>
        <v/>
      </c>
      <c r="O238" s="20" t="str">
        <f t="shared" si="23"/>
        <v/>
      </c>
      <c r="P238" s="20" t="str">
        <f t="shared" si="24"/>
        <v/>
      </c>
      <c r="R238" s="20" t="str">
        <f t="shared" si="25"/>
        <v/>
      </c>
      <c r="T238" s="21" t="str">
        <f t="shared" si="26"/>
        <v/>
      </c>
      <c r="U238" s="20" t="str">
        <f t="shared" si="27"/>
        <v/>
      </c>
      <c r="V238" s="20" t="str">
        <f>IF(OR(S238&lt;&gt;"Y",B238&lt;AsOf-365,B238&gt;AsOf),"",IF(COUNTIFS($T$6:T238,T238,$B$6:B238,B238,$S$6:S238,"Y")=1,1,0))</f>
        <v/>
      </c>
    </row>
    <row r="239" spans="11:22" x14ac:dyDescent="0.35">
      <c r="K239" s="20" t="str">
        <f t="shared" si="21"/>
        <v>A</v>
      </c>
      <c r="L239" s="20" t="str">
        <f t="shared" si="22"/>
        <v/>
      </c>
      <c r="O239" s="20" t="str">
        <f t="shared" si="23"/>
        <v/>
      </c>
      <c r="P239" s="20" t="str">
        <f t="shared" si="24"/>
        <v/>
      </c>
      <c r="R239" s="20" t="str">
        <f t="shared" si="25"/>
        <v/>
      </c>
      <c r="T239" s="21" t="str">
        <f t="shared" si="26"/>
        <v/>
      </c>
      <c r="U239" s="20" t="str">
        <f t="shared" si="27"/>
        <v/>
      </c>
      <c r="V239" s="20" t="str">
        <f>IF(OR(S239&lt;&gt;"Y",B239&lt;AsOf-365,B239&gt;AsOf),"",IF(COUNTIFS($T$6:T239,T239,$B$6:B239,B239,$S$6:S239,"Y")=1,1,0))</f>
        <v/>
      </c>
    </row>
    <row r="240" spans="11:22" x14ac:dyDescent="0.35">
      <c r="K240" s="20" t="str">
        <f t="shared" si="21"/>
        <v>A</v>
      </c>
      <c r="L240" s="20" t="str">
        <f t="shared" si="22"/>
        <v/>
      </c>
      <c r="O240" s="20" t="str">
        <f t="shared" si="23"/>
        <v/>
      </c>
      <c r="P240" s="20" t="str">
        <f t="shared" si="24"/>
        <v/>
      </c>
      <c r="R240" s="20" t="str">
        <f t="shared" si="25"/>
        <v/>
      </c>
      <c r="T240" s="21" t="str">
        <f t="shared" si="26"/>
        <v/>
      </c>
      <c r="U240" s="20" t="str">
        <f t="shared" si="27"/>
        <v/>
      </c>
      <c r="V240" s="20" t="str">
        <f>IF(OR(S240&lt;&gt;"Y",B240&lt;AsOf-365,B240&gt;AsOf),"",IF(COUNTIFS($T$6:T240,T240,$B$6:B240,B240,$S$6:S240,"Y")=1,1,0))</f>
        <v/>
      </c>
    </row>
    <row r="241" spans="11:22" x14ac:dyDescent="0.35">
      <c r="K241" s="20" t="str">
        <f t="shared" si="21"/>
        <v>A</v>
      </c>
      <c r="L241" s="20" t="str">
        <f t="shared" si="22"/>
        <v/>
      </c>
      <c r="O241" s="20" t="str">
        <f t="shared" si="23"/>
        <v/>
      </c>
      <c r="P241" s="20" t="str">
        <f t="shared" si="24"/>
        <v/>
      </c>
      <c r="R241" s="20" t="str">
        <f t="shared" si="25"/>
        <v/>
      </c>
      <c r="T241" s="21" t="str">
        <f t="shared" si="26"/>
        <v/>
      </c>
      <c r="U241" s="20" t="str">
        <f t="shared" si="27"/>
        <v/>
      </c>
      <c r="V241" s="20" t="str">
        <f>IF(OR(S241&lt;&gt;"Y",B241&lt;AsOf-365,B241&gt;AsOf),"",IF(COUNTIFS($T$6:T241,T241,$B$6:B241,B241,$S$6:S241,"Y")=1,1,0))</f>
        <v/>
      </c>
    </row>
    <row r="242" spans="11:22" x14ac:dyDescent="0.35">
      <c r="K242" s="20" t="str">
        <f t="shared" si="21"/>
        <v>A</v>
      </c>
      <c r="L242" s="20" t="str">
        <f t="shared" si="22"/>
        <v/>
      </c>
      <c r="O242" s="20" t="str">
        <f t="shared" si="23"/>
        <v/>
      </c>
      <c r="P242" s="20" t="str">
        <f t="shared" si="24"/>
        <v/>
      </c>
      <c r="R242" s="20" t="str">
        <f t="shared" si="25"/>
        <v/>
      </c>
      <c r="T242" s="21" t="str">
        <f t="shared" si="26"/>
        <v/>
      </c>
      <c r="U242" s="20" t="str">
        <f t="shared" si="27"/>
        <v/>
      </c>
      <c r="V242" s="20" t="str">
        <f>IF(OR(S242&lt;&gt;"Y",B242&lt;AsOf-365,B242&gt;AsOf),"",IF(COUNTIFS($T$6:T242,T242,$B$6:B242,B242,$S$6:S242,"Y")=1,1,0))</f>
        <v/>
      </c>
    </row>
    <row r="243" spans="11:22" x14ac:dyDescent="0.35">
      <c r="K243" s="20" t="str">
        <f t="shared" si="21"/>
        <v>A</v>
      </c>
      <c r="L243" s="20" t="str">
        <f t="shared" si="22"/>
        <v/>
      </c>
      <c r="O243" s="20" t="str">
        <f t="shared" si="23"/>
        <v/>
      </c>
      <c r="P243" s="20" t="str">
        <f t="shared" si="24"/>
        <v/>
      </c>
      <c r="R243" s="20" t="str">
        <f t="shared" si="25"/>
        <v/>
      </c>
      <c r="T243" s="21" t="str">
        <f t="shared" si="26"/>
        <v/>
      </c>
      <c r="U243" s="20" t="str">
        <f t="shared" si="27"/>
        <v/>
      </c>
      <c r="V243" s="20" t="str">
        <f>IF(OR(S243&lt;&gt;"Y",B243&lt;AsOf-365,B243&gt;AsOf),"",IF(COUNTIFS($T$6:T243,T243,$B$6:B243,B243,$S$6:S243,"Y")=1,1,0))</f>
        <v/>
      </c>
    </row>
    <row r="244" spans="11:22" x14ac:dyDescent="0.35">
      <c r="K244" s="20" t="str">
        <f t="shared" si="21"/>
        <v>A</v>
      </c>
      <c r="L244" s="20" t="str">
        <f t="shared" si="22"/>
        <v/>
      </c>
      <c r="O244" s="20" t="str">
        <f t="shared" si="23"/>
        <v/>
      </c>
      <c r="P244" s="20" t="str">
        <f t="shared" si="24"/>
        <v/>
      </c>
      <c r="R244" s="20" t="str">
        <f t="shared" si="25"/>
        <v/>
      </c>
      <c r="T244" s="21" t="str">
        <f t="shared" si="26"/>
        <v/>
      </c>
      <c r="U244" s="20" t="str">
        <f t="shared" si="27"/>
        <v/>
      </c>
      <c r="V244" s="20" t="str">
        <f>IF(OR(S244&lt;&gt;"Y",B244&lt;AsOf-365,B244&gt;AsOf),"",IF(COUNTIFS($T$6:T244,T244,$B$6:B244,B244,$S$6:S244,"Y")=1,1,0))</f>
        <v/>
      </c>
    </row>
    <row r="245" spans="11:22" x14ac:dyDescent="0.35">
      <c r="K245" s="20" t="str">
        <f t="shared" si="21"/>
        <v>A</v>
      </c>
      <c r="L245" s="20" t="str">
        <f t="shared" si="22"/>
        <v/>
      </c>
      <c r="O245" s="20" t="str">
        <f t="shared" si="23"/>
        <v/>
      </c>
      <c r="P245" s="20" t="str">
        <f t="shared" si="24"/>
        <v/>
      </c>
      <c r="R245" s="20" t="str">
        <f t="shared" si="25"/>
        <v/>
      </c>
      <c r="T245" s="21" t="str">
        <f t="shared" si="26"/>
        <v/>
      </c>
      <c r="U245" s="20" t="str">
        <f t="shared" si="27"/>
        <v/>
      </c>
      <c r="V245" s="20" t="str">
        <f>IF(OR(S245&lt;&gt;"Y",B245&lt;AsOf-365,B245&gt;AsOf),"",IF(COUNTIFS($T$6:T245,T245,$B$6:B245,B245,$S$6:S245,"Y")=1,1,0))</f>
        <v/>
      </c>
    </row>
    <row r="246" spans="11:22" x14ac:dyDescent="0.35">
      <c r="K246" s="20" t="str">
        <f t="shared" si="21"/>
        <v>A</v>
      </c>
      <c r="L246" s="20" t="str">
        <f t="shared" si="22"/>
        <v/>
      </c>
      <c r="O246" s="20" t="str">
        <f t="shared" si="23"/>
        <v/>
      </c>
      <c r="P246" s="20" t="str">
        <f t="shared" si="24"/>
        <v/>
      </c>
      <c r="R246" s="20" t="str">
        <f t="shared" si="25"/>
        <v/>
      </c>
      <c r="T246" s="21" t="str">
        <f t="shared" si="26"/>
        <v/>
      </c>
      <c r="U246" s="20" t="str">
        <f t="shared" si="27"/>
        <v/>
      </c>
      <c r="V246" s="20" t="str">
        <f>IF(OR(S246&lt;&gt;"Y",B246&lt;AsOf-365,B246&gt;AsOf),"",IF(COUNTIFS($T$6:T246,T246,$B$6:B246,B246,$S$6:S246,"Y")=1,1,0))</f>
        <v/>
      </c>
    </row>
    <row r="247" spans="11:22" x14ac:dyDescent="0.35">
      <c r="K247" s="20" t="str">
        <f t="shared" si="21"/>
        <v>A</v>
      </c>
      <c r="L247" s="20" t="str">
        <f t="shared" si="22"/>
        <v/>
      </c>
      <c r="O247" s="20" t="str">
        <f t="shared" si="23"/>
        <v/>
      </c>
      <c r="P247" s="20" t="str">
        <f t="shared" si="24"/>
        <v/>
      </c>
      <c r="R247" s="20" t="str">
        <f t="shared" si="25"/>
        <v/>
      </c>
      <c r="T247" s="21" t="str">
        <f t="shared" si="26"/>
        <v/>
      </c>
      <c r="U247" s="20" t="str">
        <f t="shared" si="27"/>
        <v/>
      </c>
      <c r="V247" s="20" t="str">
        <f>IF(OR(S247&lt;&gt;"Y",B247&lt;AsOf-365,B247&gt;AsOf),"",IF(COUNTIFS($T$6:T247,T247,$B$6:B247,B247,$S$6:S247,"Y")=1,1,0))</f>
        <v/>
      </c>
    </row>
    <row r="248" spans="11:22" x14ac:dyDescent="0.35">
      <c r="K248" s="20" t="str">
        <f t="shared" si="21"/>
        <v>A</v>
      </c>
      <c r="L248" s="20" t="str">
        <f t="shared" si="22"/>
        <v/>
      </c>
      <c r="O248" s="20" t="str">
        <f t="shared" si="23"/>
        <v/>
      </c>
      <c r="P248" s="20" t="str">
        <f t="shared" si="24"/>
        <v/>
      </c>
      <c r="R248" s="20" t="str">
        <f t="shared" si="25"/>
        <v/>
      </c>
      <c r="T248" s="21" t="str">
        <f t="shared" si="26"/>
        <v/>
      </c>
      <c r="U248" s="20" t="str">
        <f t="shared" si="27"/>
        <v/>
      </c>
      <c r="V248" s="20" t="str">
        <f>IF(OR(S248&lt;&gt;"Y",B248&lt;AsOf-365,B248&gt;AsOf),"",IF(COUNTIFS($T$6:T248,T248,$B$6:B248,B248,$S$6:S248,"Y")=1,1,0))</f>
        <v/>
      </c>
    </row>
    <row r="249" spans="11:22" x14ac:dyDescent="0.35">
      <c r="K249" s="20" t="str">
        <f t="shared" si="21"/>
        <v>A</v>
      </c>
      <c r="L249" s="20" t="str">
        <f t="shared" si="22"/>
        <v/>
      </c>
      <c r="O249" s="20" t="str">
        <f t="shared" si="23"/>
        <v/>
      </c>
      <c r="P249" s="20" t="str">
        <f t="shared" si="24"/>
        <v/>
      </c>
      <c r="R249" s="20" t="str">
        <f t="shared" si="25"/>
        <v/>
      </c>
      <c r="T249" s="21" t="str">
        <f t="shared" si="26"/>
        <v/>
      </c>
      <c r="U249" s="20" t="str">
        <f t="shared" si="27"/>
        <v/>
      </c>
      <c r="V249" s="20" t="str">
        <f>IF(OR(S249&lt;&gt;"Y",B249&lt;AsOf-365,B249&gt;AsOf),"",IF(COUNTIFS($T$6:T249,T249,$B$6:B249,B249,$S$6:S249,"Y")=1,1,0))</f>
        <v/>
      </c>
    </row>
    <row r="250" spans="11:22" x14ac:dyDescent="0.35">
      <c r="K250" s="20" t="str">
        <f t="shared" si="21"/>
        <v>A</v>
      </c>
      <c r="L250" s="20" t="str">
        <f t="shared" si="22"/>
        <v/>
      </c>
      <c r="O250" s="20" t="str">
        <f t="shared" si="23"/>
        <v/>
      </c>
      <c r="P250" s="20" t="str">
        <f t="shared" si="24"/>
        <v/>
      </c>
      <c r="R250" s="20" t="str">
        <f t="shared" si="25"/>
        <v/>
      </c>
      <c r="T250" s="21" t="str">
        <f t="shared" si="26"/>
        <v/>
      </c>
      <c r="U250" s="20" t="str">
        <f t="shared" si="27"/>
        <v/>
      </c>
      <c r="V250" s="20" t="str">
        <f>IF(OR(S250&lt;&gt;"Y",B250&lt;AsOf-365,B250&gt;AsOf),"",IF(COUNTIFS($T$6:T250,T250,$B$6:B250,B250,$S$6:S250,"Y")=1,1,0))</f>
        <v/>
      </c>
    </row>
    <row r="251" spans="11:22" x14ac:dyDescent="0.35">
      <c r="K251" s="20" t="str">
        <f t="shared" si="21"/>
        <v>A</v>
      </c>
      <c r="L251" s="20" t="str">
        <f t="shared" si="22"/>
        <v/>
      </c>
      <c r="O251" s="20" t="str">
        <f t="shared" si="23"/>
        <v/>
      </c>
      <c r="P251" s="20" t="str">
        <f t="shared" si="24"/>
        <v/>
      </c>
      <c r="R251" s="20" t="str">
        <f t="shared" si="25"/>
        <v/>
      </c>
      <c r="T251" s="21" t="str">
        <f t="shared" si="26"/>
        <v/>
      </c>
      <c r="U251" s="20" t="str">
        <f t="shared" si="27"/>
        <v/>
      </c>
      <c r="V251" s="20" t="str">
        <f>IF(OR(S251&lt;&gt;"Y",B251&lt;AsOf-365,B251&gt;AsOf),"",IF(COUNTIFS($T$6:T251,T251,$B$6:B251,B251,$S$6:S251,"Y")=1,1,0))</f>
        <v/>
      </c>
    </row>
    <row r="252" spans="11:22" x14ac:dyDescent="0.35">
      <c r="K252" s="20" t="str">
        <f t="shared" si="21"/>
        <v>A</v>
      </c>
      <c r="L252" s="20" t="str">
        <f t="shared" si="22"/>
        <v/>
      </c>
      <c r="O252" s="20" t="str">
        <f t="shared" si="23"/>
        <v/>
      </c>
      <c r="P252" s="20" t="str">
        <f t="shared" si="24"/>
        <v/>
      </c>
      <c r="R252" s="20" t="str">
        <f t="shared" si="25"/>
        <v/>
      </c>
      <c r="T252" s="21" t="str">
        <f t="shared" si="26"/>
        <v/>
      </c>
      <c r="U252" s="20" t="str">
        <f t="shared" si="27"/>
        <v/>
      </c>
      <c r="V252" s="20" t="str">
        <f>IF(OR(S252&lt;&gt;"Y",B252&lt;AsOf-365,B252&gt;AsOf),"",IF(COUNTIFS($T$6:T252,T252,$B$6:B252,B252,$S$6:S252,"Y")=1,1,0))</f>
        <v/>
      </c>
    </row>
    <row r="253" spans="11:22" x14ac:dyDescent="0.35">
      <c r="K253" s="20" t="str">
        <f t="shared" si="21"/>
        <v>A</v>
      </c>
      <c r="L253" s="20" t="str">
        <f t="shared" si="22"/>
        <v/>
      </c>
      <c r="O253" s="20" t="str">
        <f t="shared" si="23"/>
        <v/>
      </c>
      <c r="P253" s="20" t="str">
        <f t="shared" si="24"/>
        <v/>
      </c>
      <c r="R253" s="20" t="str">
        <f t="shared" si="25"/>
        <v/>
      </c>
      <c r="T253" s="21" t="str">
        <f t="shared" si="26"/>
        <v/>
      </c>
      <c r="U253" s="20" t="str">
        <f t="shared" si="27"/>
        <v/>
      </c>
      <c r="V253" s="20" t="str">
        <f>IF(OR(S253&lt;&gt;"Y",B253&lt;AsOf-365,B253&gt;AsOf),"",IF(COUNTIFS($T$6:T253,T253,$B$6:B253,B253,$S$6:S253,"Y")=1,1,0))</f>
        <v/>
      </c>
    </row>
    <row r="254" spans="11:22" x14ac:dyDescent="0.35">
      <c r="K254" s="20" t="str">
        <f t="shared" si="21"/>
        <v>A</v>
      </c>
      <c r="L254" s="20" t="str">
        <f t="shared" si="22"/>
        <v/>
      </c>
      <c r="O254" s="20" t="str">
        <f t="shared" si="23"/>
        <v/>
      </c>
      <c r="P254" s="20" t="str">
        <f t="shared" si="24"/>
        <v/>
      </c>
      <c r="R254" s="20" t="str">
        <f t="shared" si="25"/>
        <v/>
      </c>
      <c r="T254" s="21" t="str">
        <f t="shared" si="26"/>
        <v/>
      </c>
      <c r="U254" s="20" t="str">
        <f t="shared" si="27"/>
        <v/>
      </c>
      <c r="V254" s="20" t="str">
        <f>IF(OR(S254&lt;&gt;"Y",B254&lt;AsOf-365,B254&gt;AsOf),"",IF(COUNTIFS($T$6:T254,T254,$B$6:B254,B254,$S$6:S254,"Y")=1,1,0))</f>
        <v/>
      </c>
    </row>
    <row r="255" spans="11:22" x14ac:dyDescent="0.35">
      <c r="K255" s="20" t="str">
        <f t="shared" si="21"/>
        <v>A</v>
      </c>
      <c r="L255" s="20" t="str">
        <f t="shared" si="22"/>
        <v/>
      </c>
      <c r="O255" s="20" t="str">
        <f t="shared" si="23"/>
        <v/>
      </c>
      <c r="P255" s="20" t="str">
        <f t="shared" si="24"/>
        <v/>
      </c>
      <c r="R255" s="20" t="str">
        <f t="shared" si="25"/>
        <v/>
      </c>
      <c r="T255" s="21" t="str">
        <f t="shared" si="26"/>
        <v/>
      </c>
      <c r="U255" s="20" t="str">
        <f t="shared" si="27"/>
        <v/>
      </c>
      <c r="V255" s="20" t="str">
        <f>IF(OR(S255&lt;&gt;"Y",B255&lt;AsOf-365,B255&gt;AsOf),"",IF(COUNTIFS($T$6:T255,T255,$B$6:B255,B255,$S$6:S255,"Y")=1,1,0))</f>
        <v/>
      </c>
    </row>
    <row r="256" spans="11:22" x14ac:dyDescent="0.35">
      <c r="K256" s="20" t="str">
        <f t="shared" si="21"/>
        <v>A</v>
      </c>
      <c r="L256" s="20" t="str">
        <f t="shared" si="22"/>
        <v/>
      </c>
      <c r="O256" s="20" t="str">
        <f t="shared" si="23"/>
        <v/>
      </c>
      <c r="P256" s="20" t="str">
        <f t="shared" si="24"/>
        <v/>
      </c>
      <c r="R256" s="20" t="str">
        <f t="shared" si="25"/>
        <v/>
      </c>
      <c r="T256" s="21" t="str">
        <f t="shared" si="26"/>
        <v/>
      </c>
      <c r="U256" s="20" t="str">
        <f t="shared" si="27"/>
        <v/>
      </c>
      <c r="V256" s="20" t="str">
        <f>IF(OR(S256&lt;&gt;"Y",B256&lt;AsOf-365,B256&gt;AsOf),"",IF(COUNTIFS($T$6:T256,T256,$B$6:B256,B256,$S$6:S256,"Y")=1,1,0))</f>
        <v/>
      </c>
    </row>
    <row r="257" spans="11:22" x14ac:dyDescent="0.35">
      <c r="K257" s="20" t="str">
        <f t="shared" si="21"/>
        <v>A</v>
      </c>
      <c r="L257" s="20" t="str">
        <f t="shared" si="22"/>
        <v/>
      </c>
      <c r="O257" s="20" t="str">
        <f t="shared" si="23"/>
        <v/>
      </c>
      <c r="P257" s="20" t="str">
        <f t="shared" si="24"/>
        <v/>
      </c>
      <c r="R257" s="20" t="str">
        <f t="shared" si="25"/>
        <v/>
      </c>
      <c r="T257" s="21" t="str">
        <f t="shared" si="26"/>
        <v/>
      </c>
      <c r="U257" s="20" t="str">
        <f t="shared" si="27"/>
        <v/>
      </c>
      <c r="V257" s="20" t="str">
        <f>IF(OR(S257&lt;&gt;"Y",B257&lt;AsOf-365,B257&gt;AsOf),"",IF(COUNTIFS($T$6:T257,T257,$B$6:B257,B257,$S$6:S257,"Y")=1,1,0))</f>
        <v/>
      </c>
    </row>
    <row r="258" spans="11:22" x14ac:dyDescent="0.35">
      <c r="K258" s="20" t="str">
        <f t="shared" si="21"/>
        <v>A</v>
      </c>
      <c r="L258" s="20" t="str">
        <f t="shared" si="22"/>
        <v/>
      </c>
      <c r="O258" s="20" t="str">
        <f t="shared" si="23"/>
        <v/>
      </c>
      <c r="P258" s="20" t="str">
        <f t="shared" si="24"/>
        <v/>
      </c>
      <c r="R258" s="20" t="str">
        <f t="shared" si="25"/>
        <v/>
      </c>
      <c r="T258" s="21" t="str">
        <f t="shared" si="26"/>
        <v/>
      </c>
      <c r="U258" s="20" t="str">
        <f t="shared" si="27"/>
        <v/>
      </c>
      <c r="V258" s="20" t="str">
        <f>IF(OR(S258&lt;&gt;"Y",B258&lt;AsOf-365,B258&gt;AsOf),"",IF(COUNTIFS($T$6:T258,T258,$B$6:B258,B258,$S$6:S258,"Y")=1,1,0))</f>
        <v/>
      </c>
    </row>
    <row r="259" spans="11:22" x14ac:dyDescent="0.35">
      <c r="K259" s="20" t="str">
        <f t="shared" si="21"/>
        <v>A</v>
      </c>
      <c r="L259" s="20" t="str">
        <f t="shared" si="22"/>
        <v/>
      </c>
      <c r="O259" s="20" t="str">
        <f t="shared" si="23"/>
        <v/>
      </c>
      <c r="P259" s="20" t="str">
        <f t="shared" si="24"/>
        <v/>
      </c>
      <c r="R259" s="20" t="str">
        <f t="shared" si="25"/>
        <v/>
      </c>
      <c r="T259" s="21" t="str">
        <f t="shared" si="26"/>
        <v/>
      </c>
      <c r="U259" s="20" t="str">
        <f t="shared" si="27"/>
        <v/>
      </c>
      <c r="V259" s="20" t="str">
        <f>IF(OR(S259&lt;&gt;"Y",B259&lt;AsOf-365,B259&gt;AsOf),"",IF(COUNTIFS($T$6:T259,T259,$B$6:B259,B259,$S$6:S259,"Y")=1,1,0))</f>
        <v/>
      </c>
    </row>
    <row r="260" spans="11:22" x14ac:dyDescent="0.35">
      <c r="K260" s="20" t="str">
        <f t="shared" si="21"/>
        <v>A</v>
      </c>
      <c r="L260" s="20" t="str">
        <f t="shared" si="22"/>
        <v/>
      </c>
      <c r="O260" s="20" t="str">
        <f t="shared" si="23"/>
        <v/>
      </c>
      <c r="P260" s="20" t="str">
        <f t="shared" si="24"/>
        <v/>
      </c>
      <c r="R260" s="20" t="str">
        <f t="shared" si="25"/>
        <v/>
      </c>
      <c r="T260" s="21" t="str">
        <f t="shared" si="26"/>
        <v/>
      </c>
      <c r="U260" s="20" t="str">
        <f t="shared" si="27"/>
        <v/>
      </c>
      <c r="V260" s="20" t="str">
        <f>IF(OR(S260&lt;&gt;"Y",B260&lt;AsOf-365,B260&gt;AsOf),"",IF(COUNTIFS($T$6:T260,T260,$B$6:B260,B260,$S$6:S260,"Y")=1,1,0))</f>
        <v/>
      </c>
    </row>
    <row r="261" spans="11:22" x14ac:dyDescent="0.35">
      <c r="K261" s="20" t="str">
        <f t="shared" si="21"/>
        <v>A</v>
      </c>
      <c r="L261" s="20" t="str">
        <f t="shared" si="22"/>
        <v/>
      </c>
      <c r="O261" s="20" t="str">
        <f t="shared" si="23"/>
        <v/>
      </c>
      <c r="P261" s="20" t="str">
        <f t="shared" si="24"/>
        <v/>
      </c>
      <c r="R261" s="20" t="str">
        <f t="shared" si="25"/>
        <v/>
      </c>
      <c r="T261" s="21" t="str">
        <f t="shared" si="26"/>
        <v/>
      </c>
      <c r="U261" s="20" t="str">
        <f t="shared" si="27"/>
        <v/>
      </c>
      <c r="V261" s="20" t="str">
        <f>IF(OR(S261&lt;&gt;"Y",B261&lt;AsOf-365,B261&gt;AsOf),"",IF(COUNTIFS($T$6:T261,T261,$B$6:B261,B261,$S$6:S261,"Y")=1,1,0))</f>
        <v/>
      </c>
    </row>
    <row r="262" spans="11:22" x14ac:dyDescent="0.35">
      <c r="K262" s="20" t="str">
        <f t="shared" ref="K262:K325" si="28">IF(F262="Y",IF(G262="Y","B","C"),IF(OR(D262="Credit",D262="Equity"),"C",IF(H262="Y","B","A")))</f>
        <v>A</v>
      </c>
      <c r="L262" s="20" t="str">
        <f t="shared" ref="L262:L325" si="29">IF(J262="","",IF(K262="A",MATCH(J262,RowA_low,1),IF(K262="B",MATCH(J262,RowB_low,1),IF(K262="C",MATCH(J262,RowC_low,1),""))))</f>
        <v/>
      </c>
      <c r="O262" s="20" t="str">
        <f t="shared" ref="O262:O325" si="30">IF(N262="","","C")</f>
        <v/>
      </c>
      <c r="P262" s="20" t="str">
        <f t="shared" ref="P262:P325" si="31">IF(N262="","",MATCH(N262,RowC_low,1))</f>
        <v/>
      </c>
      <c r="R262" s="20" t="str">
        <f t="shared" ref="R262:R325" si="32">IF(Q262="","",MATCH(Q262,RowD_low,1))</f>
        <v/>
      </c>
      <c r="T262" s="21" t="str">
        <f t="shared" ref="T262:T325" si="33">IF(D262="","",D262&amp;"|"&amp;E262&amp;"|t1."&amp;IF(L262="","-",L262)&amp;IF(P262="","","|t2."&amp;P262)&amp;IF(R262="","","|s."&amp;R262))</f>
        <v/>
      </c>
      <c r="U262" s="20" t="str">
        <f t="shared" ref="U262:U325" si="34">IF(OR(S262&lt;&gt;"Y",B262&lt;AsOf-365,B262&gt;AsOf),"",IF(COUNTIFS($T$6:$T$405,T262,$S$6:$S$405,"Y",$B$6:$B$405,"&gt;"&amp;B262,$B$6:$B$405,"&lt;="&amp;AsOf)=0,"",_xlfn.MINIFS($B$6:$B$405,$T$6:$T$405,T262,$S$6:$S$405,"Y",$B$6:$B$405,"&gt;"&amp;B262,$B$6:$B$405,"&lt;="&amp;AsOf)-B262))</f>
        <v/>
      </c>
      <c r="V262" s="20" t="str">
        <f>IF(OR(S262&lt;&gt;"Y",B262&lt;AsOf-365,B262&gt;AsOf),"",IF(COUNTIFS($T$6:T262,T262,$B$6:B262,B262,$S$6:S262,"Y")=1,1,0))</f>
        <v/>
      </c>
    </row>
    <row r="263" spans="11:22" x14ac:dyDescent="0.35">
      <c r="K263" s="20" t="str">
        <f t="shared" si="28"/>
        <v>A</v>
      </c>
      <c r="L263" s="20" t="str">
        <f t="shared" si="29"/>
        <v/>
      </c>
      <c r="O263" s="20" t="str">
        <f t="shared" si="30"/>
        <v/>
      </c>
      <c r="P263" s="20" t="str">
        <f t="shared" si="31"/>
        <v/>
      </c>
      <c r="R263" s="20" t="str">
        <f t="shared" si="32"/>
        <v/>
      </c>
      <c r="T263" s="21" t="str">
        <f t="shared" si="33"/>
        <v/>
      </c>
      <c r="U263" s="20" t="str">
        <f t="shared" si="34"/>
        <v/>
      </c>
      <c r="V263" s="20" t="str">
        <f>IF(OR(S263&lt;&gt;"Y",B263&lt;AsOf-365,B263&gt;AsOf),"",IF(COUNTIFS($T$6:T263,T263,$B$6:B263,B263,$S$6:S263,"Y")=1,1,0))</f>
        <v/>
      </c>
    </row>
    <row r="264" spans="11:22" x14ac:dyDescent="0.35">
      <c r="K264" s="20" t="str">
        <f t="shared" si="28"/>
        <v>A</v>
      </c>
      <c r="L264" s="20" t="str">
        <f t="shared" si="29"/>
        <v/>
      </c>
      <c r="O264" s="20" t="str">
        <f t="shared" si="30"/>
        <v/>
      </c>
      <c r="P264" s="20" t="str">
        <f t="shared" si="31"/>
        <v/>
      </c>
      <c r="R264" s="20" t="str">
        <f t="shared" si="32"/>
        <v/>
      </c>
      <c r="T264" s="21" t="str">
        <f t="shared" si="33"/>
        <v/>
      </c>
      <c r="U264" s="20" t="str">
        <f t="shared" si="34"/>
        <v/>
      </c>
      <c r="V264" s="20" t="str">
        <f>IF(OR(S264&lt;&gt;"Y",B264&lt;AsOf-365,B264&gt;AsOf),"",IF(COUNTIFS($T$6:T264,T264,$B$6:B264,B264,$S$6:S264,"Y")=1,1,0))</f>
        <v/>
      </c>
    </row>
    <row r="265" spans="11:22" x14ac:dyDescent="0.35">
      <c r="K265" s="20" t="str">
        <f t="shared" si="28"/>
        <v>A</v>
      </c>
      <c r="L265" s="20" t="str">
        <f t="shared" si="29"/>
        <v/>
      </c>
      <c r="O265" s="20" t="str">
        <f t="shared" si="30"/>
        <v/>
      </c>
      <c r="P265" s="20" t="str">
        <f t="shared" si="31"/>
        <v/>
      </c>
      <c r="R265" s="20" t="str">
        <f t="shared" si="32"/>
        <v/>
      </c>
      <c r="T265" s="21" t="str">
        <f t="shared" si="33"/>
        <v/>
      </c>
      <c r="U265" s="20" t="str">
        <f t="shared" si="34"/>
        <v/>
      </c>
      <c r="V265" s="20" t="str">
        <f>IF(OR(S265&lt;&gt;"Y",B265&lt;AsOf-365,B265&gt;AsOf),"",IF(COUNTIFS($T$6:T265,T265,$B$6:B265,B265,$S$6:S265,"Y")=1,1,0))</f>
        <v/>
      </c>
    </row>
    <row r="266" spans="11:22" x14ac:dyDescent="0.35">
      <c r="K266" s="20" t="str">
        <f t="shared" si="28"/>
        <v>A</v>
      </c>
      <c r="L266" s="20" t="str">
        <f t="shared" si="29"/>
        <v/>
      </c>
      <c r="O266" s="20" t="str">
        <f t="shared" si="30"/>
        <v/>
      </c>
      <c r="P266" s="20" t="str">
        <f t="shared" si="31"/>
        <v/>
      </c>
      <c r="R266" s="20" t="str">
        <f t="shared" si="32"/>
        <v/>
      </c>
      <c r="T266" s="21" t="str">
        <f t="shared" si="33"/>
        <v/>
      </c>
      <c r="U266" s="20" t="str">
        <f t="shared" si="34"/>
        <v/>
      </c>
      <c r="V266" s="20" t="str">
        <f>IF(OR(S266&lt;&gt;"Y",B266&lt;AsOf-365,B266&gt;AsOf),"",IF(COUNTIFS($T$6:T266,T266,$B$6:B266,B266,$S$6:S266,"Y")=1,1,0))</f>
        <v/>
      </c>
    </row>
    <row r="267" spans="11:22" x14ac:dyDescent="0.35">
      <c r="K267" s="20" t="str">
        <f t="shared" si="28"/>
        <v>A</v>
      </c>
      <c r="L267" s="20" t="str">
        <f t="shared" si="29"/>
        <v/>
      </c>
      <c r="O267" s="20" t="str">
        <f t="shared" si="30"/>
        <v/>
      </c>
      <c r="P267" s="20" t="str">
        <f t="shared" si="31"/>
        <v/>
      </c>
      <c r="R267" s="20" t="str">
        <f t="shared" si="32"/>
        <v/>
      </c>
      <c r="T267" s="21" t="str">
        <f t="shared" si="33"/>
        <v/>
      </c>
      <c r="U267" s="20" t="str">
        <f t="shared" si="34"/>
        <v/>
      </c>
      <c r="V267" s="20" t="str">
        <f>IF(OR(S267&lt;&gt;"Y",B267&lt;AsOf-365,B267&gt;AsOf),"",IF(COUNTIFS($T$6:T267,T267,$B$6:B267,B267,$S$6:S267,"Y")=1,1,0))</f>
        <v/>
      </c>
    </row>
    <row r="268" spans="11:22" x14ac:dyDescent="0.35">
      <c r="K268" s="20" t="str">
        <f t="shared" si="28"/>
        <v>A</v>
      </c>
      <c r="L268" s="20" t="str">
        <f t="shared" si="29"/>
        <v/>
      </c>
      <c r="O268" s="20" t="str">
        <f t="shared" si="30"/>
        <v/>
      </c>
      <c r="P268" s="20" t="str">
        <f t="shared" si="31"/>
        <v/>
      </c>
      <c r="R268" s="20" t="str">
        <f t="shared" si="32"/>
        <v/>
      </c>
      <c r="T268" s="21" t="str">
        <f t="shared" si="33"/>
        <v/>
      </c>
      <c r="U268" s="20" t="str">
        <f t="shared" si="34"/>
        <v/>
      </c>
      <c r="V268" s="20" t="str">
        <f>IF(OR(S268&lt;&gt;"Y",B268&lt;AsOf-365,B268&gt;AsOf),"",IF(COUNTIFS($T$6:T268,T268,$B$6:B268,B268,$S$6:S268,"Y")=1,1,0))</f>
        <v/>
      </c>
    </row>
    <row r="269" spans="11:22" x14ac:dyDescent="0.35">
      <c r="K269" s="20" t="str">
        <f t="shared" si="28"/>
        <v>A</v>
      </c>
      <c r="L269" s="20" t="str">
        <f t="shared" si="29"/>
        <v/>
      </c>
      <c r="O269" s="20" t="str">
        <f t="shared" si="30"/>
        <v/>
      </c>
      <c r="P269" s="20" t="str">
        <f t="shared" si="31"/>
        <v/>
      </c>
      <c r="R269" s="20" t="str">
        <f t="shared" si="32"/>
        <v/>
      </c>
      <c r="T269" s="21" t="str">
        <f t="shared" si="33"/>
        <v/>
      </c>
      <c r="U269" s="20" t="str">
        <f t="shared" si="34"/>
        <v/>
      </c>
      <c r="V269" s="20" t="str">
        <f>IF(OR(S269&lt;&gt;"Y",B269&lt;AsOf-365,B269&gt;AsOf),"",IF(COUNTIFS($T$6:T269,T269,$B$6:B269,B269,$S$6:S269,"Y")=1,1,0))</f>
        <v/>
      </c>
    </row>
    <row r="270" spans="11:22" x14ac:dyDescent="0.35">
      <c r="K270" s="20" t="str">
        <f t="shared" si="28"/>
        <v>A</v>
      </c>
      <c r="L270" s="20" t="str">
        <f t="shared" si="29"/>
        <v/>
      </c>
      <c r="O270" s="20" t="str">
        <f t="shared" si="30"/>
        <v/>
      </c>
      <c r="P270" s="20" t="str">
        <f t="shared" si="31"/>
        <v/>
      </c>
      <c r="R270" s="20" t="str">
        <f t="shared" si="32"/>
        <v/>
      </c>
      <c r="T270" s="21" t="str">
        <f t="shared" si="33"/>
        <v/>
      </c>
      <c r="U270" s="20" t="str">
        <f t="shared" si="34"/>
        <v/>
      </c>
      <c r="V270" s="20" t="str">
        <f>IF(OR(S270&lt;&gt;"Y",B270&lt;AsOf-365,B270&gt;AsOf),"",IF(COUNTIFS($T$6:T270,T270,$B$6:B270,B270,$S$6:S270,"Y")=1,1,0))</f>
        <v/>
      </c>
    </row>
    <row r="271" spans="11:22" x14ac:dyDescent="0.35">
      <c r="K271" s="20" t="str">
        <f t="shared" si="28"/>
        <v>A</v>
      </c>
      <c r="L271" s="20" t="str">
        <f t="shared" si="29"/>
        <v/>
      </c>
      <c r="O271" s="20" t="str">
        <f t="shared" si="30"/>
        <v/>
      </c>
      <c r="P271" s="20" t="str">
        <f t="shared" si="31"/>
        <v/>
      </c>
      <c r="R271" s="20" t="str">
        <f t="shared" si="32"/>
        <v/>
      </c>
      <c r="T271" s="21" t="str">
        <f t="shared" si="33"/>
        <v/>
      </c>
      <c r="U271" s="20" t="str">
        <f t="shared" si="34"/>
        <v/>
      </c>
      <c r="V271" s="20" t="str">
        <f>IF(OR(S271&lt;&gt;"Y",B271&lt;AsOf-365,B271&gt;AsOf),"",IF(COUNTIFS($T$6:T271,T271,$B$6:B271,B271,$S$6:S271,"Y")=1,1,0))</f>
        <v/>
      </c>
    </row>
    <row r="272" spans="11:22" x14ac:dyDescent="0.35">
      <c r="K272" s="20" t="str">
        <f t="shared" si="28"/>
        <v>A</v>
      </c>
      <c r="L272" s="20" t="str">
        <f t="shared" si="29"/>
        <v/>
      </c>
      <c r="O272" s="20" t="str">
        <f t="shared" si="30"/>
        <v/>
      </c>
      <c r="P272" s="20" t="str">
        <f t="shared" si="31"/>
        <v/>
      </c>
      <c r="R272" s="20" t="str">
        <f t="shared" si="32"/>
        <v/>
      </c>
      <c r="T272" s="21" t="str">
        <f t="shared" si="33"/>
        <v/>
      </c>
      <c r="U272" s="20" t="str">
        <f t="shared" si="34"/>
        <v/>
      </c>
      <c r="V272" s="20" t="str">
        <f>IF(OR(S272&lt;&gt;"Y",B272&lt;AsOf-365,B272&gt;AsOf),"",IF(COUNTIFS($T$6:T272,T272,$B$6:B272,B272,$S$6:S272,"Y")=1,1,0))</f>
        <v/>
      </c>
    </row>
    <row r="273" spans="11:22" x14ac:dyDescent="0.35">
      <c r="K273" s="20" t="str">
        <f t="shared" si="28"/>
        <v>A</v>
      </c>
      <c r="L273" s="20" t="str">
        <f t="shared" si="29"/>
        <v/>
      </c>
      <c r="O273" s="20" t="str">
        <f t="shared" si="30"/>
        <v/>
      </c>
      <c r="P273" s="20" t="str">
        <f t="shared" si="31"/>
        <v/>
      </c>
      <c r="R273" s="20" t="str">
        <f t="shared" si="32"/>
        <v/>
      </c>
      <c r="T273" s="21" t="str">
        <f t="shared" si="33"/>
        <v/>
      </c>
      <c r="U273" s="20" t="str">
        <f t="shared" si="34"/>
        <v/>
      </c>
      <c r="V273" s="20" t="str">
        <f>IF(OR(S273&lt;&gt;"Y",B273&lt;AsOf-365,B273&gt;AsOf),"",IF(COUNTIFS($T$6:T273,T273,$B$6:B273,B273,$S$6:S273,"Y")=1,1,0))</f>
        <v/>
      </c>
    </row>
    <row r="274" spans="11:22" x14ac:dyDescent="0.35">
      <c r="K274" s="20" t="str">
        <f t="shared" si="28"/>
        <v>A</v>
      </c>
      <c r="L274" s="20" t="str">
        <f t="shared" si="29"/>
        <v/>
      </c>
      <c r="O274" s="20" t="str">
        <f t="shared" si="30"/>
        <v/>
      </c>
      <c r="P274" s="20" t="str">
        <f t="shared" si="31"/>
        <v/>
      </c>
      <c r="R274" s="20" t="str">
        <f t="shared" si="32"/>
        <v/>
      </c>
      <c r="T274" s="21" t="str">
        <f t="shared" si="33"/>
        <v/>
      </c>
      <c r="U274" s="20" t="str">
        <f t="shared" si="34"/>
        <v/>
      </c>
      <c r="V274" s="20" t="str">
        <f>IF(OR(S274&lt;&gt;"Y",B274&lt;AsOf-365,B274&gt;AsOf),"",IF(COUNTIFS($T$6:T274,T274,$B$6:B274,B274,$S$6:S274,"Y")=1,1,0))</f>
        <v/>
      </c>
    </row>
    <row r="275" spans="11:22" x14ac:dyDescent="0.35">
      <c r="K275" s="20" t="str">
        <f t="shared" si="28"/>
        <v>A</v>
      </c>
      <c r="L275" s="20" t="str">
        <f t="shared" si="29"/>
        <v/>
      </c>
      <c r="O275" s="20" t="str">
        <f t="shared" si="30"/>
        <v/>
      </c>
      <c r="P275" s="20" t="str">
        <f t="shared" si="31"/>
        <v/>
      </c>
      <c r="R275" s="20" t="str">
        <f t="shared" si="32"/>
        <v/>
      </c>
      <c r="T275" s="21" t="str">
        <f t="shared" si="33"/>
        <v/>
      </c>
      <c r="U275" s="20" t="str">
        <f t="shared" si="34"/>
        <v/>
      </c>
      <c r="V275" s="20" t="str">
        <f>IF(OR(S275&lt;&gt;"Y",B275&lt;AsOf-365,B275&gt;AsOf),"",IF(COUNTIFS($T$6:T275,T275,$B$6:B275,B275,$S$6:S275,"Y")=1,1,0))</f>
        <v/>
      </c>
    </row>
    <row r="276" spans="11:22" x14ac:dyDescent="0.35">
      <c r="K276" s="20" t="str">
        <f t="shared" si="28"/>
        <v>A</v>
      </c>
      <c r="L276" s="20" t="str">
        <f t="shared" si="29"/>
        <v/>
      </c>
      <c r="O276" s="20" t="str">
        <f t="shared" si="30"/>
        <v/>
      </c>
      <c r="P276" s="20" t="str">
        <f t="shared" si="31"/>
        <v/>
      </c>
      <c r="R276" s="20" t="str">
        <f t="shared" si="32"/>
        <v/>
      </c>
      <c r="T276" s="21" t="str">
        <f t="shared" si="33"/>
        <v/>
      </c>
      <c r="U276" s="20" t="str">
        <f t="shared" si="34"/>
        <v/>
      </c>
      <c r="V276" s="20" t="str">
        <f>IF(OR(S276&lt;&gt;"Y",B276&lt;AsOf-365,B276&gt;AsOf),"",IF(COUNTIFS($T$6:T276,T276,$B$6:B276,B276,$S$6:S276,"Y")=1,1,0))</f>
        <v/>
      </c>
    </row>
    <row r="277" spans="11:22" x14ac:dyDescent="0.35">
      <c r="K277" s="20" t="str">
        <f t="shared" si="28"/>
        <v>A</v>
      </c>
      <c r="L277" s="20" t="str">
        <f t="shared" si="29"/>
        <v/>
      </c>
      <c r="O277" s="20" t="str">
        <f t="shared" si="30"/>
        <v/>
      </c>
      <c r="P277" s="20" t="str">
        <f t="shared" si="31"/>
        <v/>
      </c>
      <c r="R277" s="20" t="str">
        <f t="shared" si="32"/>
        <v/>
      </c>
      <c r="T277" s="21" t="str">
        <f t="shared" si="33"/>
        <v/>
      </c>
      <c r="U277" s="20" t="str">
        <f t="shared" si="34"/>
        <v/>
      </c>
      <c r="V277" s="20" t="str">
        <f>IF(OR(S277&lt;&gt;"Y",B277&lt;AsOf-365,B277&gt;AsOf),"",IF(COUNTIFS($T$6:T277,T277,$B$6:B277,B277,$S$6:S277,"Y")=1,1,0))</f>
        <v/>
      </c>
    </row>
    <row r="278" spans="11:22" x14ac:dyDescent="0.35">
      <c r="K278" s="20" t="str">
        <f t="shared" si="28"/>
        <v>A</v>
      </c>
      <c r="L278" s="20" t="str">
        <f t="shared" si="29"/>
        <v/>
      </c>
      <c r="O278" s="20" t="str">
        <f t="shared" si="30"/>
        <v/>
      </c>
      <c r="P278" s="20" t="str">
        <f t="shared" si="31"/>
        <v/>
      </c>
      <c r="R278" s="20" t="str">
        <f t="shared" si="32"/>
        <v/>
      </c>
      <c r="T278" s="21" t="str">
        <f t="shared" si="33"/>
        <v/>
      </c>
      <c r="U278" s="20" t="str">
        <f t="shared" si="34"/>
        <v/>
      </c>
      <c r="V278" s="20" t="str">
        <f>IF(OR(S278&lt;&gt;"Y",B278&lt;AsOf-365,B278&gt;AsOf),"",IF(COUNTIFS($T$6:T278,T278,$B$6:B278,B278,$S$6:S278,"Y")=1,1,0))</f>
        <v/>
      </c>
    </row>
    <row r="279" spans="11:22" x14ac:dyDescent="0.35">
      <c r="K279" s="20" t="str">
        <f t="shared" si="28"/>
        <v>A</v>
      </c>
      <c r="L279" s="20" t="str">
        <f t="shared" si="29"/>
        <v/>
      </c>
      <c r="O279" s="20" t="str">
        <f t="shared" si="30"/>
        <v/>
      </c>
      <c r="P279" s="20" t="str">
        <f t="shared" si="31"/>
        <v/>
      </c>
      <c r="R279" s="20" t="str">
        <f t="shared" si="32"/>
        <v/>
      </c>
      <c r="T279" s="21" t="str">
        <f t="shared" si="33"/>
        <v/>
      </c>
      <c r="U279" s="20" t="str">
        <f t="shared" si="34"/>
        <v/>
      </c>
      <c r="V279" s="20" t="str">
        <f>IF(OR(S279&lt;&gt;"Y",B279&lt;AsOf-365,B279&gt;AsOf),"",IF(COUNTIFS($T$6:T279,T279,$B$6:B279,B279,$S$6:S279,"Y")=1,1,0))</f>
        <v/>
      </c>
    </row>
    <row r="280" spans="11:22" x14ac:dyDescent="0.35">
      <c r="K280" s="20" t="str">
        <f t="shared" si="28"/>
        <v>A</v>
      </c>
      <c r="L280" s="20" t="str">
        <f t="shared" si="29"/>
        <v/>
      </c>
      <c r="O280" s="20" t="str">
        <f t="shared" si="30"/>
        <v/>
      </c>
      <c r="P280" s="20" t="str">
        <f t="shared" si="31"/>
        <v/>
      </c>
      <c r="R280" s="20" t="str">
        <f t="shared" si="32"/>
        <v/>
      </c>
      <c r="T280" s="21" t="str">
        <f t="shared" si="33"/>
        <v/>
      </c>
      <c r="U280" s="20" t="str">
        <f t="shared" si="34"/>
        <v/>
      </c>
      <c r="V280" s="20" t="str">
        <f>IF(OR(S280&lt;&gt;"Y",B280&lt;AsOf-365,B280&gt;AsOf),"",IF(COUNTIFS($T$6:T280,T280,$B$6:B280,B280,$S$6:S280,"Y")=1,1,0))</f>
        <v/>
      </c>
    </row>
    <row r="281" spans="11:22" x14ac:dyDescent="0.35">
      <c r="K281" s="20" t="str">
        <f t="shared" si="28"/>
        <v>A</v>
      </c>
      <c r="L281" s="20" t="str">
        <f t="shared" si="29"/>
        <v/>
      </c>
      <c r="O281" s="20" t="str">
        <f t="shared" si="30"/>
        <v/>
      </c>
      <c r="P281" s="20" t="str">
        <f t="shared" si="31"/>
        <v/>
      </c>
      <c r="R281" s="20" t="str">
        <f t="shared" si="32"/>
        <v/>
      </c>
      <c r="T281" s="21" t="str">
        <f t="shared" si="33"/>
        <v/>
      </c>
      <c r="U281" s="20" t="str">
        <f t="shared" si="34"/>
        <v/>
      </c>
      <c r="V281" s="20" t="str">
        <f>IF(OR(S281&lt;&gt;"Y",B281&lt;AsOf-365,B281&gt;AsOf),"",IF(COUNTIFS($T$6:T281,T281,$B$6:B281,B281,$S$6:S281,"Y")=1,1,0))</f>
        <v/>
      </c>
    </row>
    <row r="282" spans="11:22" x14ac:dyDescent="0.35">
      <c r="K282" s="20" t="str">
        <f t="shared" si="28"/>
        <v>A</v>
      </c>
      <c r="L282" s="20" t="str">
        <f t="shared" si="29"/>
        <v/>
      </c>
      <c r="O282" s="20" t="str">
        <f t="shared" si="30"/>
        <v/>
      </c>
      <c r="P282" s="20" t="str">
        <f t="shared" si="31"/>
        <v/>
      </c>
      <c r="R282" s="20" t="str">
        <f t="shared" si="32"/>
        <v/>
      </c>
      <c r="T282" s="21" t="str">
        <f t="shared" si="33"/>
        <v/>
      </c>
      <c r="U282" s="20" t="str">
        <f t="shared" si="34"/>
        <v/>
      </c>
      <c r="V282" s="20" t="str">
        <f>IF(OR(S282&lt;&gt;"Y",B282&lt;AsOf-365,B282&gt;AsOf),"",IF(COUNTIFS($T$6:T282,T282,$B$6:B282,B282,$S$6:S282,"Y")=1,1,0))</f>
        <v/>
      </c>
    </row>
    <row r="283" spans="11:22" x14ac:dyDescent="0.35">
      <c r="K283" s="20" t="str">
        <f t="shared" si="28"/>
        <v>A</v>
      </c>
      <c r="L283" s="20" t="str">
        <f t="shared" si="29"/>
        <v/>
      </c>
      <c r="O283" s="20" t="str">
        <f t="shared" si="30"/>
        <v/>
      </c>
      <c r="P283" s="20" t="str">
        <f t="shared" si="31"/>
        <v/>
      </c>
      <c r="R283" s="20" t="str">
        <f t="shared" si="32"/>
        <v/>
      </c>
      <c r="T283" s="21" t="str">
        <f t="shared" si="33"/>
        <v/>
      </c>
      <c r="U283" s="20" t="str">
        <f t="shared" si="34"/>
        <v/>
      </c>
      <c r="V283" s="20" t="str">
        <f>IF(OR(S283&lt;&gt;"Y",B283&lt;AsOf-365,B283&gt;AsOf),"",IF(COUNTIFS($T$6:T283,T283,$B$6:B283,B283,$S$6:S283,"Y")=1,1,0))</f>
        <v/>
      </c>
    </row>
    <row r="284" spans="11:22" x14ac:dyDescent="0.35">
      <c r="K284" s="20" t="str">
        <f t="shared" si="28"/>
        <v>A</v>
      </c>
      <c r="L284" s="20" t="str">
        <f t="shared" si="29"/>
        <v/>
      </c>
      <c r="O284" s="20" t="str">
        <f t="shared" si="30"/>
        <v/>
      </c>
      <c r="P284" s="20" t="str">
        <f t="shared" si="31"/>
        <v/>
      </c>
      <c r="R284" s="20" t="str">
        <f t="shared" si="32"/>
        <v/>
      </c>
      <c r="T284" s="21" t="str">
        <f t="shared" si="33"/>
        <v/>
      </c>
      <c r="U284" s="20" t="str">
        <f t="shared" si="34"/>
        <v/>
      </c>
      <c r="V284" s="20" t="str">
        <f>IF(OR(S284&lt;&gt;"Y",B284&lt;AsOf-365,B284&gt;AsOf),"",IF(COUNTIFS($T$6:T284,T284,$B$6:B284,B284,$S$6:S284,"Y")=1,1,0))</f>
        <v/>
      </c>
    </row>
    <row r="285" spans="11:22" x14ac:dyDescent="0.35">
      <c r="K285" s="20" t="str">
        <f t="shared" si="28"/>
        <v>A</v>
      </c>
      <c r="L285" s="20" t="str">
        <f t="shared" si="29"/>
        <v/>
      </c>
      <c r="O285" s="20" t="str">
        <f t="shared" si="30"/>
        <v/>
      </c>
      <c r="P285" s="20" t="str">
        <f t="shared" si="31"/>
        <v/>
      </c>
      <c r="R285" s="20" t="str">
        <f t="shared" si="32"/>
        <v/>
      </c>
      <c r="T285" s="21" t="str">
        <f t="shared" si="33"/>
        <v/>
      </c>
      <c r="U285" s="20" t="str">
        <f t="shared" si="34"/>
        <v/>
      </c>
      <c r="V285" s="20" t="str">
        <f>IF(OR(S285&lt;&gt;"Y",B285&lt;AsOf-365,B285&gt;AsOf),"",IF(COUNTIFS($T$6:T285,T285,$B$6:B285,B285,$S$6:S285,"Y")=1,1,0))</f>
        <v/>
      </c>
    </row>
    <row r="286" spans="11:22" x14ac:dyDescent="0.35">
      <c r="K286" s="20" t="str">
        <f t="shared" si="28"/>
        <v>A</v>
      </c>
      <c r="L286" s="20" t="str">
        <f t="shared" si="29"/>
        <v/>
      </c>
      <c r="O286" s="20" t="str">
        <f t="shared" si="30"/>
        <v/>
      </c>
      <c r="P286" s="20" t="str">
        <f t="shared" si="31"/>
        <v/>
      </c>
      <c r="R286" s="20" t="str">
        <f t="shared" si="32"/>
        <v/>
      </c>
      <c r="T286" s="21" t="str">
        <f t="shared" si="33"/>
        <v/>
      </c>
      <c r="U286" s="20" t="str">
        <f t="shared" si="34"/>
        <v/>
      </c>
      <c r="V286" s="20" t="str">
        <f>IF(OR(S286&lt;&gt;"Y",B286&lt;AsOf-365,B286&gt;AsOf),"",IF(COUNTIFS($T$6:T286,T286,$B$6:B286,B286,$S$6:S286,"Y")=1,1,0))</f>
        <v/>
      </c>
    </row>
    <row r="287" spans="11:22" x14ac:dyDescent="0.35">
      <c r="K287" s="20" t="str">
        <f t="shared" si="28"/>
        <v>A</v>
      </c>
      <c r="L287" s="20" t="str">
        <f t="shared" si="29"/>
        <v/>
      </c>
      <c r="O287" s="20" t="str">
        <f t="shared" si="30"/>
        <v/>
      </c>
      <c r="P287" s="20" t="str">
        <f t="shared" si="31"/>
        <v/>
      </c>
      <c r="R287" s="20" t="str">
        <f t="shared" si="32"/>
        <v/>
      </c>
      <c r="T287" s="21" t="str">
        <f t="shared" si="33"/>
        <v/>
      </c>
      <c r="U287" s="20" t="str">
        <f t="shared" si="34"/>
        <v/>
      </c>
      <c r="V287" s="20" t="str">
        <f>IF(OR(S287&lt;&gt;"Y",B287&lt;AsOf-365,B287&gt;AsOf),"",IF(COUNTIFS($T$6:T287,T287,$B$6:B287,B287,$S$6:S287,"Y")=1,1,0))</f>
        <v/>
      </c>
    </row>
    <row r="288" spans="11:22" x14ac:dyDescent="0.35">
      <c r="K288" s="20" t="str">
        <f t="shared" si="28"/>
        <v>A</v>
      </c>
      <c r="L288" s="20" t="str">
        <f t="shared" si="29"/>
        <v/>
      </c>
      <c r="O288" s="20" t="str">
        <f t="shared" si="30"/>
        <v/>
      </c>
      <c r="P288" s="20" t="str">
        <f t="shared" si="31"/>
        <v/>
      </c>
      <c r="R288" s="20" t="str">
        <f t="shared" si="32"/>
        <v/>
      </c>
      <c r="T288" s="21" t="str">
        <f t="shared" si="33"/>
        <v/>
      </c>
      <c r="U288" s="20" t="str">
        <f t="shared" si="34"/>
        <v/>
      </c>
      <c r="V288" s="20" t="str">
        <f>IF(OR(S288&lt;&gt;"Y",B288&lt;AsOf-365,B288&gt;AsOf),"",IF(COUNTIFS($T$6:T288,T288,$B$6:B288,B288,$S$6:S288,"Y")=1,1,0))</f>
        <v/>
      </c>
    </row>
    <row r="289" spans="11:22" x14ac:dyDescent="0.35">
      <c r="K289" s="20" t="str">
        <f t="shared" si="28"/>
        <v>A</v>
      </c>
      <c r="L289" s="20" t="str">
        <f t="shared" si="29"/>
        <v/>
      </c>
      <c r="O289" s="20" t="str">
        <f t="shared" si="30"/>
        <v/>
      </c>
      <c r="P289" s="20" t="str">
        <f t="shared" si="31"/>
        <v/>
      </c>
      <c r="R289" s="20" t="str">
        <f t="shared" si="32"/>
        <v/>
      </c>
      <c r="T289" s="21" t="str">
        <f t="shared" si="33"/>
        <v/>
      </c>
      <c r="U289" s="20" t="str">
        <f t="shared" si="34"/>
        <v/>
      </c>
      <c r="V289" s="20" t="str">
        <f>IF(OR(S289&lt;&gt;"Y",B289&lt;AsOf-365,B289&gt;AsOf),"",IF(COUNTIFS($T$6:T289,T289,$B$6:B289,B289,$S$6:S289,"Y")=1,1,0))</f>
        <v/>
      </c>
    </row>
    <row r="290" spans="11:22" x14ac:dyDescent="0.35">
      <c r="K290" s="20" t="str">
        <f t="shared" si="28"/>
        <v>A</v>
      </c>
      <c r="L290" s="20" t="str">
        <f t="shared" si="29"/>
        <v/>
      </c>
      <c r="O290" s="20" t="str">
        <f t="shared" si="30"/>
        <v/>
      </c>
      <c r="P290" s="20" t="str">
        <f t="shared" si="31"/>
        <v/>
      </c>
      <c r="R290" s="20" t="str">
        <f t="shared" si="32"/>
        <v/>
      </c>
      <c r="T290" s="21" t="str">
        <f t="shared" si="33"/>
        <v/>
      </c>
      <c r="U290" s="20" t="str">
        <f t="shared" si="34"/>
        <v/>
      </c>
      <c r="V290" s="20" t="str">
        <f>IF(OR(S290&lt;&gt;"Y",B290&lt;AsOf-365,B290&gt;AsOf),"",IF(COUNTIFS($T$6:T290,T290,$B$6:B290,B290,$S$6:S290,"Y")=1,1,0))</f>
        <v/>
      </c>
    </row>
    <row r="291" spans="11:22" x14ac:dyDescent="0.35">
      <c r="K291" s="20" t="str">
        <f t="shared" si="28"/>
        <v>A</v>
      </c>
      <c r="L291" s="20" t="str">
        <f t="shared" si="29"/>
        <v/>
      </c>
      <c r="O291" s="20" t="str">
        <f t="shared" si="30"/>
        <v/>
      </c>
      <c r="P291" s="20" t="str">
        <f t="shared" si="31"/>
        <v/>
      </c>
      <c r="R291" s="20" t="str">
        <f t="shared" si="32"/>
        <v/>
      </c>
      <c r="T291" s="21" t="str">
        <f t="shared" si="33"/>
        <v/>
      </c>
      <c r="U291" s="20" t="str">
        <f t="shared" si="34"/>
        <v/>
      </c>
      <c r="V291" s="20" t="str">
        <f>IF(OR(S291&lt;&gt;"Y",B291&lt;AsOf-365,B291&gt;AsOf),"",IF(COUNTIFS($T$6:T291,T291,$B$6:B291,B291,$S$6:S291,"Y")=1,1,0))</f>
        <v/>
      </c>
    </row>
    <row r="292" spans="11:22" x14ac:dyDescent="0.35">
      <c r="K292" s="20" t="str">
        <f t="shared" si="28"/>
        <v>A</v>
      </c>
      <c r="L292" s="20" t="str">
        <f t="shared" si="29"/>
        <v/>
      </c>
      <c r="O292" s="20" t="str">
        <f t="shared" si="30"/>
        <v/>
      </c>
      <c r="P292" s="20" t="str">
        <f t="shared" si="31"/>
        <v/>
      </c>
      <c r="R292" s="20" t="str">
        <f t="shared" si="32"/>
        <v/>
      </c>
      <c r="T292" s="21" t="str">
        <f t="shared" si="33"/>
        <v/>
      </c>
      <c r="U292" s="20" t="str">
        <f t="shared" si="34"/>
        <v/>
      </c>
      <c r="V292" s="20" t="str">
        <f>IF(OR(S292&lt;&gt;"Y",B292&lt;AsOf-365,B292&gt;AsOf),"",IF(COUNTIFS($T$6:T292,T292,$B$6:B292,B292,$S$6:S292,"Y")=1,1,0))</f>
        <v/>
      </c>
    </row>
    <row r="293" spans="11:22" x14ac:dyDescent="0.35">
      <c r="K293" s="20" t="str">
        <f t="shared" si="28"/>
        <v>A</v>
      </c>
      <c r="L293" s="20" t="str">
        <f t="shared" si="29"/>
        <v/>
      </c>
      <c r="O293" s="20" t="str">
        <f t="shared" si="30"/>
        <v/>
      </c>
      <c r="P293" s="20" t="str">
        <f t="shared" si="31"/>
        <v/>
      </c>
      <c r="R293" s="20" t="str">
        <f t="shared" si="32"/>
        <v/>
      </c>
      <c r="T293" s="21" t="str">
        <f t="shared" si="33"/>
        <v/>
      </c>
      <c r="U293" s="20" t="str">
        <f t="shared" si="34"/>
        <v/>
      </c>
      <c r="V293" s="20" t="str">
        <f>IF(OR(S293&lt;&gt;"Y",B293&lt;AsOf-365,B293&gt;AsOf),"",IF(COUNTIFS($T$6:T293,T293,$B$6:B293,B293,$S$6:S293,"Y")=1,1,0))</f>
        <v/>
      </c>
    </row>
    <row r="294" spans="11:22" x14ac:dyDescent="0.35">
      <c r="K294" s="20" t="str">
        <f t="shared" si="28"/>
        <v>A</v>
      </c>
      <c r="L294" s="20" t="str">
        <f t="shared" si="29"/>
        <v/>
      </c>
      <c r="O294" s="20" t="str">
        <f t="shared" si="30"/>
        <v/>
      </c>
      <c r="P294" s="20" t="str">
        <f t="shared" si="31"/>
        <v/>
      </c>
      <c r="R294" s="20" t="str">
        <f t="shared" si="32"/>
        <v/>
      </c>
      <c r="T294" s="21" t="str">
        <f t="shared" si="33"/>
        <v/>
      </c>
      <c r="U294" s="20" t="str">
        <f t="shared" si="34"/>
        <v/>
      </c>
      <c r="V294" s="20" t="str">
        <f>IF(OR(S294&lt;&gt;"Y",B294&lt;AsOf-365,B294&gt;AsOf),"",IF(COUNTIFS($T$6:T294,T294,$B$6:B294,B294,$S$6:S294,"Y")=1,1,0))</f>
        <v/>
      </c>
    </row>
    <row r="295" spans="11:22" x14ac:dyDescent="0.35">
      <c r="K295" s="20" t="str">
        <f t="shared" si="28"/>
        <v>A</v>
      </c>
      <c r="L295" s="20" t="str">
        <f t="shared" si="29"/>
        <v/>
      </c>
      <c r="O295" s="20" t="str">
        <f t="shared" si="30"/>
        <v/>
      </c>
      <c r="P295" s="20" t="str">
        <f t="shared" si="31"/>
        <v/>
      </c>
      <c r="R295" s="20" t="str">
        <f t="shared" si="32"/>
        <v/>
      </c>
      <c r="T295" s="21" t="str">
        <f t="shared" si="33"/>
        <v/>
      </c>
      <c r="U295" s="20" t="str">
        <f t="shared" si="34"/>
        <v/>
      </c>
      <c r="V295" s="20" t="str">
        <f>IF(OR(S295&lt;&gt;"Y",B295&lt;AsOf-365,B295&gt;AsOf),"",IF(COUNTIFS($T$6:T295,T295,$B$6:B295,B295,$S$6:S295,"Y")=1,1,0))</f>
        <v/>
      </c>
    </row>
    <row r="296" spans="11:22" x14ac:dyDescent="0.35">
      <c r="K296" s="20" t="str">
        <f t="shared" si="28"/>
        <v>A</v>
      </c>
      <c r="L296" s="20" t="str">
        <f t="shared" si="29"/>
        <v/>
      </c>
      <c r="O296" s="20" t="str">
        <f t="shared" si="30"/>
        <v/>
      </c>
      <c r="P296" s="20" t="str">
        <f t="shared" si="31"/>
        <v/>
      </c>
      <c r="R296" s="20" t="str">
        <f t="shared" si="32"/>
        <v/>
      </c>
      <c r="T296" s="21" t="str">
        <f t="shared" si="33"/>
        <v/>
      </c>
      <c r="U296" s="20" t="str">
        <f t="shared" si="34"/>
        <v/>
      </c>
      <c r="V296" s="20" t="str">
        <f>IF(OR(S296&lt;&gt;"Y",B296&lt;AsOf-365,B296&gt;AsOf),"",IF(COUNTIFS($T$6:T296,T296,$B$6:B296,B296,$S$6:S296,"Y")=1,1,0))</f>
        <v/>
      </c>
    </row>
    <row r="297" spans="11:22" x14ac:dyDescent="0.35">
      <c r="K297" s="20" t="str">
        <f t="shared" si="28"/>
        <v>A</v>
      </c>
      <c r="L297" s="20" t="str">
        <f t="shared" si="29"/>
        <v/>
      </c>
      <c r="O297" s="20" t="str">
        <f t="shared" si="30"/>
        <v/>
      </c>
      <c r="P297" s="20" t="str">
        <f t="shared" si="31"/>
        <v/>
      </c>
      <c r="R297" s="20" t="str">
        <f t="shared" si="32"/>
        <v/>
      </c>
      <c r="T297" s="21" t="str">
        <f t="shared" si="33"/>
        <v/>
      </c>
      <c r="U297" s="20" t="str">
        <f t="shared" si="34"/>
        <v/>
      </c>
      <c r="V297" s="20" t="str">
        <f>IF(OR(S297&lt;&gt;"Y",B297&lt;AsOf-365,B297&gt;AsOf),"",IF(COUNTIFS($T$6:T297,T297,$B$6:B297,B297,$S$6:S297,"Y")=1,1,0))</f>
        <v/>
      </c>
    </row>
    <row r="298" spans="11:22" x14ac:dyDescent="0.35">
      <c r="K298" s="20" t="str">
        <f t="shared" si="28"/>
        <v>A</v>
      </c>
      <c r="L298" s="20" t="str">
        <f t="shared" si="29"/>
        <v/>
      </c>
      <c r="O298" s="20" t="str">
        <f t="shared" si="30"/>
        <v/>
      </c>
      <c r="P298" s="20" t="str">
        <f t="shared" si="31"/>
        <v/>
      </c>
      <c r="R298" s="20" t="str">
        <f t="shared" si="32"/>
        <v/>
      </c>
      <c r="T298" s="21" t="str">
        <f t="shared" si="33"/>
        <v/>
      </c>
      <c r="U298" s="20" t="str">
        <f t="shared" si="34"/>
        <v/>
      </c>
      <c r="V298" s="20" t="str">
        <f>IF(OR(S298&lt;&gt;"Y",B298&lt;AsOf-365,B298&gt;AsOf),"",IF(COUNTIFS($T$6:T298,T298,$B$6:B298,B298,$S$6:S298,"Y")=1,1,0))</f>
        <v/>
      </c>
    </row>
    <row r="299" spans="11:22" x14ac:dyDescent="0.35">
      <c r="K299" s="20" t="str">
        <f t="shared" si="28"/>
        <v>A</v>
      </c>
      <c r="L299" s="20" t="str">
        <f t="shared" si="29"/>
        <v/>
      </c>
      <c r="O299" s="20" t="str">
        <f t="shared" si="30"/>
        <v/>
      </c>
      <c r="P299" s="20" t="str">
        <f t="shared" si="31"/>
        <v/>
      </c>
      <c r="R299" s="20" t="str">
        <f t="shared" si="32"/>
        <v/>
      </c>
      <c r="T299" s="21" t="str">
        <f t="shared" si="33"/>
        <v/>
      </c>
      <c r="U299" s="20" t="str">
        <f t="shared" si="34"/>
        <v/>
      </c>
      <c r="V299" s="20" t="str">
        <f>IF(OR(S299&lt;&gt;"Y",B299&lt;AsOf-365,B299&gt;AsOf),"",IF(COUNTIFS($T$6:T299,T299,$B$6:B299,B299,$S$6:S299,"Y")=1,1,0))</f>
        <v/>
      </c>
    </row>
    <row r="300" spans="11:22" x14ac:dyDescent="0.35">
      <c r="K300" s="20" t="str">
        <f t="shared" si="28"/>
        <v>A</v>
      </c>
      <c r="L300" s="20" t="str">
        <f t="shared" si="29"/>
        <v/>
      </c>
      <c r="O300" s="20" t="str">
        <f t="shared" si="30"/>
        <v/>
      </c>
      <c r="P300" s="20" t="str">
        <f t="shared" si="31"/>
        <v/>
      </c>
      <c r="R300" s="20" t="str">
        <f t="shared" si="32"/>
        <v/>
      </c>
      <c r="T300" s="21" t="str">
        <f t="shared" si="33"/>
        <v/>
      </c>
      <c r="U300" s="20" t="str">
        <f t="shared" si="34"/>
        <v/>
      </c>
      <c r="V300" s="20" t="str">
        <f>IF(OR(S300&lt;&gt;"Y",B300&lt;AsOf-365,B300&gt;AsOf),"",IF(COUNTIFS($T$6:T300,T300,$B$6:B300,B300,$S$6:S300,"Y")=1,1,0))</f>
        <v/>
      </c>
    </row>
    <row r="301" spans="11:22" x14ac:dyDescent="0.35">
      <c r="K301" s="20" t="str">
        <f t="shared" si="28"/>
        <v>A</v>
      </c>
      <c r="L301" s="20" t="str">
        <f t="shared" si="29"/>
        <v/>
      </c>
      <c r="O301" s="20" t="str">
        <f t="shared" si="30"/>
        <v/>
      </c>
      <c r="P301" s="20" t="str">
        <f t="shared" si="31"/>
        <v/>
      </c>
      <c r="R301" s="20" t="str">
        <f t="shared" si="32"/>
        <v/>
      </c>
      <c r="T301" s="21" t="str">
        <f t="shared" si="33"/>
        <v/>
      </c>
      <c r="U301" s="20" t="str">
        <f t="shared" si="34"/>
        <v/>
      </c>
      <c r="V301" s="20" t="str">
        <f>IF(OR(S301&lt;&gt;"Y",B301&lt;AsOf-365,B301&gt;AsOf),"",IF(COUNTIFS($T$6:T301,T301,$B$6:B301,B301,$S$6:S301,"Y")=1,1,0))</f>
        <v/>
      </c>
    </row>
    <row r="302" spans="11:22" x14ac:dyDescent="0.35">
      <c r="K302" s="20" t="str">
        <f t="shared" si="28"/>
        <v>A</v>
      </c>
      <c r="L302" s="20" t="str">
        <f t="shared" si="29"/>
        <v/>
      </c>
      <c r="O302" s="20" t="str">
        <f t="shared" si="30"/>
        <v/>
      </c>
      <c r="P302" s="20" t="str">
        <f t="shared" si="31"/>
        <v/>
      </c>
      <c r="R302" s="20" t="str">
        <f t="shared" si="32"/>
        <v/>
      </c>
      <c r="T302" s="21" t="str">
        <f t="shared" si="33"/>
        <v/>
      </c>
      <c r="U302" s="20" t="str">
        <f t="shared" si="34"/>
        <v/>
      </c>
      <c r="V302" s="20" t="str">
        <f>IF(OR(S302&lt;&gt;"Y",B302&lt;AsOf-365,B302&gt;AsOf),"",IF(COUNTIFS($T$6:T302,T302,$B$6:B302,B302,$S$6:S302,"Y")=1,1,0))</f>
        <v/>
      </c>
    </row>
    <row r="303" spans="11:22" x14ac:dyDescent="0.35">
      <c r="K303" s="20" t="str">
        <f t="shared" si="28"/>
        <v>A</v>
      </c>
      <c r="L303" s="20" t="str">
        <f t="shared" si="29"/>
        <v/>
      </c>
      <c r="O303" s="20" t="str">
        <f t="shared" si="30"/>
        <v/>
      </c>
      <c r="P303" s="20" t="str">
        <f t="shared" si="31"/>
        <v/>
      </c>
      <c r="R303" s="20" t="str">
        <f t="shared" si="32"/>
        <v/>
      </c>
      <c r="T303" s="21" t="str">
        <f t="shared" si="33"/>
        <v/>
      </c>
      <c r="U303" s="20" t="str">
        <f t="shared" si="34"/>
        <v/>
      </c>
      <c r="V303" s="20" t="str">
        <f>IF(OR(S303&lt;&gt;"Y",B303&lt;AsOf-365,B303&gt;AsOf),"",IF(COUNTIFS($T$6:T303,T303,$B$6:B303,B303,$S$6:S303,"Y")=1,1,0))</f>
        <v/>
      </c>
    </row>
    <row r="304" spans="11:22" x14ac:dyDescent="0.35">
      <c r="K304" s="20" t="str">
        <f t="shared" si="28"/>
        <v>A</v>
      </c>
      <c r="L304" s="20" t="str">
        <f t="shared" si="29"/>
        <v/>
      </c>
      <c r="O304" s="20" t="str">
        <f t="shared" si="30"/>
        <v/>
      </c>
      <c r="P304" s="20" t="str">
        <f t="shared" si="31"/>
        <v/>
      </c>
      <c r="R304" s="20" t="str">
        <f t="shared" si="32"/>
        <v/>
      </c>
      <c r="T304" s="21" t="str">
        <f t="shared" si="33"/>
        <v/>
      </c>
      <c r="U304" s="20" t="str">
        <f t="shared" si="34"/>
        <v/>
      </c>
      <c r="V304" s="20" t="str">
        <f>IF(OR(S304&lt;&gt;"Y",B304&lt;AsOf-365,B304&gt;AsOf),"",IF(COUNTIFS($T$6:T304,T304,$B$6:B304,B304,$S$6:S304,"Y")=1,1,0))</f>
        <v/>
      </c>
    </row>
    <row r="305" spans="11:22" x14ac:dyDescent="0.35">
      <c r="K305" s="20" t="str">
        <f t="shared" si="28"/>
        <v>A</v>
      </c>
      <c r="L305" s="20" t="str">
        <f t="shared" si="29"/>
        <v/>
      </c>
      <c r="O305" s="20" t="str">
        <f t="shared" si="30"/>
        <v/>
      </c>
      <c r="P305" s="20" t="str">
        <f t="shared" si="31"/>
        <v/>
      </c>
      <c r="R305" s="20" t="str">
        <f t="shared" si="32"/>
        <v/>
      </c>
      <c r="T305" s="21" t="str">
        <f t="shared" si="33"/>
        <v/>
      </c>
      <c r="U305" s="20" t="str">
        <f t="shared" si="34"/>
        <v/>
      </c>
      <c r="V305" s="20" t="str">
        <f>IF(OR(S305&lt;&gt;"Y",B305&lt;AsOf-365,B305&gt;AsOf),"",IF(COUNTIFS($T$6:T305,T305,$B$6:B305,B305,$S$6:S305,"Y")=1,1,0))</f>
        <v/>
      </c>
    </row>
    <row r="306" spans="11:22" x14ac:dyDescent="0.35">
      <c r="K306" s="20" t="str">
        <f t="shared" si="28"/>
        <v>A</v>
      </c>
      <c r="L306" s="20" t="str">
        <f t="shared" si="29"/>
        <v/>
      </c>
      <c r="O306" s="20" t="str">
        <f t="shared" si="30"/>
        <v/>
      </c>
      <c r="P306" s="20" t="str">
        <f t="shared" si="31"/>
        <v/>
      </c>
      <c r="R306" s="20" t="str">
        <f t="shared" si="32"/>
        <v/>
      </c>
      <c r="T306" s="21" t="str">
        <f t="shared" si="33"/>
        <v/>
      </c>
      <c r="U306" s="20" t="str">
        <f t="shared" si="34"/>
        <v/>
      </c>
      <c r="V306" s="20" t="str">
        <f>IF(OR(S306&lt;&gt;"Y",B306&lt;AsOf-365,B306&gt;AsOf),"",IF(COUNTIFS($T$6:T306,T306,$B$6:B306,B306,$S$6:S306,"Y")=1,1,0))</f>
        <v/>
      </c>
    </row>
    <row r="307" spans="11:22" x14ac:dyDescent="0.35">
      <c r="K307" s="20" t="str">
        <f t="shared" si="28"/>
        <v>A</v>
      </c>
      <c r="L307" s="20" t="str">
        <f t="shared" si="29"/>
        <v/>
      </c>
      <c r="O307" s="20" t="str">
        <f t="shared" si="30"/>
        <v/>
      </c>
      <c r="P307" s="20" t="str">
        <f t="shared" si="31"/>
        <v/>
      </c>
      <c r="R307" s="20" t="str">
        <f t="shared" si="32"/>
        <v/>
      </c>
      <c r="T307" s="21" t="str">
        <f t="shared" si="33"/>
        <v/>
      </c>
      <c r="U307" s="20" t="str">
        <f t="shared" si="34"/>
        <v/>
      </c>
      <c r="V307" s="20" t="str">
        <f>IF(OR(S307&lt;&gt;"Y",B307&lt;AsOf-365,B307&gt;AsOf),"",IF(COUNTIFS($T$6:T307,T307,$B$6:B307,B307,$S$6:S307,"Y")=1,1,0))</f>
        <v/>
      </c>
    </row>
    <row r="308" spans="11:22" x14ac:dyDescent="0.35">
      <c r="K308" s="20" t="str">
        <f t="shared" si="28"/>
        <v>A</v>
      </c>
      <c r="L308" s="20" t="str">
        <f t="shared" si="29"/>
        <v/>
      </c>
      <c r="O308" s="20" t="str">
        <f t="shared" si="30"/>
        <v/>
      </c>
      <c r="P308" s="20" t="str">
        <f t="shared" si="31"/>
        <v/>
      </c>
      <c r="R308" s="20" t="str">
        <f t="shared" si="32"/>
        <v/>
      </c>
      <c r="T308" s="21" t="str">
        <f t="shared" si="33"/>
        <v/>
      </c>
      <c r="U308" s="20" t="str">
        <f t="shared" si="34"/>
        <v/>
      </c>
      <c r="V308" s="20" t="str">
        <f>IF(OR(S308&lt;&gt;"Y",B308&lt;AsOf-365,B308&gt;AsOf),"",IF(COUNTIFS($T$6:T308,T308,$B$6:B308,B308,$S$6:S308,"Y")=1,1,0))</f>
        <v/>
      </c>
    </row>
    <row r="309" spans="11:22" x14ac:dyDescent="0.35">
      <c r="K309" s="20" t="str">
        <f t="shared" si="28"/>
        <v>A</v>
      </c>
      <c r="L309" s="20" t="str">
        <f t="shared" si="29"/>
        <v/>
      </c>
      <c r="O309" s="20" t="str">
        <f t="shared" si="30"/>
        <v/>
      </c>
      <c r="P309" s="20" t="str">
        <f t="shared" si="31"/>
        <v/>
      </c>
      <c r="R309" s="20" t="str">
        <f t="shared" si="32"/>
        <v/>
      </c>
      <c r="T309" s="21" t="str">
        <f t="shared" si="33"/>
        <v/>
      </c>
      <c r="U309" s="20" t="str">
        <f t="shared" si="34"/>
        <v/>
      </c>
      <c r="V309" s="20" t="str">
        <f>IF(OR(S309&lt;&gt;"Y",B309&lt;AsOf-365,B309&gt;AsOf),"",IF(COUNTIFS($T$6:T309,T309,$B$6:B309,B309,$S$6:S309,"Y")=1,1,0))</f>
        <v/>
      </c>
    </row>
    <row r="310" spans="11:22" x14ac:dyDescent="0.35">
      <c r="K310" s="20" t="str">
        <f t="shared" si="28"/>
        <v>A</v>
      </c>
      <c r="L310" s="20" t="str">
        <f t="shared" si="29"/>
        <v/>
      </c>
      <c r="O310" s="20" t="str">
        <f t="shared" si="30"/>
        <v/>
      </c>
      <c r="P310" s="20" t="str">
        <f t="shared" si="31"/>
        <v/>
      </c>
      <c r="R310" s="20" t="str">
        <f t="shared" si="32"/>
        <v/>
      </c>
      <c r="T310" s="21" t="str">
        <f t="shared" si="33"/>
        <v/>
      </c>
      <c r="U310" s="20" t="str">
        <f t="shared" si="34"/>
        <v/>
      </c>
      <c r="V310" s="20" t="str">
        <f>IF(OR(S310&lt;&gt;"Y",B310&lt;AsOf-365,B310&gt;AsOf),"",IF(COUNTIFS($T$6:T310,T310,$B$6:B310,B310,$S$6:S310,"Y")=1,1,0))</f>
        <v/>
      </c>
    </row>
    <row r="311" spans="11:22" x14ac:dyDescent="0.35">
      <c r="K311" s="20" t="str">
        <f t="shared" si="28"/>
        <v>A</v>
      </c>
      <c r="L311" s="20" t="str">
        <f t="shared" si="29"/>
        <v/>
      </c>
      <c r="O311" s="20" t="str">
        <f t="shared" si="30"/>
        <v/>
      </c>
      <c r="P311" s="20" t="str">
        <f t="shared" si="31"/>
        <v/>
      </c>
      <c r="R311" s="20" t="str">
        <f t="shared" si="32"/>
        <v/>
      </c>
      <c r="T311" s="21" t="str">
        <f t="shared" si="33"/>
        <v/>
      </c>
      <c r="U311" s="20" t="str">
        <f t="shared" si="34"/>
        <v/>
      </c>
      <c r="V311" s="20" t="str">
        <f>IF(OR(S311&lt;&gt;"Y",B311&lt;AsOf-365,B311&gt;AsOf),"",IF(COUNTIFS($T$6:T311,T311,$B$6:B311,B311,$S$6:S311,"Y")=1,1,0))</f>
        <v/>
      </c>
    </row>
    <row r="312" spans="11:22" x14ac:dyDescent="0.35">
      <c r="K312" s="20" t="str">
        <f t="shared" si="28"/>
        <v>A</v>
      </c>
      <c r="L312" s="20" t="str">
        <f t="shared" si="29"/>
        <v/>
      </c>
      <c r="O312" s="20" t="str">
        <f t="shared" si="30"/>
        <v/>
      </c>
      <c r="P312" s="20" t="str">
        <f t="shared" si="31"/>
        <v/>
      </c>
      <c r="R312" s="20" t="str">
        <f t="shared" si="32"/>
        <v/>
      </c>
      <c r="T312" s="21" t="str">
        <f t="shared" si="33"/>
        <v/>
      </c>
      <c r="U312" s="20" t="str">
        <f t="shared" si="34"/>
        <v/>
      </c>
      <c r="V312" s="20" t="str">
        <f>IF(OR(S312&lt;&gt;"Y",B312&lt;AsOf-365,B312&gt;AsOf),"",IF(COUNTIFS($T$6:T312,T312,$B$6:B312,B312,$S$6:S312,"Y")=1,1,0))</f>
        <v/>
      </c>
    </row>
    <row r="313" spans="11:22" x14ac:dyDescent="0.35">
      <c r="K313" s="20" t="str">
        <f t="shared" si="28"/>
        <v>A</v>
      </c>
      <c r="L313" s="20" t="str">
        <f t="shared" si="29"/>
        <v/>
      </c>
      <c r="O313" s="20" t="str">
        <f t="shared" si="30"/>
        <v/>
      </c>
      <c r="P313" s="20" t="str">
        <f t="shared" si="31"/>
        <v/>
      </c>
      <c r="R313" s="20" t="str">
        <f t="shared" si="32"/>
        <v/>
      </c>
      <c r="T313" s="21" t="str">
        <f t="shared" si="33"/>
        <v/>
      </c>
      <c r="U313" s="20" t="str">
        <f t="shared" si="34"/>
        <v/>
      </c>
      <c r="V313" s="20" t="str">
        <f>IF(OR(S313&lt;&gt;"Y",B313&lt;AsOf-365,B313&gt;AsOf),"",IF(COUNTIFS($T$6:T313,T313,$B$6:B313,B313,$S$6:S313,"Y")=1,1,0))</f>
        <v/>
      </c>
    </row>
    <row r="314" spans="11:22" x14ac:dyDescent="0.35">
      <c r="K314" s="20" t="str">
        <f t="shared" si="28"/>
        <v>A</v>
      </c>
      <c r="L314" s="20" t="str">
        <f t="shared" si="29"/>
        <v/>
      </c>
      <c r="O314" s="20" t="str">
        <f t="shared" si="30"/>
        <v/>
      </c>
      <c r="P314" s="20" t="str">
        <f t="shared" si="31"/>
        <v/>
      </c>
      <c r="R314" s="20" t="str">
        <f t="shared" si="32"/>
        <v/>
      </c>
      <c r="T314" s="21" t="str">
        <f t="shared" si="33"/>
        <v/>
      </c>
      <c r="U314" s="20" t="str">
        <f t="shared" si="34"/>
        <v/>
      </c>
      <c r="V314" s="20" t="str">
        <f>IF(OR(S314&lt;&gt;"Y",B314&lt;AsOf-365,B314&gt;AsOf),"",IF(COUNTIFS($T$6:T314,T314,$B$6:B314,B314,$S$6:S314,"Y")=1,1,0))</f>
        <v/>
      </c>
    </row>
    <row r="315" spans="11:22" x14ac:dyDescent="0.35">
      <c r="K315" s="20" t="str">
        <f t="shared" si="28"/>
        <v>A</v>
      </c>
      <c r="L315" s="20" t="str">
        <f t="shared" si="29"/>
        <v/>
      </c>
      <c r="O315" s="20" t="str">
        <f t="shared" si="30"/>
        <v/>
      </c>
      <c r="P315" s="20" t="str">
        <f t="shared" si="31"/>
        <v/>
      </c>
      <c r="R315" s="20" t="str">
        <f t="shared" si="32"/>
        <v/>
      </c>
      <c r="T315" s="21" t="str">
        <f t="shared" si="33"/>
        <v/>
      </c>
      <c r="U315" s="20" t="str">
        <f t="shared" si="34"/>
        <v/>
      </c>
      <c r="V315" s="20" t="str">
        <f>IF(OR(S315&lt;&gt;"Y",B315&lt;AsOf-365,B315&gt;AsOf),"",IF(COUNTIFS($T$6:T315,T315,$B$6:B315,B315,$S$6:S315,"Y")=1,1,0))</f>
        <v/>
      </c>
    </row>
    <row r="316" spans="11:22" x14ac:dyDescent="0.35">
      <c r="K316" s="20" t="str">
        <f t="shared" si="28"/>
        <v>A</v>
      </c>
      <c r="L316" s="20" t="str">
        <f t="shared" si="29"/>
        <v/>
      </c>
      <c r="O316" s="20" t="str">
        <f t="shared" si="30"/>
        <v/>
      </c>
      <c r="P316" s="20" t="str">
        <f t="shared" si="31"/>
        <v/>
      </c>
      <c r="R316" s="20" t="str">
        <f t="shared" si="32"/>
        <v/>
      </c>
      <c r="T316" s="21" t="str">
        <f t="shared" si="33"/>
        <v/>
      </c>
      <c r="U316" s="20" t="str">
        <f t="shared" si="34"/>
        <v/>
      </c>
      <c r="V316" s="20" t="str">
        <f>IF(OR(S316&lt;&gt;"Y",B316&lt;AsOf-365,B316&gt;AsOf),"",IF(COUNTIFS($T$6:T316,T316,$B$6:B316,B316,$S$6:S316,"Y")=1,1,0))</f>
        <v/>
      </c>
    </row>
    <row r="317" spans="11:22" x14ac:dyDescent="0.35">
      <c r="K317" s="20" t="str">
        <f t="shared" si="28"/>
        <v>A</v>
      </c>
      <c r="L317" s="20" t="str">
        <f t="shared" si="29"/>
        <v/>
      </c>
      <c r="O317" s="20" t="str">
        <f t="shared" si="30"/>
        <v/>
      </c>
      <c r="P317" s="20" t="str">
        <f t="shared" si="31"/>
        <v/>
      </c>
      <c r="R317" s="20" t="str">
        <f t="shared" si="32"/>
        <v/>
      </c>
      <c r="T317" s="21" t="str">
        <f t="shared" si="33"/>
        <v/>
      </c>
      <c r="U317" s="20" t="str">
        <f t="shared" si="34"/>
        <v/>
      </c>
      <c r="V317" s="20" t="str">
        <f>IF(OR(S317&lt;&gt;"Y",B317&lt;AsOf-365,B317&gt;AsOf),"",IF(COUNTIFS($T$6:T317,T317,$B$6:B317,B317,$S$6:S317,"Y")=1,1,0))</f>
        <v/>
      </c>
    </row>
    <row r="318" spans="11:22" x14ac:dyDescent="0.35">
      <c r="K318" s="20" t="str">
        <f t="shared" si="28"/>
        <v>A</v>
      </c>
      <c r="L318" s="20" t="str">
        <f t="shared" si="29"/>
        <v/>
      </c>
      <c r="O318" s="20" t="str">
        <f t="shared" si="30"/>
        <v/>
      </c>
      <c r="P318" s="20" t="str">
        <f t="shared" si="31"/>
        <v/>
      </c>
      <c r="R318" s="20" t="str">
        <f t="shared" si="32"/>
        <v/>
      </c>
      <c r="T318" s="21" t="str">
        <f t="shared" si="33"/>
        <v/>
      </c>
      <c r="U318" s="20" t="str">
        <f t="shared" si="34"/>
        <v/>
      </c>
      <c r="V318" s="20" t="str">
        <f>IF(OR(S318&lt;&gt;"Y",B318&lt;AsOf-365,B318&gt;AsOf),"",IF(COUNTIFS($T$6:T318,T318,$B$6:B318,B318,$S$6:S318,"Y")=1,1,0))</f>
        <v/>
      </c>
    </row>
    <row r="319" spans="11:22" x14ac:dyDescent="0.35">
      <c r="K319" s="20" t="str">
        <f t="shared" si="28"/>
        <v>A</v>
      </c>
      <c r="L319" s="20" t="str">
        <f t="shared" si="29"/>
        <v/>
      </c>
      <c r="O319" s="20" t="str">
        <f t="shared" si="30"/>
        <v/>
      </c>
      <c r="P319" s="20" t="str">
        <f t="shared" si="31"/>
        <v/>
      </c>
      <c r="R319" s="20" t="str">
        <f t="shared" si="32"/>
        <v/>
      </c>
      <c r="T319" s="21" t="str">
        <f t="shared" si="33"/>
        <v/>
      </c>
      <c r="U319" s="20" t="str">
        <f t="shared" si="34"/>
        <v/>
      </c>
      <c r="V319" s="20" t="str">
        <f>IF(OR(S319&lt;&gt;"Y",B319&lt;AsOf-365,B319&gt;AsOf),"",IF(COUNTIFS($T$6:T319,T319,$B$6:B319,B319,$S$6:S319,"Y")=1,1,0))</f>
        <v/>
      </c>
    </row>
    <row r="320" spans="11:22" x14ac:dyDescent="0.35">
      <c r="K320" s="20" t="str">
        <f t="shared" si="28"/>
        <v>A</v>
      </c>
      <c r="L320" s="20" t="str">
        <f t="shared" si="29"/>
        <v/>
      </c>
      <c r="O320" s="20" t="str">
        <f t="shared" si="30"/>
        <v/>
      </c>
      <c r="P320" s="20" t="str">
        <f t="shared" si="31"/>
        <v/>
      </c>
      <c r="R320" s="20" t="str">
        <f t="shared" si="32"/>
        <v/>
      </c>
      <c r="T320" s="21" t="str">
        <f t="shared" si="33"/>
        <v/>
      </c>
      <c r="U320" s="20" t="str">
        <f t="shared" si="34"/>
        <v/>
      </c>
      <c r="V320" s="20" t="str">
        <f>IF(OR(S320&lt;&gt;"Y",B320&lt;AsOf-365,B320&gt;AsOf),"",IF(COUNTIFS($T$6:T320,T320,$B$6:B320,B320,$S$6:S320,"Y")=1,1,0))</f>
        <v/>
      </c>
    </row>
    <row r="321" spans="11:22" x14ac:dyDescent="0.35">
      <c r="K321" s="20" t="str">
        <f t="shared" si="28"/>
        <v>A</v>
      </c>
      <c r="L321" s="20" t="str">
        <f t="shared" si="29"/>
        <v/>
      </c>
      <c r="O321" s="20" t="str">
        <f t="shared" si="30"/>
        <v/>
      </c>
      <c r="P321" s="20" t="str">
        <f t="shared" si="31"/>
        <v/>
      </c>
      <c r="R321" s="20" t="str">
        <f t="shared" si="32"/>
        <v/>
      </c>
      <c r="T321" s="21" t="str">
        <f t="shared" si="33"/>
        <v/>
      </c>
      <c r="U321" s="20" t="str">
        <f t="shared" si="34"/>
        <v/>
      </c>
      <c r="V321" s="20" t="str">
        <f>IF(OR(S321&lt;&gt;"Y",B321&lt;AsOf-365,B321&gt;AsOf),"",IF(COUNTIFS($T$6:T321,T321,$B$6:B321,B321,$S$6:S321,"Y")=1,1,0))</f>
        <v/>
      </c>
    </row>
    <row r="322" spans="11:22" x14ac:dyDescent="0.35">
      <c r="K322" s="20" t="str">
        <f t="shared" si="28"/>
        <v>A</v>
      </c>
      <c r="L322" s="20" t="str">
        <f t="shared" si="29"/>
        <v/>
      </c>
      <c r="O322" s="20" t="str">
        <f t="shared" si="30"/>
        <v/>
      </c>
      <c r="P322" s="20" t="str">
        <f t="shared" si="31"/>
        <v/>
      </c>
      <c r="R322" s="20" t="str">
        <f t="shared" si="32"/>
        <v/>
      </c>
      <c r="T322" s="21" t="str">
        <f t="shared" si="33"/>
        <v/>
      </c>
      <c r="U322" s="20" t="str">
        <f t="shared" si="34"/>
        <v/>
      </c>
      <c r="V322" s="20" t="str">
        <f>IF(OR(S322&lt;&gt;"Y",B322&lt;AsOf-365,B322&gt;AsOf),"",IF(COUNTIFS($T$6:T322,T322,$B$6:B322,B322,$S$6:S322,"Y")=1,1,0))</f>
        <v/>
      </c>
    </row>
    <row r="323" spans="11:22" x14ac:dyDescent="0.35">
      <c r="K323" s="20" t="str">
        <f t="shared" si="28"/>
        <v>A</v>
      </c>
      <c r="L323" s="20" t="str">
        <f t="shared" si="29"/>
        <v/>
      </c>
      <c r="O323" s="20" t="str">
        <f t="shared" si="30"/>
        <v/>
      </c>
      <c r="P323" s="20" t="str">
        <f t="shared" si="31"/>
        <v/>
      </c>
      <c r="R323" s="20" t="str">
        <f t="shared" si="32"/>
        <v/>
      </c>
      <c r="T323" s="21" t="str">
        <f t="shared" si="33"/>
        <v/>
      </c>
      <c r="U323" s="20" t="str">
        <f t="shared" si="34"/>
        <v/>
      </c>
      <c r="V323" s="20" t="str">
        <f>IF(OR(S323&lt;&gt;"Y",B323&lt;AsOf-365,B323&gt;AsOf),"",IF(COUNTIFS($T$6:T323,T323,$B$6:B323,B323,$S$6:S323,"Y")=1,1,0))</f>
        <v/>
      </c>
    </row>
    <row r="324" spans="11:22" x14ac:dyDescent="0.35">
      <c r="K324" s="20" t="str">
        <f t="shared" si="28"/>
        <v>A</v>
      </c>
      <c r="L324" s="20" t="str">
        <f t="shared" si="29"/>
        <v/>
      </c>
      <c r="O324" s="20" t="str">
        <f t="shared" si="30"/>
        <v/>
      </c>
      <c r="P324" s="20" t="str">
        <f t="shared" si="31"/>
        <v/>
      </c>
      <c r="R324" s="20" t="str">
        <f t="shared" si="32"/>
        <v/>
      </c>
      <c r="T324" s="21" t="str">
        <f t="shared" si="33"/>
        <v/>
      </c>
      <c r="U324" s="20" t="str">
        <f t="shared" si="34"/>
        <v/>
      </c>
      <c r="V324" s="20" t="str">
        <f>IF(OR(S324&lt;&gt;"Y",B324&lt;AsOf-365,B324&gt;AsOf),"",IF(COUNTIFS($T$6:T324,T324,$B$6:B324,B324,$S$6:S324,"Y")=1,1,0))</f>
        <v/>
      </c>
    </row>
    <row r="325" spans="11:22" x14ac:dyDescent="0.35">
      <c r="K325" s="20" t="str">
        <f t="shared" si="28"/>
        <v>A</v>
      </c>
      <c r="L325" s="20" t="str">
        <f t="shared" si="29"/>
        <v/>
      </c>
      <c r="O325" s="20" t="str">
        <f t="shared" si="30"/>
        <v/>
      </c>
      <c r="P325" s="20" t="str">
        <f t="shared" si="31"/>
        <v/>
      </c>
      <c r="R325" s="20" t="str">
        <f t="shared" si="32"/>
        <v/>
      </c>
      <c r="T325" s="21" t="str">
        <f t="shared" si="33"/>
        <v/>
      </c>
      <c r="U325" s="20" t="str">
        <f t="shared" si="34"/>
        <v/>
      </c>
      <c r="V325" s="20" t="str">
        <f>IF(OR(S325&lt;&gt;"Y",B325&lt;AsOf-365,B325&gt;AsOf),"",IF(COUNTIFS($T$6:T325,T325,$B$6:B325,B325,$S$6:S325,"Y")=1,1,0))</f>
        <v/>
      </c>
    </row>
    <row r="326" spans="11:22" x14ac:dyDescent="0.35">
      <c r="K326" s="20" t="str">
        <f t="shared" ref="K326:K389" si="35">IF(F326="Y",IF(G326="Y","B","C"),IF(OR(D326="Credit",D326="Equity"),"C",IF(H326="Y","B","A")))</f>
        <v>A</v>
      </c>
      <c r="L326" s="20" t="str">
        <f t="shared" ref="L326:L389" si="36">IF(J326="","",IF(K326="A",MATCH(J326,RowA_low,1),IF(K326="B",MATCH(J326,RowB_low,1),IF(K326="C",MATCH(J326,RowC_low,1),""))))</f>
        <v/>
      </c>
      <c r="O326" s="20" t="str">
        <f t="shared" ref="O326:O389" si="37">IF(N326="","","C")</f>
        <v/>
      </c>
      <c r="P326" s="20" t="str">
        <f t="shared" ref="P326:P389" si="38">IF(N326="","",MATCH(N326,RowC_low,1))</f>
        <v/>
      </c>
      <c r="R326" s="20" t="str">
        <f t="shared" ref="R326:R389" si="39">IF(Q326="","",MATCH(Q326,RowD_low,1))</f>
        <v/>
      </c>
      <c r="T326" s="21" t="str">
        <f t="shared" ref="T326:T389" si="40">IF(D326="","",D326&amp;"|"&amp;E326&amp;"|t1."&amp;IF(L326="","-",L326)&amp;IF(P326="","","|t2."&amp;P326)&amp;IF(R326="","","|s."&amp;R326))</f>
        <v/>
      </c>
      <c r="U326" s="20" t="str">
        <f t="shared" ref="U326:U389" si="41">IF(OR(S326&lt;&gt;"Y",B326&lt;AsOf-365,B326&gt;AsOf),"",IF(COUNTIFS($T$6:$T$405,T326,$S$6:$S$405,"Y",$B$6:$B$405,"&gt;"&amp;B326,$B$6:$B$405,"&lt;="&amp;AsOf)=0,"",_xlfn.MINIFS($B$6:$B$405,$T$6:$T$405,T326,$S$6:$S$405,"Y",$B$6:$B$405,"&gt;"&amp;B326,$B$6:$B$405,"&lt;="&amp;AsOf)-B326))</f>
        <v/>
      </c>
      <c r="V326" s="20" t="str">
        <f>IF(OR(S326&lt;&gt;"Y",B326&lt;AsOf-365,B326&gt;AsOf),"",IF(COUNTIFS($T$6:T326,T326,$B$6:B326,B326,$S$6:S326,"Y")=1,1,0))</f>
        <v/>
      </c>
    </row>
    <row r="327" spans="11:22" x14ac:dyDescent="0.35">
      <c r="K327" s="20" t="str">
        <f t="shared" si="35"/>
        <v>A</v>
      </c>
      <c r="L327" s="20" t="str">
        <f t="shared" si="36"/>
        <v/>
      </c>
      <c r="O327" s="20" t="str">
        <f t="shared" si="37"/>
        <v/>
      </c>
      <c r="P327" s="20" t="str">
        <f t="shared" si="38"/>
        <v/>
      </c>
      <c r="R327" s="20" t="str">
        <f t="shared" si="39"/>
        <v/>
      </c>
      <c r="T327" s="21" t="str">
        <f t="shared" si="40"/>
        <v/>
      </c>
      <c r="U327" s="20" t="str">
        <f t="shared" si="41"/>
        <v/>
      </c>
      <c r="V327" s="20" t="str">
        <f>IF(OR(S327&lt;&gt;"Y",B327&lt;AsOf-365,B327&gt;AsOf),"",IF(COUNTIFS($T$6:T327,T327,$B$6:B327,B327,$S$6:S327,"Y")=1,1,0))</f>
        <v/>
      </c>
    </row>
    <row r="328" spans="11:22" x14ac:dyDescent="0.35">
      <c r="K328" s="20" t="str">
        <f t="shared" si="35"/>
        <v>A</v>
      </c>
      <c r="L328" s="20" t="str">
        <f t="shared" si="36"/>
        <v/>
      </c>
      <c r="O328" s="20" t="str">
        <f t="shared" si="37"/>
        <v/>
      </c>
      <c r="P328" s="20" t="str">
        <f t="shared" si="38"/>
        <v/>
      </c>
      <c r="R328" s="20" t="str">
        <f t="shared" si="39"/>
        <v/>
      </c>
      <c r="T328" s="21" t="str">
        <f t="shared" si="40"/>
        <v/>
      </c>
      <c r="U328" s="20" t="str">
        <f t="shared" si="41"/>
        <v/>
      </c>
      <c r="V328" s="20" t="str">
        <f>IF(OR(S328&lt;&gt;"Y",B328&lt;AsOf-365,B328&gt;AsOf),"",IF(COUNTIFS($T$6:T328,T328,$B$6:B328,B328,$S$6:S328,"Y")=1,1,0))</f>
        <v/>
      </c>
    </row>
    <row r="329" spans="11:22" x14ac:dyDescent="0.35">
      <c r="K329" s="20" t="str">
        <f t="shared" si="35"/>
        <v>A</v>
      </c>
      <c r="L329" s="20" t="str">
        <f t="shared" si="36"/>
        <v/>
      </c>
      <c r="O329" s="20" t="str">
        <f t="shared" si="37"/>
        <v/>
      </c>
      <c r="P329" s="20" t="str">
        <f t="shared" si="38"/>
        <v/>
      </c>
      <c r="R329" s="20" t="str">
        <f t="shared" si="39"/>
        <v/>
      </c>
      <c r="T329" s="21" t="str">
        <f t="shared" si="40"/>
        <v/>
      </c>
      <c r="U329" s="20" t="str">
        <f t="shared" si="41"/>
        <v/>
      </c>
      <c r="V329" s="20" t="str">
        <f>IF(OR(S329&lt;&gt;"Y",B329&lt;AsOf-365,B329&gt;AsOf),"",IF(COUNTIFS($T$6:T329,T329,$B$6:B329,B329,$S$6:S329,"Y")=1,1,0))</f>
        <v/>
      </c>
    </row>
    <row r="330" spans="11:22" x14ac:dyDescent="0.35">
      <c r="K330" s="20" t="str">
        <f t="shared" si="35"/>
        <v>A</v>
      </c>
      <c r="L330" s="20" t="str">
        <f t="shared" si="36"/>
        <v/>
      </c>
      <c r="O330" s="20" t="str">
        <f t="shared" si="37"/>
        <v/>
      </c>
      <c r="P330" s="20" t="str">
        <f t="shared" si="38"/>
        <v/>
      </c>
      <c r="R330" s="20" t="str">
        <f t="shared" si="39"/>
        <v/>
      </c>
      <c r="T330" s="21" t="str">
        <f t="shared" si="40"/>
        <v/>
      </c>
      <c r="U330" s="20" t="str">
        <f t="shared" si="41"/>
        <v/>
      </c>
      <c r="V330" s="20" t="str">
        <f>IF(OR(S330&lt;&gt;"Y",B330&lt;AsOf-365,B330&gt;AsOf),"",IF(COUNTIFS($T$6:T330,T330,$B$6:B330,B330,$S$6:S330,"Y")=1,1,0))</f>
        <v/>
      </c>
    </row>
    <row r="331" spans="11:22" x14ac:dyDescent="0.35">
      <c r="K331" s="20" t="str">
        <f t="shared" si="35"/>
        <v>A</v>
      </c>
      <c r="L331" s="20" t="str">
        <f t="shared" si="36"/>
        <v/>
      </c>
      <c r="O331" s="20" t="str">
        <f t="shared" si="37"/>
        <v/>
      </c>
      <c r="P331" s="20" t="str">
        <f t="shared" si="38"/>
        <v/>
      </c>
      <c r="R331" s="20" t="str">
        <f t="shared" si="39"/>
        <v/>
      </c>
      <c r="T331" s="21" t="str">
        <f t="shared" si="40"/>
        <v/>
      </c>
      <c r="U331" s="20" t="str">
        <f t="shared" si="41"/>
        <v/>
      </c>
      <c r="V331" s="20" t="str">
        <f>IF(OR(S331&lt;&gt;"Y",B331&lt;AsOf-365,B331&gt;AsOf),"",IF(COUNTIFS($T$6:T331,T331,$B$6:B331,B331,$S$6:S331,"Y")=1,1,0))</f>
        <v/>
      </c>
    </row>
    <row r="332" spans="11:22" x14ac:dyDescent="0.35">
      <c r="K332" s="20" t="str">
        <f t="shared" si="35"/>
        <v>A</v>
      </c>
      <c r="L332" s="20" t="str">
        <f t="shared" si="36"/>
        <v/>
      </c>
      <c r="O332" s="20" t="str">
        <f t="shared" si="37"/>
        <v/>
      </c>
      <c r="P332" s="20" t="str">
        <f t="shared" si="38"/>
        <v/>
      </c>
      <c r="R332" s="20" t="str">
        <f t="shared" si="39"/>
        <v/>
      </c>
      <c r="T332" s="21" t="str">
        <f t="shared" si="40"/>
        <v/>
      </c>
      <c r="U332" s="20" t="str">
        <f t="shared" si="41"/>
        <v/>
      </c>
      <c r="V332" s="20" t="str">
        <f>IF(OR(S332&lt;&gt;"Y",B332&lt;AsOf-365,B332&gt;AsOf),"",IF(COUNTIFS($T$6:T332,T332,$B$6:B332,B332,$S$6:S332,"Y")=1,1,0))</f>
        <v/>
      </c>
    </row>
    <row r="333" spans="11:22" x14ac:dyDescent="0.35">
      <c r="K333" s="20" t="str">
        <f t="shared" si="35"/>
        <v>A</v>
      </c>
      <c r="L333" s="20" t="str">
        <f t="shared" si="36"/>
        <v/>
      </c>
      <c r="O333" s="20" t="str">
        <f t="shared" si="37"/>
        <v/>
      </c>
      <c r="P333" s="20" t="str">
        <f t="shared" si="38"/>
        <v/>
      </c>
      <c r="R333" s="20" t="str">
        <f t="shared" si="39"/>
        <v/>
      </c>
      <c r="T333" s="21" t="str">
        <f t="shared" si="40"/>
        <v/>
      </c>
      <c r="U333" s="20" t="str">
        <f t="shared" si="41"/>
        <v/>
      </c>
      <c r="V333" s="20" t="str">
        <f>IF(OR(S333&lt;&gt;"Y",B333&lt;AsOf-365,B333&gt;AsOf),"",IF(COUNTIFS($T$6:T333,T333,$B$6:B333,B333,$S$6:S333,"Y")=1,1,0))</f>
        <v/>
      </c>
    </row>
    <row r="334" spans="11:22" x14ac:dyDescent="0.35">
      <c r="K334" s="20" t="str">
        <f t="shared" si="35"/>
        <v>A</v>
      </c>
      <c r="L334" s="20" t="str">
        <f t="shared" si="36"/>
        <v/>
      </c>
      <c r="O334" s="20" t="str">
        <f t="shared" si="37"/>
        <v/>
      </c>
      <c r="P334" s="20" t="str">
        <f t="shared" si="38"/>
        <v/>
      </c>
      <c r="R334" s="20" t="str">
        <f t="shared" si="39"/>
        <v/>
      </c>
      <c r="T334" s="21" t="str">
        <f t="shared" si="40"/>
        <v/>
      </c>
      <c r="U334" s="20" t="str">
        <f t="shared" si="41"/>
        <v/>
      </c>
      <c r="V334" s="20" t="str">
        <f>IF(OR(S334&lt;&gt;"Y",B334&lt;AsOf-365,B334&gt;AsOf),"",IF(COUNTIFS($T$6:T334,T334,$B$6:B334,B334,$S$6:S334,"Y")=1,1,0))</f>
        <v/>
      </c>
    </row>
    <row r="335" spans="11:22" x14ac:dyDescent="0.35">
      <c r="K335" s="20" t="str">
        <f t="shared" si="35"/>
        <v>A</v>
      </c>
      <c r="L335" s="20" t="str">
        <f t="shared" si="36"/>
        <v/>
      </c>
      <c r="O335" s="20" t="str">
        <f t="shared" si="37"/>
        <v/>
      </c>
      <c r="P335" s="20" t="str">
        <f t="shared" si="38"/>
        <v/>
      </c>
      <c r="R335" s="20" t="str">
        <f t="shared" si="39"/>
        <v/>
      </c>
      <c r="T335" s="21" t="str">
        <f t="shared" si="40"/>
        <v/>
      </c>
      <c r="U335" s="20" t="str">
        <f t="shared" si="41"/>
        <v/>
      </c>
      <c r="V335" s="20" t="str">
        <f>IF(OR(S335&lt;&gt;"Y",B335&lt;AsOf-365,B335&gt;AsOf),"",IF(COUNTIFS($T$6:T335,T335,$B$6:B335,B335,$S$6:S335,"Y")=1,1,0))</f>
        <v/>
      </c>
    </row>
    <row r="336" spans="11:22" x14ac:dyDescent="0.35">
      <c r="K336" s="20" t="str">
        <f t="shared" si="35"/>
        <v>A</v>
      </c>
      <c r="L336" s="20" t="str">
        <f t="shared" si="36"/>
        <v/>
      </c>
      <c r="O336" s="20" t="str">
        <f t="shared" si="37"/>
        <v/>
      </c>
      <c r="P336" s="20" t="str">
        <f t="shared" si="38"/>
        <v/>
      </c>
      <c r="R336" s="20" t="str">
        <f t="shared" si="39"/>
        <v/>
      </c>
      <c r="T336" s="21" t="str">
        <f t="shared" si="40"/>
        <v/>
      </c>
      <c r="U336" s="20" t="str">
        <f t="shared" si="41"/>
        <v/>
      </c>
      <c r="V336" s="20" t="str">
        <f>IF(OR(S336&lt;&gt;"Y",B336&lt;AsOf-365,B336&gt;AsOf),"",IF(COUNTIFS($T$6:T336,T336,$B$6:B336,B336,$S$6:S336,"Y")=1,1,0))</f>
        <v/>
      </c>
    </row>
    <row r="337" spans="11:22" x14ac:dyDescent="0.35">
      <c r="K337" s="20" t="str">
        <f t="shared" si="35"/>
        <v>A</v>
      </c>
      <c r="L337" s="20" t="str">
        <f t="shared" si="36"/>
        <v/>
      </c>
      <c r="O337" s="20" t="str">
        <f t="shared" si="37"/>
        <v/>
      </c>
      <c r="P337" s="20" t="str">
        <f t="shared" si="38"/>
        <v/>
      </c>
      <c r="R337" s="20" t="str">
        <f t="shared" si="39"/>
        <v/>
      </c>
      <c r="T337" s="21" t="str">
        <f t="shared" si="40"/>
        <v/>
      </c>
      <c r="U337" s="20" t="str">
        <f t="shared" si="41"/>
        <v/>
      </c>
      <c r="V337" s="20" t="str">
        <f>IF(OR(S337&lt;&gt;"Y",B337&lt;AsOf-365,B337&gt;AsOf),"",IF(COUNTIFS($T$6:T337,T337,$B$6:B337,B337,$S$6:S337,"Y")=1,1,0))</f>
        <v/>
      </c>
    </row>
    <row r="338" spans="11:22" x14ac:dyDescent="0.35">
      <c r="K338" s="20" t="str">
        <f t="shared" si="35"/>
        <v>A</v>
      </c>
      <c r="L338" s="20" t="str">
        <f t="shared" si="36"/>
        <v/>
      </c>
      <c r="O338" s="20" t="str">
        <f t="shared" si="37"/>
        <v/>
      </c>
      <c r="P338" s="20" t="str">
        <f t="shared" si="38"/>
        <v/>
      </c>
      <c r="R338" s="20" t="str">
        <f t="shared" si="39"/>
        <v/>
      </c>
      <c r="T338" s="21" t="str">
        <f t="shared" si="40"/>
        <v/>
      </c>
      <c r="U338" s="20" t="str">
        <f t="shared" si="41"/>
        <v/>
      </c>
      <c r="V338" s="20" t="str">
        <f>IF(OR(S338&lt;&gt;"Y",B338&lt;AsOf-365,B338&gt;AsOf),"",IF(COUNTIFS($T$6:T338,T338,$B$6:B338,B338,$S$6:S338,"Y")=1,1,0))</f>
        <v/>
      </c>
    </row>
    <row r="339" spans="11:22" x14ac:dyDescent="0.35">
      <c r="K339" s="20" t="str">
        <f t="shared" si="35"/>
        <v>A</v>
      </c>
      <c r="L339" s="20" t="str">
        <f t="shared" si="36"/>
        <v/>
      </c>
      <c r="O339" s="20" t="str">
        <f t="shared" si="37"/>
        <v/>
      </c>
      <c r="P339" s="20" t="str">
        <f t="shared" si="38"/>
        <v/>
      </c>
      <c r="R339" s="20" t="str">
        <f t="shared" si="39"/>
        <v/>
      </c>
      <c r="T339" s="21" t="str">
        <f t="shared" si="40"/>
        <v/>
      </c>
      <c r="U339" s="20" t="str">
        <f t="shared" si="41"/>
        <v/>
      </c>
      <c r="V339" s="20" t="str">
        <f>IF(OR(S339&lt;&gt;"Y",B339&lt;AsOf-365,B339&gt;AsOf),"",IF(COUNTIFS($T$6:T339,T339,$B$6:B339,B339,$S$6:S339,"Y")=1,1,0))</f>
        <v/>
      </c>
    </row>
    <row r="340" spans="11:22" x14ac:dyDescent="0.35">
      <c r="K340" s="20" t="str">
        <f t="shared" si="35"/>
        <v>A</v>
      </c>
      <c r="L340" s="20" t="str">
        <f t="shared" si="36"/>
        <v/>
      </c>
      <c r="O340" s="20" t="str">
        <f t="shared" si="37"/>
        <v/>
      </c>
      <c r="P340" s="20" t="str">
        <f t="shared" si="38"/>
        <v/>
      </c>
      <c r="R340" s="20" t="str">
        <f t="shared" si="39"/>
        <v/>
      </c>
      <c r="T340" s="21" t="str">
        <f t="shared" si="40"/>
        <v/>
      </c>
      <c r="U340" s="20" t="str">
        <f t="shared" si="41"/>
        <v/>
      </c>
      <c r="V340" s="20" t="str">
        <f>IF(OR(S340&lt;&gt;"Y",B340&lt;AsOf-365,B340&gt;AsOf),"",IF(COUNTIFS($T$6:T340,T340,$B$6:B340,B340,$S$6:S340,"Y")=1,1,0))</f>
        <v/>
      </c>
    </row>
    <row r="341" spans="11:22" x14ac:dyDescent="0.35">
      <c r="K341" s="20" t="str">
        <f t="shared" si="35"/>
        <v>A</v>
      </c>
      <c r="L341" s="20" t="str">
        <f t="shared" si="36"/>
        <v/>
      </c>
      <c r="O341" s="20" t="str">
        <f t="shared" si="37"/>
        <v/>
      </c>
      <c r="P341" s="20" t="str">
        <f t="shared" si="38"/>
        <v/>
      </c>
      <c r="R341" s="20" t="str">
        <f t="shared" si="39"/>
        <v/>
      </c>
      <c r="T341" s="21" t="str">
        <f t="shared" si="40"/>
        <v/>
      </c>
      <c r="U341" s="20" t="str">
        <f t="shared" si="41"/>
        <v/>
      </c>
      <c r="V341" s="20" t="str">
        <f>IF(OR(S341&lt;&gt;"Y",B341&lt;AsOf-365,B341&gt;AsOf),"",IF(COUNTIFS($T$6:T341,T341,$B$6:B341,B341,$S$6:S341,"Y")=1,1,0))</f>
        <v/>
      </c>
    </row>
    <row r="342" spans="11:22" x14ac:dyDescent="0.35">
      <c r="K342" s="20" t="str">
        <f t="shared" si="35"/>
        <v>A</v>
      </c>
      <c r="L342" s="20" t="str">
        <f t="shared" si="36"/>
        <v/>
      </c>
      <c r="O342" s="20" t="str">
        <f t="shared" si="37"/>
        <v/>
      </c>
      <c r="P342" s="20" t="str">
        <f t="shared" si="38"/>
        <v/>
      </c>
      <c r="R342" s="20" t="str">
        <f t="shared" si="39"/>
        <v/>
      </c>
      <c r="T342" s="21" t="str">
        <f t="shared" si="40"/>
        <v/>
      </c>
      <c r="U342" s="20" t="str">
        <f t="shared" si="41"/>
        <v/>
      </c>
      <c r="V342" s="20" t="str">
        <f>IF(OR(S342&lt;&gt;"Y",B342&lt;AsOf-365,B342&gt;AsOf),"",IF(COUNTIFS($T$6:T342,T342,$B$6:B342,B342,$S$6:S342,"Y")=1,1,0))</f>
        <v/>
      </c>
    </row>
    <row r="343" spans="11:22" x14ac:dyDescent="0.35">
      <c r="K343" s="20" t="str">
        <f t="shared" si="35"/>
        <v>A</v>
      </c>
      <c r="L343" s="20" t="str">
        <f t="shared" si="36"/>
        <v/>
      </c>
      <c r="O343" s="20" t="str">
        <f t="shared" si="37"/>
        <v/>
      </c>
      <c r="P343" s="20" t="str">
        <f t="shared" si="38"/>
        <v/>
      </c>
      <c r="R343" s="20" t="str">
        <f t="shared" si="39"/>
        <v/>
      </c>
      <c r="T343" s="21" t="str">
        <f t="shared" si="40"/>
        <v/>
      </c>
      <c r="U343" s="20" t="str">
        <f t="shared" si="41"/>
        <v/>
      </c>
      <c r="V343" s="20" t="str">
        <f>IF(OR(S343&lt;&gt;"Y",B343&lt;AsOf-365,B343&gt;AsOf),"",IF(COUNTIFS($T$6:T343,T343,$B$6:B343,B343,$S$6:S343,"Y")=1,1,0))</f>
        <v/>
      </c>
    </row>
    <row r="344" spans="11:22" x14ac:dyDescent="0.35">
      <c r="K344" s="20" t="str">
        <f t="shared" si="35"/>
        <v>A</v>
      </c>
      <c r="L344" s="20" t="str">
        <f t="shared" si="36"/>
        <v/>
      </c>
      <c r="O344" s="20" t="str">
        <f t="shared" si="37"/>
        <v/>
      </c>
      <c r="P344" s="20" t="str">
        <f t="shared" si="38"/>
        <v/>
      </c>
      <c r="R344" s="20" t="str">
        <f t="shared" si="39"/>
        <v/>
      </c>
      <c r="T344" s="21" t="str">
        <f t="shared" si="40"/>
        <v/>
      </c>
      <c r="U344" s="20" t="str">
        <f t="shared" si="41"/>
        <v/>
      </c>
      <c r="V344" s="20" t="str">
        <f>IF(OR(S344&lt;&gt;"Y",B344&lt;AsOf-365,B344&gt;AsOf),"",IF(COUNTIFS($T$6:T344,T344,$B$6:B344,B344,$S$6:S344,"Y")=1,1,0))</f>
        <v/>
      </c>
    </row>
    <row r="345" spans="11:22" x14ac:dyDescent="0.35">
      <c r="K345" s="20" t="str">
        <f t="shared" si="35"/>
        <v>A</v>
      </c>
      <c r="L345" s="20" t="str">
        <f t="shared" si="36"/>
        <v/>
      </c>
      <c r="O345" s="20" t="str">
        <f t="shared" si="37"/>
        <v/>
      </c>
      <c r="P345" s="20" t="str">
        <f t="shared" si="38"/>
        <v/>
      </c>
      <c r="R345" s="20" t="str">
        <f t="shared" si="39"/>
        <v/>
      </c>
      <c r="T345" s="21" t="str">
        <f t="shared" si="40"/>
        <v/>
      </c>
      <c r="U345" s="20" t="str">
        <f t="shared" si="41"/>
        <v/>
      </c>
      <c r="V345" s="20" t="str">
        <f>IF(OR(S345&lt;&gt;"Y",B345&lt;AsOf-365,B345&gt;AsOf),"",IF(COUNTIFS($T$6:T345,T345,$B$6:B345,B345,$S$6:S345,"Y")=1,1,0))</f>
        <v/>
      </c>
    </row>
    <row r="346" spans="11:22" x14ac:dyDescent="0.35">
      <c r="K346" s="20" t="str">
        <f t="shared" si="35"/>
        <v>A</v>
      </c>
      <c r="L346" s="20" t="str">
        <f t="shared" si="36"/>
        <v/>
      </c>
      <c r="O346" s="20" t="str">
        <f t="shared" si="37"/>
        <v/>
      </c>
      <c r="P346" s="20" t="str">
        <f t="shared" si="38"/>
        <v/>
      </c>
      <c r="R346" s="20" t="str">
        <f t="shared" si="39"/>
        <v/>
      </c>
      <c r="T346" s="21" t="str">
        <f t="shared" si="40"/>
        <v/>
      </c>
      <c r="U346" s="20" t="str">
        <f t="shared" si="41"/>
        <v/>
      </c>
      <c r="V346" s="20" t="str">
        <f>IF(OR(S346&lt;&gt;"Y",B346&lt;AsOf-365,B346&gt;AsOf),"",IF(COUNTIFS($T$6:T346,T346,$B$6:B346,B346,$S$6:S346,"Y")=1,1,0))</f>
        <v/>
      </c>
    </row>
    <row r="347" spans="11:22" x14ac:dyDescent="0.35">
      <c r="K347" s="20" t="str">
        <f t="shared" si="35"/>
        <v>A</v>
      </c>
      <c r="L347" s="20" t="str">
        <f t="shared" si="36"/>
        <v/>
      </c>
      <c r="O347" s="20" t="str">
        <f t="shared" si="37"/>
        <v/>
      </c>
      <c r="P347" s="20" t="str">
        <f t="shared" si="38"/>
        <v/>
      </c>
      <c r="R347" s="20" t="str">
        <f t="shared" si="39"/>
        <v/>
      </c>
      <c r="T347" s="21" t="str">
        <f t="shared" si="40"/>
        <v/>
      </c>
      <c r="U347" s="20" t="str">
        <f t="shared" si="41"/>
        <v/>
      </c>
      <c r="V347" s="20" t="str">
        <f>IF(OR(S347&lt;&gt;"Y",B347&lt;AsOf-365,B347&gt;AsOf),"",IF(COUNTIFS($T$6:T347,T347,$B$6:B347,B347,$S$6:S347,"Y")=1,1,0))</f>
        <v/>
      </c>
    </row>
    <row r="348" spans="11:22" x14ac:dyDescent="0.35">
      <c r="K348" s="20" t="str">
        <f t="shared" si="35"/>
        <v>A</v>
      </c>
      <c r="L348" s="20" t="str">
        <f t="shared" si="36"/>
        <v/>
      </c>
      <c r="O348" s="20" t="str">
        <f t="shared" si="37"/>
        <v/>
      </c>
      <c r="P348" s="20" t="str">
        <f t="shared" si="38"/>
        <v/>
      </c>
      <c r="R348" s="20" t="str">
        <f t="shared" si="39"/>
        <v/>
      </c>
      <c r="T348" s="21" t="str">
        <f t="shared" si="40"/>
        <v/>
      </c>
      <c r="U348" s="20" t="str">
        <f t="shared" si="41"/>
        <v/>
      </c>
      <c r="V348" s="20" t="str">
        <f>IF(OR(S348&lt;&gt;"Y",B348&lt;AsOf-365,B348&gt;AsOf),"",IF(COUNTIFS($T$6:T348,T348,$B$6:B348,B348,$S$6:S348,"Y")=1,1,0))</f>
        <v/>
      </c>
    </row>
    <row r="349" spans="11:22" x14ac:dyDescent="0.35">
      <c r="K349" s="20" t="str">
        <f t="shared" si="35"/>
        <v>A</v>
      </c>
      <c r="L349" s="20" t="str">
        <f t="shared" si="36"/>
        <v/>
      </c>
      <c r="O349" s="20" t="str">
        <f t="shared" si="37"/>
        <v/>
      </c>
      <c r="P349" s="20" t="str">
        <f t="shared" si="38"/>
        <v/>
      </c>
      <c r="R349" s="20" t="str">
        <f t="shared" si="39"/>
        <v/>
      </c>
      <c r="T349" s="21" t="str">
        <f t="shared" si="40"/>
        <v/>
      </c>
      <c r="U349" s="20" t="str">
        <f t="shared" si="41"/>
        <v/>
      </c>
      <c r="V349" s="20" t="str">
        <f>IF(OR(S349&lt;&gt;"Y",B349&lt;AsOf-365,B349&gt;AsOf),"",IF(COUNTIFS($T$6:T349,T349,$B$6:B349,B349,$S$6:S349,"Y")=1,1,0))</f>
        <v/>
      </c>
    </row>
    <row r="350" spans="11:22" x14ac:dyDescent="0.35">
      <c r="K350" s="20" t="str">
        <f t="shared" si="35"/>
        <v>A</v>
      </c>
      <c r="L350" s="20" t="str">
        <f t="shared" si="36"/>
        <v/>
      </c>
      <c r="O350" s="20" t="str">
        <f t="shared" si="37"/>
        <v/>
      </c>
      <c r="P350" s="20" t="str">
        <f t="shared" si="38"/>
        <v/>
      </c>
      <c r="R350" s="20" t="str">
        <f t="shared" si="39"/>
        <v/>
      </c>
      <c r="T350" s="21" t="str">
        <f t="shared" si="40"/>
        <v/>
      </c>
      <c r="U350" s="20" t="str">
        <f t="shared" si="41"/>
        <v/>
      </c>
      <c r="V350" s="20" t="str">
        <f>IF(OR(S350&lt;&gt;"Y",B350&lt;AsOf-365,B350&gt;AsOf),"",IF(COUNTIFS($T$6:T350,T350,$B$6:B350,B350,$S$6:S350,"Y")=1,1,0))</f>
        <v/>
      </c>
    </row>
    <row r="351" spans="11:22" x14ac:dyDescent="0.35">
      <c r="K351" s="20" t="str">
        <f t="shared" si="35"/>
        <v>A</v>
      </c>
      <c r="L351" s="20" t="str">
        <f t="shared" si="36"/>
        <v/>
      </c>
      <c r="O351" s="20" t="str">
        <f t="shared" si="37"/>
        <v/>
      </c>
      <c r="P351" s="20" t="str">
        <f t="shared" si="38"/>
        <v/>
      </c>
      <c r="R351" s="20" t="str">
        <f t="shared" si="39"/>
        <v/>
      </c>
      <c r="T351" s="21" t="str">
        <f t="shared" si="40"/>
        <v/>
      </c>
      <c r="U351" s="20" t="str">
        <f t="shared" si="41"/>
        <v/>
      </c>
      <c r="V351" s="20" t="str">
        <f>IF(OR(S351&lt;&gt;"Y",B351&lt;AsOf-365,B351&gt;AsOf),"",IF(COUNTIFS($T$6:T351,T351,$B$6:B351,B351,$S$6:S351,"Y")=1,1,0))</f>
        <v/>
      </c>
    </row>
    <row r="352" spans="11:22" x14ac:dyDescent="0.35">
      <c r="K352" s="20" t="str">
        <f t="shared" si="35"/>
        <v>A</v>
      </c>
      <c r="L352" s="20" t="str">
        <f t="shared" si="36"/>
        <v/>
      </c>
      <c r="O352" s="20" t="str">
        <f t="shared" si="37"/>
        <v/>
      </c>
      <c r="P352" s="20" t="str">
        <f t="shared" si="38"/>
        <v/>
      </c>
      <c r="R352" s="20" t="str">
        <f t="shared" si="39"/>
        <v/>
      </c>
      <c r="T352" s="21" t="str">
        <f t="shared" si="40"/>
        <v/>
      </c>
      <c r="U352" s="20" t="str">
        <f t="shared" si="41"/>
        <v/>
      </c>
      <c r="V352" s="20" t="str">
        <f>IF(OR(S352&lt;&gt;"Y",B352&lt;AsOf-365,B352&gt;AsOf),"",IF(COUNTIFS($T$6:T352,T352,$B$6:B352,B352,$S$6:S352,"Y")=1,1,0))</f>
        <v/>
      </c>
    </row>
    <row r="353" spans="11:22" x14ac:dyDescent="0.35">
      <c r="K353" s="20" t="str">
        <f t="shared" si="35"/>
        <v>A</v>
      </c>
      <c r="L353" s="20" t="str">
        <f t="shared" si="36"/>
        <v/>
      </c>
      <c r="O353" s="20" t="str">
        <f t="shared" si="37"/>
        <v/>
      </c>
      <c r="P353" s="20" t="str">
        <f t="shared" si="38"/>
        <v/>
      </c>
      <c r="R353" s="20" t="str">
        <f t="shared" si="39"/>
        <v/>
      </c>
      <c r="T353" s="21" t="str">
        <f t="shared" si="40"/>
        <v/>
      </c>
      <c r="U353" s="20" t="str">
        <f t="shared" si="41"/>
        <v/>
      </c>
      <c r="V353" s="20" t="str">
        <f>IF(OR(S353&lt;&gt;"Y",B353&lt;AsOf-365,B353&gt;AsOf),"",IF(COUNTIFS($T$6:T353,T353,$B$6:B353,B353,$S$6:S353,"Y")=1,1,0))</f>
        <v/>
      </c>
    </row>
    <row r="354" spans="11:22" x14ac:dyDescent="0.35">
      <c r="K354" s="20" t="str">
        <f t="shared" si="35"/>
        <v>A</v>
      </c>
      <c r="L354" s="20" t="str">
        <f t="shared" si="36"/>
        <v/>
      </c>
      <c r="O354" s="20" t="str">
        <f t="shared" si="37"/>
        <v/>
      </c>
      <c r="P354" s="20" t="str">
        <f t="shared" si="38"/>
        <v/>
      </c>
      <c r="R354" s="20" t="str">
        <f t="shared" si="39"/>
        <v/>
      </c>
      <c r="T354" s="21" t="str">
        <f t="shared" si="40"/>
        <v/>
      </c>
      <c r="U354" s="20" t="str">
        <f t="shared" si="41"/>
        <v/>
      </c>
      <c r="V354" s="20" t="str">
        <f>IF(OR(S354&lt;&gt;"Y",B354&lt;AsOf-365,B354&gt;AsOf),"",IF(COUNTIFS($T$6:T354,T354,$B$6:B354,B354,$S$6:S354,"Y")=1,1,0))</f>
        <v/>
      </c>
    </row>
    <row r="355" spans="11:22" x14ac:dyDescent="0.35">
      <c r="K355" s="20" t="str">
        <f t="shared" si="35"/>
        <v>A</v>
      </c>
      <c r="L355" s="20" t="str">
        <f t="shared" si="36"/>
        <v/>
      </c>
      <c r="O355" s="20" t="str">
        <f t="shared" si="37"/>
        <v/>
      </c>
      <c r="P355" s="20" t="str">
        <f t="shared" si="38"/>
        <v/>
      </c>
      <c r="R355" s="20" t="str">
        <f t="shared" si="39"/>
        <v/>
      </c>
      <c r="T355" s="21" t="str">
        <f t="shared" si="40"/>
        <v/>
      </c>
      <c r="U355" s="20" t="str">
        <f t="shared" si="41"/>
        <v/>
      </c>
      <c r="V355" s="20" t="str">
        <f>IF(OR(S355&lt;&gt;"Y",B355&lt;AsOf-365,B355&gt;AsOf),"",IF(COUNTIFS($T$6:T355,T355,$B$6:B355,B355,$S$6:S355,"Y")=1,1,0))</f>
        <v/>
      </c>
    </row>
    <row r="356" spans="11:22" x14ac:dyDescent="0.35">
      <c r="K356" s="20" t="str">
        <f t="shared" si="35"/>
        <v>A</v>
      </c>
      <c r="L356" s="20" t="str">
        <f t="shared" si="36"/>
        <v/>
      </c>
      <c r="O356" s="20" t="str">
        <f t="shared" si="37"/>
        <v/>
      </c>
      <c r="P356" s="20" t="str">
        <f t="shared" si="38"/>
        <v/>
      </c>
      <c r="R356" s="20" t="str">
        <f t="shared" si="39"/>
        <v/>
      </c>
      <c r="T356" s="21" t="str">
        <f t="shared" si="40"/>
        <v/>
      </c>
      <c r="U356" s="20" t="str">
        <f t="shared" si="41"/>
        <v/>
      </c>
      <c r="V356" s="20" t="str">
        <f>IF(OR(S356&lt;&gt;"Y",B356&lt;AsOf-365,B356&gt;AsOf),"",IF(COUNTIFS($T$6:T356,T356,$B$6:B356,B356,$S$6:S356,"Y")=1,1,0))</f>
        <v/>
      </c>
    </row>
    <row r="357" spans="11:22" x14ac:dyDescent="0.35">
      <c r="K357" s="20" t="str">
        <f t="shared" si="35"/>
        <v>A</v>
      </c>
      <c r="L357" s="20" t="str">
        <f t="shared" si="36"/>
        <v/>
      </c>
      <c r="O357" s="20" t="str">
        <f t="shared" si="37"/>
        <v/>
      </c>
      <c r="P357" s="20" t="str">
        <f t="shared" si="38"/>
        <v/>
      </c>
      <c r="R357" s="20" t="str">
        <f t="shared" si="39"/>
        <v/>
      </c>
      <c r="T357" s="21" t="str">
        <f t="shared" si="40"/>
        <v/>
      </c>
      <c r="U357" s="20" t="str">
        <f t="shared" si="41"/>
        <v/>
      </c>
      <c r="V357" s="20" t="str">
        <f>IF(OR(S357&lt;&gt;"Y",B357&lt;AsOf-365,B357&gt;AsOf),"",IF(COUNTIFS($T$6:T357,T357,$B$6:B357,B357,$S$6:S357,"Y")=1,1,0))</f>
        <v/>
      </c>
    </row>
    <row r="358" spans="11:22" x14ac:dyDescent="0.35">
      <c r="K358" s="20" t="str">
        <f t="shared" si="35"/>
        <v>A</v>
      </c>
      <c r="L358" s="20" t="str">
        <f t="shared" si="36"/>
        <v/>
      </c>
      <c r="O358" s="20" t="str">
        <f t="shared" si="37"/>
        <v/>
      </c>
      <c r="P358" s="20" t="str">
        <f t="shared" si="38"/>
        <v/>
      </c>
      <c r="R358" s="20" t="str">
        <f t="shared" si="39"/>
        <v/>
      </c>
      <c r="T358" s="21" t="str">
        <f t="shared" si="40"/>
        <v/>
      </c>
      <c r="U358" s="20" t="str">
        <f t="shared" si="41"/>
        <v/>
      </c>
      <c r="V358" s="20" t="str">
        <f>IF(OR(S358&lt;&gt;"Y",B358&lt;AsOf-365,B358&gt;AsOf),"",IF(COUNTIFS($T$6:T358,T358,$B$6:B358,B358,$S$6:S358,"Y")=1,1,0))</f>
        <v/>
      </c>
    </row>
    <row r="359" spans="11:22" x14ac:dyDescent="0.35">
      <c r="K359" s="20" t="str">
        <f t="shared" si="35"/>
        <v>A</v>
      </c>
      <c r="L359" s="20" t="str">
        <f t="shared" si="36"/>
        <v/>
      </c>
      <c r="O359" s="20" t="str">
        <f t="shared" si="37"/>
        <v/>
      </c>
      <c r="P359" s="20" t="str">
        <f t="shared" si="38"/>
        <v/>
      </c>
      <c r="R359" s="20" t="str">
        <f t="shared" si="39"/>
        <v/>
      </c>
      <c r="T359" s="21" t="str">
        <f t="shared" si="40"/>
        <v/>
      </c>
      <c r="U359" s="20" t="str">
        <f t="shared" si="41"/>
        <v/>
      </c>
      <c r="V359" s="20" t="str">
        <f>IF(OR(S359&lt;&gt;"Y",B359&lt;AsOf-365,B359&gt;AsOf),"",IF(COUNTIFS($T$6:T359,T359,$B$6:B359,B359,$S$6:S359,"Y")=1,1,0))</f>
        <v/>
      </c>
    </row>
    <row r="360" spans="11:22" x14ac:dyDescent="0.35">
      <c r="K360" s="20" t="str">
        <f t="shared" si="35"/>
        <v>A</v>
      </c>
      <c r="L360" s="20" t="str">
        <f t="shared" si="36"/>
        <v/>
      </c>
      <c r="O360" s="20" t="str">
        <f t="shared" si="37"/>
        <v/>
      </c>
      <c r="P360" s="20" t="str">
        <f t="shared" si="38"/>
        <v/>
      </c>
      <c r="R360" s="20" t="str">
        <f t="shared" si="39"/>
        <v/>
      </c>
      <c r="T360" s="21" t="str">
        <f t="shared" si="40"/>
        <v/>
      </c>
      <c r="U360" s="20" t="str">
        <f t="shared" si="41"/>
        <v/>
      </c>
      <c r="V360" s="20" t="str">
        <f>IF(OR(S360&lt;&gt;"Y",B360&lt;AsOf-365,B360&gt;AsOf),"",IF(COUNTIFS($T$6:T360,T360,$B$6:B360,B360,$S$6:S360,"Y")=1,1,0))</f>
        <v/>
      </c>
    </row>
    <row r="361" spans="11:22" x14ac:dyDescent="0.35">
      <c r="K361" s="20" t="str">
        <f t="shared" si="35"/>
        <v>A</v>
      </c>
      <c r="L361" s="20" t="str">
        <f t="shared" si="36"/>
        <v/>
      </c>
      <c r="O361" s="20" t="str">
        <f t="shared" si="37"/>
        <v/>
      </c>
      <c r="P361" s="20" t="str">
        <f t="shared" si="38"/>
        <v/>
      </c>
      <c r="R361" s="20" t="str">
        <f t="shared" si="39"/>
        <v/>
      </c>
      <c r="T361" s="21" t="str">
        <f t="shared" si="40"/>
        <v/>
      </c>
      <c r="U361" s="20" t="str">
        <f t="shared" si="41"/>
        <v/>
      </c>
      <c r="V361" s="20" t="str">
        <f>IF(OR(S361&lt;&gt;"Y",B361&lt;AsOf-365,B361&gt;AsOf),"",IF(COUNTIFS($T$6:T361,T361,$B$6:B361,B361,$S$6:S361,"Y")=1,1,0))</f>
        <v/>
      </c>
    </row>
    <row r="362" spans="11:22" x14ac:dyDescent="0.35">
      <c r="K362" s="20" t="str">
        <f t="shared" si="35"/>
        <v>A</v>
      </c>
      <c r="L362" s="20" t="str">
        <f t="shared" si="36"/>
        <v/>
      </c>
      <c r="O362" s="20" t="str">
        <f t="shared" si="37"/>
        <v/>
      </c>
      <c r="P362" s="20" t="str">
        <f t="shared" si="38"/>
        <v/>
      </c>
      <c r="R362" s="20" t="str">
        <f t="shared" si="39"/>
        <v/>
      </c>
      <c r="T362" s="21" t="str">
        <f t="shared" si="40"/>
        <v/>
      </c>
      <c r="U362" s="20" t="str">
        <f t="shared" si="41"/>
        <v/>
      </c>
      <c r="V362" s="20" t="str">
        <f>IF(OR(S362&lt;&gt;"Y",B362&lt;AsOf-365,B362&gt;AsOf),"",IF(COUNTIFS($T$6:T362,T362,$B$6:B362,B362,$S$6:S362,"Y")=1,1,0))</f>
        <v/>
      </c>
    </row>
    <row r="363" spans="11:22" x14ac:dyDescent="0.35">
      <c r="K363" s="20" t="str">
        <f t="shared" si="35"/>
        <v>A</v>
      </c>
      <c r="L363" s="20" t="str">
        <f t="shared" si="36"/>
        <v/>
      </c>
      <c r="O363" s="20" t="str">
        <f t="shared" si="37"/>
        <v/>
      </c>
      <c r="P363" s="20" t="str">
        <f t="shared" si="38"/>
        <v/>
      </c>
      <c r="R363" s="20" t="str">
        <f t="shared" si="39"/>
        <v/>
      </c>
      <c r="T363" s="21" t="str">
        <f t="shared" si="40"/>
        <v/>
      </c>
      <c r="U363" s="20" t="str">
        <f t="shared" si="41"/>
        <v/>
      </c>
      <c r="V363" s="20" t="str">
        <f>IF(OR(S363&lt;&gt;"Y",B363&lt;AsOf-365,B363&gt;AsOf),"",IF(COUNTIFS($T$6:T363,T363,$B$6:B363,B363,$S$6:S363,"Y")=1,1,0))</f>
        <v/>
      </c>
    </row>
    <row r="364" spans="11:22" x14ac:dyDescent="0.35">
      <c r="K364" s="20" t="str">
        <f t="shared" si="35"/>
        <v>A</v>
      </c>
      <c r="L364" s="20" t="str">
        <f t="shared" si="36"/>
        <v/>
      </c>
      <c r="O364" s="20" t="str">
        <f t="shared" si="37"/>
        <v/>
      </c>
      <c r="P364" s="20" t="str">
        <f t="shared" si="38"/>
        <v/>
      </c>
      <c r="R364" s="20" t="str">
        <f t="shared" si="39"/>
        <v/>
      </c>
      <c r="T364" s="21" t="str">
        <f t="shared" si="40"/>
        <v/>
      </c>
      <c r="U364" s="20" t="str">
        <f t="shared" si="41"/>
        <v/>
      </c>
      <c r="V364" s="20" t="str">
        <f>IF(OR(S364&lt;&gt;"Y",B364&lt;AsOf-365,B364&gt;AsOf),"",IF(COUNTIFS($T$6:T364,T364,$B$6:B364,B364,$S$6:S364,"Y")=1,1,0))</f>
        <v/>
      </c>
    </row>
    <row r="365" spans="11:22" x14ac:dyDescent="0.35">
      <c r="K365" s="20" t="str">
        <f t="shared" si="35"/>
        <v>A</v>
      </c>
      <c r="L365" s="20" t="str">
        <f t="shared" si="36"/>
        <v/>
      </c>
      <c r="O365" s="20" t="str">
        <f t="shared" si="37"/>
        <v/>
      </c>
      <c r="P365" s="20" t="str">
        <f t="shared" si="38"/>
        <v/>
      </c>
      <c r="R365" s="20" t="str">
        <f t="shared" si="39"/>
        <v/>
      </c>
      <c r="T365" s="21" t="str">
        <f t="shared" si="40"/>
        <v/>
      </c>
      <c r="U365" s="20" t="str">
        <f t="shared" si="41"/>
        <v/>
      </c>
      <c r="V365" s="20" t="str">
        <f>IF(OR(S365&lt;&gt;"Y",B365&lt;AsOf-365,B365&gt;AsOf),"",IF(COUNTIFS($T$6:T365,T365,$B$6:B365,B365,$S$6:S365,"Y")=1,1,0))</f>
        <v/>
      </c>
    </row>
    <row r="366" spans="11:22" x14ac:dyDescent="0.35">
      <c r="K366" s="20" t="str">
        <f t="shared" si="35"/>
        <v>A</v>
      </c>
      <c r="L366" s="20" t="str">
        <f t="shared" si="36"/>
        <v/>
      </c>
      <c r="O366" s="20" t="str">
        <f t="shared" si="37"/>
        <v/>
      </c>
      <c r="P366" s="20" t="str">
        <f t="shared" si="38"/>
        <v/>
      </c>
      <c r="R366" s="20" t="str">
        <f t="shared" si="39"/>
        <v/>
      </c>
      <c r="T366" s="21" t="str">
        <f t="shared" si="40"/>
        <v/>
      </c>
      <c r="U366" s="20" t="str">
        <f t="shared" si="41"/>
        <v/>
      </c>
      <c r="V366" s="20" t="str">
        <f>IF(OR(S366&lt;&gt;"Y",B366&lt;AsOf-365,B366&gt;AsOf),"",IF(COUNTIFS($T$6:T366,T366,$B$6:B366,B366,$S$6:S366,"Y")=1,1,0))</f>
        <v/>
      </c>
    </row>
    <row r="367" spans="11:22" x14ac:dyDescent="0.35">
      <c r="K367" s="20" t="str">
        <f t="shared" si="35"/>
        <v>A</v>
      </c>
      <c r="L367" s="20" t="str">
        <f t="shared" si="36"/>
        <v/>
      </c>
      <c r="O367" s="20" t="str">
        <f t="shared" si="37"/>
        <v/>
      </c>
      <c r="P367" s="20" t="str">
        <f t="shared" si="38"/>
        <v/>
      </c>
      <c r="R367" s="20" t="str">
        <f t="shared" si="39"/>
        <v/>
      </c>
      <c r="T367" s="21" t="str">
        <f t="shared" si="40"/>
        <v/>
      </c>
      <c r="U367" s="20" t="str">
        <f t="shared" si="41"/>
        <v/>
      </c>
      <c r="V367" s="20" t="str">
        <f>IF(OR(S367&lt;&gt;"Y",B367&lt;AsOf-365,B367&gt;AsOf),"",IF(COUNTIFS($T$6:T367,T367,$B$6:B367,B367,$S$6:S367,"Y")=1,1,0))</f>
        <v/>
      </c>
    </row>
    <row r="368" spans="11:22" x14ac:dyDescent="0.35">
      <c r="K368" s="20" t="str">
        <f t="shared" si="35"/>
        <v>A</v>
      </c>
      <c r="L368" s="20" t="str">
        <f t="shared" si="36"/>
        <v/>
      </c>
      <c r="O368" s="20" t="str">
        <f t="shared" si="37"/>
        <v/>
      </c>
      <c r="P368" s="20" t="str">
        <f t="shared" si="38"/>
        <v/>
      </c>
      <c r="R368" s="20" t="str">
        <f t="shared" si="39"/>
        <v/>
      </c>
      <c r="T368" s="21" t="str">
        <f t="shared" si="40"/>
        <v/>
      </c>
      <c r="U368" s="20" t="str">
        <f t="shared" si="41"/>
        <v/>
      </c>
      <c r="V368" s="20" t="str">
        <f>IF(OR(S368&lt;&gt;"Y",B368&lt;AsOf-365,B368&gt;AsOf),"",IF(COUNTIFS($T$6:T368,T368,$B$6:B368,B368,$S$6:S368,"Y")=1,1,0))</f>
        <v/>
      </c>
    </row>
    <row r="369" spans="11:22" x14ac:dyDescent="0.35">
      <c r="K369" s="20" t="str">
        <f t="shared" si="35"/>
        <v>A</v>
      </c>
      <c r="L369" s="20" t="str">
        <f t="shared" si="36"/>
        <v/>
      </c>
      <c r="O369" s="20" t="str">
        <f t="shared" si="37"/>
        <v/>
      </c>
      <c r="P369" s="20" t="str">
        <f t="shared" si="38"/>
        <v/>
      </c>
      <c r="R369" s="20" t="str">
        <f t="shared" si="39"/>
        <v/>
      </c>
      <c r="T369" s="21" t="str">
        <f t="shared" si="40"/>
        <v/>
      </c>
      <c r="U369" s="20" t="str">
        <f t="shared" si="41"/>
        <v/>
      </c>
      <c r="V369" s="20" t="str">
        <f>IF(OR(S369&lt;&gt;"Y",B369&lt;AsOf-365,B369&gt;AsOf),"",IF(COUNTIFS($T$6:T369,T369,$B$6:B369,B369,$S$6:S369,"Y")=1,1,0))</f>
        <v/>
      </c>
    </row>
    <row r="370" spans="11:22" x14ac:dyDescent="0.35">
      <c r="K370" s="20" t="str">
        <f t="shared" si="35"/>
        <v>A</v>
      </c>
      <c r="L370" s="20" t="str">
        <f t="shared" si="36"/>
        <v/>
      </c>
      <c r="O370" s="20" t="str">
        <f t="shared" si="37"/>
        <v/>
      </c>
      <c r="P370" s="20" t="str">
        <f t="shared" si="38"/>
        <v/>
      </c>
      <c r="R370" s="20" t="str">
        <f t="shared" si="39"/>
        <v/>
      </c>
      <c r="T370" s="21" t="str">
        <f t="shared" si="40"/>
        <v/>
      </c>
      <c r="U370" s="20" t="str">
        <f t="shared" si="41"/>
        <v/>
      </c>
      <c r="V370" s="20" t="str">
        <f>IF(OR(S370&lt;&gt;"Y",B370&lt;AsOf-365,B370&gt;AsOf),"",IF(COUNTIFS($T$6:T370,T370,$B$6:B370,B370,$S$6:S370,"Y")=1,1,0))</f>
        <v/>
      </c>
    </row>
    <row r="371" spans="11:22" x14ac:dyDescent="0.35">
      <c r="K371" s="20" t="str">
        <f t="shared" si="35"/>
        <v>A</v>
      </c>
      <c r="L371" s="20" t="str">
        <f t="shared" si="36"/>
        <v/>
      </c>
      <c r="O371" s="20" t="str">
        <f t="shared" si="37"/>
        <v/>
      </c>
      <c r="P371" s="20" t="str">
        <f t="shared" si="38"/>
        <v/>
      </c>
      <c r="R371" s="20" t="str">
        <f t="shared" si="39"/>
        <v/>
      </c>
      <c r="T371" s="21" t="str">
        <f t="shared" si="40"/>
        <v/>
      </c>
      <c r="U371" s="20" t="str">
        <f t="shared" si="41"/>
        <v/>
      </c>
      <c r="V371" s="20" t="str">
        <f>IF(OR(S371&lt;&gt;"Y",B371&lt;AsOf-365,B371&gt;AsOf),"",IF(COUNTIFS($T$6:T371,T371,$B$6:B371,B371,$S$6:S371,"Y")=1,1,0))</f>
        <v/>
      </c>
    </row>
    <row r="372" spans="11:22" x14ac:dyDescent="0.35">
      <c r="K372" s="20" t="str">
        <f t="shared" si="35"/>
        <v>A</v>
      </c>
      <c r="L372" s="20" t="str">
        <f t="shared" si="36"/>
        <v/>
      </c>
      <c r="O372" s="20" t="str">
        <f t="shared" si="37"/>
        <v/>
      </c>
      <c r="P372" s="20" t="str">
        <f t="shared" si="38"/>
        <v/>
      </c>
      <c r="R372" s="20" t="str">
        <f t="shared" si="39"/>
        <v/>
      </c>
      <c r="T372" s="21" t="str">
        <f t="shared" si="40"/>
        <v/>
      </c>
      <c r="U372" s="20" t="str">
        <f t="shared" si="41"/>
        <v/>
      </c>
      <c r="V372" s="20" t="str">
        <f>IF(OR(S372&lt;&gt;"Y",B372&lt;AsOf-365,B372&gt;AsOf),"",IF(COUNTIFS($T$6:T372,T372,$B$6:B372,B372,$S$6:S372,"Y")=1,1,0))</f>
        <v/>
      </c>
    </row>
    <row r="373" spans="11:22" x14ac:dyDescent="0.35">
      <c r="K373" s="20" t="str">
        <f t="shared" si="35"/>
        <v>A</v>
      </c>
      <c r="L373" s="20" t="str">
        <f t="shared" si="36"/>
        <v/>
      </c>
      <c r="O373" s="20" t="str">
        <f t="shared" si="37"/>
        <v/>
      </c>
      <c r="P373" s="20" t="str">
        <f t="shared" si="38"/>
        <v/>
      </c>
      <c r="R373" s="20" t="str">
        <f t="shared" si="39"/>
        <v/>
      </c>
      <c r="T373" s="21" t="str">
        <f t="shared" si="40"/>
        <v/>
      </c>
      <c r="U373" s="20" t="str">
        <f t="shared" si="41"/>
        <v/>
      </c>
      <c r="V373" s="20" t="str">
        <f>IF(OR(S373&lt;&gt;"Y",B373&lt;AsOf-365,B373&gt;AsOf),"",IF(COUNTIFS($T$6:T373,T373,$B$6:B373,B373,$S$6:S373,"Y")=1,1,0))</f>
        <v/>
      </c>
    </row>
    <row r="374" spans="11:22" x14ac:dyDescent="0.35">
      <c r="K374" s="20" t="str">
        <f t="shared" si="35"/>
        <v>A</v>
      </c>
      <c r="L374" s="20" t="str">
        <f t="shared" si="36"/>
        <v/>
      </c>
      <c r="O374" s="20" t="str">
        <f t="shared" si="37"/>
        <v/>
      </c>
      <c r="P374" s="20" t="str">
        <f t="shared" si="38"/>
        <v/>
      </c>
      <c r="R374" s="20" t="str">
        <f t="shared" si="39"/>
        <v/>
      </c>
      <c r="T374" s="21" t="str">
        <f t="shared" si="40"/>
        <v/>
      </c>
      <c r="U374" s="20" t="str">
        <f t="shared" si="41"/>
        <v/>
      </c>
      <c r="V374" s="20" t="str">
        <f>IF(OR(S374&lt;&gt;"Y",B374&lt;AsOf-365,B374&gt;AsOf),"",IF(COUNTIFS($T$6:T374,T374,$B$6:B374,B374,$S$6:S374,"Y")=1,1,0))</f>
        <v/>
      </c>
    </row>
    <row r="375" spans="11:22" x14ac:dyDescent="0.35">
      <c r="K375" s="20" t="str">
        <f t="shared" si="35"/>
        <v>A</v>
      </c>
      <c r="L375" s="20" t="str">
        <f t="shared" si="36"/>
        <v/>
      </c>
      <c r="O375" s="20" t="str">
        <f t="shared" si="37"/>
        <v/>
      </c>
      <c r="P375" s="20" t="str">
        <f t="shared" si="38"/>
        <v/>
      </c>
      <c r="R375" s="20" t="str">
        <f t="shared" si="39"/>
        <v/>
      </c>
      <c r="T375" s="21" t="str">
        <f t="shared" si="40"/>
        <v/>
      </c>
      <c r="U375" s="20" t="str">
        <f t="shared" si="41"/>
        <v/>
      </c>
      <c r="V375" s="20" t="str">
        <f>IF(OR(S375&lt;&gt;"Y",B375&lt;AsOf-365,B375&gt;AsOf),"",IF(COUNTIFS($T$6:T375,T375,$B$6:B375,B375,$S$6:S375,"Y")=1,1,0))</f>
        <v/>
      </c>
    </row>
    <row r="376" spans="11:22" x14ac:dyDescent="0.35">
      <c r="K376" s="20" t="str">
        <f t="shared" si="35"/>
        <v>A</v>
      </c>
      <c r="L376" s="20" t="str">
        <f t="shared" si="36"/>
        <v/>
      </c>
      <c r="O376" s="20" t="str">
        <f t="shared" si="37"/>
        <v/>
      </c>
      <c r="P376" s="20" t="str">
        <f t="shared" si="38"/>
        <v/>
      </c>
      <c r="R376" s="20" t="str">
        <f t="shared" si="39"/>
        <v/>
      </c>
      <c r="T376" s="21" t="str">
        <f t="shared" si="40"/>
        <v/>
      </c>
      <c r="U376" s="20" t="str">
        <f t="shared" si="41"/>
        <v/>
      </c>
      <c r="V376" s="20" t="str">
        <f>IF(OR(S376&lt;&gt;"Y",B376&lt;AsOf-365,B376&gt;AsOf),"",IF(COUNTIFS($T$6:T376,T376,$B$6:B376,B376,$S$6:S376,"Y")=1,1,0))</f>
        <v/>
      </c>
    </row>
    <row r="377" spans="11:22" x14ac:dyDescent="0.35">
      <c r="K377" s="20" t="str">
        <f t="shared" si="35"/>
        <v>A</v>
      </c>
      <c r="L377" s="20" t="str">
        <f t="shared" si="36"/>
        <v/>
      </c>
      <c r="O377" s="20" t="str">
        <f t="shared" si="37"/>
        <v/>
      </c>
      <c r="P377" s="20" t="str">
        <f t="shared" si="38"/>
        <v/>
      </c>
      <c r="R377" s="20" t="str">
        <f t="shared" si="39"/>
        <v/>
      </c>
      <c r="T377" s="21" t="str">
        <f t="shared" si="40"/>
        <v/>
      </c>
      <c r="U377" s="20" t="str">
        <f t="shared" si="41"/>
        <v/>
      </c>
      <c r="V377" s="20" t="str">
        <f>IF(OR(S377&lt;&gt;"Y",B377&lt;AsOf-365,B377&gt;AsOf),"",IF(COUNTIFS($T$6:T377,T377,$B$6:B377,B377,$S$6:S377,"Y")=1,1,0))</f>
        <v/>
      </c>
    </row>
    <row r="378" spans="11:22" x14ac:dyDescent="0.35">
      <c r="K378" s="20" t="str">
        <f t="shared" si="35"/>
        <v>A</v>
      </c>
      <c r="L378" s="20" t="str">
        <f t="shared" si="36"/>
        <v/>
      </c>
      <c r="O378" s="20" t="str">
        <f t="shared" si="37"/>
        <v/>
      </c>
      <c r="P378" s="20" t="str">
        <f t="shared" si="38"/>
        <v/>
      </c>
      <c r="R378" s="20" t="str">
        <f t="shared" si="39"/>
        <v/>
      </c>
      <c r="T378" s="21" t="str">
        <f t="shared" si="40"/>
        <v/>
      </c>
      <c r="U378" s="20" t="str">
        <f t="shared" si="41"/>
        <v/>
      </c>
      <c r="V378" s="20" t="str">
        <f>IF(OR(S378&lt;&gt;"Y",B378&lt;AsOf-365,B378&gt;AsOf),"",IF(COUNTIFS($T$6:T378,T378,$B$6:B378,B378,$S$6:S378,"Y")=1,1,0))</f>
        <v/>
      </c>
    </row>
    <row r="379" spans="11:22" x14ac:dyDescent="0.35">
      <c r="K379" s="20" t="str">
        <f t="shared" si="35"/>
        <v>A</v>
      </c>
      <c r="L379" s="20" t="str">
        <f t="shared" si="36"/>
        <v/>
      </c>
      <c r="O379" s="20" t="str">
        <f t="shared" si="37"/>
        <v/>
      </c>
      <c r="P379" s="20" t="str">
        <f t="shared" si="38"/>
        <v/>
      </c>
      <c r="R379" s="20" t="str">
        <f t="shared" si="39"/>
        <v/>
      </c>
      <c r="T379" s="21" t="str">
        <f t="shared" si="40"/>
        <v/>
      </c>
      <c r="U379" s="20" t="str">
        <f t="shared" si="41"/>
        <v/>
      </c>
      <c r="V379" s="20" t="str">
        <f>IF(OR(S379&lt;&gt;"Y",B379&lt;AsOf-365,B379&gt;AsOf),"",IF(COUNTIFS($T$6:T379,T379,$B$6:B379,B379,$S$6:S379,"Y")=1,1,0))</f>
        <v/>
      </c>
    </row>
    <row r="380" spans="11:22" x14ac:dyDescent="0.35">
      <c r="K380" s="20" t="str">
        <f t="shared" si="35"/>
        <v>A</v>
      </c>
      <c r="L380" s="20" t="str">
        <f t="shared" si="36"/>
        <v/>
      </c>
      <c r="O380" s="20" t="str">
        <f t="shared" si="37"/>
        <v/>
      </c>
      <c r="P380" s="20" t="str">
        <f t="shared" si="38"/>
        <v/>
      </c>
      <c r="R380" s="20" t="str">
        <f t="shared" si="39"/>
        <v/>
      </c>
      <c r="T380" s="21" t="str">
        <f t="shared" si="40"/>
        <v/>
      </c>
      <c r="U380" s="20" t="str">
        <f t="shared" si="41"/>
        <v/>
      </c>
      <c r="V380" s="20" t="str">
        <f>IF(OR(S380&lt;&gt;"Y",B380&lt;AsOf-365,B380&gt;AsOf),"",IF(COUNTIFS($T$6:T380,T380,$B$6:B380,B380,$S$6:S380,"Y")=1,1,0))</f>
        <v/>
      </c>
    </row>
    <row r="381" spans="11:22" x14ac:dyDescent="0.35">
      <c r="K381" s="20" t="str">
        <f t="shared" si="35"/>
        <v>A</v>
      </c>
      <c r="L381" s="20" t="str">
        <f t="shared" si="36"/>
        <v/>
      </c>
      <c r="O381" s="20" t="str">
        <f t="shared" si="37"/>
        <v/>
      </c>
      <c r="P381" s="20" t="str">
        <f t="shared" si="38"/>
        <v/>
      </c>
      <c r="R381" s="20" t="str">
        <f t="shared" si="39"/>
        <v/>
      </c>
      <c r="T381" s="21" t="str">
        <f t="shared" si="40"/>
        <v/>
      </c>
      <c r="U381" s="20" t="str">
        <f t="shared" si="41"/>
        <v/>
      </c>
      <c r="V381" s="20" t="str">
        <f>IF(OR(S381&lt;&gt;"Y",B381&lt;AsOf-365,B381&gt;AsOf),"",IF(COUNTIFS($T$6:T381,T381,$B$6:B381,B381,$S$6:S381,"Y")=1,1,0))</f>
        <v/>
      </c>
    </row>
    <row r="382" spans="11:22" x14ac:dyDescent="0.35">
      <c r="K382" s="20" t="str">
        <f t="shared" si="35"/>
        <v>A</v>
      </c>
      <c r="L382" s="20" t="str">
        <f t="shared" si="36"/>
        <v/>
      </c>
      <c r="O382" s="20" t="str">
        <f t="shared" si="37"/>
        <v/>
      </c>
      <c r="P382" s="20" t="str">
        <f t="shared" si="38"/>
        <v/>
      </c>
      <c r="R382" s="20" t="str">
        <f t="shared" si="39"/>
        <v/>
      </c>
      <c r="T382" s="21" t="str">
        <f t="shared" si="40"/>
        <v/>
      </c>
      <c r="U382" s="20" t="str">
        <f t="shared" si="41"/>
        <v/>
      </c>
      <c r="V382" s="20" t="str">
        <f>IF(OR(S382&lt;&gt;"Y",B382&lt;AsOf-365,B382&gt;AsOf),"",IF(COUNTIFS($T$6:T382,T382,$B$6:B382,B382,$S$6:S382,"Y")=1,1,0))</f>
        <v/>
      </c>
    </row>
    <row r="383" spans="11:22" x14ac:dyDescent="0.35">
      <c r="K383" s="20" t="str">
        <f t="shared" si="35"/>
        <v>A</v>
      </c>
      <c r="L383" s="20" t="str">
        <f t="shared" si="36"/>
        <v/>
      </c>
      <c r="O383" s="20" t="str">
        <f t="shared" si="37"/>
        <v/>
      </c>
      <c r="P383" s="20" t="str">
        <f t="shared" si="38"/>
        <v/>
      </c>
      <c r="R383" s="20" t="str">
        <f t="shared" si="39"/>
        <v/>
      </c>
      <c r="T383" s="21" t="str">
        <f t="shared" si="40"/>
        <v/>
      </c>
      <c r="U383" s="20" t="str">
        <f t="shared" si="41"/>
        <v/>
      </c>
      <c r="V383" s="20" t="str">
        <f>IF(OR(S383&lt;&gt;"Y",B383&lt;AsOf-365,B383&gt;AsOf),"",IF(COUNTIFS($T$6:T383,T383,$B$6:B383,B383,$S$6:S383,"Y")=1,1,0))</f>
        <v/>
      </c>
    </row>
    <row r="384" spans="11:22" x14ac:dyDescent="0.35">
      <c r="K384" s="20" t="str">
        <f t="shared" si="35"/>
        <v>A</v>
      </c>
      <c r="L384" s="20" t="str">
        <f t="shared" si="36"/>
        <v/>
      </c>
      <c r="O384" s="20" t="str">
        <f t="shared" si="37"/>
        <v/>
      </c>
      <c r="P384" s="20" t="str">
        <f t="shared" si="38"/>
        <v/>
      </c>
      <c r="R384" s="20" t="str">
        <f t="shared" si="39"/>
        <v/>
      </c>
      <c r="T384" s="21" t="str">
        <f t="shared" si="40"/>
        <v/>
      </c>
      <c r="U384" s="20" t="str">
        <f t="shared" si="41"/>
        <v/>
      </c>
      <c r="V384" s="20" t="str">
        <f>IF(OR(S384&lt;&gt;"Y",B384&lt;AsOf-365,B384&gt;AsOf),"",IF(COUNTIFS($T$6:T384,T384,$B$6:B384,B384,$S$6:S384,"Y")=1,1,0))</f>
        <v/>
      </c>
    </row>
    <row r="385" spans="11:22" x14ac:dyDescent="0.35">
      <c r="K385" s="20" t="str">
        <f t="shared" si="35"/>
        <v>A</v>
      </c>
      <c r="L385" s="20" t="str">
        <f t="shared" si="36"/>
        <v/>
      </c>
      <c r="O385" s="20" t="str">
        <f t="shared" si="37"/>
        <v/>
      </c>
      <c r="P385" s="20" t="str">
        <f t="shared" si="38"/>
        <v/>
      </c>
      <c r="R385" s="20" t="str">
        <f t="shared" si="39"/>
        <v/>
      </c>
      <c r="T385" s="21" t="str">
        <f t="shared" si="40"/>
        <v/>
      </c>
      <c r="U385" s="20" t="str">
        <f t="shared" si="41"/>
        <v/>
      </c>
      <c r="V385" s="20" t="str">
        <f>IF(OR(S385&lt;&gt;"Y",B385&lt;AsOf-365,B385&gt;AsOf),"",IF(COUNTIFS($T$6:T385,T385,$B$6:B385,B385,$S$6:S385,"Y")=1,1,0))</f>
        <v/>
      </c>
    </row>
    <row r="386" spans="11:22" x14ac:dyDescent="0.35">
      <c r="K386" s="20" t="str">
        <f t="shared" si="35"/>
        <v>A</v>
      </c>
      <c r="L386" s="20" t="str">
        <f t="shared" si="36"/>
        <v/>
      </c>
      <c r="O386" s="20" t="str">
        <f t="shared" si="37"/>
        <v/>
      </c>
      <c r="P386" s="20" t="str">
        <f t="shared" si="38"/>
        <v/>
      </c>
      <c r="R386" s="20" t="str">
        <f t="shared" si="39"/>
        <v/>
      </c>
      <c r="T386" s="21" t="str">
        <f t="shared" si="40"/>
        <v/>
      </c>
      <c r="U386" s="20" t="str">
        <f t="shared" si="41"/>
        <v/>
      </c>
      <c r="V386" s="20" t="str">
        <f>IF(OR(S386&lt;&gt;"Y",B386&lt;AsOf-365,B386&gt;AsOf),"",IF(COUNTIFS($T$6:T386,T386,$B$6:B386,B386,$S$6:S386,"Y")=1,1,0))</f>
        <v/>
      </c>
    </row>
    <row r="387" spans="11:22" x14ac:dyDescent="0.35">
      <c r="K387" s="20" t="str">
        <f t="shared" si="35"/>
        <v>A</v>
      </c>
      <c r="L387" s="20" t="str">
        <f t="shared" si="36"/>
        <v/>
      </c>
      <c r="O387" s="20" t="str">
        <f t="shared" si="37"/>
        <v/>
      </c>
      <c r="P387" s="20" t="str">
        <f t="shared" si="38"/>
        <v/>
      </c>
      <c r="R387" s="20" t="str">
        <f t="shared" si="39"/>
        <v/>
      </c>
      <c r="T387" s="21" t="str">
        <f t="shared" si="40"/>
        <v/>
      </c>
      <c r="U387" s="20" t="str">
        <f t="shared" si="41"/>
        <v/>
      </c>
      <c r="V387" s="20" t="str">
        <f>IF(OR(S387&lt;&gt;"Y",B387&lt;AsOf-365,B387&gt;AsOf),"",IF(COUNTIFS($T$6:T387,T387,$B$6:B387,B387,$S$6:S387,"Y")=1,1,0))</f>
        <v/>
      </c>
    </row>
    <row r="388" spans="11:22" x14ac:dyDescent="0.35">
      <c r="K388" s="20" t="str">
        <f t="shared" si="35"/>
        <v>A</v>
      </c>
      <c r="L388" s="20" t="str">
        <f t="shared" si="36"/>
        <v/>
      </c>
      <c r="O388" s="20" t="str">
        <f t="shared" si="37"/>
        <v/>
      </c>
      <c r="P388" s="20" t="str">
        <f t="shared" si="38"/>
        <v/>
      </c>
      <c r="R388" s="20" t="str">
        <f t="shared" si="39"/>
        <v/>
      </c>
      <c r="T388" s="21" t="str">
        <f t="shared" si="40"/>
        <v/>
      </c>
      <c r="U388" s="20" t="str">
        <f t="shared" si="41"/>
        <v/>
      </c>
      <c r="V388" s="20" t="str">
        <f>IF(OR(S388&lt;&gt;"Y",B388&lt;AsOf-365,B388&gt;AsOf),"",IF(COUNTIFS($T$6:T388,T388,$B$6:B388,B388,$S$6:S388,"Y")=1,1,0))</f>
        <v/>
      </c>
    </row>
    <row r="389" spans="11:22" x14ac:dyDescent="0.35">
      <c r="K389" s="20" t="str">
        <f t="shared" si="35"/>
        <v>A</v>
      </c>
      <c r="L389" s="20" t="str">
        <f t="shared" si="36"/>
        <v/>
      </c>
      <c r="O389" s="20" t="str">
        <f t="shared" si="37"/>
        <v/>
      </c>
      <c r="P389" s="20" t="str">
        <f t="shared" si="38"/>
        <v/>
      </c>
      <c r="R389" s="20" t="str">
        <f t="shared" si="39"/>
        <v/>
      </c>
      <c r="T389" s="21" t="str">
        <f t="shared" si="40"/>
        <v/>
      </c>
      <c r="U389" s="20" t="str">
        <f t="shared" si="41"/>
        <v/>
      </c>
      <c r="V389" s="20" t="str">
        <f>IF(OR(S389&lt;&gt;"Y",B389&lt;AsOf-365,B389&gt;AsOf),"",IF(COUNTIFS($T$6:T389,T389,$B$6:B389,B389,$S$6:S389,"Y")=1,1,0))</f>
        <v/>
      </c>
    </row>
    <row r="390" spans="11:22" x14ac:dyDescent="0.35">
      <c r="K390" s="20" t="str">
        <f t="shared" ref="K390:K405" si="42">IF(F390="Y",IF(G390="Y","B","C"),IF(OR(D390="Credit",D390="Equity"),"C",IF(H390="Y","B","A")))</f>
        <v>A</v>
      </c>
      <c r="L390" s="20" t="str">
        <f t="shared" ref="L390:L405" si="43">IF(J390="","",IF(K390="A",MATCH(J390,RowA_low,1),IF(K390="B",MATCH(J390,RowB_low,1),IF(K390="C",MATCH(J390,RowC_low,1),""))))</f>
        <v/>
      </c>
      <c r="O390" s="20" t="str">
        <f t="shared" ref="O390:O405" si="44">IF(N390="","","C")</f>
        <v/>
      </c>
      <c r="P390" s="20" t="str">
        <f t="shared" ref="P390:P405" si="45">IF(N390="","",MATCH(N390,RowC_low,1))</f>
        <v/>
      </c>
      <c r="R390" s="20" t="str">
        <f t="shared" ref="R390:R405" si="46">IF(Q390="","",MATCH(Q390,RowD_low,1))</f>
        <v/>
      </c>
      <c r="T390" s="21" t="str">
        <f t="shared" ref="T390:T405" si="47">IF(D390="","",D390&amp;"|"&amp;E390&amp;"|t1."&amp;IF(L390="","-",L390)&amp;IF(P390="","","|t2."&amp;P390)&amp;IF(R390="","","|s."&amp;R390))</f>
        <v/>
      </c>
      <c r="U390" s="20" t="str">
        <f t="shared" ref="U390:U405" si="48">IF(OR(S390&lt;&gt;"Y",B390&lt;AsOf-365,B390&gt;AsOf),"",IF(COUNTIFS($T$6:$T$405,T390,$S$6:$S$405,"Y",$B$6:$B$405,"&gt;"&amp;B390,$B$6:$B$405,"&lt;="&amp;AsOf)=0,"",_xlfn.MINIFS($B$6:$B$405,$T$6:$T$405,T390,$S$6:$S$405,"Y",$B$6:$B$405,"&gt;"&amp;B390,$B$6:$B$405,"&lt;="&amp;AsOf)-B390))</f>
        <v/>
      </c>
      <c r="V390" s="20" t="str">
        <f>IF(OR(S390&lt;&gt;"Y",B390&lt;AsOf-365,B390&gt;AsOf),"",IF(COUNTIFS($T$6:T390,T390,$B$6:B390,B390,$S$6:S390,"Y")=1,1,0))</f>
        <v/>
      </c>
    </row>
    <row r="391" spans="11:22" x14ac:dyDescent="0.35">
      <c r="K391" s="20" t="str">
        <f t="shared" si="42"/>
        <v>A</v>
      </c>
      <c r="L391" s="20" t="str">
        <f t="shared" si="43"/>
        <v/>
      </c>
      <c r="O391" s="20" t="str">
        <f t="shared" si="44"/>
        <v/>
      </c>
      <c r="P391" s="20" t="str">
        <f t="shared" si="45"/>
        <v/>
      </c>
      <c r="R391" s="20" t="str">
        <f t="shared" si="46"/>
        <v/>
      </c>
      <c r="T391" s="21" t="str">
        <f t="shared" si="47"/>
        <v/>
      </c>
      <c r="U391" s="20" t="str">
        <f t="shared" si="48"/>
        <v/>
      </c>
      <c r="V391" s="20" t="str">
        <f>IF(OR(S391&lt;&gt;"Y",B391&lt;AsOf-365,B391&gt;AsOf),"",IF(COUNTIFS($T$6:T391,T391,$B$6:B391,B391,$S$6:S391,"Y")=1,1,0))</f>
        <v/>
      </c>
    </row>
    <row r="392" spans="11:22" x14ac:dyDescent="0.35">
      <c r="K392" s="20" t="str">
        <f t="shared" si="42"/>
        <v>A</v>
      </c>
      <c r="L392" s="20" t="str">
        <f t="shared" si="43"/>
        <v/>
      </c>
      <c r="O392" s="20" t="str">
        <f t="shared" si="44"/>
        <v/>
      </c>
      <c r="P392" s="20" t="str">
        <f t="shared" si="45"/>
        <v/>
      </c>
      <c r="R392" s="20" t="str">
        <f t="shared" si="46"/>
        <v/>
      </c>
      <c r="T392" s="21" t="str">
        <f t="shared" si="47"/>
        <v/>
      </c>
      <c r="U392" s="20" t="str">
        <f t="shared" si="48"/>
        <v/>
      </c>
      <c r="V392" s="20" t="str">
        <f>IF(OR(S392&lt;&gt;"Y",B392&lt;AsOf-365,B392&gt;AsOf),"",IF(COUNTIFS($T$6:T392,T392,$B$6:B392,B392,$S$6:S392,"Y")=1,1,0))</f>
        <v/>
      </c>
    </row>
    <row r="393" spans="11:22" x14ac:dyDescent="0.35">
      <c r="K393" s="20" t="str">
        <f t="shared" si="42"/>
        <v>A</v>
      </c>
      <c r="L393" s="20" t="str">
        <f t="shared" si="43"/>
        <v/>
      </c>
      <c r="O393" s="20" t="str">
        <f t="shared" si="44"/>
        <v/>
      </c>
      <c r="P393" s="20" t="str">
        <f t="shared" si="45"/>
        <v/>
      </c>
      <c r="R393" s="20" t="str">
        <f t="shared" si="46"/>
        <v/>
      </c>
      <c r="T393" s="21" t="str">
        <f t="shared" si="47"/>
        <v/>
      </c>
      <c r="U393" s="20" t="str">
        <f t="shared" si="48"/>
        <v/>
      </c>
      <c r="V393" s="20" t="str">
        <f>IF(OR(S393&lt;&gt;"Y",B393&lt;AsOf-365,B393&gt;AsOf),"",IF(COUNTIFS($T$6:T393,T393,$B$6:B393,B393,$S$6:S393,"Y")=1,1,0))</f>
        <v/>
      </c>
    </row>
    <row r="394" spans="11:22" x14ac:dyDescent="0.35">
      <c r="K394" s="20" t="str">
        <f t="shared" si="42"/>
        <v>A</v>
      </c>
      <c r="L394" s="20" t="str">
        <f t="shared" si="43"/>
        <v/>
      </c>
      <c r="O394" s="20" t="str">
        <f t="shared" si="44"/>
        <v/>
      </c>
      <c r="P394" s="20" t="str">
        <f t="shared" si="45"/>
        <v/>
      </c>
      <c r="R394" s="20" t="str">
        <f t="shared" si="46"/>
        <v/>
      </c>
      <c r="T394" s="21" t="str">
        <f t="shared" si="47"/>
        <v/>
      </c>
      <c r="U394" s="20" t="str">
        <f t="shared" si="48"/>
        <v/>
      </c>
      <c r="V394" s="20" t="str">
        <f>IF(OR(S394&lt;&gt;"Y",B394&lt;AsOf-365,B394&gt;AsOf),"",IF(COUNTIFS($T$6:T394,T394,$B$6:B394,B394,$S$6:S394,"Y")=1,1,0))</f>
        <v/>
      </c>
    </row>
    <row r="395" spans="11:22" x14ac:dyDescent="0.35">
      <c r="K395" s="20" t="str">
        <f t="shared" si="42"/>
        <v>A</v>
      </c>
      <c r="L395" s="20" t="str">
        <f t="shared" si="43"/>
        <v/>
      </c>
      <c r="O395" s="20" t="str">
        <f t="shared" si="44"/>
        <v/>
      </c>
      <c r="P395" s="20" t="str">
        <f t="shared" si="45"/>
        <v/>
      </c>
      <c r="R395" s="20" t="str">
        <f t="shared" si="46"/>
        <v/>
      </c>
      <c r="T395" s="21" t="str">
        <f t="shared" si="47"/>
        <v/>
      </c>
      <c r="U395" s="20" t="str">
        <f t="shared" si="48"/>
        <v/>
      </c>
      <c r="V395" s="20" t="str">
        <f>IF(OR(S395&lt;&gt;"Y",B395&lt;AsOf-365,B395&gt;AsOf),"",IF(COUNTIFS($T$6:T395,T395,$B$6:B395,B395,$S$6:S395,"Y")=1,1,0))</f>
        <v/>
      </c>
    </row>
    <row r="396" spans="11:22" x14ac:dyDescent="0.35">
      <c r="K396" s="20" t="str">
        <f t="shared" si="42"/>
        <v>A</v>
      </c>
      <c r="L396" s="20" t="str">
        <f t="shared" si="43"/>
        <v/>
      </c>
      <c r="O396" s="20" t="str">
        <f t="shared" si="44"/>
        <v/>
      </c>
      <c r="P396" s="20" t="str">
        <f t="shared" si="45"/>
        <v/>
      </c>
      <c r="R396" s="20" t="str">
        <f t="shared" si="46"/>
        <v/>
      </c>
      <c r="T396" s="21" t="str">
        <f t="shared" si="47"/>
        <v/>
      </c>
      <c r="U396" s="20" t="str">
        <f t="shared" si="48"/>
        <v/>
      </c>
      <c r="V396" s="20" t="str">
        <f>IF(OR(S396&lt;&gt;"Y",B396&lt;AsOf-365,B396&gt;AsOf),"",IF(COUNTIFS($T$6:T396,T396,$B$6:B396,B396,$S$6:S396,"Y")=1,1,0))</f>
        <v/>
      </c>
    </row>
    <row r="397" spans="11:22" x14ac:dyDescent="0.35">
      <c r="K397" s="20" t="str">
        <f t="shared" si="42"/>
        <v>A</v>
      </c>
      <c r="L397" s="20" t="str">
        <f t="shared" si="43"/>
        <v/>
      </c>
      <c r="O397" s="20" t="str">
        <f t="shared" si="44"/>
        <v/>
      </c>
      <c r="P397" s="20" t="str">
        <f t="shared" si="45"/>
        <v/>
      </c>
      <c r="R397" s="20" t="str">
        <f t="shared" si="46"/>
        <v/>
      </c>
      <c r="T397" s="21" t="str">
        <f t="shared" si="47"/>
        <v/>
      </c>
      <c r="U397" s="20" t="str">
        <f t="shared" si="48"/>
        <v/>
      </c>
      <c r="V397" s="20" t="str">
        <f>IF(OR(S397&lt;&gt;"Y",B397&lt;AsOf-365,B397&gt;AsOf),"",IF(COUNTIFS($T$6:T397,T397,$B$6:B397,B397,$S$6:S397,"Y")=1,1,0))</f>
        <v/>
      </c>
    </row>
    <row r="398" spans="11:22" x14ac:dyDescent="0.35">
      <c r="K398" s="20" t="str">
        <f t="shared" si="42"/>
        <v>A</v>
      </c>
      <c r="L398" s="20" t="str">
        <f t="shared" si="43"/>
        <v/>
      </c>
      <c r="O398" s="20" t="str">
        <f t="shared" si="44"/>
        <v/>
      </c>
      <c r="P398" s="20" t="str">
        <f t="shared" si="45"/>
        <v/>
      </c>
      <c r="R398" s="20" t="str">
        <f t="shared" si="46"/>
        <v/>
      </c>
      <c r="T398" s="21" t="str">
        <f t="shared" si="47"/>
        <v/>
      </c>
      <c r="U398" s="20" t="str">
        <f t="shared" si="48"/>
        <v/>
      </c>
      <c r="V398" s="20" t="str">
        <f>IF(OR(S398&lt;&gt;"Y",B398&lt;AsOf-365,B398&gt;AsOf),"",IF(COUNTIFS($T$6:T398,T398,$B$6:B398,B398,$S$6:S398,"Y")=1,1,0))</f>
        <v/>
      </c>
    </row>
    <row r="399" spans="11:22" x14ac:dyDescent="0.35">
      <c r="K399" s="20" t="str">
        <f t="shared" si="42"/>
        <v>A</v>
      </c>
      <c r="L399" s="20" t="str">
        <f t="shared" si="43"/>
        <v/>
      </c>
      <c r="O399" s="20" t="str">
        <f t="shared" si="44"/>
        <v/>
      </c>
      <c r="P399" s="20" t="str">
        <f t="shared" si="45"/>
        <v/>
      </c>
      <c r="R399" s="20" t="str">
        <f t="shared" si="46"/>
        <v/>
      </c>
      <c r="T399" s="21" t="str">
        <f t="shared" si="47"/>
        <v/>
      </c>
      <c r="U399" s="20" t="str">
        <f t="shared" si="48"/>
        <v/>
      </c>
      <c r="V399" s="20" t="str">
        <f>IF(OR(S399&lt;&gt;"Y",B399&lt;AsOf-365,B399&gt;AsOf),"",IF(COUNTIFS($T$6:T399,T399,$B$6:B399,B399,$S$6:S399,"Y")=1,1,0))</f>
        <v/>
      </c>
    </row>
    <row r="400" spans="11:22" x14ac:dyDescent="0.35">
      <c r="K400" s="20" t="str">
        <f t="shared" si="42"/>
        <v>A</v>
      </c>
      <c r="L400" s="20" t="str">
        <f t="shared" si="43"/>
        <v/>
      </c>
      <c r="O400" s="20" t="str">
        <f t="shared" si="44"/>
        <v/>
      </c>
      <c r="P400" s="20" t="str">
        <f t="shared" si="45"/>
        <v/>
      </c>
      <c r="R400" s="20" t="str">
        <f t="shared" si="46"/>
        <v/>
      </c>
      <c r="T400" s="21" t="str">
        <f t="shared" si="47"/>
        <v/>
      </c>
      <c r="U400" s="20" t="str">
        <f t="shared" si="48"/>
        <v/>
      </c>
      <c r="V400" s="20" t="str">
        <f>IF(OR(S400&lt;&gt;"Y",B400&lt;AsOf-365,B400&gt;AsOf),"",IF(COUNTIFS($T$6:T400,T400,$B$6:B400,B400,$S$6:S400,"Y")=1,1,0))</f>
        <v/>
      </c>
    </row>
    <row r="401" spans="11:22" x14ac:dyDescent="0.35">
      <c r="K401" s="20" t="str">
        <f t="shared" si="42"/>
        <v>A</v>
      </c>
      <c r="L401" s="20" t="str">
        <f t="shared" si="43"/>
        <v/>
      </c>
      <c r="O401" s="20" t="str">
        <f t="shared" si="44"/>
        <v/>
      </c>
      <c r="P401" s="20" t="str">
        <f t="shared" si="45"/>
        <v/>
      </c>
      <c r="R401" s="20" t="str">
        <f t="shared" si="46"/>
        <v/>
      </c>
      <c r="T401" s="21" t="str">
        <f t="shared" si="47"/>
        <v/>
      </c>
      <c r="U401" s="20" t="str">
        <f t="shared" si="48"/>
        <v/>
      </c>
      <c r="V401" s="20" t="str">
        <f>IF(OR(S401&lt;&gt;"Y",B401&lt;AsOf-365,B401&gt;AsOf),"",IF(COUNTIFS($T$6:T401,T401,$B$6:B401,B401,$S$6:S401,"Y")=1,1,0))</f>
        <v/>
      </c>
    </row>
    <row r="402" spans="11:22" x14ac:dyDescent="0.35">
      <c r="K402" s="20" t="str">
        <f t="shared" si="42"/>
        <v>A</v>
      </c>
      <c r="L402" s="20" t="str">
        <f t="shared" si="43"/>
        <v/>
      </c>
      <c r="O402" s="20" t="str">
        <f t="shared" si="44"/>
        <v/>
      </c>
      <c r="P402" s="20" t="str">
        <f t="shared" si="45"/>
        <v/>
      </c>
      <c r="R402" s="20" t="str">
        <f t="shared" si="46"/>
        <v/>
      </c>
      <c r="T402" s="21" t="str">
        <f t="shared" si="47"/>
        <v/>
      </c>
      <c r="U402" s="20" t="str">
        <f t="shared" si="48"/>
        <v/>
      </c>
      <c r="V402" s="20" t="str">
        <f>IF(OR(S402&lt;&gt;"Y",B402&lt;AsOf-365,B402&gt;AsOf),"",IF(COUNTIFS($T$6:T402,T402,$B$6:B402,B402,$S$6:S402,"Y")=1,1,0))</f>
        <v/>
      </c>
    </row>
    <row r="403" spans="11:22" x14ac:dyDescent="0.35">
      <c r="K403" s="20" t="str">
        <f t="shared" si="42"/>
        <v>A</v>
      </c>
      <c r="L403" s="20" t="str">
        <f t="shared" si="43"/>
        <v/>
      </c>
      <c r="O403" s="20" t="str">
        <f t="shared" si="44"/>
        <v/>
      </c>
      <c r="P403" s="20" t="str">
        <f t="shared" si="45"/>
        <v/>
      </c>
      <c r="R403" s="20" t="str">
        <f t="shared" si="46"/>
        <v/>
      </c>
      <c r="T403" s="21" t="str">
        <f t="shared" si="47"/>
        <v/>
      </c>
      <c r="U403" s="20" t="str">
        <f t="shared" si="48"/>
        <v/>
      </c>
      <c r="V403" s="20" t="str">
        <f>IF(OR(S403&lt;&gt;"Y",B403&lt;AsOf-365,B403&gt;AsOf),"",IF(COUNTIFS($T$6:T403,T403,$B$6:B403,B403,$S$6:S403,"Y")=1,1,0))</f>
        <v/>
      </c>
    </row>
    <row r="404" spans="11:22" x14ac:dyDescent="0.35">
      <c r="K404" s="20" t="str">
        <f t="shared" si="42"/>
        <v>A</v>
      </c>
      <c r="L404" s="20" t="str">
        <f t="shared" si="43"/>
        <v/>
      </c>
      <c r="O404" s="20" t="str">
        <f t="shared" si="44"/>
        <v/>
      </c>
      <c r="P404" s="20" t="str">
        <f t="shared" si="45"/>
        <v/>
      </c>
      <c r="R404" s="20" t="str">
        <f t="shared" si="46"/>
        <v/>
      </c>
      <c r="T404" s="21" t="str">
        <f t="shared" si="47"/>
        <v/>
      </c>
      <c r="U404" s="20" t="str">
        <f t="shared" si="48"/>
        <v/>
      </c>
      <c r="V404" s="20" t="str">
        <f>IF(OR(S404&lt;&gt;"Y",B404&lt;AsOf-365,B404&gt;AsOf),"",IF(COUNTIFS($T$6:T404,T404,$B$6:B404,B404,$S$6:S404,"Y")=1,1,0))</f>
        <v/>
      </c>
    </row>
    <row r="405" spans="11:22" x14ac:dyDescent="0.35">
      <c r="K405" s="20" t="str">
        <f t="shared" si="42"/>
        <v>A</v>
      </c>
      <c r="L405" s="20" t="str">
        <f t="shared" si="43"/>
        <v/>
      </c>
      <c r="O405" s="20" t="str">
        <f t="shared" si="44"/>
        <v/>
      </c>
      <c r="P405" s="20" t="str">
        <f t="shared" si="45"/>
        <v/>
      </c>
      <c r="R405" s="20" t="str">
        <f t="shared" si="46"/>
        <v/>
      </c>
      <c r="T405" s="21" t="str">
        <f t="shared" si="47"/>
        <v/>
      </c>
      <c r="U405" s="20" t="str">
        <f t="shared" si="48"/>
        <v/>
      </c>
      <c r="V405" s="20" t="str">
        <f>IF(OR(S405&lt;&gt;"Y",B405&lt;AsOf-365,B405&gt;AsOf),"",IF(COUNTIFS($T$6:T405,T405,$B$6:B405,B405,$S$6:S405,"Y")=1,1,0))</f>
        <v/>
      </c>
    </row>
  </sheetData>
  <autoFilter ref="A5:V405" xr:uid="{00000000-0009-0000-0000-00000A000000}"/>
  <mergeCells count="3">
    <mergeCell ref="D3:U3"/>
    <mergeCell ref="A1:U1"/>
    <mergeCell ref="A2:U2"/>
  </mergeCells>
  <dataValidations count="3">
    <dataValidation type="list" sqref="D6:D405" xr:uid="{00000000-0002-0000-0A00-000000000000}">
      <formula1>"IR,FX,Commodity,Credit,Equity"</formula1>
    </dataValidation>
    <dataValidation type="list" sqref="E6:E405" xr:uid="{00000000-0002-0000-0A00-000001000000}">
      <formula1>"Curve,Surface,Cube"</formula1>
    </dataValidation>
    <dataValidation type="list" sqref="F6:F405 G6:G405 H6:H405 S6:S405" xr:uid="{00000000-0002-0000-0A00-000002000000}">
      <formula1>"Y,N"</formula1>
    </dataValidation>
  </dataValidation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12"/>
  <sheetViews>
    <sheetView topLeftCell="A5" workbookViewId="0">
      <selection sqref="A1:I1"/>
    </sheetView>
  </sheetViews>
  <sheetFormatPr defaultRowHeight="14.5" x14ac:dyDescent="0.35"/>
  <cols>
    <col min="1" max="1" width="28" customWidth="1"/>
    <col min="2" max="3" width="16" customWidth="1"/>
    <col min="4" max="4" width="18" customWidth="1"/>
    <col min="5" max="5" width="12" customWidth="1"/>
    <col min="6" max="6" width="10" customWidth="1"/>
    <col min="7" max="7" width="16" customWidth="1"/>
    <col min="9" max="9" width="42" customWidth="1"/>
  </cols>
  <sheetData>
    <row r="1" spans="1:9" ht="28" customHeight="1" x14ac:dyDescent="0.35">
      <c r="A1" s="34" t="s">
        <v>839</v>
      </c>
      <c r="B1" s="35"/>
      <c r="C1" s="35"/>
      <c r="D1" s="35"/>
      <c r="E1" s="35"/>
      <c r="F1" s="35"/>
      <c r="G1" s="35"/>
      <c r="H1" s="35"/>
      <c r="I1" s="35"/>
    </row>
    <row r="2" spans="1:9" ht="16" customHeight="1" x14ac:dyDescent="0.35">
      <c r="A2" s="36" t="s">
        <v>840</v>
      </c>
      <c r="B2" s="35"/>
      <c r="C2" s="35"/>
      <c r="D2" s="35"/>
      <c r="E2" s="35"/>
      <c r="F2" s="35"/>
      <c r="G2" s="35"/>
      <c r="H2" s="35"/>
      <c r="I2" s="35"/>
    </row>
    <row r="4" spans="1:9" ht="52" customHeight="1" x14ac:dyDescent="0.35">
      <c r="A4" s="3" t="s">
        <v>704</v>
      </c>
      <c r="B4" s="3" t="s">
        <v>841</v>
      </c>
      <c r="C4" s="3" t="s">
        <v>842</v>
      </c>
      <c r="D4" s="3" t="s">
        <v>843</v>
      </c>
      <c r="E4" s="3" t="s">
        <v>844</v>
      </c>
      <c r="F4" s="3" t="s">
        <v>845</v>
      </c>
      <c r="G4" s="3" t="s">
        <v>846</v>
      </c>
      <c r="I4" s="3" t="s">
        <v>847</v>
      </c>
    </row>
    <row r="5" spans="1:9" ht="30" customHeight="1" x14ac:dyDescent="0.35">
      <c r="A5" s="22" t="s">
        <v>848</v>
      </c>
      <c r="B5" s="6">
        <f>COUNTIFS('60_calculator'!$T$6:$T$405,$A5,'60_calculator'!$B$6:$B$405,"&gt;="&amp;(AsOf-365),'60_calculator'!$B$6:$B$405,"&lt;="&amp;AsOf,'60_calculator'!$S$6:$S$405,"Y",'60_calculator'!$V$6:$V$405,1)</f>
        <v>26</v>
      </c>
      <c r="C5" s="6">
        <f>IF(B5=0,365,MAX(_xlfn.MAXIFS('60_calculator'!$U$6:$U$405,'60_calculator'!$T$6:$T$405,$A5,'60_calculator'!$S$6:$S$405,"Y"),_xlfn.MINIFS('60_calculator'!$B$6:$B$405,'60_calculator'!$T$6:$T$405,$A5,'60_calculator'!$S$6:$S$405,"Y",'60_calculator'!$B$6:$B$405,"&gt;="&amp;(AsOf-365))-(AsOf-365),AsOf-_xlfn.MAXIFS('60_calculator'!$B$6:$B$405,'60_calculator'!$T$6:$T$405,$A5,'60_calculator'!$S$6:$S$405,"Y",'60_calculator'!$B$6:$B$405,"&lt;="&amp;AsOf)))</f>
        <v>15</v>
      </c>
      <c r="D5" s="6" t="str">
        <f t="shared" ref="D5:D10" si="0">IF(AND(B5&gt;=24,C5&lt;=90),"YES","no")</f>
        <v>YES</v>
      </c>
      <c r="E5" s="6" t="str">
        <f t="shared" ref="E5:E10" si="1">IF(B5&gt;=100,"YES","no")</f>
        <v>no</v>
      </c>
      <c r="F5" s="12" t="str">
        <f t="shared" ref="F5:F10" si="2">IF(OR(D5="YES",E5="YES"),"PASS","FAIL")</f>
        <v>PASS</v>
      </c>
      <c r="G5" s="12" t="str">
        <f t="shared" ref="G5:G10" si="3">IF(F5="PASS","Modellable (ES)","NMRF")</f>
        <v>Modellable (ES)</v>
      </c>
      <c r="I5" s="5" t="s">
        <v>849</v>
      </c>
    </row>
    <row r="6" spans="1:9" ht="30" customHeight="1" x14ac:dyDescent="0.35">
      <c r="A6" s="22" t="s">
        <v>850</v>
      </c>
      <c r="B6" s="6">
        <f>COUNTIFS('60_calculator'!$T$6:$T$405,$A6,'60_calculator'!$B$6:$B$405,"&gt;="&amp;(AsOf-365),'60_calculator'!$B$6:$B$405,"&lt;="&amp;AsOf,'60_calculator'!$S$6:$S$405,"Y",'60_calculator'!$V$6:$V$405,1)</f>
        <v>24</v>
      </c>
      <c r="C6" s="6">
        <f>IF(B6=0,365,MAX(_xlfn.MAXIFS('60_calculator'!$U$6:$U$405,'60_calculator'!$T$6:$T$405,$A6,'60_calculator'!$S$6:$S$405,"Y"),_xlfn.MINIFS('60_calculator'!$B$6:$B$405,'60_calculator'!$T$6:$T$405,$A6,'60_calculator'!$S$6:$S$405,"Y",'60_calculator'!$B$6:$B$405,"&gt;="&amp;(AsOf-365))-(AsOf-365),AsOf-_xlfn.MAXIFS('60_calculator'!$B$6:$B$405,'60_calculator'!$T$6:$T$405,$A6,'60_calculator'!$S$6:$S$405,"Y",'60_calculator'!$B$6:$B$405,"&lt;="&amp;AsOf)))</f>
        <v>20</v>
      </c>
      <c r="D6" s="6" t="str">
        <f t="shared" si="0"/>
        <v>YES</v>
      </c>
      <c r="E6" s="6" t="str">
        <f t="shared" si="1"/>
        <v>no</v>
      </c>
      <c r="F6" s="12" t="str">
        <f t="shared" si="2"/>
        <v>PASS</v>
      </c>
      <c r="G6" s="12" t="str">
        <f t="shared" si="3"/>
        <v>Modellable (ES)</v>
      </c>
      <c r="I6" s="5" t="s">
        <v>851</v>
      </c>
    </row>
    <row r="7" spans="1:9" ht="30" customHeight="1" x14ac:dyDescent="0.35">
      <c r="A7" s="22" t="s">
        <v>852</v>
      </c>
      <c r="B7" s="6">
        <f>COUNTIFS('60_calculator'!$T$6:$T$405,$A7,'60_calculator'!$B$6:$B$405,"&gt;="&amp;(AsOf-365),'60_calculator'!$B$6:$B$405,"&lt;="&amp;AsOf,'60_calculator'!$S$6:$S$405,"Y",'60_calculator'!$V$6:$V$405,1)</f>
        <v>30</v>
      </c>
      <c r="C7" s="6">
        <f>IF(B7=0,365,MAX(_xlfn.MAXIFS('60_calculator'!$U$6:$U$405,'60_calculator'!$T$6:$T$405,$A7,'60_calculator'!$S$6:$S$405,"Y"),_xlfn.MINIFS('60_calculator'!$B$6:$B$405,'60_calculator'!$T$6:$T$405,$A7,'60_calculator'!$S$6:$S$405,"Y",'60_calculator'!$B$6:$B$405,"&gt;="&amp;(AsOf-365))-(AsOf-365),AsOf-_xlfn.MAXIFS('60_calculator'!$B$6:$B$405,'60_calculator'!$T$6:$T$405,$A7,'60_calculator'!$S$6:$S$405,"Y",'60_calculator'!$B$6:$B$405,"&lt;="&amp;AsOf)))</f>
        <v>17</v>
      </c>
      <c r="D7" s="6" t="str">
        <f t="shared" si="0"/>
        <v>YES</v>
      </c>
      <c r="E7" s="6" t="str">
        <f t="shared" si="1"/>
        <v>no</v>
      </c>
      <c r="F7" s="12" t="str">
        <f t="shared" si="2"/>
        <v>PASS</v>
      </c>
      <c r="G7" s="12" t="str">
        <f t="shared" si="3"/>
        <v>Modellable (ES)</v>
      </c>
      <c r="I7" s="5" t="s">
        <v>853</v>
      </c>
    </row>
    <row r="8" spans="1:9" ht="30" customHeight="1" x14ac:dyDescent="0.35">
      <c r="A8" s="22" t="s">
        <v>854</v>
      </c>
      <c r="B8" s="6">
        <f>COUNTIFS('60_calculator'!$T$6:$T$405,$A8,'60_calculator'!$B$6:$B$405,"&gt;="&amp;(AsOf-365),'60_calculator'!$B$6:$B$405,"&lt;="&amp;AsOf,'60_calculator'!$S$6:$S$405,"Y",'60_calculator'!$V$6:$V$405,1)</f>
        <v>12</v>
      </c>
      <c r="C8" s="6">
        <f>IF(B8=0,365,MAX(_xlfn.MAXIFS('60_calculator'!$U$6:$U$405,'60_calculator'!$T$6:$T$405,$A8,'60_calculator'!$S$6:$S$405,"Y"),_xlfn.MINIFS('60_calculator'!$B$6:$B$405,'60_calculator'!$T$6:$T$405,$A8,'60_calculator'!$S$6:$S$405,"Y",'60_calculator'!$B$6:$B$405,"&gt;="&amp;(AsOf-365))-(AsOf-365),AsOf-_xlfn.MAXIFS('60_calculator'!$B$6:$B$405,'60_calculator'!$T$6:$T$405,$A8,'60_calculator'!$S$6:$S$405,"Y",'60_calculator'!$B$6:$B$405,"&lt;="&amp;AsOf)))</f>
        <v>130</v>
      </c>
      <c r="D8" s="6" t="str">
        <f t="shared" si="0"/>
        <v>no</v>
      </c>
      <c r="E8" s="6" t="str">
        <f t="shared" si="1"/>
        <v>no</v>
      </c>
      <c r="F8" s="12" t="str">
        <f t="shared" si="2"/>
        <v>FAIL</v>
      </c>
      <c r="G8" s="12" t="str">
        <f t="shared" si="3"/>
        <v>NMRF</v>
      </c>
      <c r="I8" s="5" t="s">
        <v>855</v>
      </c>
    </row>
    <row r="9" spans="1:9" ht="30" customHeight="1" x14ac:dyDescent="0.35">
      <c r="A9" s="22" t="s">
        <v>856</v>
      </c>
      <c r="B9" s="6">
        <f>COUNTIFS('60_calculator'!$T$6:$T$405,$A9,'60_calculator'!$B$6:$B$405,"&gt;="&amp;(AsOf-365),'60_calculator'!$B$6:$B$405,"&lt;="&amp;AsOf,'60_calculator'!$S$6:$S$405,"Y",'60_calculator'!$V$6:$V$405,1)</f>
        <v>8</v>
      </c>
      <c r="C9" s="6">
        <f>IF(B9=0,365,MAX(_xlfn.MAXIFS('60_calculator'!$U$6:$U$405,'60_calculator'!$T$6:$T$405,$A9,'60_calculator'!$S$6:$S$405,"Y"),_xlfn.MINIFS('60_calculator'!$B$6:$B$405,'60_calculator'!$T$6:$T$405,$A9,'60_calculator'!$S$6:$S$405,"Y",'60_calculator'!$B$6:$B$405,"&gt;="&amp;(AsOf-365))-(AsOf-365),AsOf-_xlfn.MAXIFS('60_calculator'!$B$6:$B$405,'60_calculator'!$T$6:$T$405,$A9,'60_calculator'!$S$6:$S$405,"Y",'60_calculator'!$B$6:$B$405,"&lt;="&amp;AsOf)))</f>
        <v>50</v>
      </c>
      <c r="D9" s="6" t="str">
        <f t="shared" si="0"/>
        <v>no</v>
      </c>
      <c r="E9" s="6" t="str">
        <f t="shared" si="1"/>
        <v>no</v>
      </c>
      <c r="F9" s="12" t="str">
        <f t="shared" si="2"/>
        <v>FAIL</v>
      </c>
      <c r="G9" s="12" t="str">
        <f t="shared" si="3"/>
        <v>NMRF</v>
      </c>
      <c r="I9" s="5" t="s">
        <v>857</v>
      </c>
    </row>
    <row r="10" spans="1:9" ht="30" customHeight="1" x14ac:dyDescent="0.35">
      <c r="A10" s="22" t="s">
        <v>858</v>
      </c>
      <c r="B10" s="6">
        <f>COUNTIFS('60_calculator'!$T$6:$T$405,$A10,'60_calculator'!$B$6:$B$405,"&gt;="&amp;(AsOf-365),'60_calculator'!$B$6:$B$405,"&lt;="&amp;AsOf,'60_calculator'!$S$6:$S$405,"Y",'60_calculator'!$V$6:$V$405,1)</f>
        <v>20</v>
      </c>
      <c r="C10" s="6">
        <f>IF(B10=0,365,MAX(_xlfn.MAXIFS('60_calculator'!$U$6:$U$405,'60_calculator'!$T$6:$T$405,$A10,'60_calculator'!$S$6:$S$405,"Y"),_xlfn.MINIFS('60_calculator'!$B$6:$B$405,'60_calculator'!$T$6:$T$405,$A10,'60_calculator'!$S$6:$S$405,"Y",'60_calculator'!$B$6:$B$405,"&gt;="&amp;(AsOf-365))-(AsOf-365),AsOf-_xlfn.MAXIFS('60_calculator'!$B$6:$B$405,'60_calculator'!$T$6:$T$405,$A10,'60_calculator'!$S$6:$S$405,"Y",'60_calculator'!$B$6:$B$405,"&lt;="&amp;AsOf)))</f>
        <v>22</v>
      </c>
      <c r="D10" s="6" t="str">
        <f t="shared" si="0"/>
        <v>no</v>
      </c>
      <c r="E10" s="6" t="str">
        <f t="shared" si="1"/>
        <v>no</v>
      </c>
      <c r="F10" s="12" t="str">
        <f t="shared" si="2"/>
        <v>FAIL</v>
      </c>
      <c r="G10" s="12" t="str">
        <f t="shared" si="3"/>
        <v>NMRF</v>
      </c>
      <c r="I10" s="5" t="s">
        <v>859</v>
      </c>
    </row>
    <row r="12" spans="1:9" ht="40" customHeight="1" x14ac:dyDescent="0.35">
      <c r="A12" s="37" t="s">
        <v>860</v>
      </c>
      <c r="B12" s="30"/>
      <c r="C12" s="30"/>
      <c r="D12" s="30"/>
      <c r="E12" s="30"/>
      <c r="F12" s="30"/>
      <c r="G12" s="30"/>
      <c r="H12" s="30"/>
      <c r="I12" s="31"/>
    </row>
  </sheetData>
  <mergeCells count="3">
    <mergeCell ref="A1:I1"/>
    <mergeCell ref="A12:I12"/>
    <mergeCell ref="A2:I2"/>
  </mergeCells>
  <conditionalFormatting sqref="F5:F10">
    <cfRule type="cellIs" dxfId="3" priority="1" operator="equal">
      <formula>"PASS"</formula>
    </cfRule>
    <cfRule type="cellIs" dxfId="2" priority="2" operator="equal">
      <formula>"FAIL"</formula>
    </cfRule>
  </conditionalFormatting>
  <conditionalFormatting sqref="G5:G10">
    <cfRule type="cellIs" dxfId="1" priority="3" operator="equal">
      <formula>"Modellable (ES)"</formula>
    </cfRule>
    <cfRule type="cellIs" dxfId="0" priority="4" operator="equal">
      <formula>"NMRF"</formula>
    </cfRule>
  </conditionalFormatting>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34"/>
  <sheetViews>
    <sheetView workbookViewId="0"/>
  </sheetViews>
  <sheetFormatPr defaultRowHeight="14.5" x14ac:dyDescent="0.35"/>
  <cols>
    <col min="1" max="1" width="16" customWidth="1"/>
    <col min="2" max="2" width="24" customWidth="1"/>
    <col min="3" max="3" width="80" customWidth="1"/>
  </cols>
  <sheetData>
    <row r="1" spans="1:3" ht="28" customHeight="1" x14ac:dyDescent="0.35">
      <c r="A1" s="34" t="s">
        <v>861</v>
      </c>
      <c r="B1" s="35"/>
      <c r="C1" s="35"/>
    </row>
    <row r="2" spans="1:3" ht="16" customHeight="1" x14ac:dyDescent="0.35">
      <c r="A2" s="36" t="s">
        <v>862</v>
      </c>
      <c r="B2" s="35"/>
      <c r="C2" s="35"/>
    </row>
    <row r="4" spans="1:3" x14ac:dyDescent="0.35">
      <c r="A4" s="3" t="s">
        <v>457</v>
      </c>
      <c r="B4" s="3" t="s">
        <v>863</v>
      </c>
      <c r="C4" s="3" t="s">
        <v>864</v>
      </c>
    </row>
    <row r="5" spans="1:3" ht="44" customHeight="1" x14ac:dyDescent="0.35">
      <c r="A5" s="1" t="s">
        <v>865</v>
      </c>
      <c r="B5" s="2" t="s">
        <v>866</v>
      </c>
      <c r="C5" s="2" t="s">
        <v>867</v>
      </c>
    </row>
    <row r="6" spans="1:3" ht="44" customHeight="1" x14ac:dyDescent="0.35">
      <c r="A6" s="1" t="s">
        <v>868</v>
      </c>
      <c r="B6" s="2" t="s">
        <v>869</v>
      </c>
      <c r="C6" s="2" t="s">
        <v>870</v>
      </c>
    </row>
    <row r="7" spans="1:3" ht="44" customHeight="1" x14ac:dyDescent="0.35">
      <c r="A7" s="1" t="s">
        <v>871</v>
      </c>
      <c r="B7" s="2" t="s">
        <v>872</v>
      </c>
      <c r="C7" s="2" t="s">
        <v>873</v>
      </c>
    </row>
    <row r="8" spans="1:3" ht="44" customHeight="1" x14ac:dyDescent="0.35">
      <c r="A8" s="1" t="s">
        <v>874</v>
      </c>
      <c r="B8" s="2" t="s">
        <v>875</v>
      </c>
      <c r="C8" s="2" t="s">
        <v>876</v>
      </c>
    </row>
    <row r="9" spans="1:3" ht="44" customHeight="1" x14ac:dyDescent="0.35">
      <c r="A9" s="1" t="s">
        <v>877</v>
      </c>
      <c r="B9" s="2" t="s">
        <v>878</v>
      </c>
      <c r="C9" s="2" t="s">
        <v>879</v>
      </c>
    </row>
    <row r="10" spans="1:3" ht="44" customHeight="1" x14ac:dyDescent="0.35">
      <c r="A10" s="1" t="s">
        <v>880</v>
      </c>
      <c r="B10" s="2" t="s">
        <v>881</v>
      </c>
      <c r="C10" s="2" t="s">
        <v>882</v>
      </c>
    </row>
    <row r="11" spans="1:3" ht="44" customHeight="1" x14ac:dyDescent="0.35">
      <c r="A11" s="1" t="s">
        <v>883</v>
      </c>
      <c r="B11" s="2" t="s">
        <v>884</v>
      </c>
      <c r="C11" s="2" t="s">
        <v>885</v>
      </c>
    </row>
    <row r="12" spans="1:3" ht="44" customHeight="1" x14ac:dyDescent="0.35">
      <c r="A12" s="1" t="s">
        <v>886</v>
      </c>
      <c r="B12" s="2" t="s">
        <v>887</v>
      </c>
      <c r="C12" s="2" t="s">
        <v>888</v>
      </c>
    </row>
    <row r="13" spans="1:3" ht="44" customHeight="1" x14ac:dyDescent="0.35">
      <c r="A13" s="1" t="s">
        <v>889</v>
      </c>
      <c r="B13" s="2" t="s">
        <v>890</v>
      </c>
      <c r="C13" s="2" t="s">
        <v>891</v>
      </c>
    </row>
    <row r="14" spans="1:3" ht="44" customHeight="1" x14ac:dyDescent="0.35">
      <c r="A14" s="1" t="s">
        <v>892</v>
      </c>
      <c r="B14" s="2" t="s">
        <v>893</v>
      </c>
      <c r="C14" s="2" t="s">
        <v>894</v>
      </c>
    </row>
    <row r="15" spans="1:3" ht="44" customHeight="1" x14ac:dyDescent="0.35">
      <c r="A15" s="1" t="s">
        <v>895</v>
      </c>
      <c r="B15" s="2" t="s">
        <v>896</v>
      </c>
      <c r="C15" s="2" t="s">
        <v>897</v>
      </c>
    </row>
    <row r="16" spans="1:3" ht="44" customHeight="1" x14ac:dyDescent="0.35">
      <c r="A16" s="1" t="s">
        <v>898</v>
      </c>
      <c r="B16" s="2" t="s">
        <v>899</v>
      </c>
      <c r="C16" s="2" t="s">
        <v>900</v>
      </c>
    </row>
    <row r="17" spans="1:3" ht="44" customHeight="1" x14ac:dyDescent="0.35">
      <c r="A17" s="1" t="s">
        <v>901</v>
      </c>
      <c r="B17" s="2" t="s">
        <v>902</v>
      </c>
      <c r="C17" s="2" t="s">
        <v>903</v>
      </c>
    </row>
    <row r="18" spans="1:3" ht="44" customHeight="1" x14ac:dyDescent="0.35">
      <c r="A18" s="1" t="s">
        <v>904</v>
      </c>
      <c r="B18" s="2" t="s">
        <v>905</v>
      </c>
      <c r="C18" s="2" t="s">
        <v>906</v>
      </c>
    </row>
    <row r="19" spans="1:3" ht="44" customHeight="1" x14ac:dyDescent="0.35">
      <c r="A19" s="1" t="s">
        <v>907</v>
      </c>
      <c r="B19" s="2" t="s">
        <v>908</v>
      </c>
      <c r="C19" s="2" t="s">
        <v>909</v>
      </c>
    </row>
    <row r="20" spans="1:3" ht="44" customHeight="1" x14ac:dyDescent="0.35">
      <c r="A20" s="1" t="s">
        <v>910</v>
      </c>
      <c r="B20" s="2" t="s">
        <v>911</v>
      </c>
      <c r="C20" s="2" t="s">
        <v>912</v>
      </c>
    </row>
    <row r="21" spans="1:3" ht="44" customHeight="1" x14ac:dyDescent="0.35">
      <c r="A21" s="1" t="s">
        <v>913</v>
      </c>
      <c r="B21" s="2" t="s">
        <v>914</v>
      </c>
      <c r="C21" s="2" t="s">
        <v>915</v>
      </c>
    </row>
    <row r="22" spans="1:3" ht="44" customHeight="1" x14ac:dyDescent="0.35">
      <c r="A22" s="1" t="s">
        <v>916</v>
      </c>
      <c r="B22" s="2" t="s">
        <v>917</v>
      </c>
      <c r="C22" s="2" t="s">
        <v>918</v>
      </c>
    </row>
    <row r="23" spans="1:3" ht="44" customHeight="1" x14ac:dyDescent="0.35">
      <c r="A23" s="1" t="s">
        <v>919</v>
      </c>
      <c r="B23" s="2" t="s">
        <v>920</v>
      </c>
      <c r="C23" s="2" t="s">
        <v>921</v>
      </c>
    </row>
    <row r="24" spans="1:3" ht="44" customHeight="1" x14ac:dyDescent="0.35">
      <c r="A24" s="1" t="s">
        <v>922</v>
      </c>
      <c r="B24" s="2" t="s">
        <v>923</v>
      </c>
      <c r="C24" s="2" t="s">
        <v>924</v>
      </c>
    </row>
    <row r="25" spans="1:3" ht="44" customHeight="1" x14ac:dyDescent="0.35">
      <c r="A25" s="1" t="s">
        <v>925</v>
      </c>
      <c r="B25" s="2" t="s">
        <v>926</v>
      </c>
      <c r="C25" s="2" t="s">
        <v>927</v>
      </c>
    </row>
    <row r="26" spans="1:3" ht="44" customHeight="1" x14ac:dyDescent="0.35">
      <c r="A26" s="1" t="s">
        <v>928</v>
      </c>
      <c r="B26" s="2" t="s">
        <v>929</v>
      </c>
      <c r="C26" s="2" t="s">
        <v>930</v>
      </c>
    </row>
    <row r="27" spans="1:3" ht="44" customHeight="1" x14ac:dyDescent="0.35">
      <c r="A27" s="1" t="s">
        <v>931</v>
      </c>
      <c r="B27" s="2" t="s">
        <v>932</v>
      </c>
      <c r="C27" s="2" t="s">
        <v>933</v>
      </c>
    </row>
    <row r="28" spans="1:3" ht="44" customHeight="1" x14ac:dyDescent="0.35">
      <c r="A28" s="1" t="s">
        <v>934</v>
      </c>
      <c r="B28" s="2" t="s">
        <v>935</v>
      </c>
      <c r="C28" s="2" t="s">
        <v>936</v>
      </c>
    </row>
    <row r="29" spans="1:3" ht="44" customHeight="1" x14ac:dyDescent="0.35">
      <c r="A29" s="1" t="s">
        <v>937</v>
      </c>
      <c r="B29" s="2" t="s">
        <v>938</v>
      </c>
      <c r="C29" s="2" t="s">
        <v>939</v>
      </c>
    </row>
    <row r="30" spans="1:3" ht="44" customHeight="1" x14ac:dyDescent="0.35">
      <c r="A30" s="1" t="s">
        <v>940</v>
      </c>
      <c r="B30" s="2" t="s">
        <v>941</v>
      </c>
      <c r="C30" s="2" t="s">
        <v>942</v>
      </c>
    </row>
    <row r="31" spans="1:3" ht="44" customHeight="1" x14ac:dyDescent="0.35">
      <c r="A31" s="1" t="s">
        <v>943</v>
      </c>
      <c r="B31" s="2" t="s">
        <v>944</v>
      </c>
      <c r="C31" s="2" t="s">
        <v>945</v>
      </c>
    </row>
    <row r="32" spans="1:3" ht="48" customHeight="1" x14ac:dyDescent="0.35">
      <c r="A32" s="1"/>
      <c r="B32" s="2"/>
      <c r="C32" s="2"/>
    </row>
    <row r="33" spans="1:3" ht="48" customHeight="1" x14ac:dyDescent="0.35">
      <c r="A33" s="1"/>
      <c r="B33" s="2"/>
      <c r="C33" s="2"/>
    </row>
    <row r="34" spans="1:3" ht="60" customHeight="1" x14ac:dyDescent="0.35">
      <c r="A34" s="1"/>
      <c r="B34" s="2"/>
      <c r="C34" s="2"/>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13</vt:i4>
      </vt:variant>
      <vt:variant>
        <vt:lpstr>Named Ranges</vt:lpstr>
      </vt:variant>
      <vt:variant>
        <vt:i4>5</vt:i4>
      </vt:variant>
    </vt:vector>
  </HeadingPairs>
  <TitlesOfParts>
    <vt:vector size="18" baseType="lpstr">
      <vt:lpstr>00_README</vt:lpstr>
      <vt:lpstr>05_why_real_prices</vt:lpstr>
      <vt:lpstr>10_decision_map</vt:lpstr>
      <vt:lpstr>20_regulatory_buckets</vt:lpstr>
      <vt:lpstr>30_instrument_coverage</vt:lpstr>
      <vt:lpstr>40_own_vs_regulatory</vt:lpstr>
      <vt:lpstr>45_guardrail</vt:lpstr>
      <vt:lpstr>50_special_cases</vt:lpstr>
      <vt:lpstr>55_systematic_proxy_nmrf</vt:lpstr>
      <vt:lpstr>57_seven_principles</vt:lpstr>
      <vt:lpstr>60_calculator</vt:lpstr>
      <vt:lpstr>70_rfet_results</vt:lpstr>
      <vt:lpstr>90_citations</vt:lpstr>
      <vt:lpstr>AsOf</vt:lpstr>
      <vt:lpstr>RowA_low</vt:lpstr>
      <vt:lpstr>RowB_low</vt:lpstr>
      <vt:lpstr>RowC_low</vt:lpstr>
      <vt:lpstr>RowD_low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MAR31 RFET Bucketing Reference &amp; Live Calculator</dc:title>
  <dc:subject>FRTB IMA — risk-factor modellability (MAR31.12–31.26)</dc:subject>
  <dc:creator>Amit</dc:creator>
  <cp:lastModifiedBy>Office</cp:lastModifiedBy>
  <dcterms:created xsi:type="dcterms:W3CDTF">2026-07-04T19:10:39Z</dcterms:created>
  <dcterms:modified xsi:type="dcterms:W3CDTF">2026-07-19T10:48:28Z</dcterms:modified>
</cp:coreProperties>
</file>